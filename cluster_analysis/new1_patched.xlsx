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4" autoFilterDateGrouping="1"/>
  </bookViews>
  <sheets>
    <sheet name="عدد الملاعب" sheetId="1" state="visible" r:id="rId1"/>
    <sheet name="عدد المباريات" sheetId="2" state="visible" r:id="rId2"/>
    <sheet name="عدد اللاعبين" sheetId="3" state="visible" r:id="rId3"/>
    <sheet name="ملخص المجموعات" sheetId="4" state="visible" r:id="rId4"/>
    <sheet name="بيانات التسجيل" sheetId="5" state="visible" r:id="rId5"/>
    <sheet name="Sheet1" sheetId="6" state="hidden" r:id="rId6"/>
    <sheet name="المدخلات" sheetId="7" state="visible" r:id="rId7"/>
    <sheet name="عدد الفرق لكل مدينة" sheetId="8" state="visible" r:id="rId8"/>
    <sheet name="سجل تصفير الفئات" sheetId="9" state="visible" r:id="rId9"/>
  </sheets>
  <externalReferences>
    <externalReference r:id="rId10"/>
  </externalReferences>
  <definedNames>
    <definedName name="الحد_الأدنى">المدخلات!$N$3</definedName>
    <definedName name="فرق_المباراة">المدخلات!$AD$3</definedName>
    <definedName name="قائمة_المدن">المدخلات!$AA$3:$AA$98</definedName>
    <definedName name="ملاعب_الفئات">المدخلات!$AC$6:$AI$12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2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3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FF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b val="1"/>
      <color rgb="FF00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DDEBF7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"/>
      </top>
      <bottom/>
      <diagonal/>
    </border>
    <border>
      <left/>
      <right/>
      <top style="thin">
        <color rgb="FF44B3E1"/>
      </top>
      <bottom/>
      <diagonal/>
    </border>
    <border>
      <left style="thin">
        <color rgb="FF44B3E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"/>
      </bottom>
      <diagonal/>
    </border>
    <border>
      <left/>
      <right style="thin">
        <color rgb="FF44B3E1"/>
      </right>
      <top style="thin">
        <color rgb="FF44B3E1"/>
      </top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13" fillId="0" borderId="0"/>
    <xf numFmtId="0" fontId="13" fillId="0" borderId="0"/>
  </cellStyleXfs>
  <cellXfs count="99"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5" fillId="0" borderId="5" applyAlignment="1" pivotButton="0" quotePrefix="0" xfId="1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8" fillId="3" borderId="0" applyAlignment="1" pivotButton="0" quotePrefix="0" xfId="0">
      <alignment vertical="center"/>
    </xf>
    <xf numFmtId="0" fontId="13" fillId="0" borderId="0" pivotButton="0" quotePrefix="0" xfId="0"/>
    <xf numFmtId="0" fontId="12" fillId="3" borderId="7" applyAlignment="1" pivotButton="0" quotePrefix="0" xfId="0">
      <alignment horizontal="center" wrapText="1"/>
    </xf>
    <xf numFmtId="0" fontId="13" fillId="0" borderId="7" applyAlignment="1" pivotButton="0" quotePrefix="0" xfId="0">
      <alignment horizontal="center"/>
    </xf>
    <xf numFmtId="3" fontId="14" fillId="0" borderId="7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3" fontId="14" fillId="4" borderId="7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 wrapText="1"/>
    </xf>
    <xf numFmtId="0" fontId="8" fillId="3" borderId="15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3" fontId="0" fillId="0" borderId="7" applyAlignment="1" pivotButton="0" quotePrefix="0" xfId="0">
      <alignment horizontal="center"/>
    </xf>
    <xf numFmtId="3" fontId="0" fillId="4" borderId="7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" fontId="5" fillId="0" borderId="1" applyAlignment="1" pivotButton="0" quotePrefix="0" xfId="1">
      <alignment horizontal="center" vertical="center"/>
    </xf>
    <xf numFmtId="0" fontId="5" fillId="0" borderId="18" applyAlignment="1" pivotButton="0" quotePrefix="0" xfId="1">
      <alignment horizontal="center" vertical="center"/>
    </xf>
    <xf numFmtId="0" fontId="0" fillId="0" borderId="4" pivotButton="0" quotePrefix="0" xfId="0"/>
    <xf numFmtId="0" fontId="2" fillId="5" borderId="19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0" fillId="0" borderId="19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19" fillId="0" borderId="2" pivotButton="0" quotePrefix="0" xfId="0"/>
    <xf numFmtId="0" fontId="0" fillId="0" borderId="3" pivotButton="0" quotePrefix="0" xfId="0"/>
    <xf numFmtId="0" fontId="2" fillId="6" borderId="19" pivotButton="0" quotePrefix="0" xfId="0"/>
    <xf numFmtId="0" fontId="2" fillId="6" borderId="1" pivotButton="0" quotePrefix="0" xfId="0"/>
    <xf numFmtId="0" fontId="2" fillId="6" borderId="20" pivotButton="0" quotePrefix="0" xfId="0"/>
    <xf numFmtId="0" fontId="2" fillId="6" borderId="5" applyAlignment="1" pivotButton="0" quotePrefix="0" xfId="0">
      <alignment horizontal="center"/>
    </xf>
    <xf numFmtId="0" fontId="2" fillId="5" borderId="18" applyAlignment="1" pivotButton="0" quotePrefix="0" xfId="0">
      <alignment horizontal="center"/>
    </xf>
    <xf numFmtId="0" fontId="5" fillId="0" borderId="3" applyAlignment="1" pivotButton="0" quotePrefix="0" xfId="1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7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164" fontId="0" fillId="0" borderId="21" applyAlignment="1" pivotButton="0" quotePrefix="0" xfId="0">
      <alignment horizontal="center" vertical="center"/>
    </xf>
    <xf numFmtId="164" fontId="0" fillId="0" borderId="21" applyAlignment="1" pivotButton="0" quotePrefix="0" xfId="0">
      <alignment horizontal="right" vertical="center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right"/>
    </xf>
    <xf numFmtId="3" fontId="0" fillId="0" borderId="6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7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8" fillId="3" borderId="0" applyAlignment="1" pivotButton="0" quotePrefix="0" xfId="0">
      <alignment horizontal="center" wrapText="1"/>
    </xf>
    <xf numFmtId="0" fontId="8" fillId="3" borderId="23" applyAlignment="1" pivotButton="0" quotePrefix="0" xfId="0">
      <alignment horizontal="center" wrapText="1"/>
    </xf>
    <xf numFmtId="0" fontId="8" fillId="3" borderId="1" applyAlignment="1" pivotButton="0" quotePrefix="0" xfId="0">
      <alignment horizontal="center" vertical="center" readingOrder="2"/>
    </xf>
    <xf numFmtId="0" fontId="0" fillId="0" borderId="1" applyAlignment="1" pivotButton="0" quotePrefix="0" xfId="0">
      <alignment horizontal="center" vertical="center" readingOrder="2"/>
    </xf>
    <xf numFmtId="1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49" fontId="5" fillId="7" borderId="1" applyAlignment="1" pivotButton="0" quotePrefix="0" xfId="0">
      <alignment horizontal="center" vertical="center"/>
    </xf>
    <xf numFmtId="1" fontId="5" fillId="7" borderId="1" applyAlignment="1" pivotButton="0" quotePrefix="0" xfId="0">
      <alignment horizontal="center" vertical="center"/>
    </xf>
    <xf numFmtId="0" fontId="5" fillId="7" borderId="1" applyAlignment="1" pivotButton="0" quotePrefix="0" xfId="1">
      <alignment horizontal="center" vertical="center"/>
    </xf>
    <xf numFmtId="0" fontId="5" fillId="7" borderId="24" applyAlignment="1" pivotButton="0" quotePrefix="0" xfId="1">
      <alignment horizontal="center" vertical="center"/>
    </xf>
    <xf numFmtId="1" fontId="5" fillId="7" borderId="1" applyAlignment="1" pivotButton="0" quotePrefix="0" xfId="1">
      <alignment horizontal="center" vertical="center"/>
    </xf>
    <xf numFmtId="0" fontId="5" fillId="0" borderId="24" applyAlignment="1" pivotButton="0" quotePrefix="0" xfId="1">
      <alignment horizontal="center" vertical="center"/>
    </xf>
    <xf numFmtId="0" fontId="20" fillId="2" borderId="24" applyAlignment="1" pivotButton="0" quotePrefix="0" xfId="0">
      <alignment horizontal="center" vertical="center"/>
    </xf>
    <xf numFmtId="0" fontId="5" fillId="4" borderId="1" applyAlignment="1" pivotButton="0" quotePrefix="0" xfId="1">
      <alignment horizontal="center" vertical="center"/>
    </xf>
    <xf numFmtId="0" fontId="5" fillId="4" borderId="5" applyAlignment="1" pivotButton="0" quotePrefix="0" xfId="1">
      <alignment horizontal="center" vertical="center"/>
    </xf>
    <xf numFmtId="0" fontId="15" fillId="3" borderId="7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wrapText="1"/>
    </xf>
    <xf numFmtId="0" fontId="19" fillId="8" borderId="7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9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11" pivotButton="0" quotePrefix="0" xfId="0"/>
  </cellXfs>
  <cellStyles count="2">
    <cellStyle name="Normal" xfId="0" builtinId="0"/>
    <cellStyle name="Normal 2" xfId="1"/>
  </cellStyles>
  <dxfs count="99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1"/>
        <color rgb="FF000000"/>
      </font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1"/>
        <color rgb="FF000000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1"/>
        <color rgb="FF000000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>
        <bottom style="thin">
          <color rgb="FF000000"/>
        </bottom>
      </border>
    </dxf>
    <dxf>
      <font>
        <b val="1"/>
        <color rgb="FFFFFFFF"/>
      </font>
      <fill>
        <patternFill patternType="solid">
          <fgColor indexed="64"/>
          <bgColor rgb="FF156082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alignment vertical="center"/>
    </dxf>
    <dxf>
      <alignment vertical="center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numFmt numFmtId="164" formatCode="#,##0;\(#,##0\);\-"/>
      <alignment horizontal="center" vertical="center"/>
    </dxf>
    <dxf>
      <numFmt numFmtId="164" formatCode="#,##0;\(#,##0\);\-"/>
      <alignment horizontal="center" vertical="center"/>
    </dxf>
    <dxf>
      <numFmt numFmtId="164" formatCode="#,##0;\(#,##0\);\-"/>
      <alignment horizontal="right" vertical="center"/>
    </dxf>
    <dxf>
      <numFmt numFmtId="164" formatCode="#,##0;\(#,##0\);\-"/>
      <alignment horizontal="center" vertical="center"/>
    </dxf>
    <dxf>
      <fill>
        <patternFill>
          <fgColor indexed="64"/>
          <bgColor auto="1"/>
        </patternFill>
      </fill>
      <alignment vertical="center"/>
    </dxf>
    <dxf>
      <alignment horizontal="center" vertical="center"/>
    </dxf>
    <dxf>
      <alignment horizontal="center" vertic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;\(#,##0\);\-"/>
      <alignment horizontal="center" vertical="bottom"/>
      <border>
        <left/>
        <right/>
        <top style="thin">
          <color theme="4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;\(#,##0\);\-"/>
      <alignment horizontal="right" vertical="center"/>
      <border>
        <left/>
        <right/>
        <top style="thin">
          <color theme="4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;\(#,##0\);\-"/>
      <alignment horizontal="right" vertical="center"/>
      <border>
        <left/>
        <right/>
        <top style="thin">
          <color theme="4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#,##0;\(#,##0\);\-"/>
      <alignment horizontal="center" vertical="center"/>
      <border>
        <left/>
        <right/>
        <top style="thin">
          <color theme="4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  <border>
        <left/>
        <right/>
        <top style="thin">
          <color theme="4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/>
        <right/>
        <top style="thin">
          <color theme="4" tint="0.3999755851924192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center"/>
    </dxf>
    <dxf>
      <numFmt numFmtId="164" formatCode="#,##0;\(#,##0\);\-"/>
      <alignment horizontal="center"/>
    </dxf>
    <dxf>
      <numFmt numFmtId="164" formatCode="#,##0;\(#,##0\);\-"/>
      <alignment horizontal="right" vertical="center"/>
    </dxf>
    <dxf>
      <numFmt numFmtId="164" formatCode="#,##0;\(#,##0\);\-"/>
      <alignment horizontal="right" vertical="center"/>
    </dxf>
    <dxf>
      <numFmt numFmtId="164" formatCode="#,##0;\(#,##0\);\-"/>
      <alignment horizontal="center" vertical="center"/>
    </dxf>
    <dxf>
      <alignment horizontal="general" vertical="center"/>
    </dxf>
    <dxf>
      <alignment horizontal="center" vertical="center"/>
    </dxf>
    <dxf>
      <numFmt numFmtId="0" formatCode="General"/>
      <alignment horizontal="center" vertic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  <border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  <border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  <border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  <border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alignment horizontal="center" vertical="bottom"/>
      <border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right" vertical="bottom"/>
      <border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  <border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  <border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  <border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  <border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56082"/>
        </patternFill>
      </fill>
      <alignment horizontal="center" vertical="bottom" wrapText="1"/>
      <border outline="0">
        <left style="thin">
          <color rgb="FF44B3E1"/>
        </left>
        <right style="thin">
          <color rgb="FF44B3E1"/>
        </right>
        <top/>
        <bottom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3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Mohammed Alnajjar</author>
    <author>tc={76482755-CCBA-4320-A08C-8D2B4AD1E96F}</author>
    <author>tc={EA817475-4B27-4D33-B54C-A5F7C17FF03E}</author>
    <author>tc={3F823FCE-DE21-46F3-BFD6-6877CB630F12}</author>
    <author>tc={CEFC68E5-6E06-424C-A55D-C3A6F4A8D12B}</author>
    <author>tc={2EB7C2D5-2E4B-4ED4-B997-40B8CAB490DE}</author>
    <author>tc={36C4B326-0557-4661-AA7F-A06E4EDC7CD3}</author>
  </authors>
  <commentList>
    <comment ref="D93" authorId="0" shapeId="0">
      <text>
        <t>Mohammed Alnajjar:
Source: بيانات التسجيل يوم الخميس 3-09-2026 (1).xlsx، ورقة بيانات التسجيل، Entry Id 101</t>
      </text>
    </comment>
    <comment ref="E93" authorId="0" shapeId="0">
      <text>
        <t>Mohammed Alnajjar:
Source: بيانات التسجيل يوم الخميس 3-09-2026 (1).xlsx، ورقة بيانات التسجيل، Entry Id 101</t>
      </text>
    </comment>
    <comment ref="D94" authorId="0" shapeId="0">
      <text>
        <t>Mohammed Alnajjar:
Source: بيانات التسجيل يوم الخميس 3-09-2026 (1).xlsx، ورقة بيانات التسجيل، Entry Id 105</t>
      </text>
    </comment>
    <comment ref="C99" authorId="0" shapeId="0">
      <text>
        <t>Mohammed Alnajjar:
Source: بيانات التسجيل يوم الخميس 3-09-2026 (1).xlsx، ورقة بيانات التسجيل، Entry Id 117</t>
      </text>
    </comment>
    <comment ref="D99" authorId="0" shapeId="0">
      <text>
        <t>Mohammed Alnajjar:
Source: بيانات التسجيل يوم الخميس 3-09-2026 (1).xlsx، ورقة بيانات التسجيل، Entry Id 117</t>
      </text>
    </comment>
    <comment ref="C101" authorId="0" shapeId="0">
      <text>
        <t>Mohammed Alnajjar:
Source: بيانات التسجيل يوم الخميس 3-09-2026 (1).xlsx، ورقة بيانات التسجيل، Entry Id 120</t>
      </text>
    </comment>
    <comment ref="D101" authorId="0" shapeId="0">
      <text>
        <t>Mohammed Alnajjar:
Source: بيانات التسجيل يوم الخميس 3-09-2026 (1).xlsx، ورقة بيانات التسجيل، Entry Id 120</t>
      </text>
    </comment>
    <comment ref="H20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المسقي أصلا، لكن تم تغييرها إلى أبها</t>
      </text>
    </comment>
    <comment ref="H252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الجوف وتعدلت إلى سكاكا</t>
      </text>
    </comment>
    <comment ref="H289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سبت العلايا</t>
      </text>
    </comment>
    <comment ref="H32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تاروت</t>
      </text>
    </comment>
    <comment ref="H50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عنك</t>
      </text>
    </comment>
    <comment ref="H50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السويفلة</t>
      </text>
    </comment>
  </commentList>
</comments>
</file>

<file path=xl/comments/comment2.xml><?xml version="1.0" encoding="utf-8"?>
<comments xmlns="http://schemas.openxmlformats.org/spreadsheetml/2006/main">
  <authors>
    <author>Mohammed Alnajjar</author>
  </authors>
  <commentList>
    <comment ref="E20" authorId="0" shapeId="0">
      <text>
        <t>Mohammed Alnajjar:
Source: بيانات التسجيل يوم الخميس 3-09-2026 (1).xlsx، ورقة بيانات التسجيل، Entry Id 101</t>
      </text>
    </comment>
    <comment ref="F20" authorId="0" shapeId="0">
      <text>
        <t>Mohammed Alnajjar:
Source: بيانات التسجيل يوم الخميس 3-09-2026 (1).xlsx، ورقة بيانات التسجيل، Entry Id 101</t>
      </text>
    </comment>
    <comment ref="E21" authorId="0" shapeId="0">
      <text>
        <t>Mohammed Alnajjar:
Source: بيانات التسجيل يوم الخميس 3-09-2026 (1).xlsx، ورقة بيانات التسجيل، Entry Id 105</t>
      </text>
    </comment>
    <comment ref="D26" authorId="0" shapeId="0">
      <text>
        <t>Mohammed Alnajjar:
Source: بيانات التسجيل يوم الخميس 3-09-2026 (1).xlsx، ورقة بيانات التسجيل، Entry Id 117</t>
      </text>
    </comment>
    <comment ref="E26" authorId="0" shapeId="0">
      <text>
        <t>Mohammed Alnajjar:
Source: بيانات التسجيل يوم الخميس 3-09-2026 (1).xlsx، ورقة بيانات التسجيل، Entry Id 117</t>
      </text>
    </comment>
    <comment ref="D28" authorId="0" shapeId="0">
      <text>
        <t>Mohammed Alnajjar:
Source: بيانات التسجيل يوم الخميس 3-09-2026 (1).xlsx، ورقة بيانات التسجيل، Entry Id 120</t>
      </text>
    </comment>
    <comment ref="E28" authorId="0" shapeId="0">
      <text>
        <t>Mohammed Alnajjar:
Source: بيانات التسجيل يوم الخميس 3-09-2026 (1).xlsx، ورقة بيانات التسجيل، Entry Id 120</t>
      </text>
    </comment>
  </commentList>
</comments>
</file>

<file path=xl/comments/comment3.xml><?xml version="1.0" encoding="utf-8"?>
<comments xmlns="http://schemas.openxmlformats.org/spreadsheetml/2006/main">
  <authors>
    <author>tc={38C376C0-99C0-4408-B8B3-0A3D5CA91FCD}</author>
  </authors>
  <commentList>
    <comment ref="AA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28 مدينة كانت مسجلة بس ماسجل فيها أحد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HassanAlhayek\Downloads\&#1578;&#1608;&#1586;&#1610;&#1593;%20&#1575;&#1604;&#1601;&#1585;&#1602;%20&#1593;&#1604;&#1609;%20&#1575;&#1604;&#1605;&#1580;&#1605;&#1608;&#1593;&#1575;&#1578;_4%20(4)%20(1)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عدد الملاعب"/>
      <sheetName val="عدد المباريات"/>
      <sheetName val="عدد اللاعبين"/>
      <sheetName val="ملخص المجموعات"/>
      <sheetName val="بيانات التسجيل"/>
      <sheetName val="Sheet1"/>
      <sheetName val="المدخلات"/>
      <sheetName val="عدد الفرق لكل مدينة"/>
      <sheetName val="سجل تصفير الفئات"/>
      <sheetName val="توزيع الفرق على المجموعات_4 (4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id="1" name="عدد_الملاعب" displayName="عدد_الملاعب" ref="B13:K197" headerRowCount="1" totalsRowShown="0" headerRowDxfId="76" dataDxfId="75" tableBorderDxfId="74">
  <autoFilter ref="B13:K197">
    <filterColumn colId="1" hiddenButton="0" showButton="1">
      <filters>
        <filter val="تحت 9"/>
      </filters>
    </filterColumn>
  </autoFilter>
  <tableColumns count="10">
    <tableColumn id="1" name="المنطقة" dataDxfId="73">
      <calculatedColumnFormula>'عدد اللاعبين'!B3</calculatedColumnFormula>
    </tableColumn>
    <tableColumn id="2" name="الفئة" dataDxfId="72">
      <calculatedColumnFormula>'عدد اللاعبين'!C3</calculatedColumnFormula>
    </tableColumn>
    <tableColumn id="3" name="اليوم" dataDxfId="71">
      <calculatedColumnFormula>IFERROR(INDEX(المدخلات!$AD$6:$AD$12,MATCH($C14,المدخلات!$AC$6:$AC$12,0)),"")</calculatedColumnFormula>
    </tableColumn>
    <tableColumn id="4" name="المجموعة" dataDxfId="70">
      <calculatedColumnFormula>'عدد اللاعبين'!D3</calculatedColumnFormula>
    </tableColumn>
    <tableColumn id="5" name="المدن" dataDxfId="69">
      <calculatedColumnFormula>'عدد اللاعبين'!F3</calculatedColumnFormula>
    </tableColumn>
    <tableColumn id="6" name="عدد الفرق" dataDxfId="68">
      <calculatedColumnFormula>'عدد اللاعبين'!G3</calculatedColumnFormula>
    </tableColumn>
    <tableColumn id="7" name="نوع الملعب" dataDxfId="67">
      <calculatedColumnFormula>IFERROR(INDEX(المدخلات!$AE$6:$AE$12,MATCH($C14,المدخلات!$AC$6:$AC$12,0)),"")</calculatedColumnFormula>
    </tableColumn>
    <tableColumn id="8" name="عدد المباريات في اليوم" dataDxfId="66">
      <calculatedColumnFormula>IF($G14&lt;الحد_الأدنى,0,ROUNDDOWN($G14/فرق_المباراة,0))</calculatedColumnFormula>
    </tableColumn>
    <tableColumn id="9" name="ملاعب اللعب المطلوبة" dataDxfId="65">
      <calculatedColumnFormula>ROUNDUP($I14/IFERROR(INDEX(المدخلات!$AJ$6:$AJ$12,MATCH($C14,المدخلات!$AC$6:$AC$12,0)),1),0)</calculatedColumnFormula>
    </tableColumn>
    <tableColumn id="10" name="ملاعب قانونية معادلة" dataDxfId="64">
      <calculatedColumnFormula>ROUNDUP($J14/IFERROR(INDEX(المدخلات!$AF$6:$AF$12,MATCH($C14,المدخلات!$AC$6:$AC$12,0)),1),0)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0" displayName="Table10" ref="B2:H186" headerRowCount="1" totalsRowShown="0" headerRowDxfId="63">
  <autoFilter ref="B2:H186">
    <filterColumn colId="0" hiddenButton="0" showButton="1">
      <filters>
        <filter val="جازان"/>
        <filter val="نجران"/>
      </filters>
    </filterColumn>
    <filterColumn colId="1" hiddenButton="0" showButton="1">
      <filters>
        <filter val="تحت 14"/>
      </filters>
    </filterColumn>
  </autoFilter>
  <sortState ref="B3:H186">
    <sortCondition ref="C2:C186"/>
  </sortState>
  <tableColumns count="7">
    <tableColumn id="5" name="المنطقة" dataDxfId="62">
      <calculatedColumnFormula>IFERROR(INDEX(المكاتب_المصدر[المنطقة],MATCH(Table10[[#This Row],[المجموعة]],المكاتب_المصدر[المجموعة],0)),"")</calculatedColumnFormula>
    </tableColumn>
    <tableColumn id="1" name="الفئة" dataDxfId="61">
      <calculatedColumnFormula>'ملخص المجموعات'!#REF!</calculatedColumnFormula>
    </tableColumn>
    <tableColumn id="2" name="المجموعة" dataDxfId="60">
      <calculatedColumnFormula>'ملخص المجموعات'!#REF!</calculatedColumnFormula>
    </tableColumn>
    <tableColumn id="3" name="عدد المدن" dataDxfId="59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4" name="المدن" dataDxfId="58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name="عدد الفرق" dataDxfId="57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name="مجموع مباريات المجموعة" dataDxfId="56">
      <calculatedColumnFormula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010" displayName="Table1010" ref="B2:H186" headerRowCount="1" totalsRowShown="0" headerRowDxfId="55" tableBorderDxfId="54">
  <autoFilter ref="B2:H186"/>
  <tableColumns count="7">
    <tableColumn id="1" name="المنطقة" dataDxfId="53">
      <calculatedColumnFormula>IFERROR(INDEX(المكاتب_المصدر[المنطقة],MATCH('عدد اللاعبين'!$D3,المكاتب_المصدر[المجموعة],0)),"")</calculatedColumnFormula>
    </tableColumn>
    <tableColumn id="2" name="الفئة" dataDxfId="52">
      <calculatedColumnFormula>'ملخص المجموعات'!#REF!</calculatedColumnFormula>
    </tableColumn>
    <tableColumn id="3" name="المجموعة" dataDxfId="51">
      <calculatedColumnFormula>'ملخص المجموعات'!#REF!</calculatedColumnFormula>
    </tableColumn>
    <tableColumn id="4" name="عدد المدن" dataDxfId="50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5" name="المدن" dataDxfId="49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name="عدد الفرق" dataDxfId="48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name="عدد اللاعبين" dataDxfId="47">
      <calculatedColumnFormula>IF('عدد اللاعبين'!$G3&lt;الحد_الأدنى,0,'عدد اللاعبين'!$G3*IFERROR(INDEX(المدخلات!$Y$3:$Y$9,MATCH('عدد اللاعبين'!$C3,المدخلات!$X$3:$X$9,0)),0))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ملخص_المجموعات" displayName="ملخص_المجموعات" ref="B2:G186" headerRowCount="1" totalsRowShown="0" headerRowDxfId="46" dataDxfId="45">
  <autoFilter ref="B2:G186">
    <filterColumn colId="0" hiddenButton="0" showButton="1">
      <filters>
        <filter val="تحت 14"/>
      </filters>
    </filterColumn>
  </autoFilter>
  <sortState ref="B3:G186">
    <sortCondition ref="F2:F186"/>
  </sortState>
  <tableColumns count="6">
    <tableColumn id="1" name="الفئة" dataDxfId="44"/>
    <tableColumn id="2" name="المجموعة" dataDxfId="43"/>
    <tableColumn id="3" name="عدد المدن" dataDxfId="42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6" name="المدن" dataDxfId="41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4" name="مجموع الفرق" dataDxfId="40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5" name="المتبقي" dataDxfId="39">
      <calculatedColumnFormula>MAX(0,الحد_الأدنى-ملخص_المجموعات[[#This Row],[مجموع الفرق]])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التسجيل" displayName="التسجيل" ref="A2:S565" headerRowCount="1" totalsRowShown="0" headerRowDxfId="98" dataDxfId="97" tableBorderDxfId="96" dataCellStyle="Normal 2">
  <autoFilter ref="A2:S565"/>
  <sortState ref="A25:R548">
    <sortCondition ref="A2:A549"/>
  </sortState>
  <tableColumns count="19">
    <tableColumn id="1" name="Entry Id" dataDxfId="95" dataCellStyle="Normal 2"/>
    <tableColumn id="2" name="اسم الفريق" dataDxfId="94" dataCellStyle="Normal 2"/>
    <tableColumn id="3" name="الاسم " dataDxfId="93" dataCellStyle="Normal 2"/>
    <tableColumn id="4" name="رقم الجوال" dataDxfId="92" dataCellStyle="Normal 2"/>
    <tableColumn id="5" name="اسم الملعب" dataDxfId="91" dataCellStyle="Normal 2"/>
    <tableColumn id="6" name="الصفة" dataDxfId="90" dataCellStyle="Normal 2"/>
    <tableColumn id="7" name="المنطقة" dataDxfId="89" dataCellStyle="Normal 2"/>
    <tableColumn id="8" name="المدينة" dataDxfId="88" dataCellStyle="Normal 2"/>
    <tableColumn id="17" name="مكتب الوزارة" dataDxfId="87"/>
    <tableColumn id="9" name="المشاركة تحت 14" dataDxfId="86" dataCellStyle="Normal 2"/>
    <tableColumn id="10" name="المشاركة تحت 13" dataDxfId="85" dataCellStyle="Normal 2"/>
    <tableColumn id="11" name="المشاركة تحت 12" dataDxfId="84" dataCellStyle="Normal 2"/>
    <tableColumn id="12" name="المشاركة تحت 11" dataDxfId="83" dataCellStyle="Normal 2"/>
    <tableColumn id="13" name="المشاركة تحت 9" dataDxfId="82" dataCellStyle="Normal 2"/>
    <tableColumn id="14" name="المشاركة تحت 7 " dataDxfId="81" dataCellStyle="Normal 2"/>
    <tableColumn id="15" name="المشاركة تحت 5" dataDxfId="80" dataCellStyle="Normal 2"/>
    <tableColumn id="19" name="ليس في أي مجموعة مكتملة" dataDxfId="79" dataCellStyle="Normal 2">
      <calculatedColumnFormula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calculatedColumnFormula>
    </tableColumn>
    <tableColumn id="20" name="حالة السداد" dataDxfId="78" dataCellStyle="Normal 2"/>
    <tableColumn id="16" name="فتح حساب لتسجيل اللاعبين" dataDxfId="77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ربط_الفئات" displayName="ربط_الفئات" ref="K2:L9" headerRowCount="1" totalsRowShown="0" headerRowDxfId="38" dataDxfId="37" tableBorderDxfId="36">
  <autoFilter ref="K2:L9"/>
  <tableColumns count="2">
    <tableColumn id="1" name="الفئة" dataDxfId="35"/>
    <tableColumn id="2" name="مجموعة الفئات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المدن_المصدر" displayName="المدن_المصدر" ref="B2:D207" headerRowCount="1" totalsRowShown="0" headerRowDxfId="33" dataDxfId="32">
  <autoFilter ref="B2:D207"/>
  <tableColumns count="3">
    <tableColumn id="1" name="الفئة العمرية" dataDxfId="31"/>
    <tableColumn id="2" name="المجموعة" dataDxfId="30"/>
    <tableColumn id="3" name="المدينة/المحافظة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المكاتب_المصدر" displayName="المكاتب_المصدر" ref="F2:I144" headerRowCount="1" totalsRowShown="0" headerRowDxfId="28">
  <autoFilter ref="F2:I144"/>
  <tableColumns count="4">
    <tableColumn id="1" name="الفئة العمرية"/>
    <tableColumn id="2" name="المجموعة"/>
    <tableColumn id="3" name="المنطقة"/>
    <tableColumn id="4" name="المكت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المناطق_الإدارية" displayName="المناطق_الإدارية" ref="P2:P15" headerRowCount="1" totalsRowShown="0">
  <autoFilter ref="P2:P15"/>
  <tableColumns count="1">
    <tableColumn id="1" name="المناطق الإدارية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مكاتب_الوزارة" displayName="مكاتب_الوزارة" ref="R2:R27" headerRowCount="1" totalsRowShown="0">
  <autoFilter ref="R2:R27"/>
  <tableColumns count="1">
    <tableColumn id="1" name="مكاتب الوزارة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ملاعب_الفئات_جدول" displayName="ملاعب_الفئات_جدول" ref="AC5:AJ12" headerRowCount="1" totalsRowShown="0" headerRowDxfId="27" dataDxfId="25" headerRowBorderDxfId="26" tableBorderDxfId="24" totalsRowBorderDxfId="23">
  <autoFilter ref="AC5:AJ12"/>
  <tableColumns count="8">
    <tableColumn id="1" name="الفئة" dataDxfId="22"/>
    <tableColumn id="2" name="اليوم" dataDxfId="21"/>
    <tableColumn id="3" name="نوع الملعب" dataDxfId="20"/>
    <tableColumn id="4" name="تقسيم الملعب القانوني" dataDxfId="19"/>
    <tableColumn id="5" name="مباريات لكل ملعب صغير يومياً" dataDxfId="18"/>
    <tableColumn id="6" name="مباريات لكل ملعب قانوني يومياً" dataDxfId="17">
      <calculatedColumnFormula>$AF6*$AG6</calculatedColumnFormula>
    </tableColumn>
    <tableColumn id="7" name="أقصى فرق لكل ملعب قانوني" dataDxfId="16">
      <calculatedColumnFormula>$AH6*$AD$3</calculatedColumnFormula>
    </tableColumn>
    <tableColumn id="8" name="مباريات لكل ملعب لعب يومياً" dataDxfId="15">
      <calculatedColumnFormula>IF($AF6&gt;1,$AG6,$AH6)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تفاصيل_الفرق" displayName="تفاصيل_الفرق" ref="B2:G473" headerRowCount="1" totalsRowShown="0" headerRowDxfId="14" dataDxfId="13">
  <autoFilter ref="B2:G473"/>
  <tableColumns count="6">
    <tableColumn id="1" name="الفئة العمرية" dataDxfId="12"/>
    <tableColumn id="2" name="المدينة/المحافظة" dataDxfId="11"/>
    <tableColumn id="3" name="المجموعة" dataDxfId="10">
      <calculatedColumnFormula array="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calculatedColumnFormula>
    </tableColumn>
    <tableColumn id="4" name="عدد الفرق" dataDxfId="9">
      <calculatedColumnFormula array="1">SUMPRODUCT((TRIM(التسجيل[المدينة])=TRIM(تفاصيل_الفرق[[#This Row],[المدينة/المحافظة]]))*INDEX(التسجيل[],0,MATCH("*"&amp;تفاصيل_الفرق[[#This Row],[الفئة العمرية]]&amp;"*",التسجيل[#Headers],0)))</calculatedColumnFormula>
    </tableColumn>
    <tableColumn id="5" name="مدينة منظفة" dataDxfId="8">
      <calculatedColumnFormula>TRIM(تفاصيل_الفرق[[#This Row],[المدينة/المحافظة]])</calculatedColumnFormula>
    </tableColumn>
    <tableColumn id="6" name="مجموعة مكتملة" dataDxfId="7">
      <calculatedColumnFormula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Relationship Type="http://schemas.openxmlformats.org/officeDocument/2006/relationships/table" Target="/xl/tables/table10.xml" Id="rId5" /><Relationship Type="http://schemas.openxmlformats.org/officeDocument/2006/relationships/table" Target="/xl/tables/table11.xml" Id="rId6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237"/>
  <sheetViews>
    <sheetView rightToLeft="1" topLeftCell="A3" zoomScaleNormal="100" workbookViewId="0">
      <selection activeCell="K10" sqref="K10"/>
    </sheetView>
  </sheetViews>
  <sheetFormatPr baseColWidth="8" defaultRowHeight="14.5"/>
  <cols>
    <col width="3.26953125" customWidth="1" min="1" max="1"/>
    <col width="37.26953125" bestFit="1" customWidth="1" min="2" max="2"/>
    <col width="17.1796875" bestFit="1" customWidth="1" min="3" max="3"/>
    <col width="19.7265625" bestFit="1" customWidth="1" min="4" max="4"/>
    <col width="17.1796875" bestFit="1" customWidth="1" min="5" max="5"/>
    <col width="27.08984375" bestFit="1" customWidth="1" min="6" max="6"/>
    <col width="15.6328125" bestFit="1" customWidth="1" min="7" max="7"/>
    <col width="16.36328125" customWidth="1" min="8" max="8"/>
    <col width="24.54296875" customWidth="1" min="9" max="9"/>
    <col width="23.6328125" bestFit="1" customWidth="1" min="10" max="10"/>
    <col width="23.08984375" bestFit="1" customWidth="1" min="11" max="11"/>
    <col width="8.26953125" bestFit="1" customWidth="1" min="12" max="12"/>
    <col width="18.1796875" customWidth="1" min="13" max="13"/>
    <col width="15.453125" customWidth="1" min="14" max="18"/>
  </cols>
  <sheetData>
    <row r="2" ht="15" customHeight="1">
      <c r="B2" s="91" t="inlineStr">
        <is>
          <t>ملخص الملاعب لكل يوم (المجموعات المكتملة فقط)</t>
        </is>
      </c>
      <c r="C2" s="96" t="n"/>
      <c r="D2" s="96" t="n"/>
      <c r="E2" s="96" t="n"/>
      <c r="F2" s="96" t="n"/>
      <c r="G2" s="97" t="n"/>
      <c r="I2" s="22" t="n"/>
      <c r="J2" s="22" t="n"/>
      <c r="K2" s="22" t="n"/>
      <c r="L2" s="22" t="n"/>
    </row>
    <row r="3">
      <c r="B3" s="92" t="inlineStr">
        <is>
          <t>الفئة</t>
        </is>
      </c>
      <c r="C3" s="92" t="inlineStr">
        <is>
          <t>اليوم</t>
        </is>
      </c>
      <c r="D3" s="92" t="inlineStr">
        <is>
          <t>نوع الملعب</t>
        </is>
      </c>
      <c r="E3" s="92" t="inlineStr">
        <is>
          <t>المجموعات</t>
        </is>
      </c>
      <c r="F3" s="92" t="inlineStr">
        <is>
          <t>عدد الفرق</t>
        </is>
      </c>
      <c r="G3" s="92" t="inlineStr">
        <is>
          <t>ملاعب قانونية</t>
        </is>
      </c>
      <c r="I3" s="22" t="n"/>
      <c r="J3" s="22" t="n"/>
      <c r="K3" s="22" t="n"/>
      <c r="L3" s="22" t="n"/>
    </row>
    <row r="4">
      <c r="B4" s="24">
        <f>المدخلات!$AC$6</f>
        <v/>
      </c>
      <c r="C4" s="24">
        <f>المدخلات!$AD$6</f>
        <v/>
      </c>
      <c r="D4" s="24">
        <f>المدخلات!$AE$6</f>
        <v/>
      </c>
      <c r="E4" s="41">
        <f>COUNTIFS($C$14:$C$197,المدخلات!$AC$6,$G$14:$G$197,"&gt;="&amp;الحد_الأدنى)</f>
        <v/>
      </c>
      <c r="F4" s="41">
        <f>SUMIFS($G$14:$G$197,$C$14:$C$197,المدخلات!$AC$6,$G$14:$G$197,"&gt;="&amp;الحد_الأدنى)</f>
        <v/>
      </c>
      <c r="G4" s="42">
        <f>SUMIFS($K$14:$K$197,$C$14:$C$197,المدخلات!$AC$6)</f>
        <v/>
      </c>
      <c r="I4" s="22" t="n"/>
      <c r="J4" s="22" t="n"/>
      <c r="K4" s="22" t="n"/>
      <c r="L4" s="22" t="n"/>
    </row>
    <row r="5">
      <c r="B5" s="24">
        <f>المدخلات!$AC$7</f>
        <v/>
      </c>
      <c r="C5" s="24">
        <f>المدخلات!$AD$7</f>
        <v/>
      </c>
      <c r="D5" s="24">
        <f>المدخلات!$AE$7</f>
        <v/>
      </c>
      <c r="E5" s="41">
        <f>COUNTIFS($C$14:$C$197,المدخلات!$AC$7,$G$14:$G$197,"&gt;="&amp;الحد_الأدنى)</f>
        <v/>
      </c>
      <c r="F5" s="41">
        <f>SUMIFS($G$14:$G$197,$C$14:$C$197,المدخلات!$AC$7,$G$14:$G$197,"&gt;="&amp;الحد_الأدنى)</f>
        <v/>
      </c>
      <c r="G5" s="42">
        <f>SUMIFS($K$14:$K$197,$C$14:$C$197,المدخلات!$AC$7)</f>
        <v/>
      </c>
      <c r="I5" s="22" t="n"/>
      <c r="J5" s="22" t="n"/>
      <c r="K5" s="22" t="n"/>
      <c r="L5" s="22" t="n"/>
    </row>
    <row r="6">
      <c r="B6" s="24">
        <f>المدخلات!$AC$8</f>
        <v/>
      </c>
      <c r="C6" s="24">
        <f>المدخلات!$AD$8</f>
        <v/>
      </c>
      <c r="D6" s="24">
        <f>المدخلات!$AE$8</f>
        <v/>
      </c>
      <c r="E6" s="41">
        <f>COUNTIFS($C$14:$C$197,المدخلات!$AC$8,$G$14:$G$197,"&gt;="&amp;الحد_الأدنى)</f>
        <v/>
      </c>
      <c r="F6" s="41">
        <f>SUMIFS($G$14:$G$197,$C$14:$C$197,المدخلات!$AC$8,$G$14:$G$197,"&gt;="&amp;الحد_الأدنى)</f>
        <v/>
      </c>
      <c r="G6" s="42">
        <f>SUMIFS($K$14:$K$197,$C$14:$C$197,المدخلات!$AC$8)</f>
        <v/>
      </c>
      <c r="I6" s="22" t="n"/>
      <c r="J6" s="22" t="n"/>
      <c r="K6" s="22" t="n"/>
      <c r="L6" s="22" t="n"/>
    </row>
    <row r="7">
      <c r="B7" s="24">
        <f>المدخلات!$AC$9</f>
        <v/>
      </c>
      <c r="C7" s="24">
        <f>المدخلات!$AD$9</f>
        <v/>
      </c>
      <c r="D7" s="24">
        <f>المدخلات!$AE$9</f>
        <v/>
      </c>
      <c r="E7" s="41">
        <f>COUNTIFS($C$14:$C$197,المدخلات!$AC$9,$G$14:$G$197,"&gt;="&amp;الحد_الأدنى)</f>
        <v/>
      </c>
      <c r="F7" s="41">
        <f>SUMIFS($G$14:$G$197,$C$14:$C$197,المدخلات!$AC$9,$G$14:$G$197,"&gt;="&amp;الحد_الأدنى)</f>
        <v/>
      </c>
      <c r="G7" s="42">
        <f>SUMIFS($K$14:$K$197,$C$14:$C$197,المدخلات!$AC$9)</f>
        <v/>
      </c>
      <c r="I7" s="22" t="n"/>
      <c r="J7" s="22" t="n"/>
      <c r="K7" s="22" t="n"/>
      <c r="L7" s="22" t="n"/>
    </row>
    <row r="8">
      <c r="B8" s="24">
        <f>المدخلات!$AC$10</f>
        <v/>
      </c>
      <c r="C8" s="24">
        <f>المدخلات!$AD$10</f>
        <v/>
      </c>
      <c r="D8" s="24">
        <f>المدخلات!$AE$10</f>
        <v/>
      </c>
      <c r="E8" s="41">
        <f>COUNTIFS($C$14:$C$197,المدخلات!$AC$10,$G$14:$G$197,"&gt;="&amp;الحد_الأدنى)</f>
        <v/>
      </c>
      <c r="F8" s="41">
        <f>SUMIFS($G$14:$G$197,$C$14:$C$197,المدخلات!$AC$10,$G$14:$G$197,"&gt;="&amp;الحد_الأدنى)</f>
        <v/>
      </c>
      <c r="G8" s="42">
        <f>SUMIFS($K$14:$K$197,$C$14:$C$197,المدخلات!$AC$10)</f>
        <v/>
      </c>
      <c r="I8" s="22" t="n"/>
      <c r="J8" s="22" t="n"/>
      <c r="K8" s="22" t="n"/>
      <c r="L8" s="22" t="n"/>
    </row>
    <row r="9">
      <c r="B9" s="24">
        <f>المدخلات!$AC$11</f>
        <v/>
      </c>
      <c r="C9" s="24">
        <f>المدخلات!$AD$11</f>
        <v/>
      </c>
      <c r="D9" s="24">
        <f>المدخلات!$AE$11</f>
        <v/>
      </c>
      <c r="E9" s="41">
        <f>COUNTIFS($C$14:$C$197,المدخلات!$AC$11,$G$14:$G$197,"&gt;="&amp;الحد_الأدنى)</f>
        <v/>
      </c>
      <c r="F9" s="41">
        <f>SUMIFS($G$14:$G$197,$C$14:$C$197,المدخلات!$AC$11,$G$14:$G$197,"&gt;="&amp;الحد_الأدنى)</f>
        <v/>
      </c>
      <c r="G9" s="42">
        <f>SUMIFS($K$14:$K$197,$C$14:$C$197,المدخلات!$AC$11)</f>
        <v/>
      </c>
      <c r="I9" s="22" t="n"/>
      <c r="J9" s="22" t="n"/>
      <c r="K9" s="22" t="n"/>
      <c r="L9" s="22" t="n"/>
    </row>
    <row r="10">
      <c r="B10" s="24">
        <f>المدخلات!$AC$12</f>
        <v/>
      </c>
      <c r="C10" s="24">
        <f>المدخلات!$AD$12</f>
        <v/>
      </c>
      <c r="D10" s="24">
        <f>المدخلات!$AE$12</f>
        <v/>
      </c>
      <c r="E10" s="41">
        <f>COUNTIFS($C$14:$C$197,المدخلات!$AC$12,$G$14:$G$197,"&gt;="&amp;الحد_الأدنى)</f>
        <v/>
      </c>
      <c r="F10" s="41">
        <f>SUMIFS($G$14:$G$197,$C$14:$C$197,المدخلات!$AC$12,$G$14:$G$197,"&gt;="&amp;الحد_الأدنى)</f>
        <v/>
      </c>
      <c r="G10" s="42">
        <f>SUMIFS($K$14:$K$197,$C$14:$C$197,المدخلات!$AC$12)</f>
        <v/>
      </c>
      <c r="I10" s="22" t="n"/>
      <c r="J10" s="22" t="n"/>
      <c r="K10" s="22" t="n"/>
      <c r="L10" s="22" t="n"/>
    </row>
    <row r="11">
      <c r="B11" s="26" t="inlineStr">
        <is>
          <t>الإجمالي</t>
        </is>
      </c>
      <c r="C11" s="26" t="n"/>
      <c r="D11" s="26" t="n"/>
      <c r="E11" s="25">
        <f>SUM(E4:E10)</f>
        <v/>
      </c>
      <c r="F11" s="25">
        <f>SUM(F4:F10)</f>
        <v/>
      </c>
      <c r="G11" s="27">
        <f>SUM(G4:G10)</f>
        <v/>
      </c>
      <c r="I11" s="22" t="n"/>
      <c r="J11" s="22" t="n"/>
      <c r="K11" s="22" t="n"/>
      <c r="L11" s="22" t="n"/>
    </row>
    <row r="12">
      <c r="B12" s="22" t="n"/>
      <c r="C12" s="22" t="n"/>
      <c r="D12" s="22" t="n"/>
      <c r="E12" s="22" t="n"/>
      <c r="F12" s="22" t="n"/>
      <c r="G12" s="22" t="n"/>
      <c r="I12" s="22" t="n"/>
      <c r="J12" s="22" t="n"/>
      <c r="K12" s="22" t="n"/>
      <c r="L12" s="22" t="n"/>
    </row>
    <row r="13" ht="45" customHeight="1">
      <c r="B13" s="75" t="inlineStr">
        <is>
          <t>المنطقة</t>
        </is>
      </c>
      <c r="C13" s="76" t="inlineStr">
        <is>
          <t>الفئة</t>
        </is>
      </c>
      <c r="D13" s="76" t="inlineStr">
        <is>
          <t>اليوم</t>
        </is>
      </c>
      <c r="E13" s="76" t="inlineStr">
        <is>
          <t>المجموعة</t>
        </is>
      </c>
      <c r="F13" s="76" t="inlineStr">
        <is>
          <t>المدن</t>
        </is>
      </c>
      <c r="G13" s="76" t="inlineStr">
        <is>
          <t>عدد الفرق</t>
        </is>
      </c>
      <c r="H13" s="76" t="inlineStr">
        <is>
          <t>نوع الملعب</t>
        </is>
      </c>
      <c r="I13" s="76" t="inlineStr">
        <is>
          <t>عدد المباريات في اليوم</t>
        </is>
      </c>
      <c r="J13" s="76" t="inlineStr">
        <is>
          <t>ملاعب اللعب المطلوبة</t>
        </is>
      </c>
      <c r="K13" s="76" t="inlineStr">
        <is>
          <t>ملاعب قانونية معادلة</t>
        </is>
      </c>
      <c r="L13" s="22" t="n"/>
      <c r="M13" s="22" t="n"/>
      <c r="N13" s="22" t="n"/>
      <c r="O13" s="22" t="n"/>
      <c r="P13" s="22" t="n"/>
      <c r="Q13" s="22" t="n"/>
      <c r="R13" s="22" t="n"/>
    </row>
    <row r="14" hidden="1">
      <c r="B14" s="74">
        <f>'عدد اللاعبين'!B3</f>
        <v/>
      </c>
      <c r="C14" s="69">
        <f>'عدد اللاعبين'!C3</f>
        <v/>
      </c>
      <c r="D14" s="69">
        <f>IFERROR(INDEX(المدخلات!$AD$6:$AD$12,MATCH($C14,المدخلات!$AC$6:$AC$12,0)),"")</f>
        <v/>
      </c>
      <c r="E14" s="69">
        <f>'عدد اللاعبين'!D3</f>
        <v/>
      </c>
      <c r="F14" s="70">
        <f>'عدد اللاعبين'!F3</f>
        <v/>
      </c>
      <c r="G14" s="71">
        <f>'عدد اللاعبين'!G3</f>
        <v/>
      </c>
      <c r="H14" s="69">
        <f>IFERROR(INDEX(المدخلات!$AE$6:$AE$12,MATCH($C14,المدخلات!$AC$6:$AC$12,0)),"")</f>
        <v/>
      </c>
      <c r="I14" s="71">
        <f>IF($G14&lt;الحد_الأدنى,0,ROUNDDOWN($G14/فرق_المباراة,0))</f>
        <v/>
      </c>
      <c r="J14" s="71">
        <f>ROUNDUP($I14/IFERROR(INDEX(المدخلات!$AJ$6:$AJ$12,MATCH($C14,المدخلات!$AC$6:$AC$12,0)),1),0)</f>
        <v/>
      </c>
      <c r="K14" s="71">
        <f>ROUNDUP($J14/IFERROR(INDEX(المدخلات!$AF$6:$AF$12,MATCH($C14,المدخلات!$AC$6:$AC$12,0)),1),0)</f>
        <v/>
      </c>
      <c r="L14" s="22" t="n"/>
      <c r="M14" s="22" t="n"/>
      <c r="N14" s="22" t="n"/>
      <c r="O14" s="22" t="n"/>
      <c r="P14" s="22" t="n"/>
      <c r="Q14" s="22" t="n"/>
      <c r="R14" s="22" t="n"/>
    </row>
    <row r="15" hidden="1">
      <c r="B15" s="74">
        <f>'عدد اللاعبين'!B4</f>
        <v/>
      </c>
      <c r="C15" s="69">
        <f>'عدد اللاعبين'!C4</f>
        <v/>
      </c>
      <c r="D15" s="69">
        <f>IFERROR(INDEX(المدخلات!$AD$6:$AD$12,MATCH($C15,المدخلات!$AC$6:$AC$12,0)),"")</f>
        <v/>
      </c>
      <c r="E15" s="69">
        <f>'عدد اللاعبين'!D4</f>
        <v/>
      </c>
      <c r="F15" s="70">
        <f>'عدد اللاعبين'!F4</f>
        <v/>
      </c>
      <c r="G15" s="71">
        <f>'عدد اللاعبين'!G4</f>
        <v/>
      </c>
      <c r="H15" s="69">
        <f>IFERROR(INDEX(المدخلات!$AE$6:$AE$12,MATCH($C15,المدخلات!$AC$6:$AC$12,0)),"")</f>
        <v/>
      </c>
      <c r="I15" s="71">
        <f>IF($G15&lt;الحد_الأدنى,0,ROUNDDOWN($G15/فرق_المباراة,0))</f>
        <v/>
      </c>
      <c r="J15" s="71">
        <f>ROUNDUP($I15/IFERROR(INDEX(المدخلات!$AJ$6:$AJ$12,MATCH($C15,المدخلات!$AC$6:$AC$12,0)),1),0)</f>
        <v/>
      </c>
      <c r="K15" s="71">
        <f>ROUNDUP($J15/IFERROR(INDEX(المدخلات!$AF$6:$AF$12,MATCH($C15,المدخلات!$AC$6:$AC$12,0)),1),0)</f>
        <v/>
      </c>
      <c r="L15" s="22" t="n"/>
      <c r="M15" s="22" t="n"/>
      <c r="N15" s="22" t="n"/>
      <c r="O15" s="22" t="n"/>
      <c r="P15" s="22" t="n"/>
      <c r="Q15" s="22" t="n"/>
      <c r="R15" s="22" t="n"/>
    </row>
    <row r="16" hidden="1">
      <c r="B16" s="74">
        <f>'عدد اللاعبين'!B5</f>
        <v/>
      </c>
      <c r="C16" s="69">
        <f>'عدد اللاعبين'!C5</f>
        <v/>
      </c>
      <c r="D16" s="69">
        <f>IFERROR(INDEX(المدخلات!$AD$6:$AD$12,MATCH($C16,المدخلات!$AC$6:$AC$12,0)),"")</f>
        <v/>
      </c>
      <c r="E16" s="69">
        <f>'عدد اللاعبين'!D5</f>
        <v/>
      </c>
      <c r="F16" s="70">
        <f>'عدد اللاعبين'!F5</f>
        <v/>
      </c>
      <c r="G16" s="71">
        <f>'عدد اللاعبين'!G5</f>
        <v/>
      </c>
      <c r="H16" s="69">
        <f>IFERROR(INDEX(المدخلات!$AE$6:$AE$12,MATCH($C16,المدخلات!$AC$6:$AC$12,0)),"")</f>
        <v/>
      </c>
      <c r="I16" s="71">
        <f>IF($G16&lt;الحد_الأدنى,0,ROUNDDOWN($G16/فرق_المباراة,0))</f>
        <v/>
      </c>
      <c r="J16" s="71">
        <f>ROUNDUP($I16/IFERROR(INDEX(المدخلات!$AJ$6:$AJ$12,MATCH($C16,المدخلات!$AC$6:$AC$12,0)),1),0)</f>
        <v/>
      </c>
      <c r="K16" s="71">
        <f>ROUNDUP($J16/IFERROR(INDEX(المدخلات!$AF$6:$AF$12,MATCH($C16,المدخلات!$AC$6:$AC$12,0)),1),0)</f>
        <v/>
      </c>
      <c r="L16" s="22" t="n"/>
      <c r="M16" s="22" t="n"/>
      <c r="N16" s="22" t="n"/>
      <c r="O16" s="22" t="n"/>
      <c r="P16" s="22" t="n"/>
      <c r="Q16" s="22" t="n"/>
      <c r="R16" s="22" t="n"/>
    </row>
    <row r="17">
      <c r="B17" s="74">
        <f>'عدد اللاعبين'!B6</f>
        <v/>
      </c>
      <c r="C17" s="69">
        <f>'عدد اللاعبين'!C6</f>
        <v/>
      </c>
      <c r="D17" s="69">
        <f>IFERROR(INDEX(المدخلات!$AD$6:$AD$12,MATCH($C17,المدخلات!$AC$6:$AC$12,0)),"")</f>
        <v/>
      </c>
      <c r="E17" s="69">
        <f>'عدد اللاعبين'!D6</f>
        <v/>
      </c>
      <c r="F17" s="70">
        <f>'عدد اللاعبين'!F6</f>
        <v/>
      </c>
      <c r="G17" s="71">
        <f>'عدد اللاعبين'!G6</f>
        <v/>
      </c>
      <c r="H17" s="69">
        <f>IFERROR(INDEX(المدخلات!$AE$6:$AE$12,MATCH($C17,المدخلات!$AC$6:$AC$12,0)),"")</f>
        <v/>
      </c>
      <c r="I17" s="71">
        <f>IF($G17&lt;الحد_الأدنى,0,ROUNDDOWN($G17/فرق_المباراة,0))</f>
        <v/>
      </c>
      <c r="J17" s="71">
        <f>ROUNDUP($I17/IFERROR(INDEX(المدخلات!$AJ$6:$AJ$12,MATCH($C17,المدخلات!$AC$6:$AC$12,0)),1),0)</f>
        <v/>
      </c>
      <c r="K17" s="71">
        <f>ROUNDUP($J17/IFERROR(INDEX(المدخلات!$AF$6:$AF$12,MATCH($C17,المدخلات!$AC$6:$AC$12,0)),1),0)</f>
        <v/>
      </c>
      <c r="L17" s="22" t="n"/>
      <c r="M17" s="22" t="n"/>
      <c r="N17" s="22" t="n"/>
      <c r="O17" s="22" t="n"/>
      <c r="P17" s="22" t="n"/>
      <c r="Q17" s="22" t="n"/>
      <c r="R17" s="22" t="n"/>
    </row>
    <row r="18" hidden="1">
      <c r="B18" s="74">
        <f>'عدد اللاعبين'!B7</f>
        <v/>
      </c>
      <c r="C18" s="69">
        <f>'عدد اللاعبين'!C7</f>
        <v/>
      </c>
      <c r="D18" s="69">
        <f>IFERROR(INDEX(المدخلات!$AD$6:$AD$12,MATCH($C18,المدخلات!$AC$6:$AC$12,0)),"")</f>
        <v/>
      </c>
      <c r="E18" s="69">
        <f>'عدد اللاعبين'!D7</f>
        <v/>
      </c>
      <c r="F18" s="70">
        <f>'عدد اللاعبين'!F7</f>
        <v/>
      </c>
      <c r="G18" s="71">
        <f>'عدد اللاعبين'!G7</f>
        <v/>
      </c>
      <c r="H18" s="69">
        <f>IFERROR(INDEX(المدخلات!$AE$6:$AE$12,MATCH($C18,المدخلات!$AC$6:$AC$12,0)),"")</f>
        <v/>
      </c>
      <c r="I18" s="71">
        <f>IF($G18&lt;الحد_الأدنى,0,ROUNDDOWN($G18/فرق_المباراة,0))</f>
        <v/>
      </c>
      <c r="J18" s="71">
        <f>ROUNDUP($I18/IFERROR(INDEX(المدخلات!$AJ$6:$AJ$12,MATCH($C18,المدخلات!$AC$6:$AC$12,0)),1),0)</f>
        <v/>
      </c>
      <c r="K18" s="71">
        <f>ROUNDUP($J18/IFERROR(INDEX(المدخلات!$AF$6:$AF$12,MATCH($C18,المدخلات!$AC$6:$AC$12,0)),1),0)</f>
        <v/>
      </c>
      <c r="L18" s="22" t="n"/>
      <c r="M18" s="22" t="n"/>
      <c r="N18" s="22" t="n"/>
      <c r="O18" s="22" t="n"/>
      <c r="P18" s="22" t="n"/>
      <c r="Q18" s="22" t="n"/>
      <c r="R18" s="22" t="n"/>
    </row>
    <row r="19" hidden="1">
      <c r="B19" s="74">
        <f>'عدد اللاعبين'!B8</f>
        <v/>
      </c>
      <c r="C19" s="69">
        <f>'عدد اللاعبين'!C8</f>
        <v/>
      </c>
      <c r="D19" s="69">
        <f>IFERROR(INDEX(المدخلات!$AD$6:$AD$12,MATCH($C19,المدخلات!$AC$6:$AC$12,0)),"")</f>
        <v/>
      </c>
      <c r="E19" s="69">
        <f>'عدد اللاعبين'!D8</f>
        <v/>
      </c>
      <c r="F19" s="70">
        <f>'عدد اللاعبين'!F8</f>
        <v/>
      </c>
      <c r="G19" s="71">
        <f>'عدد اللاعبين'!G8</f>
        <v/>
      </c>
      <c r="H19" s="69">
        <f>IFERROR(INDEX(المدخلات!$AE$6:$AE$12,MATCH($C19,المدخلات!$AC$6:$AC$12,0)),"")</f>
        <v/>
      </c>
      <c r="I19" s="71">
        <f>IF($G19&lt;الحد_الأدنى,0,ROUNDDOWN($G19/فرق_المباراة,0))</f>
        <v/>
      </c>
      <c r="J19" s="71">
        <f>ROUNDUP($I19/IFERROR(INDEX(المدخلات!$AJ$6:$AJ$12,MATCH($C19,المدخلات!$AC$6:$AC$12,0)),1),0)</f>
        <v/>
      </c>
      <c r="K19" s="71">
        <f>ROUNDUP($J19/IFERROR(INDEX(المدخلات!$AF$6:$AF$12,MATCH($C19,المدخلات!$AC$6:$AC$12,0)),1),0)</f>
        <v/>
      </c>
      <c r="L19" s="22" t="n"/>
      <c r="M19" s="22" t="n"/>
      <c r="N19" s="22" t="n"/>
      <c r="O19" s="22" t="n"/>
      <c r="P19" s="22" t="n"/>
      <c r="Q19" s="22" t="n"/>
      <c r="R19" s="22" t="n"/>
    </row>
    <row r="20" hidden="1">
      <c r="B20" s="74">
        <f>'عدد اللاعبين'!B9</f>
        <v/>
      </c>
      <c r="C20" s="69">
        <f>'عدد اللاعبين'!C9</f>
        <v/>
      </c>
      <c r="D20" s="69">
        <f>IFERROR(INDEX(المدخلات!$AD$6:$AD$12,MATCH($C20,المدخلات!$AC$6:$AC$12,0)),"")</f>
        <v/>
      </c>
      <c r="E20" s="69">
        <f>'عدد اللاعبين'!D9</f>
        <v/>
      </c>
      <c r="F20" s="70">
        <f>'عدد اللاعبين'!F9</f>
        <v/>
      </c>
      <c r="G20" s="71">
        <f>'عدد اللاعبين'!G9</f>
        <v/>
      </c>
      <c r="H20" s="69">
        <f>IFERROR(INDEX(المدخلات!$AE$6:$AE$12,MATCH($C20,المدخلات!$AC$6:$AC$12,0)),"")</f>
        <v/>
      </c>
      <c r="I20" s="71">
        <f>IF($G20&lt;الحد_الأدنى,0,ROUNDDOWN($G20/فرق_المباراة,0))</f>
        <v/>
      </c>
      <c r="J20" s="71">
        <f>ROUNDUP($I20/IFERROR(INDEX(المدخلات!$AJ$6:$AJ$12,MATCH($C20,المدخلات!$AC$6:$AC$12,0)),1),0)</f>
        <v/>
      </c>
      <c r="K20" s="71">
        <f>ROUNDUP($J20/IFERROR(INDEX(المدخلات!$AF$6:$AF$12,MATCH($C20,المدخلات!$AC$6:$AC$12,0)),1),0)</f>
        <v/>
      </c>
      <c r="L20" s="22" t="n"/>
      <c r="M20" s="22" t="n"/>
      <c r="N20" s="22" t="n"/>
      <c r="O20" s="22" t="n"/>
      <c r="P20" s="22" t="n"/>
      <c r="Q20" s="22" t="n"/>
      <c r="R20" s="22" t="n"/>
    </row>
    <row r="21">
      <c r="B21" s="74">
        <f>'عدد اللاعبين'!B10</f>
        <v/>
      </c>
      <c r="C21" s="69">
        <f>'عدد اللاعبين'!C10</f>
        <v/>
      </c>
      <c r="D21" s="69">
        <f>IFERROR(INDEX(المدخلات!$AD$6:$AD$12,MATCH($C21,المدخلات!$AC$6:$AC$12,0)),"")</f>
        <v/>
      </c>
      <c r="E21" s="69">
        <f>'عدد اللاعبين'!D10</f>
        <v/>
      </c>
      <c r="F21" s="70">
        <f>'عدد اللاعبين'!F10</f>
        <v/>
      </c>
      <c r="G21" s="71">
        <f>'عدد اللاعبين'!G10</f>
        <v/>
      </c>
      <c r="H21" s="69">
        <f>IFERROR(INDEX(المدخلات!$AE$6:$AE$12,MATCH($C21,المدخلات!$AC$6:$AC$12,0)),"")</f>
        <v/>
      </c>
      <c r="I21" s="71">
        <f>IF($G21&lt;الحد_الأدنى,0,ROUNDDOWN($G21/فرق_المباراة,0))</f>
        <v/>
      </c>
      <c r="J21" s="71">
        <f>ROUNDUP($I21/IFERROR(INDEX(المدخلات!$AJ$6:$AJ$12,MATCH($C21,المدخلات!$AC$6:$AC$12,0)),1),0)</f>
        <v/>
      </c>
      <c r="K21" s="71">
        <f>ROUNDUP($J21/IFERROR(INDEX(المدخلات!$AF$6:$AF$12,MATCH($C21,المدخلات!$AC$6:$AC$12,0)),1),0)</f>
        <v/>
      </c>
      <c r="L21" s="22" t="n"/>
      <c r="M21" s="22" t="n"/>
      <c r="N21" s="22" t="n"/>
      <c r="O21" s="22" t="n"/>
      <c r="P21" s="22" t="n"/>
      <c r="Q21" s="22" t="n"/>
      <c r="R21" s="22" t="n"/>
    </row>
    <row r="22">
      <c r="B22" s="74">
        <f>'عدد اللاعبين'!B11</f>
        <v/>
      </c>
      <c r="C22" s="69">
        <f>'عدد اللاعبين'!C11</f>
        <v/>
      </c>
      <c r="D22" s="69">
        <f>IFERROR(INDEX(المدخلات!$AD$6:$AD$12,MATCH($C22,المدخلات!$AC$6:$AC$12,0)),"")</f>
        <v/>
      </c>
      <c r="E22" s="69">
        <f>'عدد اللاعبين'!D11</f>
        <v/>
      </c>
      <c r="F22" s="70">
        <f>'عدد اللاعبين'!F11</f>
        <v/>
      </c>
      <c r="G22" s="71">
        <f>'عدد اللاعبين'!G11</f>
        <v/>
      </c>
      <c r="H22" s="69">
        <f>IFERROR(INDEX(المدخلات!$AE$6:$AE$12,MATCH($C22,المدخلات!$AC$6:$AC$12,0)),"")</f>
        <v/>
      </c>
      <c r="I22" s="71">
        <f>IF($G22&lt;الحد_الأدنى,0,ROUNDDOWN($G22/فرق_المباراة,0))</f>
        <v/>
      </c>
      <c r="J22" s="71">
        <f>ROUNDUP($I22/IFERROR(INDEX(المدخلات!$AJ$6:$AJ$12,MATCH($C22,المدخلات!$AC$6:$AC$12,0)),1),0)</f>
        <v/>
      </c>
      <c r="K22" s="71">
        <f>ROUNDUP($J22/IFERROR(INDEX(المدخلات!$AF$6:$AF$12,MATCH($C22,المدخلات!$AC$6:$AC$12,0)),1),0)</f>
        <v/>
      </c>
      <c r="L22" s="22" t="n"/>
      <c r="M22" s="22" t="n"/>
      <c r="N22" s="22" t="n"/>
      <c r="O22" s="22" t="n"/>
      <c r="P22" s="22" t="n"/>
      <c r="Q22" s="22" t="n"/>
      <c r="R22" s="22" t="n"/>
    </row>
    <row r="23" hidden="1">
      <c r="B23" s="74">
        <f>'عدد اللاعبين'!B12</f>
        <v/>
      </c>
      <c r="C23" s="69">
        <f>'عدد اللاعبين'!C12</f>
        <v/>
      </c>
      <c r="D23" s="69">
        <f>IFERROR(INDEX(المدخلات!$AD$6:$AD$12,MATCH($C23,المدخلات!$AC$6:$AC$12,0)),"")</f>
        <v/>
      </c>
      <c r="E23" s="69">
        <f>'عدد اللاعبين'!D12</f>
        <v/>
      </c>
      <c r="F23" s="70">
        <f>'عدد اللاعبين'!F12</f>
        <v/>
      </c>
      <c r="G23" s="71">
        <f>'عدد اللاعبين'!G12</f>
        <v/>
      </c>
      <c r="H23" s="69">
        <f>IFERROR(INDEX(المدخلات!$AE$6:$AE$12,MATCH($C23,المدخلات!$AC$6:$AC$12,0)),"")</f>
        <v/>
      </c>
      <c r="I23" s="71">
        <f>IF($G23&lt;الحد_الأدنى,0,ROUNDDOWN($G23/فرق_المباراة,0))</f>
        <v/>
      </c>
      <c r="J23" s="71">
        <f>ROUNDUP($I23/IFERROR(INDEX(المدخلات!$AJ$6:$AJ$12,MATCH($C23,المدخلات!$AC$6:$AC$12,0)),1),0)</f>
        <v/>
      </c>
      <c r="K23" s="71">
        <f>ROUNDUP($J23/IFERROR(INDEX(المدخلات!$AF$6:$AF$12,MATCH($C23,المدخلات!$AC$6:$AC$12,0)),1),0)</f>
        <v/>
      </c>
      <c r="L23" s="22" t="n"/>
      <c r="M23" s="22" t="n"/>
      <c r="N23" s="22" t="n"/>
      <c r="O23" s="22" t="n"/>
      <c r="P23" s="22" t="n"/>
      <c r="Q23" s="22" t="n"/>
      <c r="R23" s="22" t="n"/>
    </row>
    <row r="24" hidden="1">
      <c r="B24" s="74">
        <f>'عدد اللاعبين'!B13</f>
        <v/>
      </c>
      <c r="C24" s="69">
        <f>'عدد اللاعبين'!C13</f>
        <v/>
      </c>
      <c r="D24" s="69">
        <f>IFERROR(INDEX(المدخلات!$AD$6:$AD$12,MATCH($C24,المدخلات!$AC$6:$AC$12,0)),"")</f>
        <v/>
      </c>
      <c r="E24" s="69">
        <f>'عدد اللاعبين'!D13</f>
        <v/>
      </c>
      <c r="F24" s="70">
        <f>'عدد اللاعبين'!F13</f>
        <v/>
      </c>
      <c r="G24" s="71">
        <f>'عدد اللاعبين'!G13</f>
        <v/>
      </c>
      <c r="H24" s="69">
        <f>IFERROR(INDEX(المدخلات!$AE$6:$AE$12,MATCH($C24,المدخلات!$AC$6:$AC$12,0)),"")</f>
        <v/>
      </c>
      <c r="I24" s="71">
        <f>IF($G24&lt;الحد_الأدنى,0,ROUNDDOWN($G24/فرق_المباراة,0))</f>
        <v/>
      </c>
      <c r="J24" s="71">
        <f>ROUNDUP($I24/IFERROR(INDEX(المدخلات!$AJ$6:$AJ$12,MATCH($C24,المدخلات!$AC$6:$AC$12,0)),1),0)</f>
        <v/>
      </c>
      <c r="K24" s="71">
        <f>ROUNDUP($J24/IFERROR(INDEX(المدخلات!$AF$6:$AF$12,MATCH($C24,المدخلات!$AC$6:$AC$12,0)),1),0)</f>
        <v/>
      </c>
      <c r="L24" s="22" t="n"/>
      <c r="M24" s="22" t="n"/>
      <c r="N24" s="22" t="n"/>
      <c r="O24" s="22" t="n"/>
      <c r="P24" s="22" t="n"/>
      <c r="Q24" s="22" t="n"/>
      <c r="R24" s="22" t="n"/>
    </row>
    <row r="25" hidden="1">
      <c r="B25" s="74">
        <f>'عدد اللاعبين'!B14</f>
        <v/>
      </c>
      <c r="C25" s="69">
        <f>'عدد اللاعبين'!C14</f>
        <v/>
      </c>
      <c r="D25" s="69">
        <f>IFERROR(INDEX(المدخلات!$AD$6:$AD$12,MATCH($C25,المدخلات!$AC$6:$AC$12,0)),"")</f>
        <v/>
      </c>
      <c r="E25" s="69">
        <f>'عدد اللاعبين'!D14</f>
        <v/>
      </c>
      <c r="F25" s="70">
        <f>'عدد اللاعبين'!F14</f>
        <v/>
      </c>
      <c r="G25" s="71">
        <f>'عدد اللاعبين'!G14</f>
        <v/>
      </c>
      <c r="H25" s="69">
        <f>IFERROR(INDEX(المدخلات!$AE$6:$AE$12,MATCH($C25,المدخلات!$AC$6:$AC$12,0)),"")</f>
        <v/>
      </c>
      <c r="I25" s="71">
        <f>IF($G25&lt;الحد_الأدنى,0,ROUNDDOWN($G25/فرق_المباراة,0))</f>
        <v/>
      </c>
      <c r="J25" s="71">
        <f>ROUNDUP($I25/IFERROR(INDEX(المدخلات!$AJ$6:$AJ$12,MATCH($C25,المدخلات!$AC$6:$AC$12,0)),1),0)</f>
        <v/>
      </c>
      <c r="K25" s="71">
        <f>ROUNDUP($J25/IFERROR(INDEX(المدخلات!$AF$6:$AF$12,MATCH($C25,المدخلات!$AC$6:$AC$12,0)),1),0)</f>
        <v/>
      </c>
      <c r="L25" s="22" t="n"/>
      <c r="M25" s="22" t="n"/>
      <c r="N25" s="22" t="n"/>
      <c r="O25" s="22" t="n"/>
      <c r="P25" s="22" t="n"/>
      <c r="Q25" s="22" t="n"/>
      <c r="R25" s="22" t="n"/>
    </row>
    <row r="26" hidden="1">
      <c r="B26" s="74">
        <f>'عدد اللاعبين'!B15</f>
        <v/>
      </c>
      <c r="C26" s="69">
        <f>'عدد اللاعبين'!C15</f>
        <v/>
      </c>
      <c r="D26" s="69">
        <f>IFERROR(INDEX(المدخلات!$AD$6:$AD$12,MATCH($C26,المدخلات!$AC$6:$AC$12,0)),"")</f>
        <v/>
      </c>
      <c r="E26" s="69">
        <f>'عدد اللاعبين'!D15</f>
        <v/>
      </c>
      <c r="F26" s="70">
        <f>'عدد اللاعبين'!F15</f>
        <v/>
      </c>
      <c r="G26" s="71">
        <f>'عدد اللاعبين'!G15</f>
        <v/>
      </c>
      <c r="H26" s="69">
        <f>IFERROR(INDEX(المدخلات!$AE$6:$AE$12,MATCH($C26,المدخلات!$AC$6:$AC$12,0)),"")</f>
        <v/>
      </c>
      <c r="I26" s="71">
        <f>IF($G26&lt;الحد_الأدنى,0,ROUNDDOWN($G26/فرق_المباراة,0))</f>
        <v/>
      </c>
      <c r="J26" s="71">
        <f>ROUNDUP($I26/IFERROR(INDEX(المدخلات!$AJ$6:$AJ$12,MATCH($C26,المدخلات!$AC$6:$AC$12,0)),1),0)</f>
        <v/>
      </c>
      <c r="K26" s="71">
        <f>ROUNDUP($J26/IFERROR(INDEX(المدخلات!$AF$6:$AF$12,MATCH($C26,المدخلات!$AC$6:$AC$12,0)),1),0)</f>
        <v/>
      </c>
      <c r="L26" s="22" t="n"/>
      <c r="M26" s="22" t="n"/>
      <c r="N26" s="22" t="n"/>
      <c r="O26" s="22" t="n"/>
      <c r="P26" s="22" t="n"/>
      <c r="Q26" s="22" t="n"/>
      <c r="R26" s="22" t="n"/>
    </row>
    <row r="27" hidden="1">
      <c r="B27" s="74">
        <f>'عدد اللاعبين'!B16</f>
        <v/>
      </c>
      <c r="C27" s="69">
        <f>'عدد اللاعبين'!C16</f>
        <v/>
      </c>
      <c r="D27" s="69">
        <f>IFERROR(INDEX(المدخلات!$AD$6:$AD$12,MATCH($C27,المدخلات!$AC$6:$AC$12,0)),"")</f>
        <v/>
      </c>
      <c r="E27" s="69">
        <f>'عدد اللاعبين'!D16</f>
        <v/>
      </c>
      <c r="F27" s="70">
        <f>'عدد اللاعبين'!F16</f>
        <v/>
      </c>
      <c r="G27" s="71">
        <f>'عدد اللاعبين'!G16</f>
        <v/>
      </c>
      <c r="H27" s="69">
        <f>IFERROR(INDEX(المدخلات!$AE$6:$AE$12,MATCH($C27,المدخلات!$AC$6:$AC$12,0)),"")</f>
        <v/>
      </c>
      <c r="I27" s="71">
        <f>IF($G27&lt;الحد_الأدنى,0,ROUNDDOWN($G27/فرق_المباراة,0))</f>
        <v/>
      </c>
      <c r="J27" s="71">
        <f>ROUNDUP($I27/IFERROR(INDEX(المدخلات!$AJ$6:$AJ$12,MATCH($C27,المدخلات!$AC$6:$AC$12,0)),1),0)</f>
        <v/>
      </c>
      <c r="K27" s="71">
        <f>ROUNDUP($J27/IFERROR(INDEX(المدخلات!$AF$6:$AF$12,MATCH($C27,المدخلات!$AC$6:$AC$12,0)),1),0)</f>
        <v/>
      </c>
      <c r="L27" s="22" t="n"/>
      <c r="M27" s="22" t="n"/>
      <c r="N27" s="22" t="n"/>
      <c r="O27" s="22" t="n"/>
      <c r="P27" s="22" t="n"/>
      <c r="Q27" s="22" t="n"/>
      <c r="R27" s="22" t="n"/>
    </row>
    <row r="28" hidden="1">
      <c r="B28" s="74">
        <f>'عدد اللاعبين'!B17</f>
        <v/>
      </c>
      <c r="C28" s="69">
        <f>'عدد اللاعبين'!C17</f>
        <v/>
      </c>
      <c r="D28" s="69">
        <f>IFERROR(INDEX(المدخلات!$AD$6:$AD$12,MATCH($C28,المدخلات!$AC$6:$AC$12,0)),"")</f>
        <v/>
      </c>
      <c r="E28" s="69">
        <f>'عدد اللاعبين'!D17</f>
        <v/>
      </c>
      <c r="F28" s="70">
        <f>'عدد اللاعبين'!F17</f>
        <v/>
      </c>
      <c r="G28" s="71">
        <f>'عدد اللاعبين'!G17</f>
        <v/>
      </c>
      <c r="H28" s="69">
        <f>IFERROR(INDEX(المدخلات!$AE$6:$AE$12,MATCH($C28,المدخلات!$AC$6:$AC$12,0)),"")</f>
        <v/>
      </c>
      <c r="I28" s="71">
        <f>IF($G28&lt;الحد_الأدنى,0,ROUNDDOWN($G28/فرق_المباراة,0))</f>
        <v/>
      </c>
      <c r="J28" s="71">
        <f>ROUNDUP($I28/IFERROR(INDEX(المدخلات!$AJ$6:$AJ$12,MATCH($C28,المدخلات!$AC$6:$AC$12,0)),1),0)</f>
        <v/>
      </c>
      <c r="K28" s="71">
        <f>ROUNDUP($J28/IFERROR(INDEX(المدخلات!$AF$6:$AF$12,MATCH($C28,المدخلات!$AC$6:$AC$12,0)),1),0)</f>
        <v/>
      </c>
      <c r="L28" s="22" t="n"/>
      <c r="M28" s="22" t="n"/>
      <c r="N28" s="22" t="n"/>
      <c r="O28" s="22" t="n"/>
      <c r="P28" s="22" t="n"/>
      <c r="Q28" s="22" t="n"/>
      <c r="R28" s="22" t="n"/>
    </row>
    <row r="29" hidden="1">
      <c r="B29" s="74">
        <f>'عدد اللاعبين'!B18</f>
        <v/>
      </c>
      <c r="C29" s="69">
        <f>'عدد اللاعبين'!C18</f>
        <v/>
      </c>
      <c r="D29" s="69">
        <f>IFERROR(INDEX(المدخلات!$AD$6:$AD$12,MATCH($C29,المدخلات!$AC$6:$AC$12,0)),"")</f>
        <v/>
      </c>
      <c r="E29" s="69">
        <f>'عدد اللاعبين'!D18</f>
        <v/>
      </c>
      <c r="F29" s="70">
        <f>'عدد اللاعبين'!F18</f>
        <v/>
      </c>
      <c r="G29" s="71">
        <f>'عدد اللاعبين'!G18</f>
        <v/>
      </c>
      <c r="H29" s="69">
        <f>IFERROR(INDEX(المدخلات!$AE$6:$AE$12,MATCH($C29,المدخلات!$AC$6:$AC$12,0)),"")</f>
        <v/>
      </c>
      <c r="I29" s="71">
        <f>IF($G29&lt;الحد_الأدنى,0,ROUNDDOWN($G29/فرق_المباراة,0))</f>
        <v/>
      </c>
      <c r="J29" s="71">
        <f>ROUNDUP($I29/IFERROR(INDEX(المدخلات!$AJ$6:$AJ$12,MATCH($C29,المدخلات!$AC$6:$AC$12,0)),1),0)</f>
        <v/>
      </c>
      <c r="K29" s="71">
        <f>ROUNDUP($J29/IFERROR(INDEX(المدخلات!$AF$6:$AF$12,MATCH($C29,المدخلات!$AC$6:$AC$12,0)),1),0)</f>
        <v/>
      </c>
      <c r="L29" s="22" t="n"/>
      <c r="M29" s="22" t="n"/>
      <c r="N29" s="22" t="n"/>
      <c r="O29" s="22" t="n"/>
      <c r="P29" s="22" t="n"/>
      <c r="Q29" s="22" t="n"/>
      <c r="R29" s="22" t="n"/>
    </row>
    <row r="30" hidden="1">
      <c r="B30" s="74">
        <f>'عدد اللاعبين'!B19</f>
        <v/>
      </c>
      <c r="C30" s="69">
        <f>'عدد اللاعبين'!C19</f>
        <v/>
      </c>
      <c r="D30" s="69">
        <f>IFERROR(INDEX(المدخلات!$AD$6:$AD$12,MATCH($C30,المدخلات!$AC$6:$AC$12,0)),"")</f>
        <v/>
      </c>
      <c r="E30" s="69">
        <f>'عدد اللاعبين'!D19</f>
        <v/>
      </c>
      <c r="F30" s="70">
        <f>'عدد اللاعبين'!F19</f>
        <v/>
      </c>
      <c r="G30" s="71">
        <f>'عدد اللاعبين'!G19</f>
        <v/>
      </c>
      <c r="H30" s="69">
        <f>IFERROR(INDEX(المدخلات!$AE$6:$AE$12,MATCH($C30,المدخلات!$AC$6:$AC$12,0)),"")</f>
        <v/>
      </c>
      <c r="I30" s="71">
        <f>IF($G30&lt;الحد_الأدنى,0,ROUNDDOWN($G30/فرق_المباراة,0))</f>
        <v/>
      </c>
      <c r="J30" s="71">
        <f>ROUNDUP($I30/IFERROR(INDEX(المدخلات!$AJ$6:$AJ$12,MATCH($C30,المدخلات!$AC$6:$AC$12,0)),1),0)</f>
        <v/>
      </c>
      <c r="K30" s="71">
        <f>ROUNDUP($J30/IFERROR(INDEX(المدخلات!$AF$6:$AF$12,MATCH($C30,المدخلات!$AC$6:$AC$12,0)),1),0)</f>
        <v/>
      </c>
      <c r="L30" s="22" t="n"/>
      <c r="M30" s="22" t="n"/>
      <c r="N30" s="22" t="n"/>
      <c r="O30" s="22" t="n"/>
      <c r="P30" s="22" t="n"/>
      <c r="Q30" s="22" t="n"/>
      <c r="R30" s="22" t="n"/>
    </row>
    <row r="31" hidden="1">
      <c r="B31" s="74">
        <f>'عدد اللاعبين'!B20</f>
        <v/>
      </c>
      <c r="C31" s="69">
        <f>'عدد اللاعبين'!C20</f>
        <v/>
      </c>
      <c r="D31" s="69">
        <f>IFERROR(INDEX(المدخلات!$AD$6:$AD$12,MATCH($C31,المدخلات!$AC$6:$AC$12,0)),"")</f>
        <v/>
      </c>
      <c r="E31" s="69">
        <f>'عدد اللاعبين'!D20</f>
        <v/>
      </c>
      <c r="F31" s="70">
        <f>'عدد اللاعبين'!F20</f>
        <v/>
      </c>
      <c r="G31" s="71">
        <f>'عدد اللاعبين'!G20</f>
        <v/>
      </c>
      <c r="H31" s="69">
        <f>IFERROR(INDEX(المدخلات!$AE$6:$AE$12,MATCH($C31,المدخلات!$AC$6:$AC$12,0)),"")</f>
        <v/>
      </c>
      <c r="I31" s="71">
        <f>IF($G31&lt;الحد_الأدنى,0,ROUNDDOWN($G31/فرق_المباراة,0))</f>
        <v/>
      </c>
      <c r="J31" s="71">
        <f>ROUNDUP($I31/IFERROR(INDEX(المدخلات!$AJ$6:$AJ$12,MATCH($C31,المدخلات!$AC$6:$AC$12,0)),1),0)</f>
        <v/>
      </c>
      <c r="K31" s="71">
        <f>ROUNDUP($J31/IFERROR(INDEX(المدخلات!$AF$6:$AF$12,MATCH($C31,المدخلات!$AC$6:$AC$12,0)),1),0)</f>
        <v/>
      </c>
      <c r="L31" s="22" t="n"/>
      <c r="M31" s="22" t="n"/>
      <c r="N31" s="22" t="n"/>
      <c r="O31" s="22" t="n"/>
      <c r="P31" s="22" t="n"/>
      <c r="Q31" s="22" t="n"/>
      <c r="R31" s="22" t="n"/>
    </row>
    <row r="32" hidden="1">
      <c r="B32" s="74">
        <f>'عدد اللاعبين'!B21</f>
        <v/>
      </c>
      <c r="C32" s="69">
        <f>'عدد اللاعبين'!C21</f>
        <v/>
      </c>
      <c r="D32" s="69">
        <f>IFERROR(INDEX(المدخلات!$AD$6:$AD$12,MATCH($C32,المدخلات!$AC$6:$AC$12,0)),"")</f>
        <v/>
      </c>
      <c r="E32" s="69">
        <f>'عدد اللاعبين'!D21</f>
        <v/>
      </c>
      <c r="F32" s="70">
        <f>'عدد اللاعبين'!F21</f>
        <v/>
      </c>
      <c r="G32" s="71">
        <f>'عدد اللاعبين'!G21</f>
        <v/>
      </c>
      <c r="H32" s="69">
        <f>IFERROR(INDEX(المدخلات!$AE$6:$AE$12,MATCH($C32,المدخلات!$AC$6:$AC$12,0)),"")</f>
        <v/>
      </c>
      <c r="I32" s="71">
        <f>IF($G32&lt;الحد_الأدنى,0,ROUNDDOWN($G32/فرق_المباراة,0))</f>
        <v/>
      </c>
      <c r="J32" s="71">
        <f>ROUNDUP($I32/IFERROR(INDEX(المدخلات!$AJ$6:$AJ$12,MATCH($C32,المدخلات!$AC$6:$AC$12,0)),1),0)</f>
        <v/>
      </c>
      <c r="K32" s="71">
        <f>ROUNDUP($J32/IFERROR(INDEX(المدخلات!$AF$6:$AF$12,MATCH($C32,المدخلات!$AC$6:$AC$12,0)),1),0)</f>
        <v/>
      </c>
      <c r="L32" s="22" t="n"/>
      <c r="M32" s="22" t="n"/>
      <c r="N32" s="22" t="n"/>
      <c r="O32" s="22" t="n"/>
      <c r="P32" s="22" t="n"/>
      <c r="Q32" s="22" t="n"/>
      <c r="R32" s="22" t="n"/>
    </row>
    <row r="33" hidden="1">
      <c r="B33" s="74">
        <f>'عدد اللاعبين'!B22</f>
        <v/>
      </c>
      <c r="C33" s="69">
        <f>'عدد اللاعبين'!C22</f>
        <v/>
      </c>
      <c r="D33" s="69">
        <f>IFERROR(INDEX(المدخلات!$AD$6:$AD$12,MATCH($C33,المدخلات!$AC$6:$AC$12,0)),"")</f>
        <v/>
      </c>
      <c r="E33" s="69">
        <f>'عدد اللاعبين'!D22</f>
        <v/>
      </c>
      <c r="F33" s="70">
        <f>'عدد اللاعبين'!F22</f>
        <v/>
      </c>
      <c r="G33" s="71">
        <f>'عدد اللاعبين'!G22</f>
        <v/>
      </c>
      <c r="H33" s="69">
        <f>IFERROR(INDEX(المدخلات!$AE$6:$AE$12,MATCH($C33,المدخلات!$AC$6:$AC$12,0)),"")</f>
        <v/>
      </c>
      <c r="I33" s="71">
        <f>IF($G33&lt;الحد_الأدنى,0,ROUNDDOWN($G33/فرق_المباراة,0))</f>
        <v/>
      </c>
      <c r="J33" s="71">
        <f>ROUNDUP($I33/IFERROR(INDEX(المدخلات!$AJ$6:$AJ$12,MATCH($C33,المدخلات!$AC$6:$AC$12,0)),1),0)</f>
        <v/>
      </c>
      <c r="K33" s="71">
        <f>ROUNDUP($J33/IFERROR(INDEX(المدخلات!$AF$6:$AF$12,MATCH($C33,المدخلات!$AC$6:$AC$12,0)),1),0)</f>
        <v/>
      </c>
      <c r="L33" s="22" t="n"/>
      <c r="M33" s="22" t="n"/>
      <c r="N33" s="22" t="n"/>
      <c r="O33" s="22" t="n"/>
      <c r="P33" s="22" t="n"/>
      <c r="Q33" s="22" t="n"/>
      <c r="R33" s="22" t="n"/>
    </row>
    <row r="34" hidden="1">
      <c r="B34" s="74">
        <f>'عدد اللاعبين'!B23</f>
        <v/>
      </c>
      <c r="C34" s="69">
        <f>'عدد اللاعبين'!C23</f>
        <v/>
      </c>
      <c r="D34" s="69">
        <f>IFERROR(INDEX(المدخلات!$AD$6:$AD$12,MATCH($C34,المدخلات!$AC$6:$AC$12,0)),"")</f>
        <v/>
      </c>
      <c r="E34" s="69">
        <f>'عدد اللاعبين'!D23</f>
        <v/>
      </c>
      <c r="F34" s="70">
        <f>'عدد اللاعبين'!F23</f>
        <v/>
      </c>
      <c r="G34" s="71">
        <f>'عدد اللاعبين'!G23</f>
        <v/>
      </c>
      <c r="H34" s="69">
        <f>IFERROR(INDEX(المدخلات!$AE$6:$AE$12,MATCH($C34,المدخلات!$AC$6:$AC$12,0)),"")</f>
        <v/>
      </c>
      <c r="I34" s="71">
        <f>IF($G34&lt;الحد_الأدنى,0,ROUNDDOWN($G34/فرق_المباراة,0))</f>
        <v/>
      </c>
      <c r="J34" s="71">
        <f>ROUNDUP($I34/IFERROR(INDEX(المدخلات!$AJ$6:$AJ$12,MATCH($C34,المدخلات!$AC$6:$AC$12,0)),1),0)</f>
        <v/>
      </c>
      <c r="K34" s="71">
        <f>ROUNDUP($J34/IFERROR(INDEX(المدخلات!$AF$6:$AF$12,MATCH($C34,المدخلات!$AC$6:$AC$12,0)),1),0)</f>
        <v/>
      </c>
      <c r="L34" s="22" t="n"/>
      <c r="M34" s="22" t="n"/>
      <c r="N34" s="22" t="n"/>
      <c r="O34" s="22" t="n"/>
      <c r="P34" s="22" t="n"/>
      <c r="Q34" s="22" t="n"/>
      <c r="R34" s="22" t="n"/>
    </row>
    <row r="35" hidden="1">
      <c r="B35" s="74">
        <f>'عدد اللاعبين'!B24</f>
        <v/>
      </c>
      <c r="C35" s="69">
        <f>'عدد اللاعبين'!C24</f>
        <v/>
      </c>
      <c r="D35" s="69">
        <f>IFERROR(INDEX(المدخلات!$AD$6:$AD$12,MATCH($C35,المدخلات!$AC$6:$AC$12,0)),"")</f>
        <v/>
      </c>
      <c r="E35" s="69">
        <f>'عدد اللاعبين'!D24</f>
        <v/>
      </c>
      <c r="F35" s="70">
        <f>'عدد اللاعبين'!F24</f>
        <v/>
      </c>
      <c r="G35" s="71">
        <f>'عدد اللاعبين'!G24</f>
        <v/>
      </c>
      <c r="H35" s="69">
        <f>IFERROR(INDEX(المدخلات!$AE$6:$AE$12,MATCH($C35,المدخلات!$AC$6:$AC$12,0)),"")</f>
        <v/>
      </c>
      <c r="I35" s="71">
        <f>IF($G35&lt;الحد_الأدنى,0,ROUNDDOWN($G35/فرق_المباراة,0))</f>
        <v/>
      </c>
      <c r="J35" s="71">
        <f>ROUNDUP($I35/IFERROR(INDEX(المدخلات!$AJ$6:$AJ$12,MATCH($C35,المدخلات!$AC$6:$AC$12,0)),1),0)</f>
        <v/>
      </c>
      <c r="K35" s="71">
        <f>ROUNDUP($J35/IFERROR(INDEX(المدخلات!$AF$6:$AF$12,MATCH($C35,المدخلات!$AC$6:$AC$12,0)),1),0)</f>
        <v/>
      </c>
      <c r="L35" s="22" t="n"/>
      <c r="M35" s="22" t="n"/>
      <c r="N35" s="22" t="n"/>
      <c r="O35" s="22" t="n"/>
      <c r="P35" s="22" t="n"/>
      <c r="Q35" s="22" t="n"/>
      <c r="R35" s="22" t="n"/>
    </row>
    <row r="36">
      <c r="B36" s="74">
        <f>'عدد اللاعبين'!B25</f>
        <v/>
      </c>
      <c r="C36" s="69">
        <f>'عدد اللاعبين'!C25</f>
        <v/>
      </c>
      <c r="D36" s="69">
        <f>IFERROR(INDEX(المدخلات!$AD$6:$AD$12,MATCH($C36,المدخلات!$AC$6:$AC$12,0)),"")</f>
        <v/>
      </c>
      <c r="E36" s="69">
        <f>'عدد اللاعبين'!D25</f>
        <v/>
      </c>
      <c r="F36" s="70">
        <f>'عدد اللاعبين'!F25</f>
        <v/>
      </c>
      <c r="G36" s="71">
        <f>'عدد اللاعبين'!G25</f>
        <v/>
      </c>
      <c r="H36" s="69">
        <f>IFERROR(INDEX(المدخلات!$AE$6:$AE$12,MATCH($C36,المدخلات!$AC$6:$AC$12,0)),"")</f>
        <v/>
      </c>
      <c r="I36" s="71">
        <f>IF($G36&lt;الحد_الأدنى,0,ROUNDDOWN($G36/فرق_المباراة,0))</f>
        <v/>
      </c>
      <c r="J36" s="71">
        <f>ROUNDUP($I36/IFERROR(INDEX(المدخلات!$AJ$6:$AJ$12,MATCH($C36,المدخلات!$AC$6:$AC$12,0)),1),0)</f>
        <v/>
      </c>
      <c r="K36" s="71">
        <f>ROUNDUP($J36/IFERROR(INDEX(المدخلات!$AF$6:$AF$12,MATCH($C36,المدخلات!$AC$6:$AC$12,0)),1),0)</f>
        <v/>
      </c>
      <c r="L36" s="22" t="n"/>
      <c r="M36" s="22" t="n"/>
      <c r="N36" s="22" t="n"/>
      <c r="O36" s="22" t="n"/>
      <c r="P36" s="22" t="n"/>
      <c r="Q36" s="22" t="n"/>
      <c r="R36" s="22" t="n"/>
    </row>
    <row r="37">
      <c r="B37" s="74">
        <f>'عدد اللاعبين'!B26</f>
        <v/>
      </c>
      <c r="C37" s="69">
        <f>'عدد اللاعبين'!C26</f>
        <v/>
      </c>
      <c r="D37" s="69">
        <f>IFERROR(INDEX(المدخلات!$AD$6:$AD$12,MATCH($C37,المدخلات!$AC$6:$AC$12,0)),"")</f>
        <v/>
      </c>
      <c r="E37" s="69">
        <f>'عدد اللاعبين'!D26</f>
        <v/>
      </c>
      <c r="F37" s="70">
        <f>'عدد اللاعبين'!F26</f>
        <v/>
      </c>
      <c r="G37" s="71">
        <f>'عدد اللاعبين'!G26</f>
        <v/>
      </c>
      <c r="H37" s="69">
        <f>IFERROR(INDEX(المدخلات!$AE$6:$AE$12,MATCH($C37,المدخلات!$AC$6:$AC$12,0)),"")</f>
        <v/>
      </c>
      <c r="I37" s="71">
        <f>IF($G37&lt;الحد_الأدنى,0,ROUNDDOWN($G37/فرق_المباراة,0))</f>
        <v/>
      </c>
      <c r="J37" s="71">
        <f>ROUNDUP($I37/IFERROR(INDEX(المدخلات!$AJ$6:$AJ$12,MATCH($C37,المدخلات!$AC$6:$AC$12,0)),1),0)</f>
        <v/>
      </c>
      <c r="K37" s="71">
        <f>ROUNDUP($J37/IFERROR(INDEX(المدخلات!$AF$6:$AF$12,MATCH($C37,المدخلات!$AC$6:$AC$12,0)),1),0)</f>
        <v/>
      </c>
      <c r="L37" s="22" t="n"/>
      <c r="M37" s="22" t="n"/>
      <c r="N37" s="22" t="n"/>
      <c r="O37" s="22" t="n"/>
      <c r="P37" s="22" t="n"/>
      <c r="Q37" s="22" t="n"/>
      <c r="R37" s="22" t="n"/>
    </row>
    <row r="38" hidden="1">
      <c r="B38" s="74">
        <f>'عدد اللاعبين'!B27</f>
        <v/>
      </c>
      <c r="C38" s="69">
        <f>'عدد اللاعبين'!C27</f>
        <v/>
      </c>
      <c r="D38" s="69">
        <f>IFERROR(INDEX(المدخلات!$AD$6:$AD$12,MATCH($C38,المدخلات!$AC$6:$AC$12,0)),"")</f>
        <v/>
      </c>
      <c r="E38" s="69">
        <f>'عدد اللاعبين'!D27</f>
        <v/>
      </c>
      <c r="F38" s="70">
        <f>'عدد اللاعبين'!F27</f>
        <v/>
      </c>
      <c r="G38" s="71">
        <f>'عدد اللاعبين'!G27</f>
        <v/>
      </c>
      <c r="H38" s="69">
        <f>IFERROR(INDEX(المدخلات!$AE$6:$AE$12,MATCH($C38,المدخلات!$AC$6:$AC$12,0)),"")</f>
        <v/>
      </c>
      <c r="I38" s="71">
        <f>IF($G38&lt;الحد_الأدنى,0,ROUNDDOWN($G38/فرق_المباراة,0))</f>
        <v/>
      </c>
      <c r="J38" s="71">
        <f>ROUNDUP($I38/IFERROR(INDEX(المدخلات!$AJ$6:$AJ$12,MATCH($C38,المدخلات!$AC$6:$AC$12,0)),1),0)</f>
        <v/>
      </c>
      <c r="K38" s="71">
        <f>ROUNDUP($J38/IFERROR(INDEX(المدخلات!$AF$6:$AF$12,MATCH($C38,المدخلات!$AC$6:$AC$12,0)),1),0)</f>
        <v/>
      </c>
      <c r="L38" s="22" t="n"/>
      <c r="M38" s="22" t="n"/>
      <c r="N38" s="22" t="n"/>
      <c r="O38" s="22" t="n"/>
      <c r="P38" s="22" t="n"/>
      <c r="Q38" s="22" t="n"/>
      <c r="R38" s="22" t="n"/>
    </row>
    <row r="39" hidden="1">
      <c r="B39" s="74">
        <f>'عدد اللاعبين'!B28</f>
        <v/>
      </c>
      <c r="C39" s="69">
        <f>'عدد اللاعبين'!C28</f>
        <v/>
      </c>
      <c r="D39" s="69">
        <f>IFERROR(INDEX(المدخلات!$AD$6:$AD$12,MATCH($C39,المدخلات!$AC$6:$AC$12,0)),"")</f>
        <v/>
      </c>
      <c r="E39" s="69">
        <f>'عدد اللاعبين'!D28</f>
        <v/>
      </c>
      <c r="F39" s="70">
        <f>'عدد اللاعبين'!F28</f>
        <v/>
      </c>
      <c r="G39" s="71">
        <f>'عدد اللاعبين'!G28</f>
        <v/>
      </c>
      <c r="H39" s="69">
        <f>IFERROR(INDEX(المدخلات!$AE$6:$AE$12,MATCH($C39,المدخلات!$AC$6:$AC$12,0)),"")</f>
        <v/>
      </c>
      <c r="I39" s="71">
        <f>IF($G39&lt;الحد_الأدنى,0,ROUNDDOWN($G39/فرق_المباراة,0))</f>
        <v/>
      </c>
      <c r="J39" s="71">
        <f>ROUNDUP($I39/IFERROR(INDEX(المدخلات!$AJ$6:$AJ$12,MATCH($C39,المدخلات!$AC$6:$AC$12,0)),1),0)</f>
        <v/>
      </c>
      <c r="K39" s="71">
        <f>ROUNDUP($J39/IFERROR(INDEX(المدخلات!$AF$6:$AF$12,MATCH($C39,المدخلات!$AC$6:$AC$12,0)),1),0)</f>
        <v/>
      </c>
      <c r="L39" s="22" t="n"/>
      <c r="M39" s="22" t="n"/>
      <c r="N39" s="22" t="n"/>
      <c r="O39" s="22" t="n"/>
      <c r="P39" s="22" t="n"/>
      <c r="Q39" s="22" t="n"/>
      <c r="R39" s="22" t="n"/>
    </row>
    <row r="40" hidden="1">
      <c r="B40" s="74">
        <f>'عدد اللاعبين'!B29</f>
        <v/>
      </c>
      <c r="C40" s="69">
        <f>'عدد اللاعبين'!C29</f>
        <v/>
      </c>
      <c r="D40" s="69">
        <f>IFERROR(INDEX(المدخلات!$AD$6:$AD$12,MATCH($C40,المدخلات!$AC$6:$AC$12,0)),"")</f>
        <v/>
      </c>
      <c r="E40" s="69">
        <f>'عدد اللاعبين'!D29</f>
        <v/>
      </c>
      <c r="F40" s="70">
        <f>'عدد اللاعبين'!F29</f>
        <v/>
      </c>
      <c r="G40" s="71">
        <f>'عدد اللاعبين'!G29</f>
        <v/>
      </c>
      <c r="H40" s="69">
        <f>IFERROR(INDEX(المدخلات!$AE$6:$AE$12,MATCH($C40,المدخلات!$AC$6:$AC$12,0)),"")</f>
        <v/>
      </c>
      <c r="I40" s="71">
        <f>IF($G40&lt;الحد_الأدنى,0,ROUNDDOWN($G40/فرق_المباراة,0))</f>
        <v/>
      </c>
      <c r="J40" s="71">
        <f>ROUNDUP($I40/IFERROR(INDEX(المدخلات!$AJ$6:$AJ$12,MATCH($C40,المدخلات!$AC$6:$AC$12,0)),1),0)</f>
        <v/>
      </c>
      <c r="K40" s="71">
        <f>ROUNDUP($J40/IFERROR(INDEX(المدخلات!$AF$6:$AF$12,MATCH($C40,المدخلات!$AC$6:$AC$12,0)),1),0)</f>
        <v/>
      </c>
      <c r="L40" s="22" t="n"/>
      <c r="M40" s="22" t="n"/>
      <c r="N40" s="22" t="n"/>
      <c r="O40" s="22" t="n"/>
      <c r="P40" s="22" t="n"/>
      <c r="Q40" s="22" t="n"/>
      <c r="R40" s="22" t="n"/>
    </row>
    <row r="41" hidden="1">
      <c r="B41" s="74">
        <f>'عدد اللاعبين'!B30</f>
        <v/>
      </c>
      <c r="C41" s="69">
        <f>'عدد اللاعبين'!C30</f>
        <v/>
      </c>
      <c r="D41" s="69">
        <f>IFERROR(INDEX(المدخلات!$AD$6:$AD$12,MATCH($C41,المدخلات!$AC$6:$AC$12,0)),"")</f>
        <v/>
      </c>
      <c r="E41" s="69">
        <f>'عدد اللاعبين'!D30</f>
        <v/>
      </c>
      <c r="F41" s="70">
        <f>'عدد اللاعبين'!F30</f>
        <v/>
      </c>
      <c r="G41" s="71">
        <f>'عدد اللاعبين'!G30</f>
        <v/>
      </c>
      <c r="H41" s="69">
        <f>IFERROR(INDEX(المدخلات!$AE$6:$AE$12,MATCH($C41,المدخلات!$AC$6:$AC$12,0)),"")</f>
        <v/>
      </c>
      <c r="I41" s="71">
        <f>IF($G41&lt;الحد_الأدنى,0,ROUNDDOWN($G41/فرق_المباراة,0))</f>
        <v/>
      </c>
      <c r="J41" s="71">
        <f>ROUNDUP($I41/IFERROR(INDEX(المدخلات!$AJ$6:$AJ$12,MATCH($C41,المدخلات!$AC$6:$AC$12,0)),1),0)</f>
        <v/>
      </c>
      <c r="K41" s="71">
        <f>ROUNDUP($J41/IFERROR(INDEX(المدخلات!$AF$6:$AF$12,MATCH($C41,المدخلات!$AC$6:$AC$12,0)),1),0)</f>
        <v/>
      </c>
      <c r="L41" s="22" t="n"/>
      <c r="M41" s="22" t="n"/>
      <c r="N41" s="22" t="n"/>
      <c r="O41" s="22" t="n"/>
      <c r="P41" s="22" t="n"/>
      <c r="Q41" s="22" t="n"/>
      <c r="R41" s="22" t="n"/>
    </row>
    <row r="42" hidden="1">
      <c r="B42" s="74">
        <f>'عدد اللاعبين'!B31</f>
        <v/>
      </c>
      <c r="C42" s="69">
        <f>'عدد اللاعبين'!C31</f>
        <v/>
      </c>
      <c r="D42" s="69">
        <f>IFERROR(INDEX(المدخلات!$AD$6:$AD$12,MATCH($C42,المدخلات!$AC$6:$AC$12,0)),"")</f>
        <v/>
      </c>
      <c r="E42" s="69">
        <f>'عدد اللاعبين'!D31</f>
        <v/>
      </c>
      <c r="F42" s="70">
        <f>'عدد اللاعبين'!F31</f>
        <v/>
      </c>
      <c r="G42" s="71">
        <f>'عدد اللاعبين'!G31</f>
        <v/>
      </c>
      <c r="H42" s="69">
        <f>IFERROR(INDEX(المدخلات!$AE$6:$AE$12,MATCH($C42,المدخلات!$AC$6:$AC$12,0)),"")</f>
        <v/>
      </c>
      <c r="I42" s="71">
        <f>IF($G42&lt;الحد_الأدنى,0,ROUNDDOWN($G42/فرق_المباراة,0))</f>
        <v/>
      </c>
      <c r="J42" s="71">
        <f>ROUNDUP($I42/IFERROR(INDEX(المدخلات!$AJ$6:$AJ$12,MATCH($C42,المدخلات!$AC$6:$AC$12,0)),1),0)</f>
        <v/>
      </c>
      <c r="K42" s="71">
        <f>ROUNDUP($J42/IFERROR(INDEX(المدخلات!$AF$6:$AF$12,MATCH($C42,المدخلات!$AC$6:$AC$12,0)),1),0)</f>
        <v/>
      </c>
      <c r="L42" s="22" t="n"/>
      <c r="M42" s="22" t="n"/>
      <c r="N42" s="22" t="n"/>
      <c r="O42" s="22" t="n"/>
      <c r="P42" s="22" t="n"/>
      <c r="Q42" s="22" t="n"/>
      <c r="R42" s="22" t="n"/>
    </row>
    <row r="43" hidden="1">
      <c r="B43" s="74">
        <f>'عدد اللاعبين'!B32</f>
        <v/>
      </c>
      <c r="C43" s="69">
        <f>'عدد اللاعبين'!C32</f>
        <v/>
      </c>
      <c r="D43" s="69">
        <f>IFERROR(INDEX(المدخلات!$AD$6:$AD$12,MATCH($C43,المدخلات!$AC$6:$AC$12,0)),"")</f>
        <v/>
      </c>
      <c r="E43" s="69">
        <f>'عدد اللاعبين'!D32</f>
        <v/>
      </c>
      <c r="F43" s="70">
        <f>'عدد اللاعبين'!F32</f>
        <v/>
      </c>
      <c r="G43" s="71">
        <f>'عدد اللاعبين'!G32</f>
        <v/>
      </c>
      <c r="H43" s="69">
        <f>IFERROR(INDEX(المدخلات!$AE$6:$AE$12,MATCH($C43,المدخلات!$AC$6:$AC$12,0)),"")</f>
        <v/>
      </c>
      <c r="I43" s="71">
        <f>IF($G43&lt;الحد_الأدنى,0,ROUNDDOWN($G43/فرق_المباراة,0))</f>
        <v/>
      </c>
      <c r="J43" s="71">
        <f>ROUNDUP($I43/IFERROR(INDEX(المدخلات!$AJ$6:$AJ$12,MATCH($C43,المدخلات!$AC$6:$AC$12,0)),1),0)</f>
        <v/>
      </c>
      <c r="K43" s="71">
        <f>ROUNDUP($J43/IFERROR(INDEX(المدخلات!$AF$6:$AF$12,MATCH($C43,المدخلات!$AC$6:$AC$12,0)),1),0)</f>
        <v/>
      </c>
      <c r="L43" s="22" t="n"/>
      <c r="M43" s="22" t="n"/>
      <c r="N43" s="22" t="n"/>
      <c r="O43" s="22" t="n"/>
      <c r="P43" s="22" t="n"/>
      <c r="Q43" s="22" t="n"/>
      <c r="R43" s="22" t="n"/>
    </row>
    <row r="44" hidden="1">
      <c r="B44" s="74">
        <f>'عدد اللاعبين'!B33</f>
        <v/>
      </c>
      <c r="C44" s="69">
        <f>'عدد اللاعبين'!C33</f>
        <v/>
      </c>
      <c r="D44" s="69">
        <f>IFERROR(INDEX(المدخلات!$AD$6:$AD$12,MATCH($C44,المدخلات!$AC$6:$AC$12,0)),"")</f>
        <v/>
      </c>
      <c r="E44" s="69">
        <f>'عدد اللاعبين'!D33</f>
        <v/>
      </c>
      <c r="F44" s="70">
        <f>'عدد اللاعبين'!F33</f>
        <v/>
      </c>
      <c r="G44" s="71">
        <f>'عدد اللاعبين'!G33</f>
        <v/>
      </c>
      <c r="H44" s="69">
        <f>IFERROR(INDEX(المدخلات!$AE$6:$AE$12,MATCH($C44,المدخلات!$AC$6:$AC$12,0)),"")</f>
        <v/>
      </c>
      <c r="I44" s="71">
        <f>IF($G44&lt;الحد_الأدنى,0,ROUNDDOWN($G44/فرق_المباراة,0))</f>
        <v/>
      </c>
      <c r="J44" s="71">
        <f>ROUNDUP($I44/IFERROR(INDEX(المدخلات!$AJ$6:$AJ$12,MATCH($C44,المدخلات!$AC$6:$AC$12,0)),1),0)</f>
        <v/>
      </c>
      <c r="K44" s="71">
        <f>ROUNDUP($J44/IFERROR(INDEX(المدخلات!$AF$6:$AF$12,MATCH($C44,المدخلات!$AC$6:$AC$12,0)),1),0)</f>
        <v/>
      </c>
      <c r="L44" s="22" t="n"/>
      <c r="M44" s="22" t="n"/>
      <c r="N44" s="22" t="n"/>
      <c r="O44" s="22" t="n"/>
      <c r="P44" s="22" t="n"/>
      <c r="Q44" s="22" t="n"/>
      <c r="R44" s="22" t="n"/>
    </row>
    <row r="45" hidden="1">
      <c r="B45" s="74">
        <f>'عدد اللاعبين'!B34</f>
        <v/>
      </c>
      <c r="C45" s="69">
        <f>'عدد اللاعبين'!C34</f>
        <v/>
      </c>
      <c r="D45" s="69">
        <f>IFERROR(INDEX(المدخلات!$AD$6:$AD$12,MATCH($C45,المدخلات!$AC$6:$AC$12,0)),"")</f>
        <v/>
      </c>
      <c r="E45" s="69">
        <f>'عدد اللاعبين'!D34</f>
        <v/>
      </c>
      <c r="F45" s="70">
        <f>'عدد اللاعبين'!F34</f>
        <v/>
      </c>
      <c r="G45" s="71">
        <f>'عدد اللاعبين'!G34</f>
        <v/>
      </c>
      <c r="H45" s="69">
        <f>IFERROR(INDEX(المدخلات!$AE$6:$AE$12,MATCH($C45,المدخلات!$AC$6:$AC$12,0)),"")</f>
        <v/>
      </c>
      <c r="I45" s="71">
        <f>IF($G45&lt;الحد_الأدنى,0,ROUNDDOWN($G45/فرق_المباراة,0))</f>
        <v/>
      </c>
      <c r="J45" s="71">
        <f>ROUNDUP($I45/IFERROR(INDEX(المدخلات!$AJ$6:$AJ$12,MATCH($C45,المدخلات!$AC$6:$AC$12,0)),1),0)</f>
        <v/>
      </c>
      <c r="K45" s="71">
        <f>ROUNDUP($J45/IFERROR(INDEX(المدخلات!$AF$6:$AF$12,MATCH($C45,المدخلات!$AC$6:$AC$12,0)),1),0)</f>
        <v/>
      </c>
      <c r="L45" s="22" t="n"/>
      <c r="M45" s="22" t="n"/>
      <c r="N45" s="22" t="n"/>
      <c r="O45" s="22" t="n"/>
      <c r="P45" s="22" t="n"/>
      <c r="Q45" s="22" t="n"/>
      <c r="R45" s="22" t="n"/>
    </row>
    <row r="46" hidden="1">
      <c r="B46" s="74">
        <f>'عدد اللاعبين'!B35</f>
        <v/>
      </c>
      <c r="C46" s="69">
        <f>'عدد اللاعبين'!C35</f>
        <v/>
      </c>
      <c r="D46" s="69">
        <f>IFERROR(INDEX(المدخلات!$AD$6:$AD$12,MATCH($C46,المدخلات!$AC$6:$AC$12,0)),"")</f>
        <v/>
      </c>
      <c r="E46" s="69">
        <f>'عدد اللاعبين'!D35</f>
        <v/>
      </c>
      <c r="F46" s="70">
        <f>'عدد اللاعبين'!F35</f>
        <v/>
      </c>
      <c r="G46" s="71">
        <f>'عدد اللاعبين'!G35</f>
        <v/>
      </c>
      <c r="H46" s="69">
        <f>IFERROR(INDEX(المدخلات!$AE$6:$AE$12,MATCH($C46,المدخلات!$AC$6:$AC$12,0)),"")</f>
        <v/>
      </c>
      <c r="I46" s="71">
        <f>IF($G46&lt;الحد_الأدنى,0,ROUNDDOWN($G46/فرق_المباراة,0))</f>
        <v/>
      </c>
      <c r="J46" s="71">
        <f>ROUNDUP($I46/IFERROR(INDEX(المدخلات!$AJ$6:$AJ$12,MATCH($C46,المدخلات!$AC$6:$AC$12,0)),1),0)</f>
        <v/>
      </c>
      <c r="K46" s="71">
        <f>ROUNDUP($J46/IFERROR(INDEX(المدخلات!$AF$6:$AF$12,MATCH($C46,المدخلات!$AC$6:$AC$12,0)),1),0)</f>
        <v/>
      </c>
      <c r="L46" s="22" t="n"/>
      <c r="M46" s="22" t="n"/>
      <c r="N46" s="22" t="n"/>
      <c r="O46" s="22" t="n"/>
      <c r="P46" s="22" t="n"/>
      <c r="Q46" s="22" t="n"/>
      <c r="R46" s="22" t="n"/>
    </row>
    <row r="47">
      <c r="B47" s="74">
        <f>'عدد اللاعبين'!B36</f>
        <v/>
      </c>
      <c r="C47" s="69">
        <f>'عدد اللاعبين'!C36</f>
        <v/>
      </c>
      <c r="D47" s="69">
        <f>IFERROR(INDEX(المدخلات!$AD$6:$AD$12,MATCH($C47,المدخلات!$AC$6:$AC$12,0)),"")</f>
        <v/>
      </c>
      <c r="E47" s="69">
        <f>'عدد اللاعبين'!D36</f>
        <v/>
      </c>
      <c r="F47" s="70">
        <f>'عدد اللاعبين'!F36</f>
        <v/>
      </c>
      <c r="G47" s="71">
        <f>'عدد اللاعبين'!G36</f>
        <v/>
      </c>
      <c r="H47" s="69">
        <f>IFERROR(INDEX(المدخلات!$AE$6:$AE$12,MATCH($C47,المدخلات!$AC$6:$AC$12,0)),"")</f>
        <v/>
      </c>
      <c r="I47" s="71">
        <f>IF($G47&lt;الحد_الأدنى,0,ROUNDDOWN($G47/فرق_المباراة,0))</f>
        <v/>
      </c>
      <c r="J47" s="71">
        <f>ROUNDUP($I47/IFERROR(INDEX(المدخلات!$AJ$6:$AJ$12,MATCH($C47,المدخلات!$AC$6:$AC$12,0)),1),0)</f>
        <v/>
      </c>
      <c r="K47" s="71">
        <f>ROUNDUP($J47/IFERROR(INDEX(المدخلات!$AF$6:$AF$12,MATCH($C47,المدخلات!$AC$6:$AC$12,0)),1),0)</f>
        <v/>
      </c>
      <c r="L47" s="22" t="n"/>
      <c r="M47" s="22" t="n"/>
      <c r="N47" s="22" t="n"/>
      <c r="O47" s="22" t="n"/>
      <c r="P47" s="22" t="n"/>
      <c r="Q47" s="22" t="n"/>
      <c r="R47" s="22" t="n"/>
    </row>
    <row r="48">
      <c r="B48" s="74">
        <f>'عدد اللاعبين'!B37</f>
        <v/>
      </c>
      <c r="C48" s="69">
        <f>'عدد اللاعبين'!C37</f>
        <v/>
      </c>
      <c r="D48" s="69">
        <f>IFERROR(INDEX(المدخلات!$AD$6:$AD$12,MATCH($C48,المدخلات!$AC$6:$AC$12,0)),"")</f>
        <v/>
      </c>
      <c r="E48" s="69">
        <f>'عدد اللاعبين'!D37</f>
        <v/>
      </c>
      <c r="F48" s="70">
        <f>'عدد اللاعبين'!F37</f>
        <v/>
      </c>
      <c r="G48" s="71">
        <f>'عدد اللاعبين'!G37</f>
        <v/>
      </c>
      <c r="H48" s="69">
        <f>IFERROR(INDEX(المدخلات!$AE$6:$AE$12,MATCH($C48,المدخلات!$AC$6:$AC$12,0)),"")</f>
        <v/>
      </c>
      <c r="I48" s="71">
        <f>IF($G48&lt;الحد_الأدنى,0,ROUNDDOWN($G48/فرق_المباراة,0))</f>
        <v/>
      </c>
      <c r="J48" s="71">
        <f>ROUNDUP($I48/IFERROR(INDEX(المدخلات!$AJ$6:$AJ$12,MATCH($C48,المدخلات!$AC$6:$AC$12,0)),1),0)</f>
        <v/>
      </c>
      <c r="K48" s="71">
        <f>ROUNDUP($J48/IFERROR(INDEX(المدخلات!$AF$6:$AF$12,MATCH($C48,المدخلات!$AC$6:$AC$12,0)),1),0)</f>
        <v/>
      </c>
      <c r="L48" s="22" t="n"/>
      <c r="M48" s="22" t="n"/>
      <c r="N48" s="22" t="n"/>
      <c r="O48" s="22" t="n"/>
      <c r="P48" s="22" t="n"/>
      <c r="Q48" s="22" t="n"/>
      <c r="R48" s="22" t="n"/>
    </row>
    <row r="49" hidden="1">
      <c r="B49" s="74">
        <f>'عدد اللاعبين'!B38</f>
        <v/>
      </c>
      <c r="C49" s="69">
        <f>'عدد اللاعبين'!C38</f>
        <v/>
      </c>
      <c r="D49" s="69">
        <f>IFERROR(INDEX(المدخلات!$AD$6:$AD$12,MATCH($C49,المدخلات!$AC$6:$AC$12,0)),"")</f>
        <v/>
      </c>
      <c r="E49" s="69">
        <f>'عدد اللاعبين'!D38</f>
        <v/>
      </c>
      <c r="F49" s="70">
        <f>'عدد اللاعبين'!F38</f>
        <v/>
      </c>
      <c r="G49" s="71">
        <f>'عدد اللاعبين'!G38</f>
        <v/>
      </c>
      <c r="H49" s="69">
        <f>IFERROR(INDEX(المدخلات!$AE$6:$AE$12,MATCH($C49,المدخلات!$AC$6:$AC$12,0)),"")</f>
        <v/>
      </c>
      <c r="I49" s="71">
        <f>IF($G49&lt;الحد_الأدنى,0,ROUNDDOWN($G49/فرق_المباراة,0))</f>
        <v/>
      </c>
      <c r="J49" s="71">
        <f>ROUNDUP($I49/IFERROR(INDEX(المدخلات!$AJ$6:$AJ$12,MATCH($C49,المدخلات!$AC$6:$AC$12,0)),1),0)</f>
        <v/>
      </c>
      <c r="K49" s="71">
        <f>ROUNDUP($J49/IFERROR(INDEX(المدخلات!$AF$6:$AF$12,MATCH($C49,المدخلات!$AC$6:$AC$12,0)),1),0)</f>
        <v/>
      </c>
      <c r="L49" s="22" t="n"/>
      <c r="M49" s="22" t="n"/>
      <c r="N49" s="22" t="n"/>
      <c r="O49" s="22" t="n"/>
      <c r="P49" s="22" t="n"/>
      <c r="Q49" s="22" t="n"/>
      <c r="R49" s="22" t="n"/>
    </row>
    <row r="50" hidden="1">
      <c r="B50" s="74">
        <f>'عدد اللاعبين'!B39</f>
        <v/>
      </c>
      <c r="C50" s="69">
        <f>'عدد اللاعبين'!C39</f>
        <v/>
      </c>
      <c r="D50" s="69">
        <f>IFERROR(INDEX(المدخلات!$AD$6:$AD$12,MATCH($C50,المدخلات!$AC$6:$AC$12,0)),"")</f>
        <v/>
      </c>
      <c r="E50" s="69">
        <f>'عدد اللاعبين'!D39</f>
        <v/>
      </c>
      <c r="F50" s="70">
        <f>'عدد اللاعبين'!F39</f>
        <v/>
      </c>
      <c r="G50" s="71">
        <f>'عدد اللاعبين'!G39</f>
        <v/>
      </c>
      <c r="H50" s="69">
        <f>IFERROR(INDEX(المدخلات!$AE$6:$AE$12,MATCH($C50,المدخلات!$AC$6:$AC$12,0)),"")</f>
        <v/>
      </c>
      <c r="I50" s="71">
        <f>IF($G50&lt;الحد_الأدنى,0,ROUNDDOWN($G50/فرق_المباراة,0))</f>
        <v/>
      </c>
      <c r="J50" s="71">
        <f>ROUNDUP($I50/IFERROR(INDEX(المدخلات!$AJ$6:$AJ$12,MATCH($C50,المدخلات!$AC$6:$AC$12,0)),1),0)</f>
        <v/>
      </c>
      <c r="K50" s="71">
        <f>ROUNDUP($J50/IFERROR(INDEX(المدخلات!$AF$6:$AF$12,MATCH($C50,المدخلات!$AC$6:$AC$12,0)),1),0)</f>
        <v/>
      </c>
      <c r="L50" s="22" t="n"/>
      <c r="M50" s="22" t="n"/>
      <c r="N50" s="22" t="n"/>
      <c r="O50" s="22" t="n"/>
      <c r="P50" s="22" t="n"/>
      <c r="Q50" s="22" t="n"/>
      <c r="R50" s="22" t="n"/>
    </row>
    <row r="51" hidden="1">
      <c r="B51" s="74">
        <f>'عدد اللاعبين'!B40</f>
        <v/>
      </c>
      <c r="C51" s="69">
        <f>'عدد اللاعبين'!C40</f>
        <v/>
      </c>
      <c r="D51" s="69">
        <f>IFERROR(INDEX(المدخلات!$AD$6:$AD$12,MATCH($C51,المدخلات!$AC$6:$AC$12,0)),"")</f>
        <v/>
      </c>
      <c r="E51" s="69">
        <f>'عدد اللاعبين'!D40</f>
        <v/>
      </c>
      <c r="F51" s="70">
        <f>'عدد اللاعبين'!F40</f>
        <v/>
      </c>
      <c r="G51" s="71">
        <f>'عدد اللاعبين'!G40</f>
        <v/>
      </c>
      <c r="H51" s="69">
        <f>IFERROR(INDEX(المدخلات!$AE$6:$AE$12,MATCH($C51,المدخلات!$AC$6:$AC$12,0)),"")</f>
        <v/>
      </c>
      <c r="I51" s="71">
        <f>IF($G51&lt;الحد_الأدنى,0,ROUNDDOWN($G51/فرق_المباراة,0))</f>
        <v/>
      </c>
      <c r="J51" s="71">
        <f>ROUNDUP($I51/IFERROR(INDEX(المدخلات!$AJ$6:$AJ$12,MATCH($C51,المدخلات!$AC$6:$AC$12,0)),1),0)</f>
        <v/>
      </c>
      <c r="K51" s="71">
        <f>ROUNDUP($J51/IFERROR(INDEX(المدخلات!$AF$6:$AF$12,MATCH($C51,المدخلات!$AC$6:$AC$12,0)),1),0)</f>
        <v/>
      </c>
      <c r="L51" s="22" t="n"/>
      <c r="M51" s="22" t="n"/>
      <c r="N51" s="22" t="n"/>
      <c r="O51" s="22" t="n"/>
      <c r="P51" s="22" t="n"/>
      <c r="Q51" s="22" t="n"/>
      <c r="R51" s="22" t="n"/>
    </row>
    <row r="52" hidden="1">
      <c r="B52" s="74">
        <f>'عدد اللاعبين'!B41</f>
        <v/>
      </c>
      <c r="C52" s="69">
        <f>'عدد اللاعبين'!C41</f>
        <v/>
      </c>
      <c r="D52" s="69">
        <f>IFERROR(INDEX(المدخلات!$AD$6:$AD$12,MATCH($C52,المدخلات!$AC$6:$AC$12,0)),"")</f>
        <v/>
      </c>
      <c r="E52" s="69">
        <f>'عدد اللاعبين'!D41</f>
        <v/>
      </c>
      <c r="F52" s="70">
        <f>'عدد اللاعبين'!F41</f>
        <v/>
      </c>
      <c r="G52" s="71">
        <f>'عدد اللاعبين'!G41</f>
        <v/>
      </c>
      <c r="H52" s="69">
        <f>IFERROR(INDEX(المدخلات!$AE$6:$AE$12,MATCH($C52,المدخلات!$AC$6:$AC$12,0)),"")</f>
        <v/>
      </c>
      <c r="I52" s="71">
        <f>IF($G52&lt;الحد_الأدنى,0,ROUNDDOWN($G52/فرق_المباراة,0))</f>
        <v/>
      </c>
      <c r="J52" s="71">
        <f>ROUNDUP($I52/IFERROR(INDEX(المدخلات!$AJ$6:$AJ$12,MATCH($C52,المدخلات!$AC$6:$AC$12,0)),1),0)</f>
        <v/>
      </c>
      <c r="K52" s="71">
        <f>ROUNDUP($J52/IFERROR(INDEX(المدخلات!$AF$6:$AF$12,MATCH($C52,المدخلات!$AC$6:$AC$12,0)),1),0)</f>
        <v/>
      </c>
      <c r="L52" s="22" t="n"/>
      <c r="M52" s="22" t="n"/>
      <c r="N52" s="22" t="n"/>
      <c r="O52" s="22" t="n"/>
      <c r="P52" s="22" t="n"/>
      <c r="Q52" s="22" t="n"/>
      <c r="R52" s="22" t="n"/>
    </row>
    <row r="53" hidden="1">
      <c r="B53" s="74">
        <f>'عدد اللاعبين'!B42</f>
        <v/>
      </c>
      <c r="C53" s="69">
        <f>'عدد اللاعبين'!C42</f>
        <v/>
      </c>
      <c r="D53" s="69">
        <f>IFERROR(INDEX(المدخلات!$AD$6:$AD$12,MATCH($C53,المدخلات!$AC$6:$AC$12,0)),"")</f>
        <v/>
      </c>
      <c r="E53" s="69">
        <f>'عدد اللاعبين'!D42</f>
        <v/>
      </c>
      <c r="F53" s="70">
        <f>'عدد اللاعبين'!F42</f>
        <v/>
      </c>
      <c r="G53" s="71">
        <f>'عدد اللاعبين'!G42</f>
        <v/>
      </c>
      <c r="H53" s="69">
        <f>IFERROR(INDEX(المدخلات!$AE$6:$AE$12,MATCH($C53,المدخلات!$AC$6:$AC$12,0)),"")</f>
        <v/>
      </c>
      <c r="I53" s="71">
        <f>IF($G53&lt;الحد_الأدنى,0,ROUNDDOWN($G53/فرق_المباراة,0))</f>
        <v/>
      </c>
      <c r="J53" s="71">
        <f>ROUNDUP($I53/IFERROR(INDEX(المدخلات!$AJ$6:$AJ$12,MATCH($C53,المدخلات!$AC$6:$AC$12,0)),1),0)</f>
        <v/>
      </c>
      <c r="K53" s="71">
        <f>ROUNDUP($J53/IFERROR(INDEX(المدخلات!$AF$6:$AF$12,MATCH($C53,المدخلات!$AC$6:$AC$12,0)),1),0)</f>
        <v/>
      </c>
      <c r="L53" s="22" t="n"/>
      <c r="M53" s="22" t="n"/>
      <c r="N53" s="22" t="n"/>
      <c r="O53" s="22" t="n"/>
      <c r="P53" s="22" t="n"/>
      <c r="Q53" s="22" t="n"/>
      <c r="R53" s="22" t="n"/>
    </row>
    <row r="54" hidden="1">
      <c r="B54" s="74">
        <f>'عدد اللاعبين'!B43</f>
        <v/>
      </c>
      <c r="C54" s="69">
        <f>'عدد اللاعبين'!C43</f>
        <v/>
      </c>
      <c r="D54" s="69">
        <f>IFERROR(INDEX(المدخلات!$AD$6:$AD$12,MATCH($C54,المدخلات!$AC$6:$AC$12,0)),"")</f>
        <v/>
      </c>
      <c r="E54" s="69">
        <f>'عدد اللاعبين'!D43</f>
        <v/>
      </c>
      <c r="F54" s="70">
        <f>'عدد اللاعبين'!F43</f>
        <v/>
      </c>
      <c r="G54" s="71">
        <f>'عدد اللاعبين'!G43</f>
        <v/>
      </c>
      <c r="H54" s="69">
        <f>IFERROR(INDEX(المدخلات!$AE$6:$AE$12,MATCH($C54,المدخلات!$AC$6:$AC$12,0)),"")</f>
        <v/>
      </c>
      <c r="I54" s="71">
        <f>IF($G54&lt;الحد_الأدنى,0,ROUNDDOWN($G54/فرق_المباراة,0))</f>
        <v/>
      </c>
      <c r="J54" s="71">
        <f>ROUNDUP($I54/IFERROR(INDEX(المدخلات!$AJ$6:$AJ$12,MATCH($C54,المدخلات!$AC$6:$AC$12,0)),1),0)</f>
        <v/>
      </c>
      <c r="K54" s="71">
        <f>ROUNDUP($J54/IFERROR(INDEX(المدخلات!$AF$6:$AF$12,MATCH($C54,المدخلات!$AC$6:$AC$12,0)),1),0)</f>
        <v/>
      </c>
      <c r="L54" s="22" t="n"/>
      <c r="M54" s="22" t="n"/>
      <c r="N54" s="22" t="n"/>
      <c r="O54" s="22" t="n"/>
      <c r="P54" s="22" t="n"/>
      <c r="Q54" s="22" t="n"/>
      <c r="R54" s="22" t="n"/>
    </row>
    <row r="55" hidden="1">
      <c r="B55" s="74">
        <f>'عدد اللاعبين'!B44</f>
        <v/>
      </c>
      <c r="C55" s="69">
        <f>'عدد اللاعبين'!C44</f>
        <v/>
      </c>
      <c r="D55" s="69">
        <f>IFERROR(INDEX(المدخلات!$AD$6:$AD$12,MATCH($C55,المدخلات!$AC$6:$AC$12,0)),"")</f>
        <v/>
      </c>
      <c r="E55" s="69">
        <f>'عدد اللاعبين'!D44</f>
        <v/>
      </c>
      <c r="F55" s="70">
        <f>'عدد اللاعبين'!F44</f>
        <v/>
      </c>
      <c r="G55" s="71">
        <f>'عدد اللاعبين'!G44</f>
        <v/>
      </c>
      <c r="H55" s="69">
        <f>IFERROR(INDEX(المدخلات!$AE$6:$AE$12,MATCH($C55,المدخلات!$AC$6:$AC$12,0)),"")</f>
        <v/>
      </c>
      <c r="I55" s="71">
        <f>IF($G55&lt;الحد_الأدنى,0,ROUNDDOWN($G55/فرق_المباراة,0))</f>
        <v/>
      </c>
      <c r="J55" s="71">
        <f>ROUNDUP($I55/IFERROR(INDEX(المدخلات!$AJ$6:$AJ$12,MATCH($C55,المدخلات!$AC$6:$AC$12,0)),1),0)</f>
        <v/>
      </c>
      <c r="K55" s="71">
        <f>ROUNDUP($J55/IFERROR(INDEX(المدخلات!$AF$6:$AF$12,MATCH($C55,المدخلات!$AC$6:$AC$12,0)),1),0)</f>
        <v/>
      </c>
      <c r="L55" s="22" t="n"/>
      <c r="M55" s="22" t="n"/>
      <c r="N55" s="22" t="n"/>
      <c r="O55" s="22" t="n"/>
      <c r="P55" s="22" t="n"/>
      <c r="Q55" s="22" t="n"/>
      <c r="R55" s="22" t="n"/>
    </row>
    <row r="56" hidden="1">
      <c r="B56" s="74">
        <f>'عدد اللاعبين'!B45</f>
        <v/>
      </c>
      <c r="C56" s="69">
        <f>'عدد اللاعبين'!C45</f>
        <v/>
      </c>
      <c r="D56" s="69">
        <f>IFERROR(INDEX(المدخلات!$AD$6:$AD$12,MATCH($C56,المدخلات!$AC$6:$AC$12,0)),"")</f>
        <v/>
      </c>
      <c r="E56" s="69">
        <f>'عدد اللاعبين'!D45</f>
        <v/>
      </c>
      <c r="F56" s="70">
        <f>'عدد اللاعبين'!F45</f>
        <v/>
      </c>
      <c r="G56" s="71">
        <f>'عدد اللاعبين'!G45</f>
        <v/>
      </c>
      <c r="H56" s="69">
        <f>IFERROR(INDEX(المدخلات!$AE$6:$AE$12,MATCH($C56,المدخلات!$AC$6:$AC$12,0)),"")</f>
        <v/>
      </c>
      <c r="I56" s="71">
        <f>IF($G56&lt;الحد_الأدنى,0,ROUNDDOWN($G56/فرق_المباراة,0))</f>
        <v/>
      </c>
      <c r="J56" s="71">
        <f>ROUNDUP($I56/IFERROR(INDEX(المدخلات!$AJ$6:$AJ$12,MATCH($C56,المدخلات!$AC$6:$AC$12,0)),1),0)</f>
        <v/>
      </c>
      <c r="K56" s="71">
        <f>ROUNDUP($J56/IFERROR(INDEX(المدخلات!$AF$6:$AF$12,MATCH($C56,المدخلات!$AC$6:$AC$12,0)),1),0)</f>
        <v/>
      </c>
      <c r="L56" s="22" t="n"/>
      <c r="M56" s="22" t="n"/>
      <c r="N56" s="22" t="n"/>
      <c r="O56" s="22" t="n"/>
      <c r="P56" s="22" t="n"/>
      <c r="Q56" s="22" t="n"/>
      <c r="R56" s="22" t="n"/>
    </row>
    <row r="57" hidden="1">
      <c r="B57" s="74">
        <f>'عدد اللاعبين'!B46</f>
        <v/>
      </c>
      <c r="C57" s="69">
        <f>'عدد اللاعبين'!C46</f>
        <v/>
      </c>
      <c r="D57" s="69">
        <f>IFERROR(INDEX(المدخلات!$AD$6:$AD$12,MATCH($C57,المدخلات!$AC$6:$AC$12,0)),"")</f>
        <v/>
      </c>
      <c r="E57" s="69">
        <f>'عدد اللاعبين'!D46</f>
        <v/>
      </c>
      <c r="F57" s="70">
        <f>'عدد اللاعبين'!F46</f>
        <v/>
      </c>
      <c r="G57" s="71">
        <f>'عدد اللاعبين'!G46</f>
        <v/>
      </c>
      <c r="H57" s="69">
        <f>IFERROR(INDEX(المدخلات!$AE$6:$AE$12,MATCH($C57,المدخلات!$AC$6:$AC$12,0)),"")</f>
        <v/>
      </c>
      <c r="I57" s="71">
        <f>IF($G57&lt;الحد_الأدنى,0,ROUNDDOWN($G57/فرق_المباراة,0))</f>
        <v/>
      </c>
      <c r="J57" s="71">
        <f>ROUNDUP($I57/IFERROR(INDEX(المدخلات!$AJ$6:$AJ$12,MATCH($C57,المدخلات!$AC$6:$AC$12,0)),1),0)</f>
        <v/>
      </c>
      <c r="K57" s="71">
        <f>ROUNDUP($J57/IFERROR(INDEX(المدخلات!$AF$6:$AF$12,MATCH($C57,المدخلات!$AC$6:$AC$12,0)),1),0)</f>
        <v/>
      </c>
      <c r="L57" s="22" t="n"/>
      <c r="M57" s="22" t="n"/>
      <c r="N57" s="22" t="n"/>
      <c r="O57" s="22" t="n"/>
      <c r="P57" s="22" t="n"/>
      <c r="Q57" s="22" t="n"/>
      <c r="R57" s="22" t="n"/>
    </row>
    <row r="58" hidden="1">
      <c r="B58" s="74">
        <f>'عدد اللاعبين'!B47</f>
        <v/>
      </c>
      <c r="C58" s="69">
        <f>'عدد اللاعبين'!C47</f>
        <v/>
      </c>
      <c r="D58" s="69">
        <f>IFERROR(INDEX(المدخلات!$AD$6:$AD$12,MATCH($C58,المدخلات!$AC$6:$AC$12,0)),"")</f>
        <v/>
      </c>
      <c r="E58" s="69">
        <f>'عدد اللاعبين'!D47</f>
        <v/>
      </c>
      <c r="F58" s="70">
        <f>'عدد اللاعبين'!F47</f>
        <v/>
      </c>
      <c r="G58" s="71">
        <f>'عدد اللاعبين'!G47</f>
        <v/>
      </c>
      <c r="H58" s="69">
        <f>IFERROR(INDEX(المدخلات!$AE$6:$AE$12,MATCH($C58,المدخلات!$AC$6:$AC$12,0)),"")</f>
        <v/>
      </c>
      <c r="I58" s="71">
        <f>IF($G58&lt;الحد_الأدنى,0,ROUNDDOWN($G58/فرق_المباراة,0))</f>
        <v/>
      </c>
      <c r="J58" s="71">
        <f>ROUNDUP($I58/IFERROR(INDEX(المدخلات!$AJ$6:$AJ$12,MATCH($C58,المدخلات!$AC$6:$AC$12,0)),1),0)</f>
        <v/>
      </c>
      <c r="K58" s="71">
        <f>ROUNDUP($J58/IFERROR(INDEX(المدخلات!$AF$6:$AF$12,MATCH($C58,المدخلات!$AC$6:$AC$12,0)),1),0)</f>
        <v/>
      </c>
      <c r="L58" s="22" t="n"/>
      <c r="M58" s="22" t="n"/>
      <c r="N58" s="22" t="n"/>
      <c r="O58" s="22" t="n"/>
      <c r="P58" s="22" t="n"/>
      <c r="Q58" s="22" t="n"/>
      <c r="R58" s="22" t="n"/>
    </row>
    <row r="59" hidden="1">
      <c r="B59" s="74">
        <f>'عدد اللاعبين'!B48</f>
        <v/>
      </c>
      <c r="C59" s="69">
        <f>'عدد اللاعبين'!C48</f>
        <v/>
      </c>
      <c r="D59" s="69">
        <f>IFERROR(INDEX(المدخلات!$AD$6:$AD$12,MATCH($C59,المدخلات!$AC$6:$AC$12,0)),"")</f>
        <v/>
      </c>
      <c r="E59" s="69">
        <f>'عدد اللاعبين'!D48</f>
        <v/>
      </c>
      <c r="F59" s="70">
        <f>'عدد اللاعبين'!F48</f>
        <v/>
      </c>
      <c r="G59" s="71">
        <f>'عدد اللاعبين'!G48</f>
        <v/>
      </c>
      <c r="H59" s="69">
        <f>IFERROR(INDEX(المدخلات!$AE$6:$AE$12,MATCH($C59,المدخلات!$AC$6:$AC$12,0)),"")</f>
        <v/>
      </c>
      <c r="I59" s="71">
        <f>IF($G59&lt;الحد_الأدنى,0,ROUNDDOWN($G59/فرق_المباراة,0))</f>
        <v/>
      </c>
      <c r="J59" s="71">
        <f>ROUNDUP($I59/IFERROR(INDEX(المدخلات!$AJ$6:$AJ$12,MATCH($C59,المدخلات!$AC$6:$AC$12,0)),1),0)</f>
        <v/>
      </c>
      <c r="K59" s="71">
        <f>ROUNDUP($J59/IFERROR(INDEX(المدخلات!$AF$6:$AF$12,MATCH($C59,المدخلات!$AC$6:$AC$12,0)),1),0)</f>
        <v/>
      </c>
      <c r="L59" s="22" t="n"/>
      <c r="M59" s="22" t="n"/>
      <c r="N59" s="22" t="n"/>
      <c r="O59" s="22" t="n"/>
      <c r="P59" s="22" t="n"/>
      <c r="Q59" s="22" t="n"/>
      <c r="R59" s="22" t="n"/>
    </row>
    <row r="60" hidden="1">
      <c r="B60" s="74">
        <f>'عدد اللاعبين'!B49</f>
        <v/>
      </c>
      <c r="C60" s="69">
        <f>'عدد اللاعبين'!C49</f>
        <v/>
      </c>
      <c r="D60" s="69">
        <f>IFERROR(INDEX(المدخلات!$AD$6:$AD$12,MATCH($C60,المدخلات!$AC$6:$AC$12,0)),"")</f>
        <v/>
      </c>
      <c r="E60" s="69">
        <f>'عدد اللاعبين'!D49</f>
        <v/>
      </c>
      <c r="F60" s="70">
        <f>'عدد اللاعبين'!F49</f>
        <v/>
      </c>
      <c r="G60" s="71">
        <f>'عدد اللاعبين'!G49</f>
        <v/>
      </c>
      <c r="H60" s="69">
        <f>IFERROR(INDEX(المدخلات!$AE$6:$AE$12,MATCH($C60,المدخلات!$AC$6:$AC$12,0)),"")</f>
        <v/>
      </c>
      <c r="I60" s="71">
        <f>IF($G60&lt;الحد_الأدنى,0,ROUNDDOWN($G60/فرق_المباراة,0))</f>
        <v/>
      </c>
      <c r="J60" s="71">
        <f>ROUNDUP($I60/IFERROR(INDEX(المدخلات!$AJ$6:$AJ$12,MATCH($C60,المدخلات!$AC$6:$AC$12,0)),1),0)</f>
        <v/>
      </c>
      <c r="K60" s="71">
        <f>ROUNDUP($J60/IFERROR(INDEX(المدخلات!$AF$6:$AF$12,MATCH($C60,المدخلات!$AC$6:$AC$12,0)),1),0)</f>
        <v/>
      </c>
      <c r="L60" s="22" t="n"/>
      <c r="M60" s="22" t="n"/>
      <c r="N60" s="22" t="n"/>
      <c r="O60" s="22" t="n"/>
      <c r="P60" s="22" t="n"/>
      <c r="Q60" s="22" t="n"/>
      <c r="R60" s="22" t="n"/>
    </row>
    <row r="61" hidden="1">
      <c r="B61" s="74">
        <f>'عدد اللاعبين'!B50</f>
        <v/>
      </c>
      <c r="C61" s="69">
        <f>'عدد اللاعبين'!C50</f>
        <v/>
      </c>
      <c r="D61" s="69">
        <f>IFERROR(INDEX(المدخلات!$AD$6:$AD$12,MATCH($C61,المدخلات!$AC$6:$AC$12,0)),"")</f>
        <v/>
      </c>
      <c r="E61" s="69">
        <f>'عدد اللاعبين'!D50</f>
        <v/>
      </c>
      <c r="F61" s="70">
        <f>'عدد اللاعبين'!F50</f>
        <v/>
      </c>
      <c r="G61" s="71">
        <f>'عدد اللاعبين'!G50</f>
        <v/>
      </c>
      <c r="H61" s="69">
        <f>IFERROR(INDEX(المدخلات!$AE$6:$AE$12,MATCH($C61,المدخلات!$AC$6:$AC$12,0)),"")</f>
        <v/>
      </c>
      <c r="I61" s="71">
        <f>IF($G61&lt;الحد_الأدنى,0,ROUNDDOWN($G61/فرق_المباراة,0))</f>
        <v/>
      </c>
      <c r="J61" s="71">
        <f>ROUNDUP($I61/IFERROR(INDEX(المدخلات!$AJ$6:$AJ$12,MATCH($C61,المدخلات!$AC$6:$AC$12,0)),1),0)</f>
        <v/>
      </c>
      <c r="K61" s="71">
        <f>ROUNDUP($J61/IFERROR(INDEX(المدخلات!$AF$6:$AF$12,MATCH($C61,المدخلات!$AC$6:$AC$12,0)),1),0)</f>
        <v/>
      </c>
      <c r="L61" s="22" t="n"/>
      <c r="M61" s="22" t="n"/>
      <c r="N61" s="22" t="n"/>
      <c r="O61" s="22" t="n"/>
      <c r="P61" s="22" t="n"/>
      <c r="Q61" s="22" t="n"/>
      <c r="R61" s="22" t="n"/>
    </row>
    <row r="62" hidden="1">
      <c r="B62" s="74">
        <f>'عدد اللاعبين'!B51</f>
        <v/>
      </c>
      <c r="C62" s="69">
        <f>'عدد اللاعبين'!C51</f>
        <v/>
      </c>
      <c r="D62" s="69">
        <f>IFERROR(INDEX(المدخلات!$AD$6:$AD$12,MATCH($C62,المدخلات!$AC$6:$AC$12,0)),"")</f>
        <v/>
      </c>
      <c r="E62" s="69">
        <f>'عدد اللاعبين'!D51</f>
        <v/>
      </c>
      <c r="F62" s="70">
        <f>'عدد اللاعبين'!F51</f>
        <v/>
      </c>
      <c r="G62" s="71">
        <f>'عدد اللاعبين'!G51</f>
        <v/>
      </c>
      <c r="H62" s="69">
        <f>IFERROR(INDEX(المدخلات!$AE$6:$AE$12,MATCH($C62,المدخلات!$AC$6:$AC$12,0)),"")</f>
        <v/>
      </c>
      <c r="I62" s="71">
        <f>IF($G62&lt;الحد_الأدنى,0,ROUNDDOWN($G62/فرق_المباراة,0))</f>
        <v/>
      </c>
      <c r="J62" s="71">
        <f>ROUNDUP($I62/IFERROR(INDEX(المدخلات!$AJ$6:$AJ$12,MATCH($C62,المدخلات!$AC$6:$AC$12,0)),1),0)</f>
        <v/>
      </c>
      <c r="K62" s="71">
        <f>ROUNDUP($J62/IFERROR(INDEX(المدخلات!$AF$6:$AF$12,MATCH($C62,المدخلات!$AC$6:$AC$12,0)),1),0)</f>
        <v/>
      </c>
      <c r="L62" s="22" t="n"/>
      <c r="M62" s="22" t="n"/>
      <c r="N62" s="22" t="n"/>
      <c r="O62" s="22" t="n"/>
      <c r="P62" s="22" t="n"/>
      <c r="Q62" s="22" t="n"/>
      <c r="R62" s="22" t="n"/>
    </row>
    <row r="63" hidden="1">
      <c r="B63" s="74">
        <f>'عدد اللاعبين'!B52</f>
        <v/>
      </c>
      <c r="C63" s="69">
        <f>'عدد اللاعبين'!C52</f>
        <v/>
      </c>
      <c r="D63" s="69">
        <f>IFERROR(INDEX(المدخلات!$AD$6:$AD$12,MATCH($C63,المدخلات!$AC$6:$AC$12,0)),"")</f>
        <v/>
      </c>
      <c r="E63" s="69">
        <f>'عدد اللاعبين'!D52</f>
        <v/>
      </c>
      <c r="F63" s="70">
        <f>'عدد اللاعبين'!F52</f>
        <v/>
      </c>
      <c r="G63" s="71">
        <f>'عدد اللاعبين'!G52</f>
        <v/>
      </c>
      <c r="H63" s="69">
        <f>IFERROR(INDEX(المدخلات!$AE$6:$AE$12,MATCH($C63,المدخلات!$AC$6:$AC$12,0)),"")</f>
        <v/>
      </c>
      <c r="I63" s="71">
        <f>IF($G63&lt;الحد_الأدنى,0,ROUNDDOWN($G63/فرق_المباراة,0))</f>
        <v/>
      </c>
      <c r="J63" s="71">
        <f>ROUNDUP($I63/IFERROR(INDEX(المدخلات!$AJ$6:$AJ$12,MATCH($C63,المدخلات!$AC$6:$AC$12,0)),1),0)</f>
        <v/>
      </c>
      <c r="K63" s="71">
        <f>ROUNDUP($J63/IFERROR(INDEX(المدخلات!$AF$6:$AF$12,MATCH($C63,المدخلات!$AC$6:$AC$12,0)),1),0)</f>
        <v/>
      </c>
      <c r="L63" s="22" t="n"/>
      <c r="M63" s="22" t="n"/>
      <c r="N63" s="22" t="n"/>
      <c r="O63" s="22" t="n"/>
      <c r="P63" s="22" t="n"/>
      <c r="Q63" s="22" t="n"/>
      <c r="R63" s="22" t="n"/>
    </row>
    <row r="64" hidden="1">
      <c r="B64" s="74">
        <f>'عدد اللاعبين'!B53</f>
        <v/>
      </c>
      <c r="C64" s="69">
        <f>'عدد اللاعبين'!C53</f>
        <v/>
      </c>
      <c r="D64" s="69">
        <f>IFERROR(INDEX(المدخلات!$AD$6:$AD$12,MATCH($C64,المدخلات!$AC$6:$AC$12,0)),"")</f>
        <v/>
      </c>
      <c r="E64" s="69">
        <f>'عدد اللاعبين'!D53</f>
        <v/>
      </c>
      <c r="F64" s="70">
        <f>'عدد اللاعبين'!F53</f>
        <v/>
      </c>
      <c r="G64" s="71">
        <f>'عدد اللاعبين'!G53</f>
        <v/>
      </c>
      <c r="H64" s="69">
        <f>IFERROR(INDEX(المدخلات!$AE$6:$AE$12,MATCH($C64,المدخلات!$AC$6:$AC$12,0)),"")</f>
        <v/>
      </c>
      <c r="I64" s="71">
        <f>IF($G64&lt;الحد_الأدنى,0,ROUNDDOWN($G64/فرق_المباراة,0))</f>
        <v/>
      </c>
      <c r="J64" s="71">
        <f>ROUNDUP($I64/IFERROR(INDEX(المدخلات!$AJ$6:$AJ$12,MATCH($C64,المدخلات!$AC$6:$AC$12,0)),1),0)</f>
        <v/>
      </c>
      <c r="K64" s="71">
        <f>ROUNDUP($J64/IFERROR(INDEX(المدخلات!$AF$6:$AF$12,MATCH($C64,المدخلات!$AC$6:$AC$12,0)),1),0)</f>
        <v/>
      </c>
      <c r="L64" s="22" t="n"/>
      <c r="M64" s="22" t="n"/>
      <c r="N64" s="22" t="n"/>
      <c r="O64" s="22" t="n"/>
      <c r="P64" s="22" t="n"/>
      <c r="Q64" s="22" t="n"/>
      <c r="R64" s="22" t="n"/>
    </row>
    <row r="65" hidden="1">
      <c r="B65" s="74">
        <f>'عدد اللاعبين'!B54</f>
        <v/>
      </c>
      <c r="C65" s="69">
        <f>'عدد اللاعبين'!C54</f>
        <v/>
      </c>
      <c r="D65" s="69">
        <f>IFERROR(INDEX(المدخلات!$AD$6:$AD$12,MATCH($C65,المدخلات!$AC$6:$AC$12,0)),"")</f>
        <v/>
      </c>
      <c r="E65" s="69">
        <f>'عدد اللاعبين'!D54</f>
        <v/>
      </c>
      <c r="F65" s="70">
        <f>'عدد اللاعبين'!F54</f>
        <v/>
      </c>
      <c r="G65" s="71">
        <f>'عدد اللاعبين'!G54</f>
        <v/>
      </c>
      <c r="H65" s="69">
        <f>IFERROR(INDEX(المدخلات!$AE$6:$AE$12,MATCH($C65,المدخلات!$AC$6:$AC$12,0)),"")</f>
        <v/>
      </c>
      <c r="I65" s="71">
        <f>IF($G65&lt;الحد_الأدنى,0,ROUNDDOWN($G65/فرق_المباراة,0))</f>
        <v/>
      </c>
      <c r="J65" s="71">
        <f>ROUNDUP($I65/IFERROR(INDEX(المدخلات!$AJ$6:$AJ$12,MATCH($C65,المدخلات!$AC$6:$AC$12,0)),1),0)</f>
        <v/>
      </c>
      <c r="K65" s="71">
        <f>ROUNDUP($J65/IFERROR(INDEX(المدخلات!$AF$6:$AF$12,MATCH($C65,المدخلات!$AC$6:$AC$12,0)),1),0)</f>
        <v/>
      </c>
      <c r="L65" s="22" t="n"/>
      <c r="M65" s="22" t="n"/>
      <c r="N65" s="22" t="n"/>
      <c r="O65" s="22" t="n"/>
      <c r="P65" s="22" t="n"/>
      <c r="Q65" s="22" t="n"/>
      <c r="R65" s="22" t="n"/>
    </row>
    <row r="66" hidden="1">
      <c r="B66" s="74">
        <f>'عدد اللاعبين'!B55</f>
        <v/>
      </c>
      <c r="C66" s="69">
        <f>'عدد اللاعبين'!C55</f>
        <v/>
      </c>
      <c r="D66" s="69">
        <f>IFERROR(INDEX(المدخلات!$AD$6:$AD$12,MATCH($C66,المدخلات!$AC$6:$AC$12,0)),"")</f>
        <v/>
      </c>
      <c r="E66" s="69">
        <f>'عدد اللاعبين'!D55</f>
        <v/>
      </c>
      <c r="F66" s="70">
        <f>'عدد اللاعبين'!F55</f>
        <v/>
      </c>
      <c r="G66" s="71">
        <f>'عدد اللاعبين'!G55</f>
        <v/>
      </c>
      <c r="H66" s="69">
        <f>IFERROR(INDEX(المدخلات!$AE$6:$AE$12,MATCH($C66,المدخلات!$AC$6:$AC$12,0)),"")</f>
        <v/>
      </c>
      <c r="I66" s="71">
        <f>IF($G66&lt;الحد_الأدنى,0,ROUNDDOWN($G66/فرق_المباراة,0))</f>
        <v/>
      </c>
      <c r="J66" s="71">
        <f>ROUNDUP($I66/IFERROR(INDEX(المدخلات!$AJ$6:$AJ$12,MATCH($C66,المدخلات!$AC$6:$AC$12,0)),1),0)</f>
        <v/>
      </c>
      <c r="K66" s="71">
        <f>ROUNDUP($J66/IFERROR(INDEX(المدخلات!$AF$6:$AF$12,MATCH($C66,المدخلات!$AC$6:$AC$12,0)),1),0)</f>
        <v/>
      </c>
      <c r="L66" s="22" t="n"/>
      <c r="M66" s="22" t="n"/>
      <c r="N66" s="22" t="n"/>
      <c r="O66" s="22" t="n"/>
      <c r="P66" s="22" t="n"/>
      <c r="Q66" s="22" t="n"/>
      <c r="R66" s="22" t="n"/>
    </row>
    <row r="67" hidden="1">
      <c r="B67" s="74">
        <f>'عدد اللاعبين'!B56</f>
        <v/>
      </c>
      <c r="C67" s="69">
        <f>'عدد اللاعبين'!C56</f>
        <v/>
      </c>
      <c r="D67" s="69">
        <f>IFERROR(INDEX(المدخلات!$AD$6:$AD$12,MATCH($C67,المدخلات!$AC$6:$AC$12,0)),"")</f>
        <v/>
      </c>
      <c r="E67" s="69">
        <f>'عدد اللاعبين'!D56</f>
        <v/>
      </c>
      <c r="F67" s="70">
        <f>'عدد اللاعبين'!F56</f>
        <v/>
      </c>
      <c r="G67" s="71">
        <f>'عدد اللاعبين'!G56</f>
        <v/>
      </c>
      <c r="H67" s="69">
        <f>IFERROR(INDEX(المدخلات!$AE$6:$AE$12,MATCH($C67,المدخلات!$AC$6:$AC$12,0)),"")</f>
        <v/>
      </c>
      <c r="I67" s="71">
        <f>IF($G67&lt;الحد_الأدنى,0,ROUNDDOWN($G67/فرق_المباراة,0))</f>
        <v/>
      </c>
      <c r="J67" s="71">
        <f>ROUNDUP($I67/IFERROR(INDEX(المدخلات!$AJ$6:$AJ$12,MATCH($C67,المدخلات!$AC$6:$AC$12,0)),1),0)</f>
        <v/>
      </c>
      <c r="K67" s="71">
        <f>ROUNDUP($J67/IFERROR(INDEX(المدخلات!$AF$6:$AF$12,MATCH($C67,المدخلات!$AC$6:$AC$12,0)),1),0)</f>
        <v/>
      </c>
      <c r="L67" s="22" t="n"/>
      <c r="M67" s="22" t="n"/>
      <c r="N67" s="22" t="n"/>
      <c r="O67" s="22" t="n"/>
      <c r="P67" s="22" t="n"/>
      <c r="Q67" s="22" t="n"/>
      <c r="R67" s="22" t="n"/>
    </row>
    <row r="68" hidden="1">
      <c r="B68" s="74">
        <f>'عدد اللاعبين'!B57</f>
        <v/>
      </c>
      <c r="C68" s="69">
        <f>'عدد اللاعبين'!C57</f>
        <v/>
      </c>
      <c r="D68" s="69">
        <f>IFERROR(INDEX(المدخلات!$AD$6:$AD$12,MATCH($C68,المدخلات!$AC$6:$AC$12,0)),"")</f>
        <v/>
      </c>
      <c r="E68" s="69">
        <f>'عدد اللاعبين'!D57</f>
        <v/>
      </c>
      <c r="F68" s="70">
        <f>'عدد اللاعبين'!F57</f>
        <v/>
      </c>
      <c r="G68" s="71">
        <f>'عدد اللاعبين'!G57</f>
        <v/>
      </c>
      <c r="H68" s="69">
        <f>IFERROR(INDEX(المدخلات!$AE$6:$AE$12,MATCH($C68,المدخلات!$AC$6:$AC$12,0)),"")</f>
        <v/>
      </c>
      <c r="I68" s="71">
        <f>IF($G68&lt;الحد_الأدنى,0,ROUNDDOWN($G68/فرق_المباراة,0))</f>
        <v/>
      </c>
      <c r="J68" s="71">
        <f>ROUNDUP($I68/IFERROR(INDEX(المدخلات!$AJ$6:$AJ$12,MATCH($C68,المدخلات!$AC$6:$AC$12,0)),1),0)</f>
        <v/>
      </c>
      <c r="K68" s="71">
        <f>ROUNDUP($J68/IFERROR(INDEX(المدخلات!$AF$6:$AF$12,MATCH($C68,المدخلات!$AC$6:$AC$12,0)),1),0)</f>
        <v/>
      </c>
      <c r="L68" s="22" t="n"/>
      <c r="M68" s="22" t="n"/>
      <c r="N68" s="22" t="n"/>
      <c r="O68" s="22" t="n"/>
      <c r="P68" s="22" t="n"/>
      <c r="Q68" s="22" t="n"/>
      <c r="R68" s="22" t="n"/>
    </row>
    <row r="69">
      <c r="B69" s="74">
        <f>'عدد اللاعبين'!B58</f>
        <v/>
      </c>
      <c r="C69" s="69">
        <f>'عدد اللاعبين'!C58</f>
        <v/>
      </c>
      <c r="D69" s="69">
        <f>IFERROR(INDEX(المدخلات!$AD$6:$AD$12,MATCH($C69,المدخلات!$AC$6:$AC$12,0)),"")</f>
        <v/>
      </c>
      <c r="E69" s="69">
        <f>'عدد اللاعبين'!D58</f>
        <v/>
      </c>
      <c r="F69" s="70">
        <f>'عدد اللاعبين'!F58</f>
        <v/>
      </c>
      <c r="G69" s="71">
        <f>'عدد اللاعبين'!G58</f>
        <v/>
      </c>
      <c r="H69" s="69">
        <f>IFERROR(INDEX(المدخلات!$AE$6:$AE$12,MATCH($C69,المدخلات!$AC$6:$AC$12,0)),"")</f>
        <v/>
      </c>
      <c r="I69" s="71">
        <f>IF($G69&lt;الحد_الأدنى,0,ROUNDDOWN($G69/فرق_المباراة,0))</f>
        <v/>
      </c>
      <c r="J69" s="71">
        <f>ROUNDUP($I69/IFERROR(INDEX(المدخلات!$AJ$6:$AJ$12,MATCH($C69,المدخلات!$AC$6:$AC$12,0)),1),0)</f>
        <v/>
      </c>
      <c r="K69" s="71">
        <f>ROUNDUP($J69/IFERROR(INDEX(المدخلات!$AF$6:$AF$12,MATCH($C69,المدخلات!$AC$6:$AC$12,0)),1),0)</f>
        <v/>
      </c>
      <c r="L69" s="22" t="n"/>
      <c r="M69" s="22" t="n"/>
      <c r="N69" s="22" t="n"/>
      <c r="O69" s="22" t="n"/>
      <c r="P69" s="22" t="n"/>
      <c r="Q69" s="22" t="n"/>
      <c r="R69" s="22" t="n"/>
    </row>
    <row r="70">
      <c r="B70" s="74">
        <f>'عدد اللاعبين'!B59</f>
        <v/>
      </c>
      <c r="C70" s="69">
        <f>'عدد اللاعبين'!C59</f>
        <v/>
      </c>
      <c r="D70" s="69">
        <f>IFERROR(INDEX(المدخلات!$AD$6:$AD$12,MATCH($C70,المدخلات!$AC$6:$AC$12,0)),"")</f>
        <v/>
      </c>
      <c r="E70" s="69">
        <f>'عدد اللاعبين'!D59</f>
        <v/>
      </c>
      <c r="F70" s="70">
        <f>'عدد اللاعبين'!F59</f>
        <v/>
      </c>
      <c r="G70" s="71">
        <f>'عدد اللاعبين'!G59</f>
        <v/>
      </c>
      <c r="H70" s="69">
        <f>IFERROR(INDEX(المدخلات!$AE$6:$AE$12,MATCH($C70,المدخلات!$AC$6:$AC$12,0)),"")</f>
        <v/>
      </c>
      <c r="I70" s="71">
        <f>IF($G70&lt;الحد_الأدنى,0,ROUNDDOWN($G70/فرق_المباراة,0))</f>
        <v/>
      </c>
      <c r="J70" s="71">
        <f>ROUNDUP($I70/IFERROR(INDEX(المدخلات!$AJ$6:$AJ$12,MATCH($C70,المدخلات!$AC$6:$AC$12,0)),1),0)</f>
        <v/>
      </c>
      <c r="K70" s="71">
        <f>ROUNDUP($J70/IFERROR(INDEX(المدخلات!$AF$6:$AF$12,MATCH($C70,المدخلات!$AC$6:$AC$12,0)),1),0)</f>
        <v/>
      </c>
      <c r="L70" s="22" t="n"/>
      <c r="M70" s="22" t="n"/>
      <c r="N70" s="22" t="n"/>
      <c r="O70" s="22" t="n"/>
      <c r="P70" s="22" t="n"/>
      <c r="Q70" s="22" t="n"/>
      <c r="R70" s="22" t="n"/>
    </row>
    <row r="71">
      <c r="B71" s="74">
        <f>'عدد اللاعبين'!B60</f>
        <v/>
      </c>
      <c r="C71" s="69">
        <f>'عدد اللاعبين'!C60</f>
        <v/>
      </c>
      <c r="D71" s="69">
        <f>IFERROR(INDEX(المدخلات!$AD$6:$AD$12,MATCH($C71,المدخلات!$AC$6:$AC$12,0)),"")</f>
        <v/>
      </c>
      <c r="E71" s="69">
        <f>'عدد اللاعبين'!D60</f>
        <v/>
      </c>
      <c r="F71" s="70">
        <f>'عدد اللاعبين'!F60</f>
        <v/>
      </c>
      <c r="G71" s="71">
        <f>'عدد اللاعبين'!G60</f>
        <v/>
      </c>
      <c r="H71" s="69">
        <f>IFERROR(INDEX(المدخلات!$AE$6:$AE$12,MATCH($C71,المدخلات!$AC$6:$AC$12,0)),"")</f>
        <v/>
      </c>
      <c r="I71" s="71">
        <f>IF($G71&lt;الحد_الأدنى,0,ROUNDDOWN($G71/فرق_المباراة,0))</f>
        <v/>
      </c>
      <c r="J71" s="71">
        <f>ROUNDUP($I71/IFERROR(INDEX(المدخلات!$AJ$6:$AJ$12,MATCH($C71,المدخلات!$AC$6:$AC$12,0)),1),0)</f>
        <v/>
      </c>
      <c r="K71" s="71">
        <f>ROUNDUP($J71/IFERROR(INDEX(المدخلات!$AF$6:$AF$12,MATCH($C71,المدخلات!$AC$6:$AC$12,0)),1),0)</f>
        <v/>
      </c>
      <c r="L71" s="22" t="n"/>
      <c r="M71" s="22" t="n"/>
      <c r="N71" s="22" t="n"/>
      <c r="O71" s="22" t="n"/>
      <c r="P71" s="22" t="n"/>
      <c r="Q71" s="22" t="n"/>
      <c r="R71" s="22" t="n"/>
    </row>
    <row r="72" hidden="1">
      <c r="B72" s="74">
        <f>'عدد اللاعبين'!B61</f>
        <v/>
      </c>
      <c r="C72" s="69">
        <f>'عدد اللاعبين'!C61</f>
        <v/>
      </c>
      <c r="D72" s="69">
        <f>IFERROR(INDEX(المدخلات!$AD$6:$AD$12,MATCH($C72,المدخلات!$AC$6:$AC$12,0)),"")</f>
        <v/>
      </c>
      <c r="E72" s="69">
        <f>'عدد اللاعبين'!D61</f>
        <v/>
      </c>
      <c r="F72" s="70">
        <f>'عدد اللاعبين'!F61</f>
        <v/>
      </c>
      <c r="G72" s="71">
        <f>'عدد اللاعبين'!G61</f>
        <v/>
      </c>
      <c r="H72" s="69">
        <f>IFERROR(INDEX(المدخلات!$AE$6:$AE$12,MATCH($C72,المدخلات!$AC$6:$AC$12,0)),"")</f>
        <v/>
      </c>
      <c r="I72" s="71">
        <f>IF($G72&lt;الحد_الأدنى,0,ROUNDDOWN($G72/فرق_المباراة,0))</f>
        <v/>
      </c>
      <c r="J72" s="71">
        <f>ROUNDUP($I72/IFERROR(INDEX(المدخلات!$AJ$6:$AJ$12,MATCH($C72,المدخلات!$AC$6:$AC$12,0)),1),0)</f>
        <v/>
      </c>
      <c r="K72" s="71">
        <f>ROUNDUP($J72/IFERROR(INDEX(المدخلات!$AF$6:$AF$12,MATCH($C72,المدخلات!$AC$6:$AC$12,0)),1),0)</f>
        <v/>
      </c>
      <c r="L72" s="22" t="n"/>
      <c r="M72" s="22" t="n"/>
      <c r="N72" s="22" t="n"/>
      <c r="O72" s="22" t="n"/>
      <c r="P72" s="22" t="n"/>
      <c r="Q72" s="22" t="n"/>
      <c r="R72" s="22" t="n"/>
    </row>
    <row r="73" hidden="1">
      <c r="B73" s="74">
        <f>'عدد اللاعبين'!B62</f>
        <v/>
      </c>
      <c r="C73" s="69">
        <f>'عدد اللاعبين'!C62</f>
        <v/>
      </c>
      <c r="D73" s="69">
        <f>IFERROR(INDEX(المدخلات!$AD$6:$AD$12,MATCH($C73,المدخلات!$AC$6:$AC$12,0)),"")</f>
        <v/>
      </c>
      <c r="E73" s="69">
        <f>'عدد اللاعبين'!D62</f>
        <v/>
      </c>
      <c r="F73" s="70">
        <f>'عدد اللاعبين'!F62</f>
        <v/>
      </c>
      <c r="G73" s="71">
        <f>'عدد اللاعبين'!G62</f>
        <v/>
      </c>
      <c r="H73" s="69">
        <f>IFERROR(INDEX(المدخلات!$AE$6:$AE$12,MATCH($C73,المدخلات!$AC$6:$AC$12,0)),"")</f>
        <v/>
      </c>
      <c r="I73" s="71">
        <f>IF($G73&lt;الحد_الأدنى,0,ROUNDDOWN($G73/فرق_المباراة,0))</f>
        <v/>
      </c>
      <c r="J73" s="71">
        <f>ROUNDUP($I73/IFERROR(INDEX(المدخلات!$AJ$6:$AJ$12,MATCH($C73,المدخلات!$AC$6:$AC$12,0)),1),0)</f>
        <v/>
      </c>
      <c r="K73" s="71">
        <f>ROUNDUP($J73/IFERROR(INDEX(المدخلات!$AF$6:$AF$12,MATCH($C73,المدخلات!$AC$6:$AC$12,0)),1),0)</f>
        <v/>
      </c>
      <c r="L73" s="22" t="n"/>
      <c r="M73" s="22" t="n"/>
      <c r="N73" s="22" t="n"/>
      <c r="O73" s="22" t="n"/>
      <c r="P73" s="22" t="n"/>
      <c r="Q73" s="22" t="n"/>
      <c r="R73" s="22" t="n"/>
    </row>
    <row r="74" hidden="1">
      <c r="B74" s="74">
        <f>'عدد اللاعبين'!B63</f>
        <v/>
      </c>
      <c r="C74" s="69">
        <f>'عدد اللاعبين'!C63</f>
        <v/>
      </c>
      <c r="D74" s="69">
        <f>IFERROR(INDEX(المدخلات!$AD$6:$AD$12,MATCH($C74,المدخلات!$AC$6:$AC$12,0)),"")</f>
        <v/>
      </c>
      <c r="E74" s="69">
        <f>'عدد اللاعبين'!D63</f>
        <v/>
      </c>
      <c r="F74" s="70">
        <f>'عدد اللاعبين'!F63</f>
        <v/>
      </c>
      <c r="G74" s="71">
        <f>'عدد اللاعبين'!G63</f>
        <v/>
      </c>
      <c r="H74" s="69">
        <f>IFERROR(INDEX(المدخلات!$AE$6:$AE$12,MATCH($C74,المدخلات!$AC$6:$AC$12,0)),"")</f>
        <v/>
      </c>
      <c r="I74" s="71">
        <f>IF($G74&lt;الحد_الأدنى,0,ROUNDDOWN($G74/فرق_المباراة,0))</f>
        <v/>
      </c>
      <c r="J74" s="71">
        <f>ROUNDUP($I74/IFERROR(INDEX(المدخلات!$AJ$6:$AJ$12,MATCH($C74,المدخلات!$AC$6:$AC$12,0)),1),0)</f>
        <v/>
      </c>
      <c r="K74" s="71">
        <f>ROUNDUP($J74/IFERROR(INDEX(المدخلات!$AF$6:$AF$12,MATCH($C74,المدخلات!$AC$6:$AC$12,0)),1),0)</f>
        <v/>
      </c>
      <c r="L74" s="22" t="n"/>
      <c r="M74" s="22" t="n"/>
      <c r="N74" s="22" t="n"/>
      <c r="O74" s="22" t="n"/>
      <c r="P74" s="22" t="n"/>
      <c r="Q74" s="22" t="n"/>
      <c r="R74" s="22" t="n"/>
    </row>
    <row r="75" hidden="1">
      <c r="B75" s="74">
        <f>'عدد اللاعبين'!B64</f>
        <v/>
      </c>
      <c r="C75" s="69">
        <f>'عدد اللاعبين'!C64</f>
        <v/>
      </c>
      <c r="D75" s="69">
        <f>IFERROR(INDEX(المدخلات!$AD$6:$AD$12,MATCH($C75,المدخلات!$AC$6:$AC$12,0)),"")</f>
        <v/>
      </c>
      <c r="E75" s="69">
        <f>'عدد اللاعبين'!D64</f>
        <v/>
      </c>
      <c r="F75" s="70">
        <f>'عدد اللاعبين'!F64</f>
        <v/>
      </c>
      <c r="G75" s="71">
        <f>'عدد اللاعبين'!G64</f>
        <v/>
      </c>
      <c r="H75" s="69">
        <f>IFERROR(INDEX(المدخلات!$AE$6:$AE$12,MATCH($C75,المدخلات!$AC$6:$AC$12,0)),"")</f>
        <v/>
      </c>
      <c r="I75" s="71">
        <f>IF($G75&lt;الحد_الأدنى,0,ROUNDDOWN($G75/فرق_المباراة,0))</f>
        <v/>
      </c>
      <c r="J75" s="71">
        <f>ROUNDUP($I75/IFERROR(INDEX(المدخلات!$AJ$6:$AJ$12,MATCH($C75,المدخلات!$AC$6:$AC$12,0)),1),0)</f>
        <v/>
      </c>
      <c r="K75" s="71">
        <f>ROUNDUP($J75/IFERROR(INDEX(المدخلات!$AF$6:$AF$12,MATCH($C75,المدخلات!$AC$6:$AC$12,0)),1),0)</f>
        <v/>
      </c>
      <c r="L75" s="22" t="n"/>
      <c r="M75" s="22" t="n"/>
      <c r="N75" s="22" t="n"/>
      <c r="O75" s="22" t="n"/>
      <c r="P75" s="22" t="n"/>
      <c r="Q75" s="22" t="n"/>
      <c r="R75" s="22" t="n"/>
    </row>
    <row r="76" hidden="1">
      <c r="B76" s="74">
        <f>'عدد اللاعبين'!B65</f>
        <v/>
      </c>
      <c r="C76" s="69">
        <f>'عدد اللاعبين'!C65</f>
        <v/>
      </c>
      <c r="D76" s="69">
        <f>IFERROR(INDEX(المدخلات!$AD$6:$AD$12,MATCH($C76,المدخلات!$AC$6:$AC$12,0)),"")</f>
        <v/>
      </c>
      <c r="E76" s="69">
        <f>'عدد اللاعبين'!D65</f>
        <v/>
      </c>
      <c r="F76" s="70">
        <f>'عدد اللاعبين'!F65</f>
        <v/>
      </c>
      <c r="G76" s="71">
        <f>'عدد اللاعبين'!G65</f>
        <v/>
      </c>
      <c r="H76" s="69">
        <f>IFERROR(INDEX(المدخلات!$AE$6:$AE$12,MATCH($C76,المدخلات!$AC$6:$AC$12,0)),"")</f>
        <v/>
      </c>
      <c r="I76" s="71">
        <f>IF($G76&lt;الحد_الأدنى,0,ROUNDDOWN($G76/فرق_المباراة,0))</f>
        <v/>
      </c>
      <c r="J76" s="71">
        <f>ROUNDUP($I76/IFERROR(INDEX(المدخلات!$AJ$6:$AJ$12,MATCH($C76,المدخلات!$AC$6:$AC$12,0)),1),0)</f>
        <v/>
      </c>
      <c r="K76" s="71">
        <f>ROUNDUP($J76/IFERROR(INDEX(المدخلات!$AF$6:$AF$12,MATCH($C76,المدخلات!$AC$6:$AC$12,0)),1),0)</f>
        <v/>
      </c>
      <c r="L76" s="22" t="n"/>
      <c r="M76" s="22" t="n"/>
      <c r="N76" s="22" t="n"/>
      <c r="O76" s="22" t="n"/>
      <c r="P76" s="22" t="n"/>
      <c r="Q76" s="22" t="n"/>
      <c r="R76" s="22" t="n"/>
    </row>
    <row r="77" hidden="1">
      <c r="B77" s="74">
        <f>'عدد اللاعبين'!B66</f>
        <v/>
      </c>
      <c r="C77" s="69">
        <f>'عدد اللاعبين'!C66</f>
        <v/>
      </c>
      <c r="D77" s="69">
        <f>IFERROR(INDEX(المدخلات!$AD$6:$AD$12,MATCH($C77,المدخلات!$AC$6:$AC$12,0)),"")</f>
        <v/>
      </c>
      <c r="E77" s="69">
        <f>'عدد اللاعبين'!D66</f>
        <v/>
      </c>
      <c r="F77" s="70">
        <f>'عدد اللاعبين'!F66</f>
        <v/>
      </c>
      <c r="G77" s="71">
        <f>'عدد اللاعبين'!G66</f>
        <v/>
      </c>
      <c r="H77" s="69">
        <f>IFERROR(INDEX(المدخلات!$AE$6:$AE$12,MATCH($C77,المدخلات!$AC$6:$AC$12,0)),"")</f>
        <v/>
      </c>
      <c r="I77" s="71">
        <f>IF($G77&lt;الحد_الأدنى,0,ROUNDDOWN($G77/فرق_المباراة,0))</f>
        <v/>
      </c>
      <c r="J77" s="71">
        <f>ROUNDUP($I77/IFERROR(INDEX(المدخلات!$AJ$6:$AJ$12,MATCH($C77,المدخلات!$AC$6:$AC$12,0)),1),0)</f>
        <v/>
      </c>
      <c r="K77" s="71">
        <f>ROUNDUP($J77/IFERROR(INDEX(المدخلات!$AF$6:$AF$12,MATCH($C77,المدخلات!$AC$6:$AC$12,0)),1),0)</f>
        <v/>
      </c>
      <c r="L77" s="22" t="n"/>
      <c r="M77" s="22" t="n"/>
      <c r="N77" s="22" t="n"/>
      <c r="O77" s="22" t="n"/>
      <c r="P77" s="22" t="n"/>
      <c r="Q77" s="22" t="n"/>
      <c r="R77" s="22" t="n"/>
    </row>
    <row r="78" hidden="1">
      <c r="B78" s="74">
        <f>'عدد اللاعبين'!B67</f>
        <v/>
      </c>
      <c r="C78" s="69">
        <f>'عدد اللاعبين'!C67</f>
        <v/>
      </c>
      <c r="D78" s="69">
        <f>IFERROR(INDEX(المدخلات!$AD$6:$AD$12,MATCH($C78,المدخلات!$AC$6:$AC$12,0)),"")</f>
        <v/>
      </c>
      <c r="E78" s="69">
        <f>'عدد اللاعبين'!D67</f>
        <v/>
      </c>
      <c r="F78" s="70">
        <f>'عدد اللاعبين'!F67</f>
        <v/>
      </c>
      <c r="G78" s="71">
        <f>'عدد اللاعبين'!G67</f>
        <v/>
      </c>
      <c r="H78" s="69">
        <f>IFERROR(INDEX(المدخلات!$AE$6:$AE$12,MATCH($C78,المدخلات!$AC$6:$AC$12,0)),"")</f>
        <v/>
      </c>
      <c r="I78" s="71">
        <f>IF($G78&lt;الحد_الأدنى,0,ROUNDDOWN($G78/فرق_المباراة,0))</f>
        <v/>
      </c>
      <c r="J78" s="71">
        <f>ROUNDUP($I78/IFERROR(INDEX(المدخلات!$AJ$6:$AJ$12,MATCH($C78,المدخلات!$AC$6:$AC$12,0)),1),0)</f>
        <v/>
      </c>
      <c r="K78" s="71">
        <f>ROUNDUP($J78/IFERROR(INDEX(المدخلات!$AF$6:$AF$12,MATCH($C78,المدخلات!$AC$6:$AC$12,0)),1),0)</f>
        <v/>
      </c>
      <c r="L78" s="22" t="n"/>
      <c r="M78" s="22" t="n"/>
      <c r="N78" s="22" t="n"/>
      <c r="O78" s="22" t="n"/>
      <c r="P78" s="22" t="n"/>
      <c r="Q78" s="22" t="n"/>
      <c r="R78" s="22" t="n"/>
    </row>
    <row r="79" hidden="1">
      <c r="B79" s="74">
        <f>'عدد اللاعبين'!B68</f>
        <v/>
      </c>
      <c r="C79" s="69">
        <f>'عدد اللاعبين'!C68</f>
        <v/>
      </c>
      <c r="D79" s="69">
        <f>IFERROR(INDEX(المدخلات!$AD$6:$AD$12,MATCH($C79,المدخلات!$AC$6:$AC$12,0)),"")</f>
        <v/>
      </c>
      <c r="E79" s="69">
        <f>'عدد اللاعبين'!D68</f>
        <v/>
      </c>
      <c r="F79" s="70">
        <f>'عدد اللاعبين'!F68</f>
        <v/>
      </c>
      <c r="G79" s="71">
        <f>'عدد اللاعبين'!G68</f>
        <v/>
      </c>
      <c r="H79" s="69">
        <f>IFERROR(INDEX(المدخلات!$AE$6:$AE$12,MATCH($C79,المدخلات!$AC$6:$AC$12,0)),"")</f>
        <v/>
      </c>
      <c r="I79" s="71">
        <f>IF($G79&lt;الحد_الأدنى,0,ROUNDDOWN($G79/فرق_المباراة,0))</f>
        <v/>
      </c>
      <c r="J79" s="71">
        <f>ROUNDUP($I79/IFERROR(INDEX(المدخلات!$AJ$6:$AJ$12,MATCH($C79,المدخلات!$AC$6:$AC$12,0)),1),0)</f>
        <v/>
      </c>
      <c r="K79" s="71">
        <f>ROUNDUP($J79/IFERROR(INDEX(المدخلات!$AF$6:$AF$12,MATCH($C79,المدخلات!$AC$6:$AC$12,0)),1),0)</f>
        <v/>
      </c>
      <c r="L79" s="22" t="n"/>
      <c r="M79" s="22" t="n"/>
      <c r="N79" s="22" t="n"/>
      <c r="O79" s="22" t="n"/>
      <c r="P79" s="22" t="n"/>
      <c r="Q79" s="22" t="n"/>
      <c r="R79" s="22" t="n"/>
    </row>
    <row r="80" hidden="1">
      <c r="B80" s="74">
        <f>'عدد اللاعبين'!B69</f>
        <v/>
      </c>
      <c r="C80" s="69">
        <f>'عدد اللاعبين'!C69</f>
        <v/>
      </c>
      <c r="D80" s="69">
        <f>IFERROR(INDEX(المدخلات!$AD$6:$AD$12,MATCH($C80,المدخلات!$AC$6:$AC$12,0)),"")</f>
        <v/>
      </c>
      <c r="E80" s="69">
        <f>'عدد اللاعبين'!D69</f>
        <v/>
      </c>
      <c r="F80" s="70">
        <f>'عدد اللاعبين'!F69</f>
        <v/>
      </c>
      <c r="G80" s="71">
        <f>'عدد اللاعبين'!G69</f>
        <v/>
      </c>
      <c r="H80" s="69">
        <f>IFERROR(INDEX(المدخلات!$AE$6:$AE$12,MATCH($C80,المدخلات!$AC$6:$AC$12,0)),"")</f>
        <v/>
      </c>
      <c r="I80" s="71">
        <f>IF($G80&lt;الحد_الأدنى,0,ROUNDDOWN($G80/فرق_المباراة,0))</f>
        <v/>
      </c>
      <c r="J80" s="71">
        <f>ROUNDUP($I80/IFERROR(INDEX(المدخلات!$AJ$6:$AJ$12,MATCH($C80,المدخلات!$AC$6:$AC$12,0)),1),0)</f>
        <v/>
      </c>
      <c r="K80" s="71">
        <f>ROUNDUP($J80/IFERROR(INDEX(المدخلات!$AF$6:$AF$12,MATCH($C80,المدخلات!$AC$6:$AC$12,0)),1),0)</f>
        <v/>
      </c>
      <c r="L80" s="22" t="n"/>
      <c r="M80" s="22" t="n"/>
      <c r="N80" s="22" t="n"/>
      <c r="O80" s="22" t="n"/>
      <c r="P80" s="22" t="n"/>
      <c r="Q80" s="22" t="n"/>
      <c r="R80" s="22" t="n"/>
    </row>
    <row r="81" hidden="1">
      <c r="B81" s="74">
        <f>'عدد اللاعبين'!B70</f>
        <v/>
      </c>
      <c r="C81" s="69">
        <f>'عدد اللاعبين'!C70</f>
        <v/>
      </c>
      <c r="D81" s="69">
        <f>IFERROR(INDEX(المدخلات!$AD$6:$AD$12,MATCH($C81,المدخلات!$AC$6:$AC$12,0)),"")</f>
        <v/>
      </c>
      <c r="E81" s="69">
        <f>'عدد اللاعبين'!D70</f>
        <v/>
      </c>
      <c r="F81" s="70">
        <f>'عدد اللاعبين'!F70</f>
        <v/>
      </c>
      <c r="G81" s="71">
        <f>'عدد اللاعبين'!G70</f>
        <v/>
      </c>
      <c r="H81" s="69">
        <f>IFERROR(INDEX(المدخلات!$AE$6:$AE$12,MATCH($C81,المدخلات!$AC$6:$AC$12,0)),"")</f>
        <v/>
      </c>
      <c r="I81" s="71">
        <f>IF($G81&lt;الحد_الأدنى,0,ROUNDDOWN($G81/فرق_المباراة,0))</f>
        <v/>
      </c>
      <c r="J81" s="71">
        <f>ROUNDUP($I81/IFERROR(INDEX(المدخلات!$AJ$6:$AJ$12,MATCH($C81,المدخلات!$AC$6:$AC$12,0)),1),0)</f>
        <v/>
      </c>
      <c r="K81" s="71">
        <f>ROUNDUP($J81/IFERROR(INDEX(المدخلات!$AF$6:$AF$12,MATCH($C81,المدخلات!$AC$6:$AC$12,0)),1),0)</f>
        <v/>
      </c>
      <c r="L81" s="22" t="n"/>
      <c r="M81" s="22" t="n"/>
      <c r="N81" s="22" t="n"/>
      <c r="O81" s="22" t="n"/>
      <c r="P81" s="22" t="n"/>
      <c r="Q81" s="22" t="n"/>
      <c r="R81" s="22" t="n"/>
    </row>
    <row r="82">
      <c r="B82" s="74">
        <f>'عدد اللاعبين'!B71</f>
        <v/>
      </c>
      <c r="C82" s="69">
        <f>'عدد اللاعبين'!C71</f>
        <v/>
      </c>
      <c r="D82" s="69">
        <f>IFERROR(INDEX(المدخلات!$AD$6:$AD$12,MATCH($C82,المدخلات!$AC$6:$AC$12,0)),"")</f>
        <v/>
      </c>
      <c r="E82" s="69">
        <f>'عدد اللاعبين'!D71</f>
        <v/>
      </c>
      <c r="F82" s="70">
        <f>'عدد اللاعبين'!F71</f>
        <v/>
      </c>
      <c r="G82" s="71">
        <f>'عدد اللاعبين'!G71</f>
        <v/>
      </c>
      <c r="H82" s="69">
        <f>IFERROR(INDEX(المدخلات!$AE$6:$AE$12,MATCH($C82,المدخلات!$AC$6:$AC$12,0)),"")</f>
        <v/>
      </c>
      <c r="I82" s="71">
        <f>IF($G82&lt;الحد_الأدنى,0,ROUNDDOWN($G82/فرق_المباراة,0))</f>
        <v/>
      </c>
      <c r="J82" s="71">
        <f>ROUNDUP($I82/IFERROR(INDEX(المدخلات!$AJ$6:$AJ$12,MATCH($C82,المدخلات!$AC$6:$AC$12,0)),1),0)</f>
        <v/>
      </c>
      <c r="K82" s="71">
        <f>ROUNDUP($J82/IFERROR(INDEX(المدخلات!$AF$6:$AF$12,MATCH($C82,المدخلات!$AC$6:$AC$12,0)),1),0)</f>
        <v/>
      </c>
      <c r="L82" s="22" t="n"/>
      <c r="M82" s="22" t="n"/>
      <c r="N82" s="22" t="n"/>
      <c r="O82" s="22" t="n"/>
      <c r="P82" s="22" t="n"/>
      <c r="Q82" s="22" t="n"/>
      <c r="R82" s="22" t="n"/>
    </row>
    <row r="83" hidden="1">
      <c r="B83" s="74">
        <f>'عدد اللاعبين'!B72</f>
        <v/>
      </c>
      <c r="C83" s="69">
        <f>'عدد اللاعبين'!C72</f>
        <v/>
      </c>
      <c r="D83" s="69">
        <f>IFERROR(INDEX(المدخلات!$AD$6:$AD$12,MATCH($C83,المدخلات!$AC$6:$AC$12,0)),"")</f>
        <v/>
      </c>
      <c r="E83" s="69">
        <f>'عدد اللاعبين'!D72</f>
        <v/>
      </c>
      <c r="F83" s="70">
        <f>'عدد اللاعبين'!F72</f>
        <v/>
      </c>
      <c r="G83" s="71">
        <f>'عدد اللاعبين'!G72</f>
        <v/>
      </c>
      <c r="H83" s="69">
        <f>IFERROR(INDEX(المدخلات!$AE$6:$AE$12,MATCH($C83,المدخلات!$AC$6:$AC$12,0)),"")</f>
        <v/>
      </c>
      <c r="I83" s="71">
        <f>IF($G83&lt;الحد_الأدنى,0,ROUNDDOWN($G83/فرق_المباراة,0))</f>
        <v/>
      </c>
      <c r="J83" s="71">
        <f>ROUNDUP($I83/IFERROR(INDEX(المدخلات!$AJ$6:$AJ$12,MATCH($C83,المدخلات!$AC$6:$AC$12,0)),1),0)</f>
        <v/>
      </c>
      <c r="K83" s="71">
        <f>ROUNDUP($J83/IFERROR(INDEX(المدخلات!$AF$6:$AF$12,MATCH($C83,المدخلات!$AC$6:$AC$12,0)),1),0)</f>
        <v/>
      </c>
      <c r="L83" s="22" t="n"/>
      <c r="M83" s="22" t="n"/>
      <c r="N83" s="22" t="n"/>
      <c r="O83" s="22" t="n"/>
      <c r="P83" s="22" t="n"/>
      <c r="Q83" s="22" t="n"/>
      <c r="R83" s="22" t="n"/>
    </row>
    <row r="84" hidden="1">
      <c r="B84" s="74">
        <f>'عدد اللاعبين'!B73</f>
        <v/>
      </c>
      <c r="C84" s="69">
        <f>'عدد اللاعبين'!C73</f>
        <v/>
      </c>
      <c r="D84" s="69">
        <f>IFERROR(INDEX(المدخلات!$AD$6:$AD$12,MATCH($C84,المدخلات!$AC$6:$AC$12,0)),"")</f>
        <v/>
      </c>
      <c r="E84" s="69">
        <f>'عدد اللاعبين'!D73</f>
        <v/>
      </c>
      <c r="F84" s="70">
        <f>'عدد اللاعبين'!F73</f>
        <v/>
      </c>
      <c r="G84" s="71">
        <f>'عدد اللاعبين'!G73</f>
        <v/>
      </c>
      <c r="H84" s="69">
        <f>IFERROR(INDEX(المدخلات!$AE$6:$AE$12,MATCH($C84,المدخلات!$AC$6:$AC$12,0)),"")</f>
        <v/>
      </c>
      <c r="I84" s="71">
        <f>IF($G84&lt;الحد_الأدنى,0,ROUNDDOWN($G84/فرق_المباراة,0))</f>
        <v/>
      </c>
      <c r="J84" s="71">
        <f>ROUNDUP($I84/IFERROR(INDEX(المدخلات!$AJ$6:$AJ$12,MATCH($C84,المدخلات!$AC$6:$AC$12,0)),1),0)</f>
        <v/>
      </c>
      <c r="K84" s="71">
        <f>ROUNDUP($J84/IFERROR(INDEX(المدخلات!$AF$6:$AF$12,MATCH($C84,المدخلات!$AC$6:$AC$12,0)),1),0)</f>
        <v/>
      </c>
      <c r="L84" s="22" t="n"/>
      <c r="M84" s="22" t="n"/>
      <c r="N84" s="22" t="n"/>
      <c r="O84" s="22" t="n"/>
      <c r="P84" s="22" t="n"/>
      <c r="Q84" s="22" t="n"/>
      <c r="R84" s="22" t="n"/>
    </row>
    <row r="85" hidden="1">
      <c r="B85" s="74">
        <f>'عدد اللاعبين'!B74</f>
        <v/>
      </c>
      <c r="C85" s="69">
        <f>'عدد اللاعبين'!C74</f>
        <v/>
      </c>
      <c r="D85" s="69">
        <f>IFERROR(INDEX(المدخلات!$AD$6:$AD$12,MATCH($C85,المدخلات!$AC$6:$AC$12,0)),"")</f>
        <v/>
      </c>
      <c r="E85" s="69">
        <f>'عدد اللاعبين'!D74</f>
        <v/>
      </c>
      <c r="F85" s="70">
        <f>'عدد اللاعبين'!F74</f>
        <v/>
      </c>
      <c r="G85" s="71">
        <f>'عدد اللاعبين'!G74</f>
        <v/>
      </c>
      <c r="H85" s="69">
        <f>IFERROR(INDEX(المدخلات!$AE$6:$AE$12,MATCH($C85,المدخلات!$AC$6:$AC$12,0)),"")</f>
        <v/>
      </c>
      <c r="I85" s="71">
        <f>IF($G85&lt;الحد_الأدنى,0,ROUNDDOWN($G85/فرق_المباراة,0))</f>
        <v/>
      </c>
      <c r="J85" s="71">
        <f>ROUNDUP($I85/IFERROR(INDEX(المدخلات!$AJ$6:$AJ$12,MATCH($C85,المدخلات!$AC$6:$AC$12,0)),1),0)</f>
        <v/>
      </c>
      <c r="K85" s="71">
        <f>ROUNDUP($J85/IFERROR(INDEX(المدخلات!$AF$6:$AF$12,MATCH($C85,المدخلات!$AC$6:$AC$12,0)),1),0)</f>
        <v/>
      </c>
      <c r="L85" s="22" t="n"/>
      <c r="M85" s="22" t="n"/>
      <c r="N85" s="22" t="n"/>
      <c r="O85" s="22" t="n"/>
      <c r="P85" s="22" t="n"/>
      <c r="Q85" s="22" t="n"/>
      <c r="R85" s="22" t="n"/>
    </row>
    <row r="86" hidden="1">
      <c r="B86" s="74">
        <f>'عدد اللاعبين'!B75</f>
        <v/>
      </c>
      <c r="C86" s="69">
        <f>'عدد اللاعبين'!C75</f>
        <v/>
      </c>
      <c r="D86" s="69">
        <f>IFERROR(INDEX(المدخلات!$AD$6:$AD$12,MATCH($C86,المدخلات!$AC$6:$AC$12,0)),"")</f>
        <v/>
      </c>
      <c r="E86" s="69">
        <f>'عدد اللاعبين'!D75</f>
        <v/>
      </c>
      <c r="F86" s="70">
        <f>'عدد اللاعبين'!F75</f>
        <v/>
      </c>
      <c r="G86" s="71">
        <f>'عدد اللاعبين'!G75</f>
        <v/>
      </c>
      <c r="H86" s="69">
        <f>IFERROR(INDEX(المدخلات!$AE$6:$AE$12,MATCH($C86,المدخلات!$AC$6:$AC$12,0)),"")</f>
        <v/>
      </c>
      <c r="I86" s="71">
        <f>IF($G86&lt;الحد_الأدنى,0,ROUNDDOWN($G86/فرق_المباراة,0))</f>
        <v/>
      </c>
      <c r="J86" s="71">
        <f>ROUNDUP($I86/IFERROR(INDEX(المدخلات!$AJ$6:$AJ$12,MATCH($C86,المدخلات!$AC$6:$AC$12,0)),1),0)</f>
        <v/>
      </c>
      <c r="K86" s="71">
        <f>ROUNDUP($J86/IFERROR(INDEX(المدخلات!$AF$6:$AF$12,MATCH($C86,المدخلات!$AC$6:$AC$12,0)),1),0)</f>
        <v/>
      </c>
    </row>
    <row r="87" hidden="1">
      <c r="B87" s="74">
        <f>'عدد اللاعبين'!B76</f>
        <v/>
      </c>
      <c r="C87" s="69">
        <f>'عدد اللاعبين'!C76</f>
        <v/>
      </c>
      <c r="D87" s="69">
        <f>IFERROR(INDEX(المدخلات!$AD$6:$AD$12,MATCH($C87,المدخلات!$AC$6:$AC$12,0)),"")</f>
        <v/>
      </c>
      <c r="E87" s="69">
        <f>'عدد اللاعبين'!D76</f>
        <v/>
      </c>
      <c r="F87" s="70">
        <f>'عدد اللاعبين'!F76</f>
        <v/>
      </c>
      <c r="G87" s="71">
        <f>'عدد اللاعبين'!G76</f>
        <v/>
      </c>
      <c r="H87" s="69">
        <f>IFERROR(INDEX(المدخلات!$AE$6:$AE$12,MATCH($C87,المدخلات!$AC$6:$AC$12,0)),"")</f>
        <v/>
      </c>
      <c r="I87" s="71">
        <f>IF($G87&lt;الحد_الأدنى,0,ROUNDDOWN($G87/فرق_المباراة,0))</f>
        <v/>
      </c>
      <c r="J87" s="71">
        <f>ROUNDUP($I87/IFERROR(INDEX(المدخلات!$AJ$6:$AJ$12,MATCH($C87,المدخلات!$AC$6:$AC$12,0)),1),0)</f>
        <v/>
      </c>
      <c r="K87" s="71">
        <f>ROUNDUP($J87/IFERROR(INDEX(المدخلات!$AF$6:$AF$12,MATCH($C87,المدخلات!$AC$6:$AC$12,0)),1),0)</f>
        <v/>
      </c>
    </row>
    <row r="88" hidden="1">
      <c r="B88" s="74">
        <f>'عدد اللاعبين'!B77</f>
        <v/>
      </c>
      <c r="C88" s="69">
        <f>'عدد اللاعبين'!C77</f>
        <v/>
      </c>
      <c r="D88" s="69">
        <f>IFERROR(INDEX(المدخلات!$AD$6:$AD$12,MATCH($C88,المدخلات!$AC$6:$AC$12,0)),"")</f>
        <v/>
      </c>
      <c r="E88" s="69">
        <f>'عدد اللاعبين'!D77</f>
        <v/>
      </c>
      <c r="F88" s="70">
        <f>'عدد اللاعبين'!F77</f>
        <v/>
      </c>
      <c r="G88" s="71">
        <f>'عدد اللاعبين'!G77</f>
        <v/>
      </c>
      <c r="H88" s="69">
        <f>IFERROR(INDEX(المدخلات!$AE$6:$AE$12,MATCH($C88,المدخلات!$AC$6:$AC$12,0)),"")</f>
        <v/>
      </c>
      <c r="I88" s="71">
        <f>IF($G88&lt;الحد_الأدنى,0,ROUNDDOWN($G88/فرق_المباراة,0))</f>
        <v/>
      </c>
      <c r="J88" s="71">
        <f>ROUNDUP($I88/IFERROR(INDEX(المدخلات!$AJ$6:$AJ$12,MATCH($C88,المدخلات!$AC$6:$AC$12,0)),1),0)</f>
        <v/>
      </c>
      <c r="K88" s="71">
        <f>ROUNDUP($J88/IFERROR(INDEX(المدخلات!$AF$6:$AF$12,MATCH($C88,المدخلات!$AC$6:$AC$12,0)),1),0)</f>
        <v/>
      </c>
    </row>
    <row r="89" hidden="1" ht="34" customHeight="1">
      <c r="B89" s="74">
        <f>'عدد اللاعبين'!B78</f>
        <v/>
      </c>
      <c r="C89" s="69">
        <f>'عدد اللاعبين'!C78</f>
        <v/>
      </c>
      <c r="D89" s="69">
        <f>IFERROR(INDEX(المدخلات!$AD$6:$AD$12,MATCH($C89,المدخلات!$AC$6:$AC$12,0)),"")</f>
        <v/>
      </c>
      <c r="E89" s="69">
        <f>'عدد اللاعبين'!D78</f>
        <v/>
      </c>
      <c r="F89" s="70">
        <f>'عدد اللاعبين'!F78</f>
        <v/>
      </c>
      <c r="G89" s="71">
        <f>'عدد اللاعبين'!G78</f>
        <v/>
      </c>
      <c r="H89" s="69">
        <f>IFERROR(INDEX(المدخلات!$AE$6:$AE$12,MATCH($C89,المدخلات!$AC$6:$AC$12,0)),"")</f>
        <v/>
      </c>
      <c r="I89" s="71">
        <f>IF($G89&lt;الحد_الأدنى,0,ROUNDDOWN($G89/فرق_المباراة,0))</f>
        <v/>
      </c>
      <c r="J89" s="71">
        <f>ROUNDUP($I89/IFERROR(INDEX(المدخلات!$AJ$6:$AJ$12,MATCH($C89,المدخلات!$AC$6:$AC$12,0)),1),0)</f>
        <v/>
      </c>
      <c r="K89" s="71">
        <f>ROUNDUP($J89/IFERROR(INDEX(المدخلات!$AF$6:$AF$12,MATCH($C89,المدخلات!$AC$6:$AC$12,0)),1),0)</f>
        <v/>
      </c>
    </row>
    <row r="90" hidden="1">
      <c r="B90" s="74">
        <f>'عدد اللاعبين'!B79</f>
        <v/>
      </c>
      <c r="C90" s="69">
        <f>'عدد اللاعبين'!C79</f>
        <v/>
      </c>
      <c r="D90" s="69">
        <f>IFERROR(INDEX(المدخلات!$AD$6:$AD$12,MATCH($C90,المدخلات!$AC$6:$AC$12,0)),"")</f>
        <v/>
      </c>
      <c r="E90" s="69">
        <f>'عدد اللاعبين'!D79</f>
        <v/>
      </c>
      <c r="F90" s="70">
        <f>'عدد اللاعبين'!F79</f>
        <v/>
      </c>
      <c r="G90" s="71">
        <f>'عدد اللاعبين'!G79</f>
        <v/>
      </c>
      <c r="H90" s="69">
        <f>IFERROR(INDEX(المدخلات!$AE$6:$AE$12,MATCH($C90,المدخلات!$AC$6:$AC$12,0)),"")</f>
        <v/>
      </c>
      <c r="I90" s="71">
        <f>IF($G90&lt;الحد_الأدنى,0,ROUNDDOWN($G90/فرق_المباراة,0))</f>
        <v/>
      </c>
      <c r="J90" s="71">
        <f>ROUNDUP($I90/IFERROR(INDEX(المدخلات!$AJ$6:$AJ$12,MATCH($C90,المدخلات!$AC$6:$AC$12,0)),1),0)</f>
        <v/>
      </c>
      <c r="K90" s="71">
        <f>ROUNDUP($J90/IFERROR(INDEX(المدخلات!$AF$6:$AF$12,MATCH($C90,المدخلات!$AC$6:$AC$12,0)),1),0)</f>
        <v/>
      </c>
    </row>
    <row r="91" hidden="1">
      <c r="B91" s="74">
        <f>'عدد اللاعبين'!B80</f>
        <v/>
      </c>
      <c r="C91" s="69">
        <f>'عدد اللاعبين'!C80</f>
        <v/>
      </c>
      <c r="D91" s="69">
        <f>IFERROR(INDEX(المدخلات!$AD$6:$AD$12,MATCH($C91,المدخلات!$AC$6:$AC$12,0)),"")</f>
        <v/>
      </c>
      <c r="E91" s="69">
        <f>'عدد اللاعبين'!D80</f>
        <v/>
      </c>
      <c r="F91" s="70">
        <f>'عدد اللاعبين'!F80</f>
        <v/>
      </c>
      <c r="G91" s="71">
        <f>'عدد اللاعبين'!G80</f>
        <v/>
      </c>
      <c r="H91" s="69">
        <f>IFERROR(INDEX(المدخلات!$AE$6:$AE$12,MATCH($C91,المدخلات!$AC$6:$AC$12,0)),"")</f>
        <v/>
      </c>
      <c r="I91" s="71">
        <f>IF($G91&lt;الحد_الأدنى,0,ROUNDDOWN($G91/فرق_المباراة,0))</f>
        <v/>
      </c>
      <c r="J91" s="71">
        <f>ROUNDUP($I91/IFERROR(INDEX(المدخلات!$AJ$6:$AJ$12,MATCH($C91,المدخلات!$AC$6:$AC$12,0)),1),0)</f>
        <v/>
      </c>
      <c r="K91" s="71">
        <f>ROUNDUP($J91/IFERROR(INDEX(المدخلات!$AF$6:$AF$12,MATCH($C91,المدخلات!$AC$6:$AC$12,0)),1),0)</f>
        <v/>
      </c>
    </row>
    <row r="92" hidden="1">
      <c r="B92" s="74">
        <f>'عدد اللاعبين'!B81</f>
        <v/>
      </c>
      <c r="C92" s="69">
        <f>'عدد اللاعبين'!C81</f>
        <v/>
      </c>
      <c r="D92" s="69">
        <f>IFERROR(INDEX(المدخلات!$AD$6:$AD$12,MATCH($C92,المدخلات!$AC$6:$AC$12,0)),"")</f>
        <v/>
      </c>
      <c r="E92" s="69">
        <f>'عدد اللاعبين'!D81</f>
        <v/>
      </c>
      <c r="F92" s="70">
        <f>'عدد اللاعبين'!F81</f>
        <v/>
      </c>
      <c r="G92" s="71">
        <f>'عدد اللاعبين'!G81</f>
        <v/>
      </c>
      <c r="H92" s="69">
        <f>IFERROR(INDEX(المدخلات!$AE$6:$AE$12,MATCH($C92,المدخلات!$AC$6:$AC$12,0)),"")</f>
        <v/>
      </c>
      <c r="I92" s="71">
        <f>IF($G92&lt;الحد_الأدنى,0,ROUNDDOWN($G92/فرق_المباراة,0))</f>
        <v/>
      </c>
      <c r="J92" s="71">
        <f>ROUNDUP($I92/IFERROR(INDEX(المدخلات!$AJ$6:$AJ$12,MATCH($C92,المدخلات!$AC$6:$AC$12,0)),1),0)</f>
        <v/>
      </c>
      <c r="K92" s="71">
        <f>ROUNDUP($J92/IFERROR(INDEX(المدخلات!$AF$6:$AF$12,MATCH($C92,المدخلات!$AC$6:$AC$12,0)),1),0)</f>
        <v/>
      </c>
    </row>
    <row r="93" hidden="1">
      <c r="B93" s="74">
        <f>'عدد اللاعبين'!B82</f>
        <v/>
      </c>
      <c r="C93" s="69">
        <f>'عدد اللاعبين'!C82</f>
        <v/>
      </c>
      <c r="D93" s="69">
        <f>IFERROR(INDEX(المدخلات!$AD$6:$AD$12,MATCH($C93,المدخلات!$AC$6:$AC$12,0)),"")</f>
        <v/>
      </c>
      <c r="E93" s="69">
        <f>'عدد اللاعبين'!D82</f>
        <v/>
      </c>
      <c r="F93" s="70">
        <f>'عدد اللاعبين'!F82</f>
        <v/>
      </c>
      <c r="G93" s="71">
        <f>'عدد اللاعبين'!G82</f>
        <v/>
      </c>
      <c r="H93" s="69">
        <f>IFERROR(INDEX(المدخلات!$AE$6:$AE$12,MATCH($C93,المدخلات!$AC$6:$AC$12,0)),"")</f>
        <v/>
      </c>
      <c r="I93" s="71">
        <f>IF($G93&lt;الحد_الأدنى,0,ROUNDDOWN($G93/فرق_المباراة,0))</f>
        <v/>
      </c>
      <c r="J93" s="71">
        <f>ROUNDUP($I93/IFERROR(INDEX(المدخلات!$AJ$6:$AJ$12,MATCH($C93,المدخلات!$AC$6:$AC$12,0)),1),0)</f>
        <v/>
      </c>
      <c r="K93" s="71">
        <f>ROUNDUP($J93/IFERROR(INDEX(المدخلات!$AF$6:$AF$12,MATCH($C93,المدخلات!$AC$6:$AC$12,0)),1),0)</f>
        <v/>
      </c>
    </row>
    <row r="94" hidden="1">
      <c r="B94" s="74">
        <f>'عدد اللاعبين'!B83</f>
        <v/>
      </c>
      <c r="C94" s="69">
        <f>'عدد اللاعبين'!C83</f>
        <v/>
      </c>
      <c r="D94" s="69">
        <f>IFERROR(INDEX(المدخلات!$AD$6:$AD$12,MATCH($C94,المدخلات!$AC$6:$AC$12,0)),"")</f>
        <v/>
      </c>
      <c r="E94" s="69">
        <f>'عدد اللاعبين'!D83</f>
        <v/>
      </c>
      <c r="F94" s="70">
        <f>'عدد اللاعبين'!F83</f>
        <v/>
      </c>
      <c r="G94" s="71">
        <f>'عدد اللاعبين'!G83</f>
        <v/>
      </c>
      <c r="H94" s="69">
        <f>IFERROR(INDEX(المدخلات!$AE$6:$AE$12,MATCH($C94,المدخلات!$AC$6:$AC$12,0)),"")</f>
        <v/>
      </c>
      <c r="I94" s="71">
        <f>IF($G94&lt;الحد_الأدنى,0,ROUNDDOWN($G94/فرق_المباراة,0))</f>
        <v/>
      </c>
      <c r="J94" s="71">
        <f>ROUNDUP($I94/IFERROR(INDEX(المدخلات!$AJ$6:$AJ$12,MATCH($C94,المدخلات!$AC$6:$AC$12,0)),1),0)</f>
        <v/>
      </c>
      <c r="K94" s="71">
        <f>ROUNDUP($J94/IFERROR(INDEX(المدخلات!$AF$6:$AF$12,MATCH($C94,المدخلات!$AC$6:$AC$12,0)),1),0)</f>
        <v/>
      </c>
    </row>
    <row r="95" hidden="1">
      <c r="B95" s="74">
        <f>'عدد اللاعبين'!B84</f>
        <v/>
      </c>
      <c r="C95" s="69">
        <f>'عدد اللاعبين'!C84</f>
        <v/>
      </c>
      <c r="D95" s="69">
        <f>IFERROR(INDEX(المدخلات!$AD$6:$AD$12,MATCH($C95,المدخلات!$AC$6:$AC$12,0)),"")</f>
        <v/>
      </c>
      <c r="E95" s="69">
        <f>'عدد اللاعبين'!D84</f>
        <v/>
      </c>
      <c r="F95" s="70">
        <f>'عدد اللاعبين'!F84</f>
        <v/>
      </c>
      <c r="G95" s="71">
        <f>'عدد اللاعبين'!G84</f>
        <v/>
      </c>
      <c r="H95" s="69">
        <f>IFERROR(INDEX(المدخلات!$AE$6:$AE$12,MATCH($C95,المدخلات!$AC$6:$AC$12,0)),"")</f>
        <v/>
      </c>
      <c r="I95" s="71">
        <f>IF($G95&lt;الحد_الأدنى,0,ROUNDDOWN($G95/فرق_المباراة,0))</f>
        <v/>
      </c>
      <c r="J95" s="71">
        <f>ROUNDUP($I95/IFERROR(INDEX(المدخلات!$AJ$6:$AJ$12,MATCH($C95,المدخلات!$AC$6:$AC$12,0)),1),0)</f>
        <v/>
      </c>
      <c r="K95" s="71">
        <f>ROUNDUP($J95/IFERROR(INDEX(المدخلات!$AF$6:$AF$12,MATCH($C95,المدخلات!$AC$6:$AC$12,0)),1),0)</f>
        <v/>
      </c>
    </row>
    <row r="96" hidden="1">
      <c r="B96" s="74">
        <f>'عدد اللاعبين'!B85</f>
        <v/>
      </c>
      <c r="C96" s="69">
        <f>'عدد اللاعبين'!C85</f>
        <v/>
      </c>
      <c r="D96" s="69">
        <f>IFERROR(INDEX(المدخلات!$AD$6:$AD$12,MATCH($C96,المدخلات!$AC$6:$AC$12,0)),"")</f>
        <v/>
      </c>
      <c r="E96" s="69">
        <f>'عدد اللاعبين'!D85</f>
        <v/>
      </c>
      <c r="F96" s="70">
        <f>'عدد اللاعبين'!F85</f>
        <v/>
      </c>
      <c r="G96" s="71">
        <f>'عدد اللاعبين'!G85</f>
        <v/>
      </c>
      <c r="H96" s="69">
        <f>IFERROR(INDEX(المدخلات!$AE$6:$AE$12,MATCH($C96,المدخلات!$AC$6:$AC$12,0)),"")</f>
        <v/>
      </c>
      <c r="I96" s="71">
        <f>IF($G96&lt;الحد_الأدنى,0,ROUNDDOWN($G96/فرق_المباراة,0))</f>
        <v/>
      </c>
      <c r="J96" s="71">
        <f>ROUNDUP($I96/IFERROR(INDEX(المدخلات!$AJ$6:$AJ$12,MATCH($C96,المدخلات!$AC$6:$AC$12,0)),1),0)</f>
        <v/>
      </c>
      <c r="K96" s="71">
        <f>ROUNDUP($J96/IFERROR(INDEX(المدخلات!$AF$6:$AF$12,MATCH($C96,المدخلات!$AC$6:$AC$12,0)),1),0)</f>
        <v/>
      </c>
    </row>
    <row r="97" hidden="1">
      <c r="B97" s="74">
        <f>'عدد اللاعبين'!B86</f>
        <v/>
      </c>
      <c r="C97" s="69">
        <f>'عدد اللاعبين'!C86</f>
        <v/>
      </c>
      <c r="D97" s="69">
        <f>IFERROR(INDEX(المدخلات!$AD$6:$AD$12,MATCH($C97,المدخلات!$AC$6:$AC$12,0)),"")</f>
        <v/>
      </c>
      <c r="E97" s="69">
        <f>'عدد اللاعبين'!D86</f>
        <v/>
      </c>
      <c r="F97" s="70">
        <f>'عدد اللاعبين'!F86</f>
        <v/>
      </c>
      <c r="G97" s="71">
        <f>'عدد اللاعبين'!G86</f>
        <v/>
      </c>
      <c r="H97" s="69">
        <f>IFERROR(INDEX(المدخلات!$AE$6:$AE$12,MATCH($C97,المدخلات!$AC$6:$AC$12,0)),"")</f>
        <v/>
      </c>
      <c r="I97" s="71">
        <f>IF($G97&lt;الحد_الأدنى,0,ROUNDDOWN($G97/فرق_المباراة,0))</f>
        <v/>
      </c>
      <c r="J97" s="71">
        <f>ROUNDUP($I97/IFERROR(INDEX(المدخلات!$AJ$6:$AJ$12,MATCH($C97,المدخلات!$AC$6:$AC$12,0)),1),0)</f>
        <v/>
      </c>
      <c r="K97" s="71">
        <f>ROUNDUP($J97/IFERROR(INDEX(المدخلات!$AF$6:$AF$12,MATCH($C97,المدخلات!$AC$6:$AC$12,0)),1),0)</f>
        <v/>
      </c>
    </row>
    <row r="98" hidden="1">
      <c r="B98" s="74">
        <f>'عدد اللاعبين'!B87</f>
        <v/>
      </c>
      <c r="C98" s="69">
        <f>'عدد اللاعبين'!C87</f>
        <v/>
      </c>
      <c r="D98" s="69">
        <f>IFERROR(INDEX(المدخلات!$AD$6:$AD$12,MATCH($C98,المدخلات!$AC$6:$AC$12,0)),"")</f>
        <v/>
      </c>
      <c r="E98" s="69">
        <f>'عدد اللاعبين'!D87</f>
        <v/>
      </c>
      <c r="F98" s="70">
        <f>'عدد اللاعبين'!F87</f>
        <v/>
      </c>
      <c r="G98" s="71">
        <f>'عدد اللاعبين'!G87</f>
        <v/>
      </c>
      <c r="H98" s="69">
        <f>IFERROR(INDEX(المدخلات!$AE$6:$AE$12,MATCH($C98,المدخلات!$AC$6:$AC$12,0)),"")</f>
        <v/>
      </c>
      <c r="I98" s="71">
        <f>IF($G98&lt;الحد_الأدنى,0,ROUNDDOWN($G98/فرق_المباراة,0))</f>
        <v/>
      </c>
      <c r="J98" s="71">
        <f>ROUNDUP($I98/IFERROR(INDEX(المدخلات!$AJ$6:$AJ$12,MATCH($C98,المدخلات!$AC$6:$AC$12,0)),1),0)</f>
        <v/>
      </c>
      <c r="K98" s="71">
        <f>ROUNDUP($J98/IFERROR(INDEX(المدخلات!$AF$6:$AF$12,MATCH($C98,المدخلات!$AC$6:$AC$12,0)),1),0)</f>
        <v/>
      </c>
    </row>
    <row r="99" hidden="1">
      <c r="B99" s="74">
        <f>'عدد اللاعبين'!B88</f>
        <v/>
      </c>
      <c r="C99" s="69">
        <f>'عدد اللاعبين'!C88</f>
        <v/>
      </c>
      <c r="D99" s="69">
        <f>IFERROR(INDEX(المدخلات!$AD$6:$AD$12,MATCH($C99,المدخلات!$AC$6:$AC$12,0)),"")</f>
        <v/>
      </c>
      <c r="E99" s="69">
        <f>'عدد اللاعبين'!D88</f>
        <v/>
      </c>
      <c r="F99" s="70">
        <f>'عدد اللاعبين'!F88</f>
        <v/>
      </c>
      <c r="G99" s="71">
        <f>'عدد اللاعبين'!G88</f>
        <v/>
      </c>
      <c r="H99" s="69">
        <f>IFERROR(INDEX(المدخلات!$AE$6:$AE$12,MATCH($C99,المدخلات!$AC$6:$AC$12,0)),"")</f>
        <v/>
      </c>
      <c r="I99" s="71">
        <f>IF($G99&lt;الحد_الأدنى,0,ROUNDDOWN($G99/فرق_المباراة,0))</f>
        <v/>
      </c>
      <c r="J99" s="71">
        <f>ROUNDUP($I99/IFERROR(INDEX(المدخلات!$AJ$6:$AJ$12,MATCH($C99,المدخلات!$AC$6:$AC$12,0)),1),0)</f>
        <v/>
      </c>
      <c r="K99" s="71">
        <f>ROUNDUP($J99/IFERROR(INDEX(المدخلات!$AF$6:$AF$12,MATCH($C99,المدخلات!$AC$6:$AC$12,0)),1),0)</f>
        <v/>
      </c>
    </row>
    <row r="100" hidden="1">
      <c r="B100" s="74">
        <f>'عدد اللاعبين'!B89</f>
        <v/>
      </c>
      <c r="C100" s="69">
        <f>'عدد اللاعبين'!C89</f>
        <v/>
      </c>
      <c r="D100" s="69">
        <f>IFERROR(INDEX(المدخلات!$AD$6:$AD$12,MATCH($C100,المدخلات!$AC$6:$AC$12,0)),"")</f>
        <v/>
      </c>
      <c r="E100" s="69">
        <f>'عدد اللاعبين'!D89</f>
        <v/>
      </c>
      <c r="F100" s="70">
        <f>'عدد اللاعبين'!F89</f>
        <v/>
      </c>
      <c r="G100" s="71">
        <f>'عدد اللاعبين'!G89</f>
        <v/>
      </c>
      <c r="H100" s="69">
        <f>IFERROR(INDEX(المدخلات!$AE$6:$AE$12,MATCH($C100,المدخلات!$AC$6:$AC$12,0)),"")</f>
        <v/>
      </c>
      <c r="I100" s="71">
        <f>IF($G100&lt;الحد_الأدنى,0,ROUNDDOWN($G100/فرق_المباراة,0))</f>
        <v/>
      </c>
      <c r="J100" s="71">
        <f>ROUNDUP($I100/IFERROR(INDEX(المدخلات!$AJ$6:$AJ$12,MATCH($C100,المدخلات!$AC$6:$AC$12,0)),1),0)</f>
        <v/>
      </c>
      <c r="K100" s="71">
        <f>ROUNDUP($J100/IFERROR(INDEX(المدخلات!$AF$6:$AF$12,MATCH($C100,المدخلات!$AC$6:$AC$12,0)),1),0)</f>
        <v/>
      </c>
    </row>
    <row r="101">
      <c r="B101" s="74">
        <f>'عدد اللاعبين'!B90</f>
        <v/>
      </c>
      <c r="C101" s="69">
        <f>'عدد اللاعبين'!C90</f>
        <v/>
      </c>
      <c r="D101" s="69">
        <f>IFERROR(INDEX(المدخلات!$AD$6:$AD$12,MATCH($C101,المدخلات!$AC$6:$AC$12,0)),"")</f>
        <v/>
      </c>
      <c r="E101" s="69">
        <f>'عدد اللاعبين'!D90</f>
        <v/>
      </c>
      <c r="F101" s="70">
        <f>'عدد اللاعبين'!F90</f>
        <v/>
      </c>
      <c r="G101" s="71">
        <f>'عدد اللاعبين'!G90</f>
        <v/>
      </c>
      <c r="H101" s="69">
        <f>IFERROR(INDEX(المدخلات!$AE$6:$AE$12,MATCH($C101,المدخلات!$AC$6:$AC$12,0)),"")</f>
        <v/>
      </c>
      <c r="I101" s="71">
        <f>IF($G101&lt;الحد_الأدنى,0,ROUNDDOWN($G101/فرق_المباراة,0))</f>
        <v/>
      </c>
      <c r="J101" s="71">
        <f>ROUNDUP($I101/IFERROR(INDEX(المدخلات!$AJ$6:$AJ$12,MATCH($C101,المدخلات!$AC$6:$AC$12,0)),1),0)</f>
        <v/>
      </c>
      <c r="K101" s="71">
        <f>ROUNDUP($J101/IFERROR(INDEX(المدخلات!$AF$6:$AF$12,MATCH($C101,المدخلات!$AC$6:$AC$12,0)),1),0)</f>
        <v/>
      </c>
    </row>
    <row r="102" hidden="1">
      <c r="B102" s="74">
        <f>'عدد اللاعبين'!B91</f>
        <v/>
      </c>
      <c r="C102" s="69">
        <f>'عدد اللاعبين'!C91</f>
        <v/>
      </c>
      <c r="D102" s="69">
        <f>IFERROR(INDEX(المدخلات!$AD$6:$AD$12,MATCH($C102,المدخلات!$AC$6:$AC$12,0)),"")</f>
        <v/>
      </c>
      <c r="E102" s="69">
        <f>'عدد اللاعبين'!D91</f>
        <v/>
      </c>
      <c r="F102" s="70">
        <f>'عدد اللاعبين'!F91</f>
        <v/>
      </c>
      <c r="G102" s="71">
        <f>'عدد اللاعبين'!G91</f>
        <v/>
      </c>
      <c r="H102" s="69">
        <f>IFERROR(INDEX(المدخلات!$AE$6:$AE$12,MATCH($C102,المدخلات!$AC$6:$AC$12,0)),"")</f>
        <v/>
      </c>
      <c r="I102" s="71">
        <f>IF($G102&lt;الحد_الأدنى,0,ROUNDDOWN($G102/فرق_المباراة,0))</f>
        <v/>
      </c>
      <c r="J102" s="71">
        <f>ROUNDUP($I102/IFERROR(INDEX(المدخلات!$AJ$6:$AJ$12,MATCH($C102,المدخلات!$AC$6:$AC$12,0)),1),0)</f>
        <v/>
      </c>
      <c r="K102" s="71">
        <f>ROUNDUP($J102/IFERROR(INDEX(المدخلات!$AF$6:$AF$12,MATCH($C102,المدخلات!$AC$6:$AC$12,0)),1),0)</f>
        <v/>
      </c>
    </row>
    <row r="103" hidden="1">
      <c r="B103" s="74">
        <f>'عدد اللاعبين'!B92</f>
        <v/>
      </c>
      <c r="C103" s="69">
        <f>'عدد اللاعبين'!C92</f>
        <v/>
      </c>
      <c r="D103" s="69">
        <f>IFERROR(INDEX(المدخلات!$AD$6:$AD$12,MATCH($C103,المدخلات!$AC$6:$AC$12,0)),"")</f>
        <v/>
      </c>
      <c r="E103" s="69">
        <f>'عدد اللاعبين'!D92</f>
        <v/>
      </c>
      <c r="F103" s="70">
        <f>'عدد اللاعبين'!F92</f>
        <v/>
      </c>
      <c r="G103" s="71">
        <f>'عدد اللاعبين'!G92</f>
        <v/>
      </c>
      <c r="H103" s="69">
        <f>IFERROR(INDEX(المدخلات!$AE$6:$AE$12,MATCH($C103,المدخلات!$AC$6:$AC$12,0)),"")</f>
        <v/>
      </c>
      <c r="I103" s="71">
        <f>IF($G103&lt;الحد_الأدنى,0,ROUNDDOWN($G103/فرق_المباراة,0))</f>
        <v/>
      </c>
      <c r="J103" s="71">
        <f>ROUNDUP($I103/IFERROR(INDEX(المدخلات!$AJ$6:$AJ$12,MATCH($C103,المدخلات!$AC$6:$AC$12,0)),1),0)</f>
        <v/>
      </c>
      <c r="K103" s="71">
        <f>ROUNDUP($J103/IFERROR(INDEX(المدخلات!$AF$6:$AF$12,MATCH($C103,المدخلات!$AC$6:$AC$12,0)),1),0)</f>
        <v/>
      </c>
    </row>
    <row r="104" hidden="1">
      <c r="B104" s="74">
        <f>'عدد اللاعبين'!B93</f>
        <v/>
      </c>
      <c r="C104" s="69">
        <f>'عدد اللاعبين'!C93</f>
        <v/>
      </c>
      <c r="D104" s="69">
        <f>IFERROR(INDEX(المدخلات!$AD$6:$AD$12,MATCH($C104,المدخلات!$AC$6:$AC$12,0)),"")</f>
        <v/>
      </c>
      <c r="E104" s="69">
        <f>'عدد اللاعبين'!D93</f>
        <v/>
      </c>
      <c r="F104" s="70">
        <f>'عدد اللاعبين'!F93</f>
        <v/>
      </c>
      <c r="G104" s="71">
        <f>'عدد اللاعبين'!G93</f>
        <v/>
      </c>
      <c r="H104" s="69">
        <f>IFERROR(INDEX(المدخلات!$AE$6:$AE$12,MATCH($C104,المدخلات!$AC$6:$AC$12,0)),"")</f>
        <v/>
      </c>
      <c r="I104" s="71">
        <f>IF($G104&lt;الحد_الأدنى,0,ROUNDDOWN($G104/فرق_المباراة,0))</f>
        <v/>
      </c>
      <c r="J104" s="71">
        <f>ROUNDUP($I104/IFERROR(INDEX(المدخلات!$AJ$6:$AJ$12,MATCH($C104,المدخلات!$AC$6:$AC$12,0)),1),0)</f>
        <v/>
      </c>
      <c r="K104" s="71">
        <f>ROUNDUP($J104/IFERROR(INDEX(المدخلات!$AF$6:$AF$12,MATCH($C104,المدخلات!$AC$6:$AC$12,0)),1),0)</f>
        <v/>
      </c>
    </row>
    <row r="105" hidden="1">
      <c r="B105" s="74">
        <f>'عدد اللاعبين'!B94</f>
        <v/>
      </c>
      <c r="C105" s="69">
        <f>'عدد اللاعبين'!C94</f>
        <v/>
      </c>
      <c r="D105" s="69">
        <f>IFERROR(INDEX(المدخلات!$AD$6:$AD$12,MATCH($C105,المدخلات!$AC$6:$AC$12,0)),"")</f>
        <v/>
      </c>
      <c r="E105" s="69">
        <f>'عدد اللاعبين'!D94</f>
        <v/>
      </c>
      <c r="F105" s="70">
        <f>'عدد اللاعبين'!F94</f>
        <v/>
      </c>
      <c r="G105" s="71">
        <f>'عدد اللاعبين'!G94</f>
        <v/>
      </c>
      <c r="H105" s="69">
        <f>IFERROR(INDEX(المدخلات!$AE$6:$AE$12,MATCH($C105,المدخلات!$AC$6:$AC$12,0)),"")</f>
        <v/>
      </c>
      <c r="I105" s="71">
        <f>IF($G105&lt;الحد_الأدنى,0,ROUNDDOWN($G105/فرق_المباراة,0))</f>
        <v/>
      </c>
      <c r="J105" s="71">
        <f>ROUNDUP($I105/IFERROR(INDEX(المدخلات!$AJ$6:$AJ$12,MATCH($C105,المدخلات!$AC$6:$AC$12,0)),1),0)</f>
        <v/>
      </c>
      <c r="K105" s="71">
        <f>ROUNDUP($J105/IFERROR(INDEX(المدخلات!$AF$6:$AF$12,MATCH($C105,المدخلات!$AC$6:$AC$12,0)),1),0)</f>
        <v/>
      </c>
    </row>
    <row r="106" hidden="1">
      <c r="B106" s="74">
        <f>'عدد اللاعبين'!B95</f>
        <v/>
      </c>
      <c r="C106" s="69">
        <f>'عدد اللاعبين'!C95</f>
        <v/>
      </c>
      <c r="D106" s="69">
        <f>IFERROR(INDEX(المدخلات!$AD$6:$AD$12,MATCH($C106,المدخلات!$AC$6:$AC$12,0)),"")</f>
        <v/>
      </c>
      <c r="E106" s="69">
        <f>'عدد اللاعبين'!D95</f>
        <v/>
      </c>
      <c r="F106" s="70">
        <f>'عدد اللاعبين'!F95</f>
        <v/>
      </c>
      <c r="G106" s="71">
        <f>'عدد اللاعبين'!G95</f>
        <v/>
      </c>
      <c r="H106" s="69">
        <f>IFERROR(INDEX(المدخلات!$AE$6:$AE$12,MATCH($C106,المدخلات!$AC$6:$AC$12,0)),"")</f>
        <v/>
      </c>
      <c r="I106" s="71">
        <f>IF($G106&lt;الحد_الأدنى,0,ROUNDDOWN($G106/فرق_المباراة,0))</f>
        <v/>
      </c>
      <c r="J106" s="71">
        <f>ROUNDUP($I106/IFERROR(INDEX(المدخلات!$AJ$6:$AJ$12,MATCH($C106,المدخلات!$AC$6:$AC$12,0)),1),0)</f>
        <v/>
      </c>
      <c r="K106" s="71">
        <f>ROUNDUP($J106/IFERROR(INDEX(المدخلات!$AF$6:$AF$12,MATCH($C106,المدخلات!$AC$6:$AC$12,0)),1),0)</f>
        <v/>
      </c>
    </row>
    <row r="107" hidden="1">
      <c r="B107" s="74">
        <f>'عدد اللاعبين'!B96</f>
        <v/>
      </c>
      <c r="C107" s="69">
        <f>'عدد اللاعبين'!C96</f>
        <v/>
      </c>
      <c r="D107" s="69">
        <f>IFERROR(INDEX(المدخلات!$AD$6:$AD$12,MATCH($C107,المدخلات!$AC$6:$AC$12,0)),"")</f>
        <v/>
      </c>
      <c r="E107" s="69">
        <f>'عدد اللاعبين'!D96</f>
        <v/>
      </c>
      <c r="F107" s="70">
        <f>'عدد اللاعبين'!F96</f>
        <v/>
      </c>
      <c r="G107" s="71">
        <f>'عدد اللاعبين'!G96</f>
        <v/>
      </c>
      <c r="H107" s="69">
        <f>IFERROR(INDEX(المدخلات!$AE$6:$AE$12,MATCH($C107,المدخلات!$AC$6:$AC$12,0)),"")</f>
        <v/>
      </c>
      <c r="I107" s="71">
        <f>IF($G107&lt;الحد_الأدنى,0,ROUNDDOWN($G107/فرق_المباراة,0))</f>
        <v/>
      </c>
      <c r="J107" s="71">
        <f>ROUNDUP($I107/IFERROR(INDEX(المدخلات!$AJ$6:$AJ$12,MATCH($C107,المدخلات!$AC$6:$AC$12,0)),1),0)</f>
        <v/>
      </c>
      <c r="K107" s="71">
        <f>ROUNDUP($J107/IFERROR(INDEX(المدخلات!$AF$6:$AF$12,MATCH($C107,المدخلات!$AC$6:$AC$12,0)),1),0)</f>
        <v/>
      </c>
    </row>
    <row r="108" hidden="1">
      <c r="B108" s="74">
        <f>'عدد اللاعبين'!B97</f>
        <v/>
      </c>
      <c r="C108" s="69">
        <f>'عدد اللاعبين'!C97</f>
        <v/>
      </c>
      <c r="D108" s="69">
        <f>IFERROR(INDEX(المدخلات!$AD$6:$AD$12,MATCH($C108,المدخلات!$AC$6:$AC$12,0)),"")</f>
        <v/>
      </c>
      <c r="E108" s="69">
        <f>'عدد اللاعبين'!D97</f>
        <v/>
      </c>
      <c r="F108" s="70">
        <f>'عدد اللاعبين'!F97</f>
        <v/>
      </c>
      <c r="G108" s="71">
        <f>'عدد اللاعبين'!G97</f>
        <v/>
      </c>
      <c r="H108" s="69">
        <f>IFERROR(INDEX(المدخلات!$AE$6:$AE$12,MATCH($C108,المدخلات!$AC$6:$AC$12,0)),"")</f>
        <v/>
      </c>
      <c r="I108" s="71">
        <f>IF($G108&lt;الحد_الأدنى,0,ROUNDDOWN($G108/فرق_المباراة,0))</f>
        <v/>
      </c>
      <c r="J108" s="71">
        <f>ROUNDUP($I108/IFERROR(INDEX(المدخلات!$AJ$6:$AJ$12,MATCH($C108,المدخلات!$AC$6:$AC$12,0)),1),0)</f>
        <v/>
      </c>
      <c r="K108" s="71">
        <f>ROUNDUP($J108/IFERROR(INDEX(المدخلات!$AF$6:$AF$12,MATCH($C108,المدخلات!$AC$6:$AC$12,0)),1),0)</f>
        <v/>
      </c>
    </row>
    <row r="109">
      <c r="B109" s="74">
        <f>'عدد اللاعبين'!B98</f>
        <v/>
      </c>
      <c r="C109" s="69">
        <f>'عدد اللاعبين'!C98</f>
        <v/>
      </c>
      <c r="D109" s="69">
        <f>IFERROR(INDEX(المدخلات!$AD$6:$AD$12,MATCH($C109,المدخلات!$AC$6:$AC$12,0)),"")</f>
        <v/>
      </c>
      <c r="E109" s="69">
        <f>'عدد اللاعبين'!D98</f>
        <v/>
      </c>
      <c r="F109" s="70">
        <f>'عدد اللاعبين'!F98</f>
        <v/>
      </c>
      <c r="G109" s="71">
        <f>'عدد اللاعبين'!G98</f>
        <v/>
      </c>
      <c r="H109" s="69">
        <f>IFERROR(INDEX(المدخلات!$AE$6:$AE$12,MATCH($C109,المدخلات!$AC$6:$AC$12,0)),"")</f>
        <v/>
      </c>
      <c r="I109" s="71">
        <f>IF($G109&lt;الحد_الأدنى,0,ROUNDDOWN($G109/فرق_المباراة,0))</f>
        <v/>
      </c>
      <c r="J109" s="71">
        <f>ROUNDUP($I109/IFERROR(INDEX(المدخلات!$AJ$6:$AJ$12,MATCH($C109,المدخلات!$AC$6:$AC$12,0)),1),0)</f>
        <v/>
      </c>
      <c r="K109" s="71">
        <f>ROUNDUP($J109/IFERROR(INDEX(المدخلات!$AF$6:$AF$12,MATCH($C109,المدخلات!$AC$6:$AC$12,0)),1),0)</f>
        <v/>
      </c>
    </row>
    <row r="110">
      <c r="B110" s="74">
        <f>'عدد اللاعبين'!B99</f>
        <v/>
      </c>
      <c r="C110" s="69">
        <f>'عدد اللاعبين'!C99</f>
        <v/>
      </c>
      <c r="D110" s="69">
        <f>IFERROR(INDEX(المدخلات!$AD$6:$AD$12,MATCH($C110,المدخلات!$AC$6:$AC$12,0)),"")</f>
        <v/>
      </c>
      <c r="E110" s="69">
        <f>'عدد اللاعبين'!D99</f>
        <v/>
      </c>
      <c r="F110" s="70">
        <f>'عدد اللاعبين'!F99</f>
        <v/>
      </c>
      <c r="G110" s="71">
        <f>'عدد اللاعبين'!G99</f>
        <v/>
      </c>
      <c r="H110" s="69">
        <f>IFERROR(INDEX(المدخلات!$AE$6:$AE$12,MATCH($C110,المدخلات!$AC$6:$AC$12,0)),"")</f>
        <v/>
      </c>
      <c r="I110" s="71">
        <f>IF($G110&lt;الحد_الأدنى,0,ROUNDDOWN($G110/فرق_المباراة,0))</f>
        <v/>
      </c>
      <c r="J110" s="71">
        <f>ROUNDUP($I110/IFERROR(INDEX(المدخلات!$AJ$6:$AJ$12,MATCH($C110,المدخلات!$AC$6:$AC$12,0)),1),0)</f>
        <v/>
      </c>
      <c r="K110" s="71">
        <f>ROUNDUP($J110/IFERROR(INDEX(المدخلات!$AF$6:$AF$12,MATCH($C110,المدخلات!$AC$6:$AC$12,0)),1),0)</f>
        <v/>
      </c>
    </row>
    <row r="111" hidden="1">
      <c r="B111" s="74">
        <f>'عدد اللاعبين'!B100</f>
        <v/>
      </c>
      <c r="C111" s="69">
        <f>'عدد اللاعبين'!C100</f>
        <v/>
      </c>
      <c r="D111" s="69">
        <f>IFERROR(INDEX(المدخلات!$AD$6:$AD$12,MATCH($C111,المدخلات!$AC$6:$AC$12,0)),"")</f>
        <v/>
      </c>
      <c r="E111" s="69">
        <f>'عدد اللاعبين'!D100</f>
        <v/>
      </c>
      <c r="F111" s="70">
        <f>'عدد اللاعبين'!F100</f>
        <v/>
      </c>
      <c r="G111" s="71">
        <f>'عدد اللاعبين'!G100</f>
        <v/>
      </c>
      <c r="H111" s="69">
        <f>IFERROR(INDEX(المدخلات!$AE$6:$AE$12,MATCH($C111,المدخلات!$AC$6:$AC$12,0)),"")</f>
        <v/>
      </c>
      <c r="I111" s="71">
        <f>IF($G111&lt;الحد_الأدنى,0,ROUNDDOWN($G111/فرق_المباراة,0))</f>
        <v/>
      </c>
      <c r="J111" s="71">
        <f>ROUNDUP($I111/IFERROR(INDEX(المدخلات!$AJ$6:$AJ$12,MATCH($C111,المدخلات!$AC$6:$AC$12,0)),1),0)</f>
        <v/>
      </c>
      <c r="K111" s="71">
        <f>ROUNDUP($J111/IFERROR(INDEX(المدخلات!$AF$6:$AF$12,MATCH($C111,المدخلات!$AC$6:$AC$12,0)),1),0)</f>
        <v/>
      </c>
    </row>
    <row r="112" hidden="1">
      <c r="B112" s="74">
        <f>'عدد اللاعبين'!B101</f>
        <v/>
      </c>
      <c r="C112" s="69">
        <f>'عدد اللاعبين'!C101</f>
        <v/>
      </c>
      <c r="D112" s="69">
        <f>IFERROR(INDEX(المدخلات!$AD$6:$AD$12,MATCH($C112,المدخلات!$AC$6:$AC$12,0)),"")</f>
        <v/>
      </c>
      <c r="E112" s="69">
        <f>'عدد اللاعبين'!D101</f>
        <v/>
      </c>
      <c r="F112" s="70">
        <f>'عدد اللاعبين'!F101</f>
        <v/>
      </c>
      <c r="G112" s="71">
        <f>'عدد اللاعبين'!G101</f>
        <v/>
      </c>
      <c r="H112" s="69">
        <f>IFERROR(INDEX(المدخلات!$AE$6:$AE$12,MATCH($C112,المدخلات!$AC$6:$AC$12,0)),"")</f>
        <v/>
      </c>
      <c r="I112" s="71">
        <f>IF($G112&lt;الحد_الأدنى,0,ROUNDDOWN($G112/فرق_المباراة,0))</f>
        <v/>
      </c>
      <c r="J112" s="71">
        <f>ROUNDUP($I112/IFERROR(INDEX(المدخلات!$AJ$6:$AJ$12,MATCH($C112,المدخلات!$AC$6:$AC$12,0)),1),0)</f>
        <v/>
      </c>
      <c r="K112" s="71">
        <f>ROUNDUP($J112/IFERROR(INDEX(المدخلات!$AF$6:$AF$12,MATCH($C112,المدخلات!$AC$6:$AC$12,0)),1),0)</f>
        <v/>
      </c>
    </row>
    <row r="113" hidden="1">
      <c r="B113" s="74">
        <f>'عدد اللاعبين'!B102</f>
        <v/>
      </c>
      <c r="C113" s="69">
        <f>'عدد اللاعبين'!C102</f>
        <v/>
      </c>
      <c r="D113" s="69">
        <f>IFERROR(INDEX(المدخلات!$AD$6:$AD$12,MATCH($C113,المدخلات!$AC$6:$AC$12,0)),"")</f>
        <v/>
      </c>
      <c r="E113" s="69">
        <f>'عدد اللاعبين'!D102</f>
        <v/>
      </c>
      <c r="F113" s="70">
        <f>'عدد اللاعبين'!F102</f>
        <v/>
      </c>
      <c r="G113" s="71">
        <f>'عدد اللاعبين'!G102</f>
        <v/>
      </c>
      <c r="H113" s="69">
        <f>IFERROR(INDEX(المدخلات!$AE$6:$AE$12,MATCH($C113,المدخلات!$AC$6:$AC$12,0)),"")</f>
        <v/>
      </c>
      <c r="I113" s="71">
        <f>IF($G113&lt;الحد_الأدنى,0,ROUNDDOWN($G113/فرق_المباراة,0))</f>
        <v/>
      </c>
      <c r="J113" s="71">
        <f>ROUNDUP($I113/IFERROR(INDEX(المدخلات!$AJ$6:$AJ$12,MATCH($C113,المدخلات!$AC$6:$AC$12,0)),1),0)</f>
        <v/>
      </c>
      <c r="K113" s="71">
        <f>ROUNDUP($J113/IFERROR(INDEX(المدخلات!$AF$6:$AF$12,MATCH($C113,المدخلات!$AC$6:$AC$12,0)),1),0)</f>
        <v/>
      </c>
    </row>
    <row r="114" hidden="1">
      <c r="B114" s="74">
        <f>'عدد اللاعبين'!B103</f>
        <v/>
      </c>
      <c r="C114" s="69">
        <f>'عدد اللاعبين'!C103</f>
        <v/>
      </c>
      <c r="D114" s="69">
        <f>IFERROR(INDEX(المدخلات!$AD$6:$AD$12,MATCH($C114,المدخلات!$AC$6:$AC$12,0)),"")</f>
        <v/>
      </c>
      <c r="E114" s="69">
        <f>'عدد اللاعبين'!D103</f>
        <v/>
      </c>
      <c r="F114" s="70">
        <f>'عدد اللاعبين'!F103</f>
        <v/>
      </c>
      <c r="G114" s="71">
        <f>'عدد اللاعبين'!G103</f>
        <v/>
      </c>
      <c r="H114" s="69">
        <f>IFERROR(INDEX(المدخلات!$AE$6:$AE$12,MATCH($C114,المدخلات!$AC$6:$AC$12,0)),"")</f>
        <v/>
      </c>
      <c r="I114" s="71">
        <f>IF($G114&lt;الحد_الأدنى,0,ROUNDDOWN($G114/فرق_المباراة,0))</f>
        <v/>
      </c>
      <c r="J114" s="71">
        <f>ROUNDUP($I114/IFERROR(INDEX(المدخلات!$AJ$6:$AJ$12,MATCH($C114,المدخلات!$AC$6:$AC$12,0)),1),0)</f>
        <v/>
      </c>
      <c r="K114" s="71">
        <f>ROUNDUP($J114/IFERROR(INDEX(المدخلات!$AF$6:$AF$12,MATCH($C114,المدخلات!$AC$6:$AC$12,0)),1),0)</f>
        <v/>
      </c>
    </row>
    <row r="115" hidden="1">
      <c r="B115" s="74">
        <f>'عدد اللاعبين'!B104</f>
        <v/>
      </c>
      <c r="C115" s="69">
        <f>'عدد اللاعبين'!C104</f>
        <v/>
      </c>
      <c r="D115" s="69">
        <f>IFERROR(INDEX(المدخلات!$AD$6:$AD$12,MATCH($C115,المدخلات!$AC$6:$AC$12,0)),"")</f>
        <v/>
      </c>
      <c r="E115" s="69">
        <f>'عدد اللاعبين'!D104</f>
        <v/>
      </c>
      <c r="F115" s="70">
        <f>'عدد اللاعبين'!F104</f>
        <v/>
      </c>
      <c r="G115" s="71">
        <f>'عدد اللاعبين'!G104</f>
        <v/>
      </c>
      <c r="H115" s="69">
        <f>IFERROR(INDEX(المدخلات!$AE$6:$AE$12,MATCH($C115,المدخلات!$AC$6:$AC$12,0)),"")</f>
        <v/>
      </c>
      <c r="I115" s="71">
        <f>IF($G115&lt;الحد_الأدنى,0,ROUNDDOWN($G115/فرق_المباراة,0))</f>
        <v/>
      </c>
      <c r="J115" s="71">
        <f>ROUNDUP($I115/IFERROR(INDEX(المدخلات!$AJ$6:$AJ$12,MATCH($C115,المدخلات!$AC$6:$AC$12,0)),1),0)</f>
        <v/>
      </c>
      <c r="K115" s="71">
        <f>ROUNDUP($J115/IFERROR(INDEX(المدخلات!$AF$6:$AF$12,MATCH($C115,المدخلات!$AC$6:$AC$12,0)),1),0)</f>
        <v/>
      </c>
    </row>
    <row r="116" hidden="1">
      <c r="B116" s="74">
        <f>'عدد اللاعبين'!B105</f>
        <v/>
      </c>
      <c r="C116" s="69">
        <f>'عدد اللاعبين'!C105</f>
        <v/>
      </c>
      <c r="D116" s="69">
        <f>IFERROR(INDEX(المدخلات!$AD$6:$AD$12,MATCH($C116,المدخلات!$AC$6:$AC$12,0)),"")</f>
        <v/>
      </c>
      <c r="E116" s="69">
        <f>'عدد اللاعبين'!D105</f>
        <v/>
      </c>
      <c r="F116" s="70">
        <f>'عدد اللاعبين'!F105</f>
        <v/>
      </c>
      <c r="G116" s="71">
        <f>'عدد اللاعبين'!G105</f>
        <v/>
      </c>
      <c r="H116" s="69">
        <f>IFERROR(INDEX(المدخلات!$AE$6:$AE$12,MATCH($C116,المدخلات!$AC$6:$AC$12,0)),"")</f>
        <v/>
      </c>
      <c r="I116" s="71">
        <f>IF($G116&lt;الحد_الأدنى,0,ROUNDDOWN($G116/فرق_المباراة,0))</f>
        <v/>
      </c>
      <c r="J116" s="71">
        <f>ROUNDUP($I116/IFERROR(INDEX(المدخلات!$AJ$6:$AJ$12,MATCH($C116,المدخلات!$AC$6:$AC$12,0)),1),0)</f>
        <v/>
      </c>
      <c r="K116" s="71">
        <f>ROUNDUP($J116/IFERROR(INDEX(المدخلات!$AF$6:$AF$12,MATCH($C116,المدخلات!$AC$6:$AC$12,0)),1),0)</f>
        <v/>
      </c>
    </row>
    <row r="117" hidden="1">
      <c r="B117" s="74">
        <f>'عدد اللاعبين'!B106</f>
        <v/>
      </c>
      <c r="C117" s="69">
        <f>'عدد اللاعبين'!C106</f>
        <v/>
      </c>
      <c r="D117" s="69">
        <f>IFERROR(INDEX(المدخلات!$AD$6:$AD$12,MATCH($C117,المدخلات!$AC$6:$AC$12,0)),"")</f>
        <v/>
      </c>
      <c r="E117" s="69">
        <f>'عدد اللاعبين'!D106</f>
        <v/>
      </c>
      <c r="F117" s="70">
        <f>'عدد اللاعبين'!F106</f>
        <v/>
      </c>
      <c r="G117" s="71">
        <f>'عدد اللاعبين'!G106</f>
        <v/>
      </c>
      <c r="H117" s="69">
        <f>IFERROR(INDEX(المدخلات!$AE$6:$AE$12,MATCH($C117,المدخلات!$AC$6:$AC$12,0)),"")</f>
        <v/>
      </c>
      <c r="I117" s="71">
        <f>IF($G117&lt;الحد_الأدنى,0,ROUNDDOWN($G117/فرق_المباراة,0))</f>
        <v/>
      </c>
      <c r="J117" s="71">
        <f>ROUNDUP($I117/IFERROR(INDEX(المدخلات!$AJ$6:$AJ$12,MATCH($C117,المدخلات!$AC$6:$AC$12,0)),1),0)</f>
        <v/>
      </c>
      <c r="K117" s="71">
        <f>ROUNDUP($J117/IFERROR(INDEX(المدخلات!$AF$6:$AF$12,MATCH($C117,المدخلات!$AC$6:$AC$12,0)),1),0)</f>
        <v/>
      </c>
    </row>
    <row r="118" hidden="1">
      <c r="B118" s="74">
        <f>'عدد اللاعبين'!B107</f>
        <v/>
      </c>
      <c r="C118" s="69">
        <f>'عدد اللاعبين'!C107</f>
        <v/>
      </c>
      <c r="D118" s="69">
        <f>IFERROR(INDEX(المدخلات!$AD$6:$AD$12,MATCH($C118,المدخلات!$AC$6:$AC$12,0)),"")</f>
        <v/>
      </c>
      <c r="E118" s="69">
        <f>'عدد اللاعبين'!D107</f>
        <v/>
      </c>
      <c r="F118" s="70">
        <f>'عدد اللاعبين'!F107</f>
        <v/>
      </c>
      <c r="G118" s="71">
        <f>'عدد اللاعبين'!G107</f>
        <v/>
      </c>
      <c r="H118" s="69">
        <f>IFERROR(INDEX(المدخلات!$AE$6:$AE$12,MATCH($C118,المدخلات!$AC$6:$AC$12,0)),"")</f>
        <v/>
      </c>
      <c r="I118" s="71">
        <f>IF($G118&lt;الحد_الأدنى,0,ROUNDDOWN($G118/فرق_المباراة,0))</f>
        <v/>
      </c>
      <c r="J118" s="71">
        <f>ROUNDUP($I118/IFERROR(INDEX(المدخلات!$AJ$6:$AJ$12,MATCH($C118,المدخلات!$AC$6:$AC$12,0)),1),0)</f>
        <v/>
      </c>
      <c r="K118" s="71">
        <f>ROUNDUP($J118/IFERROR(INDEX(المدخلات!$AF$6:$AF$12,MATCH($C118,المدخلات!$AC$6:$AC$12,0)),1),0)</f>
        <v/>
      </c>
    </row>
    <row r="119">
      <c r="B119" s="74">
        <f>'عدد اللاعبين'!B108</f>
        <v/>
      </c>
      <c r="C119" s="69">
        <f>'عدد اللاعبين'!C108</f>
        <v/>
      </c>
      <c r="D119" s="69">
        <f>IFERROR(INDEX(المدخلات!$AD$6:$AD$12,MATCH($C119,المدخلات!$AC$6:$AC$12,0)),"")</f>
        <v/>
      </c>
      <c r="E119" s="69">
        <f>'عدد اللاعبين'!D108</f>
        <v/>
      </c>
      <c r="F119" s="70">
        <f>'عدد اللاعبين'!F108</f>
        <v/>
      </c>
      <c r="G119" s="71">
        <f>'عدد اللاعبين'!G108</f>
        <v/>
      </c>
      <c r="H119" s="69">
        <f>IFERROR(INDEX(المدخلات!$AE$6:$AE$12,MATCH($C119,المدخلات!$AC$6:$AC$12,0)),"")</f>
        <v/>
      </c>
      <c r="I119" s="71">
        <f>IF($G119&lt;الحد_الأدنى,0,ROUNDDOWN($G119/فرق_المباراة,0))</f>
        <v/>
      </c>
      <c r="J119" s="71">
        <f>ROUNDUP($I119/IFERROR(INDEX(المدخلات!$AJ$6:$AJ$12,MATCH($C119,المدخلات!$AC$6:$AC$12,0)),1),0)</f>
        <v/>
      </c>
      <c r="K119" s="71">
        <f>ROUNDUP($J119/IFERROR(INDEX(المدخلات!$AF$6:$AF$12,MATCH($C119,المدخلات!$AC$6:$AC$12,0)),1),0)</f>
        <v/>
      </c>
    </row>
    <row r="120" hidden="1">
      <c r="B120" s="74">
        <f>'عدد اللاعبين'!B109</f>
        <v/>
      </c>
      <c r="C120" s="69">
        <f>'عدد اللاعبين'!C109</f>
        <v/>
      </c>
      <c r="D120" s="69">
        <f>IFERROR(INDEX(المدخلات!$AD$6:$AD$12,MATCH($C120,المدخلات!$AC$6:$AC$12,0)),"")</f>
        <v/>
      </c>
      <c r="E120" s="69">
        <f>'عدد اللاعبين'!D109</f>
        <v/>
      </c>
      <c r="F120" s="70">
        <f>'عدد اللاعبين'!F109</f>
        <v/>
      </c>
      <c r="G120" s="71">
        <f>'عدد اللاعبين'!G109</f>
        <v/>
      </c>
      <c r="H120" s="69">
        <f>IFERROR(INDEX(المدخلات!$AE$6:$AE$12,MATCH($C120,المدخلات!$AC$6:$AC$12,0)),"")</f>
        <v/>
      </c>
      <c r="I120" s="71">
        <f>IF($G120&lt;الحد_الأدنى,0,ROUNDDOWN($G120/فرق_المباراة,0))</f>
        <v/>
      </c>
      <c r="J120" s="71">
        <f>ROUNDUP($I120/IFERROR(INDEX(المدخلات!$AJ$6:$AJ$12,MATCH($C120,المدخلات!$AC$6:$AC$12,0)),1),0)</f>
        <v/>
      </c>
      <c r="K120" s="71">
        <f>ROUNDUP($J120/IFERROR(INDEX(المدخلات!$AF$6:$AF$12,MATCH($C120,المدخلات!$AC$6:$AC$12,0)),1),0)</f>
        <v/>
      </c>
    </row>
    <row r="121" hidden="1">
      <c r="B121" s="74">
        <f>'عدد اللاعبين'!B110</f>
        <v/>
      </c>
      <c r="C121" s="69">
        <f>'عدد اللاعبين'!C110</f>
        <v/>
      </c>
      <c r="D121" s="69">
        <f>IFERROR(INDEX(المدخلات!$AD$6:$AD$12,MATCH($C121,المدخلات!$AC$6:$AC$12,0)),"")</f>
        <v/>
      </c>
      <c r="E121" s="69">
        <f>'عدد اللاعبين'!D110</f>
        <v/>
      </c>
      <c r="F121" s="70">
        <f>'عدد اللاعبين'!F110</f>
        <v/>
      </c>
      <c r="G121" s="71">
        <f>'عدد اللاعبين'!G110</f>
        <v/>
      </c>
      <c r="H121" s="69">
        <f>IFERROR(INDEX(المدخلات!$AE$6:$AE$12,MATCH($C121,المدخلات!$AC$6:$AC$12,0)),"")</f>
        <v/>
      </c>
      <c r="I121" s="71">
        <f>IF($G121&lt;الحد_الأدنى,0,ROUNDDOWN($G121/فرق_المباراة,0))</f>
        <v/>
      </c>
      <c r="J121" s="71">
        <f>ROUNDUP($I121/IFERROR(INDEX(المدخلات!$AJ$6:$AJ$12,MATCH($C121,المدخلات!$AC$6:$AC$12,0)),1),0)</f>
        <v/>
      </c>
      <c r="K121" s="71">
        <f>ROUNDUP($J121/IFERROR(INDEX(المدخلات!$AF$6:$AF$12,MATCH($C121,المدخلات!$AC$6:$AC$12,0)),1),0)</f>
        <v/>
      </c>
    </row>
    <row r="122" hidden="1">
      <c r="B122" s="74">
        <f>'عدد اللاعبين'!B111</f>
        <v/>
      </c>
      <c r="C122" s="69">
        <f>'عدد اللاعبين'!C111</f>
        <v/>
      </c>
      <c r="D122" s="69">
        <f>IFERROR(INDEX(المدخلات!$AD$6:$AD$12,MATCH($C122,المدخلات!$AC$6:$AC$12,0)),"")</f>
        <v/>
      </c>
      <c r="E122" s="69">
        <f>'عدد اللاعبين'!D111</f>
        <v/>
      </c>
      <c r="F122" s="70">
        <f>'عدد اللاعبين'!F111</f>
        <v/>
      </c>
      <c r="G122" s="71">
        <f>'عدد اللاعبين'!G111</f>
        <v/>
      </c>
      <c r="H122" s="69">
        <f>IFERROR(INDEX(المدخلات!$AE$6:$AE$12,MATCH($C122,المدخلات!$AC$6:$AC$12,0)),"")</f>
        <v/>
      </c>
      <c r="I122" s="71">
        <f>IF($G122&lt;الحد_الأدنى,0,ROUNDDOWN($G122/فرق_المباراة,0))</f>
        <v/>
      </c>
      <c r="J122" s="71">
        <f>ROUNDUP($I122/IFERROR(INDEX(المدخلات!$AJ$6:$AJ$12,MATCH($C122,المدخلات!$AC$6:$AC$12,0)),1),0)</f>
        <v/>
      </c>
      <c r="K122" s="71">
        <f>ROUNDUP($J122/IFERROR(INDEX(المدخلات!$AF$6:$AF$12,MATCH($C122,المدخلات!$AC$6:$AC$12,0)),1),0)</f>
        <v/>
      </c>
    </row>
    <row r="123" hidden="1">
      <c r="B123" s="74">
        <f>'عدد اللاعبين'!B112</f>
        <v/>
      </c>
      <c r="C123" s="69">
        <f>'عدد اللاعبين'!C112</f>
        <v/>
      </c>
      <c r="D123" s="69">
        <f>IFERROR(INDEX(المدخلات!$AD$6:$AD$12,MATCH($C123,المدخلات!$AC$6:$AC$12,0)),"")</f>
        <v/>
      </c>
      <c r="E123" s="69">
        <f>'عدد اللاعبين'!D112</f>
        <v/>
      </c>
      <c r="F123" s="70">
        <f>'عدد اللاعبين'!F112</f>
        <v/>
      </c>
      <c r="G123" s="71">
        <f>'عدد اللاعبين'!G112</f>
        <v/>
      </c>
      <c r="H123" s="69">
        <f>IFERROR(INDEX(المدخلات!$AE$6:$AE$12,MATCH($C123,المدخلات!$AC$6:$AC$12,0)),"")</f>
        <v/>
      </c>
      <c r="I123" s="71">
        <f>IF($G123&lt;الحد_الأدنى,0,ROUNDDOWN($G123/فرق_المباراة,0))</f>
        <v/>
      </c>
      <c r="J123" s="71">
        <f>ROUNDUP($I123/IFERROR(INDEX(المدخلات!$AJ$6:$AJ$12,MATCH($C123,المدخلات!$AC$6:$AC$12,0)),1),0)</f>
        <v/>
      </c>
      <c r="K123" s="71">
        <f>ROUNDUP($J123/IFERROR(INDEX(المدخلات!$AF$6:$AF$12,MATCH($C123,المدخلات!$AC$6:$AC$12,0)),1),0)</f>
        <v/>
      </c>
    </row>
    <row r="124" hidden="1">
      <c r="B124" s="74">
        <f>'عدد اللاعبين'!B113</f>
        <v/>
      </c>
      <c r="C124" s="69">
        <f>'عدد اللاعبين'!C113</f>
        <v/>
      </c>
      <c r="D124" s="69">
        <f>IFERROR(INDEX(المدخلات!$AD$6:$AD$12,MATCH($C124,المدخلات!$AC$6:$AC$12,0)),"")</f>
        <v/>
      </c>
      <c r="E124" s="69">
        <f>'عدد اللاعبين'!D113</f>
        <v/>
      </c>
      <c r="F124" s="70">
        <f>'عدد اللاعبين'!F113</f>
        <v/>
      </c>
      <c r="G124" s="71">
        <f>'عدد اللاعبين'!G113</f>
        <v/>
      </c>
      <c r="H124" s="69">
        <f>IFERROR(INDEX(المدخلات!$AE$6:$AE$12,MATCH($C124,المدخلات!$AC$6:$AC$12,0)),"")</f>
        <v/>
      </c>
      <c r="I124" s="71">
        <f>IF($G124&lt;الحد_الأدنى,0,ROUNDDOWN($G124/فرق_المباراة,0))</f>
        <v/>
      </c>
      <c r="J124" s="71">
        <f>ROUNDUP($I124/IFERROR(INDEX(المدخلات!$AJ$6:$AJ$12,MATCH($C124,المدخلات!$AC$6:$AC$12,0)),1),0)</f>
        <v/>
      </c>
      <c r="K124" s="71">
        <f>ROUNDUP($J124/IFERROR(INDEX(المدخلات!$AF$6:$AF$12,MATCH($C124,المدخلات!$AC$6:$AC$12,0)),1),0)</f>
        <v/>
      </c>
    </row>
    <row r="125" hidden="1">
      <c r="B125" s="74">
        <f>'عدد اللاعبين'!B114</f>
        <v/>
      </c>
      <c r="C125" s="69">
        <f>'عدد اللاعبين'!C114</f>
        <v/>
      </c>
      <c r="D125" s="69">
        <f>IFERROR(INDEX(المدخلات!$AD$6:$AD$12,MATCH($C125,المدخلات!$AC$6:$AC$12,0)),"")</f>
        <v/>
      </c>
      <c r="E125" s="69">
        <f>'عدد اللاعبين'!D114</f>
        <v/>
      </c>
      <c r="F125" s="70">
        <f>'عدد اللاعبين'!F114</f>
        <v/>
      </c>
      <c r="G125" s="71">
        <f>'عدد اللاعبين'!G114</f>
        <v/>
      </c>
      <c r="H125" s="69">
        <f>IFERROR(INDEX(المدخلات!$AE$6:$AE$12,MATCH($C125,المدخلات!$AC$6:$AC$12,0)),"")</f>
        <v/>
      </c>
      <c r="I125" s="71">
        <f>IF($G125&lt;الحد_الأدنى,0,ROUNDDOWN($G125/فرق_المباراة,0))</f>
        <v/>
      </c>
      <c r="J125" s="71">
        <f>ROUNDUP($I125/IFERROR(INDEX(المدخلات!$AJ$6:$AJ$12,MATCH($C125,المدخلات!$AC$6:$AC$12,0)),1),0)</f>
        <v/>
      </c>
      <c r="K125" s="71">
        <f>ROUNDUP($J125/IFERROR(INDEX(المدخلات!$AF$6:$AF$12,MATCH($C125,المدخلات!$AC$6:$AC$12,0)),1),0)</f>
        <v/>
      </c>
    </row>
    <row r="126" hidden="1">
      <c r="B126" s="74">
        <f>'عدد اللاعبين'!B115</f>
        <v/>
      </c>
      <c r="C126" s="69">
        <f>'عدد اللاعبين'!C115</f>
        <v/>
      </c>
      <c r="D126" s="69">
        <f>IFERROR(INDEX(المدخلات!$AD$6:$AD$12,MATCH($C126,المدخلات!$AC$6:$AC$12,0)),"")</f>
        <v/>
      </c>
      <c r="E126" s="69">
        <f>'عدد اللاعبين'!D115</f>
        <v/>
      </c>
      <c r="F126" s="70">
        <f>'عدد اللاعبين'!F115</f>
        <v/>
      </c>
      <c r="G126" s="71">
        <f>'عدد اللاعبين'!G115</f>
        <v/>
      </c>
      <c r="H126" s="69">
        <f>IFERROR(INDEX(المدخلات!$AE$6:$AE$12,MATCH($C126,المدخلات!$AC$6:$AC$12,0)),"")</f>
        <v/>
      </c>
      <c r="I126" s="71">
        <f>IF($G126&lt;الحد_الأدنى,0,ROUNDDOWN($G126/فرق_المباراة,0))</f>
        <v/>
      </c>
      <c r="J126" s="71">
        <f>ROUNDUP($I126/IFERROR(INDEX(المدخلات!$AJ$6:$AJ$12,MATCH($C126,المدخلات!$AC$6:$AC$12,0)),1),0)</f>
        <v/>
      </c>
      <c r="K126" s="71">
        <f>ROUNDUP($J126/IFERROR(INDEX(المدخلات!$AF$6:$AF$12,MATCH($C126,المدخلات!$AC$6:$AC$12,0)),1),0)</f>
        <v/>
      </c>
    </row>
    <row r="127" hidden="1">
      <c r="B127" s="74">
        <f>'عدد اللاعبين'!B116</f>
        <v/>
      </c>
      <c r="C127" s="69">
        <f>'عدد اللاعبين'!C116</f>
        <v/>
      </c>
      <c r="D127" s="69">
        <f>IFERROR(INDEX(المدخلات!$AD$6:$AD$12,MATCH($C127,المدخلات!$AC$6:$AC$12,0)),"")</f>
        <v/>
      </c>
      <c r="E127" s="69">
        <f>'عدد اللاعبين'!D116</f>
        <v/>
      </c>
      <c r="F127" s="70">
        <f>'عدد اللاعبين'!F116</f>
        <v/>
      </c>
      <c r="G127" s="71">
        <f>'عدد اللاعبين'!G116</f>
        <v/>
      </c>
      <c r="H127" s="69">
        <f>IFERROR(INDEX(المدخلات!$AE$6:$AE$12,MATCH($C127,المدخلات!$AC$6:$AC$12,0)),"")</f>
        <v/>
      </c>
      <c r="I127" s="71">
        <f>IF($G127&lt;الحد_الأدنى,0,ROUNDDOWN($G127/فرق_المباراة,0))</f>
        <v/>
      </c>
      <c r="J127" s="71">
        <f>ROUNDUP($I127/IFERROR(INDEX(المدخلات!$AJ$6:$AJ$12,MATCH($C127,المدخلات!$AC$6:$AC$12,0)),1),0)</f>
        <v/>
      </c>
      <c r="K127" s="71">
        <f>ROUNDUP($J127/IFERROR(INDEX(المدخلات!$AF$6:$AF$12,MATCH($C127,المدخلات!$AC$6:$AC$12,0)),1),0)</f>
        <v/>
      </c>
    </row>
    <row r="128" hidden="1">
      <c r="B128" s="74">
        <f>'عدد اللاعبين'!B117</f>
        <v/>
      </c>
      <c r="C128" s="69">
        <f>'عدد اللاعبين'!C117</f>
        <v/>
      </c>
      <c r="D128" s="69">
        <f>IFERROR(INDEX(المدخلات!$AD$6:$AD$12,MATCH($C128,المدخلات!$AC$6:$AC$12,0)),"")</f>
        <v/>
      </c>
      <c r="E128" s="69">
        <f>'عدد اللاعبين'!D117</f>
        <v/>
      </c>
      <c r="F128" s="70">
        <f>'عدد اللاعبين'!F117</f>
        <v/>
      </c>
      <c r="G128" s="71">
        <f>'عدد اللاعبين'!G117</f>
        <v/>
      </c>
      <c r="H128" s="69">
        <f>IFERROR(INDEX(المدخلات!$AE$6:$AE$12,MATCH($C128,المدخلات!$AC$6:$AC$12,0)),"")</f>
        <v/>
      </c>
      <c r="I128" s="71">
        <f>IF($G128&lt;الحد_الأدنى,0,ROUNDDOWN($G128/فرق_المباراة,0))</f>
        <v/>
      </c>
      <c r="J128" s="71">
        <f>ROUNDUP($I128/IFERROR(INDEX(المدخلات!$AJ$6:$AJ$12,MATCH($C128,المدخلات!$AC$6:$AC$12,0)),1),0)</f>
        <v/>
      </c>
      <c r="K128" s="71">
        <f>ROUNDUP($J128/IFERROR(INDEX(المدخلات!$AF$6:$AF$12,MATCH($C128,المدخلات!$AC$6:$AC$12,0)),1),0)</f>
        <v/>
      </c>
    </row>
    <row r="129" hidden="1">
      <c r="B129" s="74">
        <f>'عدد اللاعبين'!B118</f>
        <v/>
      </c>
      <c r="C129" s="69">
        <f>'عدد اللاعبين'!C118</f>
        <v/>
      </c>
      <c r="D129" s="69">
        <f>IFERROR(INDEX(المدخلات!$AD$6:$AD$12,MATCH($C129,المدخلات!$AC$6:$AC$12,0)),"")</f>
        <v/>
      </c>
      <c r="E129" s="69">
        <f>'عدد اللاعبين'!D118</f>
        <v/>
      </c>
      <c r="F129" s="70">
        <f>'عدد اللاعبين'!F118</f>
        <v/>
      </c>
      <c r="G129" s="71">
        <f>'عدد اللاعبين'!G118</f>
        <v/>
      </c>
      <c r="H129" s="69">
        <f>IFERROR(INDEX(المدخلات!$AE$6:$AE$12,MATCH($C129,المدخلات!$AC$6:$AC$12,0)),"")</f>
        <v/>
      </c>
      <c r="I129" s="71">
        <f>IF($G129&lt;الحد_الأدنى,0,ROUNDDOWN($G129/فرق_المباراة,0))</f>
        <v/>
      </c>
      <c r="J129" s="71">
        <f>ROUNDUP($I129/IFERROR(INDEX(المدخلات!$AJ$6:$AJ$12,MATCH($C129,المدخلات!$AC$6:$AC$12,0)),1),0)</f>
        <v/>
      </c>
      <c r="K129" s="71">
        <f>ROUNDUP($J129/IFERROR(INDEX(المدخلات!$AF$6:$AF$12,MATCH($C129,المدخلات!$AC$6:$AC$12,0)),1),0)</f>
        <v/>
      </c>
    </row>
    <row r="130" hidden="1">
      <c r="B130" s="74">
        <f>'عدد اللاعبين'!B119</f>
        <v/>
      </c>
      <c r="C130" s="69">
        <f>'عدد اللاعبين'!C119</f>
        <v/>
      </c>
      <c r="D130" s="69">
        <f>IFERROR(INDEX(المدخلات!$AD$6:$AD$12,MATCH($C130,المدخلات!$AC$6:$AC$12,0)),"")</f>
        <v/>
      </c>
      <c r="E130" s="69">
        <f>'عدد اللاعبين'!D119</f>
        <v/>
      </c>
      <c r="F130" s="70">
        <f>'عدد اللاعبين'!F119</f>
        <v/>
      </c>
      <c r="G130" s="71">
        <f>'عدد اللاعبين'!G119</f>
        <v/>
      </c>
      <c r="H130" s="69">
        <f>IFERROR(INDEX(المدخلات!$AE$6:$AE$12,MATCH($C130,المدخلات!$AC$6:$AC$12,0)),"")</f>
        <v/>
      </c>
      <c r="I130" s="71">
        <f>IF($G130&lt;الحد_الأدنى,0,ROUNDDOWN($G130/فرق_المباراة,0))</f>
        <v/>
      </c>
      <c r="J130" s="71">
        <f>ROUNDUP($I130/IFERROR(INDEX(المدخلات!$AJ$6:$AJ$12,MATCH($C130,المدخلات!$AC$6:$AC$12,0)),1),0)</f>
        <v/>
      </c>
      <c r="K130" s="71">
        <f>ROUNDUP($J130/IFERROR(INDEX(المدخلات!$AF$6:$AF$12,MATCH($C130,المدخلات!$AC$6:$AC$12,0)),1),0)</f>
        <v/>
      </c>
    </row>
    <row r="131" hidden="1">
      <c r="B131" s="74">
        <f>'عدد اللاعبين'!B120</f>
        <v/>
      </c>
      <c r="C131" s="69">
        <f>'عدد اللاعبين'!C120</f>
        <v/>
      </c>
      <c r="D131" s="69">
        <f>IFERROR(INDEX(المدخلات!$AD$6:$AD$12,MATCH($C131,المدخلات!$AC$6:$AC$12,0)),"")</f>
        <v/>
      </c>
      <c r="E131" s="69">
        <f>'عدد اللاعبين'!D120</f>
        <v/>
      </c>
      <c r="F131" s="70">
        <f>'عدد اللاعبين'!F120</f>
        <v/>
      </c>
      <c r="G131" s="71">
        <f>'عدد اللاعبين'!G120</f>
        <v/>
      </c>
      <c r="H131" s="69">
        <f>IFERROR(INDEX(المدخلات!$AE$6:$AE$12,MATCH($C131,المدخلات!$AC$6:$AC$12,0)),"")</f>
        <v/>
      </c>
      <c r="I131" s="71">
        <f>IF($G131&lt;الحد_الأدنى,0,ROUNDDOWN($G131/فرق_المباراة,0))</f>
        <v/>
      </c>
      <c r="J131" s="71">
        <f>ROUNDUP($I131/IFERROR(INDEX(المدخلات!$AJ$6:$AJ$12,MATCH($C131,المدخلات!$AC$6:$AC$12,0)),1),0)</f>
        <v/>
      </c>
      <c r="K131" s="71">
        <f>ROUNDUP($J131/IFERROR(INDEX(المدخلات!$AF$6:$AF$12,MATCH($C131,المدخلات!$AC$6:$AC$12,0)),1),0)</f>
        <v/>
      </c>
    </row>
    <row r="132" hidden="1">
      <c r="B132" s="74">
        <f>'عدد اللاعبين'!B121</f>
        <v/>
      </c>
      <c r="C132" s="69">
        <f>'عدد اللاعبين'!C121</f>
        <v/>
      </c>
      <c r="D132" s="69">
        <f>IFERROR(INDEX(المدخلات!$AD$6:$AD$12,MATCH($C132,المدخلات!$AC$6:$AC$12,0)),"")</f>
        <v/>
      </c>
      <c r="E132" s="69">
        <f>'عدد اللاعبين'!D121</f>
        <v/>
      </c>
      <c r="F132" s="70">
        <f>'عدد اللاعبين'!F121</f>
        <v/>
      </c>
      <c r="G132" s="71">
        <f>'عدد اللاعبين'!G121</f>
        <v/>
      </c>
      <c r="H132" s="69">
        <f>IFERROR(INDEX(المدخلات!$AE$6:$AE$12,MATCH($C132,المدخلات!$AC$6:$AC$12,0)),"")</f>
        <v/>
      </c>
      <c r="I132" s="71">
        <f>IF($G132&lt;الحد_الأدنى,0,ROUNDDOWN($G132/فرق_المباراة,0))</f>
        <v/>
      </c>
      <c r="J132" s="71">
        <f>ROUNDUP($I132/IFERROR(INDEX(المدخلات!$AJ$6:$AJ$12,MATCH($C132,المدخلات!$AC$6:$AC$12,0)),1),0)</f>
        <v/>
      </c>
      <c r="K132" s="71">
        <f>ROUNDUP($J132/IFERROR(INDEX(المدخلات!$AF$6:$AF$12,MATCH($C132,المدخلات!$AC$6:$AC$12,0)),1),0)</f>
        <v/>
      </c>
    </row>
    <row r="133" hidden="1">
      <c r="B133" s="74">
        <f>'عدد اللاعبين'!B122</f>
        <v/>
      </c>
      <c r="C133" s="69">
        <f>'عدد اللاعبين'!C122</f>
        <v/>
      </c>
      <c r="D133" s="69">
        <f>IFERROR(INDEX(المدخلات!$AD$6:$AD$12,MATCH($C133,المدخلات!$AC$6:$AC$12,0)),"")</f>
        <v/>
      </c>
      <c r="E133" s="69">
        <f>'عدد اللاعبين'!D122</f>
        <v/>
      </c>
      <c r="F133" s="70">
        <f>'عدد اللاعبين'!F122</f>
        <v/>
      </c>
      <c r="G133" s="71">
        <f>'عدد اللاعبين'!G122</f>
        <v/>
      </c>
      <c r="H133" s="69">
        <f>IFERROR(INDEX(المدخلات!$AE$6:$AE$12,MATCH($C133,المدخلات!$AC$6:$AC$12,0)),"")</f>
        <v/>
      </c>
      <c r="I133" s="71">
        <f>IF($G133&lt;الحد_الأدنى,0,ROUNDDOWN($G133/فرق_المباراة,0))</f>
        <v/>
      </c>
      <c r="J133" s="71">
        <f>ROUNDUP($I133/IFERROR(INDEX(المدخلات!$AJ$6:$AJ$12,MATCH($C133,المدخلات!$AC$6:$AC$12,0)),1),0)</f>
        <v/>
      </c>
      <c r="K133" s="71">
        <f>ROUNDUP($J133/IFERROR(INDEX(المدخلات!$AF$6:$AF$12,MATCH($C133,المدخلات!$AC$6:$AC$12,0)),1),0)</f>
        <v/>
      </c>
    </row>
    <row r="134" hidden="1">
      <c r="B134" s="74">
        <f>'عدد اللاعبين'!B123</f>
        <v/>
      </c>
      <c r="C134" s="69">
        <f>'عدد اللاعبين'!C123</f>
        <v/>
      </c>
      <c r="D134" s="69">
        <f>IFERROR(INDEX(المدخلات!$AD$6:$AD$12,MATCH($C134,المدخلات!$AC$6:$AC$12,0)),"")</f>
        <v/>
      </c>
      <c r="E134" s="69">
        <f>'عدد اللاعبين'!D123</f>
        <v/>
      </c>
      <c r="F134" s="70">
        <f>'عدد اللاعبين'!F123</f>
        <v/>
      </c>
      <c r="G134" s="71">
        <f>'عدد اللاعبين'!G123</f>
        <v/>
      </c>
      <c r="H134" s="69">
        <f>IFERROR(INDEX(المدخلات!$AE$6:$AE$12,MATCH($C134,المدخلات!$AC$6:$AC$12,0)),"")</f>
        <v/>
      </c>
      <c r="I134" s="71">
        <f>IF($G134&lt;الحد_الأدنى,0,ROUNDDOWN($G134/فرق_المباراة,0))</f>
        <v/>
      </c>
      <c r="J134" s="71">
        <f>ROUNDUP($I134/IFERROR(INDEX(المدخلات!$AJ$6:$AJ$12,MATCH($C134,المدخلات!$AC$6:$AC$12,0)),1),0)</f>
        <v/>
      </c>
      <c r="K134" s="71">
        <f>ROUNDUP($J134/IFERROR(INDEX(المدخلات!$AF$6:$AF$12,MATCH($C134,المدخلات!$AC$6:$AC$12,0)),1),0)</f>
        <v/>
      </c>
    </row>
    <row r="135">
      <c r="B135" s="74">
        <f>'عدد اللاعبين'!B124</f>
        <v/>
      </c>
      <c r="C135" s="69">
        <f>'عدد اللاعبين'!C124</f>
        <v/>
      </c>
      <c r="D135" s="69">
        <f>IFERROR(INDEX(المدخلات!$AD$6:$AD$12,MATCH($C135,المدخلات!$AC$6:$AC$12,0)),"")</f>
        <v/>
      </c>
      <c r="E135" s="69">
        <f>'عدد اللاعبين'!D124</f>
        <v/>
      </c>
      <c r="F135" s="70">
        <f>'عدد اللاعبين'!F124</f>
        <v/>
      </c>
      <c r="G135" s="71">
        <f>'عدد اللاعبين'!G124</f>
        <v/>
      </c>
      <c r="H135" s="69">
        <f>IFERROR(INDEX(المدخلات!$AE$6:$AE$12,MATCH($C135,المدخلات!$AC$6:$AC$12,0)),"")</f>
        <v/>
      </c>
      <c r="I135" s="71">
        <f>IF($G135&lt;الحد_الأدنى,0,ROUNDDOWN($G135/فرق_المباراة,0))</f>
        <v/>
      </c>
      <c r="J135" s="71">
        <f>ROUNDUP($I135/IFERROR(INDEX(المدخلات!$AJ$6:$AJ$12,MATCH($C135,المدخلات!$AC$6:$AC$12,0)),1),0)</f>
        <v/>
      </c>
      <c r="K135" s="71">
        <f>ROUNDUP($J135/IFERROR(INDEX(المدخلات!$AF$6:$AF$12,MATCH($C135,المدخلات!$AC$6:$AC$12,0)),1),0)</f>
        <v/>
      </c>
    </row>
    <row r="136">
      <c r="B136" s="74">
        <f>'عدد اللاعبين'!B125</f>
        <v/>
      </c>
      <c r="C136" s="69">
        <f>'عدد اللاعبين'!C125</f>
        <v/>
      </c>
      <c r="D136" s="69">
        <f>IFERROR(INDEX(المدخلات!$AD$6:$AD$12,MATCH($C136,المدخلات!$AC$6:$AC$12,0)),"")</f>
        <v/>
      </c>
      <c r="E136" s="69">
        <f>'عدد اللاعبين'!D125</f>
        <v/>
      </c>
      <c r="F136" s="70">
        <f>'عدد اللاعبين'!F125</f>
        <v/>
      </c>
      <c r="G136" s="71">
        <f>'عدد اللاعبين'!G125</f>
        <v/>
      </c>
      <c r="H136" s="69">
        <f>IFERROR(INDEX(المدخلات!$AE$6:$AE$12,MATCH($C136,المدخلات!$AC$6:$AC$12,0)),"")</f>
        <v/>
      </c>
      <c r="I136" s="71">
        <f>IF($G136&lt;الحد_الأدنى,0,ROUNDDOWN($G136/فرق_المباراة,0))</f>
        <v/>
      </c>
      <c r="J136" s="71">
        <f>ROUNDUP($I136/IFERROR(INDEX(المدخلات!$AJ$6:$AJ$12,MATCH($C136,المدخلات!$AC$6:$AC$12,0)),1),0)</f>
        <v/>
      </c>
      <c r="K136" s="71">
        <f>ROUNDUP($J136/IFERROR(INDEX(المدخلات!$AF$6:$AF$12,MATCH($C136,المدخلات!$AC$6:$AC$12,0)),1),0)</f>
        <v/>
      </c>
    </row>
    <row r="137" hidden="1">
      <c r="B137" s="74">
        <f>'عدد اللاعبين'!B126</f>
        <v/>
      </c>
      <c r="C137" s="69">
        <f>'عدد اللاعبين'!C126</f>
        <v/>
      </c>
      <c r="D137" s="69">
        <f>IFERROR(INDEX(المدخلات!$AD$6:$AD$12,MATCH($C137,المدخلات!$AC$6:$AC$12,0)),"")</f>
        <v/>
      </c>
      <c r="E137" s="69">
        <f>'عدد اللاعبين'!D126</f>
        <v/>
      </c>
      <c r="F137" s="70">
        <f>'عدد اللاعبين'!F126</f>
        <v/>
      </c>
      <c r="G137" s="71">
        <f>'عدد اللاعبين'!G126</f>
        <v/>
      </c>
      <c r="H137" s="69">
        <f>IFERROR(INDEX(المدخلات!$AE$6:$AE$12,MATCH($C137,المدخلات!$AC$6:$AC$12,0)),"")</f>
        <v/>
      </c>
      <c r="I137" s="71">
        <f>IF($G137&lt;الحد_الأدنى,0,ROUNDDOWN($G137/فرق_المباراة,0))</f>
        <v/>
      </c>
      <c r="J137" s="71">
        <f>ROUNDUP($I137/IFERROR(INDEX(المدخلات!$AJ$6:$AJ$12,MATCH($C137,المدخلات!$AC$6:$AC$12,0)),1),0)</f>
        <v/>
      </c>
      <c r="K137" s="71">
        <f>ROUNDUP($J137/IFERROR(INDEX(المدخلات!$AF$6:$AF$12,MATCH($C137,المدخلات!$AC$6:$AC$12,0)),1),0)</f>
        <v/>
      </c>
    </row>
    <row r="138" hidden="1">
      <c r="B138" s="74">
        <f>'عدد اللاعبين'!B127</f>
        <v/>
      </c>
      <c r="C138" s="69">
        <f>'عدد اللاعبين'!C127</f>
        <v/>
      </c>
      <c r="D138" s="69">
        <f>IFERROR(INDEX(المدخلات!$AD$6:$AD$12,MATCH($C138,المدخلات!$AC$6:$AC$12,0)),"")</f>
        <v/>
      </c>
      <c r="E138" s="69">
        <f>'عدد اللاعبين'!D127</f>
        <v/>
      </c>
      <c r="F138" s="70">
        <f>'عدد اللاعبين'!F127</f>
        <v/>
      </c>
      <c r="G138" s="71">
        <f>'عدد اللاعبين'!G127</f>
        <v/>
      </c>
      <c r="H138" s="69">
        <f>IFERROR(INDEX(المدخلات!$AE$6:$AE$12,MATCH($C138,المدخلات!$AC$6:$AC$12,0)),"")</f>
        <v/>
      </c>
      <c r="I138" s="71">
        <f>IF($G138&lt;الحد_الأدنى,0,ROUNDDOWN($G138/فرق_المباراة,0))</f>
        <v/>
      </c>
      <c r="J138" s="71">
        <f>ROUNDUP($I138/IFERROR(INDEX(المدخلات!$AJ$6:$AJ$12,MATCH($C138,المدخلات!$AC$6:$AC$12,0)),1),0)</f>
        <v/>
      </c>
      <c r="K138" s="71">
        <f>ROUNDUP($J138/IFERROR(INDEX(المدخلات!$AF$6:$AF$12,MATCH($C138,المدخلات!$AC$6:$AC$12,0)),1),0)</f>
        <v/>
      </c>
    </row>
    <row r="139" hidden="1">
      <c r="B139" s="74">
        <f>'عدد اللاعبين'!B128</f>
        <v/>
      </c>
      <c r="C139" s="69">
        <f>'عدد اللاعبين'!C128</f>
        <v/>
      </c>
      <c r="D139" s="69">
        <f>IFERROR(INDEX(المدخلات!$AD$6:$AD$12,MATCH($C139,المدخلات!$AC$6:$AC$12,0)),"")</f>
        <v/>
      </c>
      <c r="E139" s="69">
        <f>'عدد اللاعبين'!D128</f>
        <v/>
      </c>
      <c r="F139" s="70">
        <f>'عدد اللاعبين'!F128</f>
        <v/>
      </c>
      <c r="G139" s="71">
        <f>'عدد اللاعبين'!G128</f>
        <v/>
      </c>
      <c r="H139" s="69">
        <f>IFERROR(INDEX(المدخلات!$AE$6:$AE$12,MATCH($C139,المدخلات!$AC$6:$AC$12,0)),"")</f>
        <v/>
      </c>
      <c r="I139" s="71">
        <f>IF($G139&lt;الحد_الأدنى,0,ROUNDDOWN($G139/فرق_المباراة,0))</f>
        <v/>
      </c>
      <c r="J139" s="71">
        <f>ROUNDUP($I139/IFERROR(INDEX(المدخلات!$AJ$6:$AJ$12,MATCH($C139,المدخلات!$AC$6:$AC$12,0)),1),0)</f>
        <v/>
      </c>
      <c r="K139" s="71">
        <f>ROUNDUP($J139/IFERROR(INDEX(المدخلات!$AF$6:$AF$12,MATCH($C139,المدخلات!$AC$6:$AC$12,0)),1),0)</f>
        <v/>
      </c>
    </row>
    <row r="140" hidden="1">
      <c r="B140" s="74">
        <f>'عدد اللاعبين'!B129</f>
        <v/>
      </c>
      <c r="C140" s="69">
        <f>'عدد اللاعبين'!C129</f>
        <v/>
      </c>
      <c r="D140" s="69">
        <f>IFERROR(INDEX(المدخلات!$AD$6:$AD$12,MATCH($C140,المدخلات!$AC$6:$AC$12,0)),"")</f>
        <v/>
      </c>
      <c r="E140" s="69">
        <f>'عدد اللاعبين'!D129</f>
        <v/>
      </c>
      <c r="F140" s="70">
        <f>'عدد اللاعبين'!F129</f>
        <v/>
      </c>
      <c r="G140" s="71">
        <f>'عدد اللاعبين'!G129</f>
        <v/>
      </c>
      <c r="H140" s="69">
        <f>IFERROR(INDEX(المدخلات!$AE$6:$AE$12,MATCH($C140,المدخلات!$AC$6:$AC$12,0)),"")</f>
        <v/>
      </c>
      <c r="I140" s="71">
        <f>IF($G140&lt;الحد_الأدنى,0,ROUNDDOWN($G140/فرق_المباراة,0))</f>
        <v/>
      </c>
      <c r="J140" s="71">
        <f>ROUNDUP($I140/IFERROR(INDEX(المدخلات!$AJ$6:$AJ$12,MATCH($C140,المدخلات!$AC$6:$AC$12,0)),1),0)</f>
        <v/>
      </c>
      <c r="K140" s="71">
        <f>ROUNDUP($J140/IFERROR(INDEX(المدخلات!$AF$6:$AF$12,MATCH($C140,المدخلات!$AC$6:$AC$12,0)),1),0)</f>
        <v/>
      </c>
    </row>
    <row r="141" hidden="1">
      <c r="B141" s="74">
        <f>'عدد اللاعبين'!B130</f>
        <v/>
      </c>
      <c r="C141" s="69">
        <f>'عدد اللاعبين'!C130</f>
        <v/>
      </c>
      <c r="D141" s="69">
        <f>IFERROR(INDEX(المدخلات!$AD$6:$AD$12,MATCH($C141,المدخلات!$AC$6:$AC$12,0)),"")</f>
        <v/>
      </c>
      <c r="E141" s="69">
        <f>'عدد اللاعبين'!D130</f>
        <v/>
      </c>
      <c r="F141" s="70">
        <f>'عدد اللاعبين'!F130</f>
        <v/>
      </c>
      <c r="G141" s="71">
        <f>'عدد اللاعبين'!G130</f>
        <v/>
      </c>
      <c r="H141" s="69">
        <f>IFERROR(INDEX(المدخلات!$AE$6:$AE$12,MATCH($C141,المدخلات!$AC$6:$AC$12,0)),"")</f>
        <v/>
      </c>
      <c r="I141" s="71">
        <f>IF($G141&lt;الحد_الأدنى,0,ROUNDDOWN($G141/فرق_المباراة,0))</f>
        <v/>
      </c>
      <c r="J141" s="71">
        <f>ROUNDUP($I141/IFERROR(INDEX(المدخلات!$AJ$6:$AJ$12,MATCH($C141,المدخلات!$AC$6:$AC$12,0)),1),0)</f>
        <v/>
      </c>
      <c r="K141" s="71">
        <f>ROUNDUP($J141/IFERROR(INDEX(المدخلات!$AF$6:$AF$12,MATCH($C141,المدخلات!$AC$6:$AC$12,0)),1),0)</f>
        <v/>
      </c>
    </row>
    <row r="142" hidden="1">
      <c r="B142" s="74">
        <f>'عدد اللاعبين'!B131</f>
        <v/>
      </c>
      <c r="C142" s="69">
        <f>'عدد اللاعبين'!C131</f>
        <v/>
      </c>
      <c r="D142" s="69">
        <f>IFERROR(INDEX(المدخلات!$AD$6:$AD$12,MATCH($C142,المدخلات!$AC$6:$AC$12,0)),"")</f>
        <v/>
      </c>
      <c r="E142" s="69">
        <f>'عدد اللاعبين'!D131</f>
        <v/>
      </c>
      <c r="F142" s="70">
        <f>'عدد اللاعبين'!F131</f>
        <v/>
      </c>
      <c r="G142" s="71">
        <f>'عدد اللاعبين'!G131</f>
        <v/>
      </c>
      <c r="H142" s="69">
        <f>IFERROR(INDEX(المدخلات!$AE$6:$AE$12,MATCH($C142,المدخلات!$AC$6:$AC$12,0)),"")</f>
        <v/>
      </c>
      <c r="I142" s="71">
        <f>IF($G142&lt;الحد_الأدنى,0,ROUNDDOWN($G142/فرق_المباراة,0))</f>
        <v/>
      </c>
      <c r="J142" s="71">
        <f>ROUNDUP($I142/IFERROR(INDEX(المدخلات!$AJ$6:$AJ$12,MATCH($C142,المدخلات!$AC$6:$AC$12,0)),1),0)</f>
        <v/>
      </c>
      <c r="K142" s="71">
        <f>ROUNDUP($J142/IFERROR(INDEX(المدخلات!$AF$6:$AF$12,MATCH($C142,المدخلات!$AC$6:$AC$12,0)),1),0)</f>
        <v/>
      </c>
    </row>
    <row r="143" hidden="1">
      <c r="B143" s="74">
        <f>'عدد اللاعبين'!B132</f>
        <v/>
      </c>
      <c r="C143" s="69">
        <f>'عدد اللاعبين'!C132</f>
        <v/>
      </c>
      <c r="D143" s="69">
        <f>IFERROR(INDEX(المدخلات!$AD$6:$AD$12,MATCH($C143,المدخلات!$AC$6:$AC$12,0)),"")</f>
        <v/>
      </c>
      <c r="E143" s="69">
        <f>'عدد اللاعبين'!D132</f>
        <v/>
      </c>
      <c r="F143" s="70">
        <f>'عدد اللاعبين'!F132</f>
        <v/>
      </c>
      <c r="G143" s="71">
        <f>'عدد اللاعبين'!G132</f>
        <v/>
      </c>
      <c r="H143" s="69">
        <f>IFERROR(INDEX(المدخلات!$AE$6:$AE$12,MATCH($C143,المدخلات!$AC$6:$AC$12,0)),"")</f>
        <v/>
      </c>
      <c r="I143" s="71">
        <f>IF($G143&lt;الحد_الأدنى,0,ROUNDDOWN($G143/فرق_المباراة,0))</f>
        <v/>
      </c>
      <c r="J143" s="71">
        <f>ROUNDUP($I143/IFERROR(INDEX(المدخلات!$AJ$6:$AJ$12,MATCH($C143,المدخلات!$AC$6:$AC$12,0)),1),0)</f>
        <v/>
      </c>
      <c r="K143" s="71">
        <f>ROUNDUP($J143/IFERROR(INDEX(المدخلات!$AF$6:$AF$12,MATCH($C143,المدخلات!$AC$6:$AC$12,0)),1),0)</f>
        <v/>
      </c>
    </row>
    <row r="144" hidden="1">
      <c r="B144" s="74">
        <f>'عدد اللاعبين'!B133</f>
        <v/>
      </c>
      <c r="C144" s="69">
        <f>'عدد اللاعبين'!C133</f>
        <v/>
      </c>
      <c r="D144" s="69">
        <f>IFERROR(INDEX(المدخلات!$AD$6:$AD$12,MATCH($C144,المدخلات!$AC$6:$AC$12,0)),"")</f>
        <v/>
      </c>
      <c r="E144" s="69">
        <f>'عدد اللاعبين'!D133</f>
        <v/>
      </c>
      <c r="F144" s="70">
        <f>'عدد اللاعبين'!F133</f>
        <v/>
      </c>
      <c r="G144" s="71">
        <f>'عدد اللاعبين'!G133</f>
        <v/>
      </c>
      <c r="H144" s="69">
        <f>IFERROR(INDEX(المدخلات!$AE$6:$AE$12,MATCH($C144,المدخلات!$AC$6:$AC$12,0)),"")</f>
        <v/>
      </c>
      <c r="I144" s="71">
        <f>IF($G144&lt;الحد_الأدنى,0,ROUNDDOWN($G144/فرق_المباراة,0))</f>
        <v/>
      </c>
      <c r="J144" s="71">
        <f>ROUNDUP($I144/IFERROR(INDEX(المدخلات!$AJ$6:$AJ$12,MATCH($C144,المدخلات!$AC$6:$AC$12,0)),1),0)</f>
        <v/>
      </c>
      <c r="K144" s="71">
        <f>ROUNDUP($J144/IFERROR(INDEX(المدخلات!$AF$6:$AF$12,MATCH($C144,المدخلات!$AC$6:$AC$12,0)),1),0)</f>
        <v/>
      </c>
    </row>
    <row r="145">
      <c r="B145" s="74">
        <f>'عدد اللاعبين'!B134</f>
        <v/>
      </c>
      <c r="C145" s="69">
        <f>'عدد اللاعبين'!C134</f>
        <v/>
      </c>
      <c r="D145" s="69">
        <f>IFERROR(INDEX(المدخلات!$AD$6:$AD$12,MATCH($C145,المدخلات!$AC$6:$AC$12,0)),"")</f>
        <v/>
      </c>
      <c r="E145" s="69">
        <f>'عدد اللاعبين'!D134</f>
        <v/>
      </c>
      <c r="F145" s="70">
        <f>'عدد اللاعبين'!F134</f>
        <v/>
      </c>
      <c r="G145" s="71">
        <f>'عدد اللاعبين'!G134</f>
        <v/>
      </c>
      <c r="H145" s="69">
        <f>IFERROR(INDEX(المدخلات!$AE$6:$AE$12,MATCH($C145,المدخلات!$AC$6:$AC$12,0)),"")</f>
        <v/>
      </c>
      <c r="I145" s="71">
        <f>IF($G145&lt;الحد_الأدنى,0,ROUNDDOWN($G145/فرق_المباراة,0))</f>
        <v/>
      </c>
      <c r="J145" s="71">
        <f>ROUNDUP($I145/IFERROR(INDEX(المدخلات!$AJ$6:$AJ$12,MATCH($C145,المدخلات!$AC$6:$AC$12,0)),1),0)</f>
        <v/>
      </c>
      <c r="K145" s="71">
        <f>ROUNDUP($J145/IFERROR(INDEX(المدخلات!$AF$6:$AF$12,MATCH($C145,المدخلات!$AC$6:$AC$12,0)),1),0)</f>
        <v/>
      </c>
    </row>
    <row r="146">
      <c r="B146" s="74">
        <f>'عدد اللاعبين'!B135</f>
        <v/>
      </c>
      <c r="C146" s="69">
        <f>'عدد اللاعبين'!C135</f>
        <v/>
      </c>
      <c r="D146" s="69">
        <f>IFERROR(INDEX(المدخلات!$AD$6:$AD$12,MATCH($C146,المدخلات!$AC$6:$AC$12,0)),"")</f>
        <v/>
      </c>
      <c r="E146" s="69">
        <f>'عدد اللاعبين'!D135</f>
        <v/>
      </c>
      <c r="F146" s="70">
        <f>'عدد اللاعبين'!F135</f>
        <v/>
      </c>
      <c r="G146" s="71">
        <f>'عدد اللاعبين'!G135</f>
        <v/>
      </c>
      <c r="H146" s="69">
        <f>IFERROR(INDEX(المدخلات!$AE$6:$AE$12,MATCH($C146,المدخلات!$AC$6:$AC$12,0)),"")</f>
        <v/>
      </c>
      <c r="I146" s="71">
        <f>IF($G146&lt;الحد_الأدنى,0,ROUNDDOWN($G146/فرق_المباراة,0))</f>
        <v/>
      </c>
      <c r="J146" s="71">
        <f>ROUNDUP($I146/IFERROR(INDEX(المدخلات!$AJ$6:$AJ$12,MATCH($C146,المدخلات!$AC$6:$AC$12,0)),1),0)</f>
        <v/>
      </c>
      <c r="K146" s="71">
        <f>ROUNDUP($J146/IFERROR(INDEX(المدخلات!$AF$6:$AF$12,MATCH($C146,المدخلات!$AC$6:$AC$12,0)),1),0)</f>
        <v/>
      </c>
    </row>
    <row r="147">
      <c r="B147" s="74">
        <f>'عدد اللاعبين'!B136</f>
        <v/>
      </c>
      <c r="C147" s="69">
        <f>'عدد اللاعبين'!C136</f>
        <v/>
      </c>
      <c r="D147" s="69">
        <f>IFERROR(INDEX(المدخلات!$AD$6:$AD$12,MATCH($C147,المدخلات!$AC$6:$AC$12,0)),"")</f>
        <v/>
      </c>
      <c r="E147" s="69">
        <f>'عدد اللاعبين'!D136</f>
        <v/>
      </c>
      <c r="F147" s="70">
        <f>'عدد اللاعبين'!F136</f>
        <v/>
      </c>
      <c r="G147" s="71">
        <f>'عدد اللاعبين'!G136</f>
        <v/>
      </c>
      <c r="H147" s="69">
        <f>IFERROR(INDEX(المدخلات!$AE$6:$AE$12,MATCH($C147,المدخلات!$AC$6:$AC$12,0)),"")</f>
        <v/>
      </c>
      <c r="I147" s="71">
        <f>IF($G147&lt;الحد_الأدنى,0,ROUNDDOWN($G147/فرق_المباراة,0))</f>
        <v/>
      </c>
      <c r="J147" s="71">
        <f>ROUNDUP($I147/IFERROR(INDEX(المدخلات!$AJ$6:$AJ$12,MATCH($C147,المدخلات!$AC$6:$AC$12,0)),1),0)</f>
        <v/>
      </c>
      <c r="K147" s="71">
        <f>ROUNDUP($J147/IFERROR(INDEX(المدخلات!$AF$6:$AF$12,MATCH($C147,المدخلات!$AC$6:$AC$12,0)),1),0)</f>
        <v/>
      </c>
    </row>
    <row r="148" hidden="1">
      <c r="B148" s="74">
        <f>'عدد اللاعبين'!B137</f>
        <v/>
      </c>
      <c r="C148" s="69">
        <f>'عدد اللاعبين'!C137</f>
        <v/>
      </c>
      <c r="D148" s="69">
        <f>IFERROR(INDEX(المدخلات!$AD$6:$AD$12,MATCH($C148,المدخلات!$AC$6:$AC$12,0)),"")</f>
        <v/>
      </c>
      <c r="E148" s="69">
        <f>'عدد اللاعبين'!D137</f>
        <v/>
      </c>
      <c r="F148" s="70">
        <f>'عدد اللاعبين'!F137</f>
        <v/>
      </c>
      <c r="G148" s="71">
        <f>'عدد اللاعبين'!G137</f>
        <v/>
      </c>
      <c r="H148" s="69">
        <f>IFERROR(INDEX(المدخلات!$AE$6:$AE$12,MATCH($C148,المدخلات!$AC$6:$AC$12,0)),"")</f>
        <v/>
      </c>
      <c r="I148" s="71">
        <f>IF($G148&lt;الحد_الأدنى,0,ROUNDDOWN($G148/فرق_المباراة,0))</f>
        <v/>
      </c>
      <c r="J148" s="71">
        <f>ROUNDUP($I148/IFERROR(INDEX(المدخلات!$AJ$6:$AJ$12,MATCH($C148,المدخلات!$AC$6:$AC$12,0)),1),0)</f>
        <v/>
      </c>
      <c r="K148" s="71">
        <f>ROUNDUP($J148/IFERROR(INDEX(المدخلات!$AF$6:$AF$12,MATCH($C148,المدخلات!$AC$6:$AC$12,0)),1),0)</f>
        <v/>
      </c>
    </row>
    <row r="149" hidden="1">
      <c r="B149" s="74">
        <f>'عدد اللاعبين'!B138</f>
        <v/>
      </c>
      <c r="C149" s="69">
        <f>'عدد اللاعبين'!C138</f>
        <v/>
      </c>
      <c r="D149" s="69">
        <f>IFERROR(INDEX(المدخلات!$AD$6:$AD$12,MATCH($C149,المدخلات!$AC$6:$AC$12,0)),"")</f>
        <v/>
      </c>
      <c r="E149" s="69">
        <f>'عدد اللاعبين'!D138</f>
        <v/>
      </c>
      <c r="F149" s="70">
        <f>'عدد اللاعبين'!F138</f>
        <v/>
      </c>
      <c r="G149" s="71">
        <f>'عدد اللاعبين'!G138</f>
        <v/>
      </c>
      <c r="H149" s="69">
        <f>IFERROR(INDEX(المدخلات!$AE$6:$AE$12,MATCH($C149,المدخلات!$AC$6:$AC$12,0)),"")</f>
        <v/>
      </c>
      <c r="I149" s="71">
        <f>IF($G149&lt;الحد_الأدنى,0,ROUNDDOWN($G149/فرق_المباراة,0))</f>
        <v/>
      </c>
      <c r="J149" s="71">
        <f>ROUNDUP($I149/IFERROR(INDEX(المدخلات!$AJ$6:$AJ$12,MATCH($C149,المدخلات!$AC$6:$AC$12,0)),1),0)</f>
        <v/>
      </c>
      <c r="K149" s="71">
        <f>ROUNDUP($J149/IFERROR(INDEX(المدخلات!$AF$6:$AF$12,MATCH($C149,المدخلات!$AC$6:$AC$12,0)),1),0)</f>
        <v/>
      </c>
    </row>
    <row r="150" hidden="1">
      <c r="B150" s="74">
        <f>'عدد اللاعبين'!B139</f>
        <v/>
      </c>
      <c r="C150" s="69">
        <f>'عدد اللاعبين'!C139</f>
        <v/>
      </c>
      <c r="D150" s="69">
        <f>IFERROR(INDEX(المدخلات!$AD$6:$AD$12,MATCH($C150,المدخلات!$AC$6:$AC$12,0)),"")</f>
        <v/>
      </c>
      <c r="E150" s="69">
        <f>'عدد اللاعبين'!D139</f>
        <v/>
      </c>
      <c r="F150" s="70">
        <f>'عدد اللاعبين'!F139</f>
        <v/>
      </c>
      <c r="G150" s="71">
        <f>'عدد اللاعبين'!G139</f>
        <v/>
      </c>
      <c r="H150" s="69">
        <f>IFERROR(INDEX(المدخلات!$AE$6:$AE$12,MATCH($C150,المدخلات!$AC$6:$AC$12,0)),"")</f>
        <v/>
      </c>
      <c r="I150" s="71">
        <f>IF($G150&lt;الحد_الأدنى,0,ROUNDDOWN($G150/فرق_المباراة,0))</f>
        <v/>
      </c>
      <c r="J150" s="71">
        <f>ROUNDUP($I150/IFERROR(INDEX(المدخلات!$AJ$6:$AJ$12,MATCH($C150,المدخلات!$AC$6:$AC$12,0)),1),0)</f>
        <v/>
      </c>
      <c r="K150" s="71">
        <f>ROUNDUP($J150/IFERROR(INDEX(المدخلات!$AF$6:$AF$12,MATCH($C150,المدخلات!$AC$6:$AC$12,0)),1),0)</f>
        <v/>
      </c>
    </row>
    <row r="151" hidden="1">
      <c r="B151" s="74">
        <f>'عدد اللاعبين'!B140</f>
        <v/>
      </c>
      <c r="C151" s="69">
        <f>'عدد اللاعبين'!C140</f>
        <v/>
      </c>
      <c r="D151" s="69">
        <f>IFERROR(INDEX(المدخلات!$AD$6:$AD$12,MATCH($C151,المدخلات!$AC$6:$AC$12,0)),"")</f>
        <v/>
      </c>
      <c r="E151" s="69">
        <f>'عدد اللاعبين'!D140</f>
        <v/>
      </c>
      <c r="F151" s="70">
        <f>'عدد اللاعبين'!F140</f>
        <v/>
      </c>
      <c r="G151" s="71">
        <f>'عدد اللاعبين'!G140</f>
        <v/>
      </c>
      <c r="H151" s="69">
        <f>IFERROR(INDEX(المدخلات!$AE$6:$AE$12,MATCH($C151,المدخلات!$AC$6:$AC$12,0)),"")</f>
        <v/>
      </c>
      <c r="I151" s="71">
        <f>IF($G151&lt;الحد_الأدنى,0,ROUNDDOWN($G151/فرق_المباراة,0))</f>
        <v/>
      </c>
      <c r="J151" s="71">
        <f>ROUNDUP($I151/IFERROR(INDEX(المدخلات!$AJ$6:$AJ$12,MATCH($C151,المدخلات!$AC$6:$AC$12,0)),1),0)</f>
        <v/>
      </c>
      <c r="K151" s="71">
        <f>ROUNDUP($J151/IFERROR(INDEX(المدخلات!$AF$6:$AF$12,MATCH($C151,المدخلات!$AC$6:$AC$12,0)),1),0)</f>
        <v/>
      </c>
    </row>
    <row r="152" hidden="1">
      <c r="B152" s="74">
        <f>'عدد اللاعبين'!B141</f>
        <v/>
      </c>
      <c r="C152" s="69">
        <f>'عدد اللاعبين'!C141</f>
        <v/>
      </c>
      <c r="D152" s="69">
        <f>IFERROR(INDEX(المدخلات!$AD$6:$AD$12,MATCH($C152,المدخلات!$AC$6:$AC$12,0)),"")</f>
        <v/>
      </c>
      <c r="E152" s="69">
        <f>'عدد اللاعبين'!D141</f>
        <v/>
      </c>
      <c r="F152" s="70">
        <f>'عدد اللاعبين'!F141</f>
        <v/>
      </c>
      <c r="G152" s="71">
        <f>'عدد اللاعبين'!G141</f>
        <v/>
      </c>
      <c r="H152" s="69">
        <f>IFERROR(INDEX(المدخلات!$AE$6:$AE$12,MATCH($C152,المدخلات!$AC$6:$AC$12,0)),"")</f>
        <v/>
      </c>
      <c r="I152" s="71">
        <f>IF($G152&lt;الحد_الأدنى,0,ROUNDDOWN($G152/فرق_المباراة,0))</f>
        <v/>
      </c>
      <c r="J152" s="71">
        <f>ROUNDUP($I152/IFERROR(INDEX(المدخلات!$AJ$6:$AJ$12,MATCH($C152,المدخلات!$AC$6:$AC$12,0)),1),0)</f>
        <v/>
      </c>
      <c r="K152" s="71">
        <f>ROUNDUP($J152/IFERROR(INDEX(المدخلات!$AF$6:$AF$12,MATCH($C152,المدخلات!$AC$6:$AC$12,0)),1),0)</f>
        <v/>
      </c>
    </row>
    <row r="153" hidden="1">
      <c r="B153" s="74">
        <f>'عدد اللاعبين'!B142</f>
        <v/>
      </c>
      <c r="C153" s="69">
        <f>'عدد اللاعبين'!C142</f>
        <v/>
      </c>
      <c r="D153" s="69">
        <f>IFERROR(INDEX(المدخلات!$AD$6:$AD$12,MATCH($C153,المدخلات!$AC$6:$AC$12,0)),"")</f>
        <v/>
      </c>
      <c r="E153" s="69">
        <f>'عدد اللاعبين'!D142</f>
        <v/>
      </c>
      <c r="F153" s="70">
        <f>'عدد اللاعبين'!F142</f>
        <v/>
      </c>
      <c r="G153" s="71">
        <f>'عدد اللاعبين'!G142</f>
        <v/>
      </c>
      <c r="H153" s="69">
        <f>IFERROR(INDEX(المدخلات!$AE$6:$AE$12,MATCH($C153,المدخلات!$AC$6:$AC$12,0)),"")</f>
        <v/>
      </c>
      <c r="I153" s="71">
        <f>IF($G153&lt;الحد_الأدنى,0,ROUNDDOWN($G153/فرق_المباراة,0))</f>
        <v/>
      </c>
      <c r="J153" s="71">
        <f>ROUNDUP($I153/IFERROR(INDEX(المدخلات!$AJ$6:$AJ$12,MATCH($C153,المدخلات!$AC$6:$AC$12,0)),1),0)</f>
        <v/>
      </c>
      <c r="K153" s="71">
        <f>ROUNDUP($J153/IFERROR(INDEX(المدخلات!$AF$6:$AF$12,MATCH($C153,المدخلات!$AC$6:$AC$12,0)),1),0)</f>
        <v/>
      </c>
    </row>
    <row r="154" hidden="1">
      <c r="B154" s="74">
        <f>'عدد اللاعبين'!B143</f>
        <v/>
      </c>
      <c r="C154" s="69">
        <f>'عدد اللاعبين'!C143</f>
        <v/>
      </c>
      <c r="D154" s="69">
        <f>IFERROR(INDEX(المدخلات!$AD$6:$AD$12,MATCH($C154,المدخلات!$AC$6:$AC$12,0)),"")</f>
        <v/>
      </c>
      <c r="E154" s="69">
        <f>'عدد اللاعبين'!D143</f>
        <v/>
      </c>
      <c r="F154" s="70">
        <f>'عدد اللاعبين'!F143</f>
        <v/>
      </c>
      <c r="G154" s="71">
        <f>'عدد اللاعبين'!G143</f>
        <v/>
      </c>
      <c r="H154" s="69">
        <f>IFERROR(INDEX(المدخلات!$AE$6:$AE$12,MATCH($C154,المدخلات!$AC$6:$AC$12,0)),"")</f>
        <v/>
      </c>
      <c r="I154" s="71">
        <f>IF($G154&lt;الحد_الأدنى,0,ROUNDDOWN($G154/فرق_المباراة,0))</f>
        <v/>
      </c>
      <c r="J154" s="71">
        <f>ROUNDUP($I154/IFERROR(INDEX(المدخلات!$AJ$6:$AJ$12,MATCH($C154,المدخلات!$AC$6:$AC$12,0)),1),0)</f>
        <v/>
      </c>
      <c r="K154" s="71">
        <f>ROUNDUP($J154/IFERROR(INDEX(المدخلات!$AF$6:$AF$12,MATCH($C154,المدخلات!$AC$6:$AC$12,0)),1),0)</f>
        <v/>
      </c>
    </row>
    <row r="155" hidden="1">
      <c r="B155" s="74">
        <f>'عدد اللاعبين'!B144</f>
        <v/>
      </c>
      <c r="C155" s="69">
        <f>'عدد اللاعبين'!C144</f>
        <v/>
      </c>
      <c r="D155" s="69">
        <f>IFERROR(INDEX(المدخلات!$AD$6:$AD$12,MATCH($C155,المدخلات!$AC$6:$AC$12,0)),"")</f>
        <v/>
      </c>
      <c r="E155" s="69">
        <f>'عدد اللاعبين'!D144</f>
        <v/>
      </c>
      <c r="F155" s="70">
        <f>'عدد اللاعبين'!F144</f>
        <v/>
      </c>
      <c r="G155" s="71">
        <f>'عدد اللاعبين'!G144</f>
        <v/>
      </c>
      <c r="H155" s="69">
        <f>IFERROR(INDEX(المدخلات!$AE$6:$AE$12,MATCH($C155,المدخلات!$AC$6:$AC$12,0)),"")</f>
        <v/>
      </c>
      <c r="I155" s="71">
        <f>IF($G155&lt;الحد_الأدنى,0,ROUNDDOWN($G155/فرق_المباراة,0))</f>
        <v/>
      </c>
      <c r="J155" s="71">
        <f>ROUNDUP($I155/IFERROR(INDEX(المدخلات!$AJ$6:$AJ$12,MATCH($C155,المدخلات!$AC$6:$AC$12,0)),1),0)</f>
        <v/>
      </c>
      <c r="K155" s="71">
        <f>ROUNDUP($J155/IFERROR(INDEX(المدخلات!$AF$6:$AF$12,MATCH($C155,المدخلات!$AC$6:$AC$12,0)),1),0)</f>
        <v/>
      </c>
    </row>
    <row r="156" hidden="1">
      <c r="B156" s="74">
        <f>'عدد اللاعبين'!B145</f>
        <v/>
      </c>
      <c r="C156" s="69">
        <f>'عدد اللاعبين'!C145</f>
        <v/>
      </c>
      <c r="D156" s="69">
        <f>IFERROR(INDEX(المدخلات!$AD$6:$AD$12,MATCH($C156,المدخلات!$AC$6:$AC$12,0)),"")</f>
        <v/>
      </c>
      <c r="E156" s="69">
        <f>'عدد اللاعبين'!D145</f>
        <v/>
      </c>
      <c r="F156" s="70">
        <f>'عدد اللاعبين'!F145</f>
        <v/>
      </c>
      <c r="G156" s="71">
        <f>'عدد اللاعبين'!G145</f>
        <v/>
      </c>
      <c r="H156" s="69">
        <f>IFERROR(INDEX(المدخلات!$AE$6:$AE$12,MATCH($C156,المدخلات!$AC$6:$AC$12,0)),"")</f>
        <v/>
      </c>
      <c r="I156" s="71">
        <f>IF($G156&lt;الحد_الأدنى,0,ROUNDDOWN($G156/فرق_المباراة,0))</f>
        <v/>
      </c>
      <c r="J156" s="71">
        <f>ROUNDUP($I156/IFERROR(INDEX(المدخلات!$AJ$6:$AJ$12,MATCH($C156,المدخلات!$AC$6:$AC$12,0)),1),0)</f>
        <v/>
      </c>
      <c r="K156" s="71">
        <f>ROUNDUP($J156/IFERROR(INDEX(المدخلات!$AF$6:$AF$12,MATCH($C156,المدخلات!$AC$6:$AC$12,0)),1),0)</f>
        <v/>
      </c>
    </row>
    <row r="157" hidden="1">
      <c r="B157" s="74">
        <f>'عدد اللاعبين'!B146</f>
        <v/>
      </c>
      <c r="C157" s="69">
        <f>'عدد اللاعبين'!C146</f>
        <v/>
      </c>
      <c r="D157" s="69">
        <f>IFERROR(INDEX(المدخلات!$AD$6:$AD$12,MATCH($C157,المدخلات!$AC$6:$AC$12,0)),"")</f>
        <v/>
      </c>
      <c r="E157" s="69">
        <f>'عدد اللاعبين'!D146</f>
        <v/>
      </c>
      <c r="F157" s="70">
        <f>'عدد اللاعبين'!F146</f>
        <v/>
      </c>
      <c r="G157" s="71">
        <f>'عدد اللاعبين'!G146</f>
        <v/>
      </c>
      <c r="H157" s="69">
        <f>IFERROR(INDEX(المدخلات!$AE$6:$AE$12,MATCH($C157,المدخلات!$AC$6:$AC$12,0)),"")</f>
        <v/>
      </c>
      <c r="I157" s="71">
        <f>IF($G157&lt;الحد_الأدنى,0,ROUNDDOWN($G157/فرق_المباراة,0))</f>
        <v/>
      </c>
      <c r="J157" s="71">
        <f>ROUNDUP($I157/IFERROR(INDEX(المدخلات!$AJ$6:$AJ$12,MATCH($C157,المدخلات!$AC$6:$AC$12,0)),1),0)</f>
        <v/>
      </c>
      <c r="K157" s="71">
        <f>ROUNDUP($J157/IFERROR(INDEX(المدخلات!$AF$6:$AF$12,MATCH($C157,المدخلات!$AC$6:$AC$12,0)),1),0)</f>
        <v/>
      </c>
    </row>
    <row r="158" hidden="1">
      <c r="B158" s="74">
        <f>'عدد اللاعبين'!B147</f>
        <v/>
      </c>
      <c r="C158" s="69">
        <f>'عدد اللاعبين'!C147</f>
        <v/>
      </c>
      <c r="D158" s="69">
        <f>IFERROR(INDEX(المدخلات!$AD$6:$AD$12,MATCH($C158,المدخلات!$AC$6:$AC$12,0)),"")</f>
        <v/>
      </c>
      <c r="E158" s="69">
        <f>'عدد اللاعبين'!D147</f>
        <v/>
      </c>
      <c r="F158" s="70">
        <f>'عدد اللاعبين'!F147</f>
        <v/>
      </c>
      <c r="G158" s="71">
        <f>'عدد اللاعبين'!G147</f>
        <v/>
      </c>
      <c r="H158" s="69">
        <f>IFERROR(INDEX(المدخلات!$AE$6:$AE$12,MATCH($C158,المدخلات!$AC$6:$AC$12,0)),"")</f>
        <v/>
      </c>
      <c r="I158" s="71">
        <f>IF($G158&lt;الحد_الأدنى,0,ROUNDDOWN($G158/فرق_المباراة,0))</f>
        <v/>
      </c>
      <c r="J158" s="71">
        <f>ROUNDUP($I158/IFERROR(INDEX(المدخلات!$AJ$6:$AJ$12,MATCH($C158,المدخلات!$AC$6:$AC$12,0)),1),0)</f>
        <v/>
      </c>
      <c r="K158" s="71">
        <f>ROUNDUP($J158/IFERROR(INDEX(المدخلات!$AF$6:$AF$12,MATCH($C158,المدخلات!$AC$6:$AC$12,0)),1),0)</f>
        <v/>
      </c>
    </row>
    <row r="159">
      <c r="B159" s="74">
        <f>'عدد اللاعبين'!B148</f>
        <v/>
      </c>
      <c r="C159" s="69">
        <f>'عدد اللاعبين'!C148</f>
        <v/>
      </c>
      <c r="D159" s="69">
        <f>IFERROR(INDEX(المدخلات!$AD$6:$AD$12,MATCH($C159,المدخلات!$AC$6:$AC$12,0)),"")</f>
        <v/>
      </c>
      <c r="E159" s="69">
        <f>'عدد اللاعبين'!D148</f>
        <v/>
      </c>
      <c r="F159" s="70">
        <f>'عدد اللاعبين'!F148</f>
        <v/>
      </c>
      <c r="G159" s="71">
        <f>'عدد اللاعبين'!G148</f>
        <v/>
      </c>
      <c r="H159" s="69">
        <f>IFERROR(INDEX(المدخلات!$AE$6:$AE$12,MATCH($C159,المدخلات!$AC$6:$AC$12,0)),"")</f>
        <v/>
      </c>
      <c r="I159" s="71">
        <f>IF($G159&lt;الحد_الأدنى,0,ROUNDDOWN($G159/فرق_المباراة,0))</f>
        <v/>
      </c>
      <c r="J159" s="71">
        <f>ROUNDUP($I159/IFERROR(INDEX(المدخلات!$AJ$6:$AJ$12,MATCH($C159,المدخلات!$AC$6:$AC$12,0)),1),0)</f>
        <v/>
      </c>
      <c r="K159" s="71">
        <f>ROUNDUP($J159/IFERROR(INDEX(المدخلات!$AF$6:$AF$12,MATCH($C159,المدخلات!$AC$6:$AC$12,0)),1),0)</f>
        <v/>
      </c>
    </row>
    <row r="160" hidden="1">
      <c r="B160" s="74">
        <f>'عدد اللاعبين'!B149</f>
        <v/>
      </c>
      <c r="C160" s="69">
        <f>'عدد اللاعبين'!C149</f>
        <v/>
      </c>
      <c r="D160" s="69">
        <f>IFERROR(INDEX(المدخلات!$AD$6:$AD$12,MATCH($C160,المدخلات!$AC$6:$AC$12,0)),"")</f>
        <v/>
      </c>
      <c r="E160" s="69">
        <f>'عدد اللاعبين'!D149</f>
        <v/>
      </c>
      <c r="F160" s="70">
        <f>'عدد اللاعبين'!F149</f>
        <v/>
      </c>
      <c r="G160" s="71">
        <f>'عدد اللاعبين'!G149</f>
        <v/>
      </c>
      <c r="H160" s="69">
        <f>IFERROR(INDEX(المدخلات!$AE$6:$AE$12,MATCH($C160,المدخلات!$AC$6:$AC$12,0)),"")</f>
        <v/>
      </c>
      <c r="I160" s="71">
        <f>IF($G160&lt;الحد_الأدنى,0,ROUNDDOWN($G160/فرق_المباراة,0))</f>
        <v/>
      </c>
      <c r="J160" s="71">
        <f>ROUNDUP($I160/IFERROR(INDEX(المدخلات!$AJ$6:$AJ$12,MATCH($C160,المدخلات!$AC$6:$AC$12,0)),1),0)</f>
        <v/>
      </c>
      <c r="K160" s="71">
        <f>ROUNDUP($J160/IFERROR(INDEX(المدخلات!$AF$6:$AF$12,MATCH($C160,المدخلات!$AC$6:$AC$12,0)),1),0)</f>
        <v/>
      </c>
    </row>
    <row r="161" hidden="1">
      <c r="B161" s="74">
        <f>'عدد اللاعبين'!B150</f>
        <v/>
      </c>
      <c r="C161" s="69">
        <f>'عدد اللاعبين'!C150</f>
        <v/>
      </c>
      <c r="D161" s="69">
        <f>IFERROR(INDEX(المدخلات!$AD$6:$AD$12,MATCH($C161,المدخلات!$AC$6:$AC$12,0)),"")</f>
        <v/>
      </c>
      <c r="E161" s="69">
        <f>'عدد اللاعبين'!D150</f>
        <v/>
      </c>
      <c r="F161" s="70">
        <f>'عدد اللاعبين'!F150</f>
        <v/>
      </c>
      <c r="G161" s="71">
        <f>'عدد اللاعبين'!G150</f>
        <v/>
      </c>
      <c r="H161" s="69">
        <f>IFERROR(INDEX(المدخلات!$AE$6:$AE$12,MATCH($C161,المدخلات!$AC$6:$AC$12,0)),"")</f>
        <v/>
      </c>
      <c r="I161" s="71">
        <f>IF($G161&lt;الحد_الأدنى,0,ROUNDDOWN($G161/فرق_المباراة,0))</f>
        <v/>
      </c>
      <c r="J161" s="71">
        <f>ROUNDUP($I161/IFERROR(INDEX(المدخلات!$AJ$6:$AJ$12,MATCH($C161,المدخلات!$AC$6:$AC$12,0)),1),0)</f>
        <v/>
      </c>
      <c r="K161" s="71">
        <f>ROUNDUP($J161/IFERROR(INDEX(المدخلات!$AF$6:$AF$12,MATCH($C161,المدخلات!$AC$6:$AC$12,0)),1),0)</f>
        <v/>
      </c>
    </row>
    <row r="162" hidden="1">
      <c r="B162" s="74">
        <f>'عدد اللاعبين'!B151</f>
        <v/>
      </c>
      <c r="C162" s="69">
        <f>'عدد اللاعبين'!C151</f>
        <v/>
      </c>
      <c r="D162" s="69">
        <f>IFERROR(INDEX(المدخلات!$AD$6:$AD$12,MATCH($C162,المدخلات!$AC$6:$AC$12,0)),"")</f>
        <v/>
      </c>
      <c r="E162" s="69">
        <f>'عدد اللاعبين'!D151</f>
        <v/>
      </c>
      <c r="F162" s="70">
        <f>'عدد اللاعبين'!F151</f>
        <v/>
      </c>
      <c r="G162" s="71">
        <f>'عدد اللاعبين'!G151</f>
        <v/>
      </c>
      <c r="H162" s="69">
        <f>IFERROR(INDEX(المدخلات!$AE$6:$AE$12,MATCH($C162,المدخلات!$AC$6:$AC$12,0)),"")</f>
        <v/>
      </c>
      <c r="I162" s="71">
        <f>IF($G162&lt;الحد_الأدنى,0,ROUNDDOWN($G162/فرق_المباراة,0))</f>
        <v/>
      </c>
      <c r="J162" s="71">
        <f>ROUNDUP($I162/IFERROR(INDEX(المدخلات!$AJ$6:$AJ$12,MATCH($C162,المدخلات!$AC$6:$AC$12,0)),1),0)</f>
        <v/>
      </c>
      <c r="K162" s="71">
        <f>ROUNDUP($J162/IFERROR(INDEX(المدخلات!$AF$6:$AF$12,MATCH($C162,المدخلات!$AC$6:$AC$12,0)),1),0)</f>
        <v/>
      </c>
    </row>
    <row r="163" hidden="1">
      <c r="B163" s="74">
        <f>'عدد اللاعبين'!B152</f>
        <v/>
      </c>
      <c r="C163" s="69">
        <f>'عدد اللاعبين'!C152</f>
        <v/>
      </c>
      <c r="D163" s="69">
        <f>IFERROR(INDEX(المدخلات!$AD$6:$AD$12,MATCH($C163,المدخلات!$AC$6:$AC$12,0)),"")</f>
        <v/>
      </c>
      <c r="E163" s="69">
        <f>'عدد اللاعبين'!D152</f>
        <v/>
      </c>
      <c r="F163" s="70">
        <f>'عدد اللاعبين'!F152</f>
        <v/>
      </c>
      <c r="G163" s="71">
        <f>'عدد اللاعبين'!G152</f>
        <v/>
      </c>
      <c r="H163" s="69">
        <f>IFERROR(INDEX(المدخلات!$AE$6:$AE$12,MATCH($C163,المدخلات!$AC$6:$AC$12,0)),"")</f>
        <v/>
      </c>
      <c r="I163" s="71">
        <f>IF($G163&lt;الحد_الأدنى,0,ROUNDDOWN($G163/فرق_المباراة,0))</f>
        <v/>
      </c>
      <c r="J163" s="71">
        <f>ROUNDUP($I163/IFERROR(INDEX(المدخلات!$AJ$6:$AJ$12,MATCH($C163,المدخلات!$AC$6:$AC$12,0)),1),0)</f>
        <v/>
      </c>
      <c r="K163" s="71">
        <f>ROUNDUP($J163/IFERROR(INDEX(المدخلات!$AF$6:$AF$12,MATCH($C163,المدخلات!$AC$6:$AC$12,0)),1),0)</f>
        <v/>
      </c>
    </row>
    <row r="164" hidden="1">
      <c r="B164" s="74">
        <f>'عدد اللاعبين'!B153</f>
        <v/>
      </c>
      <c r="C164" s="69">
        <f>'عدد اللاعبين'!C153</f>
        <v/>
      </c>
      <c r="D164" s="69">
        <f>IFERROR(INDEX(المدخلات!$AD$6:$AD$12,MATCH($C164,المدخلات!$AC$6:$AC$12,0)),"")</f>
        <v/>
      </c>
      <c r="E164" s="69">
        <f>'عدد اللاعبين'!D153</f>
        <v/>
      </c>
      <c r="F164" s="70">
        <f>'عدد اللاعبين'!F153</f>
        <v/>
      </c>
      <c r="G164" s="71">
        <f>'عدد اللاعبين'!G153</f>
        <v/>
      </c>
      <c r="H164" s="69">
        <f>IFERROR(INDEX(المدخلات!$AE$6:$AE$12,MATCH($C164,المدخلات!$AC$6:$AC$12,0)),"")</f>
        <v/>
      </c>
      <c r="I164" s="71">
        <f>IF($G164&lt;الحد_الأدنى,0,ROUNDDOWN($G164/فرق_المباراة,0))</f>
        <v/>
      </c>
      <c r="J164" s="71">
        <f>ROUNDUP($I164/IFERROR(INDEX(المدخلات!$AJ$6:$AJ$12,MATCH($C164,المدخلات!$AC$6:$AC$12,0)),1),0)</f>
        <v/>
      </c>
      <c r="K164" s="71">
        <f>ROUNDUP($J164/IFERROR(INDEX(المدخلات!$AF$6:$AF$12,MATCH($C164,المدخلات!$AC$6:$AC$12,0)),1),0)</f>
        <v/>
      </c>
    </row>
    <row r="165" hidden="1">
      <c r="B165" s="74">
        <f>'عدد اللاعبين'!B154</f>
        <v/>
      </c>
      <c r="C165" s="69">
        <f>'عدد اللاعبين'!C154</f>
        <v/>
      </c>
      <c r="D165" s="69">
        <f>IFERROR(INDEX(المدخلات!$AD$6:$AD$12,MATCH($C165,المدخلات!$AC$6:$AC$12,0)),"")</f>
        <v/>
      </c>
      <c r="E165" s="69">
        <f>'عدد اللاعبين'!D154</f>
        <v/>
      </c>
      <c r="F165" s="70">
        <f>'عدد اللاعبين'!F154</f>
        <v/>
      </c>
      <c r="G165" s="71">
        <f>'عدد اللاعبين'!G154</f>
        <v/>
      </c>
      <c r="H165" s="69">
        <f>IFERROR(INDEX(المدخلات!$AE$6:$AE$12,MATCH($C165,المدخلات!$AC$6:$AC$12,0)),"")</f>
        <v/>
      </c>
      <c r="I165" s="71">
        <f>IF($G165&lt;الحد_الأدنى,0,ROUNDDOWN($G165/فرق_المباراة,0))</f>
        <v/>
      </c>
      <c r="J165" s="71">
        <f>ROUNDUP($I165/IFERROR(INDEX(المدخلات!$AJ$6:$AJ$12,MATCH($C165,المدخلات!$AC$6:$AC$12,0)),1),0)</f>
        <v/>
      </c>
      <c r="K165" s="71">
        <f>ROUNDUP($J165/IFERROR(INDEX(المدخلات!$AF$6:$AF$12,MATCH($C165,المدخلات!$AC$6:$AC$12,0)),1),0)</f>
        <v/>
      </c>
    </row>
    <row r="166" hidden="1">
      <c r="B166" s="74">
        <f>'عدد اللاعبين'!B155</f>
        <v/>
      </c>
      <c r="C166" s="69">
        <f>'عدد اللاعبين'!C155</f>
        <v/>
      </c>
      <c r="D166" s="69">
        <f>IFERROR(INDEX(المدخلات!$AD$6:$AD$12,MATCH($C166,المدخلات!$AC$6:$AC$12,0)),"")</f>
        <v/>
      </c>
      <c r="E166" s="69">
        <f>'عدد اللاعبين'!D155</f>
        <v/>
      </c>
      <c r="F166" s="70">
        <f>'عدد اللاعبين'!F155</f>
        <v/>
      </c>
      <c r="G166" s="71">
        <f>'عدد اللاعبين'!G155</f>
        <v/>
      </c>
      <c r="H166" s="69">
        <f>IFERROR(INDEX(المدخلات!$AE$6:$AE$12,MATCH($C166,المدخلات!$AC$6:$AC$12,0)),"")</f>
        <v/>
      </c>
      <c r="I166" s="71">
        <f>IF($G166&lt;الحد_الأدنى,0,ROUNDDOWN($G166/فرق_المباراة,0))</f>
        <v/>
      </c>
      <c r="J166" s="71">
        <f>ROUNDUP($I166/IFERROR(INDEX(المدخلات!$AJ$6:$AJ$12,MATCH($C166,المدخلات!$AC$6:$AC$12,0)),1),0)</f>
        <v/>
      </c>
      <c r="K166" s="71">
        <f>ROUNDUP($J166/IFERROR(INDEX(المدخلات!$AF$6:$AF$12,MATCH($C166,المدخلات!$AC$6:$AC$12,0)),1),0)</f>
        <v/>
      </c>
    </row>
    <row r="167">
      <c r="B167" s="74">
        <f>'عدد اللاعبين'!B156</f>
        <v/>
      </c>
      <c r="C167" s="69">
        <f>'عدد اللاعبين'!C156</f>
        <v/>
      </c>
      <c r="D167" s="69">
        <f>IFERROR(INDEX(المدخلات!$AD$6:$AD$12,MATCH($C167,المدخلات!$AC$6:$AC$12,0)),"")</f>
        <v/>
      </c>
      <c r="E167" s="69">
        <f>'عدد اللاعبين'!D156</f>
        <v/>
      </c>
      <c r="F167" s="70">
        <f>'عدد اللاعبين'!F156</f>
        <v/>
      </c>
      <c r="G167" s="71">
        <f>'عدد اللاعبين'!G156</f>
        <v/>
      </c>
      <c r="H167" s="69">
        <f>IFERROR(INDEX(المدخلات!$AE$6:$AE$12,MATCH($C167,المدخلات!$AC$6:$AC$12,0)),"")</f>
        <v/>
      </c>
      <c r="I167" s="71">
        <f>IF($G167&lt;الحد_الأدنى,0,ROUNDDOWN($G167/فرق_المباراة,0))</f>
        <v/>
      </c>
      <c r="J167" s="71">
        <f>ROUNDUP($I167/IFERROR(INDEX(المدخلات!$AJ$6:$AJ$12,MATCH($C167,المدخلات!$AC$6:$AC$12,0)),1),0)</f>
        <v/>
      </c>
      <c r="K167" s="71">
        <f>ROUNDUP($J167/IFERROR(INDEX(المدخلات!$AF$6:$AF$12,MATCH($C167,المدخلات!$AC$6:$AC$12,0)),1),0)</f>
        <v/>
      </c>
    </row>
    <row r="168" hidden="1">
      <c r="B168" s="74">
        <f>'عدد اللاعبين'!B157</f>
        <v/>
      </c>
      <c r="C168" s="69">
        <f>'عدد اللاعبين'!C157</f>
        <v/>
      </c>
      <c r="D168" s="69">
        <f>IFERROR(INDEX(المدخلات!$AD$6:$AD$12,MATCH($C168,المدخلات!$AC$6:$AC$12,0)),"")</f>
        <v/>
      </c>
      <c r="E168" s="69">
        <f>'عدد اللاعبين'!D157</f>
        <v/>
      </c>
      <c r="F168" s="70">
        <f>'عدد اللاعبين'!F157</f>
        <v/>
      </c>
      <c r="G168" s="71">
        <f>'عدد اللاعبين'!G157</f>
        <v/>
      </c>
      <c r="H168" s="69">
        <f>IFERROR(INDEX(المدخلات!$AE$6:$AE$12,MATCH($C168,المدخلات!$AC$6:$AC$12,0)),"")</f>
        <v/>
      </c>
      <c r="I168" s="71">
        <f>IF($G168&lt;الحد_الأدنى,0,ROUNDDOWN($G168/فرق_المباراة,0))</f>
        <v/>
      </c>
      <c r="J168" s="71">
        <f>ROUNDUP($I168/IFERROR(INDEX(المدخلات!$AJ$6:$AJ$12,MATCH($C168,المدخلات!$AC$6:$AC$12,0)),1),0)</f>
        <v/>
      </c>
      <c r="K168" s="71">
        <f>ROUNDUP($J168/IFERROR(INDEX(المدخلات!$AF$6:$AF$12,MATCH($C168,المدخلات!$AC$6:$AC$12,0)),1),0)</f>
        <v/>
      </c>
    </row>
    <row r="169" hidden="1">
      <c r="B169" s="74">
        <f>'عدد اللاعبين'!B158</f>
        <v/>
      </c>
      <c r="C169" s="69">
        <f>'عدد اللاعبين'!C158</f>
        <v/>
      </c>
      <c r="D169" s="69">
        <f>IFERROR(INDEX(المدخلات!$AD$6:$AD$12,MATCH($C169,المدخلات!$AC$6:$AC$12,0)),"")</f>
        <v/>
      </c>
      <c r="E169" s="69">
        <f>'عدد اللاعبين'!D158</f>
        <v/>
      </c>
      <c r="F169" s="70">
        <f>'عدد اللاعبين'!F158</f>
        <v/>
      </c>
      <c r="G169" s="71">
        <f>'عدد اللاعبين'!G158</f>
        <v/>
      </c>
      <c r="H169" s="69">
        <f>IFERROR(INDEX(المدخلات!$AE$6:$AE$12,MATCH($C169,المدخلات!$AC$6:$AC$12,0)),"")</f>
        <v/>
      </c>
      <c r="I169" s="71">
        <f>IF($G169&lt;الحد_الأدنى,0,ROUNDDOWN($G169/فرق_المباراة,0))</f>
        <v/>
      </c>
      <c r="J169" s="71">
        <f>ROUNDUP($I169/IFERROR(INDEX(المدخلات!$AJ$6:$AJ$12,MATCH($C169,المدخلات!$AC$6:$AC$12,0)),1),0)</f>
        <v/>
      </c>
      <c r="K169" s="71">
        <f>ROUNDUP($J169/IFERROR(INDEX(المدخلات!$AF$6:$AF$12,MATCH($C169,المدخلات!$AC$6:$AC$12,0)),1),0)</f>
        <v/>
      </c>
    </row>
    <row r="170" hidden="1">
      <c r="B170" s="74">
        <f>'عدد اللاعبين'!B159</f>
        <v/>
      </c>
      <c r="C170" s="69">
        <f>'عدد اللاعبين'!C159</f>
        <v/>
      </c>
      <c r="D170" s="69">
        <f>IFERROR(INDEX(المدخلات!$AD$6:$AD$12,MATCH($C170,المدخلات!$AC$6:$AC$12,0)),"")</f>
        <v/>
      </c>
      <c r="E170" s="69">
        <f>'عدد اللاعبين'!D159</f>
        <v/>
      </c>
      <c r="F170" s="70">
        <f>'عدد اللاعبين'!F159</f>
        <v/>
      </c>
      <c r="G170" s="71">
        <f>'عدد اللاعبين'!G159</f>
        <v/>
      </c>
      <c r="H170" s="69">
        <f>IFERROR(INDEX(المدخلات!$AE$6:$AE$12,MATCH($C170,المدخلات!$AC$6:$AC$12,0)),"")</f>
        <v/>
      </c>
      <c r="I170" s="71">
        <f>IF($G170&lt;الحد_الأدنى,0,ROUNDDOWN($G170/فرق_المباراة,0))</f>
        <v/>
      </c>
      <c r="J170" s="71">
        <f>ROUNDUP($I170/IFERROR(INDEX(المدخلات!$AJ$6:$AJ$12,MATCH($C170,المدخلات!$AC$6:$AC$12,0)),1),0)</f>
        <v/>
      </c>
      <c r="K170" s="71">
        <f>ROUNDUP($J170/IFERROR(INDEX(المدخلات!$AF$6:$AF$12,MATCH($C170,المدخلات!$AC$6:$AC$12,0)),1),0)</f>
        <v/>
      </c>
    </row>
    <row r="171" hidden="1">
      <c r="B171" s="74">
        <f>'عدد اللاعبين'!B160</f>
        <v/>
      </c>
      <c r="C171" s="69">
        <f>'عدد اللاعبين'!C160</f>
        <v/>
      </c>
      <c r="D171" s="69">
        <f>IFERROR(INDEX(المدخلات!$AD$6:$AD$12,MATCH($C171,المدخلات!$AC$6:$AC$12,0)),"")</f>
        <v/>
      </c>
      <c r="E171" s="69">
        <f>'عدد اللاعبين'!D160</f>
        <v/>
      </c>
      <c r="F171" s="70">
        <f>'عدد اللاعبين'!F160</f>
        <v/>
      </c>
      <c r="G171" s="71">
        <f>'عدد اللاعبين'!G160</f>
        <v/>
      </c>
      <c r="H171" s="69">
        <f>IFERROR(INDEX(المدخلات!$AE$6:$AE$12,MATCH($C171,المدخلات!$AC$6:$AC$12,0)),"")</f>
        <v/>
      </c>
      <c r="I171" s="71">
        <f>IF($G171&lt;الحد_الأدنى,0,ROUNDDOWN($G171/فرق_المباراة,0))</f>
        <v/>
      </c>
      <c r="J171" s="71">
        <f>ROUNDUP($I171/IFERROR(INDEX(المدخلات!$AJ$6:$AJ$12,MATCH($C171,المدخلات!$AC$6:$AC$12,0)),1),0)</f>
        <v/>
      </c>
      <c r="K171" s="71">
        <f>ROUNDUP($J171/IFERROR(INDEX(المدخلات!$AF$6:$AF$12,MATCH($C171,المدخلات!$AC$6:$AC$12,0)),1),0)</f>
        <v/>
      </c>
    </row>
    <row r="172" hidden="1">
      <c r="B172" s="74">
        <f>'عدد اللاعبين'!B161</f>
        <v/>
      </c>
      <c r="C172" s="69">
        <f>'عدد اللاعبين'!C161</f>
        <v/>
      </c>
      <c r="D172" s="69">
        <f>IFERROR(INDEX(المدخلات!$AD$6:$AD$12,MATCH($C172,المدخلات!$AC$6:$AC$12,0)),"")</f>
        <v/>
      </c>
      <c r="E172" s="69">
        <f>'عدد اللاعبين'!D161</f>
        <v/>
      </c>
      <c r="F172" s="70">
        <f>'عدد اللاعبين'!F161</f>
        <v/>
      </c>
      <c r="G172" s="71">
        <f>'عدد اللاعبين'!G161</f>
        <v/>
      </c>
      <c r="H172" s="69">
        <f>IFERROR(INDEX(المدخلات!$AE$6:$AE$12,MATCH($C172,المدخلات!$AC$6:$AC$12,0)),"")</f>
        <v/>
      </c>
      <c r="I172" s="71">
        <f>IF($G172&lt;الحد_الأدنى,0,ROUNDDOWN($G172/فرق_المباراة,0))</f>
        <v/>
      </c>
      <c r="J172" s="71">
        <f>ROUNDUP($I172/IFERROR(INDEX(المدخلات!$AJ$6:$AJ$12,MATCH($C172,المدخلات!$AC$6:$AC$12,0)),1),0)</f>
        <v/>
      </c>
      <c r="K172" s="71">
        <f>ROUNDUP($J172/IFERROR(INDEX(المدخلات!$AF$6:$AF$12,MATCH($C172,المدخلات!$AC$6:$AC$12,0)),1),0)</f>
        <v/>
      </c>
    </row>
    <row r="173" hidden="1">
      <c r="B173" s="74">
        <f>'عدد اللاعبين'!B162</f>
        <v/>
      </c>
      <c r="C173" s="69">
        <f>'عدد اللاعبين'!C162</f>
        <v/>
      </c>
      <c r="D173" s="69">
        <f>IFERROR(INDEX(المدخلات!$AD$6:$AD$12,MATCH($C173,المدخلات!$AC$6:$AC$12,0)),"")</f>
        <v/>
      </c>
      <c r="E173" s="69">
        <f>'عدد اللاعبين'!D162</f>
        <v/>
      </c>
      <c r="F173" s="70">
        <f>'عدد اللاعبين'!F162</f>
        <v/>
      </c>
      <c r="G173" s="71">
        <f>'عدد اللاعبين'!G162</f>
        <v/>
      </c>
      <c r="H173" s="69">
        <f>IFERROR(INDEX(المدخلات!$AE$6:$AE$12,MATCH($C173,المدخلات!$AC$6:$AC$12,0)),"")</f>
        <v/>
      </c>
      <c r="I173" s="71">
        <f>IF($G173&lt;الحد_الأدنى,0,ROUNDDOWN($G173/فرق_المباراة,0))</f>
        <v/>
      </c>
      <c r="J173" s="71">
        <f>ROUNDUP($I173/IFERROR(INDEX(المدخلات!$AJ$6:$AJ$12,MATCH($C173,المدخلات!$AC$6:$AC$12,0)),1),0)</f>
        <v/>
      </c>
      <c r="K173" s="71">
        <f>ROUNDUP($J173/IFERROR(INDEX(المدخلات!$AF$6:$AF$12,MATCH($C173,المدخلات!$AC$6:$AC$12,0)),1),0)</f>
        <v/>
      </c>
    </row>
    <row r="174" hidden="1">
      <c r="B174" s="74">
        <f>'عدد اللاعبين'!B163</f>
        <v/>
      </c>
      <c r="C174" s="69">
        <f>'عدد اللاعبين'!C163</f>
        <v/>
      </c>
      <c r="D174" s="69">
        <f>IFERROR(INDEX(المدخلات!$AD$6:$AD$12,MATCH($C174,المدخلات!$AC$6:$AC$12,0)),"")</f>
        <v/>
      </c>
      <c r="E174" s="69">
        <f>'عدد اللاعبين'!D163</f>
        <v/>
      </c>
      <c r="F174" s="70">
        <f>'عدد اللاعبين'!F163</f>
        <v/>
      </c>
      <c r="G174" s="71">
        <f>'عدد اللاعبين'!G163</f>
        <v/>
      </c>
      <c r="H174" s="69">
        <f>IFERROR(INDEX(المدخلات!$AE$6:$AE$12,MATCH($C174,المدخلات!$AC$6:$AC$12,0)),"")</f>
        <v/>
      </c>
      <c r="I174" s="71">
        <f>IF($G174&lt;الحد_الأدنى,0,ROUNDDOWN($G174/فرق_المباراة,0))</f>
        <v/>
      </c>
      <c r="J174" s="71">
        <f>ROUNDUP($I174/IFERROR(INDEX(المدخلات!$AJ$6:$AJ$12,MATCH($C174,المدخلات!$AC$6:$AC$12,0)),1),0)</f>
        <v/>
      </c>
      <c r="K174" s="71">
        <f>ROUNDUP($J174/IFERROR(INDEX(المدخلات!$AF$6:$AF$12,MATCH($C174,المدخلات!$AC$6:$AC$12,0)),1),0)</f>
        <v/>
      </c>
    </row>
    <row r="175">
      <c r="B175" s="74">
        <f>'عدد اللاعبين'!B164</f>
        <v/>
      </c>
      <c r="C175" s="69">
        <f>'عدد اللاعبين'!C164</f>
        <v/>
      </c>
      <c r="D175" s="69">
        <f>IFERROR(INDEX(المدخلات!$AD$6:$AD$12,MATCH($C175,المدخلات!$AC$6:$AC$12,0)),"")</f>
        <v/>
      </c>
      <c r="E175" s="69">
        <f>'عدد اللاعبين'!D164</f>
        <v/>
      </c>
      <c r="F175" s="70">
        <f>'عدد اللاعبين'!F164</f>
        <v/>
      </c>
      <c r="G175" s="71">
        <f>'عدد اللاعبين'!G164</f>
        <v/>
      </c>
      <c r="H175" s="69">
        <f>IFERROR(INDEX(المدخلات!$AE$6:$AE$12,MATCH($C175,المدخلات!$AC$6:$AC$12,0)),"")</f>
        <v/>
      </c>
      <c r="I175" s="71">
        <f>IF($G175&lt;الحد_الأدنى,0,ROUNDDOWN($G175/فرق_المباراة,0))</f>
        <v/>
      </c>
      <c r="J175" s="71">
        <f>ROUNDUP($I175/IFERROR(INDEX(المدخلات!$AJ$6:$AJ$12,MATCH($C175,المدخلات!$AC$6:$AC$12,0)),1),0)</f>
        <v/>
      </c>
      <c r="K175" s="71">
        <f>ROUNDUP($J175/IFERROR(INDEX(المدخلات!$AF$6:$AF$12,MATCH($C175,المدخلات!$AC$6:$AC$12,0)),1),0)</f>
        <v/>
      </c>
    </row>
    <row r="176" hidden="1">
      <c r="B176" s="74">
        <f>'عدد اللاعبين'!B165</f>
        <v/>
      </c>
      <c r="C176" s="69">
        <f>'عدد اللاعبين'!C165</f>
        <v/>
      </c>
      <c r="D176" s="69">
        <f>IFERROR(INDEX(المدخلات!$AD$6:$AD$12,MATCH($C176,المدخلات!$AC$6:$AC$12,0)),"")</f>
        <v/>
      </c>
      <c r="E176" s="69">
        <f>'عدد اللاعبين'!D165</f>
        <v/>
      </c>
      <c r="F176" s="70">
        <f>'عدد اللاعبين'!F165</f>
        <v/>
      </c>
      <c r="G176" s="71">
        <f>'عدد اللاعبين'!G165</f>
        <v/>
      </c>
      <c r="H176" s="69">
        <f>IFERROR(INDEX(المدخلات!$AE$6:$AE$12,MATCH($C176,المدخلات!$AC$6:$AC$12,0)),"")</f>
        <v/>
      </c>
      <c r="I176" s="71">
        <f>IF($G176&lt;الحد_الأدنى,0,ROUNDDOWN($G176/فرق_المباراة,0))</f>
        <v/>
      </c>
      <c r="J176" s="71">
        <f>ROUNDUP($I176/IFERROR(INDEX(المدخلات!$AJ$6:$AJ$12,MATCH($C176,المدخلات!$AC$6:$AC$12,0)),1),0)</f>
        <v/>
      </c>
      <c r="K176" s="71">
        <f>ROUNDUP($J176/IFERROR(INDEX(المدخلات!$AF$6:$AF$12,MATCH($C176,المدخلات!$AC$6:$AC$12,0)),1),0)</f>
        <v/>
      </c>
    </row>
    <row r="177" hidden="1">
      <c r="B177" s="74">
        <f>'عدد اللاعبين'!B166</f>
        <v/>
      </c>
      <c r="C177" s="69">
        <f>'عدد اللاعبين'!C166</f>
        <v/>
      </c>
      <c r="D177" s="69">
        <f>IFERROR(INDEX(المدخلات!$AD$6:$AD$12,MATCH($C177,المدخلات!$AC$6:$AC$12,0)),"")</f>
        <v/>
      </c>
      <c r="E177" s="69">
        <f>'عدد اللاعبين'!D166</f>
        <v/>
      </c>
      <c r="F177" s="70">
        <f>'عدد اللاعبين'!F166</f>
        <v/>
      </c>
      <c r="G177" s="71">
        <f>'عدد اللاعبين'!G166</f>
        <v/>
      </c>
      <c r="H177" s="69">
        <f>IFERROR(INDEX(المدخلات!$AE$6:$AE$12,MATCH($C177,المدخلات!$AC$6:$AC$12,0)),"")</f>
        <v/>
      </c>
      <c r="I177" s="71">
        <f>IF($G177&lt;الحد_الأدنى,0,ROUNDDOWN($G177/فرق_المباراة,0))</f>
        <v/>
      </c>
      <c r="J177" s="71">
        <f>ROUNDUP($I177/IFERROR(INDEX(المدخلات!$AJ$6:$AJ$12,MATCH($C177,المدخلات!$AC$6:$AC$12,0)),1),0)</f>
        <v/>
      </c>
      <c r="K177" s="71">
        <f>ROUNDUP($J177/IFERROR(INDEX(المدخلات!$AF$6:$AF$12,MATCH($C177,المدخلات!$AC$6:$AC$12,0)),1),0)</f>
        <v/>
      </c>
    </row>
    <row r="178" hidden="1">
      <c r="B178" s="74">
        <f>'عدد اللاعبين'!B167</f>
        <v/>
      </c>
      <c r="C178" s="69">
        <f>'عدد اللاعبين'!C167</f>
        <v/>
      </c>
      <c r="D178" s="69">
        <f>IFERROR(INDEX(المدخلات!$AD$6:$AD$12,MATCH($C178,المدخلات!$AC$6:$AC$12,0)),"")</f>
        <v/>
      </c>
      <c r="E178" s="69">
        <f>'عدد اللاعبين'!D167</f>
        <v/>
      </c>
      <c r="F178" s="70">
        <f>'عدد اللاعبين'!F167</f>
        <v/>
      </c>
      <c r="G178" s="71">
        <f>'عدد اللاعبين'!G167</f>
        <v/>
      </c>
      <c r="H178" s="69">
        <f>IFERROR(INDEX(المدخلات!$AE$6:$AE$12,MATCH($C178,المدخلات!$AC$6:$AC$12,0)),"")</f>
        <v/>
      </c>
      <c r="I178" s="71">
        <f>IF($G178&lt;الحد_الأدنى,0,ROUNDDOWN($G178/فرق_المباراة,0))</f>
        <v/>
      </c>
      <c r="J178" s="71">
        <f>ROUNDUP($I178/IFERROR(INDEX(المدخلات!$AJ$6:$AJ$12,MATCH($C178,المدخلات!$AC$6:$AC$12,0)),1),0)</f>
        <v/>
      </c>
      <c r="K178" s="71">
        <f>ROUNDUP($J178/IFERROR(INDEX(المدخلات!$AF$6:$AF$12,MATCH($C178,المدخلات!$AC$6:$AC$12,0)),1),0)</f>
        <v/>
      </c>
    </row>
    <row r="179" hidden="1">
      <c r="B179" s="74">
        <f>'عدد اللاعبين'!B168</f>
        <v/>
      </c>
      <c r="C179" s="69">
        <f>'عدد اللاعبين'!C168</f>
        <v/>
      </c>
      <c r="D179" s="69">
        <f>IFERROR(INDEX(المدخلات!$AD$6:$AD$12,MATCH($C179,المدخلات!$AC$6:$AC$12,0)),"")</f>
        <v/>
      </c>
      <c r="E179" s="69">
        <f>'عدد اللاعبين'!D168</f>
        <v/>
      </c>
      <c r="F179" s="70">
        <f>'عدد اللاعبين'!F168</f>
        <v/>
      </c>
      <c r="G179" s="71">
        <f>'عدد اللاعبين'!G168</f>
        <v/>
      </c>
      <c r="H179" s="69">
        <f>IFERROR(INDEX(المدخلات!$AE$6:$AE$12,MATCH($C179,المدخلات!$AC$6:$AC$12,0)),"")</f>
        <v/>
      </c>
      <c r="I179" s="71">
        <f>IF($G179&lt;الحد_الأدنى,0,ROUNDDOWN($G179/فرق_المباراة,0))</f>
        <v/>
      </c>
      <c r="J179" s="71">
        <f>ROUNDUP($I179/IFERROR(INDEX(المدخلات!$AJ$6:$AJ$12,MATCH($C179,المدخلات!$AC$6:$AC$12,0)),1),0)</f>
        <v/>
      </c>
      <c r="K179" s="71">
        <f>ROUNDUP($J179/IFERROR(INDEX(المدخلات!$AF$6:$AF$12,MATCH($C179,المدخلات!$AC$6:$AC$12,0)),1),0)</f>
        <v/>
      </c>
    </row>
    <row r="180">
      <c r="B180" s="74">
        <f>'عدد اللاعبين'!B169</f>
        <v/>
      </c>
      <c r="C180" s="69">
        <f>'عدد اللاعبين'!C169</f>
        <v/>
      </c>
      <c r="D180" s="69">
        <f>IFERROR(INDEX(المدخلات!$AD$6:$AD$12,MATCH($C180,المدخلات!$AC$6:$AC$12,0)),"")</f>
        <v/>
      </c>
      <c r="E180" s="69">
        <f>'عدد اللاعبين'!D169</f>
        <v/>
      </c>
      <c r="F180" s="70">
        <f>'عدد اللاعبين'!F169</f>
        <v/>
      </c>
      <c r="G180" s="71">
        <f>'عدد اللاعبين'!G169</f>
        <v/>
      </c>
      <c r="H180" s="69">
        <f>IFERROR(INDEX(المدخلات!$AE$6:$AE$12,MATCH($C180,المدخلات!$AC$6:$AC$12,0)),"")</f>
        <v/>
      </c>
      <c r="I180" s="71">
        <f>IF($G180&lt;الحد_الأدنى,0,ROUNDDOWN($G180/فرق_المباراة,0))</f>
        <v/>
      </c>
      <c r="J180" s="71">
        <f>ROUNDUP($I180/IFERROR(INDEX(المدخلات!$AJ$6:$AJ$12,MATCH($C180,المدخلات!$AC$6:$AC$12,0)),1),0)</f>
        <v/>
      </c>
      <c r="K180" s="71">
        <f>ROUNDUP($J180/IFERROR(INDEX(المدخلات!$AF$6:$AF$12,MATCH($C180,المدخلات!$AC$6:$AC$12,0)),1),0)</f>
        <v/>
      </c>
    </row>
    <row r="181" hidden="1">
      <c r="B181" s="74">
        <f>'عدد اللاعبين'!B170</f>
        <v/>
      </c>
      <c r="C181" s="69">
        <f>'عدد اللاعبين'!C170</f>
        <v/>
      </c>
      <c r="D181" s="69">
        <f>IFERROR(INDEX(المدخلات!$AD$6:$AD$12,MATCH($C181,المدخلات!$AC$6:$AC$12,0)),"")</f>
        <v/>
      </c>
      <c r="E181" s="69">
        <f>'عدد اللاعبين'!D170</f>
        <v/>
      </c>
      <c r="F181" s="70">
        <f>'عدد اللاعبين'!F170</f>
        <v/>
      </c>
      <c r="G181" s="71">
        <f>'عدد اللاعبين'!G170</f>
        <v/>
      </c>
      <c r="H181" s="69">
        <f>IFERROR(INDEX(المدخلات!$AE$6:$AE$12,MATCH($C181,المدخلات!$AC$6:$AC$12,0)),"")</f>
        <v/>
      </c>
      <c r="I181" s="71">
        <f>IF($G181&lt;الحد_الأدنى,0,ROUNDDOWN($G181/فرق_المباراة,0))</f>
        <v/>
      </c>
      <c r="J181" s="71">
        <f>ROUNDUP($I181/IFERROR(INDEX(المدخلات!$AJ$6:$AJ$12,MATCH($C181,المدخلات!$AC$6:$AC$12,0)),1),0)</f>
        <v/>
      </c>
      <c r="K181" s="71">
        <f>ROUNDUP($J181/IFERROR(INDEX(المدخلات!$AF$6:$AF$12,MATCH($C181,المدخلات!$AC$6:$AC$12,0)),1),0)</f>
        <v/>
      </c>
    </row>
    <row r="182" hidden="1">
      <c r="B182" s="74">
        <f>'عدد اللاعبين'!B171</f>
        <v/>
      </c>
      <c r="C182" s="69">
        <f>'عدد اللاعبين'!C171</f>
        <v/>
      </c>
      <c r="D182" s="69">
        <f>IFERROR(INDEX(المدخلات!$AD$6:$AD$12,MATCH($C182,المدخلات!$AC$6:$AC$12,0)),"")</f>
        <v/>
      </c>
      <c r="E182" s="69">
        <f>'عدد اللاعبين'!D171</f>
        <v/>
      </c>
      <c r="F182" s="70">
        <f>'عدد اللاعبين'!F171</f>
        <v/>
      </c>
      <c r="G182" s="71">
        <f>'عدد اللاعبين'!G171</f>
        <v/>
      </c>
      <c r="H182" s="69">
        <f>IFERROR(INDEX(المدخلات!$AE$6:$AE$12,MATCH($C182,المدخلات!$AC$6:$AC$12,0)),"")</f>
        <v/>
      </c>
      <c r="I182" s="71">
        <f>IF($G182&lt;الحد_الأدنى,0,ROUNDDOWN($G182/فرق_المباراة,0))</f>
        <v/>
      </c>
      <c r="J182" s="71">
        <f>ROUNDUP($I182/IFERROR(INDEX(المدخلات!$AJ$6:$AJ$12,MATCH($C182,المدخلات!$AC$6:$AC$12,0)),1),0)</f>
        <v/>
      </c>
      <c r="K182" s="71">
        <f>ROUNDUP($J182/IFERROR(INDEX(المدخلات!$AF$6:$AF$12,MATCH($C182,المدخلات!$AC$6:$AC$12,0)),1),0)</f>
        <v/>
      </c>
    </row>
    <row r="183">
      <c r="B183" s="74">
        <f>'عدد اللاعبين'!B172</f>
        <v/>
      </c>
      <c r="C183" s="69">
        <f>'عدد اللاعبين'!C172</f>
        <v/>
      </c>
      <c r="D183" s="69">
        <f>IFERROR(INDEX(المدخلات!$AD$6:$AD$12,MATCH($C183,المدخلات!$AC$6:$AC$12,0)),"")</f>
        <v/>
      </c>
      <c r="E183" s="69">
        <f>'عدد اللاعبين'!D172</f>
        <v/>
      </c>
      <c r="F183" s="70">
        <f>'عدد اللاعبين'!F172</f>
        <v/>
      </c>
      <c r="G183" s="71">
        <f>'عدد اللاعبين'!G172</f>
        <v/>
      </c>
      <c r="H183" s="69">
        <f>IFERROR(INDEX(المدخلات!$AE$6:$AE$12,MATCH($C183,المدخلات!$AC$6:$AC$12,0)),"")</f>
        <v/>
      </c>
      <c r="I183" s="71">
        <f>IF($G183&lt;الحد_الأدنى,0,ROUNDDOWN($G183/فرق_المباراة,0))</f>
        <v/>
      </c>
      <c r="J183" s="71">
        <f>ROUNDUP($I183/IFERROR(INDEX(المدخلات!$AJ$6:$AJ$12,MATCH($C183,المدخلات!$AC$6:$AC$12,0)),1),0)</f>
        <v/>
      </c>
      <c r="K183" s="71">
        <f>ROUNDUP($J183/IFERROR(INDEX(المدخلات!$AF$6:$AF$12,MATCH($C183,المدخلات!$AC$6:$AC$12,0)),1),0)</f>
        <v/>
      </c>
    </row>
    <row r="184" hidden="1">
      <c r="B184" s="74">
        <f>'عدد اللاعبين'!B173</f>
        <v/>
      </c>
      <c r="C184" s="69">
        <f>'عدد اللاعبين'!C173</f>
        <v/>
      </c>
      <c r="D184" s="69">
        <f>IFERROR(INDEX(المدخلات!$AD$6:$AD$12,MATCH($C184,المدخلات!$AC$6:$AC$12,0)),"")</f>
        <v/>
      </c>
      <c r="E184" s="69">
        <f>'عدد اللاعبين'!D173</f>
        <v/>
      </c>
      <c r="F184" s="70">
        <f>'عدد اللاعبين'!F173</f>
        <v/>
      </c>
      <c r="G184" s="71">
        <f>'عدد اللاعبين'!G173</f>
        <v/>
      </c>
      <c r="H184" s="69">
        <f>IFERROR(INDEX(المدخلات!$AE$6:$AE$12,MATCH($C184,المدخلات!$AC$6:$AC$12,0)),"")</f>
        <v/>
      </c>
      <c r="I184" s="71">
        <f>IF($G184&lt;الحد_الأدنى,0,ROUNDDOWN($G184/فرق_المباراة,0))</f>
        <v/>
      </c>
      <c r="J184" s="71">
        <f>ROUNDUP($I184/IFERROR(INDEX(المدخلات!$AJ$6:$AJ$12,MATCH($C184,المدخلات!$AC$6:$AC$12,0)),1),0)</f>
        <v/>
      </c>
      <c r="K184" s="71">
        <f>ROUNDUP($J184/IFERROR(INDEX(المدخلات!$AF$6:$AF$12,MATCH($C184,المدخلات!$AC$6:$AC$12,0)),1),0)</f>
        <v/>
      </c>
    </row>
    <row r="185" hidden="1">
      <c r="B185" s="74">
        <f>'عدد اللاعبين'!B174</f>
        <v/>
      </c>
      <c r="C185" s="69">
        <f>'عدد اللاعبين'!C174</f>
        <v/>
      </c>
      <c r="D185" s="69">
        <f>IFERROR(INDEX(المدخلات!$AD$6:$AD$12,MATCH($C185,المدخلات!$AC$6:$AC$12,0)),"")</f>
        <v/>
      </c>
      <c r="E185" s="69">
        <f>'عدد اللاعبين'!D174</f>
        <v/>
      </c>
      <c r="F185" s="70">
        <f>'عدد اللاعبين'!F174</f>
        <v/>
      </c>
      <c r="G185" s="71">
        <f>'عدد اللاعبين'!G174</f>
        <v/>
      </c>
      <c r="H185" s="69">
        <f>IFERROR(INDEX(المدخلات!$AE$6:$AE$12,MATCH($C185,المدخلات!$AC$6:$AC$12,0)),"")</f>
        <v/>
      </c>
      <c r="I185" s="71">
        <f>IF($G185&lt;الحد_الأدنى,0,ROUNDDOWN($G185/فرق_المباراة,0))</f>
        <v/>
      </c>
      <c r="J185" s="71">
        <f>ROUNDUP($I185/IFERROR(INDEX(المدخلات!$AJ$6:$AJ$12,MATCH($C185,المدخلات!$AC$6:$AC$12,0)),1),0)</f>
        <v/>
      </c>
      <c r="K185" s="71">
        <f>ROUNDUP($J185/IFERROR(INDEX(المدخلات!$AF$6:$AF$12,MATCH($C185,المدخلات!$AC$6:$AC$12,0)),1),0)</f>
        <v/>
      </c>
    </row>
    <row r="186">
      <c r="B186" s="74">
        <f>'عدد اللاعبين'!B175</f>
        <v/>
      </c>
      <c r="C186" s="69">
        <f>'عدد اللاعبين'!C175</f>
        <v/>
      </c>
      <c r="D186" s="69">
        <f>IFERROR(INDEX(المدخلات!$AD$6:$AD$12,MATCH($C186,المدخلات!$AC$6:$AC$12,0)),"")</f>
        <v/>
      </c>
      <c r="E186" s="69">
        <f>'عدد اللاعبين'!D175</f>
        <v/>
      </c>
      <c r="F186" s="70">
        <f>'عدد اللاعبين'!F175</f>
        <v/>
      </c>
      <c r="G186" s="71">
        <f>'عدد اللاعبين'!G175</f>
        <v/>
      </c>
      <c r="H186" s="69">
        <f>IFERROR(INDEX(المدخلات!$AE$6:$AE$12,MATCH($C186,المدخلات!$AC$6:$AC$12,0)),"")</f>
        <v/>
      </c>
      <c r="I186" s="71">
        <f>IF($G186&lt;الحد_الأدنى,0,ROUNDDOWN($G186/فرق_المباراة,0))</f>
        <v/>
      </c>
      <c r="J186" s="71">
        <f>ROUNDUP($I186/IFERROR(INDEX(المدخلات!$AJ$6:$AJ$12,MATCH($C186,المدخلات!$AC$6:$AC$12,0)),1),0)</f>
        <v/>
      </c>
      <c r="K186" s="71">
        <f>ROUNDUP($J186/IFERROR(INDEX(المدخلات!$AF$6:$AF$12,MATCH($C186,المدخلات!$AC$6:$AC$12,0)),1),0)</f>
        <v/>
      </c>
    </row>
    <row r="187" hidden="1">
      <c r="B187" s="74">
        <f>'عدد اللاعبين'!B176</f>
        <v/>
      </c>
      <c r="C187" s="69">
        <f>'عدد اللاعبين'!C176</f>
        <v/>
      </c>
      <c r="D187" s="69">
        <f>IFERROR(INDEX(المدخلات!$AD$6:$AD$12,MATCH($C187,المدخلات!$AC$6:$AC$12,0)),"")</f>
        <v/>
      </c>
      <c r="E187" s="69">
        <f>'عدد اللاعبين'!D176</f>
        <v/>
      </c>
      <c r="F187" s="70">
        <f>'عدد اللاعبين'!F176</f>
        <v/>
      </c>
      <c r="G187" s="71">
        <f>'عدد اللاعبين'!G176</f>
        <v/>
      </c>
      <c r="H187" s="69">
        <f>IFERROR(INDEX(المدخلات!$AE$6:$AE$12,MATCH($C187,المدخلات!$AC$6:$AC$12,0)),"")</f>
        <v/>
      </c>
      <c r="I187" s="71">
        <f>IF($G187&lt;الحد_الأدنى,0,ROUNDDOWN($G187/فرق_المباراة,0))</f>
        <v/>
      </c>
      <c r="J187" s="71">
        <f>ROUNDUP($I187/IFERROR(INDEX(المدخلات!$AJ$6:$AJ$12,MATCH($C187,المدخلات!$AC$6:$AC$12,0)),1),0)</f>
        <v/>
      </c>
      <c r="K187" s="71">
        <f>ROUNDUP($J187/IFERROR(INDEX(المدخلات!$AF$6:$AF$12,MATCH($C187,المدخلات!$AC$6:$AC$12,0)),1),0)</f>
        <v/>
      </c>
    </row>
    <row r="188" hidden="1">
      <c r="B188" s="74">
        <f>'عدد اللاعبين'!B177</f>
        <v/>
      </c>
      <c r="C188" s="69">
        <f>'عدد اللاعبين'!C177</f>
        <v/>
      </c>
      <c r="D188" s="69">
        <f>IFERROR(INDEX(المدخلات!$AD$6:$AD$12,MATCH($C188,المدخلات!$AC$6:$AC$12,0)),"")</f>
        <v/>
      </c>
      <c r="E188" s="69">
        <f>'عدد اللاعبين'!D177</f>
        <v/>
      </c>
      <c r="F188" s="70">
        <f>'عدد اللاعبين'!F177</f>
        <v/>
      </c>
      <c r="G188" s="71">
        <f>'عدد اللاعبين'!G177</f>
        <v/>
      </c>
      <c r="H188" s="69">
        <f>IFERROR(INDEX(المدخلات!$AE$6:$AE$12,MATCH($C188,المدخلات!$AC$6:$AC$12,0)),"")</f>
        <v/>
      </c>
      <c r="I188" s="71">
        <f>IF($G188&lt;الحد_الأدنى,0,ROUNDDOWN($G188/فرق_المباراة,0))</f>
        <v/>
      </c>
      <c r="J188" s="71">
        <f>ROUNDUP($I188/IFERROR(INDEX(المدخلات!$AJ$6:$AJ$12,MATCH($C188,المدخلات!$AC$6:$AC$12,0)),1),0)</f>
        <v/>
      </c>
      <c r="K188" s="71">
        <f>ROUNDUP($J188/IFERROR(INDEX(المدخلات!$AF$6:$AF$12,MATCH($C188,المدخلات!$AC$6:$AC$12,0)),1),0)</f>
        <v/>
      </c>
    </row>
    <row r="189" hidden="1">
      <c r="B189" s="74">
        <f>'عدد اللاعبين'!B178</f>
        <v/>
      </c>
      <c r="C189" s="69">
        <f>'عدد اللاعبين'!C178</f>
        <v/>
      </c>
      <c r="D189" s="69">
        <f>IFERROR(INDEX(المدخلات!$AD$6:$AD$12,MATCH($C189,المدخلات!$AC$6:$AC$12,0)),"")</f>
        <v/>
      </c>
      <c r="E189" s="69">
        <f>'عدد اللاعبين'!D178</f>
        <v/>
      </c>
      <c r="F189" s="70">
        <f>'عدد اللاعبين'!F178</f>
        <v/>
      </c>
      <c r="G189" s="71">
        <f>'عدد اللاعبين'!G178</f>
        <v/>
      </c>
      <c r="H189" s="69">
        <f>IFERROR(INDEX(المدخلات!$AE$6:$AE$12,MATCH($C189,المدخلات!$AC$6:$AC$12,0)),"")</f>
        <v/>
      </c>
      <c r="I189" s="71">
        <f>IF($G189&lt;الحد_الأدنى,0,ROUNDDOWN($G189/فرق_المباراة,0))</f>
        <v/>
      </c>
      <c r="J189" s="71">
        <f>ROUNDUP($I189/IFERROR(INDEX(المدخلات!$AJ$6:$AJ$12,MATCH($C189,المدخلات!$AC$6:$AC$12,0)),1),0)</f>
        <v/>
      </c>
      <c r="K189" s="71">
        <f>ROUNDUP($J189/IFERROR(INDEX(المدخلات!$AF$6:$AF$12,MATCH($C189,المدخلات!$AC$6:$AC$12,0)),1),0)</f>
        <v/>
      </c>
    </row>
    <row r="190" hidden="1">
      <c r="B190" s="74">
        <f>'عدد اللاعبين'!B179</f>
        <v/>
      </c>
      <c r="C190" s="69">
        <f>'عدد اللاعبين'!C179</f>
        <v/>
      </c>
      <c r="D190" s="69">
        <f>IFERROR(INDEX(المدخلات!$AD$6:$AD$12,MATCH($C190,المدخلات!$AC$6:$AC$12,0)),"")</f>
        <v/>
      </c>
      <c r="E190" s="69">
        <f>'عدد اللاعبين'!D179</f>
        <v/>
      </c>
      <c r="F190" s="70">
        <f>'عدد اللاعبين'!F179</f>
        <v/>
      </c>
      <c r="G190" s="71">
        <f>'عدد اللاعبين'!G179</f>
        <v/>
      </c>
      <c r="H190" s="69">
        <f>IFERROR(INDEX(المدخلات!$AE$6:$AE$12,MATCH($C190,المدخلات!$AC$6:$AC$12,0)),"")</f>
        <v/>
      </c>
      <c r="I190" s="71">
        <f>IF($G190&lt;الحد_الأدنى,0,ROUNDDOWN($G190/فرق_المباراة,0))</f>
        <v/>
      </c>
      <c r="J190" s="71">
        <f>ROUNDUP($I190/IFERROR(INDEX(المدخلات!$AJ$6:$AJ$12,MATCH($C190,المدخلات!$AC$6:$AC$12,0)),1),0)</f>
        <v/>
      </c>
      <c r="K190" s="71">
        <f>ROUNDUP($J190/IFERROR(INDEX(المدخلات!$AF$6:$AF$12,MATCH($C190,المدخلات!$AC$6:$AC$12,0)),1),0)</f>
        <v/>
      </c>
    </row>
    <row r="191" hidden="1">
      <c r="B191" s="74">
        <f>'عدد اللاعبين'!B180</f>
        <v/>
      </c>
      <c r="C191" s="69">
        <f>'عدد اللاعبين'!C180</f>
        <v/>
      </c>
      <c r="D191" s="69">
        <f>IFERROR(INDEX(المدخلات!$AD$6:$AD$12,MATCH($C191,المدخلات!$AC$6:$AC$12,0)),"")</f>
        <v/>
      </c>
      <c r="E191" s="69">
        <f>'عدد اللاعبين'!D180</f>
        <v/>
      </c>
      <c r="F191" s="70">
        <f>'عدد اللاعبين'!F180</f>
        <v/>
      </c>
      <c r="G191" s="71">
        <f>'عدد اللاعبين'!G180</f>
        <v/>
      </c>
      <c r="H191" s="69">
        <f>IFERROR(INDEX(المدخلات!$AE$6:$AE$12,MATCH($C191,المدخلات!$AC$6:$AC$12,0)),"")</f>
        <v/>
      </c>
      <c r="I191" s="71">
        <f>IF($G191&lt;الحد_الأدنى,0,ROUNDDOWN($G191/فرق_المباراة,0))</f>
        <v/>
      </c>
      <c r="J191" s="71">
        <f>ROUNDUP($I191/IFERROR(INDEX(المدخلات!$AJ$6:$AJ$12,MATCH($C191,المدخلات!$AC$6:$AC$12,0)),1),0)</f>
        <v/>
      </c>
      <c r="K191" s="71">
        <f>ROUNDUP($J191/IFERROR(INDEX(المدخلات!$AF$6:$AF$12,MATCH($C191,المدخلات!$AC$6:$AC$12,0)),1),0)</f>
        <v/>
      </c>
    </row>
    <row r="192">
      <c r="B192" s="74">
        <f>'عدد اللاعبين'!B181</f>
        <v/>
      </c>
      <c r="C192" s="69">
        <f>'عدد اللاعبين'!C181</f>
        <v/>
      </c>
      <c r="D192" s="69">
        <f>IFERROR(INDEX(المدخلات!$AD$6:$AD$12,MATCH($C192,المدخلات!$AC$6:$AC$12,0)),"")</f>
        <v/>
      </c>
      <c r="E192" s="69">
        <f>'عدد اللاعبين'!D181</f>
        <v/>
      </c>
      <c r="F192" s="70">
        <f>'عدد اللاعبين'!F181</f>
        <v/>
      </c>
      <c r="G192" s="71">
        <f>'عدد اللاعبين'!G181</f>
        <v/>
      </c>
      <c r="H192" s="69">
        <f>IFERROR(INDEX(المدخلات!$AE$6:$AE$12,MATCH($C192,المدخلات!$AC$6:$AC$12,0)),"")</f>
        <v/>
      </c>
      <c r="I192" s="71">
        <f>IF($G192&lt;الحد_الأدنى,0,ROUNDDOWN($G192/فرق_المباراة,0))</f>
        <v/>
      </c>
      <c r="J192" s="71">
        <f>ROUNDUP($I192/IFERROR(INDEX(المدخلات!$AJ$6:$AJ$12,MATCH($C192,المدخلات!$AC$6:$AC$12,0)),1),0)</f>
        <v/>
      </c>
      <c r="K192" s="71">
        <f>ROUNDUP($J192/IFERROR(INDEX(المدخلات!$AF$6:$AF$12,MATCH($C192,المدخلات!$AC$6:$AC$12,0)),1),0)</f>
        <v/>
      </c>
    </row>
    <row r="193" hidden="1">
      <c r="B193" s="74">
        <f>'عدد اللاعبين'!B182</f>
        <v/>
      </c>
      <c r="C193" s="69">
        <f>'عدد اللاعبين'!C182</f>
        <v/>
      </c>
      <c r="D193" s="69">
        <f>IFERROR(INDEX(المدخلات!$AD$6:$AD$12,MATCH($C193,المدخلات!$AC$6:$AC$12,0)),"")</f>
        <v/>
      </c>
      <c r="E193" s="69">
        <f>'عدد اللاعبين'!D182</f>
        <v/>
      </c>
      <c r="F193" s="70">
        <f>'عدد اللاعبين'!F182</f>
        <v/>
      </c>
      <c r="G193" s="71">
        <f>'عدد اللاعبين'!G182</f>
        <v/>
      </c>
      <c r="H193" s="69">
        <f>IFERROR(INDEX(المدخلات!$AE$6:$AE$12,MATCH($C193,المدخلات!$AC$6:$AC$12,0)),"")</f>
        <v/>
      </c>
      <c r="I193" s="71">
        <f>IF($G193&lt;الحد_الأدنى,0,ROUNDDOWN($G193/فرق_المباراة,0))</f>
        <v/>
      </c>
      <c r="J193" s="71">
        <f>ROUNDUP($I193/IFERROR(INDEX(المدخلات!$AJ$6:$AJ$12,MATCH($C193,المدخلات!$AC$6:$AC$12,0)),1),0)</f>
        <v/>
      </c>
      <c r="K193" s="71">
        <f>ROUNDUP($J193/IFERROR(INDEX(المدخلات!$AF$6:$AF$12,MATCH($C193,المدخلات!$AC$6:$AC$12,0)),1),0)</f>
        <v/>
      </c>
    </row>
    <row r="194" hidden="1">
      <c r="B194" s="74">
        <f>'عدد اللاعبين'!B183</f>
        <v/>
      </c>
      <c r="C194" s="69">
        <f>'عدد اللاعبين'!C183</f>
        <v/>
      </c>
      <c r="D194" s="69">
        <f>IFERROR(INDEX(المدخلات!$AD$6:$AD$12,MATCH($C194,المدخلات!$AC$6:$AC$12,0)),"")</f>
        <v/>
      </c>
      <c r="E194" s="69">
        <f>'عدد اللاعبين'!D183</f>
        <v/>
      </c>
      <c r="F194" s="70">
        <f>'عدد اللاعبين'!F183</f>
        <v/>
      </c>
      <c r="G194" s="71">
        <f>'عدد اللاعبين'!G183</f>
        <v/>
      </c>
      <c r="H194" s="69">
        <f>IFERROR(INDEX(المدخلات!$AE$6:$AE$12,MATCH($C194,المدخلات!$AC$6:$AC$12,0)),"")</f>
        <v/>
      </c>
      <c r="I194" s="71">
        <f>IF($G194&lt;الحد_الأدنى,0,ROUNDDOWN($G194/فرق_المباراة,0))</f>
        <v/>
      </c>
      <c r="J194" s="71">
        <f>ROUNDUP($I194/IFERROR(INDEX(المدخلات!$AJ$6:$AJ$12,MATCH($C194,المدخلات!$AC$6:$AC$12,0)),1),0)</f>
        <v/>
      </c>
      <c r="K194" s="71">
        <f>ROUNDUP($J194/IFERROR(INDEX(المدخلات!$AF$6:$AF$12,MATCH($C194,المدخلات!$AC$6:$AC$12,0)),1),0)</f>
        <v/>
      </c>
    </row>
    <row r="195">
      <c r="B195" s="74">
        <f>'عدد اللاعبين'!B184</f>
        <v/>
      </c>
      <c r="C195" s="69">
        <f>'عدد اللاعبين'!C184</f>
        <v/>
      </c>
      <c r="D195" s="69">
        <f>IFERROR(INDEX(المدخلات!$AD$6:$AD$12,MATCH($C195,المدخلات!$AC$6:$AC$12,0)),"")</f>
        <v/>
      </c>
      <c r="E195" s="69">
        <f>'عدد اللاعبين'!D184</f>
        <v/>
      </c>
      <c r="F195" s="70">
        <f>'عدد اللاعبين'!F184</f>
        <v/>
      </c>
      <c r="G195" s="71">
        <f>'عدد اللاعبين'!G184</f>
        <v/>
      </c>
      <c r="H195" s="69">
        <f>IFERROR(INDEX(المدخلات!$AE$6:$AE$12,MATCH($C195,المدخلات!$AC$6:$AC$12,0)),"")</f>
        <v/>
      </c>
      <c r="I195" s="71">
        <f>IF($G195&lt;الحد_الأدنى,0,ROUNDDOWN($G195/فرق_المباراة,0))</f>
        <v/>
      </c>
      <c r="J195" s="71">
        <f>ROUNDUP($I195/IFERROR(INDEX(المدخلات!$AJ$6:$AJ$12,MATCH($C195,المدخلات!$AC$6:$AC$12,0)),1),0)</f>
        <v/>
      </c>
      <c r="K195" s="71">
        <f>ROUNDUP($J195/IFERROR(INDEX(المدخلات!$AF$6:$AF$12,MATCH($C195,المدخلات!$AC$6:$AC$12,0)),1),0)</f>
        <v/>
      </c>
    </row>
    <row r="196" hidden="1">
      <c r="B196" s="74">
        <f>'عدد اللاعبين'!B185</f>
        <v/>
      </c>
      <c r="C196" s="69">
        <f>'عدد اللاعبين'!C185</f>
        <v/>
      </c>
      <c r="D196" s="69">
        <f>IFERROR(INDEX(المدخلات!$AD$6:$AD$12,MATCH($C196,المدخلات!$AC$6:$AC$12,0)),"")</f>
        <v/>
      </c>
      <c r="E196" s="69">
        <f>'عدد اللاعبين'!D185</f>
        <v/>
      </c>
      <c r="F196" s="70">
        <f>'عدد اللاعبين'!F185</f>
        <v/>
      </c>
      <c r="G196" s="71">
        <f>'عدد اللاعبين'!G185</f>
        <v/>
      </c>
      <c r="H196" s="69">
        <f>IFERROR(INDEX(المدخلات!$AE$6:$AE$12,MATCH($C196,المدخلات!$AC$6:$AC$12,0)),"")</f>
        <v/>
      </c>
      <c r="I196" s="71">
        <f>IF($G196&lt;الحد_الأدنى,0,ROUNDDOWN($G196/فرق_المباراة,0))</f>
        <v/>
      </c>
      <c r="J196" s="71">
        <f>ROUNDUP($I196/IFERROR(INDEX(المدخلات!$AJ$6:$AJ$12,MATCH($C196,المدخلات!$AC$6:$AC$12,0)),1),0)</f>
        <v/>
      </c>
      <c r="K196" s="71">
        <f>ROUNDUP($J196/IFERROR(INDEX(المدخلات!$AF$6:$AF$12,MATCH($C196,المدخلات!$AC$6:$AC$12,0)),1),0)</f>
        <v/>
      </c>
    </row>
    <row r="197" hidden="1">
      <c r="B197" s="74">
        <f>'عدد اللاعبين'!B186</f>
        <v/>
      </c>
      <c r="C197" s="69">
        <f>'عدد اللاعبين'!C186</f>
        <v/>
      </c>
      <c r="D197" s="69">
        <f>IFERROR(INDEX(المدخلات!$AD$6:$AD$12,MATCH($C197,المدخلات!$AC$6:$AC$12,0)),"")</f>
        <v/>
      </c>
      <c r="E197" s="69">
        <f>'عدد اللاعبين'!D186</f>
        <v/>
      </c>
      <c r="F197" s="70">
        <f>'عدد اللاعبين'!F186</f>
        <v/>
      </c>
      <c r="G197" s="71">
        <f>'عدد اللاعبين'!G186</f>
        <v/>
      </c>
      <c r="H197" s="69">
        <f>IFERROR(INDEX(المدخلات!$AE$6:$AE$12,MATCH($C197,المدخلات!$AC$6:$AC$12,0)),"")</f>
        <v/>
      </c>
      <c r="I197" s="71">
        <f>IF($G197&lt;الحد_الأدنى,0,ROUNDDOWN($G197/فرق_المباراة,0))</f>
        <v/>
      </c>
      <c r="J197" s="71">
        <f>ROUNDUP($I197/IFERROR(INDEX(المدخلات!$AJ$6:$AJ$12,MATCH($C197,المدخلات!$AC$6:$AC$12,0)),1),0)</f>
        <v/>
      </c>
      <c r="K197" s="71">
        <f>ROUNDUP($J197/IFERROR(INDEX(المدخلات!$AF$6:$AF$12,MATCH($C197,المدخلات!$AC$6:$AC$12,0)),1),0)</f>
        <v/>
      </c>
    </row>
    <row r="202" ht="16" customHeight="1">
      <c r="B202" s="55" t="inlineStr">
        <is>
          <t>الطلب لكل مجموعة — الملاعب القانونية المطلوبة</t>
        </is>
      </c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47" t="n"/>
    </row>
    <row r="203">
      <c r="B203" s="48" t="inlineStr">
        <is>
          <t>المنطقة</t>
        </is>
      </c>
      <c r="C203" s="49" t="inlineStr">
        <is>
          <t>المجموعة</t>
        </is>
      </c>
      <c r="D203" s="49" t="inlineStr">
        <is>
          <t>المدن</t>
        </is>
      </c>
      <c r="E203" s="49" t="inlineStr">
        <is>
          <t>تحت 5 / 7 / 9 (الأعلى)</t>
        </is>
      </c>
      <c r="F203" s="49">
        <f>المدخلات!$AC$9</f>
        <v/>
      </c>
      <c r="G203" s="49">
        <f>المدخلات!$AC$10</f>
        <v/>
      </c>
      <c r="H203" s="49">
        <f>المدخلات!$AC$11</f>
        <v/>
      </c>
      <c r="I203" s="49">
        <f>المدخلات!$AC$12</f>
        <v/>
      </c>
      <c r="J203" s="49" t="inlineStr">
        <is>
          <t>أقصى ملاعب في يوم واحد</t>
        </is>
      </c>
      <c r="K203" s="50" t="inlineStr">
        <is>
          <t>إجمالي الفرق</t>
        </is>
      </c>
      <c r="L203" s="61" t="inlineStr">
        <is>
          <t>الحالة</t>
        </is>
      </c>
    </row>
    <row r="204">
      <c r="B204" s="48" t="inlineStr">
        <is>
          <t>—</t>
        </is>
      </c>
      <c r="C204" s="49" t="inlineStr">
        <is>
          <t>—</t>
        </is>
      </c>
      <c r="D204" s="49" t="inlineStr">
        <is>
          <t>—</t>
        </is>
      </c>
      <c r="E204" s="49">
        <f>المدخلات!$AD$6</f>
        <v/>
      </c>
      <c r="F204" s="49">
        <f>المدخلات!$AD$9</f>
        <v/>
      </c>
      <c r="G204" s="49">
        <f>المدخلات!$AD$10</f>
        <v/>
      </c>
      <c r="H204" s="49">
        <f>المدخلات!$AD$11</f>
        <v/>
      </c>
      <c r="I204" s="49">
        <f>المدخلات!$AD$12</f>
        <v/>
      </c>
      <c r="J204" s="49" t="inlineStr">
        <is>
          <t>—</t>
        </is>
      </c>
      <c r="K204" s="50" t="inlineStr">
        <is>
          <t>—</t>
        </is>
      </c>
      <c r="L204" s="49" t="inlineStr">
        <is>
          <t>—</t>
        </is>
      </c>
    </row>
    <row r="205">
      <c r="B205" s="51" t="inlineStr">
        <is>
          <t>الباحة</t>
        </is>
      </c>
      <c r="C205" s="52" t="inlineStr">
        <is>
          <t>مجموعة الباحة</t>
        </is>
      </c>
      <c r="D205" s="52">
        <f>IFERROR(INDEX('عدد اللاعبين'!$F$3:$F$186,MATCH($C205,'عدد اللاعبين'!$D$3:$D$186,0)),"")</f>
        <v/>
      </c>
      <c r="E205" s="53">
        <f>MAX(SUMIFS($K$14:$K$197,$E$14:$E$197,$C205,$C$14:$C$197,المدخلات!$AC$6),SUMIFS($K$14:$K$197,$E$14:$E$197,$C205,$C$14:$C$197,المدخلات!$AC$7),SUMIFS($K$14:$K$197,$E$14:$E$197,$C205,$C$14:$C$197,المدخلات!$AC$8))</f>
        <v/>
      </c>
      <c r="F205" s="53">
        <f>SUMIFS($K$14:$K$197,$E$14:$E$197,$C205,$C$14:$C$197,المدخلات!$AC$9)</f>
        <v/>
      </c>
      <c r="G205" s="53">
        <f>SUMIFS($K$14:$K$197,$E$14:$E$197,$C205,$C$14:$C$197,المدخلات!$AC$10)</f>
        <v/>
      </c>
      <c r="H205" s="53">
        <f>SUMIFS($K$14:$K$197,$E$14:$E$197,$C205,$C$14:$C$197,المدخلات!$AC$11)</f>
        <v/>
      </c>
      <c r="I205" s="53">
        <f>SUMIFS($K$14:$K$197,$E$14:$E$197,$C205,$C$14:$C$197,المدخلات!$AC$12)</f>
        <v/>
      </c>
      <c r="J205" s="53">
        <f>MAX($E205:$I205)</f>
        <v/>
      </c>
      <c r="K205" s="54">
        <f>SUMIFS($G$14:$G$197,$E$14:$E$197,$C205,$G$14:$G$197,"&gt;="&amp;الحد_الأدنى)</f>
        <v/>
      </c>
      <c r="L205" s="53">
        <f>IF($K205=0,"غير مكتملة","مكتملة")</f>
        <v/>
      </c>
    </row>
    <row r="206">
      <c r="B206" s="51" t="inlineStr">
        <is>
          <t>الجوف</t>
        </is>
      </c>
      <c r="C206" s="52" t="inlineStr">
        <is>
          <t>مجموعة القريات</t>
        </is>
      </c>
      <c r="D206" s="52">
        <f>IFERROR(INDEX('عدد اللاعبين'!$F$3:$F$186,MATCH($C206,'عدد اللاعبين'!$D$3:$D$186,0)),"")</f>
        <v/>
      </c>
      <c r="E206" s="53">
        <f>MAX(SUMIFS($K$14:$K$197,$E$14:$E$197,$C206,$C$14:$C$197,المدخلات!$AC$6),SUMIFS($K$14:$K$197,$E$14:$E$197,$C206,$C$14:$C$197,المدخلات!$AC$7),SUMIFS($K$14:$K$197,$E$14:$E$197,$C206,$C$14:$C$197,المدخلات!$AC$8))</f>
        <v/>
      </c>
      <c r="F206" s="53">
        <f>SUMIFS($K$14:$K$197,$E$14:$E$197,$C206,$C$14:$C$197,المدخلات!$AC$9)</f>
        <v/>
      </c>
      <c r="G206" s="53">
        <f>SUMIFS($K$14:$K$197,$E$14:$E$197,$C206,$C$14:$C$197,المدخلات!$AC$10)</f>
        <v/>
      </c>
      <c r="H206" s="53">
        <f>SUMIFS($K$14:$K$197,$E$14:$E$197,$C206,$C$14:$C$197,المدخلات!$AC$11)</f>
        <v/>
      </c>
      <c r="I206" s="53">
        <f>SUMIFS($K$14:$K$197,$E$14:$E$197,$C206,$C$14:$C$197,المدخلات!$AC$12)</f>
        <v/>
      </c>
      <c r="J206" s="53">
        <f>MAX($E206:$I206)</f>
        <v/>
      </c>
      <c r="K206" s="54">
        <f>SUMIFS($G$14:$G$197,$E$14:$E$197,$C206,$G$14:$G$197,"&gt;="&amp;الحد_الأدنى)</f>
        <v/>
      </c>
      <c r="L206" s="53">
        <f>IF($K206=0,"غير مكتملة","مكتملة")</f>
        <v/>
      </c>
    </row>
    <row r="207">
      <c r="B207" s="51" t="inlineStr">
        <is>
          <t>الجوف</t>
        </is>
      </c>
      <c r="C207" s="52" t="inlineStr">
        <is>
          <t>مجموعة سكاكا</t>
        </is>
      </c>
      <c r="D207" s="52">
        <f>IFERROR(INDEX('عدد اللاعبين'!$F$3:$F$186,MATCH($C207,'عدد اللاعبين'!$D$3:$D$186,0)),"")</f>
        <v/>
      </c>
      <c r="E207" s="53">
        <f>MAX(SUMIFS($K$14:$K$197,$E$14:$E$197,$C207,$C$14:$C$197,المدخلات!$AC$6),SUMIFS($K$14:$K$197,$E$14:$E$197,$C207,$C$14:$C$197,المدخلات!$AC$7),SUMIFS($K$14:$K$197,$E$14:$E$197,$C207,$C$14:$C$197,المدخلات!$AC$8))</f>
        <v/>
      </c>
      <c r="F207" s="53">
        <f>SUMIFS($K$14:$K$197,$E$14:$E$197,$C207,$C$14:$C$197,المدخلات!$AC$9)</f>
        <v/>
      </c>
      <c r="G207" s="53">
        <f>SUMIFS($K$14:$K$197,$E$14:$E$197,$C207,$C$14:$C$197,المدخلات!$AC$10)</f>
        <v/>
      </c>
      <c r="H207" s="53">
        <f>SUMIFS($K$14:$K$197,$E$14:$E$197,$C207,$C$14:$C$197,المدخلات!$AC$11)</f>
        <v/>
      </c>
      <c r="I207" s="53">
        <f>SUMIFS($K$14:$K$197,$E$14:$E$197,$C207,$C$14:$C$197,المدخلات!$AC$12)</f>
        <v/>
      </c>
      <c r="J207" s="53">
        <f>MAX($E207:$I207)</f>
        <v/>
      </c>
      <c r="K207" s="54">
        <f>SUMIFS($G$14:$G$197,$E$14:$E$197,$C207,$G$14:$G$197,"&gt;="&amp;الحد_الأدنى)</f>
        <v/>
      </c>
      <c r="L207" s="53">
        <f>IF($K207=0,"غير مكتملة","مكتملة")</f>
        <v/>
      </c>
    </row>
    <row r="208">
      <c r="B208" s="51" t="inlineStr">
        <is>
          <t>الجوف</t>
        </is>
      </c>
      <c r="C208" s="52" t="inlineStr">
        <is>
          <t>مجموعة طبرجل</t>
        </is>
      </c>
      <c r="D208" s="52">
        <f>IFERROR(INDEX('عدد اللاعبين'!$F$3:$F$186,MATCH($C208,'عدد اللاعبين'!$D$3:$D$186,0)),"")</f>
        <v/>
      </c>
      <c r="E208" s="53">
        <f>MAX(SUMIFS($K$14:$K$197,$E$14:$E$197,$C208,$C$14:$C$197,المدخلات!$AC$6),SUMIFS($K$14:$K$197,$E$14:$E$197,$C208,$C$14:$C$197,المدخلات!$AC$7),SUMIFS($K$14:$K$197,$E$14:$E$197,$C208,$C$14:$C$197,المدخلات!$AC$8))</f>
        <v/>
      </c>
      <c r="F208" s="53">
        <f>SUMIFS($K$14:$K$197,$E$14:$E$197,$C208,$C$14:$C$197,المدخلات!$AC$9)</f>
        <v/>
      </c>
      <c r="G208" s="53">
        <f>SUMIFS($K$14:$K$197,$E$14:$E$197,$C208,$C$14:$C$197,المدخلات!$AC$10)</f>
        <v/>
      </c>
      <c r="H208" s="53">
        <f>SUMIFS($K$14:$K$197,$E$14:$E$197,$C208,$C$14:$C$197,المدخلات!$AC$11)</f>
        <v/>
      </c>
      <c r="I208" s="53">
        <f>SUMIFS($K$14:$K$197,$E$14:$E$197,$C208,$C$14:$C$197,المدخلات!$AC$12)</f>
        <v/>
      </c>
      <c r="J208" s="53">
        <f>MAX($E208:$I208)</f>
        <v/>
      </c>
      <c r="K208" s="54">
        <f>SUMIFS($G$14:$G$197,$E$14:$E$197,$C208,$G$14:$G$197,"&gt;="&amp;الحد_الأدنى)</f>
        <v/>
      </c>
      <c r="L208" s="53">
        <f>IF($K208=0,"غير مكتملة","مكتملة")</f>
        <v/>
      </c>
    </row>
    <row r="209">
      <c r="B209" s="51" t="inlineStr">
        <is>
          <t>الرياض</t>
        </is>
      </c>
      <c r="C209" s="52" t="inlineStr">
        <is>
          <t>مجموعة الخرج</t>
        </is>
      </c>
      <c r="D209" s="52">
        <f>IFERROR(INDEX('عدد اللاعبين'!$F$3:$F$186,MATCH($C209,'عدد اللاعبين'!$D$3:$D$186,0)),"")</f>
        <v/>
      </c>
      <c r="E209" s="53">
        <f>MAX(SUMIFS($K$14:$K$197,$E$14:$E$197,$C209,$C$14:$C$197,المدخلات!$AC$6),SUMIFS($K$14:$K$197,$E$14:$E$197,$C209,$C$14:$C$197,المدخلات!$AC$7),SUMIFS($K$14:$K$197,$E$14:$E$197,$C209,$C$14:$C$197,المدخلات!$AC$8))</f>
        <v/>
      </c>
      <c r="F209" s="53">
        <f>SUMIFS($K$14:$K$197,$E$14:$E$197,$C209,$C$14:$C$197,المدخلات!$AC$9)</f>
        <v/>
      </c>
      <c r="G209" s="53">
        <f>SUMIFS($K$14:$K$197,$E$14:$E$197,$C209,$C$14:$C$197,المدخلات!$AC$10)</f>
        <v/>
      </c>
      <c r="H209" s="53">
        <f>SUMIFS($K$14:$K$197,$E$14:$E$197,$C209,$C$14:$C$197,المدخلات!$AC$11)</f>
        <v/>
      </c>
      <c r="I209" s="53">
        <f>SUMIFS($K$14:$K$197,$E$14:$E$197,$C209,$C$14:$C$197,المدخلات!$AC$12)</f>
        <v/>
      </c>
      <c r="J209" s="53">
        <f>MAX($E209:$I209)</f>
        <v/>
      </c>
      <c r="K209" s="54">
        <f>SUMIFS($G$14:$G$197,$E$14:$E$197,$C209,$G$14:$G$197,"&gt;="&amp;الحد_الأدنى)</f>
        <v/>
      </c>
      <c r="L209" s="53">
        <f>IF($K209=0,"غير مكتملة","مكتملة")</f>
        <v/>
      </c>
    </row>
    <row r="210">
      <c r="B210" s="51" t="inlineStr">
        <is>
          <t>الرياض</t>
        </is>
      </c>
      <c r="C210" s="52" t="inlineStr">
        <is>
          <t>مجموعة الدوادمي</t>
        </is>
      </c>
      <c r="D210" s="52">
        <f>IFERROR(INDEX('عدد اللاعبين'!$F$3:$F$186,MATCH($C210,'عدد اللاعبين'!$D$3:$D$186,0)),"")</f>
        <v/>
      </c>
      <c r="E210" s="53">
        <f>MAX(SUMIFS($K$14:$K$197,$E$14:$E$197,$C210,$C$14:$C$197,المدخلات!$AC$6),SUMIFS($K$14:$K$197,$E$14:$E$197,$C210,$C$14:$C$197,المدخلات!$AC$7),SUMIFS($K$14:$K$197,$E$14:$E$197,$C210,$C$14:$C$197,المدخلات!$AC$8))</f>
        <v/>
      </c>
      <c r="F210" s="53">
        <f>SUMIFS($K$14:$K$197,$E$14:$E$197,$C210,$C$14:$C$197,المدخلات!$AC$9)</f>
        <v/>
      </c>
      <c r="G210" s="53">
        <f>SUMIFS($K$14:$K$197,$E$14:$E$197,$C210,$C$14:$C$197,المدخلات!$AC$10)</f>
        <v/>
      </c>
      <c r="H210" s="53">
        <f>SUMIFS($K$14:$K$197,$E$14:$E$197,$C210,$C$14:$C$197,المدخلات!$AC$11)</f>
        <v/>
      </c>
      <c r="I210" s="53">
        <f>SUMIFS($K$14:$K$197,$E$14:$E$197,$C210,$C$14:$C$197,المدخلات!$AC$12)</f>
        <v/>
      </c>
      <c r="J210" s="53">
        <f>MAX($E210:$I210)</f>
        <v/>
      </c>
      <c r="K210" s="54">
        <f>SUMIFS($G$14:$G$197,$E$14:$E$197,$C210,$G$14:$G$197,"&gt;="&amp;الحد_الأدنى)</f>
        <v/>
      </c>
      <c r="L210" s="53">
        <f>IF($K210=0,"غير مكتملة","مكتملة")</f>
        <v/>
      </c>
    </row>
    <row r="211">
      <c r="B211" s="51" t="inlineStr">
        <is>
          <t>الرياض</t>
        </is>
      </c>
      <c r="C211" s="52" t="inlineStr">
        <is>
          <t>مجموعة الرياض</t>
        </is>
      </c>
      <c r="D211" s="52">
        <f>IFERROR(INDEX('عدد اللاعبين'!$F$3:$F$186,MATCH($C211,'عدد اللاعبين'!$D$3:$D$186,0)),"")</f>
        <v/>
      </c>
      <c r="E211" s="53">
        <f>MAX(SUMIFS($K$14:$K$197,$E$14:$E$197,$C211,$C$14:$C$197,المدخلات!$AC$6),SUMIFS($K$14:$K$197,$E$14:$E$197,$C211,$C$14:$C$197,المدخلات!$AC$7),SUMIFS($K$14:$K$197,$E$14:$E$197,$C211,$C$14:$C$197,المدخلات!$AC$8))</f>
        <v/>
      </c>
      <c r="F211" s="53">
        <f>SUMIFS($K$14:$K$197,$E$14:$E$197,$C211,$C$14:$C$197,المدخلات!$AC$9)</f>
        <v/>
      </c>
      <c r="G211" s="53">
        <f>SUMIFS($K$14:$K$197,$E$14:$E$197,$C211,$C$14:$C$197,المدخلات!$AC$10)</f>
        <v/>
      </c>
      <c r="H211" s="53">
        <f>SUMIFS($K$14:$K$197,$E$14:$E$197,$C211,$C$14:$C$197,المدخلات!$AC$11)</f>
        <v/>
      </c>
      <c r="I211" s="53">
        <f>SUMIFS($K$14:$K$197,$E$14:$E$197,$C211,$C$14:$C$197,المدخلات!$AC$12)</f>
        <v/>
      </c>
      <c r="J211" s="53">
        <f>MAX($E211:$I211)</f>
        <v/>
      </c>
      <c r="K211" s="54">
        <f>SUMIFS($G$14:$G$197,$E$14:$E$197,$C211,$G$14:$G$197,"&gt;="&amp;الحد_الأدنى)</f>
        <v/>
      </c>
      <c r="L211" s="53">
        <f>IF($K211=0,"غير مكتملة","مكتملة")</f>
        <v/>
      </c>
    </row>
    <row r="212">
      <c r="B212" s="51" t="inlineStr">
        <is>
          <t>الشرقية</t>
        </is>
      </c>
      <c r="C212" s="52" t="inlineStr">
        <is>
          <t>مجموعة الأحساء</t>
        </is>
      </c>
      <c r="D212" s="52">
        <f>IFERROR(INDEX('عدد اللاعبين'!$F$3:$F$186,MATCH($C212,'عدد اللاعبين'!$D$3:$D$186,0)),"")</f>
        <v/>
      </c>
      <c r="E212" s="53">
        <f>MAX(SUMIFS($K$14:$K$197,$E$14:$E$197,$C212,$C$14:$C$197,المدخلات!$AC$6),SUMIFS($K$14:$K$197,$E$14:$E$197,$C212,$C$14:$C$197,المدخلات!$AC$7),SUMIFS($K$14:$K$197,$E$14:$E$197,$C212,$C$14:$C$197,المدخلات!$AC$8))</f>
        <v/>
      </c>
      <c r="F212" s="53">
        <f>SUMIFS($K$14:$K$197,$E$14:$E$197,$C212,$C$14:$C$197,المدخلات!$AC$9)</f>
        <v/>
      </c>
      <c r="G212" s="53">
        <f>SUMIFS($K$14:$K$197,$E$14:$E$197,$C212,$C$14:$C$197,المدخلات!$AC$10)</f>
        <v/>
      </c>
      <c r="H212" s="53">
        <f>SUMIFS($K$14:$K$197,$E$14:$E$197,$C212,$C$14:$C$197,المدخلات!$AC$11)</f>
        <v/>
      </c>
      <c r="I212" s="53">
        <f>SUMIFS($K$14:$K$197,$E$14:$E$197,$C212,$C$14:$C$197,المدخلات!$AC$12)</f>
        <v/>
      </c>
      <c r="J212" s="53">
        <f>MAX($E212:$I212)</f>
        <v/>
      </c>
      <c r="K212" s="54">
        <f>SUMIFS($G$14:$G$197,$E$14:$E$197,$C212,$G$14:$G$197,"&gt;="&amp;الحد_الأدنى)</f>
        <v/>
      </c>
      <c r="L212" s="53">
        <f>IF($K212=0,"غير مكتملة","مكتملة")</f>
        <v/>
      </c>
    </row>
    <row r="213">
      <c r="B213" s="51" t="inlineStr">
        <is>
          <t>الشرقية</t>
        </is>
      </c>
      <c r="C213" s="52" t="inlineStr">
        <is>
          <t>مجموعة الخبر</t>
        </is>
      </c>
      <c r="D213" s="52">
        <f>IFERROR(INDEX('عدد اللاعبين'!$F$3:$F$186,MATCH($C213,'عدد اللاعبين'!$D$3:$D$186,0)),"")</f>
        <v/>
      </c>
      <c r="E213" s="53">
        <f>MAX(SUMIFS($K$14:$K$197,$E$14:$E$197,$C213,$C$14:$C$197,المدخلات!$AC$6),SUMIFS($K$14:$K$197,$E$14:$E$197,$C213,$C$14:$C$197,المدخلات!$AC$7),SUMIFS($K$14:$K$197,$E$14:$E$197,$C213,$C$14:$C$197,المدخلات!$AC$8))</f>
        <v/>
      </c>
      <c r="F213" s="53">
        <f>SUMIFS($K$14:$K$197,$E$14:$E$197,$C213,$C$14:$C$197,المدخلات!$AC$9)</f>
        <v/>
      </c>
      <c r="G213" s="53">
        <f>SUMIFS($K$14:$K$197,$E$14:$E$197,$C213,$C$14:$C$197,المدخلات!$AC$10)</f>
        <v/>
      </c>
      <c r="H213" s="53">
        <f>SUMIFS($K$14:$K$197,$E$14:$E$197,$C213,$C$14:$C$197,المدخلات!$AC$11)</f>
        <v/>
      </c>
      <c r="I213" s="53">
        <f>SUMIFS($K$14:$K$197,$E$14:$E$197,$C213,$C$14:$C$197,المدخلات!$AC$12)</f>
        <v/>
      </c>
      <c r="J213" s="53">
        <f>MAX($E213:$I213)</f>
        <v/>
      </c>
      <c r="K213" s="54">
        <f>SUMIFS($G$14:$G$197,$E$14:$E$197,$C213,$G$14:$G$197,"&gt;="&amp;الحد_الأدنى)</f>
        <v/>
      </c>
      <c r="L213" s="53">
        <f>IF($K213=0,"غير مكتملة","مكتملة")</f>
        <v/>
      </c>
    </row>
    <row r="214">
      <c r="B214" s="51" t="inlineStr">
        <is>
          <t>الشرقية</t>
        </is>
      </c>
      <c r="C214" s="52" t="inlineStr">
        <is>
          <t>مجموعة الخفجي</t>
        </is>
      </c>
      <c r="D214" s="52">
        <f>IFERROR(INDEX('عدد اللاعبين'!$F$3:$F$186,MATCH($C214,'عدد اللاعبين'!$D$3:$D$186,0)),"")</f>
        <v/>
      </c>
      <c r="E214" s="53">
        <f>MAX(SUMIFS($K$14:$K$197,$E$14:$E$197,$C214,$C$14:$C$197,المدخلات!$AC$6),SUMIFS($K$14:$K$197,$E$14:$E$197,$C214,$C$14:$C$197,المدخلات!$AC$7),SUMIFS($K$14:$K$197,$E$14:$E$197,$C214,$C$14:$C$197,المدخلات!$AC$8))</f>
        <v/>
      </c>
      <c r="F214" s="53">
        <f>SUMIFS($K$14:$K$197,$E$14:$E$197,$C214,$C$14:$C$197,المدخلات!$AC$9)</f>
        <v/>
      </c>
      <c r="G214" s="53">
        <f>SUMIFS($K$14:$K$197,$E$14:$E$197,$C214,$C$14:$C$197,المدخلات!$AC$10)</f>
        <v/>
      </c>
      <c r="H214" s="53">
        <f>SUMIFS($K$14:$K$197,$E$14:$E$197,$C214,$C$14:$C$197,المدخلات!$AC$11)</f>
        <v/>
      </c>
      <c r="I214" s="53">
        <f>SUMIFS($K$14:$K$197,$E$14:$E$197,$C214,$C$14:$C$197,المدخلات!$AC$12)</f>
        <v/>
      </c>
      <c r="J214" s="53">
        <f>MAX($E214:$I214)</f>
        <v/>
      </c>
      <c r="K214" s="54">
        <f>SUMIFS($G$14:$G$197,$E$14:$E$197,$C214,$G$14:$G$197,"&gt;="&amp;الحد_الأدنى)</f>
        <v/>
      </c>
      <c r="L214" s="53">
        <f>IF($K214=0,"غير مكتملة","مكتملة")</f>
        <v/>
      </c>
    </row>
    <row r="215">
      <c r="B215" s="51" t="inlineStr">
        <is>
          <t>الشرقية</t>
        </is>
      </c>
      <c r="C215" s="52" t="inlineStr">
        <is>
          <t>مجموعة الدمام</t>
        </is>
      </c>
      <c r="D215" s="52">
        <f>IFERROR(INDEX('عدد اللاعبين'!$F$3:$F$186,MATCH($C215,'عدد اللاعبين'!$D$3:$D$186,0)),"")</f>
        <v/>
      </c>
      <c r="E215" s="53">
        <f>MAX(SUMIFS($K$14:$K$197,$E$14:$E$197,$C215,$C$14:$C$197,المدخلات!$AC$6),SUMIFS($K$14:$K$197,$E$14:$E$197,$C215,$C$14:$C$197,المدخلات!$AC$7),SUMIFS($K$14:$K$197,$E$14:$E$197,$C215,$C$14:$C$197,المدخلات!$AC$8))</f>
        <v/>
      </c>
      <c r="F215" s="53">
        <f>SUMIFS($K$14:$K$197,$E$14:$E$197,$C215,$C$14:$C$197,المدخلات!$AC$9)</f>
        <v/>
      </c>
      <c r="G215" s="53">
        <f>SUMIFS($K$14:$K$197,$E$14:$E$197,$C215,$C$14:$C$197,المدخلات!$AC$10)</f>
        <v/>
      </c>
      <c r="H215" s="53">
        <f>SUMIFS($K$14:$K$197,$E$14:$E$197,$C215,$C$14:$C$197,المدخلات!$AC$11)</f>
        <v/>
      </c>
      <c r="I215" s="53">
        <f>SUMIFS($K$14:$K$197,$E$14:$E$197,$C215,$C$14:$C$197,المدخلات!$AC$12)</f>
        <v/>
      </c>
      <c r="J215" s="53">
        <f>MAX($E215:$I215)</f>
        <v/>
      </c>
      <c r="K215" s="54">
        <f>SUMIFS($G$14:$G$197,$E$14:$E$197,$C215,$G$14:$G$197,"&gt;="&amp;الحد_الأدنى)</f>
        <v/>
      </c>
      <c r="L215" s="53">
        <f>IF($K215=0,"غير مكتملة","مكتملة")</f>
        <v/>
      </c>
    </row>
    <row r="216">
      <c r="B216" s="51" t="inlineStr">
        <is>
          <t>الشرقية</t>
        </is>
      </c>
      <c r="C216" s="52" t="inlineStr">
        <is>
          <t>مجموعة القطيف</t>
        </is>
      </c>
      <c r="D216" s="52">
        <f>IFERROR(INDEX('عدد اللاعبين'!$F$3:$F$186,MATCH($C216,'عدد اللاعبين'!$D$3:$D$186,0)),"")</f>
        <v/>
      </c>
      <c r="E216" s="53">
        <f>MAX(SUMIFS($K$14:$K$197,$E$14:$E$197,$C216,$C$14:$C$197,المدخلات!$AC$6),SUMIFS($K$14:$K$197,$E$14:$E$197,$C216,$C$14:$C$197,المدخلات!$AC$7),SUMIFS($K$14:$K$197,$E$14:$E$197,$C216,$C$14:$C$197,المدخلات!$AC$8))</f>
        <v/>
      </c>
      <c r="F216" s="53">
        <f>SUMIFS($K$14:$K$197,$E$14:$E$197,$C216,$C$14:$C$197,المدخلات!$AC$9)</f>
        <v/>
      </c>
      <c r="G216" s="53">
        <f>SUMIFS($K$14:$K$197,$E$14:$E$197,$C216,$C$14:$C$197,المدخلات!$AC$10)</f>
        <v/>
      </c>
      <c r="H216" s="53">
        <f>SUMIFS($K$14:$K$197,$E$14:$E$197,$C216,$C$14:$C$197,المدخلات!$AC$11)</f>
        <v/>
      </c>
      <c r="I216" s="53">
        <f>SUMIFS($K$14:$K$197,$E$14:$E$197,$C216,$C$14:$C$197,المدخلات!$AC$12)</f>
        <v/>
      </c>
      <c r="J216" s="53">
        <f>MAX($E216:$I216)</f>
        <v/>
      </c>
      <c r="K216" s="54">
        <f>SUMIFS($G$14:$G$197,$E$14:$E$197,$C216,$G$14:$G$197,"&gt;="&amp;الحد_الأدنى)</f>
        <v/>
      </c>
      <c r="L216" s="53">
        <f>IF($K216=0,"غير مكتملة","مكتملة")</f>
        <v/>
      </c>
    </row>
    <row r="217">
      <c r="B217" s="51" t="inlineStr">
        <is>
          <t>الشرقية</t>
        </is>
      </c>
      <c r="C217" s="52" t="inlineStr">
        <is>
          <t>مجموعة حفر الباطن</t>
        </is>
      </c>
      <c r="D217" s="52">
        <f>IFERROR(INDEX('عدد اللاعبين'!$F$3:$F$186,MATCH($C217,'عدد اللاعبين'!$D$3:$D$186,0)),"")</f>
        <v/>
      </c>
      <c r="E217" s="53">
        <f>MAX(SUMIFS($K$14:$K$197,$E$14:$E$197,$C217,$C$14:$C$197,المدخلات!$AC$6),SUMIFS($K$14:$K$197,$E$14:$E$197,$C217,$C$14:$C$197,المدخلات!$AC$7),SUMIFS($K$14:$K$197,$E$14:$E$197,$C217,$C$14:$C$197,المدخلات!$AC$8))</f>
        <v/>
      </c>
      <c r="F217" s="53">
        <f>SUMIFS($K$14:$K$197,$E$14:$E$197,$C217,$C$14:$C$197,المدخلات!$AC$9)</f>
        <v/>
      </c>
      <c r="G217" s="53">
        <f>SUMIFS($K$14:$K$197,$E$14:$E$197,$C217,$C$14:$C$197,المدخلات!$AC$10)</f>
        <v/>
      </c>
      <c r="H217" s="53">
        <f>SUMIFS($K$14:$K$197,$E$14:$E$197,$C217,$C$14:$C$197,المدخلات!$AC$11)</f>
        <v/>
      </c>
      <c r="I217" s="53">
        <f>SUMIFS($K$14:$K$197,$E$14:$E$197,$C217,$C$14:$C$197,المدخلات!$AC$12)</f>
        <v/>
      </c>
      <c r="J217" s="53">
        <f>MAX($E217:$I217)</f>
        <v/>
      </c>
      <c r="K217" s="54">
        <f>SUMIFS($G$14:$G$197,$E$14:$E$197,$C217,$G$14:$G$197,"&gt;="&amp;الحد_الأدنى)</f>
        <v/>
      </c>
      <c r="L217" s="53">
        <f>IF($K217=0,"غير مكتملة","مكتملة")</f>
        <v/>
      </c>
    </row>
    <row r="218">
      <c r="B218" s="51" t="inlineStr">
        <is>
          <t>الشرقية</t>
        </is>
      </c>
      <c r="C218" s="52" t="inlineStr">
        <is>
          <t>مجموعة مركز الرفيعة</t>
        </is>
      </c>
      <c r="D218" s="52">
        <f>IFERROR(INDEX('عدد اللاعبين'!$F$3:$F$186,MATCH($C218,'عدد اللاعبين'!$D$3:$D$186,0)),"")</f>
        <v/>
      </c>
      <c r="E218" s="53">
        <f>MAX(SUMIFS($K$14:$K$197,$E$14:$E$197,$C218,$C$14:$C$197,المدخلات!$AC$6),SUMIFS($K$14:$K$197,$E$14:$E$197,$C218,$C$14:$C$197,المدخلات!$AC$7),SUMIFS($K$14:$K$197,$E$14:$E$197,$C218,$C$14:$C$197,المدخلات!$AC$8))</f>
        <v/>
      </c>
      <c r="F218" s="53">
        <f>SUMIFS($K$14:$K$197,$E$14:$E$197,$C218,$C$14:$C$197,المدخلات!$AC$9)</f>
        <v/>
      </c>
      <c r="G218" s="53">
        <f>SUMIFS($K$14:$K$197,$E$14:$E$197,$C218,$C$14:$C$197,المدخلات!$AC$10)</f>
        <v/>
      </c>
      <c r="H218" s="53">
        <f>SUMIFS($K$14:$K$197,$E$14:$E$197,$C218,$C$14:$C$197,المدخلات!$AC$11)</f>
        <v/>
      </c>
      <c r="I218" s="53">
        <f>SUMIFS($K$14:$K$197,$E$14:$E$197,$C218,$C$14:$C$197,المدخلات!$AC$12)</f>
        <v/>
      </c>
      <c r="J218" s="53">
        <f>MAX($E218:$I218)</f>
        <v/>
      </c>
      <c r="K218" s="54">
        <f>SUMIFS($G$14:$G$197,$E$14:$E$197,$C218,$G$14:$G$197,"&gt;="&amp;الحد_الأدنى)</f>
        <v/>
      </c>
      <c r="L218" s="53">
        <f>IF($K218=0,"غير مكتملة","مكتملة")</f>
        <v/>
      </c>
    </row>
    <row r="219">
      <c r="B219" s="51" t="inlineStr">
        <is>
          <t>القصيم</t>
        </is>
      </c>
      <c r="C219" s="52" t="inlineStr">
        <is>
          <t>مجموعة الرس</t>
        </is>
      </c>
      <c r="D219" s="52">
        <f>IFERROR(INDEX('عدد اللاعبين'!$F$3:$F$186,MATCH($C219,'عدد اللاعبين'!$D$3:$D$186,0)),"")</f>
        <v/>
      </c>
      <c r="E219" s="53">
        <f>MAX(SUMIFS($K$14:$K$197,$E$14:$E$197,$C219,$C$14:$C$197,المدخلات!$AC$6),SUMIFS($K$14:$K$197,$E$14:$E$197,$C219,$C$14:$C$197,المدخلات!$AC$7),SUMIFS($K$14:$K$197,$E$14:$E$197,$C219,$C$14:$C$197,المدخلات!$AC$8))</f>
        <v/>
      </c>
      <c r="F219" s="53">
        <f>SUMIFS($K$14:$K$197,$E$14:$E$197,$C219,$C$14:$C$197,المدخلات!$AC$9)</f>
        <v/>
      </c>
      <c r="G219" s="53">
        <f>SUMIFS($K$14:$K$197,$E$14:$E$197,$C219,$C$14:$C$197,المدخلات!$AC$10)</f>
        <v/>
      </c>
      <c r="H219" s="53">
        <f>SUMIFS($K$14:$K$197,$E$14:$E$197,$C219,$C$14:$C$197,المدخلات!$AC$11)</f>
        <v/>
      </c>
      <c r="I219" s="53">
        <f>SUMIFS($K$14:$K$197,$E$14:$E$197,$C219,$C$14:$C$197,المدخلات!$AC$12)</f>
        <v/>
      </c>
      <c r="J219" s="53">
        <f>MAX($E219:$I219)</f>
        <v/>
      </c>
      <c r="K219" s="54">
        <f>SUMIFS($G$14:$G$197,$E$14:$E$197,$C219,$G$14:$G$197,"&gt;="&amp;الحد_الأدنى)</f>
        <v/>
      </c>
      <c r="L219" s="53">
        <f>IF($K219=0,"غير مكتملة","مكتملة")</f>
        <v/>
      </c>
    </row>
    <row r="220">
      <c r="B220" s="51" t="inlineStr">
        <is>
          <t>القصيم</t>
        </is>
      </c>
      <c r="C220" s="52" t="inlineStr">
        <is>
          <t>مجموعة القصيم</t>
        </is>
      </c>
      <c r="D220" s="52">
        <f>IFERROR(INDEX('عدد اللاعبين'!$F$3:$F$186,MATCH($C220,'عدد اللاعبين'!$D$3:$D$186,0)),"")</f>
        <v/>
      </c>
      <c r="E220" s="53">
        <f>MAX(SUMIFS($K$14:$K$197,$E$14:$E$197,$C220,$C$14:$C$197,المدخلات!$AC$6),SUMIFS($K$14:$K$197,$E$14:$E$197,$C220,$C$14:$C$197,المدخلات!$AC$7),SUMIFS($K$14:$K$197,$E$14:$E$197,$C220,$C$14:$C$197,المدخلات!$AC$8))</f>
        <v/>
      </c>
      <c r="F220" s="53">
        <f>SUMIFS($K$14:$K$197,$E$14:$E$197,$C220,$C$14:$C$197,المدخلات!$AC$9)</f>
        <v/>
      </c>
      <c r="G220" s="53">
        <f>SUMIFS($K$14:$K$197,$E$14:$E$197,$C220,$C$14:$C$197,المدخلات!$AC$10)</f>
        <v/>
      </c>
      <c r="H220" s="53">
        <f>SUMIFS($K$14:$K$197,$E$14:$E$197,$C220,$C$14:$C$197,المدخلات!$AC$11)</f>
        <v/>
      </c>
      <c r="I220" s="53">
        <f>SUMIFS($K$14:$K$197,$E$14:$E$197,$C220,$C$14:$C$197,المدخلات!$AC$12)</f>
        <v/>
      </c>
      <c r="J220" s="53">
        <f>MAX($E220:$I220)</f>
        <v/>
      </c>
      <c r="K220" s="54">
        <f>SUMIFS($G$14:$G$197,$E$14:$E$197,$C220,$G$14:$G$197,"&gt;="&amp;الحد_الأدنى)</f>
        <v/>
      </c>
      <c r="L220" s="53">
        <f>IF($K220=0,"غير مكتملة","مكتملة")</f>
        <v/>
      </c>
    </row>
    <row r="221">
      <c r="B221" s="51" t="inlineStr">
        <is>
          <t>المدينة المنورة</t>
        </is>
      </c>
      <c r="C221" s="52" t="inlineStr">
        <is>
          <t>مجموعة المدينة المنورة</t>
        </is>
      </c>
      <c r="D221" s="52">
        <f>IFERROR(INDEX('عدد اللاعبين'!$F$3:$F$186,MATCH($C221,'عدد اللاعبين'!$D$3:$D$186,0)),"")</f>
        <v/>
      </c>
      <c r="E221" s="53">
        <f>MAX(SUMIFS($K$14:$K$197,$E$14:$E$197,$C221,$C$14:$C$197,المدخلات!$AC$6),SUMIFS($K$14:$K$197,$E$14:$E$197,$C221,$C$14:$C$197,المدخلات!$AC$7),SUMIFS($K$14:$K$197,$E$14:$E$197,$C221,$C$14:$C$197,المدخلات!$AC$8))</f>
        <v/>
      </c>
      <c r="F221" s="53">
        <f>SUMIFS($K$14:$K$197,$E$14:$E$197,$C221,$C$14:$C$197,المدخلات!$AC$9)</f>
        <v/>
      </c>
      <c r="G221" s="53">
        <f>SUMIFS($K$14:$K$197,$E$14:$E$197,$C221,$C$14:$C$197,المدخلات!$AC$10)</f>
        <v/>
      </c>
      <c r="H221" s="53">
        <f>SUMIFS($K$14:$K$197,$E$14:$E$197,$C221,$C$14:$C$197,المدخلات!$AC$11)</f>
        <v/>
      </c>
      <c r="I221" s="53">
        <f>SUMIFS($K$14:$K$197,$E$14:$E$197,$C221,$C$14:$C$197,المدخلات!$AC$12)</f>
        <v/>
      </c>
      <c r="J221" s="53">
        <f>MAX($E221:$I221)</f>
        <v/>
      </c>
      <c r="K221" s="54">
        <f>SUMIFS($G$14:$G$197,$E$14:$E$197,$C221,$G$14:$G$197,"&gt;="&amp;الحد_الأدنى)</f>
        <v/>
      </c>
      <c r="L221" s="53">
        <f>IF($K221=0,"غير مكتملة","مكتملة")</f>
        <v/>
      </c>
    </row>
    <row r="222">
      <c r="B222" s="51" t="inlineStr">
        <is>
          <t>تبوك</t>
        </is>
      </c>
      <c r="C222" s="52" t="inlineStr">
        <is>
          <t>مجموعة أملج</t>
        </is>
      </c>
      <c r="D222" s="52">
        <f>IFERROR(INDEX('عدد اللاعبين'!$F$3:$F$186,MATCH($C222,'عدد اللاعبين'!$D$3:$D$186,0)),"")</f>
        <v/>
      </c>
      <c r="E222" s="53">
        <f>MAX(SUMIFS($K$14:$K$197,$E$14:$E$197,$C222,$C$14:$C$197,المدخلات!$AC$6),SUMIFS($K$14:$K$197,$E$14:$E$197,$C222,$C$14:$C$197,المدخلات!$AC$7),SUMIFS($K$14:$K$197,$E$14:$E$197,$C222,$C$14:$C$197,المدخلات!$AC$8))</f>
        <v/>
      </c>
      <c r="F222" s="53">
        <f>SUMIFS($K$14:$K$197,$E$14:$E$197,$C222,$C$14:$C$197,المدخلات!$AC$9)</f>
        <v/>
      </c>
      <c r="G222" s="53">
        <f>SUMIFS($K$14:$K$197,$E$14:$E$197,$C222,$C$14:$C$197,المدخلات!$AC$10)</f>
        <v/>
      </c>
      <c r="H222" s="53">
        <f>SUMIFS($K$14:$K$197,$E$14:$E$197,$C222,$C$14:$C$197,المدخلات!$AC$11)</f>
        <v/>
      </c>
      <c r="I222" s="53">
        <f>SUMIFS($K$14:$K$197,$E$14:$E$197,$C222,$C$14:$C$197,المدخلات!$AC$12)</f>
        <v/>
      </c>
      <c r="J222" s="53">
        <f>MAX($E222:$I222)</f>
        <v/>
      </c>
      <c r="K222" s="54">
        <f>SUMIFS($G$14:$G$197,$E$14:$E$197,$C222,$G$14:$G$197,"&gt;="&amp;الحد_الأدنى)</f>
        <v/>
      </c>
      <c r="L222" s="53">
        <f>IF($K222=0,"غير مكتملة","مكتملة")</f>
        <v/>
      </c>
    </row>
    <row r="223">
      <c r="B223" s="51" t="inlineStr">
        <is>
          <t>تبوك</t>
        </is>
      </c>
      <c r="C223" s="52" t="inlineStr">
        <is>
          <t>مجموعة تبوك</t>
        </is>
      </c>
      <c r="D223" s="52">
        <f>IFERROR(INDEX('عدد اللاعبين'!$F$3:$F$186,MATCH($C223,'عدد اللاعبين'!$D$3:$D$186,0)),"")</f>
        <v/>
      </c>
      <c r="E223" s="53">
        <f>MAX(SUMIFS($K$14:$K$197,$E$14:$E$197,$C223,$C$14:$C$197,المدخلات!$AC$6),SUMIFS($K$14:$K$197,$E$14:$E$197,$C223,$C$14:$C$197,المدخلات!$AC$7),SUMIFS($K$14:$K$197,$E$14:$E$197,$C223,$C$14:$C$197,المدخلات!$AC$8))</f>
        <v/>
      </c>
      <c r="F223" s="53">
        <f>SUMIFS($K$14:$K$197,$E$14:$E$197,$C223,$C$14:$C$197,المدخلات!$AC$9)</f>
        <v/>
      </c>
      <c r="G223" s="53">
        <f>SUMIFS($K$14:$K$197,$E$14:$E$197,$C223,$C$14:$C$197,المدخلات!$AC$10)</f>
        <v/>
      </c>
      <c r="H223" s="53">
        <f>SUMIFS($K$14:$K$197,$E$14:$E$197,$C223,$C$14:$C$197,المدخلات!$AC$11)</f>
        <v/>
      </c>
      <c r="I223" s="53">
        <f>SUMIFS($K$14:$K$197,$E$14:$E$197,$C223,$C$14:$C$197,المدخلات!$AC$12)</f>
        <v/>
      </c>
      <c r="J223" s="53">
        <f>MAX($E223:$I223)</f>
        <v/>
      </c>
      <c r="K223" s="54">
        <f>SUMIFS($G$14:$G$197,$E$14:$E$197,$C223,$G$14:$G$197,"&gt;="&amp;الحد_الأدنى)</f>
        <v/>
      </c>
      <c r="L223" s="53">
        <f>IF($K223=0,"غير مكتملة","مكتملة")</f>
        <v/>
      </c>
    </row>
    <row r="224">
      <c r="B224" s="51" t="inlineStr">
        <is>
          <t>جازان</t>
        </is>
      </c>
      <c r="C224" s="52" t="inlineStr">
        <is>
          <t>مجموعة أبو عريش</t>
        </is>
      </c>
      <c r="D224" s="52">
        <f>IFERROR(INDEX('عدد اللاعبين'!$F$3:$F$186,MATCH($C224,'عدد اللاعبين'!$D$3:$D$186,0)),"")</f>
        <v/>
      </c>
      <c r="E224" s="53">
        <f>MAX(SUMIFS($K$14:$K$197,$E$14:$E$197,$C224,$C$14:$C$197,المدخلات!$AC$6),SUMIFS($K$14:$K$197,$E$14:$E$197,$C224,$C$14:$C$197,المدخلات!$AC$7),SUMIFS($K$14:$K$197,$E$14:$E$197,$C224,$C$14:$C$197,المدخلات!$AC$8))</f>
        <v/>
      </c>
      <c r="F224" s="53">
        <f>SUMIFS($K$14:$K$197,$E$14:$E$197,$C224,$C$14:$C$197,المدخلات!$AC$9)</f>
        <v/>
      </c>
      <c r="G224" s="53">
        <f>SUMIFS($K$14:$K$197,$E$14:$E$197,$C224,$C$14:$C$197,المدخلات!$AC$10)</f>
        <v/>
      </c>
      <c r="H224" s="53">
        <f>SUMIFS($K$14:$K$197,$E$14:$E$197,$C224,$C$14:$C$197,المدخلات!$AC$11)</f>
        <v/>
      </c>
      <c r="I224" s="53">
        <f>SUMIFS($K$14:$K$197,$E$14:$E$197,$C224,$C$14:$C$197,المدخلات!$AC$12)</f>
        <v/>
      </c>
      <c r="J224" s="53">
        <f>MAX($E224:$I224)</f>
        <v/>
      </c>
      <c r="K224" s="54">
        <f>SUMIFS($G$14:$G$197,$E$14:$E$197,$C224,$G$14:$G$197,"&gt;="&amp;الحد_الأدنى)</f>
        <v/>
      </c>
      <c r="L224" s="53">
        <f>IF($K224=0,"غير مكتملة","مكتملة")</f>
        <v/>
      </c>
    </row>
    <row r="225">
      <c r="B225" s="51" t="inlineStr">
        <is>
          <t>جازان</t>
        </is>
      </c>
      <c r="C225" s="52" t="inlineStr">
        <is>
          <t>مجموعة أحد المسارحة</t>
        </is>
      </c>
      <c r="D225" s="52">
        <f>IFERROR(INDEX('عدد اللاعبين'!$F$3:$F$186,MATCH($C225,'عدد اللاعبين'!$D$3:$D$186,0)),"")</f>
        <v/>
      </c>
      <c r="E225" s="53">
        <f>MAX(SUMIFS($K$14:$K$197,$E$14:$E$197,$C225,$C$14:$C$197,المدخلات!$AC$6),SUMIFS($K$14:$K$197,$E$14:$E$197,$C225,$C$14:$C$197,المدخلات!$AC$7),SUMIFS($K$14:$K$197,$E$14:$E$197,$C225,$C$14:$C$197,المدخلات!$AC$8))</f>
        <v/>
      </c>
      <c r="F225" s="53">
        <f>SUMIFS($K$14:$K$197,$E$14:$E$197,$C225,$C$14:$C$197,المدخلات!$AC$9)</f>
        <v/>
      </c>
      <c r="G225" s="53">
        <f>SUMIFS($K$14:$K$197,$E$14:$E$197,$C225,$C$14:$C$197,المدخلات!$AC$10)</f>
        <v/>
      </c>
      <c r="H225" s="53">
        <f>SUMIFS($K$14:$K$197,$E$14:$E$197,$C225,$C$14:$C$197,المدخلات!$AC$11)</f>
        <v/>
      </c>
      <c r="I225" s="53">
        <f>SUMIFS($K$14:$K$197,$E$14:$E$197,$C225,$C$14:$C$197,المدخلات!$AC$12)</f>
        <v/>
      </c>
      <c r="J225" s="53">
        <f>MAX($E225:$I225)</f>
        <v/>
      </c>
      <c r="K225" s="54">
        <f>SUMIFS($G$14:$G$197,$E$14:$E$197,$C225,$G$14:$G$197,"&gt;="&amp;الحد_الأدنى)</f>
        <v/>
      </c>
      <c r="L225" s="53">
        <f>IF($K225=0,"غير مكتملة","مكتملة")</f>
        <v/>
      </c>
    </row>
    <row r="226">
      <c r="B226" s="51" t="inlineStr">
        <is>
          <t>جازان</t>
        </is>
      </c>
      <c r="C226" s="52" t="inlineStr">
        <is>
          <t>مجموعة جازان</t>
        </is>
      </c>
      <c r="D226" s="52">
        <f>IFERROR(INDEX('عدد اللاعبين'!$F$3:$F$186,MATCH($C226,'عدد اللاعبين'!$D$3:$D$186,0)),"")</f>
        <v/>
      </c>
      <c r="E226" s="53">
        <f>MAX(SUMIFS($K$14:$K$197,$E$14:$E$197,$C226,$C$14:$C$197,المدخلات!$AC$6),SUMIFS($K$14:$K$197,$E$14:$E$197,$C226,$C$14:$C$197,المدخلات!$AC$7),SUMIFS($K$14:$K$197,$E$14:$E$197,$C226,$C$14:$C$197,المدخلات!$AC$8))</f>
        <v/>
      </c>
      <c r="F226" s="53">
        <f>SUMIFS($K$14:$K$197,$E$14:$E$197,$C226,$C$14:$C$197,المدخلات!$AC$9)</f>
        <v/>
      </c>
      <c r="G226" s="53">
        <f>SUMIFS($K$14:$K$197,$E$14:$E$197,$C226,$C$14:$C$197,المدخلات!$AC$10)</f>
        <v/>
      </c>
      <c r="H226" s="53">
        <f>SUMIFS($K$14:$K$197,$E$14:$E$197,$C226,$C$14:$C$197,المدخلات!$AC$11)</f>
        <v/>
      </c>
      <c r="I226" s="53">
        <f>SUMIFS($K$14:$K$197,$E$14:$E$197,$C226,$C$14:$C$197,المدخلات!$AC$12)</f>
        <v/>
      </c>
      <c r="J226" s="53">
        <f>MAX($E226:$I226)</f>
        <v/>
      </c>
      <c r="K226" s="54">
        <f>SUMIFS($G$14:$G$197,$E$14:$E$197,$C226,$G$14:$G$197,"&gt;="&amp;الحد_الأدنى)</f>
        <v/>
      </c>
      <c r="L226" s="53">
        <f>IF($K226=0,"غير مكتملة","مكتملة")</f>
        <v/>
      </c>
    </row>
    <row r="227">
      <c r="B227" s="51" t="inlineStr">
        <is>
          <t>جازان</t>
        </is>
      </c>
      <c r="C227" s="52" t="inlineStr">
        <is>
          <t>مجموعة صامطة</t>
        </is>
      </c>
      <c r="D227" s="52">
        <f>IFERROR(INDEX('عدد اللاعبين'!$F$3:$F$186,MATCH($C227,'عدد اللاعبين'!$D$3:$D$186,0)),"")</f>
        <v/>
      </c>
      <c r="E227" s="53">
        <f>MAX(SUMIFS($K$14:$K$197,$E$14:$E$197,$C227,$C$14:$C$197,المدخلات!$AC$6),SUMIFS($K$14:$K$197,$E$14:$E$197,$C227,$C$14:$C$197,المدخلات!$AC$7),SUMIFS($K$14:$K$197,$E$14:$E$197,$C227,$C$14:$C$197,المدخلات!$AC$8))</f>
        <v/>
      </c>
      <c r="F227" s="53">
        <f>SUMIFS($K$14:$K$197,$E$14:$E$197,$C227,$C$14:$C$197,المدخلات!$AC$9)</f>
        <v/>
      </c>
      <c r="G227" s="53">
        <f>SUMIFS($K$14:$K$197,$E$14:$E$197,$C227,$C$14:$C$197,المدخلات!$AC$10)</f>
        <v/>
      </c>
      <c r="H227" s="53">
        <f>SUMIFS($K$14:$K$197,$E$14:$E$197,$C227,$C$14:$C$197,المدخلات!$AC$11)</f>
        <v/>
      </c>
      <c r="I227" s="53">
        <f>SUMIFS($K$14:$K$197,$E$14:$E$197,$C227,$C$14:$C$197,المدخلات!$AC$12)</f>
        <v/>
      </c>
      <c r="J227" s="53">
        <f>MAX($E227:$I227)</f>
        <v/>
      </c>
      <c r="K227" s="54">
        <f>SUMIFS($G$14:$G$197,$E$14:$E$197,$C227,$G$14:$G$197,"&gt;="&amp;الحد_الأدنى)</f>
        <v/>
      </c>
      <c r="L227" s="53">
        <f>IF($K227=0,"غير مكتملة","مكتملة")</f>
        <v/>
      </c>
    </row>
    <row r="228">
      <c r="B228" s="51" t="inlineStr">
        <is>
          <t>جازان</t>
        </is>
      </c>
      <c r="C228" s="52" t="inlineStr">
        <is>
          <t>مجموعة صبيا</t>
        </is>
      </c>
      <c r="D228" s="52">
        <f>IFERROR(INDEX('عدد اللاعبين'!$F$3:$F$186,MATCH($C228,'عدد اللاعبين'!$D$3:$D$186,0)),"")</f>
        <v/>
      </c>
      <c r="E228" s="53">
        <f>MAX(SUMIFS($K$14:$K$197,$E$14:$E$197,$C228,$C$14:$C$197,المدخلات!$AC$6),SUMIFS($K$14:$K$197,$E$14:$E$197,$C228,$C$14:$C$197,المدخلات!$AC$7),SUMIFS($K$14:$K$197,$E$14:$E$197,$C228,$C$14:$C$197,المدخلات!$AC$8))</f>
        <v/>
      </c>
      <c r="F228" s="53">
        <f>SUMIFS($K$14:$K$197,$E$14:$E$197,$C228,$C$14:$C$197,المدخلات!$AC$9)</f>
        <v/>
      </c>
      <c r="G228" s="53">
        <f>SUMIFS($K$14:$K$197,$E$14:$E$197,$C228,$C$14:$C$197,المدخلات!$AC$10)</f>
        <v/>
      </c>
      <c r="H228" s="53">
        <f>SUMIFS($K$14:$K$197,$E$14:$E$197,$C228,$C$14:$C$197,المدخلات!$AC$11)</f>
        <v/>
      </c>
      <c r="I228" s="53">
        <f>SUMIFS($K$14:$K$197,$E$14:$E$197,$C228,$C$14:$C$197,المدخلات!$AC$12)</f>
        <v/>
      </c>
      <c r="J228" s="53">
        <f>MAX($E228:$I228)</f>
        <v/>
      </c>
      <c r="K228" s="54">
        <f>SUMIFS($G$14:$G$197,$E$14:$E$197,$C228,$G$14:$G$197,"&gt;="&amp;الحد_الأدنى)</f>
        <v/>
      </c>
      <c r="L228" s="53">
        <f>IF($K228=0,"غير مكتملة","مكتملة")</f>
        <v/>
      </c>
    </row>
    <row r="229">
      <c r="B229" s="51" t="inlineStr">
        <is>
          <t>حائل</t>
        </is>
      </c>
      <c r="C229" s="52" t="inlineStr">
        <is>
          <t>مجموعة حائل</t>
        </is>
      </c>
      <c r="D229" s="52">
        <f>IFERROR(INDEX('عدد اللاعبين'!$F$3:$F$186,MATCH($C229,'عدد اللاعبين'!$D$3:$D$186,0)),"")</f>
        <v/>
      </c>
      <c r="E229" s="53">
        <f>MAX(SUMIFS($K$14:$K$197,$E$14:$E$197,$C229,$C$14:$C$197,المدخلات!$AC$6),SUMIFS($K$14:$K$197,$E$14:$E$197,$C229,$C$14:$C$197,المدخلات!$AC$7),SUMIFS($K$14:$K$197,$E$14:$E$197,$C229,$C$14:$C$197,المدخلات!$AC$8))</f>
        <v/>
      </c>
      <c r="F229" s="53">
        <f>SUMIFS($K$14:$K$197,$E$14:$E$197,$C229,$C$14:$C$197,المدخلات!$AC$9)</f>
        <v/>
      </c>
      <c r="G229" s="53">
        <f>SUMIFS($K$14:$K$197,$E$14:$E$197,$C229,$C$14:$C$197,المدخلات!$AC$10)</f>
        <v/>
      </c>
      <c r="H229" s="53">
        <f>SUMIFS($K$14:$K$197,$E$14:$E$197,$C229,$C$14:$C$197,المدخلات!$AC$11)</f>
        <v/>
      </c>
      <c r="I229" s="53">
        <f>SUMIFS($K$14:$K$197,$E$14:$E$197,$C229,$C$14:$C$197,المدخلات!$AC$12)</f>
        <v/>
      </c>
      <c r="J229" s="53">
        <f>MAX($E229:$I229)</f>
        <v/>
      </c>
      <c r="K229" s="54">
        <f>SUMIFS($G$14:$G$197,$E$14:$E$197,$C229,$G$14:$G$197,"&gt;="&amp;الحد_الأدنى)</f>
        <v/>
      </c>
      <c r="L229" s="53">
        <f>IF($K229=0,"غير مكتملة","مكتملة")</f>
        <v/>
      </c>
    </row>
    <row r="230">
      <c r="B230" s="51" t="inlineStr">
        <is>
          <t>عسير</t>
        </is>
      </c>
      <c r="C230" s="52" t="inlineStr">
        <is>
          <t>مجموعة أبها</t>
        </is>
      </c>
      <c r="D230" s="52">
        <f>IFERROR(INDEX('عدد اللاعبين'!$F$3:$F$186,MATCH($C230,'عدد اللاعبين'!$D$3:$D$186,0)),"")</f>
        <v/>
      </c>
      <c r="E230" s="53">
        <f>MAX(SUMIFS($K$14:$K$197,$E$14:$E$197,$C230,$C$14:$C$197,المدخلات!$AC$6),SUMIFS($K$14:$K$197,$E$14:$E$197,$C230,$C$14:$C$197,المدخلات!$AC$7),SUMIFS($K$14:$K$197,$E$14:$E$197,$C230,$C$14:$C$197,المدخلات!$AC$8))</f>
        <v/>
      </c>
      <c r="F230" s="53">
        <f>SUMIFS($K$14:$K$197,$E$14:$E$197,$C230,$C$14:$C$197,المدخلات!$AC$9)</f>
        <v/>
      </c>
      <c r="G230" s="53">
        <f>SUMIFS($K$14:$K$197,$E$14:$E$197,$C230,$C$14:$C$197,المدخلات!$AC$10)</f>
        <v/>
      </c>
      <c r="H230" s="53">
        <f>SUMIFS($K$14:$K$197,$E$14:$E$197,$C230,$C$14:$C$197,المدخلات!$AC$11)</f>
        <v/>
      </c>
      <c r="I230" s="53">
        <f>SUMIFS($K$14:$K$197,$E$14:$E$197,$C230,$C$14:$C$197,المدخلات!$AC$12)</f>
        <v/>
      </c>
      <c r="J230" s="53">
        <f>MAX($E230:$I230)</f>
        <v/>
      </c>
      <c r="K230" s="54">
        <f>SUMIFS($G$14:$G$197,$E$14:$E$197,$C230,$G$14:$G$197,"&gt;="&amp;الحد_الأدنى)</f>
        <v/>
      </c>
      <c r="L230" s="53">
        <f>IF($K230=0,"غير مكتملة","مكتملة")</f>
        <v/>
      </c>
    </row>
    <row r="231">
      <c r="B231" s="51" t="inlineStr">
        <is>
          <t>مكة المكرمة</t>
        </is>
      </c>
      <c r="C231" s="52" t="inlineStr">
        <is>
          <t>مجموعة الطائف</t>
        </is>
      </c>
      <c r="D231" s="52">
        <f>IFERROR(INDEX('عدد اللاعبين'!$F$3:$F$186,MATCH($C231,'عدد اللاعبين'!$D$3:$D$186,0)),"")</f>
        <v/>
      </c>
      <c r="E231" s="53">
        <f>MAX(SUMIFS($K$14:$K$197,$E$14:$E$197,$C231,$C$14:$C$197,المدخلات!$AC$6),SUMIFS($K$14:$K$197,$E$14:$E$197,$C231,$C$14:$C$197,المدخلات!$AC$7),SUMIFS($K$14:$K$197,$E$14:$E$197,$C231,$C$14:$C$197,المدخلات!$AC$8))</f>
        <v/>
      </c>
      <c r="F231" s="53">
        <f>SUMIFS($K$14:$K$197,$E$14:$E$197,$C231,$C$14:$C$197,المدخلات!$AC$9)</f>
        <v/>
      </c>
      <c r="G231" s="53">
        <f>SUMIFS($K$14:$K$197,$E$14:$E$197,$C231,$C$14:$C$197,المدخلات!$AC$10)</f>
        <v/>
      </c>
      <c r="H231" s="53">
        <f>SUMIFS($K$14:$K$197,$E$14:$E$197,$C231,$C$14:$C$197,المدخلات!$AC$11)</f>
        <v/>
      </c>
      <c r="I231" s="53">
        <f>SUMIFS($K$14:$K$197,$E$14:$E$197,$C231,$C$14:$C$197,المدخلات!$AC$12)</f>
        <v/>
      </c>
      <c r="J231" s="53">
        <f>MAX($E231:$I231)</f>
        <v/>
      </c>
      <c r="K231" s="54">
        <f>SUMIFS($G$14:$G$197,$E$14:$E$197,$C231,$G$14:$G$197,"&gt;="&amp;الحد_الأدنى)</f>
        <v/>
      </c>
      <c r="L231" s="53">
        <f>IF($K231=0,"غير مكتملة","مكتملة")</f>
        <v/>
      </c>
    </row>
    <row r="232">
      <c r="B232" s="51" t="inlineStr">
        <is>
          <t>مكة المكرمة</t>
        </is>
      </c>
      <c r="C232" s="52" t="inlineStr">
        <is>
          <t>مجموعة القنفذة</t>
        </is>
      </c>
      <c r="D232" s="52">
        <f>IFERROR(INDEX('عدد اللاعبين'!$F$3:$F$186,MATCH($C232,'عدد اللاعبين'!$D$3:$D$186,0)),"")</f>
        <v/>
      </c>
      <c r="E232" s="53">
        <f>MAX(SUMIFS($K$14:$K$197,$E$14:$E$197,$C232,$C$14:$C$197,المدخلات!$AC$6),SUMIFS($K$14:$K$197,$E$14:$E$197,$C232,$C$14:$C$197,المدخلات!$AC$7),SUMIFS($K$14:$K$197,$E$14:$E$197,$C232,$C$14:$C$197,المدخلات!$AC$8))</f>
        <v/>
      </c>
      <c r="F232" s="53">
        <f>SUMIFS($K$14:$K$197,$E$14:$E$197,$C232,$C$14:$C$197,المدخلات!$AC$9)</f>
        <v/>
      </c>
      <c r="G232" s="53">
        <f>SUMIFS($K$14:$K$197,$E$14:$E$197,$C232,$C$14:$C$197,المدخلات!$AC$10)</f>
        <v/>
      </c>
      <c r="H232" s="53">
        <f>SUMIFS($K$14:$K$197,$E$14:$E$197,$C232,$C$14:$C$197,المدخلات!$AC$11)</f>
        <v/>
      </c>
      <c r="I232" s="53">
        <f>SUMIFS($K$14:$K$197,$E$14:$E$197,$C232,$C$14:$C$197,المدخلات!$AC$12)</f>
        <v/>
      </c>
      <c r="J232" s="53">
        <f>MAX($E232:$I232)</f>
        <v/>
      </c>
      <c r="K232" s="54">
        <f>SUMIFS($G$14:$G$197,$E$14:$E$197,$C232,$G$14:$G$197,"&gt;="&amp;الحد_الأدنى)</f>
        <v/>
      </c>
      <c r="L232" s="53">
        <f>IF($K232=0,"غير مكتملة","مكتملة")</f>
        <v/>
      </c>
    </row>
    <row r="233">
      <c r="B233" s="51" t="inlineStr">
        <is>
          <t>مكة المكرمة</t>
        </is>
      </c>
      <c r="C233" s="52" t="inlineStr">
        <is>
          <t>مجموعة جدة</t>
        </is>
      </c>
      <c r="D233" s="52">
        <f>IFERROR(INDEX('عدد اللاعبين'!$F$3:$F$186,MATCH($C233,'عدد اللاعبين'!$D$3:$D$186,0)),"")</f>
        <v/>
      </c>
      <c r="E233" s="53">
        <f>MAX(SUMIFS($K$14:$K$197,$E$14:$E$197,$C233,$C$14:$C$197,المدخلات!$AC$6),SUMIFS($K$14:$K$197,$E$14:$E$197,$C233,$C$14:$C$197,المدخلات!$AC$7),SUMIFS($K$14:$K$197,$E$14:$E$197,$C233,$C$14:$C$197,المدخلات!$AC$8))</f>
        <v/>
      </c>
      <c r="F233" s="53">
        <f>SUMIFS($K$14:$K$197,$E$14:$E$197,$C233,$C$14:$C$197,المدخلات!$AC$9)</f>
        <v/>
      </c>
      <c r="G233" s="53">
        <f>SUMIFS($K$14:$K$197,$E$14:$E$197,$C233,$C$14:$C$197,المدخلات!$AC$10)</f>
        <v/>
      </c>
      <c r="H233" s="53">
        <f>SUMIFS($K$14:$K$197,$E$14:$E$197,$C233,$C$14:$C$197,المدخلات!$AC$11)</f>
        <v/>
      </c>
      <c r="I233" s="53">
        <f>SUMIFS($K$14:$K$197,$E$14:$E$197,$C233,$C$14:$C$197,المدخلات!$AC$12)</f>
        <v/>
      </c>
      <c r="J233" s="53">
        <f>MAX($E233:$I233)</f>
        <v/>
      </c>
      <c r="K233" s="54">
        <f>SUMIFS($G$14:$G$197,$E$14:$E$197,$C233,$G$14:$G$197,"&gt;="&amp;الحد_الأدنى)</f>
        <v/>
      </c>
      <c r="L233" s="53">
        <f>IF($K233=0,"غير مكتملة","مكتملة")</f>
        <v/>
      </c>
    </row>
    <row r="234">
      <c r="B234" s="51" t="inlineStr">
        <is>
          <t>مكة المكرمة</t>
        </is>
      </c>
      <c r="C234" s="52" t="inlineStr">
        <is>
          <t>مجموعة مكة المكرمة</t>
        </is>
      </c>
      <c r="D234" s="52">
        <f>IFERROR(INDEX('عدد اللاعبين'!$F$3:$F$186,MATCH($C234,'عدد اللاعبين'!$D$3:$D$186,0)),"")</f>
        <v/>
      </c>
      <c r="E234" s="53">
        <f>MAX(SUMIFS($K$14:$K$197,$E$14:$E$197,$C234,$C$14:$C$197,المدخلات!$AC$6),SUMIFS($K$14:$K$197,$E$14:$E$197,$C234,$C$14:$C$197,المدخلات!$AC$7),SUMIFS($K$14:$K$197,$E$14:$E$197,$C234,$C$14:$C$197,المدخلات!$AC$8))</f>
        <v/>
      </c>
      <c r="F234" s="53">
        <f>SUMIFS($K$14:$K$197,$E$14:$E$197,$C234,$C$14:$C$197,المدخلات!$AC$9)</f>
        <v/>
      </c>
      <c r="G234" s="53">
        <f>SUMIFS($K$14:$K$197,$E$14:$E$197,$C234,$C$14:$C$197,المدخلات!$AC$10)</f>
        <v/>
      </c>
      <c r="H234" s="53">
        <f>SUMIFS($K$14:$K$197,$E$14:$E$197,$C234,$C$14:$C$197,المدخلات!$AC$11)</f>
        <v/>
      </c>
      <c r="I234" s="53">
        <f>SUMIFS($K$14:$K$197,$E$14:$E$197,$C234,$C$14:$C$197,المدخلات!$AC$12)</f>
        <v/>
      </c>
      <c r="J234" s="53">
        <f>MAX($E234:$I234)</f>
        <v/>
      </c>
      <c r="K234" s="54">
        <f>SUMIFS($G$14:$G$197,$E$14:$E$197,$C234,$G$14:$G$197,"&gt;="&amp;الحد_الأدنى)</f>
        <v/>
      </c>
      <c r="L234" s="53">
        <f>IF($K234=0,"غير مكتملة","مكتملة")</f>
        <v/>
      </c>
    </row>
    <row r="235">
      <c r="B235" s="51" t="inlineStr">
        <is>
          <t>نجران</t>
        </is>
      </c>
      <c r="C235" s="52" t="inlineStr">
        <is>
          <t>مجموعة شرورة</t>
        </is>
      </c>
      <c r="D235" s="52">
        <f>IFERROR(INDEX('عدد اللاعبين'!$F$3:$F$186,MATCH($C235,'عدد اللاعبين'!$D$3:$D$186,0)),"")</f>
        <v/>
      </c>
      <c r="E235" s="53">
        <f>MAX(SUMIFS($K$14:$K$197,$E$14:$E$197,$C235,$C$14:$C$197,المدخلات!$AC$6),SUMIFS($K$14:$K$197,$E$14:$E$197,$C235,$C$14:$C$197,المدخلات!$AC$7),SUMIFS($K$14:$K$197,$E$14:$E$197,$C235,$C$14:$C$197,المدخلات!$AC$8))</f>
        <v/>
      </c>
      <c r="F235" s="53">
        <f>SUMIFS($K$14:$K$197,$E$14:$E$197,$C235,$C$14:$C$197,المدخلات!$AC$9)</f>
        <v/>
      </c>
      <c r="G235" s="53">
        <f>SUMIFS($K$14:$K$197,$E$14:$E$197,$C235,$C$14:$C$197,المدخلات!$AC$10)</f>
        <v/>
      </c>
      <c r="H235" s="53">
        <f>SUMIFS($K$14:$K$197,$E$14:$E$197,$C235,$C$14:$C$197,المدخلات!$AC$11)</f>
        <v/>
      </c>
      <c r="I235" s="53">
        <f>SUMIFS($K$14:$K$197,$E$14:$E$197,$C235,$C$14:$C$197,المدخلات!$AC$12)</f>
        <v/>
      </c>
      <c r="J235" s="53">
        <f>MAX($E235:$I235)</f>
        <v/>
      </c>
      <c r="K235" s="54">
        <f>SUMIFS($G$14:$G$197,$E$14:$E$197,$C235,$G$14:$G$197,"&gt;="&amp;الحد_الأدنى)</f>
        <v/>
      </c>
      <c r="L235" s="53">
        <f>IF($K235=0,"غير مكتملة","مكتملة")</f>
        <v/>
      </c>
    </row>
    <row r="236">
      <c r="B236" s="51" t="inlineStr">
        <is>
          <t>نجران</t>
        </is>
      </c>
      <c r="C236" s="52" t="inlineStr">
        <is>
          <t>مجموعة نجران</t>
        </is>
      </c>
      <c r="D236" s="52">
        <f>IFERROR(INDEX('عدد اللاعبين'!$F$3:$F$186,MATCH($C236,'عدد اللاعبين'!$D$3:$D$186,0)),"")</f>
        <v/>
      </c>
      <c r="E236" s="53">
        <f>MAX(SUMIFS($K$14:$K$197,$E$14:$E$197,$C236,$C$14:$C$197,المدخلات!$AC$6),SUMIFS($K$14:$K$197,$E$14:$E$197,$C236,$C$14:$C$197,المدخلات!$AC$7),SUMIFS($K$14:$K$197,$E$14:$E$197,$C236,$C$14:$C$197,المدخلات!$AC$8))</f>
        <v/>
      </c>
      <c r="F236" s="53">
        <f>SUMIFS($K$14:$K$197,$E$14:$E$197,$C236,$C$14:$C$197,المدخلات!$AC$9)</f>
        <v/>
      </c>
      <c r="G236" s="53">
        <f>SUMIFS($K$14:$K$197,$E$14:$E$197,$C236,$C$14:$C$197,المدخلات!$AC$10)</f>
        <v/>
      </c>
      <c r="H236" s="53">
        <f>SUMIFS($K$14:$K$197,$E$14:$E$197,$C236,$C$14:$C$197,المدخلات!$AC$11)</f>
        <v/>
      </c>
      <c r="I236" s="53">
        <f>SUMIFS($K$14:$K$197,$E$14:$E$197,$C236,$C$14:$C$197,المدخلات!$AC$12)</f>
        <v/>
      </c>
      <c r="J236" s="53">
        <f>MAX($E236:$I236)</f>
        <v/>
      </c>
      <c r="K236" s="54">
        <f>SUMIFS($G$14:$G$197,$E$14:$E$197,$C236,$G$14:$G$197,"&gt;="&amp;الحد_الأدنى)</f>
        <v/>
      </c>
      <c r="L236" s="53">
        <f>IF($K236=0,"غير مكتملة","مكتملة")</f>
        <v/>
      </c>
    </row>
    <row r="237">
      <c r="B237" s="57" t="inlineStr">
        <is>
          <t>الإجمالي</t>
        </is>
      </c>
      <c r="C237" s="58" t="n"/>
      <c r="D237" s="58" t="n"/>
      <c r="E237" s="58">
        <f>SUM(E205:E236)</f>
        <v/>
      </c>
      <c r="F237" s="58">
        <f>SUM(F205:F236)</f>
        <v/>
      </c>
      <c r="G237" s="58">
        <f>SUM(G205:G236)</f>
        <v/>
      </c>
      <c r="H237" s="58">
        <f>SUM(H205:H236)</f>
        <v/>
      </c>
      <c r="I237" s="58">
        <f>SUM(I205:I236)</f>
        <v/>
      </c>
      <c r="J237" s="58">
        <f>SUM(J205:J236)</f>
        <v/>
      </c>
      <c r="K237" s="59">
        <f>SUM(K205:K236)</f>
        <v/>
      </c>
      <c r="L237" s="60">
        <f>COUNTIF(L205:L236,"مكتملة")&amp;" من "&amp;COUNTA(L205:L236)</f>
        <v/>
      </c>
    </row>
  </sheetData>
  <mergeCells count="1">
    <mergeCell ref="B2:G2"/>
  </mergeCells>
  <conditionalFormatting sqref="B205:L236">
    <cfRule type="expression" priority="1" dxfId="6">
      <formula>$K205=0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rightToLeft="1" zoomScale="51" workbookViewId="0">
      <selection activeCell="G3" sqref="G3:G123"/>
    </sheetView>
  </sheetViews>
  <sheetFormatPr baseColWidth="8" defaultRowHeight="14.5"/>
  <cols>
    <col width="10.453125" customWidth="1" style="2" min="2" max="2"/>
    <col width="8.26953125" bestFit="1" customWidth="1" style="5" min="3" max="3"/>
    <col width="16.54296875" bestFit="1" customWidth="1" style="2" min="4" max="4"/>
    <col width="12" bestFit="1" customWidth="1" style="2" min="5" max="5"/>
    <col width="51.90625" bestFit="1" customWidth="1" style="2" min="6" max="6"/>
    <col width="12.08984375" bestFit="1" customWidth="1" min="7" max="7"/>
    <col width="22.81640625" bestFit="1" customWidth="1" min="8" max="8"/>
  </cols>
  <sheetData>
    <row r="1"/>
    <row r="2">
      <c r="B2" s="3" t="inlineStr">
        <is>
          <t>المنطقة</t>
        </is>
      </c>
      <c r="C2" s="3" t="inlineStr">
        <is>
          <t>الفئة</t>
        </is>
      </c>
      <c r="D2" s="3" t="inlineStr">
        <is>
          <t>المجموعة</t>
        </is>
      </c>
      <c r="E2" s="3" t="inlineStr">
        <is>
          <t>عدد المدن</t>
        </is>
      </c>
      <c r="F2" s="3" t="inlineStr">
        <is>
          <t>المدن</t>
        </is>
      </c>
      <c r="G2" s="3" t="inlineStr">
        <is>
          <t>عدد الفرق</t>
        </is>
      </c>
      <c r="H2" s="3" t="inlineStr">
        <is>
          <t>مجموع مباريات المجموعة</t>
        </is>
      </c>
    </row>
    <row r="3">
      <c r="B3" s="2">
        <f>IFERROR(INDEX(المكاتب_المصدر[المنطقة],MATCH(Table10[[#This Row],[المجموعة]],المكاتب_المصدر[المجموعة],0)),"")</f>
        <v/>
      </c>
      <c r="C3" s="2">
        <f>'ملخص المجموعات'!B3</f>
        <v/>
      </c>
      <c r="D3" s="5">
        <f>'ملخص المجموعات'!C3</f>
        <v/>
      </c>
      <c r="E3" s="1">
        <f>'ملخص المجموعات'!D3</f>
        <v/>
      </c>
      <c r="F3" s="4">
        <f>'ملخص المجموعات'!E3</f>
        <v/>
      </c>
      <c r="G3" s="1">
        <f>'ملخص المجموعات'!F3</f>
        <v/>
      </c>
      <c r="H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" hidden="1">
      <c r="B4" s="2">
        <f>IFERROR(INDEX(المكاتب_المصدر[المنطقة],MATCH(Table10[[#This Row],[المجموعة]],المكاتب_المصدر[المجموعة],0)),"")</f>
        <v/>
      </c>
      <c r="C4" s="2">
        <f>'ملخص المجموعات'!B4</f>
        <v/>
      </c>
      <c r="D4" s="5">
        <f>'ملخص المجموعات'!C4</f>
        <v/>
      </c>
      <c r="E4" s="1">
        <f>'ملخص المجموعات'!D4</f>
        <v/>
      </c>
      <c r="F4" s="4">
        <f>'ملخص المجموعات'!E4</f>
        <v/>
      </c>
      <c r="G4" s="1">
        <f>'ملخص المجموعات'!F4</f>
        <v/>
      </c>
      <c r="H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" hidden="1">
      <c r="B5" s="2">
        <f>IFERROR(INDEX(المكاتب_المصدر[المنطقة],MATCH(Table10[[#This Row],[المجموعة]],المكاتب_المصدر[المجموعة],0)),"")</f>
        <v/>
      </c>
      <c r="C5" s="2">
        <f>'ملخص المجموعات'!B5</f>
        <v/>
      </c>
      <c r="D5" s="5">
        <f>'ملخص المجموعات'!C5</f>
        <v/>
      </c>
      <c r="E5" s="1">
        <f>'ملخص المجموعات'!D5</f>
        <v/>
      </c>
      <c r="F5" s="4">
        <f>'ملخص المجموعات'!E5</f>
        <v/>
      </c>
      <c r="G5" s="1">
        <f>'ملخص المجموعات'!F5</f>
        <v/>
      </c>
      <c r="H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" hidden="1">
      <c r="B6" s="2">
        <f>IFERROR(INDEX(المكاتب_المصدر[المنطقة],MATCH(Table10[[#This Row],[المجموعة]],المكاتب_المصدر[المجموعة],0)),"")</f>
        <v/>
      </c>
      <c r="C6" s="2">
        <f>'ملخص المجموعات'!B6</f>
        <v/>
      </c>
      <c r="D6" s="5">
        <f>'ملخص المجموعات'!C6</f>
        <v/>
      </c>
      <c r="E6" s="1">
        <f>'ملخص المجموعات'!D6</f>
        <v/>
      </c>
      <c r="F6" s="4">
        <f>'ملخص المجموعات'!E6</f>
        <v/>
      </c>
      <c r="G6" s="1">
        <f>'ملخص المجموعات'!F6</f>
        <v/>
      </c>
      <c r="H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" hidden="1">
      <c r="B7" s="2">
        <f>IFERROR(INDEX(المكاتب_المصدر[المنطقة],MATCH(Table10[[#This Row],[المجموعة]],المكاتب_المصدر[المجموعة],0)),"")</f>
        <v/>
      </c>
      <c r="C7" s="2">
        <f>'ملخص المجموعات'!B7</f>
        <v/>
      </c>
      <c r="D7" s="5">
        <f>'ملخص المجموعات'!C7</f>
        <v/>
      </c>
      <c r="E7" s="1">
        <f>'ملخص المجموعات'!D7</f>
        <v/>
      </c>
      <c r="F7" s="4">
        <f>'ملخص المجموعات'!E7</f>
        <v/>
      </c>
      <c r="G7" s="1">
        <f>'ملخص المجموعات'!F7</f>
        <v/>
      </c>
      <c r="H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" hidden="1">
      <c r="B8" s="2">
        <f>IFERROR(INDEX(المكاتب_المصدر[المنطقة],MATCH(Table10[[#This Row],[المجموعة]],المكاتب_المصدر[المجموعة],0)),"")</f>
        <v/>
      </c>
      <c r="C8" s="2">
        <f>'ملخص المجموعات'!B8</f>
        <v/>
      </c>
      <c r="D8" s="5">
        <f>'ملخص المجموعات'!C8</f>
        <v/>
      </c>
      <c r="E8" s="1">
        <f>'ملخص المجموعات'!D8</f>
        <v/>
      </c>
      <c r="F8" s="4">
        <f>'ملخص المجموعات'!E8</f>
        <v/>
      </c>
      <c r="G8" s="1">
        <f>'ملخص المجموعات'!F8</f>
        <v/>
      </c>
      <c r="H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" hidden="1">
      <c r="B9" s="2">
        <f>IFERROR(INDEX(المكاتب_المصدر[المنطقة],MATCH(Table10[[#This Row],[المجموعة]],المكاتب_المصدر[المجموعة],0)),"")</f>
        <v/>
      </c>
      <c r="C9" s="2">
        <f>'ملخص المجموعات'!B9</f>
        <v/>
      </c>
      <c r="D9" s="5">
        <f>'ملخص المجموعات'!C9</f>
        <v/>
      </c>
      <c r="E9" s="1">
        <f>'ملخص المجموعات'!D9</f>
        <v/>
      </c>
      <c r="F9" s="4">
        <f>'ملخص المجموعات'!E9</f>
        <v/>
      </c>
      <c r="G9" s="1">
        <f>'ملخص المجموعات'!F9</f>
        <v/>
      </c>
      <c r="H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" hidden="1">
      <c r="B10" s="2">
        <f>IFERROR(INDEX(المكاتب_المصدر[المنطقة],MATCH(Table10[[#This Row],[المجموعة]],المكاتب_المصدر[المجموعة],0)),"")</f>
        <v/>
      </c>
      <c r="C10" s="2">
        <f>'ملخص المجموعات'!B10</f>
        <v/>
      </c>
      <c r="D10" s="5">
        <f>'ملخص المجموعات'!C10</f>
        <v/>
      </c>
      <c r="E10" s="1">
        <f>'ملخص المجموعات'!D10</f>
        <v/>
      </c>
      <c r="F10" s="4">
        <f>'ملخص المجموعات'!E10</f>
        <v/>
      </c>
      <c r="G10" s="1">
        <f>'ملخص المجموعات'!F10</f>
        <v/>
      </c>
      <c r="H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" hidden="1">
      <c r="B11" s="2">
        <f>IFERROR(INDEX(المكاتب_المصدر[المنطقة],MATCH(Table10[[#This Row],[المجموعة]],المكاتب_المصدر[المجموعة],0)),"")</f>
        <v/>
      </c>
      <c r="C11" s="2">
        <f>'ملخص المجموعات'!B11</f>
        <v/>
      </c>
      <c r="D11" s="5">
        <f>'ملخص المجموعات'!C11</f>
        <v/>
      </c>
      <c r="E11" s="1">
        <f>'ملخص المجموعات'!D11</f>
        <v/>
      </c>
      <c r="F11" s="4">
        <f>'ملخص المجموعات'!E11</f>
        <v/>
      </c>
      <c r="G11" s="1">
        <f>'ملخص المجموعات'!F11</f>
        <v/>
      </c>
      <c r="H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" hidden="1">
      <c r="B12" s="2">
        <f>IFERROR(INDEX(المكاتب_المصدر[المنطقة],MATCH(Table10[[#This Row],[المجموعة]],المكاتب_المصدر[المجموعة],0)),"")</f>
        <v/>
      </c>
      <c r="C12" s="2">
        <f>'ملخص المجموعات'!B12</f>
        <v/>
      </c>
      <c r="D12" s="5">
        <f>'ملخص المجموعات'!C12</f>
        <v/>
      </c>
      <c r="E12" s="1">
        <f>'ملخص المجموعات'!D12</f>
        <v/>
      </c>
      <c r="F12" s="4">
        <f>'ملخص المجموعات'!E12</f>
        <v/>
      </c>
      <c r="G12" s="1">
        <f>'ملخص المجموعات'!F12</f>
        <v/>
      </c>
      <c r="H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" hidden="1">
      <c r="B13" s="2">
        <f>IFERROR(INDEX(المكاتب_المصدر[المنطقة],MATCH(Table10[[#This Row],[المجموعة]],المكاتب_المصدر[المجموعة],0)),"")</f>
        <v/>
      </c>
      <c r="C13" s="2">
        <f>'ملخص المجموعات'!B13</f>
        <v/>
      </c>
      <c r="D13" s="5">
        <f>'ملخص المجموعات'!C13</f>
        <v/>
      </c>
      <c r="E13" s="1">
        <f>'ملخص المجموعات'!D13</f>
        <v/>
      </c>
      <c r="F13" s="4">
        <f>'ملخص المجموعات'!E13</f>
        <v/>
      </c>
      <c r="G13" s="1">
        <f>'ملخص المجموعات'!F13</f>
        <v/>
      </c>
      <c r="H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" hidden="1">
      <c r="B14" s="2">
        <f>IFERROR(INDEX(المكاتب_المصدر[المنطقة],MATCH(Table10[[#This Row],[المجموعة]],المكاتب_المصدر[المجموعة],0)),"")</f>
        <v/>
      </c>
      <c r="C14" s="2">
        <f>'ملخص المجموعات'!B14</f>
        <v/>
      </c>
      <c r="D14" s="5">
        <f>'ملخص المجموعات'!C14</f>
        <v/>
      </c>
      <c r="E14" s="1">
        <f>'ملخص المجموعات'!D14</f>
        <v/>
      </c>
      <c r="F14" s="4">
        <f>'ملخص المجموعات'!E14</f>
        <v/>
      </c>
      <c r="G14" s="1">
        <f>'ملخص المجموعات'!F14</f>
        <v/>
      </c>
      <c r="H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" hidden="1">
      <c r="B15" s="2">
        <f>IFERROR(INDEX(المكاتب_المصدر[المنطقة],MATCH(Table10[[#This Row],[المجموعة]],المكاتب_المصدر[المجموعة],0)),"")</f>
        <v/>
      </c>
      <c r="C15" s="2">
        <f>'ملخص المجموعات'!B15</f>
        <v/>
      </c>
      <c r="D15" s="5">
        <f>'ملخص المجموعات'!C15</f>
        <v/>
      </c>
      <c r="E15" s="1">
        <f>'ملخص المجموعات'!D15</f>
        <v/>
      </c>
      <c r="F15" s="4">
        <f>'ملخص المجموعات'!E15</f>
        <v/>
      </c>
      <c r="G15" s="1">
        <f>'ملخص المجموعات'!F15</f>
        <v/>
      </c>
      <c r="H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" hidden="1">
      <c r="B16" s="2">
        <f>IFERROR(INDEX(المكاتب_المصدر[المنطقة],MATCH(Table10[[#This Row],[المجموعة]],المكاتب_المصدر[المجموعة],0)),"")</f>
        <v/>
      </c>
      <c r="C16" s="2">
        <f>'ملخص المجموعات'!B16</f>
        <v/>
      </c>
      <c r="D16" s="5">
        <f>'ملخص المجموعات'!C16</f>
        <v/>
      </c>
      <c r="E16" s="1">
        <f>'ملخص المجموعات'!D16</f>
        <v/>
      </c>
      <c r="F16" s="4">
        <f>'ملخص المجموعات'!E16</f>
        <v/>
      </c>
      <c r="G16" s="1">
        <f>'ملخص المجموعات'!F16</f>
        <v/>
      </c>
      <c r="H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" hidden="1">
      <c r="B17" s="2">
        <f>IFERROR(INDEX(المكاتب_المصدر[المنطقة],MATCH(Table10[[#This Row],[المجموعة]],المكاتب_المصدر[المجموعة],0)),"")</f>
        <v/>
      </c>
      <c r="C17" s="2">
        <f>'ملخص المجموعات'!B17</f>
        <v/>
      </c>
      <c r="D17" s="5">
        <f>'ملخص المجموعات'!C17</f>
        <v/>
      </c>
      <c r="E17" s="1">
        <f>'ملخص المجموعات'!D17</f>
        <v/>
      </c>
      <c r="F17" s="4">
        <f>'ملخص المجموعات'!E17</f>
        <v/>
      </c>
      <c r="G17" s="1">
        <f>'ملخص المجموعات'!F17</f>
        <v/>
      </c>
      <c r="H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8" hidden="1">
      <c r="B18" s="2">
        <f>IFERROR(INDEX(المكاتب_المصدر[المنطقة],MATCH(Table10[[#This Row],[المجموعة]],المكاتب_المصدر[المجموعة],0)),"")</f>
        <v/>
      </c>
      <c r="C18" s="2">
        <f>'ملخص المجموعات'!B18</f>
        <v/>
      </c>
      <c r="D18" s="5">
        <f>'ملخص المجموعات'!C18</f>
        <v/>
      </c>
      <c r="E18" s="1">
        <f>'ملخص المجموعات'!D18</f>
        <v/>
      </c>
      <c r="F18" s="4">
        <f>'ملخص المجموعات'!E18</f>
        <v/>
      </c>
      <c r="G18" s="1">
        <f>'ملخص المجموعات'!F18</f>
        <v/>
      </c>
      <c r="H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9" hidden="1">
      <c r="B19" s="2">
        <f>IFERROR(INDEX(المكاتب_المصدر[المنطقة],MATCH(Table10[[#This Row],[المجموعة]],المكاتب_المصدر[المجموعة],0)),"")</f>
        <v/>
      </c>
      <c r="C19" s="2">
        <f>'ملخص المجموعات'!B19</f>
        <v/>
      </c>
      <c r="D19" s="5">
        <f>'ملخص المجموعات'!C19</f>
        <v/>
      </c>
      <c r="E19" s="1">
        <f>'ملخص المجموعات'!D19</f>
        <v/>
      </c>
      <c r="F19" s="4">
        <f>'ملخص المجموعات'!E19</f>
        <v/>
      </c>
      <c r="G19" s="1">
        <f>'ملخص المجموعات'!F19</f>
        <v/>
      </c>
      <c r="H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20" hidden="1">
      <c r="B20" s="2">
        <f>IFERROR(INDEX(المكاتب_المصدر[المنطقة],MATCH(Table10[[#This Row],[المجموعة]],المكاتب_المصدر[المجموعة],0)),"")</f>
        <v/>
      </c>
      <c r="C20" s="2">
        <f>'ملخص المجموعات'!B20</f>
        <v/>
      </c>
      <c r="D20" s="5">
        <f>'ملخص المجموعات'!C20</f>
        <v/>
      </c>
      <c r="E20" s="1">
        <f>'ملخص المجموعات'!D20</f>
        <v/>
      </c>
      <c r="F20" s="4">
        <f>'ملخص المجموعات'!E20</f>
        <v/>
      </c>
      <c r="G20" s="1">
        <f>'ملخص المجموعات'!F20</f>
        <v/>
      </c>
      <c r="H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21" hidden="1">
      <c r="B21" s="2">
        <f>IFERROR(INDEX(المكاتب_المصدر[المنطقة],MATCH(Table10[[#This Row],[المجموعة]],المكاتب_المصدر[المجموعة],0)),"")</f>
        <v/>
      </c>
      <c r="C21" s="2">
        <f>'ملخص المجموعات'!B21</f>
        <v/>
      </c>
      <c r="D21" s="5">
        <f>'ملخص المجموعات'!C21</f>
        <v/>
      </c>
      <c r="E21" s="1">
        <f>'ملخص المجموعات'!D21</f>
        <v/>
      </c>
      <c r="F21" s="4">
        <f>'ملخص المجموعات'!E21</f>
        <v/>
      </c>
      <c r="G21" s="1">
        <f>'ملخص المجموعات'!F21</f>
        <v/>
      </c>
      <c r="H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22" hidden="1">
      <c r="B22" s="2">
        <f>IFERROR(INDEX(المكاتب_المصدر[المنطقة],MATCH(Table10[[#This Row],[المجموعة]],المكاتب_المصدر[المجموعة],0)),"")</f>
        <v/>
      </c>
      <c r="C22" s="2">
        <f>'ملخص المجموعات'!B22</f>
        <v/>
      </c>
      <c r="D22" s="5">
        <f>'ملخص المجموعات'!C22</f>
        <v/>
      </c>
      <c r="E22" s="1">
        <f>'ملخص المجموعات'!D22</f>
        <v/>
      </c>
      <c r="F22" s="4">
        <f>'ملخص المجموعات'!E22</f>
        <v/>
      </c>
      <c r="G22" s="1">
        <f>'ملخص المجموعات'!F22</f>
        <v/>
      </c>
      <c r="H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23" hidden="1">
      <c r="B23" s="2">
        <f>IFERROR(INDEX(المكاتب_المصدر[المنطقة],MATCH(Table10[[#This Row],[المجموعة]],المكاتب_المصدر[المجموعة],0)),"")</f>
        <v/>
      </c>
      <c r="C23" s="2">
        <f>'ملخص المجموعات'!B23</f>
        <v/>
      </c>
      <c r="D23" s="5">
        <f>'ملخص المجموعات'!C23</f>
        <v/>
      </c>
      <c r="E23" s="1">
        <f>'ملخص المجموعات'!D23</f>
        <v/>
      </c>
      <c r="F23" s="4">
        <f>'ملخص المجموعات'!E23</f>
        <v/>
      </c>
      <c r="G23" s="1">
        <f>'ملخص المجموعات'!F23</f>
        <v/>
      </c>
      <c r="H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24" hidden="1">
      <c r="B24" s="2">
        <f>IFERROR(INDEX(المكاتب_المصدر[المنطقة],MATCH(Table10[[#This Row],[المجموعة]],المكاتب_المصدر[المجموعة],0)),"")</f>
        <v/>
      </c>
      <c r="C24" s="2">
        <f>'ملخص المجموعات'!B24</f>
        <v/>
      </c>
      <c r="D24" s="5">
        <f>'ملخص المجموعات'!C24</f>
        <v/>
      </c>
      <c r="E24" s="1">
        <f>'ملخص المجموعات'!D24</f>
        <v/>
      </c>
      <c r="F24" s="4">
        <f>'ملخص المجموعات'!E24</f>
        <v/>
      </c>
      <c r="G24" s="1">
        <f>'ملخص المجموعات'!F24</f>
        <v/>
      </c>
      <c r="H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25" hidden="1">
      <c r="B25" s="2">
        <f>IFERROR(INDEX(المكاتب_المصدر[المنطقة],MATCH(Table10[[#This Row],[المجموعة]],المكاتب_المصدر[المجموعة],0)),"")</f>
        <v/>
      </c>
      <c r="C25" s="2">
        <f>'ملخص المجموعات'!B25</f>
        <v/>
      </c>
      <c r="D25" s="5">
        <f>'ملخص المجموعات'!C25</f>
        <v/>
      </c>
      <c r="E25" s="1">
        <f>'ملخص المجموعات'!D25</f>
        <v/>
      </c>
      <c r="F25" s="4">
        <f>'ملخص المجموعات'!E25</f>
        <v/>
      </c>
      <c r="G25" s="1">
        <f>'ملخص المجموعات'!F25</f>
        <v/>
      </c>
      <c r="H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26" hidden="1">
      <c r="B26" s="2">
        <f>IFERROR(INDEX(المكاتب_المصدر[المنطقة],MATCH(Table10[[#This Row],[المجموعة]],المكاتب_المصدر[المجموعة],0)),"")</f>
        <v/>
      </c>
      <c r="C26" s="2">
        <f>'ملخص المجموعات'!B26</f>
        <v/>
      </c>
      <c r="D26" s="5">
        <f>'ملخص المجموعات'!C26</f>
        <v/>
      </c>
      <c r="E26" s="1">
        <f>'ملخص المجموعات'!D26</f>
        <v/>
      </c>
      <c r="F26" s="4">
        <f>'ملخص المجموعات'!E26</f>
        <v/>
      </c>
      <c r="G26" s="1">
        <f>'ملخص المجموعات'!F26</f>
        <v/>
      </c>
      <c r="H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27" hidden="1">
      <c r="B27" s="2">
        <f>IFERROR(INDEX(المكاتب_المصدر[المنطقة],MATCH(Table10[[#This Row],[المجموعة]],المكاتب_المصدر[المجموعة],0)),"")</f>
        <v/>
      </c>
      <c r="C27" s="2">
        <f>'ملخص المجموعات'!B27</f>
        <v/>
      </c>
      <c r="D27" s="5">
        <f>'ملخص المجموعات'!C27</f>
        <v/>
      </c>
      <c r="E27" s="1">
        <f>'ملخص المجموعات'!D27</f>
        <v/>
      </c>
      <c r="F27" s="4">
        <f>'ملخص المجموعات'!E27</f>
        <v/>
      </c>
      <c r="G27" s="1">
        <f>'ملخص المجموعات'!F27</f>
        <v/>
      </c>
      <c r="H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28" hidden="1">
      <c r="B28" s="2">
        <f>IFERROR(INDEX(المكاتب_المصدر[المنطقة],MATCH(Table10[[#This Row],[المجموعة]],المكاتب_المصدر[المجموعة],0)),"")</f>
        <v/>
      </c>
      <c r="C28" s="2">
        <f>'ملخص المجموعات'!B28</f>
        <v/>
      </c>
      <c r="D28" s="5">
        <f>'ملخص المجموعات'!C28</f>
        <v/>
      </c>
      <c r="E28" s="1">
        <f>'ملخص المجموعات'!D28</f>
        <v/>
      </c>
      <c r="F28" s="4">
        <f>'ملخص المجموعات'!E28</f>
        <v/>
      </c>
      <c r="G28" s="1">
        <f>'ملخص المجموعات'!F28</f>
        <v/>
      </c>
      <c r="H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29" hidden="1">
      <c r="B29" s="2">
        <f>IFERROR(INDEX(المكاتب_المصدر[المنطقة],MATCH(Table10[[#This Row],[المجموعة]],المكاتب_المصدر[المجموعة],0)),"")</f>
        <v/>
      </c>
      <c r="C29" s="2">
        <f>'ملخص المجموعات'!B29</f>
        <v/>
      </c>
      <c r="D29" s="5">
        <f>'ملخص المجموعات'!C29</f>
        <v/>
      </c>
      <c r="E29" s="1">
        <f>'ملخص المجموعات'!D29</f>
        <v/>
      </c>
      <c r="F29" s="4">
        <f>'ملخص المجموعات'!E29</f>
        <v/>
      </c>
      <c r="G29" s="1">
        <f>'ملخص المجموعات'!F29</f>
        <v/>
      </c>
      <c r="H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30" hidden="1">
      <c r="B30" s="2">
        <f>IFERROR(INDEX(المكاتب_المصدر[المنطقة],MATCH(Table10[[#This Row],[المجموعة]],المكاتب_المصدر[المجموعة],0)),"")</f>
        <v/>
      </c>
      <c r="C30" s="2">
        <f>'ملخص المجموعات'!B30</f>
        <v/>
      </c>
      <c r="D30" s="5">
        <f>'ملخص المجموعات'!C30</f>
        <v/>
      </c>
      <c r="E30" s="1">
        <f>'ملخص المجموعات'!D30</f>
        <v/>
      </c>
      <c r="F30" s="4">
        <f>'ملخص المجموعات'!E30</f>
        <v/>
      </c>
      <c r="G30" s="1">
        <f>'ملخص المجموعات'!F30</f>
        <v/>
      </c>
      <c r="H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31" hidden="1">
      <c r="B31" s="2">
        <f>IFERROR(INDEX(المكاتب_المصدر[المنطقة],MATCH(Table10[[#This Row],[المجموعة]],المكاتب_المصدر[المجموعة],0)),"")</f>
        <v/>
      </c>
      <c r="C31" s="2">
        <f>'ملخص المجموعات'!B31</f>
        <v/>
      </c>
      <c r="D31" s="5">
        <f>'ملخص المجموعات'!C31</f>
        <v/>
      </c>
      <c r="E31" s="1">
        <f>'ملخص المجموعات'!D31</f>
        <v/>
      </c>
      <c r="F31" s="4">
        <f>'ملخص المجموعات'!E31</f>
        <v/>
      </c>
      <c r="G31" s="1">
        <f>'ملخص المجموعات'!F31</f>
        <v/>
      </c>
      <c r="H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32" hidden="1">
      <c r="B32" s="2">
        <f>IFERROR(INDEX(المكاتب_المصدر[المنطقة],MATCH(Table10[[#This Row],[المجموعة]],المكاتب_المصدر[المجموعة],0)),"")</f>
        <v/>
      </c>
      <c r="C32" s="2">
        <f>'ملخص المجموعات'!B32</f>
        <v/>
      </c>
      <c r="D32" s="5">
        <f>'ملخص المجموعات'!C32</f>
        <v/>
      </c>
      <c r="E32" s="1">
        <f>'ملخص المجموعات'!D32</f>
        <v/>
      </c>
      <c r="F32" s="4">
        <f>'ملخص المجموعات'!E32</f>
        <v/>
      </c>
      <c r="G32" s="1">
        <f>'ملخص المجموعات'!F32</f>
        <v/>
      </c>
      <c r="H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33" hidden="1">
      <c r="B33" s="2">
        <f>IFERROR(INDEX(المكاتب_المصدر[المنطقة],MATCH(Table10[[#This Row],[المجموعة]],المكاتب_المصدر[المجموعة],0)),"")</f>
        <v/>
      </c>
      <c r="C33" s="2">
        <f>'ملخص المجموعات'!B33</f>
        <v/>
      </c>
      <c r="D33" s="5">
        <f>'ملخص المجموعات'!C33</f>
        <v/>
      </c>
      <c r="E33" s="1">
        <f>'ملخص المجموعات'!D33</f>
        <v/>
      </c>
      <c r="F33" s="4">
        <f>'ملخص المجموعات'!E33</f>
        <v/>
      </c>
      <c r="G33" s="1">
        <f>'ملخص المجموعات'!F33</f>
        <v/>
      </c>
      <c r="H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34" hidden="1">
      <c r="B34" s="2">
        <f>IFERROR(INDEX(المكاتب_المصدر[المنطقة],MATCH(Table10[[#This Row],[المجموعة]],المكاتب_المصدر[المجموعة],0)),"")</f>
        <v/>
      </c>
      <c r="C34" s="2">
        <f>'ملخص المجموعات'!B34</f>
        <v/>
      </c>
      <c r="D34" s="5">
        <f>'ملخص المجموعات'!C34</f>
        <v/>
      </c>
      <c r="E34" s="1">
        <f>'ملخص المجموعات'!D34</f>
        <v/>
      </c>
      <c r="F34" s="4">
        <f>'ملخص المجموعات'!E34</f>
        <v/>
      </c>
      <c r="G34" s="1">
        <f>'ملخص المجموعات'!F34</f>
        <v/>
      </c>
      <c r="H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35" hidden="1">
      <c r="B35" s="2">
        <f>IFERROR(INDEX(المكاتب_المصدر[المنطقة],MATCH(Table10[[#This Row],[المجموعة]],المكاتب_المصدر[المجموعة],0)),"")</f>
        <v/>
      </c>
      <c r="C35" s="2">
        <f>'ملخص المجموعات'!B35</f>
        <v/>
      </c>
      <c r="D35" s="5">
        <f>'ملخص المجموعات'!C35</f>
        <v/>
      </c>
      <c r="E35" s="1">
        <f>'ملخص المجموعات'!D35</f>
        <v/>
      </c>
      <c r="F35" s="4">
        <f>'ملخص المجموعات'!E35</f>
        <v/>
      </c>
      <c r="G35" s="1">
        <f>'ملخص المجموعات'!F35</f>
        <v/>
      </c>
      <c r="H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36" hidden="1">
      <c r="B36" s="2">
        <f>IFERROR(INDEX(المكاتب_المصدر[المنطقة],MATCH(Table10[[#This Row],[المجموعة]],المكاتب_المصدر[المجموعة],0)),"")</f>
        <v/>
      </c>
      <c r="C36" s="2">
        <f>'ملخص المجموعات'!B36</f>
        <v/>
      </c>
      <c r="D36" s="5">
        <f>'ملخص المجموعات'!C36</f>
        <v/>
      </c>
      <c r="E36" s="1">
        <f>'ملخص المجموعات'!D36</f>
        <v/>
      </c>
      <c r="F36" s="4">
        <f>'ملخص المجموعات'!E36</f>
        <v/>
      </c>
      <c r="G36" s="1">
        <f>'ملخص المجموعات'!F36</f>
        <v/>
      </c>
      <c r="H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37" hidden="1">
      <c r="B37" s="2">
        <f>IFERROR(INDEX(المكاتب_المصدر[المنطقة],MATCH(Table10[[#This Row],[المجموعة]],المكاتب_المصدر[المجموعة],0)),"")</f>
        <v/>
      </c>
      <c r="C37" s="2">
        <f>'ملخص المجموعات'!B37</f>
        <v/>
      </c>
      <c r="D37" s="5">
        <f>'ملخص المجموعات'!C37</f>
        <v/>
      </c>
      <c r="E37" s="1">
        <f>'ملخص المجموعات'!D37</f>
        <v/>
      </c>
      <c r="F37" s="4">
        <f>'ملخص المجموعات'!E37</f>
        <v/>
      </c>
      <c r="G37" s="1">
        <f>'ملخص المجموعات'!F37</f>
        <v/>
      </c>
      <c r="H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38" hidden="1">
      <c r="B38" s="2">
        <f>IFERROR(INDEX(المكاتب_المصدر[المنطقة],MATCH(Table10[[#This Row],[المجموعة]],المكاتب_المصدر[المجموعة],0)),"")</f>
        <v/>
      </c>
      <c r="C38" s="2">
        <f>'ملخص المجموعات'!B38</f>
        <v/>
      </c>
      <c r="D38" s="5">
        <f>'ملخص المجموعات'!C38</f>
        <v/>
      </c>
      <c r="E38" s="1">
        <f>'ملخص المجموعات'!D38</f>
        <v/>
      </c>
      <c r="F38" s="4">
        <f>'ملخص المجموعات'!E38</f>
        <v/>
      </c>
      <c r="G38" s="1">
        <f>'ملخص المجموعات'!F38</f>
        <v/>
      </c>
      <c r="H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39" hidden="1">
      <c r="B39" s="2">
        <f>IFERROR(INDEX(المكاتب_المصدر[المنطقة],MATCH(Table10[[#This Row],[المجموعة]],المكاتب_المصدر[المجموعة],0)),"")</f>
        <v/>
      </c>
      <c r="C39" s="2">
        <f>'ملخص المجموعات'!B39</f>
        <v/>
      </c>
      <c r="D39" s="5">
        <f>'ملخص المجموعات'!C39</f>
        <v/>
      </c>
      <c r="E39" s="1">
        <f>'ملخص المجموعات'!D39</f>
        <v/>
      </c>
      <c r="F39" s="4">
        <f>'ملخص المجموعات'!E39</f>
        <v/>
      </c>
      <c r="G39" s="1">
        <f>'ملخص المجموعات'!F39</f>
        <v/>
      </c>
      <c r="H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0" hidden="1">
      <c r="B40" s="2">
        <f>IFERROR(INDEX(المكاتب_المصدر[المنطقة],MATCH(Table10[[#This Row],[المجموعة]],المكاتب_المصدر[المجموعة],0)),"")</f>
        <v/>
      </c>
      <c r="C40" s="2">
        <f>'ملخص المجموعات'!B40</f>
        <v/>
      </c>
      <c r="D40" s="5">
        <f>'ملخص المجموعات'!C40</f>
        <v/>
      </c>
      <c r="E40" s="1">
        <f>'ملخص المجموعات'!D40</f>
        <v/>
      </c>
      <c r="F40" s="4">
        <f>'ملخص المجموعات'!E40</f>
        <v/>
      </c>
      <c r="G40" s="1">
        <f>'ملخص المجموعات'!F40</f>
        <v/>
      </c>
      <c r="H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1" hidden="1">
      <c r="B41" s="2">
        <f>IFERROR(INDEX(المكاتب_المصدر[المنطقة],MATCH(Table10[[#This Row],[المجموعة]],المكاتب_المصدر[المجموعة],0)),"")</f>
        <v/>
      </c>
      <c r="C41" s="2">
        <f>'ملخص المجموعات'!B41</f>
        <v/>
      </c>
      <c r="D41" s="5">
        <f>'ملخص المجموعات'!C41</f>
        <v/>
      </c>
      <c r="E41" s="1">
        <f>'ملخص المجموعات'!D41</f>
        <v/>
      </c>
      <c r="F41" s="4">
        <f>'ملخص المجموعات'!E41</f>
        <v/>
      </c>
      <c r="G41" s="1">
        <f>'ملخص المجموعات'!F41</f>
        <v/>
      </c>
      <c r="H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2" hidden="1">
      <c r="B42" s="2">
        <f>IFERROR(INDEX(المكاتب_المصدر[المنطقة],MATCH(Table10[[#This Row],[المجموعة]],المكاتب_المصدر[المجموعة],0)),"")</f>
        <v/>
      </c>
      <c r="C42" s="2">
        <f>'ملخص المجموعات'!B42</f>
        <v/>
      </c>
      <c r="D42" s="5">
        <f>'ملخص المجموعات'!C42</f>
        <v/>
      </c>
      <c r="E42" s="1">
        <f>'ملخص المجموعات'!D42</f>
        <v/>
      </c>
      <c r="F42" s="4">
        <f>'ملخص المجموعات'!E42</f>
        <v/>
      </c>
      <c r="G42" s="1">
        <f>'ملخص المجموعات'!F42</f>
        <v/>
      </c>
      <c r="H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3" hidden="1">
      <c r="B43" s="2">
        <f>IFERROR(INDEX(المكاتب_المصدر[المنطقة],MATCH(Table10[[#This Row],[المجموعة]],المكاتب_المصدر[المجموعة],0)),"")</f>
        <v/>
      </c>
      <c r="C43" s="2">
        <f>'ملخص المجموعات'!B43</f>
        <v/>
      </c>
      <c r="D43" s="5">
        <f>'ملخص المجموعات'!C43</f>
        <v/>
      </c>
      <c r="E43" s="1">
        <f>'ملخص المجموعات'!D43</f>
        <v/>
      </c>
      <c r="F43" s="4">
        <f>'ملخص المجموعات'!E43</f>
        <v/>
      </c>
      <c r="G43" s="1">
        <f>'ملخص المجموعات'!F43</f>
        <v/>
      </c>
      <c r="H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4" hidden="1">
      <c r="B44" s="2">
        <f>IFERROR(INDEX(المكاتب_المصدر[المنطقة],MATCH(Table10[[#This Row],[المجموعة]],المكاتب_المصدر[المجموعة],0)),"")</f>
        <v/>
      </c>
      <c r="C44" s="2">
        <f>'ملخص المجموعات'!B44</f>
        <v/>
      </c>
      <c r="D44" s="5">
        <f>'ملخص المجموعات'!C44</f>
        <v/>
      </c>
      <c r="E44" s="1">
        <f>'ملخص المجموعات'!D44</f>
        <v/>
      </c>
      <c r="F44" s="4">
        <f>'ملخص المجموعات'!E44</f>
        <v/>
      </c>
      <c r="G44" s="1">
        <f>'ملخص المجموعات'!F44</f>
        <v/>
      </c>
      <c r="H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5" hidden="1">
      <c r="B45" s="2">
        <f>IFERROR(INDEX(المكاتب_المصدر[المنطقة],MATCH(Table10[[#This Row],[المجموعة]],المكاتب_المصدر[المجموعة],0)),"")</f>
        <v/>
      </c>
      <c r="C45" s="2">
        <f>'ملخص المجموعات'!B45</f>
        <v/>
      </c>
      <c r="D45" s="5">
        <f>'ملخص المجموعات'!C45</f>
        <v/>
      </c>
      <c r="E45" s="1">
        <f>'ملخص المجموعات'!D45</f>
        <v/>
      </c>
      <c r="F45" s="4">
        <f>'ملخص المجموعات'!E45</f>
        <v/>
      </c>
      <c r="G45" s="1">
        <f>'ملخص المجموعات'!F45</f>
        <v/>
      </c>
      <c r="H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6" hidden="1">
      <c r="B46" s="2">
        <f>IFERROR(INDEX(المكاتب_المصدر[المنطقة],MATCH(Table10[[#This Row],[المجموعة]],المكاتب_المصدر[المجموعة],0)),"")</f>
        <v/>
      </c>
      <c r="C46" s="2">
        <f>'ملخص المجموعات'!B46</f>
        <v/>
      </c>
      <c r="D46" s="5">
        <f>'ملخص المجموعات'!C46</f>
        <v/>
      </c>
      <c r="E46" s="1">
        <f>'ملخص المجموعات'!D46</f>
        <v/>
      </c>
      <c r="F46" s="4">
        <f>'ملخص المجموعات'!E46</f>
        <v/>
      </c>
      <c r="G46" s="1">
        <f>'ملخص المجموعات'!F46</f>
        <v/>
      </c>
      <c r="H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7" hidden="1">
      <c r="B47" s="2">
        <f>IFERROR(INDEX(المكاتب_المصدر[المنطقة],MATCH(Table10[[#This Row],[المجموعة]],المكاتب_المصدر[المجموعة],0)),"")</f>
        <v/>
      </c>
      <c r="C47" s="2">
        <f>'ملخص المجموعات'!B47</f>
        <v/>
      </c>
      <c r="D47" s="5">
        <f>'ملخص المجموعات'!C47</f>
        <v/>
      </c>
      <c r="E47" s="1">
        <f>'ملخص المجموعات'!D47</f>
        <v/>
      </c>
      <c r="F47" s="4">
        <f>'ملخص المجموعات'!E47</f>
        <v/>
      </c>
      <c r="G47" s="1">
        <f>'ملخص المجموعات'!F47</f>
        <v/>
      </c>
      <c r="H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8" hidden="1">
      <c r="B48" s="2">
        <f>IFERROR(INDEX(المكاتب_المصدر[المنطقة],MATCH(Table10[[#This Row],[المجموعة]],المكاتب_المصدر[المجموعة],0)),"")</f>
        <v/>
      </c>
      <c r="C48" s="2">
        <f>'ملخص المجموعات'!B48</f>
        <v/>
      </c>
      <c r="D48" s="5">
        <f>'ملخص المجموعات'!C48</f>
        <v/>
      </c>
      <c r="E48" s="1">
        <f>'ملخص المجموعات'!D48</f>
        <v/>
      </c>
      <c r="F48" s="4">
        <f>'ملخص المجموعات'!E48</f>
        <v/>
      </c>
      <c r="G48" s="1">
        <f>'ملخص المجموعات'!F48</f>
        <v/>
      </c>
      <c r="H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49" hidden="1">
      <c r="B49" s="2">
        <f>IFERROR(INDEX(المكاتب_المصدر[المنطقة],MATCH(Table10[[#This Row],[المجموعة]],المكاتب_المصدر[المجموعة],0)),"")</f>
        <v/>
      </c>
      <c r="C49" s="2">
        <f>'ملخص المجموعات'!B49</f>
        <v/>
      </c>
      <c r="D49" s="5">
        <f>'ملخص المجموعات'!C49</f>
        <v/>
      </c>
      <c r="E49" s="1">
        <f>'ملخص المجموعات'!D49</f>
        <v/>
      </c>
      <c r="F49" s="4">
        <f>'ملخص المجموعات'!E49</f>
        <v/>
      </c>
      <c r="G49" s="1">
        <f>'ملخص المجموعات'!F49</f>
        <v/>
      </c>
      <c r="H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0" hidden="1">
      <c r="B50" s="2">
        <f>IFERROR(INDEX(المكاتب_المصدر[المنطقة],MATCH(Table10[[#This Row],[المجموعة]],المكاتب_المصدر[المجموعة],0)),"")</f>
        <v/>
      </c>
      <c r="C50" s="2">
        <f>'ملخص المجموعات'!B50</f>
        <v/>
      </c>
      <c r="D50" s="5">
        <f>'ملخص المجموعات'!C50</f>
        <v/>
      </c>
      <c r="E50" s="1">
        <f>'ملخص المجموعات'!D50</f>
        <v/>
      </c>
      <c r="F50" s="4">
        <f>'ملخص المجموعات'!E50</f>
        <v/>
      </c>
      <c r="G50" s="1">
        <f>'ملخص المجموعات'!F50</f>
        <v/>
      </c>
      <c r="H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1">
      <c r="B51" s="2">
        <f>IFERROR(INDEX(المكاتب_المصدر[المنطقة],MATCH(Table10[[#This Row],[المجموعة]],المكاتب_المصدر[المجموعة],0)),"")</f>
        <v/>
      </c>
      <c r="C51" s="2">
        <f>'ملخص المجموعات'!B51</f>
        <v/>
      </c>
      <c r="D51" s="5">
        <f>'ملخص المجموعات'!C51</f>
        <v/>
      </c>
      <c r="E51" s="1">
        <f>'ملخص المجموعات'!D51</f>
        <v/>
      </c>
      <c r="F51" s="4">
        <f>'ملخص المجموعات'!E51</f>
        <v/>
      </c>
      <c r="G51" s="1">
        <f>'ملخص المجموعات'!F51</f>
        <v/>
      </c>
      <c r="H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2">
      <c r="B52" s="2">
        <f>IFERROR(INDEX(المكاتب_المصدر[المنطقة],MATCH(Table10[[#This Row],[المجموعة]],المكاتب_المصدر[المجموعة],0)),"")</f>
        <v/>
      </c>
      <c r="C52" s="2">
        <f>'ملخص المجموعات'!B52</f>
        <v/>
      </c>
      <c r="D52" s="5">
        <f>'ملخص المجموعات'!C52</f>
        <v/>
      </c>
      <c r="E52" s="1">
        <f>'ملخص المجموعات'!D52</f>
        <v/>
      </c>
      <c r="F52" s="4">
        <f>'ملخص المجموعات'!E52</f>
        <v/>
      </c>
      <c r="G52" s="1">
        <f>'ملخص المجموعات'!F52</f>
        <v/>
      </c>
      <c r="H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3" hidden="1">
      <c r="B53" s="2">
        <f>IFERROR(INDEX(المكاتب_المصدر[المنطقة],MATCH(Table10[[#This Row],[المجموعة]],المكاتب_المصدر[المجموعة],0)),"")</f>
        <v/>
      </c>
      <c r="C53" s="2">
        <f>'ملخص المجموعات'!B53</f>
        <v/>
      </c>
      <c r="D53" s="5">
        <f>'ملخص المجموعات'!C53</f>
        <v/>
      </c>
      <c r="E53" s="1">
        <f>'ملخص المجموعات'!D53</f>
        <v/>
      </c>
      <c r="F53" s="4">
        <f>'ملخص المجموعات'!E53</f>
        <v/>
      </c>
      <c r="G53" s="1">
        <f>'ملخص المجموعات'!F53</f>
        <v/>
      </c>
      <c r="H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4" hidden="1">
      <c r="B54" s="2">
        <f>IFERROR(INDEX(المكاتب_المصدر[المنطقة],MATCH(Table10[[#This Row],[المجموعة]],المكاتب_المصدر[المجموعة],0)),"")</f>
        <v/>
      </c>
      <c r="C54" s="2">
        <f>'ملخص المجموعات'!B54</f>
        <v/>
      </c>
      <c r="D54" s="5">
        <f>'ملخص المجموعات'!C54</f>
        <v/>
      </c>
      <c r="E54" s="1">
        <f>'ملخص المجموعات'!D54</f>
        <v/>
      </c>
      <c r="F54" s="4">
        <f>'ملخص المجموعات'!E54</f>
        <v/>
      </c>
      <c r="G54" s="1">
        <f>'ملخص المجموعات'!F54</f>
        <v/>
      </c>
      <c r="H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5" hidden="1">
      <c r="B55" s="2">
        <f>IFERROR(INDEX(المكاتب_المصدر[المنطقة],MATCH(Table10[[#This Row],[المجموعة]],المكاتب_المصدر[المجموعة],0)),"")</f>
        <v/>
      </c>
      <c r="C55" s="2">
        <f>'ملخص المجموعات'!B55</f>
        <v/>
      </c>
      <c r="D55" s="5">
        <f>'ملخص المجموعات'!C55</f>
        <v/>
      </c>
      <c r="E55" s="1">
        <f>'ملخص المجموعات'!D55</f>
        <v/>
      </c>
      <c r="F55" s="4">
        <f>'ملخص المجموعات'!E55</f>
        <v/>
      </c>
      <c r="G55" s="1">
        <f>'ملخص المجموعات'!F55</f>
        <v/>
      </c>
      <c r="H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6" hidden="1">
      <c r="B56" s="2">
        <f>IFERROR(INDEX(المكاتب_المصدر[المنطقة],MATCH(Table10[[#This Row],[المجموعة]],المكاتب_المصدر[المجموعة],0)),"")</f>
        <v/>
      </c>
      <c r="C56" s="2">
        <f>'ملخص المجموعات'!B56</f>
        <v/>
      </c>
      <c r="D56" s="5">
        <f>'ملخص المجموعات'!C56</f>
        <v/>
      </c>
      <c r="E56" s="1">
        <f>'ملخص المجموعات'!D56</f>
        <v/>
      </c>
      <c r="F56" s="4">
        <f>'ملخص المجموعات'!E56</f>
        <v/>
      </c>
      <c r="G56" s="1">
        <f>'ملخص المجموعات'!F56</f>
        <v/>
      </c>
      <c r="H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7" hidden="1">
      <c r="B57" s="2">
        <f>IFERROR(INDEX(المكاتب_المصدر[المنطقة],MATCH(Table10[[#This Row],[المجموعة]],المكاتب_المصدر[المجموعة],0)),"")</f>
        <v/>
      </c>
      <c r="C57" s="2">
        <f>'ملخص المجموعات'!B57</f>
        <v/>
      </c>
      <c r="D57" s="5">
        <f>'ملخص المجموعات'!C57</f>
        <v/>
      </c>
      <c r="E57" s="1">
        <f>'ملخص المجموعات'!D57</f>
        <v/>
      </c>
      <c r="F57" s="4">
        <f>'ملخص المجموعات'!E57</f>
        <v/>
      </c>
      <c r="G57" s="1">
        <f>'ملخص المجموعات'!F57</f>
        <v/>
      </c>
      <c r="H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8" hidden="1">
      <c r="B58" s="2">
        <f>IFERROR(INDEX(المكاتب_المصدر[المنطقة],MATCH(Table10[[#This Row],[المجموعة]],المكاتب_المصدر[المجموعة],0)),"")</f>
        <v/>
      </c>
      <c r="C58" s="2">
        <f>'ملخص المجموعات'!B58</f>
        <v/>
      </c>
      <c r="D58" s="5">
        <f>'ملخص المجموعات'!C58</f>
        <v/>
      </c>
      <c r="E58" s="1">
        <f>'ملخص المجموعات'!D58</f>
        <v/>
      </c>
      <c r="F58" s="4">
        <f>'ملخص المجموعات'!E58</f>
        <v/>
      </c>
      <c r="G58" s="1">
        <f>'ملخص المجموعات'!F58</f>
        <v/>
      </c>
      <c r="H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59" hidden="1">
      <c r="B59" s="2">
        <f>IFERROR(INDEX(المكاتب_المصدر[المنطقة],MATCH(Table10[[#This Row],[المجموعة]],المكاتب_المصدر[المجموعة],0)),"")</f>
        <v/>
      </c>
      <c r="C59" s="2">
        <f>'ملخص المجموعات'!B59</f>
        <v/>
      </c>
      <c r="D59" s="5">
        <f>'ملخص المجموعات'!C59</f>
        <v/>
      </c>
      <c r="E59" s="1">
        <f>'ملخص المجموعات'!D59</f>
        <v/>
      </c>
      <c r="F59" s="4">
        <f>'ملخص المجموعات'!E59</f>
        <v/>
      </c>
      <c r="G59" s="1">
        <f>'ملخص المجموعات'!F59</f>
        <v/>
      </c>
      <c r="H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0" hidden="1">
      <c r="B60" s="2">
        <f>IFERROR(INDEX(المكاتب_المصدر[المنطقة],MATCH(Table10[[#This Row],[المجموعة]],المكاتب_المصدر[المجموعة],0)),"")</f>
        <v/>
      </c>
      <c r="C60" s="2">
        <f>'ملخص المجموعات'!B60</f>
        <v/>
      </c>
      <c r="D60" s="5">
        <f>'ملخص المجموعات'!C60</f>
        <v/>
      </c>
      <c r="E60" s="1">
        <f>'ملخص المجموعات'!D60</f>
        <v/>
      </c>
      <c r="F60" s="4">
        <f>'ملخص المجموعات'!E60</f>
        <v/>
      </c>
      <c r="G60" s="1">
        <f>'ملخص المجموعات'!F60</f>
        <v/>
      </c>
      <c r="H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1" hidden="1">
      <c r="B61" s="2">
        <f>IFERROR(INDEX(المكاتب_المصدر[المنطقة],MATCH(Table10[[#This Row],[المجموعة]],المكاتب_المصدر[المجموعة],0)),"")</f>
        <v/>
      </c>
      <c r="C61" s="2">
        <f>'ملخص المجموعات'!B61</f>
        <v/>
      </c>
      <c r="D61" s="5">
        <f>'ملخص المجموعات'!C61</f>
        <v/>
      </c>
      <c r="E61" s="1">
        <f>'ملخص المجموعات'!D61</f>
        <v/>
      </c>
      <c r="F61" s="4">
        <f>'ملخص المجموعات'!E61</f>
        <v/>
      </c>
      <c r="G61" s="1">
        <f>'ملخص المجموعات'!F61</f>
        <v/>
      </c>
      <c r="H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2" hidden="1">
      <c r="B62" s="2">
        <f>IFERROR(INDEX(المكاتب_المصدر[المنطقة],MATCH(Table10[[#This Row],[المجموعة]],المكاتب_المصدر[المجموعة],0)),"")</f>
        <v/>
      </c>
      <c r="C62" s="2">
        <f>'ملخص المجموعات'!B62</f>
        <v/>
      </c>
      <c r="D62" s="5">
        <f>'ملخص المجموعات'!C62</f>
        <v/>
      </c>
      <c r="E62" s="1">
        <f>'ملخص المجموعات'!D62</f>
        <v/>
      </c>
      <c r="F62" s="4">
        <f>'ملخص المجموعات'!E62</f>
        <v/>
      </c>
      <c r="G62" s="1">
        <f>'ملخص المجموعات'!F62</f>
        <v/>
      </c>
      <c r="H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3" hidden="1">
      <c r="B63" s="2">
        <f>IFERROR(INDEX(المكاتب_المصدر[المنطقة],MATCH(Table10[[#This Row],[المجموعة]],المكاتب_المصدر[المجموعة],0)),"")</f>
        <v/>
      </c>
      <c r="C63" s="2">
        <f>'ملخص المجموعات'!B63</f>
        <v/>
      </c>
      <c r="D63" s="5">
        <f>'ملخص المجموعات'!C63</f>
        <v/>
      </c>
      <c r="E63" s="1">
        <f>'ملخص المجموعات'!D63</f>
        <v/>
      </c>
      <c r="F63" s="4">
        <f>'ملخص المجموعات'!E63</f>
        <v/>
      </c>
      <c r="G63" s="1">
        <f>'ملخص المجموعات'!F63</f>
        <v/>
      </c>
      <c r="H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4" hidden="1">
      <c r="B64" s="2">
        <f>IFERROR(INDEX(المكاتب_المصدر[المنطقة],MATCH(Table10[[#This Row],[المجموعة]],المكاتب_المصدر[المجموعة],0)),"")</f>
        <v/>
      </c>
      <c r="C64" s="2">
        <f>'ملخص المجموعات'!B64</f>
        <v/>
      </c>
      <c r="D64" s="5">
        <f>'ملخص المجموعات'!C64</f>
        <v/>
      </c>
      <c r="E64" s="1">
        <f>'ملخص المجموعات'!D64</f>
        <v/>
      </c>
      <c r="F64" s="4">
        <f>'ملخص المجموعات'!E64</f>
        <v/>
      </c>
      <c r="G64" s="1">
        <f>'ملخص المجموعات'!F64</f>
        <v/>
      </c>
      <c r="H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5" hidden="1">
      <c r="B65" s="2">
        <f>IFERROR(INDEX(المكاتب_المصدر[المنطقة],MATCH(Table10[[#This Row],[المجموعة]],المكاتب_المصدر[المجموعة],0)),"")</f>
        <v/>
      </c>
      <c r="C65" s="2">
        <f>'ملخص المجموعات'!B65</f>
        <v/>
      </c>
      <c r="D65" s="5">
        <f>'ملخص المجموعات'!C65</f>
        <v/>
      </c>
      <c r="E65" s="1">
        <f>'ملخص المجموعات'!D65</f>
        <v/>
      </c>
      <c r="F65" s="4">
        <f>'ملخص المجموعات'!E65</f>
        <v/>
      </c>
      <c r="G65" s="1">
        <f>'ملخص المجموعات'!F65</f>
        <v/>
      </c>
      <c r="H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6" hidden="1">
      <c r="B66" s="2">
        <f>IFERROR(INDEX(المكاتب_المصدر[المنطقة],MATCH(Table10[[#This Row],[المجموعة]],المكاتب_المصدر[المجموعة],0)),"")</f>
        <v/>
      </c>
      <c r="C66" s="2">
        <f>'ملخص المجموعات'!B66</f>
        <v/>
      </c>
      <c r="D66" s="5">
        <f>'ملخص المجموعات'!C66</f>
        <v/>
      </c>
      <c r="E66" s="1">
        <f>'ملخص المجموعات'!D66</f>
        <v/>
      </c>
      <c r="F66" s="4">
        <f>'ملخص المجموعات'!E66</f>
        <v/>
      </c>
      <c r="G66" s="1">
        <f>'ملخص المجموعات'!F66</f>
        <v/>
      </c>
      <c r="H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7" hidden="1">
      <c r="B67" s="2">
        <f>IFERROR(INDEX(المكاتب_المصدر[المنطقة],MATCH(Table10[[#This Row],[المجموعة]],المكاتب_المصدر[المجموعة],0)),"")</f>
        <v/>
      </c>
      <c r="C67" s="2">
        <f>'ملخص المجموعات'!B67</f>
        <v/>
      </c>
      <c r="D67" s="5">
        <f>'ملخص المجموعات'!C67</f>
        <v/>
      </c>
      <c r="E67" s="1">
        <f>'ملخص المجموعات'!D67</f>
        <v/>
      </c>
      <c r="F67" s="4">
        <f>'ملخص المجموعات'!E67</f>
        <v/>
      </c>
      <c r="G67" s="1">
        <f>'ملخص المجموعات'!F67</f>
        <v/>
      </c>
      <c r="H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8" hidden="1">
      <c r="B68" s="2">
        <f>IFERROR(INDEX(المكاتب_المصدر[المنطقة],MATCH(Table10[[#This Row],[المجموعة]],المكاتب_المصدر[المجموعة],0)),"")</f>
        <v/>
      </c>
      <c r="C68" s="2">
        <f>'ملخص المجموعات'!B68</f>
        <v/>
      </c>
      <c r="D68" s="5">
        <f>'ملخص المجموعات'!C68</f>
        <v/>
      </c>
      <c r="E68" s="1">
        <f>'ملخص المجموعات'!D68</f>
        <v/>
      </c>
      <c r="F68" s="4">
        <f>'ملخص المجموعات'!E68</f>
        <v/>
      </c>
      <c r="G68" s="1">
        <f>'ملخص المجموعات'!F68</f>
        <v/>
      </c>
      <c r="H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69" hidden="1">
      <c r="B69" s="2">
        <f>IFERROR(INDEX(المكاتب_المصدر[المنطقة],MATCH(Table10[[#This Row],[المجموعة]],المكاتب_المصدر[المجموعة],0)),"")</f>
        <v/>
      </c>
      <c r="C69" s="2">
        <f>'ملخص المجموعات'!B69</f>
        <v/>
      </c>
      <c r="D69" s="5">
        <f>'ملخص المجموعات'!C69</f>
        <v/>
      </c>
      <c r="E69" s="1">
        <f>'ملخص المجموعات'!D69</f>
        <v/>
      </c>
      <c r="F69" s="4">
        <f>'ملخص المجموعات'!E69</f>
        <v/>
      </c>
      <c r="G69" s="1">
        <f>'ملخص المجموعات'!F69</f>
        <v/>
      </c>
      <c r="H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0" hidden="1">
      <c r="B70" s="2">
        <f>IFERROR(INDEX(المكاتب_المصدر[المنطقة],MATCH(Table10[[#This Row],[المجموعة]],المكاتب_المصدر[المجموعة],0)),"")</f>
        <v/>
      </c>
      <c r="C70" s="2">
        <f>'ملخص المجموعات'!B70</f>
        <v/>
      </c>
      <c r="D70" s="5">
        <f>'ملخص المجموعات'!C70</f>
        <v/>
      </c>
      <c r="E70" s="1">
        <f>'ملخص المجموعات'!D70</f>
        <v/>
      </c>
      <c r="F70" s="4">
        <f>'ملخص المجموعات'!E70</f>
        <v/>
      </c>
      <c r="G70" s="1">
        <f>'ملخص المجموعات'!F70</f>
        <v/>
      </c>
      <c r="H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1" hidden="1">
      <c r="B71" s="2">
        <f>IFERROR(INDEX(المكاتب_المصدر[المنطقة],MATCH(Table10[[#This Row],[المجموعة]],المكاتب_المصدر[المجموعة],0)),"")</f>
        <v/>
      </c>
      <c r="C71" s="2">
        <f>'ملخص المجموعات'!B71</f>
        <v/>
      </c>
      <c r="D71" s="5">
        <f>'ملخص المجموعات'!C71</f>
        <v/>
      </c>
      <c r="E71" s="1">
        <f>'ملخص المجموعات'!D71</f>
        <v/>
      </c>
      <c r="F71" s="4">
        <f>'ملخص المجموعات'!E71</f>
        <v/>
      </c>
      <c r="G71" s="1">
        <f>'ملخص المجموعات'!F71</f>
        <v/>
      </c>
      <c r="H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2" hidden="1">
      <c r="B72" s="2">
        <f>IFERROR(INDEX(المكاتب_المصدر[المنطقة],MATCH(Table10[[#This Row],[المجموعة]],المكاتب_المصدر[المجموعة],0)),"")</f>
        <v/>
      </c>
      <c r="C72" s="2">
        <f>'ملخص المجموعات'!B72</f>
        <v/>
      </c>
      <c r="D72" s="5">
        <f>'ملخص المجموعات'!C72</f>
        <v/>
      </c>
      <c r="E72" s="1">
        <f>'ملخص المجموعات'!D72</f>
        <v/>
      </c>
      <c r="F72" s="4">
        <f>'ملخص المجموعات'!E72</f>
        <v/>
      </c>
      <c r="G72" s="1">
        <f>'ملخص المجموعات'!F72</f>
        <v/>
      </c>
      <c r="H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3" hidden="1">
      <c r="B73" s="2">
        <f>IFERROR(INDEX(المكاتب_المصدر[المنطقة],MATCH(Table10[[#This Row],[المجموعة]],المكاتب_المصدر[المجموعة],0)),"")</f>
        <v/>
      </c>
      <c r="C73" s="2">
        <f>'ملخص المجموعات'!B73</f>
        <v/>
      </c>
      <c r="D73" s="5">
        <f>'ملخص المجموعات'!C73</f>
        <v/>
      </c>
      <c r="E73" s="1">
        <f>'ملخص المجموعات'!D73</f>
        <v/>
      </c>
      <c r="F73" s="4">
        <f>'ملخص المجموعات'!E73</f>
        <v/>
      </c>
      <c r="G73" s="1">
        <f>'ملخص المجموعات'!F73</f>
        <v/>
      </c>
      <c r="H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4" hidden="1">
      <c r="B74" s="2">
        <f>IFERROR(INDEX(المكاتب_المصدر[المنطقة],MATCH(Table10[[#This Row],[المجموعة]],المكاتب_المصدر[المجموعة],0)),"")</f>
        <v/>
      </c>
      <c r="C74" s="2">
        <f>'ملخص المجموعات'!B74</f>
        <v/>
      </c>
      <c r="D74" s="5">
        <f>'ملخص المجموعات'!C74</f>
        <v/>
      </c>
      <c r="E74" s="1">
        <f>'ملخص المجموعات'!D74</f>
        <v/>
      </c>
      <c r="F74" s="4">
        <f>'ملخص المجموعات'!E74</f>
        <v/>
      </c>
      <c r="G74" s="1">
        <f>'ملخص المجموعات'!F74</f>
        <v/>
      </c>
      <c r="H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5" hidden="1">
      <c r="B75" s="2">
        <f>IFERROR(INDEX(المكاتب_المصدر[المنطقة],MATCH(Table10[[#This Row],[المجموعة]],المكاتب_المصدر[المجموعة],0)),"")</f>
        <v/>
      </c>
      <c r="C75" s="2">
        <f>'ملخص المجموعات'!B75</f>
        <v/>
      </c>
      <c r="D75" s="5">
        <f>'ملخص المجموعات'!C75</f>
        <v/>
      </c>
      <c r="E75" s="1">
        <f>'ملخص المجموعات'!D75</f>
        <v/>
      </c>
      <c r="F75" s="4">
        <f>'ملخص المجموعات'!E75</f>
        <v/>
      </c>
      <c r="G75" s="1">
        <f>'ملخص المجموعات'!F75</f>
        <v/>
      </c>
      <c r="H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6" hidden="1">
      <c r="B76" s="2">
        <f>IFERROR(INDEX(المكاتب_المصدر[المنطقة],MATCH(Table10[[#This Row],[المجموعة]],المكاتب_المصدر[المجموعة],0)),"")</f>
        <v/>
      </c>
      <c r="C76" s="2">
        <f>'ملخص المجموعات'!B76</f>
        <v/>
      </c>
      <c r="D76" s="5">
        <f>'ملخص المجموعات'!C76</f>
        <v/>
      </c>
      <c r="E76" s="1">
        <f>'ملخص المجموعات'!D76</f>
        <v/>
      </c>
      <c r="F76" s="4">
        <f>'ملخص المجموعات'!E76</f>
        <v/>
      </c>
      <c r="G76" s="1">
        <f>'ملخص المجموعات'!F76</f>
        <v/>
      </c>
      <c r="H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7" hidden="1">
      <c r="B77" s="2">
        <f>IFERROR(INDEX(المكاتب_المصدر[المنطقة],MATCH(Table10[[#This Row],[المجموعة]],المكاتب_المصدر[المجموعة],0)),"")</f>
        <v/>
      </c>
      <c r="C77" s="2">
        <f>'ملخص المجموعات'!B77</f>
        <v/>
      </c>
      <c r="D77" s="5">
        <f>'ملخص المجموعات'!C77</f>
        <v/>
      </c>
      <c r="E77" s="1">
        <f>'ملخص المجموعات'!D77</f>
        <v/>
      </c>
      <c r="F77" s="4">
        <f>'ملخص المجموعات'!E77</f>
        <v/>
      </c>
      <c r="G77" s="1">
        <f>'ملخص المجموعات'!F77</f>
        <v/>
      </c>
      <c r="H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8" hidden="1">
      <c r="B78" s="2">
        <f>IFERROR(INDEX(المكاتب_المصدر[المنطقة],MATCH(Table10[[#This Row],[المجموعة]],المكاتب_المصدر[المجموعة],0)),"")</f>
        <v/>
      </c>
      <c r="C78" s="2">
        <f>'ملخص المجموعات'!B78</f>
        <v/>
      </c>
      <c r="D78" s="5">
        <f>'ملخص المجموعات'!C78</f>
        <v/>
      </c>
      <c r="E78" s="1">
        <f>'ملخص المجموعات'!D78</f>
        <v/>
      </c>
      <c r="F78" s="4">
        <f>'ملخص المجموعات'!E78</f>
        <v/>
      </c>
      <c r="G78" s="1">
        <f>'ملخص المجموعات'!F78</f>
        <v/>
      </c>
      <c r="H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79" hidden="1">
      <c r="B79" s="2">
        <f>IFERROR(INDEX(المكاتب_المصدر[المنطقة],MATCH(Table10[[#This Row],[المجموعة]],المكاتب_المصدر[المجموعة],0)),"")</f>
        <v/>
      </c>
      <c r="C79" s="2">
        <f>'ملخص المجموعات'!B79</f>
        <v/>
      </c>
      <c r="D79" s="5">
        <f>'ملخص المجموعات'!C79</f>
        <v/>
      </c>
      <c r="E79" s="1">
        <f>'ملخص المجموعات'!D79</f>
        <v/>
      </c>
      <c r="F79" s="4">
        <f>'ملخص المجموعات'!E79</f>
        <v/>
      </c>
      <c r="G79" s="1">
        <f>'ملخص المجموعات'!F79</f>
        <v/>
      </c>
      <c r="H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0" hidden="1">
      <c r="B80" s="2">
        <f>IFERROR(INDEX(المكاتب_المصدر[المنطقة],MATCH(Table10[[#This Row],[المجموعة]],المكاتب_المصدر[المجموعة],0)),"")</f>
        <v/>
      </c>
      <c r="C80" s="2">
        <f>'ملخص المجموعات'!B80</f>
        <v/>
      </c>
      <c r="D80" s="5">
        <f>'ملخص المجموعات'!C80</f>
        <v/>
      </c>
      <c r="E80" s="1">
        <f>'ملخص المجموعات'!D80</f>
        <v/>
      </c>
      <c r="F80" s="4">
        <f>'ملخص المجموعات'!E80</f>
        <v/>
      </c>
      <c r="G80" s="1">
        <f>'ملخص المجموعات'!F80</f>
        <v/>
      </c>
      <c r="H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1" hidden="1">
      <c r="B81" s="2">
        <f>IFERROR(INDEX(المكاتب_المصدر[المنطقة],MATCH(Table10[[#This Row],[المجموعة]],المكاتب_المصدر[المجموعة],0)),"")</f>
        <v/>
      </c>
      <c r="C81" s="2">
        <f>'ملخص المجموعات'!B81</f>
        <v/>
      </c>
      <c r="D81" s="5">
        <f>'ملخص المجموعات'!C81</f>
        <v/>
      </c>
      <c r="E81" s="1">
        <f>'ملخص المجموعات'!D81</f>
        <v/>
      </c>
      <c r="F81" s="4">
        <f>'ملخص المجموعات'!E81</f>
        <v/>
      </c>
      <c r="G81" s="1">
        <f>'ملخص المجموعات'!F81</f>
        <v/>
      </c>
      <c r="H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2" hidden="1">
      <c r="B82" s="2">
        <f>IFERROR(INDEX(المكاتب_المصدر[المنطقة],MATCH(Table10[[#This Row],[المجموعة]],المكاتب_المصدر[المجموعة],0)),"")</f>
        <v/>
      </c>
      <c r="C82" s="2">
        <f>'ملخص المجموعات'!B82</f>
        <v/>
      </c>
      <c r="D82" s="5">
        <f>'ملخص المجموعات'!C82</f>
        <v/>
      </c>
      <c r="E82" s="1">
        <f>'ملخص المجموعات'!D82</f>
        <v/>
      </c>
      <c r="F82" s="4">
        <f>'ملخص المجموعات'!E82</f>
        <v/>
      </c>
      <c r="G82" s="1">
        <f>'ملخص المجموعات'!F82</f>
        <v/>
      </c>
      <c r="H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3" hidden="1">
      <c r="B83" s="2">
        <f>IFERROR(INDEX(المكاتب_المصدر[المنطقة],MATCH(Table10[[#This Row],[المجموعة]],المكاتب_المصدر[المجموعة],0)),"")</f>
        <v/>
      </c>
      <c r="C83" s="2">
        <f>'ملخص المجموعات'!B83</f>
        <v/>
      </c>
      <c r="D83" s="5">
        <f>'ملخص المجموعات'!C83</f>
        <v/>
      </c>
      <c r="E83" s="1">
        <f>'ملخص المجموعات'!D83</f>
        <v/>
      </c>
      <c r="F83" s="4">
        <f>'ملخص المجموعات'!E83</f>
        <v/>
      </c>
      <c r="G83" s="1">
        <f>'ملخص المجموعات'!F83</f>
        <v/>
      </c>
      <c r="H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4" hidden="1">
      <c r="B84" s="2">
        <f>IFERROR(INDEX(المكاتب_المصدر[المنطقة],MATCH(Table10[[#This Row],[المجموعة]],المكاتب_المصدر[المجموعة],0)),"")</f>
        <v/>
      </c>
      <c r="C84" s="2">
        <f>'ملخص المجموعات'!B84</f>
        <v/>
      </c>
      <c r="D84" s="5">
        <f>'ملخص المجموعات'!C84</f>
        <v/>
      </c>
      <c r="E84" s="1">
        <f>'ملخص المجموعات'!D84</f>
        <v/>
      </c>
      <c r="F84" s="4">
        <f>'ملخص المجموعات'!E84</f>
        <v/>
      </c>
      <c r="G84" s="1">
        <f>'ملخص المجموعات'!F84</f>
        <v/>
      </c>
      <c r="H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5" hidden="1">
      <c r="B85" s="2">
        <f>IFERROR(INDEX(المكاتب_المصدر[المنطقة],MATCH(Table10[[#This Row],[المجموعة]],المكاتب_المصدر[المجموعة],0)),"")</f>
        <v/>
      </c>
      <c r="C85" s="2">
        <f>'ملخص المجموعات'!B85</f>
        <v/>
      </c>
      <c r="D85" s="5">
        <f>'ملخص المجموعات'!C85</f>
        <v/>
      </c>
      <c r="E85" s="1">
        <f>'ملخص المجموعات'!D85</f>
        <v/>
      </c>
      <c r="F85" s="4">
        <f>'ملخص المجموعات'!E85</f>
        <v/>
      </c>
      <c r="G85" s="1">
        <f>'ملخص المجموعات'!F85</f>
        <v/>
      </c>
      <c r="H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6">
      <c r="B86" s="2">
        <f>IFERROR(INDEX(المكاتب_المصدر[المنطقة],MATCH(Table10[[#This Row],[المجموعة]],المكاتب_المصدر[المجموعة],0)),"")</f>
        <v/>
      </c>
      <c r="C86" s="2">
        <f>'ملخص المجموعات'!B86</f>
        <v/>
      </c>
      <c r="D86" s="5">
        <f>'ملخص المجموعات'!C86</f>
        <v/>
      </c>
      <c r="E86" s="1">
        <f>'ملخص المجموعات'!D86</f>
        <v/>
      </c>
      <c r="F86" s="4">
        <f>'ملخص المجموعات'!E86</f>
        <v/>
      </c>
      <c r="G86" s="1">
        <f>'ملخص المجموعات'!F86</f>
        <v/>
      </c>
      <c r="H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7">
      <c r="B87" s="2">
        <f>IFERROR(INDEX(المكاتب_المصدر[المنطقة],MATCH(Table10[[#This Row],[المجموعة]],المكاتب_المصدر[المجموعة],0)),"")</f>
        <v/>
      </c>
      <c r="C87" s="2">
        <f>'ملخص المجموعات'!B87</f>
        <v/>
      </c>
      <c r="D87" s="5">
        <f>'ملخص المجموعات'!C87</f>
        <v/>
      </c>
      <c r="E87" s="1">
        <f>'ملخص المجموعات'!D87</f>
        <v/>
      </c>
      <c r="F87" s="4">
        <f>'ملخص المجموعات'!E87</f>
        <v/>
      </c>
      <c r="G87" s="1">
        <f>'ملخص المجموعات'!F87</f>
        <v/>
      </c>
      <c r="H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8" hidden="1">
      <c r="B88" s="2">
        <f>IFERROR(INDEX(المكاتب_المصدر[المنطقة],MATCH(Table10[[#This Row],[المجموعة]],المكاتب_المصدر[المجموعة],0)),"")</f>
        <v/>
      </c>
      <c r="C88" s="2">
        <f>'ملخص المجموعات'!B88</f>
        <v/>
      </c>
      <c r="D88" s="5">
        <f>'ملخص المجموعات'!C88</f>
        <v/>
      </c>
      <c r="E88" s="1">
        <f>'ملخص المجموعات'!D88</f>
        <v/>
      </c>
      <c r="F88" s="4">
        <f>'ملخص المجموعات'!E88</f>
        <v/>
      </c>
      <c r="G88" s="1">
        <f>'ملخص المجموعات'!F88</f>
        <v/>
      </c>
      <c r="H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89" hidden="1">
      <c r="B89" s="2">
        <f>IFERROR(INDEX(المكاتب_المصدر[المنطقة],MATCH(Table10[[#This Row],[المجموعة]],المكاتب_المصدر[المجموعة],0)),"")</f>
        <v/>
      </c>
      <c r="C89" s="2">
        <f>'ملخص المجموعات'!B89</f>
        <v/>
      </c>
      <c r="D89" s="5">
        <f>'ملخص المجموعات'!C89</f>
        <v/>
      </c>
      <c r="E89" s="1">
        <f>'ملخص المجموعات'!D89</f>
        <v/>
      </c>
      <c r="F89" s="4">
        <f>'ملخص المجموعات'!E89</f>
        <v/>
      </c>
      <c r="G89" s="1">
        <f>'ملخص المجموعات'!F89</f>
        <v/>
      </c>
      <c r="H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0" hidden="1">
      <c r="B90" s="2">
        <f>IFERROR(INDEX(المكاتب_المصدر[المنطقة],MATCH(Table10[[#This Row],[المجموعة]],المكاتب_المصدر[المجموعة],0)),"")</f>
        <v/>
      </c>
      <c r="C90" s="2">
        <f>'ملخص المجموعات'!B90</f>
        <v/>
      </c>
      <c r="D90" s="5">
        <f>'ملخص المجموعات'!C90</f>
        <v/>
      </c>
      <c r="E90" s="1">
        <f>'ملخص المجموعات'!D90</f>
        <v/>
      </c>
      <c r="F90" s="4">
        <f>'ملخص المجموعات'!E90</f>
        <v/>
      </c>
      <c r="G90" s="1">
        <f>'ملخص المجموعات'!F90</f>
        <v/>
      </c>
      <c r="H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1" hidden="1">
      <c r="B91" s="2">
        <f>IFERROR(INDEX(المكاتب_المصدر[المنطقة],MATCH(Table10[[#This Row],[المجموعة]],المكاتب_المصدر[المجموعة],0)),"")</f>
        <v/>
      </c>
      <c r="C91" s="2">
        <f>'ملخص المجموعات'!B91</f>
        <v/>
      </c>
      <c r="D91" s="5">
        <f>'ملخص المجموعات'!C91</f>
        <v/>
      </c>
      <c r="E91" s="1">
        <f>'ملخص المجموعات'!D91</f>
        <v/>
      </c>
      <c r="F91" s="4">
        <f>'ملخص المجموعات'!E91</f>
        <v/>
      </c>
      <c r="G91" s="1">
        <f>'ملخص المجموعات'!F91</f>
        <v/>
      </c>
      <c r="H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2" hidden="1">
      <c r="B92" s="2">
        <f>IFERROR(INDEX(المكاتب_المصدر[المنطقة],MATCH(Table10[[#This Row],[المجموعة]],المكاتب_المصدر[المجموعة],0)),"")</f>
        <v/>
      </c>
      <c r="C92" s="2">
        <f>'ملخص المجموعات'!B92</f>
        <v/>
      </c>
      <c r="D92" s="5">
        <f>'ملخص المجموعات'!C92</f>
        <v/>
      </c>
      <c r="E92" s="1">
        <f>'ملخص المجموعات'!D92</f>
        <v/>
      </c>
      <c r="F92" s="4">
        <f>'ملخص المجموعات'!E92</f>
        <v/>
      </c>
      <c r="G92" s="1">
        <f>'ملخص المجموعات'!F92</f>
        <v/>
      </c>
      <c r="H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3" hidden="1">
      <c r="B93" s="2">
        <f>IFERROR(INDEX(المكاتب_المصدر[المنطقة],MATCH(Table10[[#This Row],[المجموعة]],المكاتب_المصدر[المجموعة],0)),"")</f>
        <v/>
      </c>
      <c r="C93" s="2">
        <f>'ملخص المجموعات'!B93</f>
        <v/>
      </c>
      <c r="D93" s="5">
        <f>'ملخص المجموعات'!C93</f>
        <v/>
      </c>
      <c r="E93" s="1">
        <f>'ملخص المجموعات'!D93</f>
        <v/>
      </c>
      <c r="F93" s="4">
        <f>'ملخص المجموعات'!E93</f>
        <v/>
      </c>
      <c r="G93" s="1">
        <f>'ملخص المجموعات'!F93</f>
        <v/>
      </c>
      <c r="H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4" hidden="1">
      <c r="B94" s="2">
        <f>IFERROR(INDEX(المكاتب_المصدر[المنطقة],MATCH(Table10[[#This Row],[المجموعة]],المكاتب_المصدر[المجموعة],0)),"")</f>
        <v/>
      </c>
      <c r="C94" s="2">
        <f>'ملخص المجموعات'!B94</f>
        <v/>
      </c>
      <c r="D94" s="5">
        <f>'ملخص المجموعات'!C94</f>
        <v/>
      </c>
      <c r="E94" s="1">
        <f>'ملخص المجموعات'!D94</f>
        <v/>
      </c>
      <c r="F94" s="4">
        <f>'ملخص المجموعات'!E94</f>
        <v/>
      </c>
      <c r="G94" s="1">
        <f>'ملخص المجموعات'!F94</f>
        <v/>
      </c>
      <c r="H9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5" hidden="1">
      <c r="B95" s="2">
        <f>IFERROR(INDEX(المكاتب_المصدر[المنطقة],MATCH(Table10[[#This Row],[المجموعة]],المكاتب_المصدر[المجموعة],0)),"")</f>
        <v/>
      </c>
      <c r="C95" s="2">
        <f>'ملخص المجموعات'!B95</f>
        <v/>
      </c>
      <c r="D95" s="5">
        <f>'ملخص المجموعات'!C95</f>
        <v/>
      </c>
      <c r="E95" s="1">
        <f>'ملخص المجموعات'!D95</f>
        <v/>
      </c>
      <c r="F95" s="4">
        <f>'ملخص المجموعات'!E95</f>
        <v/>
      </c>
      <c r="G95" s="1">
        <f>'ملخص المجموعات'!F95</f>
        <v/>
      </c>
      <c r="H9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6" hidden="1">
      <c r="B96" s="2">
        <f>IFERROR(INDEX(المكاتب_المصدر[المنطقة],MATCH(Table10[[#This Row],[المجموعة]],المكاتب_المصدر[المجموعة],0)),"")</f>
        <v/>
      </c>
      <c r="C96" s="2">
        <f>'ملخص المجموعات'!B96</f>
        <v/>
      </c>
      <c r="D96" s="5">
        <f>'ملخص المجموعات'!C96</f>
        <v/>
      </c>
      <c r="E96" s="1">
        <f>'ملخص المجموعات'!D96</f>
        <v/>
      </c>
      <c r="F96" s="4">
        <f>'ملخص المجموعات'!E96</f>
        <v/>
      </c>
      <c r="G96" s="1">
        <f>'ملخص المجموعات'!F96</f>
        <v/>
      </c>
      <c r="H9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7" hidden="1">
      <c r="B97" s="2">
        <f>IFERROR(INDEX(المكاتب_المصدر[المنطقة],MATCH(Table10[[#This Row],[المجموعة]],المكاتب_المصدر[المجموعة],0)),"")</f>
        <v/>
      </c>
      <c r="C97" s="2">
        <f>'ملخص المجموعات'!B97</f>
        <v/>
      </c>
      <c r="D97" s="5">
        <f>'ملخص المجموعات'!C97</f>
        <v/>
      </c>
      <c r="E97" s="1">
        <f>'ملخص المجموعات'!D97</f>
        <v/>
      </c>
      <c r="F97" s="4">
        <f>'ملخص المجموعات'!E97</f>
        <v/>
      </c>
      <c r="G97" s="1">
        <f>'ملخص المجموعات'!F97</f>
        <v/>
      </c>
      <c r="H9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8" hidden="1">
      <c r="B98" s="2">
        <f>IFERROR(INDEX(المكاتب_المصدر[المنطقة],MATCH(Table10[[#This Row],[المجموعة]],المكاتب_المصدر[المجموعة],0)),"")</f>
        <v/>
      </c>
      <c r="C98" s="2">
        <f>'ملخص المجموعات'!B98</f>
        <v/>
      </c>
      <c r="D98" s="5">
        <f>'ملخص المجموعات'!C98</f>
        <v/>
      </c>
      <c r="E98" s="1">
        <f>'ملخص المجموعات'!D98</f>
        <v/>
      </c>
      <c r="F98" s="4">
        <f>'ملخص المجموعات'!E98</f>
        <v/>
      </c>
      <c r="G98" s="1">
        <f>'ملخص المجموعات'!F98</f>
        <v/>
      </c>
      <c r="H9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99" hidden="1">
      <c r="B99" s="2">
        <f>IFERROR(INDEX(المكاتب_المصدر[المنطقة],MATCH(Table10[[#This Row],[المجموعة]],المكاتب_المصدر[المجموعة],0)),"")</f>
        <v/>
      </c>
      <c r="C99" s="2">
        <f>'ملخص المجموعات'!B99</f>
        <v/>
      </c>
      <c r="D99" s="5">
        <f>'ملخص المجموعات'!C99</f>
        <v/>
      </c>
      <c r="E99" s="1">
        <f>'ملخص المجموعات'!D99</f>
        <v/>
      </c>
      <c r="F99" s="4">
        <f>'ملخص المجموعات'!E99</f>
        <v/>
      </c>
      <c r="G99" s="1">
        <f>'ملخص المجموعات'!F99</f>
        <v/>
      </c>
      <c r="H9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0" hidden="1">
      <c r="B100" s="2">
        <f>IFERROR(INDEX(المكاتب_المصدر[المنطقة],MATCH(Table10[[#This Row],[المجموعة]],المكاتب_المصدر[المجموعة],0)),"")</f>
        <v/>
      </c>
      <c r="C100" s="2">
        <f>'ملخص المجموعات'!B100</f>
        <v/>
      </c>
      <c r="D100" s="5">
        <f>'ملخص المجموعات'!C100</f>
        <v/>
      </c>
      <c r="E100" s="1">
        <f>'ملخص المجموعات'!D100</f>
        <v/>
      </c>
      <c r="F100" s="4">
        <f>'ملخص المجموعات'!E100</f>
        <v/>
      </c>
      <c r="G100" s="1">
        <f>'ملخص المجموعات'!F100</f>
        <v/>
      </c>
      <c r="H10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1" hidden="1">
      <c r="B101" s="2">
        <f>IFERROR(INDEX(المكاتب_المصدر[المنطقة],MATCH(Table10[[#This Row],[المجموعة]],المكاتب_المصدر[المجموعة],0)),"")</f>
        <v/>
      </c>
      <c r="C101" s="2">
        <f>'ملخص المجموعات'!B101</f>
        <v/>
      </c>
      <c r="D101" s="5">
        <f>'ملخص المجموعات'!C101</f>
        <v/>
      </c>
      <c r="E101" s="1">
        <f>'ملخص المجموعات'!D101</f>
        <v/>
      </c>
      <c r="F101" s="4">
        <f>'ملخص المجموعات'!E101</f>
        <v/>
      </c>
      <c r="G101" s="1">
        <f>'ملخص المجموعات'!F101</f>
        <v/>
      </c>
      <c r="H10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2" hidden="1">
      <c r="B102" s="2">
        <f>IFERROR(INDEX(المكاتب_المصدر[المنطقة],MATCH(Table10[[#This Row],[المجموعة]],المكاتب_المصدر[المجموعة],0)),"")</f>
        <v/>
      </c>
      <c r="C102" s="2">
        <f>'ملخص المجموعات'!B102</f>
        <v/>
      </c>
      <c r="D102" s="5">
        <f>'ملخص المجموعات'!C102</f>
        <v/>
      </c>
      <c r="E102" s="1">
        <f>'ملخص المجموعات'!D102</f>
        <v/>
      </c>
      <c r="F102" s="4">
        <f>'ملخص المجموعات'!E102</f>
        <v/>
      </c>
      <c r="G102" s="1">
        <f>'ملخص المجموعات'!F102</f>
        <v/>
      </c>
      <c r="H10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3" hidden="1">
      <c r="B103" s="2">
        <f>IFERROR(INDEX(المكاتب_المصدر[المنطقة],MATCH(Table10[[#This Row],[المجموعة]],المكاتب_المصدر[المجموعة],0)),"")</f>
        <v/>
      </c>
      <c r="C103" s="2">
        <f>'ملخص المجموعات'!B103</f>
        <v/>
      </c>
      <c r="D103" s="5">
        <f>'ملخص المجموعات'!C103</f>
        <v/>
      </c>
      <c r="E103" s="1">
        <f>'ملخص المجموعات'!D103</f>
        <v/>
      </c>
      <c r="F103" s="4">
        <f>'ملخص المجموعات'!E103</f>
        <v/>
      </c>
      <c r="G103" s="1">
        <f>'ملخص المجموعات'!F103</f>
        <v/>
      </c>
      <c r="H10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4" hidden="1">
      <c r="B104" s="2">
        <f>IFERROR(INDEX(المكاتب_المصدر[المنطقة],MATCH(Table10[[#This Row],[المجموعة]],المكاتب_المصدر[المجموعة],0)),"")</f>
        <v/>
      </c>
      <c r="C104" s="2">
        <f>'ملخص المجموعات'!B104</f>
        <v/>
      </c>
      <c r="D104" s="5">
        <f>'ملخص المجموعات'!C104</f>
        <v/>
      </c>
      <c r="E104" s="1">
        <f>'ملخص المجموعات'!D104</f>
        <v/>
      </c>
      <c r="F104" s="4">
        <f>'ملخص المجموعات'!E104</f>
        <v/>
      </c>
      <c r="G104" s="1">
        <f>'ملخص المجموعات'!F104</f>
        <v/>
      </c>
      <c r="H10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5" hidden="1">
      <c r="B105" s="2">
        <f>IFERROR(INDEX(المكاتب_المصدر[المنطقة],MATCH(Table10[[#This Row],[المجموعة]],المكاتب_المصدر[المجموعة],0)),"")</f>
        <v/>
      </c>
      <c r="C105" s="2">
        <f>'ملخص المجموعات'!B105</f>
        <v/>
      </c>
      <c r="D105" s="5">
        <f>'ملخص المجموعات'!C105</f>
        <v/>
      </c>
      <c r="E105" s="1">
        <f>'ملخص المجموعات'!D105</f>
        <v/>
      </c>
      <c r="F105" s="4">
        <f>'ملخص المجموعات'!E105</f>
        <v/>
      </c>
      <c r="G105" s="1">
        <f>'ملخص المجموعات'!F105</f>
        <v/>
      </c>
      <c r="H10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6" hidden="1">
      <c r="B106" s="2">
        <f>IFERROR(INDEX(المكاتب_المصدر[المنطقة],MATCH(Table10[[#This Row],[المجموعة]],المكاتب_المصدر[المجموعة],0)),"")</f>
        <v/>
      </c>
      <c r="C106" s="2">
        <f>'ملخص المجموعات'!B106</f>
        <v/>
      </c>
      <c r="D106" s="5">
        <f>'ملخص المجموعات'!C106</f>
        <v/>
      </c>
      <c r="E106" s="1">
        <f>'ملخص المجموعات'!D106</f>
        <v/>
      </c>
      <c r="F106" s="4">
        <f>'ملخص المجموعات'!E106</f>
        <v/>
      </c>
      <c r="G106" s="1">
        <f>'ملخص المجموعات'!F106</f>
        <v/>
      </c>
      <c r="H10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7" hidden="1">
      <c r="B107" s="2">
        <f>IFERROR(INDEX(المكاتب_المصدر[المنطقة],MATCH(Table10[[#This Row],[المجموعة]],المكاتب_المصدر[المجموعة],0)),"")</f>
        <v/>
      </c>
      <c r="C107" s="2">
        <f>'ملخص المجموعات'!B107</f>
        <v/>
      </c>
      <c r="D107" s="5">
        <f>'ملخص المجموعات'!C107</f>
        <v/>
      </c>
      <c r="E107" s="1">
        <f>'ملخص المجموعات'!D107</f>
        <v/>
      </c>
      <c r="F107" s="4">
        <f>'ملخص المجموعات'!E107</f>
        <v/>
      </c>
      <c r="G107" s="1">
        <f>'ملخص المجموعات'!F107</f>
        <v/>
      </c>
      <c r="H10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8" hidden="1">
      <c r="B108" s="2">
        <f>IFERROR(INDEX(المكاتب_المصدر[المنطقة],MATCH(Table10[[#This Row],[المجموعة]],المكاتب_المصدر[المجموعة],0)),"")</f>
        <v/>
      </c>
      <c r="C108" s="2">
        <f>'ملخص المجموعات'!B108</f>
        <v/>
      </c>
      <c r="D108" s="5">
        <f>'ملخص المجموعات'!C108</f>
        <v/>
      </c>
      <c r="E108" s="1">
        <f>'ملخص المجموعات'!D108</f>
        <v/>
      </c>
      <c r="F108" s="4">
        <f>'ملخص المجموعات'!E108</f>
        <v/>
      </c>
      <c r="G108" s="1">
        <f>'ملخص المجموعات'!F108</f>
        <v/>
      </c>
      <c r="H10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09" hidden="1">
      <c r="B109" s="2">
        <f>IFERROR(INDEX(المكاتب_المصدر[المنطقة],MATCH(Table10[[#This Row],[المجموعة]],المكاتب_المصدر[المجموعة],0)),"")</f>
        <v/>
      </c>
      <c r="C109" s="2">
        <f>'ملخص المجموعات'!B109</f>
        <v/>
      </c>
      <c r="D109" s="5">
        <f>'ملخص المجموعات'!C109</f>
        <v/>
      </c>
      <c r="E109" s="1">
        <f>'ملخص المجموعات'!D109</f>
        <v/>
      </c>
      <c r="F109" s="4">
        <f>'ملخص المجموعات'!E109</f>
        <v/>
      </c>
      <c r="G109" s="1">
        <f>'ملخص المجموعات'!F109</f>
        <v/>
      </c>
      <c r="H10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0" hidden="1">
      <c r="B110" s="2">
        <f>IFERROR(INDEX(المكاتب_المصدر[المنطقة],MATCH(Table10[[#This Row],[المجموعة]],المكاتب_المصدر[المجموعة],0)),"")</f>
        <v/>
      </c>
      <c r="C110" s="2">
        <f>'ملخص المجموعات'!B110</f>
        <v/>
      </c>
      <c r="D110" s="5">
        <f>'ملخص المجموعات'!C110</f>
        <v/>
      </c>
      <c r="E110" s="1">
        <f>'ملخص المجموعات'!D110</f>
        <v/>
      </c>
      <c r="F110" s="4">
        <f>'ملخص المجموعات'!E110</f>
        <v/>
      </c>
      <c r="G110" s="1">
        <f>'ملخص المجموعات'!F110</f>
        <v/>
      </c>
      <c r="H1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1" hidden="1">
      <c r="B111" s="2">
        <f>IFERROR(INDEX(المكاتب_المصدر[المنطقة],MATCH(Table10[[#This Row],[المجموعة]],المكاتب_المصدر[المجموعة],0)),"")</f>
        <v/>
      </c>
      <c r="C111" s="2">
        <f>'ملخص المجموعات'!B111</f>
        <v/>
      </c>
      <c r="D111" s="5">
        <f>'ملخص المجموعات'!C111</f>
        <v/>
      </c>
      <c r="E111" s="1">
        <f>'ملخص المجموعات'!D111</f>
        <v/>
      </c>
      <c r="F111" s="4">
        <f>'ملخص المجموعات'!E111</f>
        <v/>
      </c>
      <c r="G111" s="1">
        <f>'ملخص المجموعات'!F111</f>
        <v/>
      </c>
      <c r="H1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2" hidden="1">
      <c r="B112" s="2">
        <f>IFERROR(INDEX(المكاتب_المصدر[المنطقة],MATCH(Table10[[#This Row],[المجموعة]],المكاتب_المصدر[المجموعة],0)),"")</f>
        <v/>
      </c>
      <c r="C112" s="2">
        <f>'ملخص المجموعات'!B112</f>
        <v/>
      </c>
      <c r="D112" s="5">
        <f>'ملخص المجموعات'!C112</f>
        <v/>
      </c>
      <c r="E112" s="1">
        <f>'ملخص المجموعات'!D112</f>
        <v/>
      </c>
      <c r="F112" s="4">
        <f>'ملخص المجموعات'!E112</f>
        <v/>
      </c>
      <c r="G112" s="1">
        <f>'ملخص المجموعات'!F112</f>
        <v/>
      </c>
      <c r="H1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3" hidden="1">
      <c r="B113" s="2">
        <f>IFERROR(INDEX(المكاتب_المصدر[المنطقة],MATCH(Table10[[#This Row],[المجموعة]],المكاتب_المصدر[المجموعة],0)),"")</f>
        <v/>
      </c>
      <c r="C113" s="2">
        <f>'ملخص المجموعات'!B113</f>
        <v/>
      </c>
      <c r="D113" s="5">
        <f>'ملخص المجموعات'!C113</f>
        <v/>
      </c>
      <c r="E113" s="1">
        <f>'ملخص المجموعات'!D113</f>
        <v/>
      </c>
      <c r="F113" s="4">
        <f>'ملخص المجموعات'!E113</f>
        <v/>
      </c>
      <c r="G113" s="1">
        <f>'ملخص المجموعات'!F113</f>
        <v/>
      </c>
      <c r="H1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4" hidden="1">
      <c r="B114" s="2">
        <f>IFERROR(INDEX(المكاتب_المصدر[المنطقة],MATCH(Table10[[#This Row],[المجموعة]],المكاتب_المصدر[المجموعة],0)),"")</f>
        <v/>
      </c>
      <c r="C114" s="2">
        <f>'ملخص المجموعات'!B114</f>
        <v/>
      </c>
      <c r="D114" s="5">
        <f>'ملخص المجموعات'!C114</f>
        <v/>
      </c>
      <c r="E114" s="1">
        <f>'ملخص المجموعات'!D114</f>
        <v/>
      </c>
      <c r="F114" s="4">
        <f>'ملخص المجموعات'!E114</f>
        <v/>
      </c>
      <c r="G114" s="1">
        <f>'ملخص المجموعات'!F114</f>
        <v/>
      </c>
      <c r="H1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5" hidden="1">
      <c r="B115" s="2">
        <f>IFERROR(INDEX(المكاتب_المصدر[المنطقة],MATCH(Table10[[#This Row],[المجموعة]],المكاتب_المصدر[المجموعة],0)),"")</f>
        <v/>
      </c>
      <c r="C115" s="2">
        <f>'ملخص المجموعات'!B115</f>
        <v/>
      </c>
      <c r="D115" s="5">
        <f>'ملخص المجموعات'!C115</f>
        <v/>
      </c>
      <c r="E115" s="1">
        <f>'ملخص المجموعات'!D115</f>
        <v/>
      </c>
      <c r="F115" s="4">
        <f>'ملخص المجموعات'!E115</f>
        <v/>
      </c>
      <c r="G115" s="1">
        <f>'ملخص المجموعات'!F115</f>
        <v/>
      </c>
      <c r="H1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6" hidden="1">
      <c r="B116" s="2">
        <f>IFERROR(INDEX(المكاتب_المصدر[المنطقة],MATCH(Table10[[#This Row],[المجموعة]],المكاتب_المصدر[المجموعة],0)),"")</f>
        <v/>
      </c>
      <c r="C116" s="2">
        <f>'ملخص المجموعات'!B116</f>
        <v/>
      </c>
      <c r="D116" s="5">
        <f>'ملخص المجموعات'!C116</f>
        <v/>
      </c>
      <c r="E116" s="1">
        <f>'ملخص المجموعات'!D116</f>
        <v/>
      </c>
      <c r="F116" s="4">
        <f>'ملخص المجموعات'!E116</f>
        <v/>
      </c>
      <c r="G116" s="1">
        <f>'ملخص المجموعات'!F116</f>
        <v/>
      </c>
      <c r="H1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7" hidden="1">
      <c r="B117" s="2">
        <f>IFERROR(INDEX(المكاتب_المصدر[المنطقة],MATCH(Table10[[#This Row],[المجموعة]],المكاتب_المصدر[المجموعة],0)),"")</f>
        <v/>
      </c>
      <c r="C117" s="2">
        <f>'ملخص المجموعات'!B117</f>
        <v/>
      </c>
      <c r="D117" s="5">
        <f>'ملخص المجموعات'!C117</f>
        <v/>
      </c>
      <c r="E117" s="1">
        <f>'ملخص المجموعات'!D117</f>
        <v/>
      </c>
      <c r="F117" s="4">
        <f>'ملخص المجموعات'!E117</f>
        <v/>
      </c>
      <c r="G117" s="1">
        <f>'ملخص المجموعات'!F117</f>
        <v/>
      </c>
      <c r="H1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8" hidden="1">
      <c r="B118" s="2">
        <f>IFERROR(INDEX(المكاتب_المصدر[المنطقة],MATCH(Table10[[#This Row],[المجموعة]],المكاتب_المصدر[المجموعة],0)),"")</f>
        <v/>
      </c>
      <c r="C118" s="2">
        <f>'ملخص المجموعات'!B118</f>
        <v/>
      </c>
      <c r="D118" s="5">
        <f>'ملخص المجموعات'!C118</f>
        <v/>
      </c>
      <c r="E118" s="1">
        <f>'ملخص المجموعات'!D118</f>
        <v/>
      </c>
      <c r="F118" s="4">
        <f>'ملخص المجموعات'!E118</f>
        <v/>
      </c>
      <c r="G118" s="1">
        <f>'ملخص المجموعات'!F118</f>
        <v/>
      </c>
      <c r="H1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19" hidden="1">
      <c r="B119" s="2">
        <f>IFERROR(INDEX(المكاتب_المصدر[المنطقة],MATCH(Table10[[#This Row],[المجموعة]],المكاتب_المصدر[المجموعة],0)),"")</f>
        <v/>
      </c>
      <c r="C119" s="2">
        <f>'ملخص المجموعات'!B119</f>
        <v/>
      </c>
      <c r="D119" s="5">
        <f>'ملخص المجموعات'!C119</f>
        <v/>
      </c>
      <c r="E119" s="1">
        <f>'ملخص المجموعات'!D119</f>
        <v/>
      </c>
      <c r="F119" s="4">
        <f>'ملخص المجموعات'!E119</f>
        <v/>
      </c>
      <c r="G119" s="1">
        <f>'ملخص المجموعات'!F119</f>
        <v/>
      </c>
      <c r="H1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0" hidden="1">
      <c r="B120" s="2">
        <f>IFERROR(INDEX(المكاتب_المصدر[المنطقة],MATCH(Table10[[#This Row],[المجموعة]],المكاتب_المصدر[المجموعة],0)),"")</f>
        <v/>
      </c>
      <c r="C120" s="2">
        <f>'ملخص المجموعات'!B120</f>
        <v/>
      </c>
      <c r="D120" s="5">
        <f>'ملخص المجموعات'!C120</f>
        <v/>
      </c>
      <c r="E120" s="1">
        <f>'ملخص المجموعات'!D120</f>
        <v/>
      </c>
      <c r="F120" s="4">
        <f>'ملخص المجموعات'!E120</f>
        <v/>
      </c>
      <c r="G120" s="1">
        <f>'ملخص المجموعات'!F120</f>
        <v/>
      </c>
      <c r="H1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1" hidden="1">
      <c r="B121" s="2">
        <f>IFERROR(INDEX(المكاتب_المصدر[المنطقة],MATCH(Table10[[#This Row],[المجموعة]],المكاتب_المصدر[المجموعة],0)),"")</f>
        <v/>
      </c>
      <c r="C121" s="2">
        <f>'ملخص المجموعات'!B121</f>
        <v/>
      </c>
      <c r="D121" s="5">
        <f>'ملخص المجموعات'!C121</f>
        <v/>
      </c>
      <c r="E121" s="1">
        <f>'ملخص المجموعات'!D121</f>
        <v/>
      </c>
      <c r="F121" s="4">
        <f>'ملخص المجموعات'!E121</f>
        <v/>
      </c>
      <c r="G121" s="1">
        <f>'ملخص المجموعات'!F121</f>
        <v/>
      </c>
      <c r="H1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2" hidden="1">
      <c r="B122" s="2">
        <f>IFERROR(INDEX(المكاتب_المصدر[المنطقة],MATCH(Table10[[#This Row],[المجموعة]],المكاتب_المصدر[المجموعة],0)),"")</f>
        <v/>
      </c>
      <c r="C122" s="2">
        <f>'ملخص المجموعات'!B122</f>
        <v/>
      </c>
      <c r="D122" s="5">
        <f>'ملخص المجموعات'!C122</f>
        <v/>
      </c>
      <c r="E122" s="1">
        <f>'ملخص المجموعات'!D122</f>
        <v/>
      </c>
      <c r="F122" s="4">
        <f>'ملخص المجموعات'!E122</f>
        <v/>
      </c>
      <c r="G122" s="1">
        <f>'ملخص المجموعات'!F122</f>
        <v/>
      </c>
      <c r="H1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3">
      <c r="B123" s="2">
        <f>IFERROR(INDEX(المكاتب_المصدر[المنطقة],MATCH(Table10[[#This Row],[المجموعة]],المكاتب_المصدر[المجموعة],0)),"")</f>
        <v/>
      </c>
      <c r="C123" s="2">
        <f>'ملخص المجموعات'!B123</f>
        <v/>
      </c>
      <c r="D123" s="5">
        <f>'ملخص المجموعات'!C123</f>
        <v/>
      </c>
      <c r="E123" s="1">
        <f>'ملخص المجموعات'!D123</f>
        <v/>
      </c>
      <c r="F123" s="4">
        <f>'ملخص المجموعات'!E123</f>
        <v/>
      </c>
      <c r="G123" s="1">
        <f>'ملخص المجموعات'!F123</f>
        <v/>
      </c>
      <c r="H1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4" hidden="1">
      <c r="B124" s="2">
        <f>IFERROR(INDEX(المكاتب_المصدر[المنطقة],MATCH(Table10[[#This Row],[المجموعة]],المكاتب_المصدر[المجموعة],0)),"")</f>
        <v/>
      </c>
      <c r="C124" s="2">
        <f>'ملخص المجموعات'!B124</f>
        <v/>
      </c>
      <c r="D124" s="5">
        <f>'ملخص المجموعات'!C124</f>
        <v/>
      </c>
      <c r="E124" s="1">
        <f>'ملخص المجموعات'!D124</f>
        <v/>
      </c>
      <c r="F124" s="4">
        <f>'ملخص المجموعات'!E124</f>
        <v/>
      </c>
      <c r="G124" s="1">
        <f>'ملخص المجموعات'!F124</f>
        <v/>
      </c>
      <c r="H1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5" hidden="1">
      <c r="B125" s="2">
        <f>IFERROR(INDEX(المكاتب_المصدر[المنطقة],MATCH(Table10[[#This Row],[المجموعة]],المكاتب_المصدر[المجموعة],0)),"")</f>
        <v/>
      </c>
      <c r="C125" s="2">
        <f>'ملخص المجموعات'!B125</f>
        <v/>
      </c>
      <c r="D125" s="5">
        <f>'ملخص المجموعات'!C125</f>
        <v/>
      </c>
      <c r="E125" s="1">
        <f>'ملخص المجموعات'!D125</f>
        <v/>
      </c>
      <c r="F125" s="4">
        <f>'ملخص المجموعات'!E125</f>
        <v/>
      </c>
      <c r="G125" s="1">
        <f>'ملخص المجموعات'!F125</f>
        <v/>
      </c>
      <c r="H1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6" hidden="1">
      <c r="B126" s="2">
        <f>IFERROR(INDEX(المكاتب_المصدر[المنطقة],MATCH(Table10[[#This Row],[المجموعة]],المكاتب_المصدر[المجموعة],0)),"")</f>
        <v/>
      </c>
      <c r="C126" s="2">
        <f>'ملخص المجموعات'!B126</f>
        <v/>
      </c>
      <c r="D126" s="5">
        <f>'ملخص المجموعات'!C126</f>
        <v/>
      </c>
      <c r="E126" s="1">
        <f>'ملخص المجموعات'!D126</f>
        <v/>
      </c>
      <c r="F126" s="4">
        <f>'ملخص المجموعات'!E126</f>
        <v/>
      </c>
      <c r="G126" s="1">
        <f>'ملخص المجموعات'!F126</f>
        <v/>
      </c>
      <c r="H1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7" hidden="1">
      <c r="B127" s="2">
        <f>IFERROR(INDEX(المكاتب_المصدر[المنطقة],MATCH(Table10[[#This Row],[المجموعة]],المكاتب_المصدر[المجموعة],0)),"")</f>
        <v/>
      </c>
      <c r="C127" s="2">
        <f>'ملخص المجموعات'!B127</f>
        <v/>
      </c>
      <c r="D127" s="5">
        <f>'ملخص المجموعات'!C127</f>
        <v/>
      </c>
      <c r="E127" s="1">
        <f>'ملخص المجموعات'!D127</f>
        <v/>
      </c>
      <c r="F127" s="4">
        <f>'ملخص المجموعات'!E127</f>
        <v/>
      </c>
      <c r="G127" s="1">
        <f>'ملخص المجموعات'!F127</f>
        <v/>
      </c>
      <c r="H1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8" hidden="1">
      <c r="B128" s="2">
        <f>IFERROR(INDEX(المكاتب_المصدر[المنطقة],MATCH(Table10[[#This Row],[المجموعة]],المكاتب_المصدر[المجموعة],0)),"")</f>
        <v/>
      </c>
      <c r="C128" s="2">
        <f>'ملخص المجموعات'!B128</f>
        <v/>
      </c>
      <c r="D128" s="5">
        <f>'ملخص المجموعات'!C128</f>
        <v/>
      </c>
      <c r="E128" s="1">
        <f>'ملخص المجموعات'!D128</f>
        <v/>
      </c>
      <c r="F128" s="4">
        <f>'ملخص المجموعات'!E128</f>
        <v/>
      </c>
      <c r="G128" s="1">
        <f>'ملخص المجموعات'!F128</f>
        <v/>
      </c>
      <c r="H1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29" hidden="1">
      <c r="B129" s="2">
        <f>IFERROR(INDEX(المكاتب_المصدر[المنطقة],MATCH(Table10[[#This Row],[المجموعة]],المكاتب_المصدر[المجموعة],0)),"")</f>
        <v/>
      </c>
      <c r="C129" s="2">
        <f>'ملخص المجموعات'!B129</f>
        <v/>
      </c>
      <c r="D129" s="5">
        <f>'ملخص المجموعات'!C129</f>
        <v/>
      </c>
      <c r="E129" s="1">
        <f>'ملخص المجموعات'!D129</f>
        <v/>
      </c>
      <c r="F129" s="4">
        <f>'ملخص المجموعات'!E129</f>
        <v/>
      </c>
      <c r="G129" s="1">
        <f>'ملخص المجموعات'!F129</f>
        <v/>
      </c>
      <c r="H1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0" hidden="1">
      <c r="B130" s="2">
        <f>IFERROR(INDEX(المكاتب_المصدر[المنطقة],MATCH(Table10[[#This Row],[المجموعة]],المكاتب_المصدر[المجموعة],0)),"")</f>
        <v/>
      </c>
      <c r="C130" s="2">
        <f>'ملخص المجموعات'!B130</f>
        <v/>
      </c>
      <c r="D130" s="5">
        <f>'ملخص المجموعات'!C130</f>
        <v/>
      </c>
      <c r="E130" s="1">
        <f>'ملخص المجموعات'!D130</f>
        <v/>
      </c>
      <c r="F130" s="4">
        <f>'ملخص المجموعات'!E130</f>
        <v/>
      </c>
      <c r="G130" s="1">
        <f>'ملخص المجموعات'!F130</f>
        <v/>
      </c>
      <c r="H1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1" hidden="1">
      <c r="B131" s="2">
        <f>IFERROR(INDEX(المكاتب_المصدر[المنطقة],MATCH(Table10[[#This Row],[المجموعة]],المكاتب_المصدر[المجموعة],0)),"")</f>
        <v/>
      </c>
      <c r="C131" s="2">
        <f>'ملخص المجموعات'!B131</f>
        <v/>
      </c>
      <c r="D131" s="5">
        <f>'ملخص المجموعات'!C131</f>
        <v/>
      </c>
      <c r="E131" s="1">
        <f>'ملخص المجموعات'!D131</f>
        <v/>
      </c>
      <c r="F131" s="4">
        <f>'ملخص المجموعات'!E131</f>
        <v/>
      </c>
      <c r="G131" s="1">
        <f>'ملخص المجموعات'!F131</f>
        <v/>
      </c>
      <c r="H1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2" hidden="1">
      <c r="B132" s="2">
        <f>IFERROR(INDEX(المكاتب_المصدر[المنطقة],MATCH(Table10[[#This Row],[المجموعة]],المكاتب_المصدر[المجموعة],0)),"")</f>
        <v/>
      </c>
      <c r="C132" s="2">
        <f>'ملخص المجموعات'!B132</f>
        <v/>
      </c>
      <c r="D132" s="5">
        <f>'ملخص المجموعات'!C132</f>
        <v/>
      </c>
      <c r="E132" s="1">
        <f>'ملخص المجموعات'!D132</f>
        <v/>
      </c>
      <c r="F132" s="4">
        <f>'ملخص المجموعات'!E132</f>
        <v/>
      </c>
      <c r="G132" s="1">
        <f>'ملخص المجموعات'!F132</f>
        <v/>
      </c>
      <c r="H1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3" hidden="1">
      <c r="B133" s="2">
        <f>IFERROR(INDEX(المكاتب_المصدر[المنطقة],MATCH(Table10[[#This Row],[المجموعة]],المكاتب_المصدر[المجموعة],0)),"")</f>
        <v/>
      </c>
      <c r="C133" s="2">
        <f>'ملخص المجموعات'!B133</f>
        <v/>
      </c>
      <c r="D133" s="5">
        <f>'ملخص المجموعات'!C133</f>
        <v/>
      </c>
      <c r="E133" s="1">
        <f>'ملخص المجموعات'!D133</f>
        <v/>
      </c>
      <c r="F133" s="4">
        <f>'ملخص المجموعات'!E133</f>
        <v/>
      </c>
      <c r="G133" s="1">
        <f>'ملخص المجموعات'!F133</f>
        <v/>
      </c>
      <c r="H1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4" hidden="1">
      <c r="B134" s="2">
        <f>IFERROR(INDEX(المكاتب_المصدر[المنطقة],MATCH(Table10[[#This Row],[المجموعة]],المكاتب_المصدر[المجموعة],0)),"")</f>
        <v/>
      </c>
      <c r="C134" s="2">
        <f>'ملخص المجموعات'!B134</f>
        <v/>
      </c>
      <c r="D134" s="5">
        <f>'ملخص المجموعات'!C134</f>
        <v/>
      </c>
      <c r="E134" s="1">
        <f>'ملخص المجموعات'!D134</f>
        <v/>
      </c>
      <c r="F134" s="4">
        <f>'ملخص المجموعات'!E134</f>
        <v/>
      </c>
      <c r="G134" s="1">
        <f>'ملخص المجموعات'!F134</f>
        <v/>
      </c>
      <c r="H1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5" hidden="1">
      <c r="B135" s="2">
        <f>IFERROR(INDEX(المكاتب_المصدر[المنطقة],MATCH(Table10[[#This Row],[المجموعة]],المكاتب_المصدر[المجموعة],0)),"")</f>
        <v/>
      </c>
      <c r="C135" s="2">
        <f>'ملخص المجموعات'!B135</f>
        <v/>
      </c>
      <c r="D135" s="5">
        <f>'ملخص المجموعات'!C135</f>
        <v/>
      </c>
      <c r="E135" s="1">
        <f>'ملخص المجموعات'!D135</f>
        <v/>
      </c>
      <c r="F135" s="4">
        <f>'ملخص المجموعات'!E135</f>
        <v/>
      </c>
      <c r="G135" s="1">
        <f>'ملخص المجموعات'!F135</f>
        <v/>
      </c>
      <c r="H1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6" hidden="1">
      <c r="B136" s="2">
        <f>IFERROR(INDEX(المكاتب_المصدر[المنطقة],MATCH(Table10[[#This Row],[المجموعة]],المكاتب_المصدر[المجموعة],0)),"")</f>
        <v/>
      </c>
      <c r="C136" s="2">
        <f>'ملخص المجموعات'!B136</f>
        <v/>
      </c>
      <c r="D136" s="5">
        <f>'ملخص المجموعات'!C136</f>
        <v/>
      </c>
      <c r="E136" s="1">
        <f>'ملخص المجموعات'!D136</f>
        <v/>
      </c>
      <c r="F136" s="4">
        <f>'ملخص المجموعات'!E136</f>
        <v/>
      </c>
      <c r="G136" s="1">
        <f>'ملخص المجموعات'!F136</f>
        <v/>
      </c>
      <c r="H1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7" hidden="1">
      <c r="B137" s="2">
        <f>IFERROR(INDEX(المكاتب_المصدر[المنطقة],MATCH(Table10[[#This Row],[المجموعة]],المكاتب_المصدر[المجموعة],0)),"")</f>
        <v/>
      </c>
      <c r="C137" s="2">
        <f>'ملخص المجموعات'!B137</f>
        <v/>
      </c>
      <c r="D137" s="5">
        <f>'ملخص المجموعات'!C137</f>
        <v/>
      </c>
      <c r="E137" s="1">
        <f>'ملخص المجموعات'!D137</f>
        <v/>
      </c>
      <c r="F137" s="4">
        <f>'ملخص المجموعات'!E137</f>
        <v/>
      </c>
      <c r="G137" s="1">
        <f>'ملخص المجموعات'!F137</f>
        <v/>
      </c>
      <c r="H1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8" hidden="1">
      <c r="B138" s="2">
        <f>IFERROR(INDEX(المكاتب_المصدر[المنطقة],MATCH(Table10[[#This Row],[المجموعة]],المكاتب_المصدر[المجموعة],0)),"")</f>
        <v/>
      </c>
      <c r="C138" s="2">
        <f>'ملخص المجموعات'!B138</f>
        <v/>
      </c>
      <c r="D138" s="5">
        <f>'ملخص المجموعات'!C138</f>
        <v/>
      </c>
      <c r="E138" s="1">
        <f>'ملخص المجموعات'!D138</f>
        <v/>
      </c>
      <c r="F138" s="4">
        <f>'ملخص المجموعات'!E138</f>
        <v/>
      </c>
      <c r="G138" s="1">
        <f>'ملخص المجموعات'!F138</f>
        <v/>
      </c>
      <c r="H1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39" hidden="1">
      <c r="B139" s="2">
        <f>IFERROR(INDEX(المكاتب_المصدر[المنطقة],MATCH(Table10[[#This Row],[المجموعة]],المكاتب_المصدر[المجموعة],0)),"")</f>
        <v/>
      </c>
      <c r="C139" s="2">
        <f>'ملخص المجموعات'!B139</f>
        <v/>
      </c>
      <c r="D139" s="5">
        <f>'ملخص المجموعات'!C139</f>
        <v/>
      </c>
      <c r="E139" s="1">
        <f>'ملخص المجموعات'!D139</f>
        <v/>
      </c>
      <c r="F139" s="4">
        <f>'ملخص المجموعات'!E139</f>
        <v/>
      </c>
      <c r="G139" s="1">
        <f>'ملخص المجموعات'!F139</f>
        <v/>
      </c>
      <c r="H1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0" hidden="1">
      <c r="B140" s="2">
        <f>IFERROR(INDEX(المكاتب_المصدر[المنطقة],MATCH(Table10[[#This Row],[المجموعة]],المكاتب_المصدر[المجموعة],0)),"")</f>
        <v/>
      </c>
      <c r="C140" s="2">
        <f>'ملخص المجموعات'!B140</f>
        <v/>
      </c>
      <c r="D140" s="5">
        <f>'ملخص المجموعات'!C140</f>
        <v/>
      </c>
      <c r="E140" s="1">
        <f>'ملخص المجموعات'!D140</f>
        <v/>
      </c>
      <c r="F140" s="4">
        <f>'ملخص المجموعات'!E140</f>
        <v/>
      </c>
      <c r="G140" s="1">
        <f>'ملخص المجموعات'!F140</f>
        <v/>
      </c>
      <c r="H1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1" hidden="1">
      <c r="B141" s="2">
        <f>IFERROR(INDEX(المكاتب_المصدر[المنطقة],MATCH(Table10[[#This Row],[المجموعة]],المكاتب_المصدر[المجموعة],0)),"")</f>
        <v/>
      </c>
      <c r="C141" s="2">
        <f>'ملخص المجموعات'!B141</f>
        <v/>
      </c>
      <c r="D141" s="5">
        <f>'ملخص المجموعات'!C141</f>
        <v/>
      </c>
      <c r="E141" s="1">
        <f>'ملخص المجموعات'!D141</f>
        <v/>
      </c>
      <c r="F141" s="4">
        <f>'ملخص المجموعات'!E141</f>
        <v/>
      </c>
      <c r="G141" s="1">
        <f>'ملخص المجموعات'!F141</f>
        <v/>
      </c>
      <c r="H1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2" hidden="1">
      <c r="B142" s="2">
        <f>IFERROR(INDEX(المكاتب_المصدر[المنطقة],MATCH(Table10[[#This Row],[المجموعة]],المكاتب_المصدر[المجموعة],0)),"")</f>
        <v/>
      </c>
      <c r="C142" s="2">
        <f>'ملخص المجموعات'!B142</f>
        <v/>
      </c>
      <c r="D142" s="5">
        <f>'ملخص المجموعات'!C142</f>
        <v/>
      </c>
      <c r="E142" s="1">
        <f>'ملخص المجموعات'!D142</f>
        <v/>
      </c>
      <c r="F142" s="4">
        <f>'ملخص المجموعات'!E142</f>
        <v/>
      </c>
      <c r="G142" s="1">
        <f>'ملخص المجموعات'!F142</f>
        <v/>
      </c>
      <c r="H1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3" hidden="1">
      <c r="B143" s="2">
        <f>IFERROR(INDEX(المكاتب_المصدر[المنطقة],MATCH(Table10[[#This Row],[المجموعة]],المكاتب_المصدر[المجموعة],0)),"")</f>
        <v/>
      </c>
      <c r="C143" s="2">
        <f>'ملخص المجموعات'!B143</f>
        <v/>
      </c>
      <c r="D143" s="5">
        <f>'ملخص المجموعات'!C143</f>
        <v/>
      </c>
      <c r="E143" s="1">
        <f>'ملخص المجموعات'!D143</f>
        <v/>
      </c>
      <c r="F143" s="4">
        <f>'ملخص المجموعات'!E143</f>
        <v/>
      </c>
      <c r="G143" s="1">
        <f>'ملخص المجموعات'!F143</f>
        <v/>
      </c>
      <c r="H1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4" hidden="1">
      <c r="B144" s="2">
        <f>IFERROR(INDEX(المكاتب_المصدر[المنطقة],MATCH(Table10[[#This Row],[المجموعة]],المكاتب_المصدر[المجموعة],0)),"")</f>
        <v/>
      </c>
      <c r="C144" s="2">
        <f>'ملخص المجموعات'!B144</f>
        <v/>
      </c>
      <c r="D144" s="5">
        <f>'ملخص المجموعات'!C144</f>
        <v/>
      </c>
      <c r="E144" s="1">
        <f>'ملخص المجموعات'!D144</f>
        <v/>
      </c>
      <c r="F144" s="4">
        <f>'ملخص المجموعات'!E144</f>
        <v/>
      </c>
      <c r="G144" s="1">
        <f>'ملخص المجموعات'!F144</f>
        <v/>
      </c>
      <c r="H1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5" hidden="1">
      <c r="B145" s="2">
        <f>IFERROR(INDEX(المكاتب_المصدر[المنطقة],MATCH(Table10[[#This Row],[المجموعة]],المكاتب_المصدر[المجموعة],0)),"")</f>
        <v/>
      </c>
      <c r="C145" s="2">
        <f>'ملخص المجموعات'!B145</f>
        <v/>
      </c>
      <c r="D145" s="5">
        <f>'ملخص المجموعات'!C145</f>
        <v/>
      </c>
      <c r="E145" s="1">
        <f>'ملخص المجموعات'!D145</f>
        <v/>
      </c>
      <c r="F145" s="4">
        <f>'ملخص المجموعات'!E145</f>
        <v/>
      </c>
      <c r="G145" s="1">
        <f>'ملخص المجموعات'!F145</f>
        <v/>
      </c>
      <c r="H1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6" hidden="1">
      <c r="B146" s="2">
        <f>IFERROR(INDEX(المكاتب_المصدر[المنطقة],MATCH(Table10[[#This Row],[المجموعة]],المكاتب_المصدر[المجموعة],0)),"")</f>
        <v/>
      </c>
      <c r="C146" s="2">
        <f>'ملخص المجموعات'!B146</f>
        <v/>
      </c>
      <c r="D146" s="5">
        <f>'ملخص المجموعات'!C146</f>
        <v/>
      </c>
      <c r="E146" s="1">
        <f>'ملخص المجموعات'!D146</f>
        <v/>
      </c>
      <c r="F146" s="4">
        <f>'ملخص المجموعات'!E146</f>
        <v/>
      </c>
      <c r="G146" s="1">
        <f>'ملخص المجموعات'!F146</f>
        <v/>
      </c>
      <c r="H1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7" hidden="1">
      <c r="B147" s="2">
        <f>IFERROR(INDEX(المكاتب_المصدر[المنطقة],MATCH(Table10[[#This Row],[المجموعة]],المكاتب_المصدر[المجموعة],0)),"")</f>
        <v/>
      </c>
      <c r="C147" s="2">
        <f>'ملخص المجموعات'!B147</f>
        <v/>
      </c>
      <c r="D147" s="5">
        <f>'ملخص المجموعات'!C147</f>
        <v/>
      </c>
      <c r="E147" s="1">
        <f>'ملخص المجموعات'!D147</f>
        <v/>
      </c>
      <c r="F147" s="4">
        <f>'ملخص المجموعات'!E147</f>
        <v/>
      </c>
      <c r="G147" s="1">
        <f>'ملخص المجموعات'!F147</f>
        <v/>
      </c>
      <c r="H1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8" hidden="1">
      <c r="B148" s="2">
        <f>IFERROR(INDEX(المكاتب_المصدر[المنطقة],MATCH(Table10[[#This Row],[المجموعة]],المكاتب_المصدر[المجموعة],0)),"")</f>
        <v/>
      </c>
      <c r="C148" s="2">
        <f>'ملخص المجموعات'!B148</f>
        <v/>
      </c>
      <c r="D148" s="5">
        <f>'ملخص المجموعات'!C148</f>
        <v/>
      </c>
      <c r="E148" s="1">
        <f>'ملخص المجموعات'!D148</f>
        <v/>
      </c>
      <c r="F148" s="4">
        <f>'ملخص المجموعات'!E148</f>
        <v/>
      </c>
      <c r="G148" s="1">
        <f>'ملخص المجموعات'!F148</f>
        <v/>
      </c>
      <c r="H1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49" hidden="1">
      <c r="B149" s="2">
        <f>IFERROR(INDEX(المكاتب_المصدر[المنطقة],MATCH(Table10[[#This Row],[المجموعة]],المكاتب_المصدر[المجموعة],0)),"")</f>
        <v/>
      </c>
      <c r="C149" s="2">
        <f>'ملخص المجموعات'!B149</f>
        <v/>
      </c>
      <c r="D149" s="5">
        <f>'ملخص المجموعات'!C149</f>
        <v/>
      </c>
      <c r="E149" s="1">
        <f>'ملخص المجموعات'!D149</f>
        <v/>
      </c>
      <c r="F149" s="4">
        <f>'ملخص المجموعات'!E149</f>
        <v/>
      </c>
      <c r="G149" s="1">
        <f>'ملخص المجموعات'!F149</f>
        <v/>
      </c>
      <c r="H1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0" hidden="1">
      <c r="B150" s="2">
        <f>IFERROR(INDEX(المكاتب_المصدر[المنطقة],MATCH(Table10[[#This Row],[المجموعة]],المكاتب_المصدر[المجموعة],0)),"")</f>
        <v/>
      </c>
      <c r="C150" s="2">
        <f>'ملخص المجموعات'!B150</f>
        <v/>
      </c>
      <c r="D150" s="5">
        <f>'ملخص المجموعات'!C150</f>
        <v/>
      </c>
      <c r="E150" s="1">
        <f>'ملخص المجموعات'!D150</f>
        <v/>
      </c>
      <c r="F150" s="4">
        <f>'ملخص المجموعات'!E150</f>
        <v/>
      </c>
      <c r="G150" s="1">
        <f>'ملخص المجموعات'!F150</f>
        <v/>
      </c>
      <c r="H1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1" hidden="1">
      <c r="B151" s="2">
        <f>IFERROR(INDEX(المكاتب_المصدر[المنطقة],MATCH(Table10[[#This Row],[المجموعة]],المكاتب_المصدر[المجموعة],0)),"")</f>
        <v/>
      </c>
      <c r="C151" s="2">
        <f>'ملخص المجموعات'!B151</f>
        <v/>
      </c>
      <c r="D151" s="5">
        <f>'ملخص المجموعات'!C151</f>
        <v/>
      </c>
      <c r="E151" s="1">
        <f>'ملخص المجموعات'!D151</f>
        <v/>
      </c>
      <c r="F151" s="4">
        <f>'ملخص المجموعات'!E151</f>
        <v/>
      </c>
      <c r="G151" s="1">
        <f>'ملخص المجموعات'!F151</f>
        <v/>
      </c>
      <c r="H1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2" hidden="1">
      <c r="B152" s="2">
        <f>IFERROR(INDEX(المكاتب_المصدر[المنطقة],MATCH(Table10[[#This Row],[المجموعة]],المكاتب_المصدر[المجموعة],0)),"")</f>
        <v/>
      </c>
      <c r="C152" s="2">
        <f>'ملخص المجموعات'!B152</f>
        <v/>
      </c>
      <c r="D152" s="5">
        <f>'ملخص المجموعات'!C152</f>
        <v/>
      </c>
      <c r="E152" s="1">
        <f>'ملخص المجموعات'!D152</f>
        <v/>
      </c>
      <c r="F152" s="4">
        <f>'ملخص المجموعات'!E152</f>
        <v/>
      </c>
      <c r="G152" s="1">
        <f>'ملخص المجموعات'!F152</f>
        <v/>
      </c>
      <c r="H1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3" hidden="1">
      <c r="B153" s="2">
        <f>IFERROR(INDEX(المكاتب_المصدر[المنطقة],MATCH(Table10[[#This Row],[المجموعة]],المكاتب_المصدر[المجموعة],0)),"")</f>
        <v/>
      </c>
      <c r="C153" s="2">
        <f>'ملخص المجموعات'!B153</f>
        <v/>
      </c>
      <c r="D153" s="5">
        <f>'ملخص المجموعات'!C153</f>
        <v/>
      </c>
      <c r="E153" s="1">
        <f>'ملخص المجموعات'!D153</f>
        <v/>
      </c>
      <c r="F153" s="4">
        <f>'ملخص المجموعات'!E153</f>
        <v/>
      </c>
      <c r="G153" s="1">
        <f>'ملخص المجموعات'!F153</f>
        <v/>
      </c>
      <c r="H1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4" hidden="1">
      <c r="B154" s="2">
        <f>IFERROR(INDEX(المكاتب_المصدر[المنطقة],MATCH(Table10[[#This Row],[المجموعة]],المكاتب_المصدر[المجموعة],0)),"")</f>
        <v/>
      </c>
      <c r="C154" s="2">
        <f>'ملخص المجموعات'!B154</f>
        <v/>
      </c>
      <c r="D154" s="5">
        <f>'ملخص المجموعات'!C154</f>
        <v/>
      </c>
      <c r="E154" s="1">
        <f>'ملخص المجموعات'!D154</f>
        <v/>
      </c>
      <c r="F154" s="4">
        <f>'ملخص المجموعات'!E154</f>
        <v/>
      </c>
      <c r="G154" s="1">
        <f>'ملخص المجموعات'!F154</f>
        <v/>
      </c>
      <c r="H1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5" hidden="1">
      <c r="B155" s="2">
        <f>IFERROR(INDEX(المكاتب_المصدر[المنطقة],MATCH(Table10[[#This Row],[المجموعة]],المكاتب_المصدر[المجموعة],0)),"")</f>
        <v/>
      </c>
      <c r="C155" s="2">
        <f>'ملخص المجموعات'!B155</f>
        <v/>
      </c>
      <c r="D155" s="5">
        <f>'ملخص المجموعات'!C155</f>
        <v/>
      </c>
      <c r="E155" s="1">
        <f>'ملخص المجموعات'!D155</f>
        <v/>
      </c>
      <c r="F155" s="4">
        <f>'ملخص المجموعات'!E155</f>
        <v/>
      </c>
      <c r="G155" s="1">
        <f>'ملخص المجموعات'!F155</f>
        <v/>
      </c>
      <c r="H1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6" hidden="1">
      <c r="B156" s="2">
        <f>IFERROR(INDEX(المكاتب_المصدر[المنطقة],MATCH(Table10[[#This Row],[المجموعة]],المكاتب_المصدر[المجموعة],0)),"")</f>
        <v/>
      </c>
      <c r="C156" s="2">
        <f>'ملخص المجموعات'!B156</f>
        <v/>
      </c>
      <c r="D156" s="5">
        <f>'ملخص المجموعات'!C156</f>
        <v/>
      </c>
      <c r="E156" s="1">
        <f>'ملخص المجموعات'!D156</f>
        <v/>
      </c>
      <c r="F156" s="4">
        <f>'ملخص المجموعات'!E156</f>
        <v/>
      </c>
      <c r="G156" s="1">
        <f>'ملخص المجموعات'!F156</f>
        <v/>
      </c>
      <c r="H1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7" hidden="1">
      <c r="B157" s="2">
        <f>IFERROR(INDEX(المكاتب_المصدر[المنطقة],MATCH(Table10[[#This Row],[المجموعة]],المكاتب_المصدر[المجموعة],0)),"")</f>
        <v/>
      </c>
      <c r="C157" s="2">
        <f>'ملخص المجموعات'!B157</f>
        <v/>
      </c>
      <c r="D157" s="5">
        <f>'ملخص المجموعات'!C157</f>
        <v/>
      </c>
      <c r="E157" s="1">
        <f>'ملخص المجموعات'!D157</f>
        <v/>
      </c>
      <c r="F157" s="4">
        <f>'ملخص المجموعات'!E157</f>
        <v/>
      </c>
      <c r="G157" s="1">
        <f>'ملخص المجموعات'!F157</f>
        <v/>
      </c>
      <c r="H1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8" hidden="1">
      <c r="B158" s="2">
        <f>IFERROR(INDEX(المكاتب_المصدر[المنطقة],MATCH(Table10[[#This Row],[المجموعة]],المكاتب_المصدر[المجموعة],0)),"")</f>
        <v/>
      </c>
      <c r="C158" s="2">
        <f>'ملخص المجموعات'!B158</f>
        <v/>
      </c>
      <c r="D158" s="5">
        <f>'ملخص المجموعات'!C158</f>
        <v/>
      </c>
      <c r="E158" s="1">
        <f>'ملخص المجموعات'!D158</f>
        <v/>
      </c>
      <c r="F158" s="4">
        <f>'ملخص المجموعات'!E158</f>
        <v/>
      </c>
      <c r="G158" s="1">
        <f>'ملخص المجموعات'!F158</f>
        <v/>
      </c>
      <c r="H1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59" hidden="1">
      <c r="B159" s="2">
        <f>IFERROR(INDEX(المكاتب_المصدر[المنطقة],MATCH(Table10[[#This Row],[المجموعة]],المكاتب_المصدر[المجموعة],0)),"")</f>
        <v/>
      </c>
      <c r="C159" s="2">
        <f>'ملخص المجموعات'!B159</f>
        <v/>
      </c>
      <c r="D159" s="5">
        <f>'ملخص المجموعات'!C159</f>
        <v/>
      </c>
      <c r="E159" s="1">
        <f>'ملخص المجموعات'!D159</f>
        <v/>
      </c>
      <c r="F159" s="4">
        <f>'ملخص المجموعات'!E159</f>
        <v/>
      </c>
      <c r="G159" s="1">
        <f>'ملخص المجموعات'!F159</f>
        <v/>
      </c>
      <c r="H1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0" hidden="1">
      <c r="B160" s="2">
        <f>IFERROR(INDEX(المكاتب_المصدر[المنطقة],MATCH(Table10[[#This Row],[المجموعة]],المكاتب_المصدر[المجموعة],0)),"")</f>
        <v/>
      </c>
      <c r="C160" s="2">
        <f>'ملخص المجموعات'!B160</f>
        <v/>
      </c>
      <c r="D160" s="5">
        <f>'ملخص المجموعات'!C160</f>
        <v/>
      </c>
      <c r="E160" s="1">
        <f>'ملخص المجموعات'!D160</f>
        <v/>
      </c>
      <c r="F160" s="4">
        <f>'ملخص المجموعات'!E160</f>
        <v/>
      </c>
      <c r="G160" s="1">
        <f>'ملخص المجموعات'!F160</f>
        <v/>
      </c>
      <c r="H1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1" hidden="1">
      <c r="B161" s="2">
        <f>IFERROR(INDEX(المكاتب_المصدر[المنطقة],MATCH(Table10[[#This Row],[المجموعة]],المكاتب_المصدر[المجموعة],0)),"")</f>
        <v/>
      </c>
      <c r="C161" s="2">
        <f>'ملخص المجموعات'!B161</f>
        <v/>
      </c>
      <c r="D161" s="5">
        <f>'ملخص المجموعات'!C161</f>
        <v/>
      </c>
      <c r="E161" s="1">
        <f>'ملخص المجموعات'!D161</f>
        <v/>
      </c>
      <c r="F161" s="4">
        <f>'ملخص المجموعات'!E161</f>
        <v/>
      </c>
      <c r="G161" s="1">
        <f>'ملخص المجموعات'!F161</f>
        <v/>
      </c>
      <c r="H1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2" hidden="1">
      <c r="B162" s="2">
        <f>IFERROR(INDEX(المكاتب_المصدر[المنطقة],MATCH(Table10[[#This Row],[المجموعة]],المكاتب_المصدر[المجموعة],0)),"")</f>
        <v/>
      </c>
      <c r="C162" s="2">
        <f>'ملخص المجموعات'!B162</f>
        <v/>
      </c>
      <c r="D162" s="5">
        <f>'ملخص المجموعات'!C162</f>
        <v/>
      </c>
      <c r="E162" s="1">
        <f>'ملخص المجموعات'!D162</f>
        <v/>
      </c>
      <c r="F162" s="4">
        <f>'ملخص المجموعات'!E162</f>
        <v/>
      </c>
      <c r="G162" s="1">
        <f>'ملخص المجموعات'!F162</f>
        <v/>
      </c>
      <c r="H1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3" hidden="1">
      <c r="B163" s="2">
        <f>IFERROR(INDEX(المكاتب_المصدر[المنطقة],MATCH(Table10[[#This Row],[المجموعة]],المكاتب_المصدر[المجموعة],0)),"")</f>
        <v/>
      </c>
      <c r="C163" s="2">
        <f>'ملخص المجموعات'!B163</f>
        <v/>
      </c>
      <c r="D163" s="5">
        <f>'ملخص المجموعات'!C163</f>
        <v/>
      </c>
      <c r="E163" s="1">
        <f>'ملخص المجموعات'!D163</f>
        <v/>
      </c>
      <c r="F163" s="4">
        <f>'ملخص المجموعات'!E163</f>
        <v/>
      </c>
      <c r="G163" s="1">
        <f>'ملخص المجموعات'!F163</f>
        <v/>
      </c>
      <c r="H1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4" hidden="1">
      <c r="B164" s="2">
        <f>IFERROR(INDEX(المكاتب_المصدر[المنطقة],MATCH(Table10[[#This Row],[المجموعة]],المكاتب_المصدر[المجموعة],0)),"")</f>
        <v/>
      </c>
      <c r="C164" s="2">
        <f>'ملخص المجموعات'!B164</f>
        <v/>
      </c>
      <c r="D164" s="5">
        <f>'ملخص المجموعات'!C164</f>
        <v/>
      </c>
      <c r="E164" s="1">
        <f>'ملخص المجموعات'!D164</f>
        <v/>
      </c>
      <c r="F164" s="4">
        <f>'ملخص المجموعات'!E164</f>
        <v/>
      </c>
      <c r="G164" s="1">
        <f>'ملخص المجموعات'!F164</f>
        <v/>
      </c>
      <c r="H1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5" hidden="1">
      <c r="B165" s="2">
        <f>IFERROR(INDEX(المكاتب_المصدر[المنطقة],MATCH(Table10[[#This Row],[المجموعة]],المكاتب_المصدر[المجموعة],0)),"")</f>
        <v/>
      </c>
      <c r="C165" s="2">
        <f>'ملخص المجموعات'!B165</f>
        <v/>
      </c>
      <c r="D165" s="5">
        <f>'ملخص المجموعات'!C165</f>
        <v/>
      </c>
      <c r="E165" s="1">
        <f>'ملخص المجموعات'!D165</f>
        <v/>
      </c>
      <c r="F165" s="4">
        <f>'ملخص المجموعات'!E165</f>
        <v/>
      </c>
      <c r="G165" s="1">
        <f>'ملخص المجموعات'!F165</f>
        <v/>
      </c>
      <c r="H1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6" hidden="1">
      <c r="B166" s="2">
        <f>IFERROR(INDEX(المكاتب_المصدر[المنطقة],MATCH(Table10[[#This Row],[المجموعة]],المكاتب_المصدر[المجموعة],0)),"")</f>
        <v/>
      </c>
      <c r="C166" s="2">
        <f>'ملخص المجموعات'!B166</f>
        <v/>
      </c>
      <c r="D166" s="5">
        <f>'ملخص المجموعات'!C166</f>
        <v/>
      </c>
      <c r="E166" s="1">
        <f>'ملخص المجموعات'!D166</f>
        <v/>
      </c>
      <c r="F166" s="4">
        <f>'ملخص المجموعات'!E166</f>
        <v/>
      </c>
      <c r="G166" s="1">
        <f>'ملخص المجموعات'!F166</f>
        <v/>
      </c>
      <c r="H1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7" hidden="1">
      <c r="B167" s="2">
        <f>IFERROR(INDEX(المكاتب_المصدر[المنطقة],MATCH(Table10[[#This Row],[المجموعة]],المكاتب_المصدر[المجموعة],0)),"")</f>
        <v/>
      </c>
      <c r="C167" s="2">
        <f>'ملخص المجموعات'!B167</f>
        <v/>
      </c>
      <c r="D167" s="5">
        <f>'ملخص المجموعات'!C167</f>
        <v/>
      </c>
      <c r="E167" s="1">
        <f>'ملخص المجموعات'!D167</f>
        <v/>
      </c>
      <c r="F167" s="4">
        <f>'ملخص المجموعات'!E167</f>
        <v/>
      </c>
      <c r="G167" s="1">
        <f>'ملخص المجموعات'!F167</f>
        <v/>
      </c>
      <c r="H1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8" hidden="1">
      <c r="B168" s="2">
        <f>IFERROR(INDEX(المكاتب_المصدر[المنطقة],MATCH(Table10[[#This Row],[المجموعة]],المكاتب_المصدر[المجموعة],0)),"")</f>
        <v/>
      </c>
      <c r="C168" s="2">
        <f>'ملخص المجموعات'!B168</f>
        <v/>
      </c>
      <c r="D168" s="5">
        <f>'ملخص المجموعات'!C168</f>
        <v/>
      </c>
      <c r="E168" s="1">
        <f>'ملخص المجموعات'!D168</f>
        <v/>
      </c>
      <c r="F168" s="4">
        <f>'ملخص المجموعات'!E168</f>
        <v/>
      </c>
      <c r="G168" s="1">
        <f>'ملخص المجموعات'!F168</f>
        <v/>
      </c>
      <c r="H1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69" hidden="1">
      <c r="B169" s="2">
        <f>IFERROR(INDEX(المكاتب_المصدر[المنطقة],MATCH(Table10[[#This Row],[المجموعة]],المكاتب_المصدر[المجموعة],0)),"")</f>
        <v/>
      </c>
      <c r="C169" s="2">
        <f>'ملخص المجموعات'!B169</f>
        <v/>
      </c>
      <c r="D169" s="5">
        <f>'ملخص المجموعات'!C169</f>
        <v/>
      </c>
      <c r="E169" s="1">
        <f>'ملخص المجموعات'!D169</f>
        <v/>
      </c>
      <c r="F169" s="4">
        <f>'ملخص المجموعات'!E169</f>
        <v/>
      </c>
      <c r="G169" s="1">
        <f>'ملخص المجموعات'!F169</f>
        <v/>
      </c>
      <c r="H1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0" hidden="1">
      <c r="B170" s="2">
        <f>IFERROR(INDEX(المكاتب_المصدر[المنطقة],MATCH(Table10[[#This Row],[المجموعة]],المكاتب_المصدر[المجموعة],0)),"")</f>
        <v/>
      </c>
      <c r="C170" s="2">
        <f>'ملخص المجموعات'!B170</f>
        <v/>
      </c>
      <c r="D170" s="5">
        <f>'ملخص المجموعات'!C170</f>
        <v/>
      </c>
      <c r="E170" s="1">
        <f>'ملخص المجموعات'!D170</f>
        <v/>
      </c>
      <c r="F170" s="4">
        <f>'ملخص المجموعات'!E170</f>
        <v/>
      </c>
      <c r="G170" s="1">
        <f>'ملخص المجموعات'!F170</f>
        <v/>
      </c>
      <c r="H1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1" hidden="1">
      <c r="B171" s="2">
        <f>IFERROR(INDEX(المكاتب_المصدر[المنطقة],MATCH(Table10[[#This Row],[المجموعة]],المكاتب_المصدر[المجموعة],0)),"")</f>
        <v/>
      </c>
      <c r="C171" s="2">
        <f>'ملخص المجموعات'!B171</f>
        <v/>
      </c>
      <c r="D171" s="5">
        <f>'ملخص المجموعات'!C171</f>
        <v/>
      </c>
      <c r="E171" s="1">
        <f>'ملخص المجموعات'!D171</f>
        <v/>
      </c>
      <c r="F171" s="4">
        <f>'ملخص المجموعات'!E171</f>
        <v/>
      </c>
      <c r="G171" s="1">
        <f>'ملخص المجموعات'!F171</f>
        <v/>
      </c>
      <c r="H1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2" hidden="1">
      <c r="B172" s="2">
        <f>IFERROR(INDEX(المكاتب_المصدر[المنطقة],MATCH(Table10[[#This Row],[المجموعة]],المكاتب_المصدر[المجموعة],0)),"")</f>
        <v/>
      </c>
      <c r="C172" s="2">
        <f>'ملخص المجموعات'!B172</f>
        <v/>
      </c>
      <c r="D172" s="5">
        <f>'ملخص المجموعات'!C172</f>
        <v/>
      </c>
      <c r="E172" s="1">
        <f>'ملخص المجموعات'!D172</f>
        <v/>
      </c>
      <c r="F172" s="4">
        <f>'ملخص المجموعات'!E172</f>
        <v/>
      </c>
      <c r="G172" s="1">
        <f>'ملخص المجموعات'!F172</f>
        <v/>
      </c>
      <c r="H1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3" hidden="1">
      <c r="B173" s="2">
        <f>IFERROR(INDEX(المكاتب_المصدر[المنطقة],MATCH(Table10[[#This Row],[المجموعة]],المكاتب_المصدر[المجموعة],0)),"")</f>
        <v/>
      </c>
      <c r="C173" s="2">
        <f>'ملخص المجموعات'!B173</f>
        <v/>
      </c>
      <c r="D173" s="5">
        <f>'ملخص المجموعات'!C173</f>
        <v/>
      </c>
      <c r="E173" s="1">
        <f>'ملخص المجموعات'!D173</f>
        <v/>
      </c>
      <c r="F173" s="4">
        <f>'ملخص المجموعات'!E173</f>
        <v/>
      </c>
      <c r="G173" s="1">
        <f>'ملخص المجموعات'!F173</f>
        <v/>
      </c>
      <c r="H1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4" hidden="1">
      <c r="B174" s="2">
        <f>IFERROR(INDEX(المكاتب_المصدر[المنطقة],MATCH(Table10[[#This Row],[المجموعة]],المكاتب_المصدر[المجموعة],0)),"")</f>
        <v/>
      </c>
      <c r="C174" s="2">
        <f>'ملخص المجموعات'!B174</f>
        <v/>
      </c>
      <c r="D174" s="5">
        <f>'ملخص المجموعات'!C174</f>
        <v/>
      </c>
      <c r="E174" s="1">
        <f>'ملخص المجموعات'!D174</f>
        <v/>
      </c>
      <c r="F174" s="4">
        <f>'ملخص المجموعات'!E174</f>
        <v/>
      </c>
      <c r="G174" s="1">
        <f>'ملخص المجموعات'!F174</f>
        <v/>
      </c>
      <c r="H1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5" hidden="1">
      <c r="B175" s="2">
        <f>IFERROR(INDEX(المكاتب_المصدر[المنطقة],MATCH(Table10[[#This Row],[المجموعة]],المكاتب_المصدر[المجموعة],0)),"")</f>
        <v/>
      </c>
      <c r="C175" s="2">
        <f>'ملخص المجموعات'!B175</f>
        <v/>
      </c>
      <c r="D175" s="5">
        <f>'ملخص المجموعات'!C175</f>
        <v/>
      </c>
      <c r="E175" s="1">
        <f>'ملخص المجموعات'!D175</f>
        <v/>
      </c>
      <c r="F175" s="4">
        <f>'ملخص المجموعات'!E175</f>
        <v/>
      </c>
      <c r="G175" s="1">
        <f>'ملخص المجموعات'!F175</f>
        <v/>
      </c>
      <c r="H1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6" hidden="1">
      <c r="B176" s="2">
        <f>IFERROR(INDEX(المكاتب_المصدر[المنطقة],MATCH(Table10[[#This Row],[المجموعة]],المكاتب_المصدر[المجموعة],0)),"")</f>
        <v/>
      </c>
      <c r="C176" s="2">
        <f>'ملخص المجموعات'!B176</f>
        <v/>
      </c>
      <c r="D176" s="5">
        <f>'ملخص المجموعات'!C176</f>
        <v/>
      </c>
      <c r="E176" s="1">
        <f>'ملخص المجموعات'!D176</f>
        <v/>
      </c>
      <c r="F176" s="4">
        <f>'ملخص المجموعات'!E176</f>
        <v/>
      </c>
      <c r="G176" s="1">
        <f>'ملخص المجموعات'!F176</f>
        <v/>
      </c>
      <c r="H1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7" hidden="1">
      <c r="B177" s="2">
        <f>IFERROR(INDEX(المكاتب_المصدر[المنطقة],MATCH(Table10[[#This Row],[المجموعة]],المكاتب_المصدر[المجموعة],0)),"")</f>
        <v/>
      </c>
      <c r="C177" s="2">
        <f>'ملخص المجموعات'!B177</f>
        <v/>
      </c>
      <c r="D177" s="5">
        <f>'ملخص المجموعات'!C177</f>
        <v/>
      </c>
      <c r="E177" s="1">
        <f>'ملخص المجموعات'!D177</f>
        <v/>
      </c>
      <c r="F177" s="4">
        <f>'ملخص المجموعات'!E177</f>
        <v/>
      </c>
      <c r="G177" s="1">
        <f>'ملخص المجموعات'!F177</f>
        <v/>
      </c>
      <c r="H1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8" hidden="1">
      <c r="B178" s="2">
        <f>IFERROR(INDEX(المكاتب_المصدر[المنطقة],MATCH(Table10[[#This Row],[المجموعة]],المكاتب_المصدر[المجموعة],0)),"")</f>
        <v/>
      </c>
      <c r="C178" s="2">
        <f>'ملخص المجموعات'!B178</f>
        <v/>
      </c>
      <c r="D178" s="5">
        <f>'ملخص المجموعات'!C178</f>
        <v/>
      </c>
      <c r="E178" s="1">
        <f>'ملخص المجموعات'!D178</f>
        <v/>
      </c>
      <c r="F178" s="4">
        <f>'ملخص المجموعات'!E178</f>
        <v/>
      </c>
      <c r="G178" s="1">
        <f>'ملخص المجموعات'!F178</f>
        <v/>
      </c>
      <c r="H1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79" hidden="1">
      <c r="B179" s="2">
        <f>IFERROR(INDEX(المكاتب_المصدر[المنطقة],MATCH(Table10[[#This Row],[المجموعة]],المكاتب_المصدر[المجموعة],0)),"")</f>
        <v/>
      </c>
      <c r="C179" s="2">
        <f>'ملخص المجموعات'!B179</f>
        <v/>
      </c>
      <c r="D179" s="5">
        <f>'ملخص المجموعات'!C179</f>
        <v/>
      </c>
      <c r="E179" s="1">
        <f>'ملخص المجموعات'!D179</f>
        <v/>
      </c>
      <c r="F179" s="4">
        <f>'ملخص المجموعات'!E179</f>
        <v/>
      </c>
      <c r="G179" s="1">
        <f>'ملخص المجموعات'!F179</f>
        <v/>
      </c>
      <c r="H1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80" hidden="1">
      <c r="B180" s="2">
        <f>IFERROR(INDEX(المكاتب_المصدر[المنطقة],MATCH(Table10[[#This Row],[المجموعة]],المكاتب_المصدر[المجموعة],0)),"")</f>
        <v/>
      </c>
      <c r="C180" s="2">
        <f>'ملخص المجموعات'!B180</f>
        <v/>
      </c>
      <c r="D180" s="5">
        <f>'ملخص المجموعات'!C180</f>
        <v/>
      </c>
      <c r="E180" s="1">
        <f>'ملخص المجموعات'!D180</f>
        <v/>
      </c>
      <c r="F180" s="4">
        <f>'ملخص المجموعات'!E180</f>
        <v/>
      </c>
      <c r="G180" s="1">
        <f>'ملخص المجموعات'!F180</f>
        <v/>
      </c>
      <c r="H1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81" hidden="1">
      <c r="B181" s="2">
        <f>IFERROR(INDEX(المكاتب_المصدر[المنطقة],MATCH(Table10[[#This Row],[المجموعة]],المكاتب_المصدر[المجموعة],0)),"")</f>
        <v/>
      </c>
      <c r="C181" s="2">
        <f>'ملخص المجموعات'!B181</f>
        <v/>
      </c>
      <c r="D181" s="5">
        <f>'ملخص المجموعات'!C181</f>
        <v/>
      </c>
      <c r="E181" s="1">
        <f>'ملخص المجموعات'!D181</f>
        <v/>
      </c>
      <c r="F181" s="4">
        <f>'ملخص المجموعات'!E181</f>
        <v/>
      </c>
      <c r="G181" s="1">
        <f>'ملخص المجموعات'!F181</f>
        <v/>
      </c>
      <c r="H1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82" hidden="1">
      <c r="B182" s="2">
        <f>IFERROR(INDEX(المكاتب_المصدر[المنطقة],MATCH(Table10[[#This Row],[المجموعة]],المكاتب_المصدر[المجموعة],0)),"")</f>
        <v/>
      </c>
      <c r="C182" s="2">
        <f>'ملخص المجموعات'!B182</f>
        <v/>
      </c>
      <c r="D182" s="5">
        <f>'ملخص المجموعات'!C182</f>
        <v/>
      </c>
      <c r="E182" s="1">
        <f>'ملخص المجموعات'!D182</f>
        <v/>
      </c>
      <c r="F182" s="4">
        <f>'ملخص المجموعات'!E182</f>
        <v/>
      </c>
      <c r="G182" s="1">
        <f>'ملخص المجموعات'!F182</f>
        <v/>
      </c>
      <c r="H1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83" hidden="1">
      <c r="B183" s="2">
        <f>IFERROR(INDEX(المكاتب_المصدر[المنطقة],MATCH(Table10[[#This Row],[المجموعة]],المكاتب_المصدر[المجموعة],0)),"")</f>
        <v/>
      </c>
      <c r="C183" s="2">
        <f>'ملخص المجموعات'!B183</f>
        <v/>
      </c>
      <c r="D183" s="5">
        <f>'ملخص المجموعات'!C183</f>
        <v/>
      </c>
      <c r="E183" s="1">
        <f>'ملخص المجموعات'!D183</f>
        <v/>
      </c>
      <c r="F183" s="4">
        <f>'ملخص المجموعات'!E183</f>
        <v/>
      </c>
      <c r="G183" s="1">
        <f>'ملخص المجموعات'!F183</f>
        <v/>
      </c>
      <c r="H1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84" hidden="1">
      <c r="B184" s="2">
        <f>IFERROR(INDEX(المكاتب_المصدر[المنطقة],MATCH(Table10[[#This Row],[المجموعة]],المكاتب_المصدر[المجموعة],0)),"")</f>
        <v/>
      </c>
      <c r="C184" s="2">
        <f>'ملخص المجموعات'!B184</f>
        <v/>
      </c>
      <c r="D184" s="5">
        <f>'ملخص المجموعات'!C184</f>
        <v/>
      </c>
      <c r="E184" s="1">
        <f>'ملخص المجموعات'!D184</f>
        <v/>
      </c>
      <c r="F184" s="4">
        <f>'ملخص المجموعات'!E184</f>
        <v/>
      </c>
      <c r="G184" s="1">
        <f>'ملخص المجموعات'!F184</f>
        <v/>
      </c>
      <c r="H1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85" hidden="1">
      <c r="B185" s="2">
        <f>IFERROR(INDEX(المكاتب_المصدر[المنطقة],MATCH(Table10[[#This Row],[المجموعة]],المكاتب_المصدر[المجموعة],0)),"")</f>
        <v/>
      </c>
      <c r="C185" s="2">
        <f>'ملخص المجموعات'!B185</f>
        <v/>
      </c>
      <c r="D185" s="5">
        <f>'ملخص المجموعات'!C185</f>
        <v/>
      </c>
      <c r="E185" s="1">
        <f>'ملخص المجموعات'!D185</f>
        <v/>
      </c>
      <c r="F185" s="4">
        <f>'ملخص المجموعات'!E185</f>
        <v/>
      </c>
      <c r="G185" s="1">
        <f>'ملخص المجموعات'!F185</f>
        <v/>
      </c>
      <c r="H1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86" hidden="1">
      <c r="B186" s="2">
        <f>IFERROR(INDEX(المكاتب_المصدر[المنطقة],MATCH(Table10[[#This Row],[المجموعة]],المكاتب_المصدر[المجموعة],0)),"")</f>
        <v/>
      </c>
      <c r="C186" s="2">
        <f>'ملخص المجموعات'!B186</f>
        <v/>
      </c>
      <c r="D186" s="5">
        <f>'ملخص المجموعات'!C186</f>
        <v/>
      </c>
      <c r="E186" s="1">
        <f>'ملخص المجموعات'!D186</f>
        <v/>
      </c>
      <c r="F186" s="4">
        <f>'ملخص المجموعات'!E186</f>
        <v/>
      </c>
      <c r="G186" s="1">
        <f>'ملخص المجموعات'!F186</f>
        <v/>
      </c>
      <c r="H1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/>
      </c>
    </row>
    <row r="187"/>
    <row r="188"/>
    <row r="189"/>
    <row r="19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0"/>
  <sheetViews>
    <sheetView rightToLeft="1" zoomScale="53" zoomScaleNormal="85" workbookViewId="0">
      <selection activeCell="H1" sqref="H1:H1048576"/>
    </sheetView>
  </sheetViews>
  <sheetFormatPr baseColWidth="8" defaultRowHeight="14.5"/>
  <cols>
    <col width="10.453125" customWidth="1" style="2" min="2" max="2"/>
    <col width="8.26953125" bestFit="1" customWidth="1" style="5" min="3" max="3"/>
    <col width="16.54296875" bestFit="1" customWidth="1" style="2" min="4" max="4"/>
    <col width="12" bestFit="1" customWidth="1" style="2" min="5" max="5"/>
    <col width="51.90625" bestFit="1" customWidth="1" style="2" min="6" max="6"/>
    <col width="12.08984375" bestFit="1" customWidth="1" min="7" max="7"/>
    <col width="22.81640625" bestFit="1" customWidth="1" min="8" max="8"/>
  </cols>
  <sheetData>
    <row r="1"/>
    <row r="2">
      <c r="B2" s="6" t="inlineStr">
        <is>
          <t>المنطقة</t>
        </is>
      </c>
      <c r="C2" s="6" t="inlineStr">
        <is>
          <t>الفئة</t>
        </is>
      </c>
      <c r="D2" s="6" t="inlineStr">
        <is>
          <t>المجموعة</t>
        </is>
      </c>
      <c r="E2" s="6" t="inlineStr">
        <is>
          <t>عدد المدن</t>
        </is>
      </c>
      <c r="F2" s="6" t="inlineStr">
        <is>
          <t>المدن</t>
        </is>
      </c>
      <c r="G2" s="6" t="inlineStr">
        <is>
          <t>عدد الفرق</t>
        </is>
      </c>
      <c r="H2" s="6" t="inlineStr">
        <is>
          <t>عدد اللاعبين</t>
        </is>
      </c>
    </row>
    <row r="3">
      <c r="B3" s="65">
        <f>IFERROR(INDEX(المكاتب_المصدر[المنطقة],MATCH('عدد اللاعبين'!$D3,المكاتب_المصدر[المجموعة],0)),"")</f>
        <v/>
      </c>
      <c r="C3" s="65">
        <f>'ملخص المجموعات'!B3</f>
        <v/>
      </c>
      <c r="D3" s="66">
        <f>'ملخص المجموعات'!C3</f>
        <v/>
      </c>
      <c r="E3" s="67">
        <f>'ملخص المجموعات'!D3</f>
        <v/>
      </c>
      <c r="F3" s="68">
        <f>'ملخص المجموعات'!E3</f>
        <v/>
      </c>
      <c r="G3" s="67">
        <f>'ملخص المجموعات'!F3</f>
        <v/>
      </c>
      <c r="H3" s="72">
        <f>IF('عدد اللاعبين'!$G3&lt;الحد_الأدنى,0,'عدد اللاعبين'!$G3*IFERROR(INDEX(المدخلات!$Y$3:$Y$9,MATCH('عدد اللاعبين'!$C3,المدخلات!$X$3:$X$9,0)),0))</f>
        <v/>
      </c>
    </row>
    <row r="4">
      <c r="B4" s="64">
        <f>IFERROR(INDEX(المكاتب_المصدر[المنطقة],MATCH('عدد اللاعبين'!$D4,المكاتب_المصدر[المجموعة],0)),"")</f>
        <v/>
      </c>
      <c r="C4" s="65">
        <f>'ملخص المجموعات'!B4</f>
        <v/>
      </c>
      <c r="D4" s="66">
        <f>'ملخص المجموعات'!C4</f>
        <v/>
      </c>
      <c r="E4" s="67">
        <f>'ملخص المجموعات'!D4</f>
        <v/>
      </c>
      <c r="F4" s="68">
        <f>'ملخص المجموعات'!E4</f>
        <v/>
      </c>
      <c r="G4" s="67">
        <f>'ملخص المجموعات'!F4</f>
        <v/>
      </c>
      <c r="H4" s="73">
        <f>IF('عدد اللاعبين'!$G4&lt;الحد_الأدنى,0,'عدد اللاعبين'!$G4*IFERROR(INDEX(المدخلات!$Y$3:$Y$9,MATCH('عدد اللاعبين'!$C4,المدخلات!$X$3:$X$9,0)),0))</f>
        <v/>
      </c>
    </row>
    <row r="5">
      <c r="B5" s="65">
        <f>IFERROR(INDEX(المكاتب_المصدر[المنطقة],MATCH('عدد اللاعبين'!$D5,المكاتب_المصدر[المجموعة],0)),"")</f>
        <v/>
      </c>
      <c r="C5" s="65">
        <f>'ملخص المجموعات'!B5</f>
        <v/>
      </c>
      <c r="D5" s="66">
        <f>'ملخص المجموعات'!C5</f>
        <v/>
      </c>
      <c r="E5" s="67">
        <f>'ملخص المجموعات'!D5</f>
        <v/>
      </c>
      <c r="F5" s="68">
        <f>'ملخص المجموعات'!E5</f>
        <v/>
      </c>
      <c r="G5" s="67">
        <f>'ملخص المجموعات'!F5</f>
        <v/>
      </c>
      <c r="H5" s="72">
        <f>IF('عدد اللاعبين'!$G5&lt;الحد_الأدنى,0,'عدد اللاعبين'!$G5*IFERROR(INDEX(المدخلات!$Y$3:$Y$9,MATCH('عدد اللاعبين'!$C5,المدخلات!$X$3:$X$9,0)),0))</f>
        <v/>
      </c>
    </row>
    <row r="6">
      <c r="B6" s="64">
        <f>IFERROR(INDEX(المكاتب_المصدر[المنطقة],MATCH('عدد اللاعبين'!$D6,المكاتب_المصدر[المجموعة],0)),"")</f>
        <v/>
      </c>
      <c r="C6" s="65">
        <f>'ملخص المجموعات'!B6</f>
        <v/>
      </c>
      <c r="D6" s="66">
        <f>'ملخص المجموعات'!C6</f>
        <v/>
      </c>
      <c r="E6" s="67">
        <f>'ملخص المجموعات'!D6</f>
        <v/>
      </c>
      <c r="F6" s="68">
        <f>'ملخص المجموعات'!E6</f>
        <v/>
      </c>
      <c r="G6" s="67">
        <f>'ملخص المجموعات'!F6</f>
        <v/>
      </c>
      <c r="H6" s="73">
        <f>IF('عدد اللاعبين'!$G6&lt;الحد_الأدنى,0,'عدد اللاعبين'!$G6*IFERROR(INDEX(المدخلات!$Y$3:$Y$9,MATCH('عدد اللاعبين'!$C6,المدخلات!$X$3:$X$9,0)),0))</f>
        <v/>
      </c>
    </row>
    <row r="7">
      <c r="B7" s="65">
        <f>IFERROR(INDEX(المكاتب_المصدر[المنطقة],MATCH('عدد اللاعبين'!$D7,المكاتب_المصدر[المجموعة],0)),"")</f>
        <v/>
      </c>
      <c r="C7" s="65">
        <f>'ملخص المجموعات'!B7</f>
        <v/>
      </c>
      <c r="D7" s="66">
        <f>'ملخص المجموعات'!C7</f>
        <v/>
      </c>
      <c r="E7" s="67">
        <f>'ملخص المجموعات'!D7</f>
        <v/>
      </c>
      <c r="F7" s="68">
        <f>'ملخص المجموعات'!E7</f>
        <v/>
      </c>
      <c r="G7" s="67">
        <f>'ملخص المجموعات'!F7</f>
        <v/>
      </c>
      <c r="H7" s="72">
        <f>IF('عدد اللاعبين'!$G7&lt;الحد_الأدنى,0,'عدد اللاعبين'!$G7*IFERROR(INDEX(المدخلات!$Y$3:$Y$9,MATCH('عدد اللاعبين'!$C7,المدخلات!$X$3:$X$9,0)),0))</f>
        <v/>
      </c>
    </row>
    <row r="8">
      <c r="B8" s="64">
        <f>IFERROR(INDEX(المكاتب_المصدر[المنطقة],MATCH('عدد اللاعبين'!$D8,المكاتب_المصدر[المجموعة],0)),"")</f>
        <v/>
      </c>
      <c r="C8" s="65">
        <f>'ملخص المجموعات'!B8</f>
        <v/>
      </c>
      <c r="D8" s="66">
        <f>'ملخص المجموعات'!C8</f>
        <v/>
      </c>
      <c r="E8" s="67">
        <f>'ملخص المجموعات'!D8</f>
        <v/>
      </c>
      <c r="F8" s="68">
        <f>'ملخص المجموعات'!E8</f>
        <v/>
      </c>
      <c r="G8" s="67">
        <f>'ملخص المجموعات'!F8</f>
        <v/>
      </c>
      <c r="H8" s="73">
        <f>IF('عدد اللاعبين'!$G8&lt;الحد_الأدنى,0,'عدد اللاعبين'!$G8*IFERROR(INDEX(المدخلات!$Y$3:$Y$9,MATCH('عدد اللاعبين'!$C8,المدخلات!$X$3:$X$9,0)),0))</f>
        <v/>
      </c>
    </row>
    <row r="9">
      <c r="B9" s="65">
        <f>IFERROR(INDEX(المكاتب_المصدر[المنطقة],MATCH('عدد اللاعبين'!$D9,المكاتب_المصدر[المجموعة],0)),"")</f>
        <v/>
      </c>
      <c r="C9" s="65">
        <f>'ملخص المجموعات'!B9</f>
        <v/>
      </c>
      <c r="D9" s="66">
        <f>'ملخص المجموعات'!C9</f>
        <v/>
      </c>
      <c r="E9" s="67">
        <f>'ملخص المجموعات'!D9</f>
        <v/>
      </c>
      <c r="F9" s="68">
        <f>'ملخص المجموعات'!E9</f>
        <v/>
      </c>
      <c r="G9" s="67">
        <f>'ملخص المجموعات'!F9</f>
        <v/>
      </c>
      <c r="H9" s="72">
        <f>IF('عدد اللاعبين'!$G9&lt;الحد_الأدنى,0,'عدد اللاعبين'!$G9*IFERROR(INDEX(المدخلات!$Y$3:$Y$9,MATCH('عدد اللاعبين'!$C9,المدخلات!$X$3:$X$9,0)),0))</f>
        <v/>
      </c>
    </row>
    <row r="10">
      <c r="B10" s="64">
        <f>IFERROR(INDEX(المكاتب_المصدر[المنطقة],MATCH('عدد اللاعبين'!$D10,المكاتب_المصدر[المجموعة],0)),"")</f>
        <v/>
      </c>
      <c r="C10" s="65">
        <f>'ملخص المجموعات'!B10</f>
        <v/>
      </c>
      <c r="D10" s="66">
        <f>'ملخص المجموعات'!C10</f>
        <v/>
      </c>
      <c r="E10" s="67">
        <f>'ملخص المجموعات'!D10</f>
        <v/>
      </c>
      <c r="F10" s="68">
        <f>'ملخص المجموعات'!E10</f>
        <v/>
      </c>
      <c r="G10" s="67">
        <f>'ملخص المجموعات'!F10</f>
        <v/>
      </c>
      <c r="H10" s="73">
        <f>IF('عدد اللاعبين'!$G10&lt;الحد_الأدنى,0,'عدد اللاعبين'!$G10*IFERROR(INDEX(المدخلات!$Y$3:$Y$9,MATCH('عدد اللاعبين'!$C10,المدخلات!$X$3:$X$9,0)),0))</f>
        <v/>
      </c>
    </row>
    <row r="11">
      <c r="B11" s="65">
        <f>IFERROR(INDEX(المكاتب_المصدر[المنطقة],MATCH('عدد اللاعبين'!$D11,المكاتب_المصدر[المجموعة],0)),"")</f>
        <v/>
      </c>
      <c r="C11" s="65">
        <f>'ملخص المجموعات'!B11</f>
        <v/>
      </c>
      <c r="D11" s="66">
        <f>'ملخص المجموعات'!C11</f>
        <v/>
      </c>
      <c r="E11" s="67">
        <f>'ملخص المجموعات'!D11</f>
        <v/>
      </c>
      <c r="F11" s="68">
        <f>'ملخص المجموعات'!E11</f>
        <v/>
      </c>
      <c r="G11" s="67">
        <f>'ملخص المجموعات'!F11</f>
        <v/>
      </c>
      <c r="H11" s="72">
        <f>IF('عدد اللاعبين'!$G11&lt;الحد_الأدنى,0,'عدد اللاعبين'!$G11*IFERROR(INDEX(المدخلات!$Y$3:$Y$9,MATCH('عدد اللاعبين'!$C11,المدخلات!$X$3:$X$9,0)),0))</f>
        <v/>
      </c>
    </row>
    <row r="12">
      <c r="B12" s="64">
        <f>IFERROR(INDEX(المكاتب_المصدر[المنطقة],MATCH('عدد اللاعبين'!$D12,المكاتب_المصدر[المجموعة],0)),"")</f>
        <v/>
      </c>
      <c r="C12" s="65">
        <f>'ملخص المجموعات'!B12</f>
        <v/>
      </c>
      <c r="D12" s="66">
        <f>'ملخص المجموعات'!C12</f>
        <v/>
      </c>
      <c r="E12" s="67">
        <f>'ملخص المجموعات'!D12</f>
        <v/>
      </c>
      <c r="F12" s="68">
        <f>'ملخص المجموعات'!E12</f>
        <v/>
      </c>
      <c r="G12" s="67">
        <f>'ملخص المجموعات'!F12</f>
        <v/>
      </c>
      <c r="H12" s="73">
        <f>IF('عدد اللاعبين'!$G12&lt;الحد_الأدنى,0,'عدد اللاعبين'!$G12*IFERROR(INDEX(المدخلات!$Y$3:$Y$9,MATCH('عدد اللاعبين'!$C12,المدخلات!$X$3:$X$9,0)),0))</f>
        <v/>
      </c>
    </row>
    <row r="13">
      <c r="B13" s="65">
        <f>IFERROR(INDEX(المكاتب_المصدر[المنطقة],MATCH('عدد اللاعبين'!$D13,المكاتب_المصدر[المجموعة],0)),"")</f>
        <v/>
      </c>
      <c r="C13" s="65">
        <f>'ملخص المجموعات'!B13</f>
        <v/>
      </c>
      <c r="D13" s="66">
        <f>'ملخص المجموعات'!C13</f>
        <v/>
      </c>
      <c r="E13" s="67">
        <f>'ملخص المجموعات'!D13</f>
        <v/>
      </c>
      <c r="F13" s="68">
        <f>'ملخص المجموعات'!E13</f>
        <v/>
      </c>
      <c r="G13" s="67">
        <f>'ملخص المجموعات'!F13</f>
        <v/>
      </c>
      <c r="H13" s="72">
        <f>IF('عدد اللاعبين'!$G13&lt;الحد_الأدنى,0,'عدد اللاعبين'!$G13*IFERROR(INDEX(المدخلات!$Y$3:$Y$9,MATCH('عدد اللاعبين'!$C13,المدخلات!$X$3:$X$9,0)),0))</f>
        <v/>
      </c>
    </row>
    <row r="14">
      <c r="B14" s="64">
        <f>IFERROR(INDEX(المكاتب_المصدر[المنطقة],MATCH('عدد اللاعبين'!$D14,المكاتب_المصدر[المجموعة],0)),"")</f>
        <v/>
      </c>
      <c r="C14" s="65">
        <f>'ملخص المجموعات'!B14</f>
        <v/>
      </c>
      <c r="D14" s="66">
        <f>'ملخص المجموعات'!C14</f>
        <v/>
      </c>
      <c r="E14" s="67">
        <f>'ملخص المجموعات'!D14</f>
        <v/>
      </c>
      <c r="F14" s="68">
        <f>'ملخص المجموعات'!E14</f>
        <v/>
      </c>
      <c r="G14" s="67">
        <f>'ملخص المجموعات'!F14</f>
        <v/>
      </c>
      <c r="H14" s="73">
        <f>IF('عدد اللاعبين'!$G14&lt;الحد_الأدنى,0,'عدد اللاعبين'!$G14*IFERROR(INDEX(المدخلات!$Y$3:$Y$9,MATCH('عدد اللاعبين'!$C14,المدخلات!$X$3:$X$9,0)),0))</f>
        <v/>
      </c>
    </row>
    <row r="15">
      <c r="B15" s="65">
        <f>IFERROR(INDEX(المكاتب_المصدر[المنطقة],MATCH('عدد اللاعبين'!$D15,المكاتب_المصدر[المجموعة],0)),"")</f>
        <v/>
      </c>
      <c r="C15" s="65">
        <f>'ملخص المجموعات'!B15</f>
        <v/>
      </c>
      <c r="D15" s="66">
        <f>'ملخص المجموعات'!C15</f>
        <v/>
      </c>
      <c r="E15" s="67">
        <f>'ملخص المجموعات'!D15</f>
        <v/>
      </c>
      <c r="F15" s="68">
        <f>'ملخص المجموعات'!E15</f>
        <v/>
      </c>
      <c r="G15" s="67">
        <f>'ملخص المجموعات'!F15</f>
        <v/>
      </c>
      <c r="H15" s="72">
        <f>IF('عدد اللاعبين'!$G15&lt;الحد_الأدنى,0,'عدد اللاعبين'!$G15*IFERROR(INDEX(المدخلات!$Y$3:$Y$9,MATCH('عدد اللاعبين'!$C15,المدخلات!$X$3:$X$9,0)),0))</f>
        <v/>
      </c>
    </row>
    <row r="16">
      <c r="B16" s="64">
        <f>IFERROR(INDEX(المكاتب_المصدر[المنطقة],MATCH('عدد اللاعبين'!$D16,المكاتب_المصدر[المجموعة],0)),"")</f>
        <v/>
      </c>
      <c r="C16" s="65">
        <f>'ملخص المجموعات'!B16</f>
        <v/>
      </c>
      <c r="D16" s="66">
        <f>'ملخص المجموعات'!C16</f>
        <v/>
      </c>
      <c r="E16" s="67">
        <f>'ملخص المجموعات'!D16</f>
        <v/>
      </c>
      <c r="F16" s="68">
        <f>'ملخص المجموعات'!E16</f>
        <v/>
      </c>
      <c r="G16" s="67">
        <f>'ملخص المجموعات'!F16</f>
        <v/>
      </c>
      <c r="H16" s="73">
        <f>IF('عدد اللاعبين'!$G16&lt;الحد_الأدنى,0,'عدد اللاعبين'!$G16*IFERROR(INDEX(المدخلات!$Y$3:$Y$9,MATCH('عدد اللاعبين'!$C16,المدخلات!$X$3:$X$9,0)),0))</f>
        <v/>
      </c>
    </row>
    <row r="17">
      <c r="B17" s="65">
        <f>IFERROR(INDEX(المكاتب_المصدر[المنطقة],MATCH('عدد اللاعبين'!$D17,المكاتب_المصدر[المجموعة],0)),"")</f>
        <v/>
      </c>
      <c r="C17" s="65">
        <f>'ملخص المجموعات'!B17</f>
        <v/>
      </c>
      <c r="D17" s="66">
        <f>'ملخص المجموعات'!C17</f>
        <v/>
      </c>
      <c r="E17" s="67">
        <f>'ملخص المجموعات'!D17</f>
        <v/>
      </c>
      <c r="F17" s="68">
        <f>'ملخص المجموعات'!E17</f>
        <v/>
      </c>
      <c r="G17" s="67">
        <f>'ملخص المجموعات'!F17</f>
        <v/>
      </c>
      <c r="H17" s="72">
        <f>IF('عدد اللاعبين'!$G17&lt;الحد_الأدنى,0,'عدد اللاعبين'!$G17*IFERROR(INDEX(المدخلات!$Y$3:$Y$9,MATCH('عدد اللاعبين'!$C17,المدخلات!$X$3:$X$9,0)),0))</f>
        <v/>
      </c>
    </row>
    <row r="18">
      <c r="B18" s="64">
        <f>IFERROR(INDEX(المكاتب_المصدر[المنطقة],MATCH('عدد اللاعبين'!$D18,المكاتب_المصدر[المجموعة],0)),"")</f>
        <v/>
      </c>
      <c r="C18" s="65">
        <f>'ملخص المجموعات'!B18</f>
        <v/>
      </c>
      <c r="D18" s="66">
        <f>'ملخص المجموعات'!C18</f>
        <v/>
      </c>
      <c r="E18" s="67">
        <f>'ملخص المجموعات'!D18</f>
        <v/>
      </c>
      <c r="F18" s="68">
        <f>'ملخص المجموعات'!E18</f>
        <v/>
      </c>
      <c r="G18" s="67">
        <f>'ملخص المجموعات'!F18</f>
        <v/>
      </c>
      <c r="H18" s="73">
        <f>IF('عدد اللاعبين'!$G18&lt;الحد_الأدنى,0,'عدد اللاعبين'!$G18*IFERROR(INDEX(المدخلات!$Y$3:$Y$9,MATCH('عدد اللاعبين'!$C18,المدخلات!$X$3:$X$9,0)),0))</f>
        <v/>
      </c>
    </row>
    <row r="19">
      <c r="B19" s="65">
        <f>IFERROR(INDEX(المكاتب_المصدر[المنطقة],MATCH('عدد اللاعبين'!$D19,المكاتب_المصدر[المجموعة],0)),"")</f>
        <v/>
      </c>
      <c r="C19" s="65">
        <f>'ملخص المجموعات'!B19</f>
        <v/>
      </c>
      <c r="D19" s="66">
        <f>'ملخص المجموعات'!C19</f>
        <v/>
      </c>
      <c r="E19" s="67">
        <f>'ملخص المجموعات'!D19</f>
        <v/>
      </c>
      <c r="F19" s="68">
        <f>'ملخص المجموعات'!E19</f>
        <v/>
      </c>
      <c r="G19" s="67">
        <f>'ملخص المجموعات'!F19</f>
        <v/>
      </c>
      <c r="H19" s="72">
        <f>IF('عدد اللاعبين'!$G19&lt;الحد_الأدنى,0,'عدد اللاعبين'!$G19*IFERROR(INDEX(المدخلات!$Y$3:$Y$9,MATCH('عدد اللاعبين'!$C19,المدخلات!$X$3:$X$9,0)),0))</f>
        <v/>
      </c>
    </row>
    <row r="20">
      <c r="B20" s="64">
        <f>IFERROR(INDEX(المكاتب_المصدر[المنطقة],MATCH('عدد اللاعبين'!$D20,المكاتب_المصدر[المجموعة],0)),"")</f>
        <v/>
      </c>
      <c r="C20" s="65">
        <f>'ملخص المجموعات'!B20</f>
        <v/>
      </c>
      <c r="D20" s="66">
        <f>'ملخص المجموعات'!C20</f>
        <v/>
      </c>
      <c r="E20" s="67">
        <f>'ملخص المجموعات'!D20</f>
        <v/>
      </c>
      <c r="F20" s="68">
        <f>'ملخص المجموعات'!E20</f>
        <v/>
      </c>
      <c r="G20" s="67">
        <f>'ملخص المجموعات'!F20</f>
        <v/>
      </c>
      <c r="H20" s="73">
        <f>IF('عدد اللاعبين'!$G20&lt;الحد_الأدنى,0,'عدد اللاعبين'!$G20*IFERROR(INDEX(المدخلات!$Y$3:$Y$9,MATCH('عدد اللاعبين'!$C20,المدخلات!$X$3:$X$9,0)),0))</f>
        <v/>
      </c>
    </row>
    <row r="21">
      <c r="B21" s="65">
        <f>IFERROR(INDEX(المكاتب_المصدر[المنطقة],MATCH('عدد اللاعبين'!$D21,المكاتب_المصدر[المجموعة],0)),"")</f>
        <v/>
      </c>
      <c r="C21" s="65">
        <f>'ملخص المجموعات'!B21</f>
        <v/>
      </c>
      <c r="D21" s="66">
        <f>'ملخص المجموعات'!C21</f>
        <v/>
      </c>
      <c r="E21" s="67">
        <f>'ملخص المجموعات'!D21</f>
        <v/>
      </c>
      <c r="F21" s="68">
        <f>'ملخص المجموعات'!E21</f>
        <v/>
      </c>
      <c r="G21" s="67">
        <f>'ملخص المجموعات'!F21</f>
        <v/>
      </c>
      <c r="H21" s="72">
        <f>IF('عدد اللاعبين'!$G21&lt;الحد_الأدنى,0,'عدد اللاعبين'!$G21*IFERROR(INDEX(المدخلات!$Y$3:$Y$9,MATCH('عدد اللاعبين'!$C21,المدخلات!$X$3:$X$9,0)),0))</f>
        <v/>
      </c>
    </row>
    <row r="22">
      <c r="B22" s="64">
        <f>IFERROR(INDEX(المكاتب_المصدر[المنطقة],MATCH('عدد اللاعبين'!$D22,المكاتب_المصدر[المجموعة],0)),"")</f>
        <v/>
      </c>
      <c r="C22" s="65">
        <f>'ملخص المجموعات'!B22</f>
        <v/>
      </c>
      <c r="D22" s="66">
        <f>'ملخص المجموعات'!C22</f>
        <v/>
      </c>
      <c r="E22" s="67">
        <f>'ملخص المجموعات'!D22</f>
        <v/>
      </c>
      <c r="F22" s="68">
        <f>'ملخص المجموعات'!E22</f>
        <v/>
      </c>
      <c r="G22" s="67">
        <f>'ملخص المجموعات'!F22</f>
        <v/>
      </c>
      <c r="H22" s="73">
        <f>IF('عدد اللاعبين'!$G22&lt;الحد_الأدنى,0,'عدد اللاعبين'!$G22*IFERROR(INDEX(المدخلات!$Y$3:$Y$9,MATCH('عدد اللاعبين'!$C22,المدخلات!$X$3:$X$9,0)),0))</f>
        <v/>
      </c>
    </row>
    <row r="23">
      <c r="B23" s="65">
        <f>IFERROR(INDEX(المكاتب_المصدر[المنطقة],MATCH('عدد اللاعبين'!$D23,المكاتب_المصدر[المجموعة],0)),"")</f>
        <v/>
      </c>
      <c r="C23" s="65">
        <f>'ملخص المجموعات'!B23</f>
        <v/>
      </c>
      <c r="D23" s="66">
        <f>'ملخص المجموعات'!C23</f>
        <v/>
      </c>
      <c r="E23" s="67">
        <f>'ملخص المجموعات'!D23</f>
        <v/>
      </c>
      <c r="F23" s="68">
        <f>'ملخص المجموعات'!E23</f>
        <v/>
      </c>
      <c r="G23" s="67">
        <f>'ملخص المجموعات'!F23</f>
        <v/>
      </c>
      <c r="H23" s="72">
        <f>IF('عدد اللاعبين'!$G23&lt;الحد_الأدنى,0,'عدد اللاعبين'!$G23*IFERROR(INDEX(المدخلات!$Y$3:$Y$9,MATCH('عدد اللاعبين'!$C23,المدخلات!$X$3:$X$9,0)),0))</f>
        <v/>
      </c>
    </row>
    <row r="24">
      <c r="B24" s="64">
        <f>IFERROR(INDEX(المكاتب_المصدر[المنطقة],MATCH('عدد اللاعبين'!$D24,المكاتب_المصدر[المجموعة],0)),"")</f>
        <v/>
      </c>
      <c r="C24" s="65">
        <f>'ملخص المجموعات'!B24</f>
        <v/>
      </c>
      <c r="D24" s="66">
        <f>'ملخص المجموعات'!C24</f>
        <v/>
      </c>
      <c r="E24" s="67">
        <f>'ملخص المجموعات'!D24</f>
        <v/>
      </c>
      <c r="F24" s="68">
        <f>'ملخص المجموعات'!E24</f>
        <v/>
      </c>
      <c r="G24" s="67">
        <f>'ملخص المجموعات'!F24</f>
        <v/>
      </c>
      <c r="H24" s="73">
        <f>IF('عدد اللاعبين'!$G24&lt;الحد_الأدنى,0,'عدد اللاعبين'!$G24*IFERROR(INDEX(المدخلات!$Y$3:$Y$9,MATCH('عدد اللاعبين'!$C24,المدخلات!$X$3:$X$9,0)),0))</f>
        <v/>
      </c>
    </row>
    <row r="25">
      <c r="B25" s="65">
        <f>IFERROR(INDEX(المكاتب_المصدر[المنطقة],MATCH('عدد اللاعبين'!$D25,المكاتب_المصدر[المجموعة],0)),"")</f>
        <v/>
      </c>
      <c r="C25" s="65">
        <f>'ملخص المجموعات'!B25</f>
        <v/>
      </c>
      <c r="D25" s="66">
        <f>'ملخص المجموعات'!C25</f>
        <v/>
      </c>
      <c r="E25" s="67">
        <f>'ملخص المجموعات'!D25</f>
        <v/>
      </c>
      <c r="F25" s="68">
        <f>'ملخص المجموعات'!E25</f>
        <v/>
      </c>
      <c r="G25" s="67">
        <f>'ملخص المجموعات'!F25</f>
        <v/>
      </c>
      <c r="H25" s="72">
        <f>IF('عدد اللاعبين'!$G25&lt;الحد_الأدنى,0,'عدد اللاعبين'!$G25*IFERROR(INDEX(المدخلات!$Y$3:$Y$9,MATCH('عدد اللاعبين'!$C25,المدخلات!$X$3:$X$9,0)),0))</f>
        <v/>
      </c>
    </row>
    <row r="26">
      <c r="B26" s="64">
        <f>IFERROR(INDEX(المكاتب_المصدر[المنطقة],MATCH('عدد اللاعبين'!$D26,المكاتب_المصدر[المجموعة],0)),"")</f>
        <v/>
      </c>
      <c r="C26" s="65">
        <f>'ملخص المجموعات'!B26</f>
        <v/>
      </c>
      <c r="D26" s="66">
        <f>'ملخص المجموعات'!C26</f>
        <v/>
      </c>
      <c r="E26" s="67">
        <f>'ملخص المجموعات'!D26</f>
        <v/>
      </c>
      <c r="F26" s="68">
        <f>'ملخص المجموعات'!E26</f>
        <v/>
      </c>
      <c r="G26" s="67">
        <f>'ملخص المجموعات'!F26</f>
        <v/>
      </c>
      <c r="H26" s="73">
        <f>IF('عدد اللاعبين'!$G26&lt;الحد_الأدنى,0,'عدد اللاعبين'!$G26*IFERROR(INDEX(المدخلات!$Y$3:$Y$9,MATCH('عدد اللاعبين'!$C26,المدخلات!$X$3:$X$9,0)),0))</f>
        <v/>
      </c>
    </row>
    <row r="27">
      <c r="B27" s="65">
        <f>IFERROR(INDEX(المكاتب_المصدر[المنطقة],MATCH('عدد اللاعبين'!$D27,المكاتب_المصدر[المجموعة],0)),"")</f>
        <v/>
      </c>
      <c r="C27" s="65">
        <f>'ملخص المجموعات'!B27</f>
        <v/>
      </c>
      <c r="D27" s="66">
        <f>'ملخص المجموعات'!C27</f>
        <v/>
      </c>
      <c r="E27" s="67">
        <f>'ملخص المجموعات'!D27</f>
        <v/>
      </c>
      <c r="F27" s="68">
        <f>'ملخص المجموعات'!E27</f>
        <v/>
      </c>
      <c r="G27" s="67">
        <f>'ملخص المجموعات'!F27</f>
        <v/>
      </c>
      <c r="H27" s="72">
        <f>IF('عدد اللاعبين'!$G27&lt;الحد_الأدنى,0,'عدد اللاعبين'!$G27*IFERROR(INDEX(المدخلات!$Y$3:$Y$9,MATCH('عدد اللاعبين'!$C27,المدخلات!$X$3:$X$9,0)),0))</f>
        <v/>
      </c>
    </row>
    <row r="28">
      <c r="B28" s="64">
        <f>IFERROR(INDEX(المكاتب_المصدر[المنطقة],MATCH('عدد اللاعبين'!$D28,المكاتب_المصدر[المجموعة],0)),"")</f>
        <v/>
      </c>
      <c r="C28" s="65">
        <f>'ملخص المجموعات'!B28</f>
        <v/>
      </c>
      <c r="D28" s="66">
        <f>'ملخص المجموعات'!C28</f>
        <v/>
      </c>
      <c r="E28" s="67">
        <f>'ملخص المجموعات'!D28</f>
        <v/>
      </c>
      <c r="F28" s="68">
        <f>'ملخص المجموعات'!E28</f>
        <v/>
      </c>
      <c r="G28" s="67">
        <f>'ملخص المجموعات'!F28</f>
        <v/>
      </c>
      <c r="H28" s="73">
        <f>IF('عدد اللاعبين'!$G28&lt;الحد_الأدنى,0,'عدد اللاعبين'!$G28*IFERROR(INDEX(المدخلات!$Y$3:$Y$9,MATCH('عدد اللاعبين'!$C28,المدخلات!$X$3:$X$9,0)),0))</f>
        <v/>
      </c>
    </row>
    <row r="29">
      <c r="B29" s="65">
        <f>IFERROR(INDEX(المكاتب_المصدر[المنطقة],MATCH('عدد اللاعبين'!$D29,المكاتب_المصدر[المجموعة],0)),"")</f>
        <v/>
      </c>
      <c r="C29" s="65">
        <f>'ملخص المجموعات'!B29</f>
        <v/>
      </c>
      <c r="D29" s="66">
        <f>'ملخص المجموعات'!C29</f>
        <v/>
      </c>
      <c r="E29" s="67">
        <f>'ملخص المجموعات'!D29</f>
        <v/>
      </c>
      <c r="F29" s="68">
        <f>'ملخص المجموعات'!E29</f>
        <v/>
      </c>
      <c r="G29" s="67">
        <f>'ملخص المجموعات'!F29</f>
        <v/>
      </c>
      <c r="H29" s="72">
        <f>IF('عدد اللاعبين'!$G29&lt;الحد_الأدنى,0,'عدد اللاعبين'!$G29*IFERROR(INDEX(المدخلات!$Y$3:$Y$9,MATCH('عدد اللاعبين'!$C29,المدخلات!$X$3:$X$9,0)),0))</f>
        <v/>
      </c>
    </row>
    <row r="30">
      <c r="B30" s="64">
        <f>IFERROR(INDEX(المكاتب_المصدر[المنطقة],MATCH('عدد اللاعبين'!$D30,المكاتب_المصدر[المجموعة],0)),"")</f>
        <v/>
      </c>
      <c r="C30" s="65">
        <f>'ملخص المجموعات'!B30</f>
        <v/>
      </c>
      <c r="D30" s="66">
        <f>'ملخص المجموعات'!C30</f>
        <v/>
      </c>
      <c r="E30" s="67">
        <f>'ملخص المجموعات'!D30</f>
        <v/>
      </c>
      <c r="F30" s="68">
        <f>'ملخص المجموعات'!E30</f>
        <v/>
      </c>
      <c r="G30" s="67">
        <f>'ملخص المجموعات'!F30</f>
        <v/>
      </c>
      <c r="H30" s="73">
        <f>IF('عدد اللاعبين'!$G30&lt;الحد_الأدنى,0,'عدد اللاعبين'!$G30*IFERROR(INDEX(المدخلات!$Y$3:$Y$9,MATCH('عدد اللاعبين'!$C30,المدخلات!$X$3:$X$9,0)),0))</f>
        <v/>
      </c>
    </row>
    <row r="31">
      <c r="B31" s="65">
        <f>IFERROR(INDEX(المكاتب_المصدر[المنطقة],MATCH('عدد اللاعبين'!$D31,المكاتب_المصدر[المجموعة],0)),"")</f>
        <v/>
      </c>
      <c r="C31" s="65">
        <f>'ملخص المجموعات'!B31</f>
        <v/>
      </c>
      <c r="D31" s="66">
        <f>'ملخص المجموعات'!C31</f>
        <v/>
      </c>
      <c r="E31" s="67">
        <f>'ملخص المجموعات'!D31</f>
        <v/>
      </c>
      <c r="F31" s="68">
        <f>'ملخص المجموعات'!E31</f>
        <v/>
      </c>
      <c r="G31" s="67">
        <f>'ملخص المجموعات'!F31</f>
        <v/>
      </c>
      <c r="H31" s="72">
        <f>IF('عدد اللاعبين'!$G31&lt;الحد_الأدنى,0,'عدد اللاعبين'!$G31*IFERROR(INDEX(المدخلات!$Y$3:$Y$9,MATCH('عدد اللاعبين'!$C31,المدخلات!$X$3:$X$9,0)),0))</f>
        <v/>
      </c>
    </row>
    <row r="32">
      <c r="B32" s="64">
        <f>IFERROR(INDEX(المكاتب_المصدر[المنطقة],MATCH('عدد اللاعبين'!$D32,المكاتب_المصدر[المجموعة],0)),"")</f>
        <v/>
      </c>
      <c r="C32" s="65">
        <f>'ملخص المجموعات'!B32</f>
        <v/>
      </c>
      <c r="D32" s="66">
        <f>'ملخص المجموعات'!C32</f>
        <v/>
      </c>
      <c r="E32" s="67">
        <f>'ملخص المجموعات'!D32</f>
        <v/>
      </c>
      <c r="F32" s="68">
        <f>'ملخص المجموعات'!E32</f>
        <v/>
      </c>
      <c r="G32" s="67">
        <f>'ملخص المجموعات'!F32</f>
        <v/>
      </c>
      <c r="H32" s="73">
        <f>IF('عدد اللاعبين'!$G32&lt;الحد_الأدنى,0,'عدد اللاعبين'!$G32*IFERROR(INDEX(المدخلات!$Y$3:$Y$9,MATCH('عدد اللاعبين'!$C32,المدخلات!$X$3:$X$9,0)),0))</f>
        <v/>
      </c>
    </row>
    <row r="33">
      <c r="B33" s="65">
        <f>IFERROR(INDEX(المكاتب_المصدر[المنطقة],MATCH('عدد اللاعبين'!$D33,المكاتب_المصدر[المجموعة],0)),"")</f>
        <v/>
      </c>
      <c r="C33" s="65">
        <f>'ملخص المجموعات'!B33</f>
        <v/>
      </c>
      <c r="D33" s="66">
        <f>'ملخص المجموعات'!C33</f>
        <v/>
      </c>
      <c r="E33" s="67">
        <f>'ملخص المجموعات'!D33</f>
        <v/>
      </c>
      <c r="F33" s="68">
        <f>'ملخص المجموعات'!E33</f>
        <v/>
      </c>
      <c r="G33" s="67">
        <f>'ملخص المجموعات'!F33</f>
        <v/>
      </c>
      <c r="H33" s="72">
        <f>IF('عدد اللاعبين'!$G33&lt;الحد_الأدنى,0,'عدد اللاعبين'!$G33*IFERROR(INDEX(المدخلات!$Y$3:$Y$9,MATCH('عدد اللاعبين'!$C33,المدخلات!$X$3:$X$9,0)),0))</f>
        <v/>
      </c>
    </row>
    <row r="34">
      <c r="B34" s="64">
        <f>IFERROR(INDEX(المكاتب_المصدر[المنطقة],MATCH('عدد اللاعبين'!$D34,المكاتب_المصدر[المجموعة],0)),"")</f>
        <v/>
      </c>
      <c r="C34" s="65">
        <f>'ملخص المجموعات'!B34</f>
        <v/>
      </c>
      <c r="D34" s="66">
        <f>'ملخص المجموعات'!C34</f>
        <v/>
      </c>
      <c r="E34" s="67">
        <f>'ملخص المجموعات'!D34</f>
        <v/>
      </c>
      <c r="F34" s="68">
        <f>'ملخص المجموعات'!E34</f>
        <v/>
      </c>
      <c r="G34" s="67">
        <f>'ملخص المجموعات'!F34</f>
        <v/>
      </c>
      <c r="H34" s="73">
        <f>IF('عدد اللاعبين'!$G34&lt;الحد_الأدنى,0,'عدد اللاعبين'!$G34*IFERROR(INDEX(المدخلات!$Y$3:$Y$9,MATCH('عدد اللاعبين'!$C34,المدخلات!$X$3:$X$9,0)),0))</f>
        <v/>
      </c>
    </row>
    <row r="35">
      <c r="B35" s="65">
        <f>IFERROR(INDEX(المكاتب_المصدر[المنطقة],MATCH('عدد اللاعبين'!$D35,المكاتب_المصدر[المجموعة],0)),"")</f>
        <v/>
      </c>
      <c r="C35" s="65">
        <f>'ملخص المجموعات'!B35</f>
        <v/>
      </c>
      <c r="D35" s="66">
        <f>'ملخص المجموعات'!C35</f>
        <v/>
      </c>
      <c r="E35" s="67">
        <f>'ملخص المجموعات'!D35</f>
        <v/>
      </c>
      <c r="F35" s="68">
        <f>'ملخص المجموعات'!E35</f>
        <v/>
      </c>
      <c r="G35" s="67">
        <f>'ملخص المجموعات'!F35</f>
        <v/>
      </c>
      <c r="H35" s="72">
        <f>IF('عدد اللاعبين'!$G35&lt;الحد_الأدنى,0,'عدد اللاعبين'!$G35*IFERROR(INDEX(المدخلات!$Y$3:$Y$9,MATCH('عدد اللاعبين'!$C35,المدخلات!$X$3:$X$9,0)),0))</f>
        <v/>
      </c>
    </row>
    <row r="36">
      <c r="B36" s="64">
        <f>IFERROR(INDEX(المكاتب_المصدر[المنطقة],MATCH('عدد اللاعبين'!$D36,المكاتب_المصدر[المجموعة],0)),"")</f>
        <v/>
      </c>
      <c r="C36" s="65">
        <f>'ملخص المجموعات'!B36</f>
        <v/>
      </c>
      <c r="D36" s="66">
        <f>'ملخص المجموعات'!C36</f>
        <v/>
      </c>
      <c r="E36" s="67">
        <f>'ملخص المجموعات'!D36</f>
        <v/>
      </c>
      <c r="F36" s="68">
        <f>'ملخص المجموعات'!E36</f>
        <v/>
      </c>
      <c r="G36" s="67">
        <f>'ملخص المجموعات'!F36</f>
        <v/>
      </c>
      <c r="H36" s="73">
        <f>IF('عدد اللاعبين'!$G36&lt;الحد_الأدنى,0,'عدد اللاعبين'!$G36*IFERROR(INDEX(المدخلات!$Y$3:$Y$9,MATCH('عدد اللاعبين'!$C36,المدخلات!$X$3:$X$9,0)),0))</f>
        <v/>
      </c>
    </row>
    <row r="37">
      <c r="B37" s="65">
        <f>IFERROR(INDEX(المكاتب_المصدر[المنطقة],MATCH('عدد اللاعبين'!$D37,المكاتب_المصدر[المجموعة],0)),"")</f>
        <v/>
      </c>
      <c r="C37" s="65">
        <f>'ملخص المجموعات'!B37</f>
        <v/>
      </c>
      <c r="D37" s="66">
        <f>'ملخص المجموعات'!C37</f>
        <v/>
      </c>
      <c r="E37" s="67">
        <f>'ملخص المجموعات'!D37</f>
        <v/>
      </c>
      <c r="F37" s="68">
        <f>'ملخص المجموعات'!E37</f>
        <v/>
      </c>
      <c r="G37" s="67">
        <f>'ملخص المجموعات'!F37</f>
        <v/>
      </c>
      <c r="H37" s="72">
        <f>IF('عدد اللاعبين'!$G37&lt;الحد_الأدنى,0,'عدد اللاعبين'!$G37*IFERROR(INDEX(المدخلات!$Y$3:$Y$9,MATCH('عدد اللاعبين'!$C37,المدخلات!$X$3:$X$9,0)),0))</f>
        <v/>
      </c>
    </row>
    <row r="38">
      <c r="B38" s="64">
        <f>IFERROR(INDEX(المكاتب_المصدر[المنطقة],MATCH('عدد اللاعبين'!$D38,المكاتب_المصدر[المجموعة],0)),"")</f>
        <v/>
      </c>
      <c r="C38" s="65">
        <f>'ملخص المجموعات'!B38</f>
        <v/>
      </c>
      <c r="D38" s="66">
        <f>'ملخص المجموعات'!C38</f>
        <v/>
      </c>
      <c r="E38" s="67">
        <f>'ملخص المجموعات'!D38</f>
        <v/>
      </c>
      <c r="F38" s="68">
        <f>'ملخص المجموعات'!E38</f>
        <v/>
      </c>
      <c r="G38" s="67">
        <f>'ملخص المجموعات'!F38</f>
        <v/>
      </c>
      <c r="H38" s="73">
        <f>IF('عدد اللاعبين'!$G38&lt;الحد_الأدنى,0,'عدد اللاعبين'!$G38*IFERROR(INDEX(المدخلات!$Y$3:$Y$9,MATCH('عدد اللاعبين'!$C38,المدخلات!$X$3:$X$9,0)),0))</f>
        <v/>
      </c>
    </row>
    <row r="39">
      <c r="B39" s="65">
        <f>IFERROR(INDEX(المكاتب_المصدر[المنطقة],MATCH('عدد اللاعبين'!$D39,المكاتب_المصدر[المجموعة],0)),"")</f>
        <v/>
      </c>
      <c r="C39" s="65">
        <f>'ملخص المجموعات'!B39</f>
        <v/>
      </c>
      <c r="D39" s="66">
        <f>'ملخص المجموعات'!C39</f>
        <v/>
      </c>
      <c r="E39" s="67">
        <f>'ملخص المجموعات'!D39</f>
        <v/>
      </c>
      <c r="F39" s="68">
        <f>'ملخص المجموعات'!E39</f>
        <v/>
      </c>
      <c r="G39" s="67">
        <f>'ملخص المجموعات'!F39</f>
        <v/>
      </c>
      <c r="H39" s="72">
        <f>IF('عدد اللاعبين'!$G39&lt;الحد_الأدنى,0,'عدد اللاعبين'!$G39*IFERROR(INDEX(المدخلات!$Y$3:$Y$9,MATCH('عدد اللاعبين'!$C39,المدخلات!$X$3:$X$9,0)),0))</f>
        <v/>
      </c>
    </row>
    <row r="40">
      <c r="B40" s="64">
        <f>IFERROR(INDEX(المكاتب_المصدر[المنطقة],MATCH('عدد اللاعبين'!$D40,المكاتب_المصدر[المجموعة],0)),"")</f>
        <v/>
      </c>
      <c r="C40" s="65">
        <f>'ملخص المجموعات'!B40</f>
        <v/>
      </c>
      <c r="D40" s="66">
        <f>'ملخص المجموعات'!C40</f>
        <v/>
      </c>
      <c r="E40" s="67">
        <f>'ملخص المجموعات'!D40</f>
        <v/>
      </c>
      <c r="F40" s="68">
        <f>'ملخص المجموعات'!E40</f>
        <v/>
      </c>
      <c r="G40" s="67">
        <f>'ملخص المجموعات'!F40</f>
        <v/>
      </c>
      <c r="H40" s="73">
        <f>IF('عدد اللاعبين'!$G40&lt;الحد_الأدنى,0,'عدد اللاعبين'!$G40*IFERROR(INDEX(المدخلات!$Y$3:$Y$9,MATCH('عدد اللاعبين'!$C40,المدخلات!$X$3:$X$9,0)),0))</f>
        <v/>
      </c>
    </row>
    <row r="41">
      <c r="B41" s="65">
        <f>IFERROR(INDEX(المكاتب_المصدر[المنطقة],MATCH('عدد اللاعبين'!$D41,المكاتب_المصدر[المجموعة],0)),"")</f>
        <v/>
      </c>
      <c r="C41" s="65">
        <f>'ملخص المجموعات'!B41</f>
        <v/>
      </c>
      <c r="D41" s="66">
        <f>'ملخص المجموعات'!C41</f>
        <v/>
      </c>
      <c r="E41" s="67">
        <f>'ملخص المجموعات'!D41</f>
        <v/>
      </c>
      <c r="F41" s="68">
        <f>'ملخص المجموعات'!E41</f>
        <v/>
      </c>
      <c r="G41" s="67">
        <f>'ملخص المجموعات'!F41</f>
        <v/>
      </c>
      <c r="H41" s="72">
        <f>IF('عدد اللاعبين'!$G41&lt;الحد_الأدنى,0,'عدد اللاعبين'!$G41*IFERROR(INDEX(المدخلات!$Y$3:$Y$9,MATCH('عدد اللاعبين'!$C41,المدخلات!$X$3:$X$9,0)),0))</f>
        <v/>
      </c>
    </row>
    <row r="42">
      <c r="B42" s="64">
        <f>IFERROR(INDEX(المكاتب_المصدر[المنطقة],MATCH('عدد اللاعبين'!$D42,المكاتب_المصدر[المجموعة],0)),"")</f>
        <v/>
      </c>
      <c r="C42" s="65">
        <f>'ملخص المجموعات'!B42</f>
        <v/>
      </c>
      <c r="D42" s="66">
        <f>'ملخص المجموعات'!C42</f>
        <v/>
      </c>
      <c r="E42" s="67">
        <f>'ملخص المجموعات'!D42</f>
        <v/>
      </c>
      <c r="F42" s="68">
        <f>'ملخص المجموعات'!E42</f>
        <v/>
      </c>
      <c r="G42" s="67">
        <f>'ملخص المجموعات'!F42</f>
        <v/>
      </c>
      <c r="H42" s="73">
        <f>IF('عدد اللاعبين'!$G42&lt;الحد_الأدنى,0,'عدد اللاعبين'!$G42*IFERROR(INDEX(المدخلات!$Y$3:$Y$9,MATCH('عدد اللاعبين'!$C42,المدخلات!$X$3:$X$9,0)),0))</f>
        <v/>
      </c>
    </row>
    <row r="43">
      <c r="B43" s="65">
        <f>IFERROR(INDEX(المكاتب_المصدر[المنطقة],MATCH('عدد اللاعبين'!$D43,المكاتب_المصدر[المجموعة],0)),"")</f>
        <v/>
      </c>
      <c r="C43" s="65">
        <f>'ملخص المجموعات'!B43</f>
        <v/>
      </c>
      <c r="D43" s="66">
        <f>'ملخص المجموعات'!C43</f>
        <v/>
      </c>
      <c r="E43" s="67">
        <f>'ملخص المجموعات'!D43</f>
        <v/>
      </c>
      <c r="F43" s="68">
        <f>'ملخص المجموعات'!E43</f>
        <v/>
      </c>
      <c r="G43" s="67">
        <f>'ملخص المجموعات'!F43</f>
        <v/>
      </c>
      <c r="H43" s="72">
        <f>IF('عدد اللاعبين'!$G43&lt;الحد_الأدنى,0,'عدد اللاعبين'!$G43*IFERROR(INDEX(المدخلات!$Y$3:$Y$9,MATCH('عدد اللاعبين'!$C43,المدخلات!$X$3:$X$9,0)),0))</f>
        <v/>
      </c>
    </row>
    <row r="44">
      <c r="B44" s="64">
        <f>IFERROR(INDEX(المكاتب_المصدر[المنطقة],MATCH('عدد اللاعبين'!$D44,المكاتب_المصدر[المجموعة],0)),"")</f>
        <v/>
      </c>
      <c r="C44" s="65">
        <f>'ملخص المجموعات'!B44</f>
        <v/>
      </c>
      <c r="D44" s="66">
        <f>'ملخص المجموعات'!C44</f>
        <v/>
      </c>
      <c r="E44" s="67">
        <f>'ملخص المجموعات'!D44</f>
        <v/>
      </c>
      <c r="F44" s="68">
        <f>'ملخص المجموعات'!E44</f>
        <v/>
      </c>
      <c r="G44" s="67">
        <f>'ملخص المجموعات'!F44</f>
        <v/>
      </c>
      <c r="H44" s="73">
        <f>IF('عدد اللاعبين'!$G44&lt;الحد_الأدنى,0,'عدد اللاعبين'!$G44*IFERROR(INDEX(المدخلات!$Y$3:$Y$9,MATCH('عدد اللاعبين'!$C44,المدخلات!$X$3:$X$9,0)),0))</f>
        <v/>
      </c>
    </row>
    <row r="45">
      <c r="B45" s="65">
        <f>IFERROR(INDEX(المكاتب_المصدر[المنطقة],MATCH('عدد اللاعبين'!$D45,المكاتب_المصدر[المجموعة],0)),"")</f>
        <v/>
      </c>
      <c r="C45" s="65">
        <f>'ملخص المجموعات'!B45</f>
        <v/>
      </c>
      <c r="D45" s="66">
        <f>'ملخص المجموعات'!C45</f>
        <v/>
      </c>
      <c r="E45" s="67">
        <f>'ملخص المجموعات'!D45</f>
        <v/>
      </c>
      <c r="F45" s="68">
        <f>'ملخص المجموعات'!E45</f>
        <v/>
      </c>
      <c r="G45" s="67">
        <f>'ملخص المجموعات'!F45</f>
        <v/>
      </c>
      <c r="H45" s="72">
        <f>IF('عدد اللاعبين'!$G45&lt;الحد_الأدنى,0,'عدد اللاعبين'!$G45*IFERROR(INDEX(المدخلات!$Y$3:$Y$9,MATCH('عدد اللاعبين'!$C45,المدخلات!$X$3:$X$9,0)),0))</f>
        <v/>
      </c>
    </row>
    <row r="46">
      <c r="B46" s="64">
        <f>IFERROR(INDEX(المكاتب_المصدر[المنطقة],MATCH('عدد اللاعبين'!$D46,المكاتب_المصدر[المجموعة],0)),"")</f>
        <v/>
      </c>
      <c r="C46" s="65">
        <f>'ملخص المجموعات'!B46</f>
        <v/>
      </c>
      <c r="D46" s="66">
        <f>'ملخص المجموعات'!C46</f>
        <v/>
      </c>
      <c r="E46" s="67">
        <f>'ملخص المجموعات'!D46</f>
        <v/>
      </c>
      <c r="F46" s="68">
        <f>'ملخص المجموعات'!E46</f>
        <v/>
      </c>
      <c r="G46" s="67">
        <f>'ملخص المجموعات'!F46</f>
        <v/>
      </c>
      <c r="H46" s="73">
        <f>IF('عدد اللاعبين'!$G46&lt;الحد_الأدنى,0,'عدد اللاعبين'!$G46*IFERROR(INDEX(المدخلات!$Y$3:$Y$9,MATCH('عدد اللاعبين'!$C46,المدخلات!$X$3:$X$9,0)),0))</f>
        <v/>
      </c>
    </row>
    <row r="47">
      <c r="B47" s="65">
        <f>IFERROR(INDEX(المكاتب_المصدر[المنطقة],MATCH('عدد اللاعبين'!$D47,المكاتب_المصدر[المجموعة],0)),"")</f>
        <v/>
      </c>
      <c r="C47" s="65">
        <f>'ملخص المجموعات'!B47</f>
        <v/>
      </c>
      <c r="D47" s="66">
        <f>'ملخص المجموعات'!C47</f>
        <v/>
      </c>
      <c r="E47" s="67">
        <f>'ملخص المجموعات'!D47</f>
        <v/>
      </c>
      <c r="F47" s="68">
        <f>'ملخص المجموعات'!E47</f>
        <v/>
      </c>
      <c r="G47" s="67">
        <f>'ملخص المجموعات'!F47</f>
        <v/>
      </c>
      <c r="H47" s="72">
        <f>IF('عدد اللاعبين'!$G47&lt;الحد_الأدنى,0,'عدد اللاعبين'!$G47*IFERROR(INDEX(المدخلات!$Y$3:$Y$9,MATCH('عدد اللاعبين'!$C47,المدخلات!$X$3:$X$9,0)),0))</f>
        <v/>
      </c>
    </row>
    <row r="48">
      <c r="B48" s="64">
        <f>IFERROR(INDEX(المكاتب_المصدر[المنطقة],MATCH('عدد اللاعبين'!$D48,المكاتب_المصدر[المجموعة],0)),"")</f>
        <v/>
      </c>
      <c r="C48" s="65">
        <f>'ملخص المجموعات'!B48</f>
        <v/>
      </c>
      <c r="D48" s="66">
        <f>'ملخص المجموعات'!C48</f>
        <v/>
      </c>
      <c r="E48" s="67">
        <f>'ملخص المجموعات'!D48</f>
        <v/>
      </c>
      <c r="F48" s="68">
        <f>'ملخص المجموعات'!E48</f>
        <v/>
      </c>
      <c r="G48" s="67">
        <f>'ملخص المجموعات'!F48</f>
        <v/>
      </c>
      <c r="H48" s="73">
        <f>IF('عدد اللاعبين'!$G48&lt;الحد_الأدنى,0,'عدد اللاعبين'!$G48*IFERROR(INDEX(المدخلات!$Y$3:$Y$9,MATCH('عدد اللاعبين'!$C48,المدخلات!$X$3:$X$9,0)),0))</f>
        <v/>
      </c>
    </row>
    <row r="49">
      <c r="B49" s="65">
        <f>IFERROR(INDEX(المكاتب_المصدر[المنطقة],MATCH('عدد اللاعبين'!$D49,المكاتب_المصدر[المجموعة],0)),"")</f>
        <v/>
      </c>
      <c r="C49" s="65">
        <f>'ملخص المجموعات'!B49</f>
        <v/>
      </c>
      <c r="D49" s="66">
        <f>'ملخص المجموعات'!C49</f>
        <v/>
      </c>
      <c r="E49" s="67">
        <f>'ملخص المجموعات'!D49</f>
        <v/>
      </c>
      <c r="F49" s="68">
        <f>'ملخص المجموعات'!E49</f>
        <v/>
      </c>
      <c r="G49" s="67">
        <f>'ملخص المجموعات'!F49</f>
        <v/>
      </c>
      <c r="H49" s="72">
        <f>IF('عدد اللاعبين'!$G49&lt;الحد_الأدنى,0,'عدد اللاعبين'!$G49*IFERROR(INDEX(المدخلات!$Y$3:$Y$9,MATCH('عدد اللاعبين'!$C49,المدخلات!$X$3:$X$9,0)),0))</f>
        <v/>
      </c>
    </row>
    <row r="50">
      <c r="B50" s="64">
        <f>IFERROR(INDEX(المكاتب_المصدر[المنطقة],MATCH('عدد اللاعبين'!$D50,المكاتب_المصدر[المجموعة],0)),"")</f>
        <v/>
      </c>
      <c r="C50" s="65">
        <f>'ملخص المجموعات'!B50</f>
        <v/>
      </c>
      <c r="D50" s="66">
        <f>'ملخص المجموعات'!C50</f>
        <v/>
      </c>
      <c r="E50" s="67">
        <f>'ملخص المجموعات'!D50</f>
        <v/>
      </c>
      <c r="F50" s="68">
        <f>'ملخص المجموعات'!E50</f>
        <v/>
      </c>
      <c r="G50" s="67">
        <f>'ملخص المجموعات'!F50</f>
        <v/>
      </c>
      <c r="H50" s="73">
        <f>IF('عدد اللاعبين'!$G50&lt;الحد_الأدنى,0,'عدد اللاعبين'!$G50*IFERROR(INDEX(المدخلات!$Y$3:$Y$9,MATCH('عدد اللاعبين'!$C50,المدخلات!$X$3:$X$9,0)),0))</f>
        <v/>
      </c>
    </row>
    <row r="51">
      <c r="B51" s="65">
        <f>IFERROR(INDEX(المكاتب_المصدر[المنطقة],MATCH('عدد اللاعبين'!$D51,المكاتب_المصدر[المجموعة],0)),"")</f>
        <v/>
      </c>
      <c r="C51" s="65">
        <f>'ملخص المجموعات'!B51</f>
        <v/>
      </c>
      <c r="D51" s="66">
        <f>'ملخص المجموعات'!C51</f>
        <v/>
      </c>
      <c r="E51" s="67">
        <f>'ملخص المجموعات'!D51</f>
        <v/>
      </c>
      <c r="F51" s="68">
        <f>'ملخص المجموعات'!E51</f>
        <v/>
      </c>
      <c r="G51" s="67">
        <f>'ملخص المجموعات'!F51</f>
        <v/>
      </c>
      <c r="H51" s="72">
        <f>IF('عدد اللاعبين'!$G51&lt;الحد_الأدنى,0,'عدد اللاعبين'!$G51*IFERROR(INDEX(المدخلات!$Y$3:$Y$9,MATCH('عدد اللاعبين'!$C51,المدخلات!$X$3:$X$9,0)),0))</f>
        <v/>
      </c>
    </row>
    <row r="52">
      <c r="B52" s="64">
        <f>IFERROR(INDEX(المكاتب_المصدر[المنطقة],MATCH('عدد اللاعبين'!$D52,المكاتب_المصدر[المجموعة],0)),"")</f>
        <v/>
      </c>
      <c r="C52" s="65">
        <f>'ملخص المجموعات'!B52</f>
        <v/>
      </c>
      <c r="D52" s="66">
        <f>'ملخص المجموعات'!C52</f>
        <v/>
      </c>
      <c r="E52" s="67">
        <f>'ملخص المجموعات'!D52</f>
        <v/>
      </c>
      <c r="F52" s="68">
        <f>'ملخص المجموعات'!E52</f>
        <v/>
      </c>
      <c r="G52" s="67">
        <f>'ملخص المجموعات'!F52</f>
        <v/>
      </c>
      <c r="H52" s="73">
        <f>IF('عدد اللاعبين'!$G52&lt;الحد_الأدنى,0,'عدد اللاعبين'!$G52*IFERROR(INDEX(المدخلات!$Y$3:$Y$9,MATCH('عدد اللاعبين'!$C52,المدخلات!$X$3:$X$9,0)),0))</f>
        <v/>
      </c>
    </row>
    <row r="53">
      <c r="B53" s="65">
        <f>IFERROR(INDEX(المكاتب_المصدر[المنطقة],MATCH('عدد اللاعبين'!$D53,المكاتب_المصدر[المجموعة],0)),"")</f>
        <v/>
      </c>
      <c r="C53" s="65">
        <f>'ملخص المجموعات'!B53</f>
        <v/>
      </c>
      <c r="D53" s="66">
        <f>'ملخص المجموعات'!C53</f>
        <v/>
      </c>
      <c r="E53" s="67">
        <f>'ملخص المجموعات'!D53</f>
        <v/>
      </c>
      <c r="F53" s="68">
        <f>'ملخص المجموعات'!E53</f>
        <v/>
      </c>
      <c r="G53" s="67">
        <f>'ملخص المجموعات'!F53</f>
        <v/>
      </c>
      <c r="H53" s="72">
        <f>IF('عدد اللاعبين'!$G53&lt;الحد_الأدنى,0,'عدد اللاعبين'!$G53*IFERROR(INDEX(المدخلات!$Y$3:$Y$9,MATCH('عدد اللاعبين'!$C53,المدخلات!$X$3:$X$9,0)),0))</f>
        <v/>
      </c>
    </row>
    <row r="54">
      <c r="B54" s="64">
        <f>IFERROR(INDEX(المكاتب_المصدر[المنطقة],MATCH('عدد اللاعبين'!$D54,المكاتب_المصدر[المجموعة],0)),"")</f>
        <v/>
      </c>
      <c r="C54" s="65">
        <f>'ملخص المجموعات'!B54</f>
        <v/>
      </c>
      <c r="D54" s="66">
        <f>'ملخص المجموعات'!C54</f>
        <v/>
      </c>
      <c r="E54" s="67">
        <f>'ملخص المجموعات'!D54</f>
        <v/>
      </c>
      <c r="F54" s="68">
        <f>'ملخص المجموعات'!E54</f>
        <v/>
      </c>
      <c r="G54" s="67">
        <f>'ملخص المجموعات'!F54</f>
        <v/>
      </c>
      <c r="H54" s="73">
        <f>IF('عدد اللاعبين'!$G54&lt;الحد_الأدنى,0,'عدد اللاعبين'!$G54*IFERROR(INDEX(المدخلات!$Y$3:$Y$9,MATCH('عدد اللاعبين'!$C54,المدخلات!$X$3:$X$9,0)),0))</f>
        <v/>
      </c>
    </row>
    <row r="55">
      <c r="B55" s="65">
        <f>IFERROR(INDEX(المكاتب_المصدر[المنطقة],MATCH('عدد اللاعبين'!$D55,المكاتب_المصدر[المجموعة],0)),"")</f>
        <v/>
      </c>
      <c r="C55" s="65">
        <f>'ملخص المجموعات'!B55</f>
        <v/>
      </c>
      <c r="D55" s="66">
        <f>'ملخص المجموعات'!C55</f>
        <v/>
      </c>
      <c r="E55" s="67">
        <f>'ملخص المجموعات'!D55</f>
        <v/>
      </c>
      <c r="F55" s="68">
        <f>'ملخص المجموعات'!E55</f>
        <v/>
      </c>
      <c r="G55" s="67">
        <f>'ملخص المجموعات'!F55</f>
        <v/>
      </c>
      <c r="H55" s="72">
        <f>IF('عدد اللاعبين'!$G55&lt;الحد_الأدنى,0,'عدد اللاعبين'!$G55*IFERROR(INDEX(المدخلات!$Y$3:$Y$9,MATCH('عدد اللاعبين'!$C55,المدخلات!$X$3:$X$9,0)),0))</f>
        <v/>
      </c>
    </row>
    <row r="56">
      <c r="B56" s="64">
        <f>IFERROR(INDEX(المكاتب_المصدر[المنطقة],MATCH('عدد اللاعبين'!$D56,المكاتب_المصدر[المجموعة],0)),"")</f>
        <v/>
      </c>
      <c r="C56" s="65">
        <f>'ملخص المجموعات'!B56</f>
        <v/>
      </c>
      <c r="D56" s="66">
        <f>'ملخص المجموعات'!C56</f>
        <v/>
      </c>
      <c r="E56" s="67">
        <f>'ملخص المجموعات'!D56</f>
        <v/>
      </c>
      <c r="F56" s="68">
        <f>'ملخص المجموعات'!E56</f>
        <v/>
      </c>
      <c r="G56" s="67">
        <f>'ملخص المجموعات'!F56</f>
        <v/>
      </c>
      <c r="H56" s="73">
        <f>IF('عدد اللاعبين'!$G56&lt;الحد_الأدنى,0,'عدد اللاعبين'!$G56*IFERROR(INDEX(المدخلات!$Y$3:$Y$9,MATCH('عدد اللاعبين'!$C56,المدخلات!$X$3:$X$9,0)),0))</f>
        <v/>
      </c>
    </row>
    <row r="57">
      <c r="B57" s="65">
        <f>IFERROR(INDEX(المكاتب_المصدر[المنطقة],MATCH('عدد اللاعبين'!$D57,المكاتب_المصدر[المجموعة],0)),"")</f>
        <v/>
      </c>
      <c r="C57" s="65">
        <f>'ملخص المجموعات'!B57</f>
        <v/>
      </c>
      <c r="D57" s="66">
        <f>'ملخص المجموعات'!C57</f>
        <v/>
      </c>
      <c r="E57" s="67">
        <f>'ملخص المجموعات'!D57</f>
        <v/>
      </c>
      <c r="F57" s="68">
        <f>'ملخص المجموعات'!E57</f>
        <v/>
      </c>
      <c r="G57" s="67">
        <f>'ملخص المجموعات'!F57</f>
        <v/>
      </c>
      <c r="H57" s="72">
        <f>IF('عدد اللاعبين'!$G57&lt;الحد_الأدنى,0,'عدد اللاعبين'!$G57*IFERROR(INDEX(المدخلات!$Y$3:$Y$9,MATCH('عدد اللاعبين'!$C57,المدخلات!$X$3:$X$9,0)),0))</f>
        <v/>
      </c>
    </row>
    <row r="58">
      <c r="B58" s="64">
        <f>IFERROR(INDEX(المكاتب_المصدر[المنطقة],MATCH('عدد اللاعبين'!$D58,المكاتب_المصدر[المجموعة],0)),"")</f>
        <v/>
      </c>
      <c r="C58" s="65">
        <f>'ملخص المجموعات'!B58</f>
        <v/>
      </c>
      <c r="D58" s="66">
        <f>'ملخص المجموعات'!C58</f>
        <v/>
      </c>
      <c r="E58" s="67">
        <f>'ملخص المجموعات'!D58</f>
        <v/>
      </c>
      <c r="F58" s="68">
        <f>'ملخص المجموعات'!E58</f>
        <v/>
      </c>
      <c r="G58" s="67">
        <f>'ملخص المجموعات'!F58</f>
        <v/>
      </c>
      <c r="H58" s="73">
        <f>IF('عدد اللاعبين'!$G58&lt;الحد_الأدنى,0,'عدد اللاعبين'!$G58*IFERROR(INDEX(المدخلات!$Y$3:$Y$9,MATCH('عدد اللاعبين'!$C58,المدخلات!$X$3:$X$9,0)),0))</f>
        <v/>
      </c>
    </row>
    <row r="59">
      <c r="B59" s="65">
        <f>IFERROR(INDEX(المكاتب_المصدر[المنطقة],MATCH('عدد اللاعبين'!$D59,المكاتب_المصدر[المجموعة],0)),"")</f>
        <v/>
      </c>
      <c r="C59" s="65">
        <f>'ملخص المجموعات'!B59</f>
        <v/>
      </c>
      <c r="D59" s="66">
        <f>'ملخص المجموعات'!C59</f>
        <v/>
      </c>
      <c r="E59" s="67">
        <f>'ملخص المجموعات'!D59</f>
        <v/>
      </c>
      <c r="F59" s="68">
        <f>'ملخص المجموعات'!E59</f>
        <v/>
      </c>
      <c r="G59" s="67">
        <f>'ملخص المجموعات'!F59</f>
        <v/>
      </c>
      <c r="H59" s="72">
        <f>IF('عدد اللاعبين'!$G59&lt;الحد_الأدنى,0,'عدد اللاعبين'!$G59*IFERROR(INDEX(المدخلات!$Y$3:$Y$9,MATCH('عدد اللاعبين'!$C59,المدخلات!$X$3:$X$9,0)),0))</f>
        <v/>
      </c>
    </row>
    <row r="60">
      <c r="B60" s="64">
        <f>IFERROR(INDEX(المكاتب_المصدر[المنطقة],MATCH('عدد اللاعبين'!$D60,المكاتب_المصدر[المجموعة],0)),"")</f>
        <v/>
      </c>
      <c r="C60" s="65">
        <f>'ملخص المجموعات'!B60</f>
        <v/>
      </c>
      <c r="D60" s="66">
        <f>'ملخص المجموعات'!C60</f>
        <v/>
      </c>
      <c r="E60" s="67">
        <f>'ملخص المجموعات'!D60</f>
        <v/>
      </c>
      <c r="F60" s="68">
        <f>'ملخص المجموعات'!E60</f>
        <v/>
      </c>
      <c r="G60" s="67">
        <f>'ملخص المجموعات'!F60</f>
        <v/>
      </c>
      <c r="H60" s="73">
        <f>IF('عدد اللاعبين'!$G60&lt;الحد_الأدنى,0,'عدد اللاعبين'!$G60*IFERROR(INDEX(المدخلات!$Y$3:$Y$9,MATCH('عدد اللاعبين'!$C60,المدخلات!$X$3:$X$9,0)),0))</f>
        <v/>
      </c>
    </row>
    <row r="61">
      <c r="B61" s="65">
        <f>IFERROR(INDEX(المكاتب_المصدر[المنطقة],MATCH('عدد اللاعبين'!$D61,المكاتب_المصدر[المجموعة],0)),"")</f>
        <v/>
      </c>
      <c r="C61" s="65">
        <f>'ملخص المجموعات'!B61</f>
        <v/>
      </c>
      <c r="D61" s="66">
        <f>'ملخص المجموعات'!C61</f>
        <v/>
      </c>
      <c r="E61" s="67">
        <f>'ملخص المجموعات'!D61</f>
        <v/>
      </c>
      <c r="F61" s="68">
        <f>'ملخص المجموعات'!E61</f>
        <v/>
      </c>
      <c r="G61" s="67">
        <f>'ملخص المجموعات'!F61</f>
        <v/>
      </c>
      <c r="H61" s="72">
        <f>IF('عدد اللاعبين'!$G61&lt;الحد_الأدنى,0,'عدد اللاعبين'!$G61*IFERROR(INDEX(المدخلات!$Y$3:$Y$9,MATCH('عدد اللاعبين'!$C61,المدخلات!$X$3:$X$9,0)),0))</f>
        <v/>
      </c>
    </row>
    <row r="62">
      <c r="B62" s="64">
        <f>IFERROR(INDEX(المكاتب_المصدر[المنطقة],MATCH('عدد اللاعبين'!$D62,المكاتب_المصدر[المجموعة],0)),"")</f>
        <v/>
      </c>
      <c r="C62" s="65">
        <f>'ملخص المجموعات'!B62</f>
        <v/>
      </c>
      <c r="D62" s="66">
        <f>'ملخص المجموعات'!C62</f>
        <v/>
      </c>
      <c r="E62" s="67">
        <f>'ملخص المجموعات'!D62</f>
        <v/>
      </c>
      <c r="F62" s="68">
        <f>'ملخص المجموعات'!E62</f>
        <v/>
      </c>
      <c r="G62" s="67">
        <f>'ملخص المجموعات'!F62</f>
        <v/>
      </c>
      <c r="H62" s="73">
        <f>IF('عدد اللاعبين'!$G62&lt;الحد_الأدنى,0,'عدد اللاعبين'!$G62*IFERROR(INDEX(المدخلات!$Y$3:$Y$9,MATCH('عدد اللاعبين'!$C62,المدخلات!$X$3:$X$9,0)),0))</f>
        <v/>
      </c>
    </row>
    <row r="63">
      <c r="B63" s="65">
        <f>IFERROR(INDEX(المكاتب_المصدر[المنطقة],MATCH('عدد اللاعبين'!$D63,المكاتب_المصدر[المجموعة],0)),"")</f>
        <v/>
      </c>
      <c r="C63" s="65">
        <f>'ملخص المجموعات'!B63</f>
        <v/>
      </c>
      <c r="D63" s="66">
        <f>'ملخص المجموعات'!C63</f>
        <v/>
      </c>
      <c r="E63" s="67">
        <f>'ملخص المجموعات'!D63</f>
        <v/>
      </c>
      <c r="F63" s="68">
        <f>'ملخص المجموعات'!E63</f>
        <v/>
      </c>
      <c r="G63" s="67">
        <f>'ملخص المجموعات'!F63</f>
        <v/>
      </c>
      <c r="H63" s="72">
        <f>IF('عدد اللاعبين'!$G63&lt;الحد_الأدنى,0,'عدد اللاعبين'!$G63*IFERROR(INDEX(المدخلات!$Y$3:$Y$9,MATCH('عدد اللاعبين'!$C63,المدخلات!$X$3:$X$9,0)),0))</f>
        <v/>
      </c>
    </row>
    <row r="64">
      <c r="B64" s="64">
        <f>IFERROR(INDEX(المكاتب_المصدر[المنطقة],MATCH('عدد اللاعبين'!$D64,المكاتب_المصدر[المجموعة],0)),"")</f>
        <v/>
      </c>
      <c r="C64" s="65">
        <f>'ملخص المجموعات'!B64</f>
        <v/>
      </c>
      <c r="D64" s="66">
        <f>'ملخص المجموعات'!C64</f>
        <v/>
      </c>
      <c r="E64" s="67">
        <f>'ملخص المجموعات'!D64</f>
        <v/>
      </c>
      <c r="F64" s="68">
        <f>'ملخص المجموعات'!E64</f>
        <v/>
      </c>
      <c r="G64" s="67">
        <f>'ملخص المجموعات'!F64</f>
        <v/>
      </c>
      <c r="H64" s="73">
        <f>IF('عدد اللاعبين'!$G64&lt;الحد_الأدنى,0,'عدد اللاعبين'!$G64*IFERROR(INDEX(المدخلات!$Y$3:$Y$9,MATCH('عدد اللاعبين'!$C64,المدخلات!$X$3:$X$9,0)),0))</f>
        <v/>
      </c>
    </row>
    <row r="65">
      <c r="B65" s="65">
        <f>IFERROR(INDEX(المكاتب_المصدر[المنطقة],MATCH('عدد اللاعبين'!$D65,المكاتب_المصدر[المجموعة],0)),"")</f>
        <v/>
      </c>
      <c r="C65" s="65">
        <f>'ملخص المجموعات'!B65</f>
        <v/>
      </c>
      <c r="D65" s="66">
        <f>'ملخص المجموعات'!C65</f>
        <v/>
      </c>
      <c r="E65" s="67">
        <f>'ملخص المجموعات'!D65</f>
        <v/>
      </c>
      <c r="F65" s="68">
        <f>'ملخص المجموعات'!E65</f>
        <v/>
      </c>
      <c r="G65" s="67">
        <f>'ملخص المجموعات'!F65</f>
        <v/>
      </c>
      <c r="H65" s="72">
        <f>IF('عدد اللاعبين'!$G65&lt;الحد_الأدنى,0,'عدد اللاعبين'!$G65*IFERROR(INDEX(المدخلات!$Y$3:$Y$9,MATCH('عدد اللاعبين'!$C65,المدخلات!$X$3:$X$9,0)),0))</f>
        <v/>
      </c>
    </row>
    <row r="66">
      <c r="B66" s="64">
        <f>IFERROR(INDEX(المكاتب_المصدر[المنطقة],MATCH('عدد اللاعبين'!$D66,المكاتب_المصدر[المجموعة],0)),"")</f>
        <v/>
      </c>
      <c r="C66" s="65">
        <f>'ملخص المجموعات'!B66</f>
        <v/>
      </c>
      <c r="D66" s="66">
        <f>'ملخص المجموعات'!C66</f>
        <v/>
      </c>
      <c r="E66" s="67">
        <f>'ملخص المجموعات'!D66</f>
        <v/>
      </c>
      <c r="F66" s="68">
        <f>'ملخص المجموعات'!E66</f>
        <v/>
      </c>
      <c r="G66" s="67">
        <f>'ملخص المجموعات'!F66</f>
        <v/>
      </c>
      <c r="H66" s="73">
        <f>IF('عدد اللاعبين'!$G66&lt;الحد_الأدنى,0,'عدد اللاعبين'!$G66*IFERROR(INDEX(المدخلات!$Y$3:$Y$9,MATCH('عدد اللاعبين'!$C66,المدخلات!$X$3:$X$9,0)),0))</f>
        <v/>
      </c>
    </row>
    <row r="67">
      <c r="B67" s="65">
        <f>IFERROR(INDEX(المكاتب_المصدر[المنطقة],MATCH('عدد اللاعبين'!$D67,المكاتب_المصدر[المجموعة],0)),"")</f>
        <v/>
      </c>
      <c r="C67" s="65">
        <f>'ملخص المجموعات'!B67</f>
        <v/>
      </c>
      <c r="D67" s="66">
        <f>'ملخص المجموعات'!C67</f>
        <v/>
      </c>
      <c r="E67" s="67">
        <f>'ملخص المجموعات'!D67</f>
        <v/>
      </c>
      <c r="F67" s="68">
        <f>'ملخص المجموعات'!E67</f>
        <v/>
      </c>
      <c r="G67" s="67">
        <f>'ملخص المجموعات'!F67</f>
        <v/>
      </c>
      <c r="H67" s="72">
        <f>IF('عدد اللاعبين'!$G67&lt;الحد_الأدنى,0,'عدد اللاعبين'!$G67*IFERROR(INDEX(المدخلات!$Y$3:$Y$9,MATCH('عدد اللاعبين'!$C67,المدخلات!$X$3:$X$9,0)),0))</f>
        <v/>
      </c>
    </row>
    <row r="68">
      <c r="B68" s="64">
        <f>IFERROR(INDEX(المكاتب_المصدر[المنطقة],MATCH('عدد اللاعبين'!$D68,المكاتب_المصدر[المجموعة],0)),"")</f>
        <v/>
      </c>
      <c r="C68" s="65">
        <f>'ملخص المجموعات'!B68</f>
        <v/>
      </c>
      <c r="D68" s="66">
        <f>'ملخص المجموعات'!C68</f>
        <v/>
      </c>
      <c r="E68" s="67">
        <f>'ملخص المجموعات'!D68</f>
        <v/>
      </c>
      <c r="F68" s="68">
        <f>'ملخص المجموعات'!E68</f>
        <v/>
      </c>
      <c r="G68" s="67">
        <f>'ملخص المجموعات'!F68</f>
        <v/>
      </c>
      <c r="H68" s="73">
        <f>IF('عدد اللاعبين'!$G68&lt;الحد_الأدنى,0,'عدد اللاعبين'!$G68*IFERROR(INDEX(المدخلات!$Y$3:$Y$9,MATCH('عدد اللاعبين'!$C68,المدخلات!$X$3:$X$9,0)),0))</f>
        <v/>
      </c>
    </row>
    <row r="69">
      <c r="B69" s="65">
        <f>IFERROR(INDEX(المكاتب_المصدر[المنطقة],MATCH('عدد اللاعبين'!$D69,المكاتب_المصدر[المجموعة],0)),"")</f>
        <v/>
      </c>
      <c r="C69" s="65">
        <f>'ملخص المجموعات'!B69</f>
        <v/>
      </c>
      <c r="D69" s="66">
        <f>'ملخص المجموعات'!C69</f>
        <v/>
      </c>
      <c r="E69" s="67">
        <f>'ملخص المجموعات'!D69</f>
        <v/>
      </c>
      <c r="F69" s="68">
        <f>'ملخص المجموعات'!E69</f>
        <v/>
      </c>
      <c r="G69" s="67">
        <f>'ملخص المجموعات'!F69</f>
        <v/>
      </c>
      <c r="H69" s="72">
        <f>IF('عدد اللاعبين'!$G69&lt;الحد_الأدنى,0,'عدد اللاعبين'!$G69*IFERROR(INDEX(المدخلات!$Y$3:$Y$9,MATCH('عدد اللاعبين'!$C69,المدخلات!$X$3:$X$9,0)),0))</f>
        <v/>
      </c>
    </row>
    <row r="70">
      <c r="B70" s="64">
        <f>IFERROR(INDEX(المكاتب_المصدر[المنطقة],MATCH('عدد اللاعبين'!$D70,المكاتب_المصدر[المجموعة],0)),"")</f>
        <v/>
      </c>
      <c r="C70" s="65">
        <f>'ملخص المجموعات'!B70</f>
        <v/>
      </c>
      <c r="D70" s="66">
        <f>'ملخص المجموعات'!C70</f>
        <v/>
      </c>
      <c r="E70" s="67">
        <f>'ملخص المجموعات'!D70</f>
        <v/>
      </c>
      <c r="F70" s="68">
        <f>'ملخص المجموعات'!E70</f>
        <v/>
      </c>
      <c r="G70" s="67">
        <f>'ملخص المجموعات'!F70</f>
        <v/>
      </c>
      <c r="H70" s="73">
        <f>IF('عدد اللاعبين'!$G70&lt;الحد_الأدنى,0,'عدد اللاعبين'!$G70*IFERROR(INDEX(المدخلات!$Y$3:$Y$9,MATCH('عدد اللاعبين'!$C70,المدخلات!$X$3:$X$9,0)),0))</f>
        <v/>
      </c>
    </row>
    <row r="71">
      <c r="B71" s="65">
        <f>IFERROR(INDEX(المكاتب_المصدر[المنطقة],MATCH('عدد اللاعبين'!$D71,المكاتب_المصدر[المجموعة],0)),"")</f>
        <v/>
      </c>
      <c r="C71" s="65">
        <f>'ملخص المجموعات'!B71</f>
        <v/>
      </c>
      <c r="D71" s="66">
        <f>'ملخص المجموعات'!C71</f>
        <v/>
      </c>
      <c r="E71" s="67">
        <f>'ملخص المجموعات'!D71</f>
        <v/>
      </c>
      <c r="F71" s="68">
        <f>'ملخص المجموعات'!E71</f>
        <v/>
      </c>
      <c r="G71" s="67">
        <f>'ملخص المجموعات'!F71</f>
        <v/>
      </c>
      <c r="H71" s="72">
        <f>IF('عدد اللاعبين'!$G71&lt;الحد_الأدنى,0,'عدد اللاعبين'!$G71*IFERROR(INDEX(المدخلات!$Y$3:$Y$9,MATCH('عدد اللاعبين'!$C71,المدخلات!$X$3:$X$9,0)),0))</f>
        <v/>
      </c>
    </row>
    <row r="72">
      <c r="B72" s="64">
        <f>IFERROR(INDEX(المكاتب_المصدر[المنطقة],MATCH('عدد اللاعبين'!$D72,المكاتب_المصدر[المجموعة],0)),"")</f>
        <v/>
      </c>
      <c r="C72" s="65">
        <f>'ملخص المجموعات'!B72</f>
        <v/>
      </c>
      <c r="D72" s="66">
        <f>'ملخص المجموعات'!C72</f>
        <v/>
      </c>
      <c r="E72" s="67">
        <f>'ملخص المجموعات'!D72</f>
        <v/>
      </c>
      <c r="F72" s="68">
        <f>'ملخص المجموعات'!E72</f>
        <v/>
      </c>
      <c r="G72" s="67">
        <f>'ملخص المجموعات'!F72</f>
        <v/>
      </c>
      <c r="H72" s="73">
        <f>IF('عدد اللاعبين'!$G72&lt;الحد_الأدنى,0,'عدد اللاعبين'!$G72*IFERROR(INDEX(المدخلات!$Y$3:$Y$9,MATCH('عدد اللاعبين'!$C72,المدخلات!$X$3:$X$9,0)),0))</f>
        <v/>
      </c>
    </row>
    <row r="73">
      <c r="B73" s="65">
        <f>IFERROR(INDEX(المكاتب_المصدر[المنطقة],MATCH('عدد اللاعبين'!$D73,المكاتب_المصدر[المجموعة],0)),"")</f>
        <v/>
      </c>
      <c r="C73" s="65">
        <f>'ملخص المجموعات'!B73</f>
        <v/>
      </c>
      <c r="D73" s="66">
        <f>'ملخص المجموعات'!C73</f>
        <v/>
      </c>
      <c r="E73" s="67">
        <f>'ملخص المجموعات'!D73</f>
        <v/>
      </c>
      <c r="F73" s="68">
        <f>'ملخص المجموعات'!E73</f>
        <v/>
      </c>
      <c r="G73" s="67">
        <f>'ملخص المجموعات'!F73</f>
        <v/>
      </c>
      <c r="H73" s="72">
        <f>IF('عدد اللاعبين'!$G73&lt;الحد_الأدنى,0,'عدد اللاعبين'!$G73*IFERROR(INDEX(المدخلات!$Y$3:$Y$9,MATCH('عدد اللاعبين'!$C73,المدخلات!$X$3:$X$9,0)),0))</f>
        <v/>
      </c>
    </row>
    <row r="74">
      <c r="B74" s="64">
        <f>IFERROR(INDEX(المكاتب_المصدر[المنطقة],MATCH('عدد اللاعبين'!$D74,المكاتب_المصدر[المجموعة],0)),"")</f>
        <v/>
      </c>
      <c r="C74" s="65">
        <f>'ملخص المجموعات'!B74</f>
        <v/>
      </c>
      <c r="D74" s="66">
        <f>'ملخص المجموعات'!C74</f>
        <v/>
      </c>
      <c r="E74" s="67">
        <f>'ملخص المجموعات'!D74</f>
        <v/>
      </c>
      <c r="F74" s="68">
        <f>'ملخص المجموعات'!E74</f>
        <v/>
      </c>
      <c r="G74" s="67">
        <f>'ملخص المجموعات'!F74</f>
        <v/>
      </c>
      <c r="H74" s="73">
        <f>IF('عدد اللاعبين'!$G74&lt;الحد_الأدنى,0,'عدد اللاعبين'!$G74*IFERROR(INDEX(المدخلات!$Y$3:$Y$9,MATCH('عدد اللاعبين'!$C74,المدخلات!$X$3:$X$9,0)),0))</f>
        <v/>
      </c>
    </row>
    <row r="75">
      <c r="B75" s="65">
        <f>IFERROR(INDEX(المكاتب_المصدر[المنطقة],MATCH('عدد اللاعبين'!$D75,المكاتب_المصدر[المجموعة],0)),"")</f>
        <v/>
      </c>
      <c r="C75" s="65">
        <f>'ملخص المجموعات'!B75</f>
        <v/>
      </c>
      <c r="D75" s="66">
        <f>'ملخص المجموعات'!C75</f>
        <v/>
      </c>
      <c r="E75" s="67">
        <f>'ملخص المجموعات'!D75</f>
        <v/>
      </c>
      <c r="F75" s="68">
        <f>'ملخص المجموعات'!E75</f>
        <v/>
      </c>
      <c r="G75" s="67">
        <f>'ملخص المجموعات'!F75</f>
        <v/>
      </c>
      <c r="H75" s="72">
        <f>IF('عدد اللاعبين'!$G75&lt;الحد_الأدنى,0,'عدد اللاعبين'!$G75*IFERROR(INDEX(المدخلات!$Y$3:$Y$9,MATCH('عدد اللاعبين'!$C75,المدخلات!$X$3:$X$9,0)),0))</f>
        <v/>
      </c>
    </row>
    <row r="76">
      <c r="B76" s="64">
        <f>IFERROR(INDEX(المكاتب_المصدر[المنطقة],MATCH('عدد اللاعبين'!$D76,المكاتب_المصدر[المجموعة],0)),"")</f>
        <v/>
      </c>
      <c r="C76" s="65">
        <f>'ملخص المجموعات'!B76</f>
        <v/>
      </c>
      <c r="D76" s="66">
        <f>'ملخص المجموعات'!C76</f>
        <v/>
      </c>
      <c r="E76" s="67">
        <f>'ملخص المجموعات'!D76</f>
        <v/>
      </c>
      <c r="F76" s="68">
        <f>'ملخص المجموعات'!E76</f>
        <v/>
      </c>
      <c r="G76" s="67">
        <f>'ملخص المجموعات'!F76</f>
        <v/>
      </c>
      <c r="H76" s="73">
        <f>IF('عدد اللاعبين'!$G76&lt;الحد_الأدنى,0,'عدد اللاعبين'!$G76*IFERROR(INDEX(المدخلات!$Y$3:$Y$9,MATCH('عدد اللاعبين'!$C76,المدخلات!$X$3:$X$9,0)),0))</f>
        <v/>
      </c>
    </row>
    <row r="77">
      <c r="B77" s="65">
        <f>IFERROR(INDEX(المكاتب_المصدر[المنطقة],MATCH('عدد اللاعبين'!$D77,المكاتب_المصدر[المجموعة],0)),"")</f>
        <v/>
      </c>
      <c r="C77" s="65">
        <f>'ملخص المجموعات'!B77</f>
        <v/>
      </c>
      <c r="D77" s="66">
        <f>'ملخص المجموعات'!C77</f>
        <v/>
      </c>
      <c r="E77" s="67">
        <f>'ملخص المجموعات'!D77</f>
        <v/>
      </c>
      <c r="F77" s="68">
        <f>'ملخص المجموعات'!E77</f>
        <v/>
      </c>
      <c r="G77" s="67">
        <f>'ملخص المجموعات'!F77</f>
        <v/>
      </c>
      <c r="H77" s="72">
        <f>IF('عدد اللاعبين'!$G77&lt;الحد_الأدنى,0,'عدد اللاعبين'!$G77*IFERROR(INDEX(المدخلات!$Y$3:$Y$9,MATCH('عدد اللاعبين'!$C77,المدخلات!$X$3:$X$9,0)),0))</f>
        <v/>
      </c>
    </row>
    <row r="78">
      <c r="B78" s="64">
        <f>IFERROR(INDEX(المكاتب_المصدر[المنطقة],MATCH('عدد اللاعبين'!$D78,المكاتب_المصدر[المجموعة],0)),"")</f>
        <v/>
      </c>
      <c r="C78" s="65">
        <f>'ملخص المجموعات'!B78</f>
        <v/>
      </c>
      <c r="D78" s="66">
        <f>'ملخص المجموعات'!C78</f>
        <v/>
      </c>
      <c r="E78" s="67">
        <f>'ملخص المجموعات'!D78</f>
        <v/>
      </c>
      <c r="F78" s="68">
        <f>'ملخص المجموعات'!E78</f>
        <v/>
      </c>
      <c r="G78" s="67">
        <f>'ملخص المجموعات'!F78</f>
        <v/>
      </c>
      <c r="H78" s="73">
        <f>IF('عدد اللاعبين'!$G78&lt;الحد_الأدنى,0,'عدد اللاعبين'!$G78*IFERROR(INDEX(المدخلات!$Y$3:$Y$9,MATCH('عدد اللاعبين'!$C78,المدخلات!$X$3:$X$9,0)),0))</f>
        <v/>
      </c>
    </row>
    <row r="79">
      <c r="B79" s="65">
        <f>IFERROR(INDEX(المكاتب_المصدر[المنطقة],MATCH('عدد اللاعبين'!$D79,المكاتب_المصدر[المجموعة],0)),"")</f>
        <v/>
      </c>
      <c r="C79" s="65">
        <f>'ملخص المجموعات'!B79</f>
        <v/>
      </c>
      <c r="D79" s="66">
        <f>'ملخص المجموعات'!C79</f>
        <v/>
      </c>
      <c r="E79" s="67">
        <f>'ملخص المجموعات'!D79</f>
        <v/>
      </c>
      <c r="F79" s="68">
        <f>'ملخص المجموعات'!E79</f>
        <v/>
      </c>
      <c r="G79" s="67">
        <f>'ملخص المجموعات'!F79</f>
        <v/>
      </c>
      <c r="H79" s="72">
        <f>IF('عدد اللاعبين'!$G79&lt;الحد_الأدنى,0,'عدد اللاعبين'!$G79*IFERROR(INDEX(المدخلات!$Y$3:$Y$9,MATCH('عدد اللاعبين'!$C79,المدخلات!$X$3:$X$9,0)),0))</f>
        <v/>
      </c>
    </row>
    <row r="80">
      <c r="B80" s="64">
        <f>IFERROR(INDEX(المكاتب_المصدر[المنطقة],MATCH('عدد اللاعبين'!$D80,المكاتب_المصدر[المجموعة],0)),"")</f>
        <v/>
      </c>
      <c r="C80" s="65">
        <f>'ملخص المجموعات'!B80</f>
        <v/>
      </c>
      <c r="D80" s="66">
        <f>'ملخص المجموعات'!C80</f>
        <v/>
      </c>
      <c r="E80" s="67">
        <f>'ملخص المجموعات'!D80</f>
        <v/>
      </c>
      <c r="F80" s="68">
        <f>'ملخص المجموعات'!E80</f>
        <v/>
      </c>
      <c r="G80" s="67">
        <f>'ملخص المجموعات'!F80</f>
        <v/>
      </c>
      <c r="H80" s="73">
        <f>IF('عدد اللاعبين'!$G80&lt;الحد_الأدنى,0,'عدد اللاعبين'!$G80*IFERROR(INDEX(المدخلات!$Y$3:$Y$9,MATCH('عدد اللاعبين'!$C80,المدخلات!$X$3:$X$9,0)),0))</f>
        <v/>
      </c>
    </row>
    <row r="81">
      <c r="B81" s="65">
        <f>IFERROR(INDEX(المكاتب_المصدر[المنطقة],MATCH('عدد اللاعبين'!$D81,المكاتب_المصدر[المجموعة],0)),"")</f>
        <v/>
      </c>
      <c r="C81" s="65">
        <f>'ملخص المجموعات'!B81</f>
        <v/>
      </c>
      <c r="D81" s="66">
        <f>'ملخص المجموعات'!C81</f>
        <v/>
      </c>
      <c r="E81" s="67">
        <f>'ملخص المجموعات'!D81</f>
        <v/>
      </c>
      <c r="F81" s="68">
        <f>'ملخص المجموعات'!E81</f>
        <v/>
      </c>
      <c r="G81" s="67">
        <f>'ملخص المجموعات'!F81</f>
        <v/>
      </c>
      <c r="H81" s="72">
        <f>IF('عدد اللاعبين'!$G81&lt;الحد_الأدنى,0,'عدد اللاعبين'!$G81*IFERROR(INDEX(المدخلات!$Y$3:$Y$9,MATCH('عدد اللاعبين'!$C81,المدخلات!$X$3:$X$9,0)),0))</f>
        <v/>
      </c>
    </row>
    <row r="82">
      <c r="B82" s="64">
        <f>IFERROR(INDEX(المكاتب_المصدر[المنطقة],MATCH('عدد اللاعبين'!$D82,المكاتب_المصدر[المجموعة],0)),"")</f>
        <v/>
      </c>
      <c r="C82" s="65">
        <f>'ملخص المجموعات'!B82</f>
        <v/>
      </c>
      <c r="D82" s="66">
        <f>'ملخص المجموعات'!C82</f>
        <v/>
      </c>
      <c r="E82" s="67">
        <f>'ملخص المجموعات'!D82</f>
        <v/>
      </c>
      <c r="F82" s="68">
        <f>'ملخص المجموعات'!E82</f>
        <v/>
      </c>
      <c r="G82" s="67">
        <f>'ملخص المجموعات'!F82</f>
        <v/>
      </c>
      <c r="H82" s="73">
        <f>IF('عدد اللاعبين'!$G82&lt;الحد_الأدنى,0,'عدد اللاعبين'!$G82*IFERROR(INDEX(المدخلات!$Y$3:$Y$9,MATCH('عدد اللاعبين'!$C82,المدخلات!$X$3:$X$9,0)),0))</f>
        <v/>
      </c>
    </row>
    <row r="83">
      <c r="B83" s="65">
        <f>IFERROR(INDEX(المكاتب_المصدر[المنطقة],MATCH('عدد اللاعبين'!$D83,المكاتب_المصدر[المجموعة],0)),"")</f>
        <v/>
      </c>
      <c r="C83" s="65">
        <f>'ملخص المجموعات'!B83</f>
        <v/>
      </c>
      <c r="D83" s="66">
        <f>'ملخص المجموعات'!C83</f>
        <v/>
      </c>
      <c r="E83" s="67">
        <f>'ملخص المجموعات'!D83</f>
        <v/>
      </c>
      <c r="F83" s="68">
        <f>'ملخص المجموعات'!E83</f>
        <v/>
      </c>
      <c r="G83" s="67">
        <f>'ملخص المجموعات'!F83</f>
        <v/>
      </c>
      <c r="H83" s="72">
        <f>IF('عدد اللاعبين'!$G83&lt;الحد_الأدنى,0,'عدد اللاعبين'!$G83*IFERROR(INDEX(المدخلات!$Y$3:$Y$9,MATCH('عدد اللاعبين'!$C83,المدخلات!$X$3:$X$9,0)),0))</f>
        <v/>
      </c>
    </row>
    <row r="84">
      <c r="B84" s="64">
        <f>IFERROR(INDEX(المكاتب_المصدر[المنطقة],MATCH('عدد اللاعبين'!$D84,المكاتب_المصدر[المجموعة],0)),"")</f>
        <v/>
      </c>
      <c r="C84" s="65">
        <f>'ملخص المجموعات'!B84</f>
        <v/>
      </c>
      <c r="D84" s="66">
        <f>'ملخص المجموعات'!C84</f>
        <v/>
      </c>
      <c r="E84" s="67">
        <f>'ملخص المجموعات'!D84</f>
        <v/>
      </c>
      <c r="F84" s="68">
        <f>'ملخص المجموعات'!E84</f>
        <v/>
      </c>
      <c r="G84" s="67">
        <f>'ملخص المجموعات'!F84</f>
        <v/>
      </c>
      <c r="H84" s="73">
        <f>IF('عدد اللاعبين'!$G84&lt;الحد_الأدنى,0,'عدد اللاعبين'!$G84*IFERROR(INDEX(المدخلات!$Y$3:$Y$9,MATCH('عدد اللاعبين'!$C84,المدخلات!$X$3:$X$9,0)),0))</f>
        <v/>
      </c>
    </row>
    <row r="85">
      <c r="B85" s="65">
        <f>IFERROR(INDEX(المكاتب_المصدر[المنطقة],MATCH('عدد اللاعبين'!$D85,المكاتب_المصدر[المجموعة],0)),"")</f>
        <v/>
      </c>
      <c r="C85" s="65">
        <f>'ملخص المجموعات'!B85</f>
        <v/>
      </c>
      <c r="D85" s="66">
        <f>'ملخص المجموعات'!C85</f>
        <v/>
      </c>
      <c r="E85" s="67">
        <f>'ملخص المجموعات'!D85</f>
        <v/>
      </c>
      <c r="F85" s="68">
        <f>'ملخص المجموعات'!E85</f>
        <v/>
      </c>
      <c r="G85" s="67">
        <f>'ملخص المجموعات'!F85</f>
        <v/>
      </c>
      <c r="H85" s="72">
        <f>IF('عدد اللاعبين'!$G85&lt;الحد_الأدنى,0,'عدد اللاعبين'!$G85*IFERROR(INDEX(المدخلات!$Y$3:$Y$9,MATCH('عدد اللاعبين'!$C85,المدخلات!$X$3:$X$9,0)),0))</f>
        <v/>
      </c>
    </row>
    <row r="86">
      <c r="B86" s="64">
        <f>IFERROR(INDEX(المكاتب_المصدر[المنطقة],MATCH('عدد اللاعبين'!$D86,المكاتب_المصدر[المجموعة],0)),"")</f>
        <v/>
      </c>
      <c r="C86" s="65">
        <f>'ملخص المجموعات'!B86</f>
        <v/>
      </c>
      <c r="D86" s="66">
        <f>'ملخص المجموعات'!C86</f>
        <v/>
      </c>
      <c r="E86" s="67">
        <f>'ملخص المجموعات'!D86</f>
        <v/>
      </c>
      <c r="F86" s="68">
        <f>'ملخص المجموعات'!E86</f>
        <v/>
      </c>
      <c r="G86" s="67">
        <f>'ملخص المجموعات'!F86</f>
        <v/>
      </c>
      <c r="H86" s="73">
        <f>IF('عدد اللاعبين'!$G86&lt;الحد_الأدنى,0,'عدد اللاعبين'!$G86*IFERROR(INDEX(المدخلات!$Y$3:$Y$9,MATCH('عدد اللاعبين'!$C86,المدخلات!$X$3:$X$9,0)),0))</f>
        <v/>
      </c>
    </row>
    <row r="87">
      <c r="B87" s="65">
        <f>IFERROR(INDEX(المكاتب_المصدر[المنطقة],MATCH('عدد اللاعبين'!$D87,المكاتب_المصدر[المجموعة],0)),"")</f>
        <v/>
      </c>
      <c r="C87" s="65">
        <f>'ملخص المجموعات'!B87</f>
        <v/>
      </c>
      <c r="D87" s="66">
        <f>'ملخص المجموعات'!C87</f>
        <v/>
      </c>
      <c r="E87" s="67">
        <f>'ملخص المجموعات'!D87</f>
        <v/>
      </c>
      <c r="F87" s="68">
        <f>'ملخص المجموعات'!E87</f>
        <v/>
      </c>
      <c r="G87" s="67">
        <f>'ملخص المجموعات'!F87</f>
        <v/>
      </c>
      <c r="H87" s="72">
        <f>IF('عدد اللاعبين'!$G87&lt;الحد_الأدنى,0,'عدد اللاعبين'!$G87*IFERROR(INDEX(المدخلات!$Y$3:$Y$9,MATCH('عدد اللاعبين'!$C87,المدخلات!$X$3:$X$9,0)),0))</f>
        <v/>
      </c>
    </row>
    <row r="88">
      <c r="B88" s="64">
        <f>IFERROR(INDEX(المكاتب_المصدر[المنطقة],MATCH('عدد اللاعبين'!$D88,المكاتب_المصدر[المجموعة],0)),"")</f>
        <v/>
      </c>
      <c r="C88" s="65">
        <f>'ملخص المجموعات'!B88</f>
        <v/>
      </c>
      <c r="D88" s="66">
        <f>'ملخص المجموعات'!C88</f>
        <v/>
      </c>
      <c r="E88" s="67">
        <f>'ملخص المجموعات'!D88</f>
        <v/>
      </c>
      <c r="F88" s="68">
        <f>'ملخص المجموعات'!E88</f>
        <v/>
      </c>
      <c r="G88" s="67">
        <f>'ملخص المجموعات'!F88</f>
        <v/>
      </c>
      <c r="H88" s="73">
        <f>IF('عدد اللاعبين'!$G88&lt;الحد_الأدنى,0,'عدد اللاعبين'!$G88*IFERROR(INDEX(المدخلات!$Y$3:$Y$9,MATCH('عدد اللاعبين'!$C88,المدخلات!$X$3:$X$9,0)),0))</f>
        <v/>
      </c>
    </row>
    <row r="89">
      <c r="B89" s="65">
        <f>IFERROR(INDEX(المكاتب_المصدر[المنطقة],MATCH('عدد اللاعبين'!$D89,المكاتب_المصدر[المجموعة],0)),"")</f>
        <v/>
      </c>
      <c r="C89" s="65">
        <f>'ملخص المجموعات'!B89</f>
        <v/>
      </c>
      <c r="D89" s="66">
        <f>'ملخص المجموعات'!C89</f>
        <v/>
      </c>
      <c r="E89" s="67">
        <f>'ملخص المجموعات'!D89</f>
        <v/>
      </c>
      <c r="F89" s="68">
        <f>'ملخص المجموعات'!E89</f>
        <v/>
      </c>
      <c r="G89" s="67">
        <f>'ملخص المجموعات'!F89</f>
        <v/>
      </c>
      <c r="H89" s="72">
        <f>IF('عدد اللاعبين'!$G89&lt;الحد_الأدنى,0,'عدد اللاعبين'!$G89*IFERROR(INDEX(المدخلات!$Y$3:$Y$9,MATCH('عدد اللاعبين'!$C89,المدخلات!$X$3:$X$9,0)),0))</f>
        <v/>
      </c>
    </row>
    <row r="90">
      <c r="B90" s="64">
        <f>IFERROR(INDEX(المكاتب_المصدر[المنطقة],MATCH('عدد اللاعبين'!$D90,المكاتب_المصدر[المجموعة],0)),"")</f>
        <v/>
      </c>
      <c r="C90" s="65">
        <f>'ملخص المجموعات'!B90</f>
        <v/>
      </c>
      <c r="D90" s="66">
        <f>'ملخص المجموعات'!C90</f>
        <v/>
      </c>
      <c r="E90" s="67">
        <f>'ملخص المجموعات'!D90</f>
        <v/>
      </c>
      <c r="F90" s="68">
        <f>'ملخص المجموعات'!E90</f>
        <v/>
      </c>
      <c r="G90" s="67">
        <f>'ملخص المجموعات'!F90</f>
        <v/>
      </c>
      <c r="H90" s="73">
        <f>IF('عدد اللاعبين'!$G90&lt;الحد_الأدنى,0,'عدد اللاعبين'!$G90*IFERROR(INDEX(المدخلات!$Y$3:$Y$9,MATCH('عدد اللاعبين'!$C90,المدخلات!$X$3:$X$9,0)),0))</f>
        <v/>
      </c>
    </row>
    <row r="91">
      <c r="B91" s="65">
        <f>IFERROR(INDEX(المكاتب_المصدر[المنطقة],MATCH('عدد اللاعبين'!$D91,المكاتب_المصدر[المجموعة],0)),"")</f>
        <v/>
      </c>
      <c r="C91" s="65">
        <f>'ملخص المجموعات'!B91</f>
        <v/>
      </c>
      <c r="D91" s="66">
        <f>'ملخص المجموعات'!C91</f>
        <v/>
      </c>
      <c r="E91" s="67">
        <f>'ملخص المجموعات'!D91</f>
        <v/>
      </c>
      <c r="F91" s="68">
        <f>'ملخص المجموعات'!E91</f>
        <v/>
      </c>
      <c r="G91" s="67">
        <f>'ملخص المجموعات'!F91</f>
        <v/>
      </c>
      <c r="H91" s="72">
        <f>IF('عدد اللاعبين'!$G91&lt;الحد_الأدنى,0,'عدد اللاعبين'!$G91*IFERROR(INDEX(المدخلات!$Y$3:$Y$9,MATCH('عدد اللاعبين'!$C91,المدخلات!$X$3:$X$9,0)),0))</f>
        <v/>
      </c>
    </row>
    <row r="92">
      <c r="B92" s="64">
        <f>IFERROR(INDEX(المكاتب_المصدر[المنطقة],MATCH('عدد اللاعبين'!$D92,المكاتب_المصدر[المجموعة],0)),"")</f>
        <v/>
      </c>
      <c r="C92" s="65">
        <f>'ملخص المجموعات'!B92</f>
        <v/>
      </c>
      <c r="D92" s="66">
        <f>'ملخص المجموعات'!C92</f>
        <v/>
      </c>
      <c r="E92" s="67">
        <f>'ملخص المجموعات'!D92</f>
        <v/>
      </c>
      <c r="F92" s="68">
        <f>'ملخص المجموعات'!E92</f>
        <v/>
      </c>
      <c r="G92" s="67">
        <f>'ملخص المجموعات'!F92</f>
        <v/>
      </c>
      <c r="H92" s="73">
        <f>IF('عدد اللاعبين'!$G92&lt;الحد_الأدنى,0,'عدد اللاعبين'!$G92*IFERROR(INDEX(المدخلات!$Y$3:$Y$9,MATCH('عدد اللاعبين'!$C92,المدخلات!$X$3:$X$9,0)),0))</f>
        <v/>
      </c>
    </row>
    <row r="93">
      <c r="B93" s="65">
        <f>IFERROR(INDEX(المكاتب_المصدر[المنطقة],MATCH('عدد اللاعبين'!$D93,المكاتب_المصدر[المجموعة],0)),"")</f>
        <v/>
      </c>
      <c r="C93" s="65">
        <f>'ملخص المجموعات'!B93</f>
        <v/>
      </c>
      <c r="D93" s="66">
        <f>'ملخص المجموعات'!C93</f>
        <v/>
      </c>
      <c r="E93" s="67">
        <f>'ملخص المجموعات'!D93</f>
        <v/>
      </c>
      <c r="F93" s="68">
        <f>'ملخص المجموعات'!E93</f>
        <v/>
      </c>
      <c r="G93" s="67">
        <f>'ملخص المجموعات'!F93</f>
        <v/>
      </c>
      <c r="H93" s="72">
        <f>IF('عدد اللاعبين'!$G93&lt;الحد_الأدنى,0,'عدد اللاعبين'!$G93*IFERROR(INDEX(المدخلات!$Y$3:$Y$9,MATCH('عدد اللاعبين'!$C93,المدخلات!$X$3:$X$9,0)),0))</f>
        <v/>
      </c>
    </row>
    <row r="94">
      <c r="B94" s="64">
        <f>IFERROR(INDEX(المكاتب_المصدر[المنطقة],MATCH('عدد اللاعبين'!$D94,المكاتب_المصدر[المجموعة],0)),"")</f>
        <v/>
      </c>
      <c r="C94" s="65">
        <f>'ملخص المجموعات'!B94</f>
        <v/>
      </c>
      <c r="D94" s="66">
        <f>'ملخص المجموعات'!C94</f>
        <v/>
      </c>
      <c r="E94" s="67">
        <f>'ملخص المجموعات'!D94</f>
        <v/>
      </c>
      <c r="F94" s="68">
        <f>'ملخص المجموعات'!E94</f>
        <v/>
      </c>
      <c r="G94" s="67">
        <f>'ملخص المجموعات'!F94</f>
        <v/>
      </c>
      <c r="H94" s="73">
        <f>IF('عدد اللاعبين'!$G94&lt;الحد_الأدنى,0,'عدد اللاعبين'!$G94*IFERROR(INDEX(المدخلات!$Y$3:$Y$9,MATCH('عدد اللاعبين'!$C94,المدخلات!$X$3:$X$9,0)),0))</f>
        <v/>
      </c>
    </row>
    <row r="95">
      <c r="B95" s="65">
        <f>IFERROR(INDEX(المكاتب_المصدر[المنطقة],MATCH('عدد اللاعبين'!$D95,المكاتب_المصدر[المجموعة],0)),"")</f>
        <v/>
      </c>
      <c r="C95" s="65">
        <f>'ملخص المجموعات'!B95</f>
        <v/>
      </c>
      <c r="D95" s="66">
        <f>'ملخص المجموعات'!C95</f>
        <v/>
      </c>
      <c r="E95" s="67">
        <f>'ملخص المجموعات'!D95</f>
        <v/>
      </c>
      <c r="F95" s="68">
        <f>'ملخص المجموعات'!E95</f>
        <v/>
      </c>
      <c r="G95" s="67">
        <f>'ملخص المجموعات'!F95</f>
        <v/>
      </c>
      <c r="H95" s="72">
        <f>IF('عدد اللاعبين'!$G95&lt;الحد_الأدنى,0,'عدد اللاعبين'!$G95*IFERROR(INDEX(المدخلات!$Y$3:$Y$9,MATCH('عدد اللاعبين'!$C95,المدخلات!$X$3:$X$9,0)),0))</f>
        <v/>
      </c>
    </row>
    <row r="96">
      <c r="B96" s="64">
        <f>IFERROR(INDEX(المكاتب_المصدر[المنطقة],MATCH('عدد اللاعبين'!$D96,المكاتب_المصدر[المجموعة],0)),"")</f>
        <v/>
      </c>
      <c r="C96" s="65">
        <f>'ملخص المجموعات'!B96</f>
        <v/>
      </c>
      <c r="D96" s="66">
        <f>'ملخص المجموعات'!C96</f>
        <v/>
      </c>
      <c r="E96" s="67">
        <f>'ملخص المجموعات'!D96</f>
        <v/>
      </c>
      <c r="F96" s="68">
        <f>'ملخص المجموعات'!E96</f>
        <v/>
      </c>
      <c r="G96" s="67">
        <f>'ملخص المجموعات'!F96</f>
        <v/>
      </c>
      <c r="H96" s="73">
        <f>IF('عدد اللاعبين'!$G96&lt;الحد_الأدنى,0,'عدد اللاعبين'!$G96*IFERROR(INDEX(المدخلات!$Y$3:$Y$9,MATCH('عدد اللاعبين'!$C96,المدخلات!$X$3:$X$9,0)),0))</f>
        <v/>
      </c>
    </row>
    <row r="97">
      <c r="B97" s="65">
        <f>IFERROR(INDEX(المكاتب_المصدر[المنطقة],MATCH('عدد اللاعبين'!$D97,المكاتب_المصدر[المجموعة],0)),"")</f>
        <v/>
      </c>
      <c r="C97" s="65">
        <f>'ملخص المجموعات'!B97</f>
        <v/>
      </c>
      <c r="D97" s="66">
        <f>'ملخص المجموعات'!C97</f>
        <v/>
      </c>
      <c r="E97" s="67">
        <f>'ملخص المجموعات'!D97</f>
        <v/>
      </c>
      <c r="F97" s="68">
        <f>'ملخص المجموعات'!E97</f>
        <v/>
      </c>
      <c r="G97" s="67">
        <f>'ملخص المجموعات'!F97</f>
        <v/>
      </c>
      <c r="H97" s="72">
        <f>IF('عدد اللاعبين'!$G97&lt;الحد_الأدنى,0,'عدد اللاعبين'!$G97*IFERROR(INDEX(المدخلات!$Y$3:$Y$9,MATCH('عدد اللاعبين'!$C97,المدخلات!$X$3:$X$9,0)),0))</f>
        <v/>
      </c>
    </row>
    <row r="98">
      <c r="B98" s="64">
        <f>IFERROR(INDEX(المكاتب_المصدر[المنطقة],MATCH('عدد اللاعبين'!$D98,المكاتب_المصدر[المجموعة],0)),"")</f>
        <v/>
      </c>
      <c r="C98" s="65">
        <f>'ملخص المجموعات'!B98</f>
        <v/>
      </c>
      <c r="D98" s="66">
        <f>'ملخص المجموعات'!C98</f>
        <v/>
      </c>
      <c r="E98" s="67">
        <f>'ملخص المجموعات'!D98</f>
        <v/>
      </c>
      <c r="F98" s="68">
        <f>'ملخص المجموعات'!E98</f>
        <v/>
      </c>
      <c r="G98" s="67">
        <f>'ملخص المجموعات'!F98</f>
        <v/>
      </c>
      <c r="H98" s="73">
        <f>IF('عدد اللاعبين'!$G98&lt;الحد_الأدنى,0,'عدد اللاعبين'!$G98*IFERROR(INDEX(المدخلات!$Y$3:$Y$9,MATCH('عدد اللاعبين'!$C98,المدخلات!$X$3:$X$9,0)),0))</f>
        <v/>
      </c>
    </row>
    <row r="99">
      <c r="B99" s="65">
        <f>IFERROR(INDEX(المكاتب_المصدر[المنطقة],MATCH('عدد اللاعبين'!$D99,المكاتب_المصدر[المجموعة],0)),"")</f>
        <v/>
      </c>
      <c r="C99" s="65">
        <f>'ملخص المجموعات'!B99</f>
        <v/>
      </c>
      <c r="D99" s="66">
        <f>'ملخص المجموعات'!C99</f>
        <v/>
      </c>
      <c r="E99" s="67">
        <f>'ملخص المجموعات'!D99</f>
        <v/>
      </c>
      <c r="F99" s="68">
        <f>'ملخص المجموعات'!E99</f>
        <v/>
      </c>
      <c r="G99" s="67">
        <f>'ملخص المجموعات'!F99</f>
        <v/>
      </c>
      <c r="H99" s="72">
        <f>IF('عدد اللاعبين'!$G99&lt;الحد_الأدنى,0,'عدد اللاعبين'!$G99*IFERROR(INDEX(المدخلات!$Y$3:$Y$9,MATCH('عدد اللاعبين'!$C99,المدخلات!$X$3:$X$9,0)),0))</f>
        <v/>
      </c>
    </row>
    <row r="100">
      <c r="B100" s="64">
        <f>IFERROR(INDEX(المكاتب_المصدر[المنطقة],MATCH('عدد اللاعبين'!$D100,المكاتب_المصدر[المجموعة],0)),"")</f>
        <v/>
      </c>
      <c r="C100" s="65">
        <f>'ملخص المجموعات'!B100</f>
        <v/>
      </c>
      <c r="D100" s="66">
        <f>'ملخص المجموعات'!C100</f>
        <v/>
      </c>
      <c r="E100" s="67">
        <f>'ملخص المجموعات'!D100</f>
        <v/>
      </c>
      <c r="F100" s="68">
        <f>'ملخص المجموعات'!E100</f>
        <v/>
      </c>
      <c r="G100" s="67">
        <f>'ملخص المجموعات'!F100</f>
        <v/>
      </c>
      <c r="H100" s="73">
        <f>IF('عدد اللاعبين'!$G100&lt;الحد_الأدنى,0,'عدد اللاعبين'!$G100*IFERROR(INDEX(المدخلات!$Y$3:$Y$9,MATCH('عدد اللاعبين'!$C100,المدخلات!$X$3:$X$9,0)),0))</f>
        <v/>
      </c>
    </row>
    <row r="101">
      <c r="B101" s="65">
        <f>IFERROR(INDEX(المكاتب_المصدر[المنطقة],MATCH('عدد اللاعبين'!$D101,المكاتب_المصدر[المجموعة],0)),"")</f>
        <v/>
      </c>
      <c r="C101" s="65">
        <f>'ملخص المجموعات'!B101</f>
        <v/>
      </c>
      <c r="D101" s="66">
        <f>'ملخص المجموعات'!C101</f>
        <v/>
      </c>
      <c r="E101" s="67">
        <f>'ملخص المجموعات'!D101</f>
        <v/>
      </c>
      <c r="F101" s="68">
        <f>'ملخص المجموعات'!E101</f>
        <v/>
      </c>
      <c r="G101" s="67">
        <f>'ملخص المجموعات'!F101</f>
        <v/>
      </c>
      <c r="H101" s="72">
        <f>IF('عدد اللاعبين'!$G101&lt;الحد_الأدنى,0,'عدد اللاعبين'!$G101*IFERROR(INDEX(المدخلات!$Y$3:$Y$9,MATCH('عدد اللاعبين'!$C101,المدخلات!$X$3:$X$9,0)),0))</f>
        <v/>
      </c>
    </row>
    <row r="102">
      <c r="B102" s="64">
        <f>IFERROR(INDEX(المكاتب_المصدر[المنطقة],MATCH('عدد اللاعبين'!$D102,المكاتب_المصدر[المجموعة],0)),"")</f>
        <v/>
      </c>
      <c r="C102" s="65">
        <f>'ملخص المجموعات'!B102</f>
        <v/>
      </c>
      <c r="D102" s="66">
        <f>'ملخص المجموعات'!C102</f>
        <v/>
      </c>
      <c r="E102" s="67">
        <f>'ملخص المجموعات'!D102</f>
        <v/>
      </c>
      <c r="F102" s="68">
        <f>'ملخص المجموعات'!E102</f>
        <v/>
      </c>
      <c r="G102" s="67">
        <f>'ملخص المجموعات'!F102</f>
        <v/>
      </c>
      <c r="H102" s="73">
        <f>IF('عدد اللاعبين'!$G102&lt;الحد_الأدنى,0,'عدد اللاعبين'!$G102*IFERROR(INDEX(المدخلات!$Y$3:$Y$9,MATCH('عدد اللاعبين'!$C102,المدخلات!$X$3:$X$9,0)),0))</f>
        <v/>
      </c>
    </row>
    <row r="103">
      <c r="B103" s="65">
        <f>IFERROR(INDEX(المكاتب_المصدر[المنطقة],MATCH('عدد اللاعبين'!$D103,المكاتب_المصدر[المجموعة],0)),"")</f>
        <v/>
      </c>
      <c r="C103" s="65">
        <f>'ملخص المجموعات'!B103</f>
        <v/>
      </c>
      <c r="D103" s="66">
        <f>'ملخص المجموعات'!C103</f>
        <v/>
      </c>
      <c r="E103" s="67">
        <f>'ملخص المجموعات'!D103</f>
        <v/>
      </c>
      <c r="F103" s="68">
        <f>'ملخص المجموعات'!E103</f>
        <v/>
      </c>
      <c r="G103" s="67">
        <f>'ملخص المجموعات'!F103</f>
        <v/>
      </c>
      <c r="H103" s="72">
        <f>IF('عدد اللاعبين'!$G103&lt;الحد_الأدنى,0,'عدد اللاعبين'!$G103*IFERROR(INDEX(المدخلات!$Y$3:$Y$9,MATCH('عدد اللاعبين'!$C103,المدخلات!$X$3:$X$9,0)),0))</f>
        <v/>
      </c>
    </row>
    <row r="104">
      <c r="B104" s="64">
        <f>IFERROR(INDEX(المكاتب_المصدر[المنطقة],MATCH('عدد اللاعبين'!$D104,المكاتب_المصدر[المجموعة],0)),"")</f>
        <v/>
      </c>
      <c r="C104" s="65">
        <f>'ملخص المجموعات'!B104</f>
        <v/>
      </c>
      <c r="D104" s="66">
        <f>'ملخص المجموعات'!C104</f>
        <v/>
      </c>
      <c r="E104" s="67">
        <f>'ملخص المجموعات'!D104</f>
        <v/>
      </c>
      <c r="F104" s="68">
        <f>'ملخص المجموعات'!E104</f>
        <v/>
      </c>
      <c r="G104" s="67">
        <f>'ملخص المجموعات'!F104</f>
        <v/>
      </c>
      <c r="H104" s="73">
        <f>IF('عدد اللاعبين'!$G104&lt;الحد_الأدنى,0,'عدد اللاعبين'!$G104*IFERROR(INDEX(المدخلات!$Y$3:$Y$9,MATCH('عدد اللاعبين'!$C104,المدخلات!$X$3:$X$9,0)),0))</f>
        <v/>
      </c>
    </row>
    <row r="105">
      <c r="B105" s="65">
        <f>IFERROR(INDEX(المكاتب_المصدر[المنطقة],MATCH('عدد اللاعبين'!$D105,المكاتب_المصدر[المجموعة],0)),"")</f>
        <v/>
      </c>
      <c r="C105" s="65">
        <f>'ملخص المجموعات'!B105</f>
        <v/>
      </c>
      <c r="D105" s="66">
        <f>'ملخص المجموعات'!C105</f>
        <v/>
      </c>
      <c r="E105" s="67">
        <f>'ملخص المجموعات'!D105</f>
        <v/>
      </c>
      <c r="F105" s="68">
        <f>'ملخص المجموعات'!E105</f>
        <v/>
      </c>
      <c r="G105" s="67">
        <f>'ملخص المجموعات'!F105</f>
        <v/>
      </c>
      <c r="H105" s="72">
        <f>IF('عدد اللاعبين'!$G105&lt;الحد_الأدنى,0,'عدد اللاعبين'!$G105*IFERROR(INDEX(المدخلات!$Y$3:$Y$9,MATCH('عدد اللاعبين'!$C105,المدخلات!$X$3:$X$9,0)),0))</f>
        <v/>
      </c>
    </row>
    <row r="106">
      <c r="B106" s="64">
        <f>IFERROR(INDEX(المكاتب_المصدر[المنطقة],MATCH('عدد اللاعبين'!$D106,المكاتب_المصدر[المجموعة],0)),"")</f>
        <v/>
      </c>
      <c r="C106" s="65">
        <f>'ملخص المجموعات'!B106</f>
        <v/>
      </c>
      <c r="D106" s="66">
        <f>'ملخص المجموعات'!C106</f>
        <v/>
      </c>
      <c r="E106" s="67">
        <f>'ملخص المجموعات'!D106</f>
        <v/>
      </c>
      <c r="F106" s="68">
        <f>'ملخص المجموعات'!E106</f>
        <v/>
      </c>
      <c r="G106" s="67">
        <f>'ملخص المجموعات'!F106</f>
        <v/>
      </c>
      <c r="H106" s="73">
        <f>IF('عدد اللاعبين'!$G106&lt;الحد_الأدنى,0,'عدد اللاعبين'!$G106*IFERROR(INDEX(المدخلات!$Y$3:$Y$9,MATCH('عدد اللاعبين'!$C106,المدخلات!$X$3:$X$9,0)),0))</f>
        <v/>
      </c>
    </row>
    <row r="107">
      <c r="B107" s="65">
        <f>IFERROR(INDEX(المكاتب_المصدر[المنطقة],MATCH('عدد اللاعبين'!$D107,المكاتب_المصدر[المجموعة],0)),"")</f>
        <v/>
      </c>
      <c r="C107" s="65">
        <f>'ملخص المجموعات'!B107</f>
        <v/>
      </c>
      <c r="D107" s="66">
        <f>'ملخص المجموعات'!C107</f>
        <v/>
      </c>
      <c r="E107" s="67">
        <f>'ملخص المجموعات'!D107</f>
        <v/>
      </c>
      <c r="F107" s="68">
        <f>'ملخص المجموعات'!E107</f>
        <v/>
      </c>
      <c r="G107" s="67">
        <f>'ملخص المجموعات'!F107</f>
        <v/>
      </c>
      <c r="H107" s="72">
        <f>IF('عدد اللاعبين'!$G107&lt;الحد_الأدنى,0,'عدد اللاعبين'!$G107*IFERROR(INDEX(المدخلات!$Y$3:$Y$9,MATCH('عدد اللاعبين'!$C107,المدخلات!$X$3:$X$9,0)),0))</f>
        <v/>
      </c>
    </row>
    <row r="108">
      <c r="B108" s="64">
        <f>IFERROR(INDEX(المكاتب_المصدر[المنطقة],MATCH('عدد اللاعبين'!$D108,المكاتب_المصدر[المجموعة],0)),"")</f>
        <v/>
      </c>
      <c r="C108" s="65">
        <f>'ملخص المجموعات'!B108</f>
        <v/>
      </c>
      <c r="D108" s="66">
        <f>'ملخص المجموعات'!C108</f>
        <v/>
      </c>
      <c r="E108" s="67">
        <f>'ملخص المجموعات'!D108</f>
        <v/>
      </c>
      <c r="F108" s="68">
        <f>'ملخص المجموعات'!E108</f>
        <v/>
      </c>
      <c r="G108" s="67">
        <f>'ملخص المجموعات'!F108</f>
        <v/>
      </c>
      <c r="H108" s="73">
        <f>IF('عدد اللاعبين'!$G108&lt;الحد_الأدنى,0,'عدد اللاعبين'!$G108*IFERROR(INDEX(المدخلات!$Y$3:$Y$9,MATCH('عدد اللاعبين'!$C108,المدخلات!$X$3:$X$9,0)),0))</f>
        <v/>
      </c>
    </row>
    <row r="109">
      <c r="B109" s="65">
        <f>IFERROR(INDEX(المكاتب_المصدر[المنطقة],MATCH('عدد اللاعبين'!$D109,المكاتب_المصدر[المجموعة],0)),"")</f>
        <v/>
      </c>
      <c r="C109" s="65">
        <f>'ملخص المجموعات'!B109</f>
        <v/>
      </c>
      <c r="D109" s="66">
        <f>'ملخص المجموعات'!C109</f>
        <v/>
      </c>
      <c r="E109" s="67">
        <f>'ملخص المجموعات'!D109</f>
        <v/>
      </c>
      <c r="F109" s="68">
        <f>'ملخص المجموعات'!E109</f>
        <v/>
      </c>
      <c r="G109" s="67">
        <f>'ملخص المجموعات'!F109</f>
        <v/>
      </c>
      <c r="H109" s="72">
        <f>IF('عدد اللاعبين'!$G109&lt;الحد_الأدنى,0,'عدد اللاعبين'!$G109*IFERROR(INDEX(المدخلات!$Y$3:$Y$9,MATCH('عدد اللاعبين'!$C109,المدخلات!$X$3:$X$9,0)),0))</f>
        <v/>
      </c>
    </row>
    <row r="110">
      <c r="B110" s="64">
        <f>IFERROR(INDEX(المكاتب_المصدر[المنطقة],MATCH('عدد اللاعبين'!$D110,المكاتب_المصدر[المجموعة],0)),"")</f>
        <v/>
      </c>
      <c r="C110" s="65">
        <f>'ملخص المجموعات'!B110</f>
        <v/>
      </c>
      <c r="D110" s="66">
        <f>'ملخص المجموعات'!C110</f>
        <v/>
      </c>
      <c r="E110" s="67">
        <f>'ملخص المجموعات'!D110</f>
        <v/>
      </c>
      <c r="F110" s="68">
        <f>'ملخص المجموعات'!E110</f>
        <v/>
      </c>
      <c r="G110" s="67">
        <f>'ملخص المجموعات'!F110</f>
        <v/>
      </c>
      <c r="H110" s="73">
        <f>IF('عدد اللاعبين'!$G110&lt;الحد_الأدنى,0,'عدد اللاعبين'!$G110*IFERROR(INDEX(المدخلات!$Y$3:$Y$9,MATCH('عدد اللاعبين'!$C110,المدخلات!$X$3:$X$9,0)),0))</f>
        <v/>
      </c>
    </row>
    <row r="111">
      <c r="B111" s="65">
        <f>IFERROR(INDEX(المكاتب_المصدر[المنطقة],MATCH('عدد اللاعبين'!$D111,المكاتب_المصدر[المجموعة],0)),"")</f>
        <v/>
      </c>
      <c r="C111" s="65">
        <f>'ملخص المجموعات'!B111</f>
        <v/>
      </c>
      <c r="D111" s="66">
        <f>'ملخص المجموعات'!C111</f>
        <v/>
      </c>
      <c r="E111" s="67">
        <f>'ملخص المجموعات'!D111</f>
        <v/>
      </c>
      <c r="F111" s="68">
        <f>'ملخص المجموعات'!E111</f>
        <v/>
      </c>
      <c r="G111" s="67">
        <f>'ملخص المجموعات'!F111</f>
        <v/>
      </c>
      <c r="H111" s="72">
        <f>IF('عدد اللاعبين'!$G111&lt;الحد_الأدنى,0,'عدد اللاعبين'!$G111*IFERROR(INDEX(المدخلات!$Y$3:$Y$9,MATCH('عدد اللاعبين'!$C111,المدخلات!$X$3:$X$9,0)),0))</f>
        <v/>
      </c>
    </row>
    <row r="112">
      <c r="B112" s="64">
        <f>IFERROR(INDEX(المكاتب_المصدر[المنطقة],MATCH('عدد اللاعبين'!$D112,المكاتب_المصدر[المجموعة],0)),"")</f>
        <v/>
      </c>
      <c r="C112" s="65">
        <f>'ملخص المجموعات'!B112</f>
        <v/>
      </c>
      <c r="D112" s="66">
        <f>'ملخص المجموعات'!C112</f>
        <v/>
      </c>
      <c r="E112" s="67">
        <f>'ملخص المجموعات'!D112</f>
        <v/>
      </c>
      <c r="F112" s="68">
        <f>'ملخص المجموعات'!E112</f>
        <v/>
      </c>
      <c r="G112" s="67">
        <f>'ملخص المجموعات'!F112</f>
        <v/>
      </c>
      <c r="H112" s="73">
        <f>IF('عدد اللاعبين'!$G112&lt;الحد_الأدنى,0,'عدد اللاعبين'!$G112*IFERROR(INDEX(المدخلات!$Y$3:$Y$9,MATCH('عدد اللاعبين'!$C112,المدخلات!$X$3:$X$9,0)),0))</f>
        <v/>
      </c>
    </row>
    <row r="113">
      <c r="B113" s="65">
        <f>IFERROR(INDEX(المكاتب_المصدر[المنطقة],MATCH('عدد اللاعبين'!$D113,المكاتب_المصدر[المجموعة],0)),"")</f>
        <v/>
      </c>
      <c r="C113" s="65">
        <f>'ملخص المجموعات'!B113</f>
        <v/>
      </c>
      <c r="D113" s="66">
        <f>'ملخص المجموعات'!C113</f>
        <v/>
      </c>
      <c r="E113" s="67">
        <f>'ملخص المجموعات'!D113</f>
        <v/>
      </c>
      <c r="F113" s="68">
        <f>'ملخص المجموعات'!E113</f>
        <v/>
      </c>
      <c r="G113" s="67">
        <f>'ملخص المجموعات'!F113</f>
        <v/>
      </c>
      <c r="H113" s="72">
        <f>IF('عدد اللاعبين'!$G113&lt;الحد_الأدنى,0,'عدد اللاعبين'!$G113*IFERROR(INDEX(المدخلات!$Y$3:$Y$9,MATCH('عدد اللاعبين'!$C113,المدخلات!$X$3:$X$9,0)),0))</f>
        <v/>
      </c>
    </row>
    <row r="114">
      <c r="B114" s="64">
        <f>IFERROR(INDEX(المكاتب_المصدر[المنطقة],MATCH('عدد اللاعبين'!$D114,المكاتب_المصدر[المجموعة],0)),"")</f>
        <v/>
      </c>
      <c r="C114" s="65">
        <f>'ملخص المجموعات'!B114</f>
        <v/>
      </c>
      <c r="D114" s="66">
        <f>'ملخص المجموعات'!C114</f>
        <v/>
      </c>
      <c r="E114" s="67">
        <f>'ملخص المجموعات'!D114</f>
        <v/>
      </c>
      <c r="F114" s="68">
        <f>'ملخص المجموعات'!E114</f>
        <v/>
      </c>
      <c r="G114" s="67">
        <f>'ملخص المجموعات'!F114</f>
        <v/>
      </c>
      <c r="H114" s="73">
        <f>IF('عدد اللاعبين'!$G114&lt;الحد_الأدنى,0,'عدد اللاعبين'!$G114*IFERROR(INDEX(المدخلات!$Y$3:$Y$9,MATCH('عدد اللاعبين'!$C114,المدخلات!$X$3:$X$9,0)),0))</f>
        <v/>
      </c>
    </row>
    <row r="115">
      <c r="B115" s="65">
        <f>IFERROR(INDEX(المكاتب_المصدر[المنطقة],MATCH('عدد اللاعبين'!$D115,المكاتب_المصدر[المجموعة],0)),"")</f>
        <v/>
      </c>
      <c r="C115" s="65">
        <f>'ملخص المجموعات'!B115</f>
        <v/>
      </c>
      <c r="D115" s="66">
        <f>'ملخص المجموعات'!C115</f>
        <v/>
      </c>
      <c r="E115" s="67">
        <f>'ملخص المجموعات'!D115</f>
        <v/>
      </c>
      <c r="F115" s="68">
        <f>'ملخص المجموعات'!E115</f>
        <v/>
      </c>
      <c r="G115" s="67">
        <f>'ملخص المجموعات'!F115</f>
        <v/>
      </c>
      <c r="H115" s="72">
        <f>IF('عدد اللاعبين'!$G115&lt;الحد_الأدنى,0,'عدد اللاعبين'!$G115*IFERROR(INDEX(المدخلات!$Y$3:$Y$9,MATCH('عدد اللاعبين'!$C115,المدخلات!$X$3:$X$9,0)),0))</f>
        <v/>
      </c>
    </row>
    <row r="116">
      <c r="B116" s="64">
        <f>IFERROR(INDEX(المكاتب_المصدر[المنطقة],MATCH('عدد اللاعبين'!$D116,المكاتب_المصدر[المجموعة],0)),"")</f>
        <v/>
      </c>
      <c r="C116" s="65">
        <f>'ملخص المجموعات'!B116</f>
        <v/>
      </c>
      <c r="D116" s="66">
        <f>'ملخص المجموعات'!C116</f>
        <v/>
      </c>
      <c r="E116" s="67">
        <f>'ملخص المجموعات'!D116</f>
        <v/>
      </c>
      <c r="F116" s="68">
        <f>'ملخص المجموعات'!E116</f>
        <v/>
      </c>
      <c r="G116" s="67">
        <f>'ملخص المجموعات'!F116</f>
        <v/>
      </c>
      <c r="H116" s="73">
        <f>IF('عدد اللاعبين'!$G116&lt;الحد_الأدنى,0,'عدد اللاعبين'!$G116*IFERROR(INDEX(المدخلات!$Y$3:$Y$9,MATCH('عدد اللاعبين'!$C116,المدخلات!$X$3:$X$9,0)),0))</f>
        <v/>
      </c>
    </row>
    <row r="117">
      <c r="B117" s="65">
        <f>IFERROR(INDEX(المكاتب_المصدر[المنطقة],MATCH('عدد اللاعبين'!$D117,المكاتب_المصدر[المجموعة],0)),"")</f>
        <v/>
      </c>
      <c r="C117" s="65">
        <f>'ملخص المجموعات'!B117</f>
        <v/>
      </c>
      <c r="D117" s="66">
        <f>'ملخص المجموعات'!C117</f>
        <v/>
      </c>
      <c r="E117" s="67">
        <f>'ملخص المجموعات'!D117</f>
        <v/>
      </c>
      <c r="F117" s="68">
        <f>'ملخص المجموعات'!E117</f>
        <v/>
      </c>
      <c r="G117" s="67">
        <f>'ملخص المجموعات'!F117</f>
        <v/>
      </c>
      <c r="H117" s="72">
        <f>IF('عدد اللاعبين'!$G117&lt;الحد_الأدنى,0,'عدد اللاعبين'!$G117*IFERROR(INDEX(المدخلات!$Y$3:$Y$9,MATCH('عدد اللاعبين'!$C117,المدخلات!$X$3:$X$9,0)),0))</f>
        <v/>
      </c>
    </row>
    <row r="118">
      <c r="B118" s="64">
        <f>IFERROR(INDEX(المكاتب_المصدر[المنطقة],MATCH('عدد اللاعبين'!$D118,المكاتب_المصدر[المجموعة],0)),"")</f>
        <v/>
      </c>
      <c r="C118" s="65">
        <f>'ملخص المجموعات'!B118</f>
        <v/>
      </c>
      <c r="D118" s="66">
        <f>'ملخص المجموعات'!C118</f>
        <v/>
      </c>
      <c r="E118" s="67">
        <f>'ملخص المجموعات'!D118</f>
        <v/>
      </c>
      <c r="F118" s="68">
        <f>'ملخص المجموعات'!E118</f>
        <v/>
      </c>
      <c r="G118" s="67">
        <f>'ملخص المجموعات'!F118</f>
        <v/>
      </c>
      <c r="H118" s="73">
        <f>IF('عدد اللاعبين'!$G118&lt;الحد_الأدنى,0,'عدد اللاعبين'!$G118*IFERROR(INDEX(المدخلات!$Y$3:$Y$9,MATCH('عدد اللاعبين'!$C118,المدخلات!$X$3:$X$9,0)),0))</f>
        <v/>
      </c>
    </row>
    <row r="119">
      <c r="B119" s="65">
        <f>IFERROR(INDEX(المكاتب_المصدر[المنطقة],MATCH('عدد اللاعبين'!$D119,المكاتب_المصدر[المجموعة],0)),"")</f>
        <v/>
      </c>
      <c r="C119" s="65">
        <f>'ملخص المجموعات'!B119</f>
        <v/>
      </c>
      <c r="D119" s="66">
        <f>'ملخص المجموعات'!C119</f>
        <v/>
      </c>
      <c r="E119" s="67">
        <f>'ملخص المجموعات'!D119</f>
        <v/>
      </c>
      <c r="F119" s="68">
        <f>'ملخص المجموعات'!E119</f>
        <v/>
      </c>
      <c r="G119" s="67">
        <f>'ملخص المجموعات'!F119</f>
        <v/>
      </c>
      <c r="H119" s="72">
        <f>IF('عدد اللاعبين'!$G119&lt;الحد_الأدنى,0,'عدد اللاعبين'!$G119*IFERROR(INDEX(المدخلات!$Y$3:$Y$9,MATCH('عدد اللاعبين'!$C119,المدخلات!$X$3:$X$9,0)),0))</f>
        <v/>
      </c>
    </row>
    <row r="120">
      <c r="B120" s="64">
        <f>IFERROR(INDEX(المكاتب_المصدر[المنطقة],MATCH('عدد اللاعبين'!$D120,المكاتب_المصدر[المجموعة],0)),"")</f>
        <v/>
      </c>
      <c r="C120" s="65">
        <f>'ملخص المجموعات'!B120</f>
        <v/>
      </c>
      <c r="D120" s="66">
        <f>'ملخص المجموعات'!C120</f>
        <v/>
      </c>
      <c r="E120" s="67">
        <f>'ملخص المجموعات'!D120</f>
        <v/>
      </c>
      <c r="F120" s="68">
        <f>'ملخص المجموعات'!E120</f>
        <v/>
      </c>
      <c r="G120" s="67">
        <f>'ملخص المجموعات'!F120</f>
        <v/>
      </c>
      <c r="H120" s="73">
        <f>IF('عدد اللاعبين'!$G120&lt;الحد_الأدنى,0,'عدد اللاعبين'!$G120*IFERROR(INDEX(المدخلات!$Y$3:$Y$9,MATCH('عدد اللاعبين'!$C120,المدخلات!$X$3:$X$9,0)),0))</f>
        <v/>
      </c>
    </row>
    <row r="121">
      <c r="B121" s="65">
        <f>IFERROR(INDEX(المكاتب_المصدر[المنطقة],MATCH('عدد اللاعبين'!$D121,المكاتب_المصدر[المجموعة],0)),"")</f>
        <v/>
      </c>
      <c r="C121" s="65">
        <f>'ملخص المجموعات'!B121</f>
        <v/>
      </c>
      <c r="D121" s="66">
        <f>'ملخص المجموعات'!C121</f>
        <v/>
      </c>
      <c r="E121" s="67">
        <f>'ملخص المجموعات'!D121</f>
        <v/>
      </c>
      <c r="F121" s="68">
        <f>'ملخص المجموعات'!E121</f>
        <v/>
      </c>
      <c r="G121" s="67">
        <f>'ملخص المجموعات'!F121</f>
        <v/>
      </c>
      <c r="H121" s="72">
        <f>IF('عدد اللاعبين'!$G121&lt;الحد_الأدنى,0,'عدد اللاعبين'!$G121*IFERROR(INDEX(المدخلات!$Y$3:$Y$9,MATCH('عدد اللاعبين'!$C121,المدخلات!$X$3:$X$9,0)),0))</f>
        <v/>
      </c>
    </row>
    <row r="122">
      <c r="B122" s="64">
        <f>IFERROR(INDEX(المكاتب_المصدر[المنطقة],MATCH('عدد اللاعبين'!$D122,المكاتب_المصدر[المجموعة],0)),"")</f>
        <v/>
      </c>
      <c r="C122" s="65">
        <f>'ملخص المجموعات'!B122</f>
        <v/>
      </c>
      <c r="D122" s="66">
        <f>'ملخص المجموعات'!C122</f>
        <v/>
      </c>
      <c r="E122" s="67">
        <f>'ملخص المجموعات'!D122</f>
        <v/>
      </c>
      <c r="F122" s="68">
        <f>'ملخص المجموعات'!E122</f>
        <v/>
      </c>
      <c r="G122" s="67">
        <f>'ملخص المجموعات'!F122</f>
        <v/>
      </c>
      <c r="H122" s="73">
        <f>IF('عدد اللاعبين'!$G122&lt;الحد_الأدنى,0,'عدد اللاعبين'!$G122*IFERROR(INDEX(المدخلات!$Y$3:$Y$9,MATCH('عدد اللاعبين'!$C122,المدخلات!$X$3:$X$9,0)),0))</f>
        <v/>
      </c>
    </row>
    <row r="123">
      <c r="B123" s="65">
        <f>IFERROR(INDEX(المكاتب_المصدر[المنطقة],MATCH('عدد اللاعبين'!$D123,المكاتب_المصدر[المجموعة],0)),"")</f>
        <v/>
      </c>
      <c r="C123" s="65">
        <f>'ملخص المجموعات'!B123</f>
        <v/>
      </c>
      <c r="D123" s="66">
        <f>'ملخص المجموعات'!C123</f>
        <v/>
      </c>
      <c r="E123" s="67">
        <f>'ملخص المجموعات'!D123</f>
        <v/>
      </c>
      <c r="F123" s="68">
        <f>'ملخص المجموعات'!E123</f>
        <v/>
      </c>
      <c r="G123" s="67">
        <f>'ملخص المجموعات'!F123</f>
        <v/>
      </c>
      <c r="H123" s="72">
        <f>IF('عدد اللاعبين'!$G123&lt;الحد_الأدنى,0,'عدد اللاعبين'!$G123*IFERROR(INDEX(المدخلات!$Y$3:$Y$9,MATCH('عدد اللاعبين'!$C123,المدخلات!$X$3:$X$9,0)),0))</f>
        <v/>
      </c>
    </row>
    <row r="124">
      <c r="B124" s="64">
        <f>IFERROR(INDEX(المكاتب_المصدر[المنطقة],MATCH('عدد اللاعبين'!$D124,المكاتب_المصدر[المجموعة],0)),"")</f>
        <v/>
      </c>
      <c r="C124" s="65">
        <f>'ملخص المجموعات'!B124</f>
        <v/>
      </c>
      <c r="D124" s="66">
        <f>'ملخص المجموعات'!C124</f>
        <v/>
      </c>
      <c r="E124" s="67">
        <f>'ملخص المجموعات'!D124</f>
        <v/>
      </c>
      <c r="F124" s="68">
        <f>'ملخص المجموعات'!E124</f>
        <v/>
      </c>
      <c r="G124" s="67">
        <f>'ملخص المجموعات'!F124</f>
        <v/>
      </c>
      <c r="H124" s="73">
        <f>IF('عدد اللاعبين'!$G124&lt;الحد_الأدنى,0,'عدد اللاعبين'!$G124*IFERROR(INDEX(المدخلات!$Y$3:$Y$9,MATCH('عدد اللاعبين'!$C124,المدخلات!$X$3:$X$9,0)),0))</f>
        <v/>
      </c>
    </row>
    <row r="125">
      <c r="B125" s="65">
        <f>IFERROR(INDEX(المكاتب_المصدر[المنطقة],MATCH('عدد اللاعبين'!$D125,المكاتب_المصدر[المجموعة],0)),"")</f>
        <v/>
      </c>
      <c r="C125" s="65">
        <f>'ملخص المجموعات'!B125</f>
        <v/>
      </c>
      <c r="D125" s="66">
        <f>'ملخص المجموعات'!C125</f>
        <v/>
      </c>
      <c r="E125" s="67">
        <f>'ملخص المجموعات'!D125</f>
        <v/>
      </c>
      <c r="F125" s="68">
        <f>'ملخص المجموعات'!E125</f>
        <v/>
      </c>
      <c r="G125" s="67">
        <f>'ملخص المجموعات'!F125</f>
        <v/>
      </c>
      <c r="H125" s="72">
        <f>IF('عدد اللاعبين'!$G125&lt;الحد_الأدنى,0,'عدد اللاعبين'!$G125*IFERROR(INDEX(المدخلات!$Y$3:$Y$9,MATCH('عدد اللاعبين'!$C125,المدخلات!$X$3:$X$9,0)),0))</f>
        <v/>
      </c>
    </row>
    <row r="126">
      <c r="B126" s="64">
        <f>IFERROR(INDEX(المكاتب_المصدر[المنطقة],MATCH('عدد اللاعبين'!$D126,المكاتب_المصدر[المجموعة],0)),"")</f>
        <v/>
      </c>
      <c r="C126" s="65">
        <f>'ملخص المجموعات'!B126</f>
        <v/>
      </c>
      <c r="D126" s="66">
        <f>'ملخص المجموعات'!C126</f>
        <v/>
      </c>
      <c r="E126" s="67">
        <f>'ملخص المجموعات'!D126</f>
        <v/>
      </c>
      <c r="F126" s="68">
        <f>'ملخص المجموعات'!E126</f>
        <v/>
      </c>
      <c r="G126" s="67">
        <f>'ملخص المجموعات'!F126</f>
        <v/>
      </c>
      <c r="H126" s="73">
        <f>IF('عدد اللاعبين'!$G126&lt;الحد_الأدنى,0,'عدد اللاعبين'!$G126*IFERROR(INDEX(المدخلات!$Y$3:$Y$9,MATCH('عدد اللاعبين'!$C126,المدخلات!$X$3:$X$9,0)),0))</f>
        <v/>
      </c>
    </row>
    <row r="127">
      <c r="B127" s="65">
        <f>IFERROR(INDEX(المكاتب_المصدر[المنطقة],MATCH('عدد اللاعبين'!$D127,المكاتب_المصدر[المجموعة],0)),"")</f>
        <v/>
      </c>
      <c r="C127" s="65">
        <f>'ملخص المجموعات'!B127</f>
        <v/>
      </c>
      <c r="D127" s="66">
        <f>'ملخص المجموعات'!C127</f>
        <v/>
      </c>
      <c r="E127" s="67">
        <f>'ملخص المجموعات'!D127</f>
        <v/>
      </c>
      <c r="F127" s="68">
        <f>'ملخص المجموعات'!E127</f>
        <v/>
      </c>
      <c r="G127" s="67">
        <f>'ملخص المجموعات'!F127</f>
        <v/>
      </c>
      <c r="H127" s="72">
        <f>IF('عدد اللاعبين'!$G127&lt;الحد_الأدنى,0,'عدد اللاعبين'!$G127*IFERROR(INDEX(المدخلات!$Y$3:$Y$9,MATCH('عدد اللاعبين'!$C127,المدخلات!$X$3:$X$9,0)),0))</f>
        <v/>
      </c>
    </row>
    <row r="128">
      <c r="B128" s="64">
        <f>IFERROR(INDEX(المكاتب_المصدر[المنطقة],MATCH('عدد اللاعبين'!$D128,المكاتب_المصدر[المجموعة],0)),"")</f>
        <v/>
      </c>
      <c r="C128" s="65">
        <f>'ملخص المجموعات'!B128</f>
        <v/>
      </c>
      <c r="D128" s="66">
        <f>'ملخص المجموعات'!C128</f>
        <v/>
      </c>
      <c r="E128" s="67">
        <f>'ملخص المجموعات'!D128</f>
        <v/>
      </c>
      <c r="F128" s="68">
        <f>'ملخص المجموعات'!E128</f>
        <v/>
      </c>
      <c r="G128" s="67">
        <f>'ملخص المجموعات'!F128</f>
        <v/>
      </c>
      <c r="H128" s="73">
        <f>IF('عدد اللاعبين'!$G128&lt;الحد_الأدنى,0,'عدد اللاعبين'!$G128*IFERROR(INDEX(المدخلات!$Y$3:$Y$9,MATCH('عدد اللاعبين'!$C128,المدخلات!$X$3:$X$9,0)),0))</f>
        <v/>
      </c>
    </row>
    <row r="129">
      <c r="B129" s="65">
        <f>IFERROR(INDEX(المكاتب_المصدر[المنطقة],MATCH('عدد اللاعبين'!$D129,المكاتب_المصدر[المجموعة],0)),"")</f>
        <v/>
      </c>
      <c r="C129" s="65">
        <f>'ملخص المجموعات'!B129</f>
        <v/>
      </c>
      <c r="D129" s="66">
        <f>'ملخص المجموعات'!C129</f>
        <v/>
      </c>
      <c r="E129" s="67">
        <f>'ملخص المجموعات'!D129</f>
        <v/>
      </c>
      <c r="F129" s="68">
        <f>'ملخص المجموعات'!E129</f>
        <v/>
      </c>
      <c r="G129" s="67">
        <f>'ملخص المجموعات'!F129</f>
        <v/>
      </c>
      <c r="H129" s="72">
        <f>IF('عدد اللاعبين'!$G129&lt;الحد_الأدنى,0,'عدد اللاعبين'!$G129*IFERROR(INDEX(المدخلات!$Y$3:$Y$9,MATCH('عدد اللاعبين'!$C129,المدخلات!$X$3:$X$9,0)),0))</f>
        <v/>
      </c>
    </row>
    <row r="130">
      <c r="B130" s="64">
        <f>IFERROR(INDEX(المكاتب_المصدر[المنطقة],MATCH('عدد اللاعبين'!$D130,المكاتب_المصدر[المجموعة],0)),"")</f>
        <v/>
      </c>
      <c r="C130" s="65">
        <f>'ملخص المجموعات'!B130</f>
        <v/>
      </c>
      <c r="D130" s="66">
        <f>'ملخص المجموعات'!C130</f>
        <v/>
      </c>
      <c r="E130" s="67">
        <f>'ملخص المجموعات'!D130</f>
        <v/>
      </c>
      <c r="F130" s="68">
        <f>'ملخص المجموعات'!E130</f>
        <v/>
      </c>
      <c r="G130" s="67">
        <f>'ملخص المجموعات'!F130</f>
        <v/>
      </c>
      <c r="H130" s="73">
        <f>IF('عدد اللاعبين'!$G130&lt;الحد_الأدنى,0,'عدد اللاعبين'!$G130*IFERROR(INDEX(المدخلات!$Y$3:$Y$9,MATCH('عدد اللاعبين'!$C130,المدخلات!$X$3:$X$9,0)),0))</f>
        <v/>
      </c>
    </row>
    <row r="131">
      <c r="B131" s="65">
        <f>IFERROR(INDEX(المكاتب_المصدر[المنطقة],MATCH('عدد اللاعبين'!$D131,المكاتب_المصدر[المجموعة],0)),"")</f>
        <v/>
      </c>
      <c r="C131" s="65">
        <f>'ملخص المجموعات'!B131</f>
        <v/>
      </c>
      <c r="D131" s="66">
        <f>'ملخص المجموعات'!C131</f>
        <v/>
      </c>
      <c r="E131" s="67">
        <f>'ملخص المجموعات'!D131</f>
        <v/>
      </c>
      <c r="F131" s="68">
        <f>'ملخص المجموعات'!E131</f>
        <v/>
      </c>
      <c r="G131" s="67">
        <f>'ملخص المجموعات'!F131</f>
        <v/>
      </c>
      <c r="H131" s="72">
        <f>IF('عدد اللاعبين'!$G131&lt;الحد_الأدنى,0,'عدد اللاعبين'!$G131*IFERROR(INDEX(المدخلات!$Y$3:$Y$9,MATCH('عدد اللاعبين'!$C131,المدخلات!$X$3:$X$9,0)),0))</f>
        <v/>
      </c>
    </row>
    <row r="132">
      <c r="B132" s="64">
        <f>IFERROR(INDEX(المكاتب_المصدر[المنطقة],MATCH('عدد اللاعبين'!$D132,المكاتب_المصدر[المجموعة],0)),"")</f>
        <v/>
      </c>
      <c r="C132" s="65">
        <f>'ملخص المجموعات'!B132</f>
        <v/>
      </c>
      <c r="D132" s="66">
        <f>'ملخص المجموعات'!C132</f>
        <v/>
      </c>
      <c r="E132" s="67">
        <f>'ملخص المجموعات'!D132</f>
        <v/>
      </c>
      <c r="F132" s="68">
        <f>'ملخص المجموعات'!E132</f>
        <v/>
      </c>
      <c r="G132" s="67">
        <f>'ملخص المجموعات'!F132</f>
        <v/>
      </c>
      <c r="H132" s="73">
        <f>IF('عدد اللاعبين'!$G132&lt;الحد_الأدنى,0,'عدد اللاعبين'!$G132*IFERROR(INDEX(المدخلات!$Y$3:$Y$9,MATCH('عدد اللاعبين'!$C132,المدخلات!$X$3:$X$9,0)),0))</f>
        <v/>
      </c>
    </row>
    <row r="133">
      <c r="B133" s="65">
        <f>IFERROR(INDEX(المكاتب_المصدر[المنطقة],MATCH('عدد اللاعبين'!$D133,المكاتب_المصدر[المجموعة],0)),"")</f>
        <v/>
      </c>
      <c r="C133" s="65">
        <f>'ملخص المجموعات'!B133</f>
        <v/>
      </c>
      <c r="D133" s="66">
        <f>'ملخص المجموعات'!C133</f>
        <v/>
      </c>
      <c r="E133" s="67">
        <f>'ملخص المجموعات'!D133</f>
        <v/>
      </c>
      <c r="F133" s="68">
        <f>'ملخص المجموعات'!E133</f>
        <v/>
      </c>
      <c r="G133" s="67">
        <f>'ملخص المجموعات'!F133</f>
        <v/>
      </c>
      <c r="H133" s="72">
        <f>IF('عدد اللاعبين'!$G133&lt;الحد_الأدنى,0,'عدد اللاعبين'!$G133*IFERROR(INDEX(المدخلات!$Y$3:$Y$9,MATCH('عدد اللاعبين'!$C133,المدخلات!$X$3:$X$9,0)),0))</f>
        <v/>
      </c>
    </row>
    <row r="134">
      <c r="B134" s="64">
        <f>IFERROR(INDEX(المكاتب_المصدر[المنطقة],MATCH('عدد اللاعبين'!$D134,المكاتب_المصدر[المجموعة],0)),"")</f>
        <v/>
      </c>
      <c r="C134" s="65">
        <f>'ملخص المجموعات'!B134</f>
        <v/>
      </c>
      <c r="D134" s="66">
        <f>'ملخص المجموعات'!C134</f>
        <v/>
      </c>
      <c r="E134" s="67">
        <f>'ملخص المجموعات'!D134</f>
        <v/>
      </c>
      <c r="F134" s="68">
        <f>'ملخص المجموعات'!E134</f>
        <v/>
      </c>
      <c r="G134" s="67">
        <f>'ملخص المجموعات'!F134</f>
        <v/>
      </c>
      <c r="H134" s="73">
        <f>IF('عدد اللاعبين'!$G134&lt;الحد_الأدنى,0,'عدد اللاعبين'!$G134*IFERROR(INDEX(المدخلات!$Y$3:$Y$9,MATCH('عدد اللاعبين'!$C134,المدخلات!$X$3:$X$9,0)),0))</f>
        <v/>
      </c>
    </row>
    <row r="135">
      <c r="B135" s="65">
        <f>IFERROR(INDEX(المكاتب_المصدر[المنطقة],MATCH('عدد اللاعبين'!$D135,المكاتب_المصدر[المجموعة],0)),"")</f>
        <v/>
      </c>
      <c r="C135" s="65">
        <f>'ملخص المجموعات'!B135</f>
        <v/>
      </c>
      <c r="D135" s="66">
        <f>'ملخص المجموعات'!C135</f>
        <v/>
      </c>
      <c r="E135" s="67">
        <f>'ملخص المجموعات'!D135</f>
        <v/>
      </c>
      <c r="F135" s="68">
        <f>'ملخص المجموعات'!E135</f>
        <v/>
      </c>
      <c r="G135" s="67">
        <f>'ملخص المجموعات'!F135</f>
        <v/>
      </c>
      <c r="H135" s="72">
        <f>IF('عدد اللاعبين'!$G135&lt;الحد_الأدنى,0,'عدد اللاعبين'!$G135*IFERROR(INDEX(المدخلات!$Y$3:$Y$9,MATCH('عدد اللاعبين'!$C135,المدخلات!$X$3:$X$9,0)),0))</f>
        <v/>
      </c>
    </row>
    <row r="136">
      <c r="B136" s="64">
        <f>IFERROR(INDEX(المكاتب_المصدر[المنطقة],MATCH('عدد اللاعبين'!$D136,المكاتب_المصدر[المجموعة],0)),"")</f>
        <v/>
      </c>
      <c r="C136" s="65">
        <f>'ملخص المجموعات'!B136</f>
        <v/>
      </c>
      <c r="D136" s="66">
        <f>'ملخص المجموعات'!C136</f>
        <v/>
      </c>
      <c r="E136" s="67">
        <f>'ملخص المجموعات'!D136</f>
        <v/>
      </c>
      <c r="F136" s="68">
        <f>'ملخص المجموعات'!E136</f>
        <v/>
      </c>
      <c r="G136" s="67">
        <f>'ملخص المجموعات'!F136</f>
        <v/>
      </c>
      <c r="H136" s="73">
        <f>IF('عدد اللاعبين'!$G136&lt;الحد_الأدنى,0,'عدد اللاعبين'!$G136*IFERROR(INDEX(المدخلات!$Y$3:$Y$9,MATCH('عدد اللاعبين'!$C136,المدخلات!$X$3:$X$9,0)),0))</f>
        <v/>
      </c>
    </row>
    <row r="137">
      <c r="B137" s="65">
        <f>IFERROR(INDEX(المكاتب_المصدر[المنطقة],MATCH('عدد اللاعبين'!$D137,المكاتب_المصدر[المجموعة],0)),"")</f>
        <v/>
      </c>
      <c r="C137" s="65">
        <f>'ملخص المجموعات'!B137</f>
        <v/>
      </c>
      <c r="D137" s="66">
        <f>'ملخص المجموعات'!C137</f>
        <v/>
      </c>
      <c r="E137" s="67">
        <f>'ملخص المجموعات'!D137</f>
        <v/>
      </c>
      <c r="F137" s="68">
        <f>'ملخص المجموعات'!E137</f>
        <v/>
      </c>
      <c r="G137" s="67">
        <f>'ملخص المجموعات'!F137</f>
        <v/>
      </c>
      <c r="H137" s="72">
        <f>IF('عدد اللاعبين'!$G137&lt;الحد_الأدنى,0,'عدد اللاعبين'!$G137*IFERROR(INDEX(المدخلات!$Y$3:$Y$9,MATCH('عدد اللاعبين'!$C137,المدخلات!$X$3:$X$9,0)),0))</f>
        <v/>
      </c>
    </row>
    <row r="138">
      <c r="B138" s="64">
        <f>IFERROR(INDEX(المكاتب_المصدر[المنطقة],MATCH('عدد اللاعبين'!$D138,المكاتب_المصدر[المجموعة],0)),"")</f>
        <v/>
      </c>
      <c r="C138" s="65">
        <f>'ملخص المجموعات'!B138</f>
        <v/>
      </c>
      <c r="D138" s="66">
        <f>'ملخص المجموعات'!C138</f>
        <v/>
      </c>
      <c r="E138" s="67">
        <f>'ملخص المجموعات'!D138</f>
        <v/>
      </c>
      <c r="F138" s="68">
        <f>'ملخص المجموعات'!E138</f>
        <v/>
      </c>
      <c r="G138" s="67">
        <f>'ملخص المجموعات'!F138</f>
        <v/>
      </c>
      <c r="H138" s="73">
        <f>IF('عدد اللاعبين'!$G138&lt;الحد_الأدنى,0,'عدد اللاعبين'!$G138*IFERROR(INDEX(المدخلات!$Y$3:$Y$9,MATCH('عدد اللاعبين'!$C138,المدخلات!$X$3:$X$9,0)),0))</f>
        <v/>
      </c>
    </row>
    <row r="139">
      <c r="B139" s="65">
        <f>IFERROR(INDEX(المكاتب_المصدر[المنطقة],MATCH('عدد اللاعبين'!$D139,المكاتب_المصدر[المجموعة],0)),"")</f>
        <v/>
      </c>
      <c r="C139" s="65">
        <f>'ملخص المجموعات'!B139</f>
        <v/>
      </c>
      <c r="D139" s="66">
        <f>'ملخص المجموعات'!C139</f>
        <v/>
      </c>
      <c r="E139" s="67">
        <f>'ملخص المجموعات'!D139</f>
        <v/>
      </c>
      <c r="F139" s="68">
        <f>'ملخص المجموعات'!E139</f>
        <v/>
      </c>
      <c r="G139" s="67">
        <f>'ملخص المجموعات'!F139</f>
        <v/>
      </c>
      <c r="H139" s="72">
        <f>IF('عدد اللاعبين'!$G139&lt;الحد_الأدنى,0,'عدد اللاعبين'!$G139*IFERROR(INDEX(المدخلات!$Y$3:$Y$9,MATCH('عدد اللاعبين'!$C139,المدخلات!$X$3:$X$9,0)),0))</f>
        <v/>
      </c>
    </row>
    <row r="140">
      <c r="B140" s="64">
        <f>IFERROR(INDEX(المكاتب_المصدر[المنطقة],MATCH('عدد اللاعبين'!$D140,المكاتب_المصدر[المجموعة],0)),"")</f>
        <v/>
      </c>
      <c r="C140" s="65">
        <f>'ملخص المجموعات'!B140</f>
        <v/>
      </c>
      <c r="D140" s="66">
        <f>'ملخص المجموعات'!C140</f>
        <v/>
      </c>
      <c r="E140" s="67">
        <f>'ملخص المجموعات'!D140</f>
        <v/>
      </c>
      <c r="F140" s="68">
        <f>'ملخص المجموعات'!E140</f>
        <v/>
      </c>
      <c r="G140" s="67">
        <f>'ملخص المجموعات'!F140</f>
        <v/>
      </c>
      <c r="H140" s="73">
        <f>IF('عدد اللاعبين'!$G140&lt;الحد_الأدنى,0,'عدد اللاعبين'!$G140*IFERROR(INDEX(المدخلات!$Y$3:$Y$9,MATCH('عدد اللاعبين'!$C140,المدخلات!$X$3:$X$9,0)),0))</f>
        <v/>
      </c>
    </row>
    <row r="141">
      <c r="B141" s="65">
        <f>IFERROR(INDEX(المكاتب_المصدر[المنطقة],MATCH('عدد اللاعبين'!$D141,المكاتب_المصدر[المجموعة],0)),"")</f>
        <v/>
      </c>
      <c r="C141" s="65">
        <f>'ملخص المجموعات'!B141</f>
        <v/>
      </c>
      <c r="D141" s="66">
        <f>'ملخص المجموعات'!C141</f>
        <v/>
      </c>
      <c r="E141" s="67">
        <f>'ملخص المجموعات'!D141</f>
        <v/>
      </c>
      <c r="F141" s="68">
        <f>'ملخص المجموعات'!E141</f>
        <v/>
      </c>
      <c r="G141" s="67">
        <f>'ملخص المجموعات'!F141</f>
        <v/>
      </c>
      <c r="H141" s="72">
        <f>IF('عدد اللاعبين'!$G141&lt;الحد_الأدنى,0,'عدد اللاعبين'!$G141*IFERROR(INDEX(المدخلات!$Y$3:$Y$9,MATCH('عدد اللاعبين'!$C141,المدخلات!$X$3:$X$9,0)),0))</f>
        <v/>
      </c>
    </row>
    <row r="142">
      <c r="B142" s="64">
        <f>IFERROR(INDEX(المكاتب_المصدر[المنطقة],MATCH('عدد اللاعبين'!$D142,المكاتب_المصدر[المجموعة],0)),"")</f>
        <v/>
      </c>
      <c r="C142" s="65">
        <f>'ملخص المجموعات'!B142</f>
        <v/>
      </c>
      <c r="D142" s="66">
        <f>'ملخص المجموعات'!C142</f>
        <v/>
      </c>
      <c r="E142" s="67">
        <f>'ملخص المجموعات'!D142</f>
        <v/>
      </c>
      <c r="F142" s="68">
        <f>'ملخص المجموعات'!E142</f>
        <v/>
      </c>
      <c r="G142" s="67">
        <f>'ملخص المجموعات'!F142</f>
        <v/>
      </c>
      <c r="H142" s="73">
        <f>IF('عدد اللاعبين'!$G142&lt;الحد_الأدنى,0,'عدد اللاعبين'!$G142*IFERROR(INDEX(المدخلات!$Y$3:$Y$9,MATCH('عدد اللاعبين'!$C142,المدخلات!$X$3:$X$9,0)),0))</f>
        <v/>
      </c>
    </row>
    <row r="143">
      <c r="B143" s="65">
        <f>IFERROR(INDEX(المكاتب_المصدر[المنطقة],MATCH('عدد اللاعبين'!$D143,المكاتب_المصدر[المجموعة],0)),"")</f>
        <v/>
      </c>
      <c r="C143" s="65">
        <f>'ملخص المجموعات'!B143</f>
        <v/>
      </c>
      <c r="D143" s="66">
        <f>'ملخص المجموعات'!C143</f>
        <v/>
      </c>
      <c r="E143" s="67">
        <f>'ملخص المجموعات'!D143</f>
        <v/>
      </c>
      <c r="F143" s="68">
        <f>'ملخص المجموعات'!E143</f>
        <v/>
      </c>
      <c r="G143" s="67">
        <f>'ملخص المجموعات'!F143</f>
        <v/>
      </c>
      <c r="H143" s="72">
        <f>IF('عدد اللاعبين'!$G143&lt;الحد_الأدنى,0,'عدد اللاعبين'!$G143*IFERROR(INDEX(المدخلات!$Y$3:$Y$9,MATCH('عدد اللاعبين'!$C143,المدخلات!$X$3:$X$9,0)),0))</f>
        <v/>
      </c>
    </row>
    <row r="144">
      <c r="B144" s="64">
        <f>IFERROR(INDEX(المكاتب_المصدر[المنطقة],MATCH('عدد اللاعبين'!$D144,المكاتب_المصدر[المجموعة],0)),"")</f>
        <v/>
      </c>
      <c r="C144" s="65">
        <f>'ملخص المجموعات'!B144</f>
        <v/>
      </c>
      <c r="D144" s="66">
        <f>'ملخص المجموعات'!C144</f>
        <v/>
      </c>
      <c r="E144" s="67">
        <f>'ملخص المجموعات'!D144</f>
        <v/>
      </c>
      <c r="F144" s="68">
        <f>'ملخص المجموعات'!E144</f>
        <v/>
      </c>
      <c r="G144" s="67">
        <f>'ملخص المجموعات'!F144</f>
        <v/>
      </c>
      <c r="H144" s="73">
        <f>IF('عدد اللاعبين'!$G144&lt;الحد_الأدنى,0,'عدد اللاعبين'!$G144*IFERROR(INDEX(المدخلات!$Y$3:$Y$9,MATCH('عدد اللاعبين'!$C144,المدخلات!$X$3:$X$9,0)),0))</f>
        <v/>
      </c>
    </row>
    <row r="145">
      <c r="B145" s="65">
        <f>IFERROR(INDEX(المكاتب_المصدر[المنطقة],MATCH('عدد اللاعبين'!$D145,المكاتب_المصدر[المجموعة],0)),"")</f>
        <v/>
      </c>
      <c r="C145" s="65">
        <f>'ملخص المجموعات'!B145</f>
        <v/>
      </c>
      <c r="D145" s="66">
        <f>'ملخص المجموعات'!C145</f>
        <v/>
      </c>
      <c r="E145" s="67">
        <f>'ملخص المجموعات'!D145</f>
        <v/>
      </c>
      <c r="F145" s="68">
        <f>'ملخص المجموعات'!E145</f>
        <v/>
      </c>
      <c r="G145" s="67">
        <f>'ملخص المجموعات'!F145</f>
        <v/>
      </c>
      <c r="H145" s="72">
        <f>IF('عدد اللاعبين'!$G145&lt;الحد_الأدنى,0,'عدد اللاعبين'!$G145*IFERROR(INDEX(المدخلات!$Y$3:$Y$9,MATCH('عدد اللاعبين'!$C145,المدخلات!$X$3:$X$9,0)),0))</f>
        <v/>
      </c>
    </row>
    <row r="146">
      <c r="B146" s="64">
        <f>IFERROR(INDEX(المكاتب_المصدر[المنطقة],MATCH('عدد اللاعبين'!$D146,المكاتب_المصدر[المجموعة],0)),"")</f>
        <v/>
      </c>
      <c r="C146" s="65">
        <f>'ملخص المجموعات'!B146</f>
        <v/>
      </c>
      <c r="D146" s="66">
        <f>'ملخص المجموعات'!C146</f>
        <v/>
      </c>
      <c r="E146" s="67">
        <f>'ملخص المجموعات'!D146</f>
        <v/>
      </c>
      <c r="F146" s="68">
        <f>'ملخص المجموعات'!E146</f>
        <v/>
      </c>
      <c r="G146" s="67">
        <f>'ملخص المجموعات'!F146</f>
        <v/>
      </c>
      <c r="H146" s="73">
        <f>IF('عدد اللاعبين'!$G146&lt;الحد_الأدنى,0,'عدد اللاعبين'!$G146*IFERROR(INDEX(المدخلات!$Y$3:$Y$9,MATCH('عدد اللاعبين'!$C146,المدخلات!$X$3:$X$9,0)),0))</f>
        <v/>
      </c>
    </row>
    <row r="147">
      <c r="B147" s="65">
        <f>IFERROR(INDEX(المكاتب_المصدر[المنطقة],MATCH('عدد اللاعبين'!$D147,المكاتب_المصدر[المجموعة],0)),"")</f>
        <v/>
      </c>
      <c r="C147" s="65">
        <f>'ملخص المجموعات'!B147</f>
        <v/>
      </c>
      <c r="D147" s="66">
        <f>'ملخص المجموعات'!C147</f>
        <v/>
      </c>
      <c r="E147" s="67">
        <f>'ملخص المجموعات'!D147</f>
        <v/>
      </c>
      <c r="F147" s="68">
        <f>'ملخص المجموعات'!E147</f>
        <v/>
      </c>
      <c r="G147" s="67">
        <f>'ملخص المجموعات'!F147</f>
        <v/>
      </c>
      <c r="H147" s="72">
        <f>IF('عدد اللاعبين'!$G147&lt;الحد_الأدنى,0,'عدد اللاعبين'!$G147*IFERROR(INDEX(المدخلات!$Y$3:$Y$9,MATCH('عدد اللاعبين'!$C147,المدخلات!$X$3:$X$9,0)),0))</f>
        <v/>
      </c>
    </row>
    <row r="148">
      <c r="B148" s="64">
        <f>IFERROR(INDEX(المكاتب_المصدر[المنطقة],MATCH('عدد اللاعبين'!$D148,المكاتب_المصدر[المجموعة],0)),"")</f>
        <v/>
      </c>
      <c r="C148" s="65">
        <f>'ملخص المجموعات'!B148</f>
        <v/>
      </c>
      <c r="D148" s="66">
        <f>'ملخص المجموعات'!C148</f>
        <v/>
      </c>
      <c r="E148" s="67">
        <f>'ملخص المجموعات'!D148</f>
        <v/>
      </c>
      <c r="F148" s="68">
        <f>'ملخص المجموعات'!E148</f>
        <v/>
      </c>
      <c r="G148" s="67">
        <f>'ملخص المجموعات'!F148</f>
        <v/>
      </c>
      <c r="H148" s="73">
        <f>IF('عدد اللاعبين'!$G148&lt;الحد_الأدنى,0,'عدد اللاعبين'!$G148*IFERROR(INDEX(المدخلات!$Y$3:$Y$9,MATCH('عدد اللاعبين'!$C148,المدخلات!$X$3:$X$9,0)),0))</f>
        <v/>
      </c>
    </row>
    <row r="149">
      <c r="B149" s="65">
        <f>IFERROR(INDEX(المكاتب_المصدر[المنطقة],MATCH('عدد اللاعبين'!$D149,المكاتب_المصدر[المجموعة],0)),"")</f>
        <v/>
      </c>
      <c r="C149" s="65">
        <f>'ملخص المجموعات'!B149</f>
        <v/>
      </c>
      <c r="D149" s="66">
        <f>'ملخص المجموعات'!C149</f>
        <v/>
      </c>
      <c r="E149" s="67">
        <f>'ملخص المجموعات'!D149</f>
        <v/>
      </c>
      <c r="F149" s="68">
        <f>'ملخص المجموعات'!E149</f>
        <v/>
      </c>
      <c r="G149" s="67">
        <f>'ملخص المجموعات'!F149</f>
        <v/>
      </c>
      <c r="H149" s="72">
        <f>IF('عدد اللاعبين'!$G149&lt;الحد_الأدنى,0,'عدد اللاعبين'!$G149*IFERROR(INDEX(المدخلات!$Y$3:$Y$9,MATCH('عدد اللاعبين'!$C149,المدخلات!$X$3:$X$9,0)),0))</f>
        <v/>
      </c>
    </row>
    <row r="150">
      <c r="B150" s="64">
        <f>IFERROR(INDEX(المكاتب_المصدر[المنطقة],MATCH('عدد اللاعبين'!$D150,المكاتب_المصدر[المجموعة],0)),"")</f>
        <v/>
      </c>
      <c r="C150" s="65">
        <f>'ملخص المجموعات'!B150</f>
        <v/>
      </c>
      <c r="D150" s="66">
        <f>'ملخص المجموعات'!C150</f>
        <v/>
      </c>
      <c r="E150" s="67">
        <f>'ملخص المجموعات'!D150</f>
        <v/>
      </c>
      <c r="F150" s="68">
        <f>'ملخص المجموعات'!E150</f>
        <v/>
      </c>
      <c r="G150" s="67">
        <f>'ملخص المجموعات'!F150</f>
        <v/>
      </c>
      <c r="H150" s="73">
        <f>IF('عدد اللاعبين'!$G150&lt;الحد_الأدنى,0,'عدد اللاعبين'!$G150*IFERROR(INDEX(المدخلات!$Y$3:$Y$9,MATCH('عدد اللاعبين'!$C150,المدخلات!$X$3:$X$9,0)),0))</f>
        <v/>
      </c>
    </row>
    <row r="151">
      <c r="B151" s="65">
        <f>IFERROR(INDEX(المكاتب_المصدر[المنطقة],MATCH('عدد اللاعبين'!$D151,المكاتب_المصدر[المجموعة],0)),"")</f>
        <v/>
      </c>
      <c r="C151" s="65">
        <f>'ملخص المجموعات'!B151</f>
        <v/>
      </c>
      <c r="D151" s="66">
        <f>'ملخص المجموعات'!C151</f>
        <v/>
      </c>
      <c r="E151" s="67">
        <f>'ملخص المجموعات'!D151</f>
        <v/>
      </c>
      <c r="F151" s="68">
        <f>'ملخص المجموعات'!E151</f>
        <v/>
      </c>
      <c r="G151" s="67">
        <f>'ملخص المجموعات'!F151</f>
        <v/>
      </c>
      <c r="H151" s="72">
        <f>IF('عدد اللاعبين'!$G151&lt;الحد_الأدنى,0,'عدد اللاعبين'!$G151*IFERROR(INDEX(المدخلات!$Y$3:$Y$9,MATCH('عدد اللاعبين'!$C151,المدخلات!$X$3:$X$9,0)),0))</f>
        <v/>
      </c>
    </row>
    <row r="152">
      <c r="B152" s="64">
        <f>IFERROR(INDEX(المكاتب_المصدر[المنطقة],MATCH('عدد اللاعبين'!$D152,المكاتب_المصدر[المجموعة],0)),"")</f>
        <v/>
      </c>
      <c r="C152" s="65">
        <f>'ملخص المجموعات'!B152</f>
        <v/>
      </c>
      <c r="D152" s="66">
        <f>'ملخص المجموعات'!C152</f>
        <v/>
      </c>
      <c r="E152" s="67">
        <f>'ملخص المجموعات'!D152</f>
        <v/>
      </c>
      <c r="F152" s="68">
        <f>'ملخص المجموعات'!E152</f>
        <v/>
      </c>
      <c r="G152" s="67">
        <f>'ملخص المجموعات'!F152</f>
        <v/>
      </c>
      <c r="H152" s="73">
        <f>IF('عدد اللاعبين'!$G152&lt;الحد_الأدنى,0,'عدد اللاعبين'!$G152*IFERROR(INDEX(المدخلات!$Y$3:$Y$9,MATCH('عدد اللاعبين'!$C152,المدخلات!$X$3:$X$9,0)),0))</f>
        <v/>
      </c>
    </row>
    <row r="153">
      <c r="B153" s="65">
        <f>IFERROR(INDEX(المكاتب_المصدر[المنطقة],MATCH('عدد اللاعبين'!$D153,المكاتب_المصدر[المجموعة],0)),"")</f>
        <v/>
      </c>
      <c r="C153" s="65">
        <f>'ملخص المجموعات'!B153</f>
        <v/>
      </c>
      <c r="D153" s="66">
        <f>'ملخص المجموعات'!C153</f>
        <v/>
      </c>
      <c r="E153" s="67">
        <f>'ملخص المجموعات'!D153</f>
        <v/>
      </c>
      <c r="F153" s="68">
        <f>'ملخص المجموعات'!E153</f>
        <v/>
      </c>
      <c r="G153" s="67">
        <f>'ملخص المجموعات'!F153</f>
        <v/>
      </c>
      <c r="H153" s="72">
        <f>IF('عدد اللاعبين'!$G153&lt;الحد_الأدنى,0,'عدد اللاعبين'!$G153*IFERROR(INDEX(المدخلات!$Y$3:$Y$9,MATCH('عدد اللاعبين'!$C153,المدخلات!$X$3:$X$9,0)),0))</f>
        <v/>
      </c>
    </row>
    <row r="154">
      <c r="B154" s="64">
        <f>IFERROR(INDEX(المكاتب_المصدر[المنطقة],MATCH('عدد اللاعبين'!$D154,المكاتب_المصدر[المجموعة],0)),"")</f>
        <v/>
      </c>
      <c r="C154" s="65">
        <f>'ملخص المجموعات'!B154</f>
        <v/>
      </c>
      <c r="D154" s="66">
        <f>'ملخص المجموعات'!C154</f>
        <v/>
      </c>
      <c r="E154" s="67">
        <f>'ملخص المجموعات'!D154</f>
        <v/>
      </c>
      <c r="F154" s="68">
        <f>'ملخص المجموعات'!E154</f>
        <v/>
      </c>
      <c r="G154" s="67">
        <f>'ملخص المجموعات'!F154</f>
        <v/>
      </c>
      <c r="H154" s="73">
        <f>IF('عدد اللاعبين'!$G154&lt;الحد_الأدنى,0,'عدد اللاعبين'!$G154*IFERROR(INDEX(المدخلات!$Y$3:$Y$9,MATCH('عدد اللاعبين'!$C154,المدخلات!$X$3:$X$9,0)),0))</f>
        <v/>
      </c>
    </row>
    <row r="155">
      <c r="B155" s="65">
        <f>IFERROR(INDEX(المكاتب_المصدر[المنطقة],MATCH('عدد اللاعبين'!$D155,المكاتب_المصدر[المجموعة],0)),"")</f>
        <v/>
      </c>
      <c r="C155" s="65">
        <f>'ملخص المجموعات'!B155</f>
        <v/>
      </c>
      <c r="D155" s="66">
        <f>'ملخص المجموعات'!C155</f>
        <v/>
      </c>
      <c r="E155" s="67">
        <f>'ملخص المجموعات'!D155</f>
        <v/>
      </c>
      <c r="F155" s="68">
        <f>'ملخص المجموعات'!E155</f>
        <v/>
      </c>
      <c r="G155" s="67">
        <f>'ملخص المجموعات'!F155</f>
        <v/>
      </c>
      <c r="H155" s="72">
        <f>IF('عدد اللاعبين'!$G155&lt;الحد_الأدنى,0,'عدد اللاعبين'!$G155*IFERROR(INDEX(المدخلات!$Y$3:$Y$9,MATCH('عدد اللاعبين'!$C155,المدخلات!$X$3:$X$9,0)),0))</f>
        <v/>
      </c>
    </row>
    <row r="156">
      <c r="B156" s="64">
        <f>IFERROR(INDEX(المكاتب_المصدر[المنطقة],MATCH('عدد اللاعبين'!$D156,المكاتب_المصدر[المجموعة],0)),"")</f>
        <v/>
      </c>
      <c r="C156" s="65">
        <f>'ملخص المجموعات'!B156</f>
        <v/>
      </c>
      <c r="D156" s="66">
        <f>'ملخص المجموعات'!C156</f>
        <v/>
      </c>
      <c r="E156" s="67">
        <f>'ملخص المجموعات'!D156</f>
        <v/>
      </c>
      <c r="F156" s="68">
        <f>'ملخص المجموعات'!E156</f>
        <v/>
      </c>
      <c r="G156" s="67">
        <f>'ملخص المجموعات'!F156</f>
        <v/>
      </c>
      <c r="H156" s="73">
        <f>IF('عدد اللاعبين'!$G156&lt;الحد_الأدنى,0,'عدد اللاعبين'!$G156*IFERROR(INDEX(المدخلات!$Y$3:$Y$9,MATCH('عدد اللاعبين'!$C156,المدخلات!$X$3:$X$9,0)),0))</f>
        <v/>
      </c>
    </row>
    <row r="157">
      <c r="B157" s="65">
        <f>IFERROR(INDEX(المكاتب_المصدر[المنطقة],MATCH('عدد اللاعبين'!$D157,المكاتب_المصدر[المجموعة],0)),"")</f>
        <v/>
      </c>
      <c r="C157" s="65">
        <f>'ملخص المجموعات'!B157</f>
        <v/>
      </c>
      <c r="D157" s="66">
        <f>'ملخص المجموعات'!C157</f>
        <v/>
      </c>
      <c r="E157" s="67">
        <f>'ملخص المجموعات'!D157</f>
        <v/>
      </c>
      <c r="F157" s="68">
        <f>'ملخص المجموعات'!E157</f>
        <v/>
      </c>
      <c r="G157" s="67">
        <f>'ملخص المجموعات'!F157</f>
        <v/>
      </c>
      <c r="H157" s="72">
        <f>IF('عدد اللاعبين'!$G157&lt;الحد_الأدنى,0,'عدد اللاعبين'!$G157*IFERROR(INDEX(المدخلات!$Y$3:$Y$9,MATCH('عدد اللاعبين'!$C157,المدخلات!$X$3:$X$9,0)),0))</f>
        <v/>
      </c>
    </row>
    <row r="158">
      <c r="B158" s="64">
        <f>IFERROR(INDEX(المكاتب_المصدر[المنطقة],MATCH('عدد اللاعبين'!$D158,المكاتب_المصدر[المجموعة],0)),"")</f>
        <v/>
      </c>
      <c r="C158" s="65">
        <f>'ملخص المجموعات'!B158</f>
        <v/>
      </c>
      <c r="D158" s="66">
        <f>'ملخص المجموعات'!C158</f>
        <v/>
      </c>
      <c r="E158" s="67">
        <f>'ملخص المجموعات'!D158</f>
        <v/>
      </c>
      <c r="F158" s="68">
        <f>'ملخص المجموعات'!E158</f>
        <v/>
      </c>
      <c r="G158" s="67">
        <f>'ملخص المجموعات'!F158</f>
        <v/>
      </c>
      <c r="H158" s="73">
        <f>IF('عدد اللاعبين'!$G158&lt;الحد_الأدنى,0,'عدد اللاعبين'!$G158*IFERROR(INDEX(المدخلات!$Y$3:$Y$9,MATCH('عدد اللاعبين'!$C158,المدخلات!$X$3:$X$9,0)),0))</f>
        <v/>
      </c>
    </row>
    <row r="159">
      <c r="B159" s="65">
        <f>IFERROR(INDEX(المكاتب_المصدر[المنطقة],MATCH('عدد اللاعبين'!$D159,المكاتب_المصدر[المجموعة],0)),"")</f>
        <v/>
      </c>
      <c r="C159" s="65">
        <f>'ملخص المجموعات'!B159</f>
        <v/>
      </c>
      <c r="D159" s="66">
        <f>'ملخص المجموعات'!C159</f>
        <v/>
      </c>
      <c r="E159" s="67">
        <f>'ملخص المجموعات'!D159</f>
        <v/>
      </c>
      <c r="F159" s="68">
        <f>'ملخص المجموعات'!E159</f>
        <v/>
      </c>
      <c r="G159" s="67">
        <f>'ملخص المجموعات'!F159</f>
        <v/>
      </c>
      <c r="H159" s="72">
        <f>IF('عدد اللاعبين'!$G159&lt;الحد_الأدنى,0,'عدد اللاعبين'!$G159*IFERROR(INDEX(المدخلات!$Y$3:$Y$9,MATCH('عدد اللاعبين'!$C159,المدخلات!$X$3:$X$9,0)),0))</f>
        <v/>
      </c>
    </row>
    <row r="160">
      <c r="B160" s="64">
        <f>IFERROR(INDEX(المكاتب_المصدر[المنطقة],MATCH('عدد اللاعبين'!$D160,المكاتب_المصدر[المجموعة],0)),"")</f>
        <v/>
      </c>
      <c r="C160" s="65">
        <f>'ملخص المجموعات'!B160</f>
        <v/>
      </c>
      <c r="D160" s="66">
        <f>'ملخص المجموعات'!C160</f>
        <v/>
      </c>
      <c r="E160" s="67">
        <f>'ملخص المجموعات'!D160</f>
        <v/>
      </c>
      <c r="F160" s="68">
        <f>'ملخص المجموعات'!E160</f>
        <v/>
      </c>
      <c r="G160" s="67">
        <f>'ملخص المجموعات'!F160</f>
        <v/>
      </c>
      <c r="H160" s="73">
        <f>IF('عدد اللاعبين'!$G160&lt;الحد_الأدنى,0,'عدد اللاعبين'!$G160*IFERROR(INDEX(المدخلات!$Y$3:$Y$9,MATCH('عدد اللاعبين'!$C160,المدخلات!$X$3:$X$9,0)),0))</f>
        <v/>
      </c>
    </row>
    <row r="161">
      <c r="B161" s="65">
        <f>IFERROR(INDEX(المكاتب_المصدر[المنطقة],MATCH('عدد اللاعبين'!$D161,المكاتب_المصدر[المجموعة],0)),"")</f>
        <v/>
      </c>
      <c r="C161" s="65">
        <f>'ملخص المجموعات'!B161</f>
        <v/>
      </c>
      <c r="D161" s="66">
        <f>'ملخص المجموعات'!C161</f>
        <v/>
      </c>
      <c r="E161" s="67">
        <f>'ملخص المجموعات'!D161</f>
        <v/>
      </c>
      <c r="F161" s="68">
        <f>'ملخص المجموعات'!E161</f>
        <v/>
      </c>
      <c r="G161" s="67">
        <f>'ملخص المجموعات'!F161</f>
        <v/>
      </c>
      <c r="H161" s="72">
        <f>IF('عدد اللاعبين'!$G161&lt;الحد_الأدنى,0,'عدد اللاعبين'!$G161*IFERROR(INDEX(المدخلات!$Y$3:$Y$9,MATCH('عدد اللاعبين'!$C161,المدخلات!$X$3:$X$9,0)),0))</f>
        <v/>
      </c>
    </row>
    <row r="162">
      <c r="B162" s="64">
        <f>IFERROR(INDEX(المكاتب_المصدر[المنطقة],MATCH('عدد اللاعبين'!$D162,المكاتب_المصدر[المجموعة],0)),"")</f>
        <v/>
      </c>
      <c r="C162" s="65">
        <f>'ملخص المجموعات'!B162</f>
        <v/>
      </c>
      <c r="D162" s="66">
        <f>'ملخص المجموعات'!C162</f>
        <v/>
      </c>
      <c r="E162" s="67">
        <f>'ملخص المجموعات'!D162</f>
        <v/>
      </c>
      <c r="F162" s="68">
        <f>'ملخص المجموعات'!E162</f>
        <v/>
      </c>
      <c r="G162" s="67">
        <f>'ملخص المجموعات'!F162</f>
        <v/>
      </c>
      <c r="H162" s="73">
        <f>IF('عدد اللاعبين'!$G162&lt;الحد_الأدنى,0,'عدد اللاعبين'!$G162*IFERROR(INDEX(المدخلات!$Y$3:$Y$9,MATCH('عدد اللاعبين'!$C162,المدخلات!$X$3:$X$9,0)),0))</f>
        <v/>
      </c>
    </row>
    <row r="163">
      <c r="B163" s="65">
        <f>IFERROR(INDEX(المكاتب_المصدر[المنطقة],MATCH('عدد اللاعبين'!$D163,المكاتب_المصدر[المجموعة],0)),"")</f>
        <v/>
      </c>
      <c r="C163" s="65">
        <f>'ملخص المجموعات'!B163</f>
        <v/>
      </c>
      <c r="D163" s="66">
        <f>'ملخص المجموعات'!C163</f>
        <v/>
      </c>
      <c r="E163" s="67">
        <f>'ملخص المجموعات'!D163</f>
        <v/>
      </c>
      <c r="F163" s="68">
        <f>'ملخص المجموعات'!E163</f>
        <v/>
      </c>
      <c r="G163" s="67">
        <f>'ملخص المجموعات'!F163</f>
        <v/>
      </c>
      <c r="H163" s="72">
        <f>IF('عدد اللاعبين'!$G163&lt;الحد_الأدنى,0,'عدد اللاعبين'!$G163*IFERROR(INDEX(المدخلات!$Y$3:$Y$9,MATCH('عدد اللاعبين'!$C163,المدخلات!$X$3:$X$9,0)),0))</f>
        <v/>
      </c>
    </row>
    <row r="164">
      <c r="B164" s="64">
        <f>IFERROR(INDEX(المكاتب_المصدر[المنطقة],MATCH('عدد اللاعبين'!$D164,المكاتب_المصدر[المجموعة],0)),"")</f>
        <v/>
      </c>
      <c r="C164" s="65">
        <f>'ملخص المجموعات'!B164</f>
        <v/>
      </c>
      <c r="D164" s="66">
        <f>'ملخص المجموعات'!C164</f>
        <v/>
      </c>
      <c r="E164" s="67">
        <f>'ملخص المجموعات'!D164</f>
        <v/>
      </c>
      <c r="F164" s="68">
        <f>'ملخص المجموعات'!E164</f>
        <v/>
      </c>
      <c r="G164" s="67">
        <f>'ملخص المجموعات'!F164</f>
        <v/>
      </c>
      <c r="H164" s="73">
        <f>IF('عدد اللاعبين'!$G164&lt;الحد_الأدنى,0,'عدد اللاعبين'!$G164*IFERROR(INDEX(المدخلات!$Y$3:$Y$9,MATCH('عدد اللاعبين'!$C164,المدخلات!$X$3:$X$9,0)),0))</f>
        <v/>
      </c>
    </row>
    <row r="165">
      <c r="B165" s="65">
        <f>IFERROR(INDEX(المكاتب_المصدر[المنطقة],MATCH('عدد اللاعبين'!$D165,المكاتب_المصدر[المجموعة],0)),"")</f>
        <v/>
      </c>
      <c r="C165" s="65">
        <f>'ملخص المجموعات'!B165</f>
        <v/>
      </c>
      <c r="D165" s="66">
        <f>'ملخص المجموعات'!C165</f>
        <v/>
      </c>
      <c r="E165" s="67">
        <f>'ملخص المجموعات'!D165</f>
        <v/>
      </c>
      <c r="F165" s="68">
        <f>'ملخص المجموعات'!E165</f>
        <v/>
      </c>
      <c r="G165" s="67">
        <f>'ملخص المجموعات'!F165</f>
        <v/>
      </c>
      <c r="H165" s="72">
        <f>IF('عدد اللاعبين'!$G165&lt;الحد_الأدنى,0,'عدد اللاعبين'!$G165*IFERROR(INDEX(المدخلات!$Y$3:$Y$9,MATCH('عدد اللاعبين'!$C165,المدخلات!$X$3:$X$9,0)),0))</f>
        <v/>
      </c>
    </row>
    <row r="166">
      <c r="B166" s="64">
        <f>IFERROR(INDEX(المكاتب_المصدر[المنطقة],MATCH('عدد اللاعبين'!$D166,المكاتب_المصدر[المجموعة],0)),"")</f>
        <v/>
      </c>
      <c r="C166" s="65">
        <f>'ملخص المجموعات'!B166</f>
        <v/>
      </c>
      <c r="D166" s="66">
        <f>'ملخص المجموعات'!C166</f>
        <v/>
      </c>
      <c r="E166" s="67">
        <f>'ملخص المجموعات'!D166</f>
        <v/>
      </c>
      <c r="F166" s="68">
        <f>'ملخص المجموعات'!E166</f>
        <v/>
      </c>
      <c r="G166" s="67">
        <f>'ملخص المجموعات'!F166</f>
        <v/>
      </c>
      <c r="H166" s="73">
        <f>IF('عدد اللاعبين'!$G166&lt;الحد_الأدنى,0,'عدد اللاعبين'!$G166*IFERROR(INDEX(المدخلات!$Y$3:$Y$9,MATCH('عدد اللاعبين'!$C166,المدخلات!$X$3:$X$9,0)),0))</f>
        <v/>
      </c>
    </row>
    <row r="167">
      <c r="B167" s="65">
        <f>IFERROR(INDEX(المكاتب_المصدر[المنطقة],MATCH('عدد اللاعبين'!$D167,المكاتب_المصدر[المجموعة],0)),"")</f>
        <v/>
      </c>
      <c r="C167" s="65">
        <f>'ملخص المجموعات'!B167</f>
        <v/>
      </c>
      <c r="D167" s="66">
        <f>'ملخص المجموعات'!C167</f>
        <v/>
      </c>
      <c r="E167" s="67">
        <f>'ملخص المجموعات'!D167</f>
        <v/>
      </c>
      <c r="F167" s="68">
        <f>'ملخص المجموعات'!E167</f>
        <v/>
      </c>
      <c r="G167" s="67">
        <f>'ملخص المجموعات'!F167</f>
        <v/>
      </c>
      <c r="H167" s="72">
        <f>IF('عدد اللاعبين'!$G167&lt;الحد_الأدنى,0,'عدد اللاعبين'!$G167*IFERROR(INDEX(المدخلات!$Y$3:$Y$9,MATCH('عدد اللاعبين'!$C167,المدخلات!$X$3:$X$9,0)),0))</f>
        <v/>
      </c>
    </row>
    <row r="168">
      <c r="B168" s="64">
        <f>IFERROR(INDEX(المكاتب_المصدر[المنطقة],MATCH('عدد اللاعبين'!$D168,المكاتب_المصدر[المجموعة],0)),"")</f>
        <v/>
      </c>
      <c r="C168" s="65">
        <f>'ملخص المجموعات'!B168</f>
        <v/>
      </c>
      <c r="D168" s="66">
        <f>'ملخص المجموعات'!C168</f>
        <v/>
      </c>
      <c r="E168" s="67">
        <f>'ملخص المجموعات'!D168</f>
        <v/>
      </c>
      <c r="F168" s="68">
        <f>'ملخص المجموعات'!E168</f>
        <v/>
      </c>
      <c r="G168" s="67">
        <f>'ملخص المجموعات'!F168</f>
        <v/>
      </c>
      <c r="H168" s="73">
        <f>IF('عدد اللاعبين'!$G168&lt;الحد_الأدنى,0,'عدد اللاعبين'!$G168*IFERROR(INDEX(المدخلات!$Y$3:$Y$9,MATCH('عدد اللاعبين'!$C168,المدخلات!$X$3:$X$9,0)),0))</f>
        <v/>
      </c>
    </row>
    <row r="169">
      <c r="B169" s="65">
        <f>IFERROR(INDEX(المكاتب_المصدر[المنطقة],MATCH('عدد اللاعبين'!$D169,المكاتب_المصدر[المجموعة],0)),"")</f>
        <v/>
      </c>
      <c r="C169" s="65">
        <f>'ملخص المجموعات'!B169</f>
        <v/>
      </c>
      <c r="D169" s="66">
        <f>'ملخص المجموعات'!C169</f>
        <v/>
      </c>
      <c r="E169" s="67">
        <f>'ملخص المجموعات'!D169</f>
        <v/>
      </c>
      <c r="F169" s="68">
        <f>'ملخص المجموعات'!E169</f>
        <v/>
      </c>
      <c r="G169" s="67">
        <f>'ملخص المجموعات'!F169</f>
        <v/>
      </c>
      <c r="H169" s="72">
        <f>IF('عدد اللاعبين'!$G169&lt;الحد_الأدنى,0,'عدد اللاعبين'!$G169*IFERROR(INDEX(المدخلات!$Y$3:$Y$9,MATCH('عدد اللاعبين'!$C169,المدخلات!$X$3:$X$9,0)),0))</f>
        <v/>
      </c>
    </row>
    <row r="170">
      <c r="B170" s="64">
        <f>IFERROR(INDEX(المكاتب_المصدر[المنطقة],MATCH('عدد اللاعبين'!$D170,المكاتب_المصدر[المجموعة],0)),"")</f>
        <v/>
      </c>
      <c r="C170" s="65">
        <f>'ملخص المجموعات'!B170</f>
        <v/>
      </c>
      <c r="D170" s="66">
        <f>'ملخص المجموعات'!C170</f>
        <v/>
      </c>
      <c r="E170" s="67">
        <f>'ملخص المجموعات'!D170</f>
        <v/>
      </c>
      <c r="F170" s="68">
        <f>'ملخص المجموعات'!E170</f>
        <v/>
      </c>
      <c r="G170" s="67">
        <f>'ملخص المجموعات'!F170</f>
        <v/>
      </c>
      <c r="H170" s="73">
        <f>IF('عدد اللاعبين'!$G170&lt;الحد_الأدنى,0,'عدد اللاعبين'!$G170*IFERROR(INDEX(المدخلات!$Y$3:$Y$9,MATCH('عدد اللاعبين'!$C170,المدخلات!$X$3:$X$9,0)),0))</f>
        <v/>
      </c>
    </row>
    <row r="171">
      <c r="B171" s="65">
        <f>IFERROR(INDEX(المكاتب_المصدر[المنطقة],MATCH('عدد اللاعبين'!$D171,المكاتب_المصدر[المجموعة],0)),"")</f>
        <v/>
      </c>
      <c r="C171" s="65">
        <f>'ملخص المجموعات'!B171</f>
        <v/>
      </c>
      <c r="D171" s="66">
        <f>'ملخص المجموعات'!C171</f>
        <v/>
      </c>
      <c r="E171" s="67">
        <f>'ملخص المجموعات'!D171</f>
        <v/>
      </c>
      <c r="F171" s="68">
        <f>'ملخص المجموعات'!E171</f>
        <v/>
      </c>
      <c r="G171" s="67">
        <f>'ملخص المجموعات'!F171</f>
        <v/>
      </c>
      <c r="H171" s="72">
        <f>IF('عدد اللاعبين'!$G171&lt;الحد_الأدنى,0,'عدد اللاعبين'!$G171*IFERROR(INDEX(المدخلات!$Y$3:$Y$9,MATCH('عدد اللاعبين'!$C171,المدخلات!$X$3:$X$9,0)),0))</f>
        <v/>
      </c>
    </row>
    <row r="172">
      <c r="B172" s="64">
        <f>IFERROR(INDEX(المكاتب_المصدر[المنطقة],MATCH('عدد اللاعبين'!$D172,المكاتب_المصدر[المجموعة],0)),"")</f>
        <v/>
      </c>
      <c r="C172" s="65">
        <f>'ملخص المجموعات'!B172</f>
        <v/>
      </c>
      <c r="D172" s="66">
        <f>'ملخص المجموعات'!C172</f>
        <v/>
      </c>
      <c r="E172" s="67">
        <f>'ملخص المجموعات'!D172</f>
        <v/>
      </c>
      <c r="F172" s="68">
        <f>'ملخص المجموعات'!E172</f>
        <v/>
      </c>
      <c r="G172" s="67">
        <f>'ملخص المجموعات'!F172</f>
        <v/>
      </c>
      <c r="H172" s="73">
        <f>IF('عدد اللاعبين'!$G172&lt;الحد_الأدنى,0,'عدد اللاعبين'!$G172*IFERROR(INDEX(المدخلات!$Y$3:$Y$9,MATCH('عدد اللاعبين'!$C172,المدخلات!$X$3:$X$9,0)),0))</f>
        <v/>
      </c>
    </row>
    <row r="173">
      <c r="B173" s="65">
        <f>IFERROR(INDEX(المكاتب_المصدر[المنطقة],MATCH('عدد اللاعبين'!$D173,المكاتب_المصدر[المجموعة],0)),"")</f>
        <v/>
      </c>
      <c r="C173" s="65">
        <f>'ملخص المجموعات'!B173</f>
        <v/>
      </c>
      <c r="D173" s="66">
        <f>'ملخص المجموعات'!C173</f>
        <v/>
      </c>
      <c r="E173" s="67">
        <f>'ملخص المجموعات'!D173</f>
        <v/>
      </c>
      <c r="F173" s="68">
        <f>'ملخص المجموعات'!E173</f>
        <v/>
      </c>
      <c r="G173" s="67">
        <f>'ملخص المجموعات'!F173</f>
        <v/>
      </c>
      <c r="H173" s="72">
        <f>IF('عدد اللاعبين'!$G173&lt;الحد_الأدنى,0,'عدد اللاعبين'!$G173*IFERROR(INDEX(المدخلات!$Y$3:$Y$9,MATCH('عدد اللاعبين'!$C173,المدخلات!$X$3:$X$9,0)),0))</f>
        <v/>
      </c>
    </row>
    <row r="174">
      <c r="B174" s="64">
        <f>IFERROR(INDEX(المكاتب_المصدر[المنطقة],MATCH('عدد اللاعبين'!$D174,المكاتب_المصدر[المجموعة],0)),"")</f>
        <v/>
      </c>
      <c r="C174" s="65">
        <f>'ملخص المجموعات'!B174</f>
        <v/>
      </c>
      <c r="D174" s="66">
        <f>'ملخص المجموعات'!C174</f>
        <v/>
      </c>
      <c r="E174" s="67">
        <f>'ملخص المجموعات'!D174</f>
        <v/>
      </c>
      <c r="F174" s="68">
        <f>'ملخص المجموعات'!E174</f>
        <v/>
      </c>
      <c r="G174" s="67">
        <f>'ملخص المجموعات'!F174</f>
        <v/>
      </c>
      <c r="H174" s="73">
        <f>IF('عدد اللاعبين'!$G174&lt;الحد_الأدنى,0,'عدد اللاعبين'!$G174*IFERROR(INDEX(المدخلات!$Y$3:$Y$9,MATCH('عدد اللاعبين'!$C174,المدخلات!$X$3:$X$9,0)),0))</f>
        <v/>
      </c>
    </row>
    <row r="175">
      <c r="B175" s="65">
        <f>IFERROR(INDEX(المكاتب_المصدر[المنطقة],MATCH('عدد اللاعبين'!$D175,المكاتب_المصدر[المجموعة],0)),"")</f>
        <v/>
      </c>
      <c r="C175" s="65">
        <f>'ملخص المجموعات'!B175</f>
        <v/>
      </c>
      <c r="D175" s="66">
        <f>'ملخص المجموعات'!C175</f>
        <v/>
      </c>
      <c r="E175" s="67">
        <f>'ملخص المجموعات'!D175</f>
        <v/>
      </c>
      <c r="F175" s="68">
        <f>'ملخص المجموعات'!E175</f>
        <v/>
      </c>
      <c r="G175" s="67">
        <f>'ملخص المجموعات'!F175</f>
        <v/>
      </c>
      <c r="H175" s="72">
        <f>IF('عدد اللاعبين'!$G175&lt;الحد_الأدنى,0,'عدد اللاعبين'!$G175*IFERROR(INDEX(المدخلات!$Y$3:$Y$9,MATCH('عدد اللاعبين'!$C175,المدخلات!$X$3:$X$9,0)),0))</f>
        <v/>
      </c>
    </row>
    <row r="176">
      <c r="B176" s="64">
        <f>IFERROR(INDEX(المكاتب_المصدر[المنطقة],MATCH('عدد اللاعبين'!$D176,المكاتب_المصدر[المجموعة],0)),"")</f>
        <v/>
      </c>
      <c r="C176" s="65">
        <f>'ملخص المجموعات'!B176</f>
        <v/>
      </c>
      <c r="D176" s="66">
        <f>'ملخص المجموعات'!C176</f>
        <v/>
      </c>
      <c r="E176" s="67">
        <f>'ملخص المجموعات'!D176</f>
        <v/>
      </c>
      <c r="F176" s="68">
        <f>'ملخص المجموعات'!E176</f>
        <v/>
      </c>
      <c r="G176" s="67">
        <f>'ملخص المجموعات'!F176</f>
        <v/>
      </c>
      <c r="H176" s="73">
        <f>IF('عدد اللاعبين'!$G176&lt;الحد_الأدنى,0,'عدد اللاعبين'!$G176*IFERROR(INDEX(المدخلات!$Y$3:$Y$9,MATCH('عدد اللاعبين'!$C176,المدخلات!$X$3:$X$9,0)),0))</f>
        <v/>
      </c>
    </row>
    <row r="177">
      <c r="B177" s="65">
        <f>IFERROR(INDEX(المكاتب_المصدر[المنطقة],MATCH('عدد اللاعبين'!$D177,المكاتب_المصدر[المجموعة],0)),"")</f>
        <v/>
      </c>
      <c r="C177" s="65">
        <f>'ملخص المجموعات'!B177</f>
        <v/>
      </c>
      <c r="D177" s="66">
        <f>'ملخص المجموعات'!C177</f>
        <v/>
      </c>
      <c r="E177" s="67">
        <f>'ملخص المجموعات'!D177</f>
        <v/>
      </c>
      <c r="F177" s="68">
        <f>'ملخص المجموعات'!E177</f>
        <v/>
      </c>
      <c r="G177" s="67">
        <f>'ملخص المجموعات'!F177</f>
        <v/>
      </c>
      <c r="H177" s="72">
        <f>IF('عدد اللاعبين'!$G177&lt;الحد_الأدنى,0,'عدد اللاعبين'!$G177*IFERROR(INDEX(المدخلات!$Y$3:$Y$9,MATCH('عدد اللاعبين'!$C177,المدخلات!$X$3:$X$9,0)),0))</f>
        <v/>
      </c>
    </row>
    <row r="178">
      <c r="B178" s="64">
        <f>IFERROR(INDEX(المكاتب_المصدر[المنطقة],MATCH('عدد اللاعبين'!$D178,المكاتب_المصدر[المجموعة],0)),"")</f>
        <v/>
      </c>
      <c r="C178" s="65">
        <f>'ملخص المجموعات'!B178</f>
        <v/>
      </c>
      <c r="D178" s="66">
        <f>'ملخص المجموعات'!C178</f>
        <v/>
      </c>
      <c r="E178" s="67">
        <f>'ملخص المجموعات'!D178</f>
        <v/>
      </c>
      <c r="F178" s="68">
        <f>'ملخص المجموعات'!E178</f>
        <v/>
      </c>
      <c r="G178" s="67">
        <f>'ملخص المجموعات'!F178</f>
        <v/>
      </c>
      <c r="H178" s="73">
        <f>IF('عدد اللاعبين'!$G178&lt;الحد_الأدنى,0,'عدد اللاعبين'!$G178*IFERROR(INDEX(المدخلات!$Y$3:$Y$9,MATCH('عدد اللاعبين'!$C178,المدخلات!$X$3:$X$9,0)),0))</f>
        <v/>
      </c>
    </row>
    <row r="179">
      <c r="B179" s="65">
        <f>IFERROR(INDEX(المكاتب_المصدر[المنطقة],MATCH('عدد اللاعبين'!$D179,المكاتب_المصدر[المجموعة],0)),"")</f>
        <v/>
      </c>
      <c r="C179" s="65">
        <f>'ملخص المجموعات'!B179</f>
        <v/>
      </c>
      <c r="D179" s="66">
        <f>'ملخص المجموعات'!C179</f>
        <v/>
      </c>
      <c r="E179" s="67">
        <f>'ملخص المجموعات'!D179</f>
        <v/>
      </c>
      <c r="F179" s="68">
        <f>'ملخص المجموعات'!E179</f>
        <v/>
      </c>
      <c r="G179" s="67">
        <f>'ملخص المجموعات'!F179</f>
        <v/>
      </c>
      <c r="H179" s="72">
        <f>IF('عدد اللاعبين'!$G179&lt;الحد_الأدنى,0,'عدد اللاعبين'!$G179*IFERROR(INDEX(المدخلات!$Y$3:$Y$9,MATCH('عدد اللاعبين'!$C179,المدخلات!$X$3:$X$9,0)),0))</f>
        <v/>
      </c>
    </row>
    <row r="180">
      <c r="B180" s="64">
        <f>IFERROR(INDEX(المكاتب_المصدر[المنطقة],MATCH('عدد اللاعبين'!$D180,المكاتب_المصدر[المجموعة],0)),"")</f>
        <v/>
      </c>
      <c r="C180" s="65">
        <f>'ملخص المجموعات'!B180</f>
        <v/>
      </c>
      <c r="D180" s="66">
        <f>'ملخص المجموعات'!C180</f>
        <v/>
      </c>
      <c r="E180" s="67">
        <f>'ملخص المجموعات'!D180</f>
        <v/>
      </c>
      <c r="F180" s="68">
        <f>'ملخص المجموعات'!E180</f>
        <v/>
      </c>
      <c r="G180" s="67">
        <f>'ملخص المجموعات'!F180</f>
        <v/>
      </c>
      <c r="H180" s="73">
        <f>IF('عدد اللاعبين'!$G180&lt;الحد_الأدنى,0,'عدد اللاعبين'!$G180*IFERROR(INDEX(المدخلات!$Y$3:$Y$9,MATCH('عدد اللاعبين'!$C180,المدخلات!$X$3:$X$9,0)),0))</f>
        <v/>
      </c>
    </row>
    <row r="181">
      <c r="B181" s="65">
        <f>IFERROR(INDEX(المكاتب_المصدر[المنطقة],MATCH('عدد اللاعبين'!$D181,المكاتب_المصدر[المجموعة],0)),"")</f>
        <v/>
      </c>
      <c r="C181" s="65">
        <f>'ملخص المجموعات'!B181</f>
        <v/>
      </c>
      <c r="D181" s="66">
        <f>'ملخص المجموعات'!C181</f>
        <v/>
      </c>
      <c r="E181" s="67">
        <f>'ملخص المجموعات'!D181</f>
        <v/>
      </c>
      <c r="F181" s="68">
        <f>'ملخص المجموعات'!E181</f>
        <v/>
      </c>
      <c r="G181" s="67">
        <f>'ملخص المجموعات'!F181</f>
        <v/>
      </c>
      <c r="H181" s="72">
        <f>IF('عدد اللاعبين'!$G181&lt;الحد_الأدنى,0,'عدد اللاعبين'!$G181*IFERROR(INDEX(المدخلات!$Y$3:$Y$9,MATCH('عدد اللاعبين'!$C181,المدخلات!$X$3:$X$9,0)),0))</f>
        <v/>
      </c>
    </row>
    <row r="182">
      <c r="B182" s="64">
        <f>IFERROR(INDEX(المكاتب_المصدر[المنطقة],MATCH('عدد اللاعبين'!$D182,المكاتب_المصدر[المجموعة],0)),"")</f>
        <v/>
      </c>
      <c r="C182" s="65">
        <f>'ملخص المجموعات'!B182</f>
        <v/>
      </c>
      <c r="D182" s="66">
        <f>'ملخص المجموعات'!C182</f>
        <v/>
      </c>
      <c r="E182" s="67">
        <f>'ملخص المجموعات'!D182</f>
        <v/>
      </c>
      <c r="F182" s="68">
        <f>'ملخص المجموعات'!E182</f>
        <v/>
      </c>
      <c r="G182" s="67">
        <f>'ملخص المجموعات'!F182</f>
        <v/>
      </c>
      <c r="H182" s="73">
        <f>IF('عدد اللاعبين'!$G182&lt;الحد_الأدنى,0,'عدد اللاعبين'!$G182*IFERROR(INDEX(المدخلات!$Y$3:$Y$9,MATCH('عدد اللاعبين'!$C182,المدخلات!$X$3:$X$9,0)),0))</f>
        <v/>
      </c>
    </row>
    <row r="183">
      <c r="B183" s="65">
        <f>IFERROR(INDEX(المكاتب_المصدر[المنطقة],MATCH('عدد اللاعبين'!$D183,المكاتب_المصدر[المجموعة],0)),"")</f>
        <v/>
      </c>
      <c r="C183" s="65">
        <f>'ملخص المجموعات'!B183</f>
        <v/>
      </c>
      <c r="D183" s="66">
        <f>'ملخص المجموعات'!C183</f>
        <v/>
      </c>
      <c r="E183" s="67">
        <f>'ملخص المجموعات'!D183</f>
        <v/>
      </c>
      <c r="F183" s="68">
        <f>'ملخص المجموعات'!E183</f>
        <v/>
      </c>
      <c r="G183" s="67">
        <f>'ملخص المجموعات'!F183</f>
        <v/>
      </c>
      <c r="H183" s="72">
        <f>IF('عدد اللاعبين'!$G183&lt;الحد_الأدنى,0,'عدد اللاعبين'!$G183*IFERROR(INDEX(المدخلات!$Y$3:$Y$9,MATCH('عدد اللاعبين'!$C183,المدخلات!$X$3:$X$9,0)),0))</f>
        <v/>
      </c>
    </row>
    <row r="184">
      <c r="B184" s="64">
        <f>IFERROR(INDEX(المكاتب_المصدر[المنطقة],MATCH('عدد اللاعبين'!$D184,المكاتب_المصدر[المجموعة],0)),"")</f>
        <v/>
      </c>
      <c r="C184" s="65">
        <f>'ملخص المجموعات'!B184</f>
        <v/>
      </c>
      <c r="D184" s="66">
        <f>'ملخص المجموعات'!C184</f>
        <v/>
      </c>
      <c r="E184" s="67">
        <f>'ملخص المجموعات'!D184</f>
        <v/>
      </c>
      <c r="F184" s="68">
        <f>'ملخص المجموعات'!E184</f>
        <v/>
      </c>
      <c r="G184" s="67">
        <f>'ملخص المجموعات'!F184</f>
        <v/>
      </c>
      <c r="H184" s="73">
        <f>IF('عدد اللاعبين'!$G184&lt;الحد_الأدنى,0,'عدد اللاعبين'!$G184*IFERROR(INDEX(المدخلات!$Y$3:$Y$9,MATCH('عدد اللاعبين'!$C184,المدخلات!$X$3:$X$9,0)),0))</f>
        <v/>
      </c>
    </row>
    <row r="185">
      <c r="B185" s="65">
        <f>IFERROR(INDEX(المكاتب_المصدر[المنطقة],MATCH('عدد اللاعبين'!$D185,المكاتب_المصدر[المجموعة],0)),"")</f>
        <v/>
      </c>
      <c r="C185" s="65">
        <f>'ملخص المجموعات'!B185</f>
        <v/>
      </c>
      <c r="D185" s="66">
        <f>'ملخص المجموعات'!C185</f>
        <v/>
      </c>
      <c r="E185" s="67">
        <f>'ملخص المجموعات'!D185</f>
        <v/>
      </c>
      <c r="F185" s="68">
        <f>'ملخص المجموعات'!E185</f>
        <v/>
      </c>
      <c r="G185" s="67">
        <f>'ملخص المجموعات'!F185</f>
        <v/>
      </c>
      <c r="H185" s="72">
        <f>IF('عدد اللاعبين'!$G185&lt;الحد_الأدنى,0,'عدد اللاعبين'!$G185*IFERROR(INDEX(المدخلات!$Y$3:$Y$9,MATCH('عدد اللاعبين'!$C185,المدخلات!$X$3:$X$9,0)),0))</f>
        <v/>
      </c>
    </row>
    <row r="186">
      <c r="B186" s="64">
        <f>IFERROR(INDEX(المكاتب_المصدر[المنطقة],MATCH('عدد اللاعبين'!$D186,المكاتب_المصدر[المجموعة],0)),"")</f>
        <v/>
      </c>
      <c r="C186" s="65">
        <f>'ملخص المجموعات'!B186</f>
        <v/>
      </c>
      <c r="D186" s="66">
        <f>'ملخص المجموعات'!C186</f>
        <v/>
      </c>
      <c r="E186" s="67">
        <f>'ملخص المجموعات'!D186</f>
        <v/>
      </c>
      <c r="F186" s="68">
        <f>'ملخص المجموعات'!E186</f>
        <v/>
      </c>
      <c r="G186" s="67">
        <f>'ملخص المجموعات'!F186</f>
        <v/>
      </c>
      <c r="H186" s="73">
        <f>IF('عدد اللاعبين'!$G186&lt;الحد_الأدنى,0,'عدد اللاعبين'!$G186*IFERROR(INDEX(المدخلات!$Y$3:$Y$9,MATCH('عدد اللاعبين'!$C186,المدخلات!$X$3:$X$9,0)),0))</f>
        <v/>
      </c>
    </row>
    <row r="187"/>
    <row r="188"/>
    <row r="189"/>
    <row r="19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188"/>
  <sheetViews>
    <sheetView rightToLeft="1" zoomScale="55" workbookViewId="0">
      <pane ySplit="2" topLeftCell="A3" activePane="bottomLeft" state="frozen"/>
      <selection pane="bottomLeft" activeCell="F198" sqref="F198"/>
    </sheetView>
  </sheetViews>
  <sheetFormatPr baseColWidth="8" defaultRowHeight="14.5"/>
  <cols>
    <col width="8.7265625" customWidth="1" style="5" min="1" max="1"/>
    <col width="8.26953125" bestFit="1" customWidth="1" style="2" min="2" max="2"/>
    <col width="16.54296875" bestFit="1" customWidth="1" style="5" min="3" max="3"/>
    <col width="12" bestFit="1" customWidth="1" style="2" min="4" max="4"/>
    <col width="47.26953125" customWidth="1" style="2" min="5" max="5"/>
    <col width="14.26953125" bestFit="1" customWidth="1" style="2" min="6" max="6"/>
    <col width="10" bestFit="1" customWidth="1" style="2" min="7" max="7"/>
    <col width="22.7265625" bestFit="1" customWidth="1" style="5" min="8" max="8"/>
    <col width="37.7265625" bestFit="1" customWidth="1" style="5" min="9" max="9"/>
    <col width="33.6328125" bestFit="1" customWidth="1" style="5" min="10" max="10"/>
    <col width="9.90625" bestFit="1" customWidth="1" style="5" min="11" max="11"/>
    <col width="8.7265625" customWidth="1" style="5" min="12" max="12"/>
    <col width="20" customWidth="1" style="5" min="13" max="15"/>
    <col width="8.7265625" customWidth="1" style="5" min="16" max="16384"/>
  </cols>
  <sheetData>
    <row r="2">
      <c r="B2" s="3" t="inlineStr">
        <is>
          <t>الفئة</t>
        </is>
      </c>
      <c r="C2" s="3" t="inlineStr">
        <is>
          <t>المجموعة</t>
        </is>
      </c>
      <c r="D2" s="3" t="inlineStr">
        <is>
          <t>عدد المدن</t>
        </is>
      </c>
      <c r="E2" s="3" t="inlineStr">
        <is>
          <t>المدن</t>
        </is>
      </c>
      <c r="F2" s="3" t="inlineStr">
        <is>
          <t>مجموع الفرق</t>
        </is>
      </c>
      <c r="G2" s="3" t="inlineStr">
        <is>
          <t>المتبقي</t>
        </is>
      </c>
      <c r="I2" s="21" t="inlineStr">
        <is>
          <t>المدن في مجموعات مكتملة (بها نادي واحد على الأقل)</t>
        </is>
      </c>
    </row>
    <row r="3">
      <c r="B3" s="2" t="inlineStr">
        <is>
          <t>تحت 14</t>
        </is>
      </c>
      <c r="C3" s="5" t="inlineStr">
        <is>
          <t>مجموعة نجران</t>
        </is>
      </c>
      <c r="D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" s="4">
        <f t="array" ref="E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" s="1">
        <f>MAX(0,الحد_الأدنى-ملخص_المجموعات[[#This Row],[مجموع الفرق]])</f>
        <v/>
      </c>
      <c r="I3" s="5">
        <f t="array" ref="I3">_xlfn.LET(_xlpm.t,ملخص_المجموعات[المدن],_xlpm.r,ملخص_المجموعات[المتبقي],_xlpm.f,ملخص_المجموعات[مجموع الفرق],_xlpm.s,_xlfn.TEXTJOIN("، ",TRUE,IF((_xlpm.r=0)*(_xlpm.f&gt;=1),_xlpm.t,"")),COUNTA(_xlfn.UNIQUE(TRIM(_xlfn.TEXTSPLIT(_xlpm.s,"، ")),TRUE)))</f>
        <v/>
      </c>
      <c r="J3" s="5" t="inlineStr">
        <is>
          <t>عدد المدن (بدون تكرار)</t>
        </is>
      </c>
    </row>
    <row r="4" hidden="1">
      <c r="B4" s="2" t="inlineStr">
        <is>
          <t>تحت 5</t>
        </is>
      </c>
      <c r="C4" s="5" t="inlineStr">
        <is>
          <t>مجموعة طبرجل</t>
        </is>
      </c>
      <c r="D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" s="4">
        <f t="array" ref="E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" s="1">
        <f>MAX(0,الحد_الأدنى-ملخص_المجموعات[[#This Row],[مجموع الفرق]])</f>
        <v/>
      </c>
      <c r="I4" s="5">
        <f t="array" ref="I4">SUMPRODUCT((ملخص_المجموعات[المتبقي]=0)*(ملخص_المجموعات[مجموع الفرق]&gt;=1))</f>
        <v/>
      </c>
      <c r="J4" s="5" t="inlineStr">
        <is>
          <t>عدد المجموعات المكتملة</t>
        </is>
      </c>
    </row>
    <row r="5" hidden="1">
      <c r="B5" s="2" t="inlineStr">
        <is>
          <t>تحت 7</t>
        </is>
      </c>
      <c r="C5" s="5" t="inlineStr">
        <is>
          <t>مجموعة طبرجل</t>
        </is>
      </c>
      <c r="D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" s="4">
        <f t="array" ref="E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" s="1">
        <f>MAX(0,الحد_الأدنى-ملخص_المجموعات[[#This Row],[مجموع الفرق]])</f>
        <v/>
      </c>
      <c r="I5" s="5">
        <f t="array" ref="I5">SUMPRODUCT((تفاصيل_الفرق[عدد الفرق]&gt;=1)*(تفاصيل_الفرق[مجموعة مكتملة]=1))</f>
        <v/>
      </c>
      <c r="J5" s="5" t="inlineStr">
        <is>
          <t>عدد (مدينة × فئة) في مجموعات مكتملة ولها فرق</t>
        </is>
      </c>
    </row>
    <row r="6" hidden="1">
      <c r="B6" s="2" t="inlineStr">
        <is>
          <t>تحت 9</t>
        </is>
      </c>
      <c r="C6" s="5" t="inlineStr">
        <is>
          <t>مجموعة الخرج</t>
        </is>
      </c>
      <c r="D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" s="4">
        <f t="array" ref="E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" s="1">
        <f>MAX(0,الحد_الأدنى-ملخص_المجموعات[[#This Row],[مجموع الفرق]])</f>
        <v/>
      </c>
      <c r="I6" s="5">
        <f t="array" ref="I6">COUNTA(_xlfn.UNIQUE(_xlfn._xlws.FILTER(تفاصيل_الفرق[المدينة/المحافظة],(تفاصيل_الفرق[عدد الفرق]&gt;=1)*(تفاصيل_الفرق[مجموعة مكتملة]=1))))</f>
        <v/>
      </c>
      <c r="J6" s="5" t="inlineStr">
        <is>
          <t>عدد المدن الفريدة (بنفس الشرط)</t>
        </is>
      </c>
    </row>
    <row r="7" hidden="1">
      <c r="B7" s="2" t="inlineStr">
        <is>
          <t>تحت 12</t>
        </is>
      </c>
      <c r="C7" s="5" t="inlineStr">
        <is>
          <t>مجموعة طبرجل</t>
        </is>
      </c>
      <c r="D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" s="4">
        <f t="array" ref="E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" s="1">
        <f>MAX(0,الحد_الأدنى-ملخص_المجموعات[[#This Row],[مجموع الفرق]])</f>
        <v/>
      </c>
    </row>
    <row r="8">
      <c r="B8" s="2" t="inlineStr">
        <is>
          <t>تحت 14</t>
        </is>
      </c>
      <c r="C8" s="5" t="inlineStr">
        <is>
          <t>مجموعة طبرجل</t>
        </is>
      </c>
      <c r="D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" s="4">
        <f t="array" ref="E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" s="1">
        <f>MAX(0,الحد_الأدنى-ملخص_المجموعات[[#This Row],[مجموع الفرق]])</f>
        <v/>
      </c>
    </row>
    <row r="9" hidden="1" ht="16" customHeight="1">
      <c r="B9" s="2" t="inlineStr">
        <is>
          <t>تحت 7</t>
        </is>
      </c>
      <c r="C9" s="5" t="inlineStr">
        <is>
          <t>مجموعة شرورة</t>
        </is>
      </c>
      <c r="D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" s="4">
        <f t="array" ref="E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" s="1">
        <f>MAX(0,الحد_الأدنى-ملخص_المجموعات[[#This Row],[مجموع الفرق]])</f>
        <v/>
      </c>
      <c r="I9" s="93" t="inlineStr">
        <is>
          <t>مجموعات فيها 5 فرق بالضبط</t>
        </is>
      </c>
      <c r="J9" s="96" t="n"/>
      <c r="K9" s="97" t="n"/>
    </row>
    <row r="10" hidden="1">
      <c r="B10" s="2" t="inlineStr">
        <is>
          <t>تحت 9</t>
        </is>
      </c>
      <c r="C10" s="5" t="inlineStr">
        <is>
          <t>مجموعة شرورة</t>
        </is>
      </c>
      <c r="D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" s="4">
        <f t="array" ref="E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" s="1">
        <f>MAX(0,الحد_الأدنى-ملخص_المجموعات[[#This Row],[مجموع الفرق]])</f>
        <v/>
      </c>
      <c r="I10" s="81" t="inlineStr">
        <is>
          <t>الفئة</t>
        </is>
      </c>
      <c r="J10" s="81" t="inlineStr">
        <is>
          <t>المجموعة</t>
        </is>
      </c>
      <c r="K10" s="81" t="inlineStr">
        <is>
          <t>مجموع الفرق</t>
        </is>
      </c>
    </row>
    <row r="11" hidden="1">
      <c r="B11" s="2" t="inlineStr">
        <is>
          <t>تحت 9</t>
        </is>
      </c>
      <c r="C11" s="5" t="inlineStr">
        <is>
          <t>مجموعة الدوادمي</t>
        </is>
      </c>
      <c r="D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" s="4">
        <f t="array" ref="E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" s="1">
        <f>MAX(0,الحد_الأدنى-ملخص_المجموعات[[#This Row],[مجموع الفرق]])</f>
        <v/>
      </c>
      <c r="I11" s="2">
        <f t="array" ref="I11:I20">_xlfn._xlws.FILTER(ملخص_المجموعات[الفئة],ملخص_المجموعات[مجموع الفرق]=5,"لا يوجد")</f>
        <v/>
      </c>
      <c r="J11" s="2">
        <f t="array" ref="J11:J20">_xlfn._xlws.FILTER(ملخص_المجموعات[المجموعة],ملخص_المجموعات[مجموع الفرق]=5,"")</f>
        <v/>
      </c>
      <c r="K11" s="2">
        <f t="array" ref="K11:K20">_xlfn._xlws.FILTER(ملخص_المجموعات[مجموع الفرق],ملخص_المجموعات[مجموع الفرق]=5,"")</f>
        <v/>
      </c>
    </row>
    <row r="12" hidden="1">
      <c r="B12" s="2" t="inlineStr">
        <is>
          <t>تحت 11</t>
        </is>
      </c>
      <c r="C12" s="5" t="inlineStr">
        <is>
          <t>مجموعة القريات</t>
        </is>
      </c>
      <c r="D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" s="4">
        <f t="array" ref="E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" s="1">
        <f>MAX(0,الحد_الأدنى-ملخص_المجموعات[[#This Row],[مجموع الفرق]])</f>
        <v/>
      </c>
      <c r="I12" s="2" t="inlineStr">
        <is>
          <t>تحت 5</t>
        </is>
      </c>
      <c r="J12" s="2" t="inlineStr">
        <is>
          <t>مجموعة طبرجل</t>
        </is>
      </c>
      <c r="K12" s="2" t="n">
        <v>5</v>
      </c>
    </row>
    <row r="13" hidden="1">
      <c r="B13" s="2" t="inlineStr">
        <is>
          <t>تحت 12</t>
        </is>
      </c>
      <c r="C13" s="5" t="inlineStr">
        <is>
          <t>مجموعة القريات</t>
        </is>
      </c>
      <c r="D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" s="4">
        <f t="array" ref="E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" s="1">
        <f>MAX(0,الحد_الأدنى-ملخص_المجموعات[[#This Row],[مجموع الفرق]])</f>
        <v/>
      </c>
      <c r="I13" s="2" t="inlineStr">
        <is>
          <t>تحت 7</t>
        </is>
      </c>
      <c r="J13" s="2" t="inlineStr">
        <is>
          <t>مجموعة طبرجل</t>
        </is>
      </c>
      <c r="K13" s="2" t="n">
        <v>5</v>
      </c>
    </row>
    <row r="14" hidden="1">
      <c r="B14" s="2" t="inlineStr">
        <is>
          <t>تحت 13</t>
        </is>
      </c>
      <c r="C14" s="5" t="inlineStr">
        <is>
          <t>مجموعة القريات</t>
        </is>
      </c>
      <c r="D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" s="4">
        <f t="array" ref="E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" s="1">
        <f>MAX(0,الحد_الأدنى-ملخص_المجموعات[[#This Row],[مجموع الفرق]])</f>
        <v/>
      </c>
      <c r="I14" s="2" t="inlineStr">
        <is>
          <t>تحت 9</t>
        </is>
      </c>
      <c r="J14" s="2" t="inlineStr">
        <is>
          <t>مجموعة الخرج</t>
        </is>
      </c>
      <c r="K14" s="2" t="n">
        <v>5</v>
      </c>
    </row>
    <row r="15">
      <c r="B15" s="2" t="inlineStr">
        <is>
          <t>تحت 14</t>
        </is>
      </c>
      <c r="C15" s="5" t="inlineStr">
        <is>
          <t>مجموعة القريات</t>
        </is>
      </c>
      <c r="D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" s="4">
        <f t="array" ref="E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" s="1">
        <f>MAX(0,الحد_الأدنى-ملخص_المجموعات[[#This Row],[مجموع الفرق]])</f>
        <v/>
      </c>
      <c r="I15" s="2" t="inlineStr">
        <is>
          <t>تحت 12</t>
        </is>
      </c>
      <c r="J15" s="2" t="inlineStr">
        <is>
          <t>مجموعة طبرجل</t>
        </is>
      </c>
      <c r="K15" s="2" t="n">
        <v>5</v>
      </c>
    </row>
    <row r="16" hidden="1">
      <c r="B16" s="2" t="inlineStr">
        <is>
          <t>تحت 12</t>
        </is>
      </c>
      <c r="C16" s="5" t="inlineStr">
        <is>
          <t>مجموعة الباحة</t>
        </is>
      </c>
      <c r="D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" s="4">
        <f t="array" ref="E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" s="1">
        <f>MAX(0,الحد_الأدنى-ملخص_المجموعات[[#This Row],[مجموع الفرق]])</f>
        <v/>
      </c>
      <c r="I16" s="2" t="inlineStr">
        <is>
          <t>تحت 14</t>
        </is>
      </c>
      <c r="J16" s="2" t="inlineStr">
        <is>
          <t>مجموعة طبرجل</t>
        </is>
      </c>
      <c r="K16" s="2" t="n">
        <v>5</v>
      </c>
    </row>
    <row r="17" hidden="1">
      <c r="B17" s="2" t="inlineStr">
        <is>
          <t>تحت 13</t>
        </is>
      </c>
      <c r="C17" s="5" t="inlineStr">
        <is>
          <t>مجموعة نجران</t>
        </is>
      </c>
      <c r="D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" s="4">
        <f t="array" ref="E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" s="1">
        <f>MAX(0,الحد_الأدنى-ملخص_المجموعات[[#This Row],[مجموع الفرق]])</f>
        <v/>
      </c>
      <c r="I17" s="2" t="inlineStr">
        <is>
          <t>تحت 9</t>
        </is>
      </c>
      <c r="J17" s="2" t="inlineStr">
        <is>
          <t>مجموعة الدوادمي</t>
        </is>
      </c>
      <c r="K17" s="2" t="n">
        <v>5</v>
      </c>
    </row>
    <row r="18" hidden="1">
      <c r="B18" s="2" t="inlineStr">
        <is>
          <t>تحت 13</t>
        </is>
      </c>
      <c r="C18" s="5" t="inlineStr">
        <is>
          <t>مجموعة الباحة</t>
        </is>
      </c>
      <c r="D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8" s="4">
        <f t="array" ref="E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8" s="1">
        <f>MAX(0,الحد_الأدنى-ملخص_المجموعات[[#This Row],[مجموع الفرق]])</f>
        <v/>
      </c>
      <c r="I18" s="2" t="inlineStr">
        <is>
          <t>تحت 5</t>
        </is>
      </c>
      <c r="J18" s="2" t="inlineStr">
        <is>
          <t>مجموعة القريات</t>
        </is>
      </c>
      <c r="K18" s="2" t="n">
        <v>5</v>
      </c>
    </row>
    <row r="19">
      <c r="B19" s="2" t="inlineStr">
        <is>
          <t>تحت 14</t>
        </is>
      </c>
      <c r="C19" s="5" t="inlineStr">
        <is>
          <t>مجموعة الباحة</t>
        </is>
      </c>
      <c r="D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9" s="4">
        <f t="array" ref="E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9" s="1">
        <f>MAX(0,الحد_الأدنى-ملخص_المجموعات[[#This Row],[مجموع الفرق]])</f>
        <v/>
      </c>
      <c r="I19" s="2" t="inlineStr">
        <is>
          <t>تحت 5</t>
        </is>
      </c>
      <c r="J19" s="2" t="inlineStr">
        <is>
          <t>مجموعة شرورة</t>
        </is>
      </c>
      <c r="K19" s="2" t="n">
        <v>5</v>
      </c>
    </row>
    <row r="20" hidden="1">
      <c r="B20" s="2" t="inlineStr">
        <is>
          <t>تحت 5</t>
        </is>
      </c>
      <c r="C20" s="5" t="inlineStr">
        <is>
          <t>مجموعة حائل</t>
        </is>
      </c>
      <c r="D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20" s="4">
        <f t="array" ref="E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20" s="1">
        <f>MAX(0,الحد_الأدنى-ملخص_المجموعات[[#This Row],[مجموع الفرق]])</f>
        <v/>
      </c>
      <c r="I20" s="2" t="inlineStr">
        <is>
          <t>تحت 9</t>
        </is>
      </c>
      <c r="J20" s="2" t="inlineStr">
        <is>
          <t>مجموعة القريات</t>
        </is>
      </c>
      <c r="K20" s="2" t="n">
        <v>5</v>
      </c>
    </row>
    <row r="21" hidden="1">
      <c r="B21" s="2" t="inlineStr">
        <is>
          <t>تحت 5</t>
        </is>
      </c>
      <c r="C21" s="5" t="inlineStr">
        <is>
          <t>مجموعة القريات</t>
        </is>
      </c>
      <c r="D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21" s="4">
        <f t="array" ref="E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21" s="1">
        <f>MAX(0,الحد_الأدنى-ملخص_المجموعات[[#This Row],[مجموع الفرق]])</f>
        <v/>
      </c>
      <c r="I21" s="2" t="n"/>
      <c r="J21" s="2" t="n"/>
      <c r="K21" s="2" t="n"/>
    </row>
    <row r="22" hidden="1">
      <c r="B22" s="2" t="inlineStr">
        <is>
          <t>تحت 5</t>
        </is>
      </c>
      <c r="C22" s="5" t="inlineStr">
        <is>
          <t>مجموعة شرورة</t>
        </is>
      </c>
      <c r="D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22" s="4">
        <f t="array" ref="E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22" s="1">
        <f>MAX(0,الحد_الأدنى-ملخص_المجموعات[[#This Row],[مجموع الفرق]])</f>
        <v/>
      </c>
      <c r="I22" s="2" t="n"/>
      <c r="J22" s="2" t="n"/>
      <c r="K22" s="2" t="n"/>
    </row>
    <row r="23" hidden="1">
      <c r="B23" s="2" t="inlineStr">
        <is>
          <t>تحت 7</t>
        </is>
      </c>
      <c r="C23" s="5" t="inlineStr">
        <is>
          <t>مجموعة الباحة</t>
        </is>
      </c>
      <c r="D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23" s="4">
        <f t="array" ref="E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23" s="1">
        <f>MAX(0,الحد_الأدنى-ملخص_المجموعات[[#This Row],[مجموع الفرق]])</f>
        <v/>
      </c>
      <c r="I23" s="2" t="n"/>
      <c r="J23" s="2" t="n"/>
      <c r="K23" s="2" t="n"/>
    </row>
    <row r="24" hidden="1">
      <c r="B24" s="2" t="inlineStr">
        <is>
          <t>تحت 7</t>
        </is>
      </c>
      <c r="C24" s="5" t="inlineStr">
        <is>
          <t>مجموعة أبها</t>
        </is>
      </c>
      <c r="D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24" s="4">
        <f t="array" ref="E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24" s="1">
        <f>MAX(0,الحد_الأدنى-ملخص_المجموعات[[#This Row],[مجموع الفرق]])</f>
        <v/>
      </c>
      <c r="I24" s="2" t="n"/>
      <c r="J24" s="2" t="n"/>
      <c r="K24" s="2" t="n"/>
    </row>
    <row r="25" hidden="1">
      <c r="B25" s="2" t="inlineStr">
        <is>
          <t>تحت 9</t>
        </is>
      </c>
      <c r="C25" s="5" t="inlineStr">
        <is>
          <t>مجموعة القريات</t>
        </is>
      </c>
      <c r="D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25" s="4">
        <f t="array" ref="E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25" s="1">
        <f>MAX(0,الحد_الأدنى-ملخص_المجموعات[[#This Row],[مجموع الفرق]])</f>
        <v/>
      </c>
      <c r="I25" s="2" t="n"/>
      <c r="J25" s="2" t="n"/>
      <c r="K25" s="2" t="n"/>
    </row>
    <row r="26" hidden="1">
      <c r="B26" s="2" t="inlineStr">
        <is>
          <t>تحت 9</t>
        </is>
      </c>
      <c r="C26" s="5" t="inlineStr">
        <is>
          <t>مجموعة طبرجل</t>
        </is>
      </c>
      <c r="D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26" s="4">
        <f t="array" ref="E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26" s="1">
        <f>MAX(0,الحد_الأدنى-ملخص_المجموعات[[#This Row],[مجموع الفرق]])</f>
        <v/>
      </c>
      <c r="I26" s="2" t="n"/>
      <c r="J26" s="2" t="n"/>
      <c r="K26" s="2" t="n"/>
    </row>
    <row r="27" hidden="1">
      <c r="B27" s="2" t="inlineStr">
        <is>
          <t>تحت 13</t>
        </is>
      </c>
      <c r="C27" s="5" t="inlineStr">
        <is>
          <t>مجموعة الرس</t>
        </is>
      </c>
      <c r="D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27" s="4">
        <f t="array" ref="E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27" s="1">
        <f>MAX(0,الحد_الأدنى-ملخص_المجموعات[[#This Row],[مجموع الفرق]])</f>
        <v/>
      </c>
      <c r="I27" s="2" t="n"/>
      <c r="J27" s="2" t="n"/>
      <c r="K27" s="2" t="n"/>
    </row>
    <row r="28" hidden="1">
      <c r="B28" s="2" t="inlineStr">
        <is>
          <t>تحت 13</t>
        </is>
      </c>
      <c r="C28" s="5" t="inlineStr">
        <is>
          <t>مجموعة جازان</t>
        </is>
      </c>
      <c r="D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28" s="4">
        <f t="array" ref="E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28" s="1">
        <f>MAX(0,الحد_الأدنى-ملخص_المجموعات[[#This Row],[مجموع الفرق]])</f>
        <v/>
      </c>
      <c r="I28" s="2" t="n"/>
      <c r="J28" s="2" t="n"/>
      <c r="K28" s="2" t="n"/>
    </row>
    <row r="29">
      <c r="B29" s="2" t="inlineStr">
        <is>
          <t>تحت 14</t>
        </is>
      </c>
      <c r="C29" s="5" t="inlineStr">
        <is>
          <t>مجموعة حائل</t>
        </is>
      </c>
      <c r="D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29" s="4">
        <f t="array" ref="E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29" s="1">
        <f>MAX(0,الحد_الأدنى-ملخص_المجموعات[[#This Row],[مجموع الفرق]])</f>
        <v/>
      </c>
      <c r="I29" s="2" t="n"/>
      <c r="J29" s="2" t="n"/>
      <c r="K29" s="2" t="n"/>
    </row>
    <row r="30">
      <c r="B30" s="2" t="inlineStr">
        <is>
          <t>تحت 14</t>
        </is>
      </c>
      <c r="C30" s="5" t="inlineStr">
        <is>
          <t>مجموعة الخرج</t>
        </is>
      </c>
      <c r="D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0" s="4">
        <f t="array" ref="E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0" s="1">
        <f>MAX(0,الحد_الأدنى-ملخص_المجموعات[[#This Row],[مجموع الفرق]])</f>
        <v/>
      </c>
      <c r="I30" s="2" t="n"/>
      <c r="J30" s="2" t="n"/>
      <c r="K30" s="2" t="n"/>
    </row>
    <row r="31" hidden="1">
      <c r="B31" s="2" t="inlineStr">
        <is>
          <t>تحت 5</t>
        </is>
      </c>
      <c r="C31" s="5" t="inlineStr">
        <is>
          <t>مجموعة مركز الرفيعة</t>
        </is>
      </c>
      <c r="D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1" s="4">
        <f t="array" ref="E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1" s="1">
        <f>MAX(0,الحد_الأدنى-ملخص_المجموعات[[#This Row],[مجموع الفرق]])</f>
        <v/>
      </c>
      <c r="I31" s="2" t="n"/>
      <c r="J31" s="2" t="n"/>
      <c r="K31" s="2" t="n"/>
    </row>
    <row r="32" hidden="1">
      <c r="B32" s="2" t="inlineStr">
        <is>
          <t>تحت 5</t>
        </is>
      </c>
      <c r="C32" s="5" t="inlineStr">
        <is>
          <t>مجموعة القطيف</t>
        </is>
      </c>
      <c r="D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2" s="4">
        <f t="array" ref="E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2" s="1">
        <f>MAX(0,الحد_الأدنى-ملخص_المجموعات[[#This Row],[مجموع الفرق]])</f>
        <v/>
      </c>
      <c r="I32" s="2" t="n"/>
      <c r="J32" s="2" t="n"/>
      <c r="K32" s="2" t="n"/>
    </row>
    <row r="33" hidden="1">
      <c r="B33" s="2" t="inlineStr">
        <is>
          <t>تحت 7</t>
        </is>
      </c>
      <c r="C33" s="5" t="inlineStr">
        <is>
          <t>مجموعة حائل</t>
        </is>
      </c>
      <c r="D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3" s="4">
        <f t="array" ref="E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3" s="1">
        <f>MAX(0,الحد_الأدنى-ملخص_المجموعات[[#This Row],[مجموع الفرق]])</f>
        <v/>
      </c>
      <c r="I33" s="2" t="n"/>
      <c r="J33" s="2" t="n"/>
      <c r="K33" s="2" t="n"/>
    </row>
    <row r="34" hidden="1">
      <c r="B34" s="2" t="inlineStr">
        <is>
          <t>تحت 7</t>
        </is>
      </c>
      <c r="C34" s="5" t="inlineStr">
        <is>
          <t>مجموعة مركز الرفيعة</t>
        </is>
      </c>
      <c r="D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4" s="4">
        <f t="array" ref="E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4" s="1">
        <f>MAX(0,الحد_الأدنى-ملخص_المجموعات[[#This Row],[مجموع الفرق]])</f>
        <v/>
      </c>
      <c r="I34" s="2" t="n"/>
      <c r="J34" s="2" t="n"/>
      <c r="K34" s="2" t="n"/>
    </row>
    <row r="35" hidden="1">
      <c r="B35" s="2" t="inlineStr">
        <is>
          <t>تحت 7</t>
        </is>
      </c>
      <c r="C35" s="5" t="inlineStr">
        <is>
          <t>مجموعة القريات</t>
        </is>
      </c>
      <c r="D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5" s="4">
        <f t="array" ref="E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5" s="1">
        <f>MAX(0,الحد_الأدنى-ملخص_المجموعات[[#This Row],[مجموع الفرق]])</f>
        <v/>
      </c>
      <c r="I35" s="2" t="n"/>
      <c r="J35" s="2" t="n"/>
      <c r="K35" s="2" t="n"/>
    </row>
    <row r="36" hidden="1">
      <c r="B36" s="2" t="inlineStr">
        <is>
          <t>تحت 9</t>
        </is>
      </c>
      <c r="C36" s="5" t="inlineStr">
        <is>
          <t>مجموعة مركز الرفيعة</t>
        </is>
      </c>
      <c r="D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6" s="4">
        <f t="array" ref="E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6" s="1">
        <f>MAX(0,الحد_الأدنى-ملخص_المجموعات[[#This Row],[مجموع الفرق]])</f>
        <v/>
      </c>
    </row>
    <row r="37" hidden="1">
      <c r="B37" s="2" t="inlineStr">
        <is>
          <t>تحت 9</t>
        </is>
      </c>
      <c r="C37" s="5" t="inlineStr">
        <is>
          <t>مجموعة الباحة</t>
        </is>
      </c>
      <c r="D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7" s="4">
        <f t="array" ref="E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7" s="1">
        <f>MAX(0,الحد_الأدنى-ملخص_المجموعات[[#This Row],[مجموع الفرق]])</f>
        <v/>
      </c>
    </row>
    <row r="38" hidden="1">
      <c r="B38" s="2" t="inlineStr">
        <is>
          <t>تحت 11</t>
        </is>
      </c>
      <c r="C38" s="5" t="inlineStr">
        <is>
          <t>مجموعة أحد المسارحة</t>
        </is>
      </c>
      <c r="D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8" s="4">
        <f t="array" ref="E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8" s="1">
        <f>MAX(0,الحد_الأدنى-ملخص_المجموعات[[#This Row],[مجموع الفرق]])</f>
        <v/>
      </c>
    </row>
    <row r="39" hidden="1">
      <c r="B39" s="2" t="inlineStr">
        <is>
          <t>تحت 12</t>
        </is>
      </c>
      <c r="C39" s="5" t="inlineStr">
        <is>
          <t>مجموعة أملج</t>
        </is>
      </c>
      <c r="D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39" s="4">
        <f t="array" ref="E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39" s="1">
        <f>MAX(0,الحد_الأدنى-ملخص_المجموعات[[#This Row],[مجموع الفرق]])</f>
        <v/>
      </c>
    </row>
    <row r="40" hidden="1">
      <c r="B40" s="2" t="inlineStr">
        <is>
          <t>تحت 12</t>
        </is>
      </c>
      <c r="C40" s="5" t="inlineStr">
        <is>
          <t>مجموعة مركز الرفيعة</t>
        </is>
      </c>
      <c r="D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0" s="4">
        <f t="array" ref="E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0" s="1">
        <f>MAX(0,الحد_الأدنى-ملخص_المجموعات[[#This Row],[مجموع الفرق]])</f>
        <v/>
      </c>
    </row>
    <row r="41" hidden="1">
      <c r="B41" s="2" t="inlineStr">
        <is>
          <t>تحت 12</t>
        </is>
      </c>
      <c r="C41" s="5" t="inlineStr">
        <is>
          <t>مجموعة نجران</t>
        </is>
      </c>
      <c r="D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1" s="4">
        <f t="array" ref="E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1" s="1">
        <f>MAX(0,الحد_الأدنى-ملخص_المجموعات[[#This Row],[مجموع الفرق]])</f>
        <v/>
      </c>
    </row>
    <row r="42" hidden="1">
      <c r="B42" s="2" t="inlineStr">
        <is>
          <t>تحت 12</t>
        </is>
      </c>
      <c r="C42" s="5" t="inlineStr">
        <is>
          <t>مجموعة أحد المسارحة</t>
        </is>
      </c>
      <c r="D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2" s="4">
        <f t="array" ref="E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2" s="1">
        <f>MAX(0,الحد_الأدنى-ملخص_المجموعات[[#This Row],[مجموع الفرق]])</f>
        <v/>
      </c>
    </row>
    <row r="43" hidden="1">
      <c r="B43" s="2" t="inlineStr">
        <is>
          <t>تحت 13</t>
        </is>
      </c>
      <c r="C43" s="5" t="inlineStr">
        <is>
          <t>مجموعة تبوك</t>
        </is>
      </c>
      <c r="D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3" s="4">
        <f t="array" ref="E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3" s="1">
        <f>MAX(0,الحد_الأدنى-ملخص_المجموعات[[#This Row],[مجموع الفرق]])</f>
        <v/>
      </c>
    </row>
    <row r="44" hidden="1">
      <c r="B44" s="2" t="inlineStr">
        <is>
          <t>تحت 13</t>
        </is>
      </c>
      <c r="C44" s="5" t="inlineStr">
        <is>
          <t>مجموعة حائل</t>
        </is>
      </c>
      <c r="D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4" s="4">
        <f t="array" ref="E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4" s="1">
        <f>MAX(0,الحد_الأدنى-ملخص_المجموعات[[#This Row],[مجموع الفرق]])</f>
        <v/>
      </c>
    </row>
    <row r="45" hidden="1">
      <c r="B45" s="2" t="inlineStr">
        <is>
          <t>تحت 13</t>
        </is>
      </c>
      <c r="C45" s="5" t="inlineStr">
        <is>
          <t>مجموعة مركز الرفيعة</t>
        </is>
      </c>
      <c r="D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5" s="4">
        <f t="array" ref="E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5" s="1">
        <f>MAX(0,الحد_الأدنى-ملخص_المجموعات[[#This Row],[مجموع الفرق]])</f>
        <v/>
      </c>
    </row>
    <row r="46" hidden="1">
      <c r="B46" s="2" t="inlineStr">
        <is>
          <t>تحت 13</t>
        </is>
      </c>
      <c r="C46" s="5" t="inlineStr">
        <is>
          <t>مجموعة الخرج</t>
        </is>
      </c>
      <c r="D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6" s="4">
        <f t="array" ref="E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6" s="1">
        <f>MAX(0,الحد_الأدنى-ملخص_المجموعات[[#This Row],[مجموع الفرق]])</f>
        <v/>
      </c>
    </row>
    <row r="47" hidden="1">
      <c r="B47" s="2" t="inlineStr">
        <is>
          <t>تحت 13</t>
        </is>
      </c>
      <c r="C47" s="5" t="inlineStr">
        <is>
          <t>مجموعة سكاكا</t>
        </is>
      </c>
      <c r="D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7" s="4">
        <f t="array" ref="E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7" s="1">
        <f>MAX(0,الحد_الأدنى-ملخص_المجموعات[[#This Row],[مجموع الفرق]])</f>
        <v/>
      </c>
    </row>
    <row r="48" hidden="1">
      <c r="B48" s="2" t="inlineStr">
        <is>
          <t>تحت 13</t>
        </is>
      </c>
      <c r="C48" s="5" t="inlineStr">
        <is>
          <t>مجموعة أحد المسارحة</t>
        </is>
      </c>
      <c r="D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8" s="4">
        <f t="array" ref="E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8" s="1">
        <f>MAX(0,الحد_الأدنى-ملخص_المجموعات[[#This Row],[مجموع الفرق]])</f>
        <v/>
      </c>
    </row>
    <row r="49">
      <c r="B49" s="2" t="inlineStr">
        <is>
          <t>تحت 14</t>
        </is>
      </c>
      <c r="C49" s="5" t="inlineStr">
        <is>
          <t>مجموعة مركز الرفيعة</t>
        </is>
      </c>
      <c r="D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49" s="4">
        <f t="array" ref="E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49" s="1">
        <f>MAX(0,الحد_الأدنى-ملخص_المجموعات[[#This Row],[مجموع الفرق]])</f>
        <v/>
      </c>
    </row>
    <row r="50">
      <c r="B50" s="2" t="inlineStr">
        <is>
          <t>تحت 14</t>
        </is>
      </c>
      <c r="C50" s="5" t="inlineStr">
        <is>
          <t>مجموعة الرس</t>
        </is>
      </c>
      <c r="D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0" s="4">
        <f t="array" ref="E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0" s="1">
        <f>MAX(0,الحد_الأدنى-ملخص_المجموعات[[#This Row],[مجموع الفرق]])</f>
        <v/>
      </c>
    </row>
    <row r="51">
      <c r="B51" s="2" t="inlineStr">
        <is>
          <t>تحت 14</t>
        </is>
      </c>
      <c r="C51" s="5" t="inlineStr">
        <is>
          <t>مجموعة جازان</t>
        </is>
      </c>
      <c r="D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1" s="4">
        <f t="array" ref="E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1" s="1">
        <f>MAX(0,الحد_الأدنى-ملخص_المجموعات[[#This Row],[مجموع الفرق]])</f>
        <v/>
      </c>
    </row>
    <row r="52">
      <c r="B52" s="2" t="inlineStr">
        <is>
          <t>تحت 14</t>
        </is>
      </c>
      <c r="C52" s="5" t="inlineStr">
        <is>
          <t>مجموعة أحد المسارحة</t>
        </is>
      </c>
      <c r="D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2" s="4">
        <f t="array" ref="E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2" s="1">
        <f>MAX(0,الحد_الأدنى-ملخص_المجموعات[[#This Row],[مجموع الفرق]])</f>
        <v/>
      </c>
    </row>
    <row r="53" hidden="1">
      <c r="B53" s="2" t="inlineStr">
        <is>
          <t>تحت 5</t>
        </is>
      </c>
      <c r="C53" s="5" t="inlineStr">
        <is>
          <t>مجموعة الدمام</t>
        </is>
      </c>
      <c r="D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3" s="4">
        <f t="array" ref="E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3" s="1">
        <f>MAX(0,الحد_الأدنى-ملخص_المجموعات[[#This Row],[مجموع الفرق]])</f>
        <v/>
      </c>
    </row>
    <row r="54" hidden="1">
      <c r="B54" s="2" t="inlineStr">
        <is>
          <t>تحت 5</t>
        </is>
      </c>
      <c r="C54" s="5" t="inlineStr">
        <is>
          <t>مجموعة أحد المسارحة</t>
        </is>
      </c>
      <c r="D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4" s="4">
        <f t="array" ref="E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4" s="1">
        <f>MAX(0,الحد_الأدنى-ملخص_المجموعات[[#This Row],[مجموع الفرق]])</f>
        <v/>
      </c>
    </row>
    <row r="55" hidden="1">
      <c r="B55" s="2" t="inlineStr">
        <is>
          <t>تحت 5</t>
        </is>
      </c>
      <c r="C55" s="5" t="inlineStr">
        <is>
          <t>مجموعة صامطة</t>
        </is>
      </c>
      <c r="D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5" s="4">
        <f t="array" ref="E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5" s="1">
        <f>MAX(0,الحد_الأدنى-ملخص_المجموعات[[#This Row],[مجموع الفرق]])</f>
        <v/>
      </c>
    </row>
    <row r="56" hidden="1">
      <c r="B56" s="2" t="inlineStr">
        <is>
          <t>تحت 7</t>
        </is>
      </c>
      <c r="C56" s="5" t="inlineStr">
        <is>
          <t>مجموعة جازان</t>
        </is>
      </c>
      <c r="D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6" s="4">
        <f t="array" ref="E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6" s="1">
        <f>MAX(0,الحد_الأدنى-ملخص_المجموعات[[#This Row],[مجموع الفرق]])</f>
        <v/>
      </c>
    </row>
    <row r="57" hidden="1">
      <c r="B57" s="2" t="inlineStr">
        <is>
          <t>تحت 7</t>
        </is>
      </c>
      <c r="C57" s="5" t="inlineStr">
        <is>
          <t>مجموعة أحد المسارحة</t>
        </is>
      </c>
      <c r="D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7" s="4">
        <f t="array" ref="E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7" s="1">
        <f>MAX(0,الحد_الأدنى-ملخص_المجموعات[[#This Row],[مجموع الفرق]])</f>
        <v/>
      </c>
    </row>
    <row r="58" hidden="1">
      <c r="B58" s="2" t="inlineStr">
        <is>
          <t>تحت 9</t>
        </is>
      </c>
      <c r="C58" s="5" t="inlineStr">
        <is>
          <t>مجموعة الرس</t>
        </is>
      </c>
      <c r="D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8" s="4">
        <f t="array" ref="E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8" s="1">
        <f>MAX(0,الحد_الأدنى-ملخص_المجموعات[[#This Row],[مجموع الفرق]])</f>
        <v/>
      </c>
    </row>
    <row r="59" hidden="1">
      <c r="B59" s="2" t="inlineStr">
        <is>
          <t>تحت 9</t>
        </is>
      </c>
      <c r="C59" s="5" t="inlineStr">
        <is>
          <t>مجموعة القنفذة</t>
        </is>
      </c>
      <c r="D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59" s="4">
        <f t="array" ref="E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59" s="1">
        <f>MAX(0,الحد_الأدنى-ملخص_المجموعات[[#This Row],[مجموع الفرق]])</f>
        <v/>
      </c>
    </row>
    <row r="60" hidden="1">
      <c r="B60" s="2" t="inlineStr">
        <is>
          <t>تحت 9</t>
        </is>
      </c>
      <c r="C60" s="5" t="inlineStr">
        <is>
          <t>مجموعة أحد المسارحة</t>
        </is>
      </c>
      <c r="D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0" s="4">
        <f t="array" ref="E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0" s="1">
        <f>MAX(0,الحد_الأدنى-ملخص_المجموعات[[#This Row],[مجموع الفرق]])</f>
        <v/>
      </c>
    </row>
    <row r="61" hidden="1">
      <c r="B61" s="2" t="inlineStr">
        <is>
          <t>تحت 11</t>
        </is>
      </c>
      <c r="C61" s="5" t="inlineStr">
        <is>
          <t>مجموعة تبوك</t>
        </is>
      </c>
      <c r="D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1" s="4">
        <f t="array" ref="E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1" s="1">
        <f>MAX(0,الحد_الأدنى-ملخص_المجموعات[[#This Row],[مجموع الفرق]])</f>
        <v/>
      </c>
    </row>
    <row r="62" hidden="1">
      <c r="B62" s="2" t="inlineStr">
        <is>
          <t>تحت 11</t>
        </is>
      </c>
      <c r="C62" s="5" t="inlineStr">
        <is>
          <t>مجموعة مركز الرفيعة</t>
        </is>
      </c>
      <c r="D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2" s="4">
        <f t="array" ref="E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2" s="1">
        <f>MAX(0,الحد_الأدنى-ملخص_المجموعات[[#This Row],[مجموع الفرق]])</f>
        <v/>
      </c>
    </row>
    <row r="63" hidden="1">
      <c r="B63" s="2" t="inlineStr">
        <is>
          <t>تحت 12</t>
        </is>
      </c>
      <c r="C63" s="5" t="inlineStr">
        <is>
          <t>مجموعة تبوك</t>
        </is>
      </c>
      <c r="D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3" s="4">
        <f t="array" ref="E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3" s="1">
        <f>MAX(0,الحد_الأدنى-ملخص_المجموعات[[#This Row],[مجموع الفرق]])</f>
        <v/>
      </c>
    </row>
    <row r="64" hidden="1">
      <c r="B64" s="2" t="inlineStr">
        <is>
          <t>تحت 12</t>
        </is>
      </c>
      <c r="C64" s="5" t="inlineStr">
        <is>
          <t>مجموعة سكاكا</t>
        </is>
      </c>
      <c r="D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4" s="4">
        <f t="array" ref="E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4" s="1">
        <f>MAX(0,الحد_الأدنى-ملخص_المجموعات[[#This Row],[مجموع الفرق]])</f>
        <v/>
      </c>
    </row>
    <row r="65">
      <c r="B65" s="2" t="inlineStr">
        <is>
          <t>تحت 14</t>
        </is>
      </c>
      <c r="C65" s="5" t="inlineStr">
        <is>
          <t>مجموعة تبوك</t>
        </is>
      </c>
      <c r="D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5" s="4">
        <f t="array" ref="E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5" s="1">
        <f>MAX(0,الحد_الأدنى-ملخص_المجموعات[[#This Row],[مجموع الفرق]])</f>
        <v/>
      </c>
    </row>
    <row r="66" hidden="1">
      <c r="B66" s="2" t="inlineStr">
        <is>
          <t>تحت 5</t>
        </is>
      </c>
      <c r="C66" s="5" t="inlineStr">
        <is>
          <t>مجموعة المدينة المنورة</t>
        </is>
      </c>
      <c r="D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6" s="4">
        <f t="array" ref="E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6" s="1">
        <f>MAX(0,الحد_الأدنى-ملخص_المجموعات[[#This Row],[مجموع الفرق]])</f>
        <v/>
      </c>
    </row>
    <row r="67" hidden="1">
      <c r="B67" s="2" t="inlineStr">
        <is>
          <t>تحت 5</t>
        </is>
      </c>
      <c r="C67" s="5" t="inlineStr">
        <is>
          <t>مجموعة جازان</t>
        </is>
      </c>
      <c r="D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7" s="4">
        <f t="array" ref="E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7" s="1">
        <f>MAX(0,الحد_الأدنى-ملخص_المجموعات[[#This Row],[مجموع الفرق]])</f>
        <v/>
      </c>
    </row>
    <row r="68" hidden="1">
      <c r="B68" s="2" t="inlineStr">
        <is>
          <t>تحت 5</t>
        </is>
      </c>
      <c r="C68" s="5" t="inlineStr">
        <is>
          <t>مجموعة أبو عريش</t>
        </is>
      </c>
      <c r="D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8" s="4">
        <f t="array" ref="E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8" s="1">
        <f>MAX(0,الحد_الأدنى-ملخص_المجموعات[[#This Row],[مجموع الفرق]])</f>
        <v/>
      </c>
    </row>
    <row r="69" hidden="1">
      <c r="B69" s="2" t="inlineStr">
        <is>
          <t>تحت 7</t>
        </is>
      </c>
      <c r="C69" s="5" t="inlineStr">
        <is>
          <t>مجموعة القصيم</t>
        </is>
      </c>
      <c r="D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69" s="4">
        <f t="array" ref="E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69" s="1">
        <f>MAX(0,الحد_الأدنى-ملخص_المجموعات[[#This Row],[مجموع الفرق]])</f>
        <v/>
      </c>
    </row>
    <row r="70" hidden="1">
      <c r="B70" s="2" t="inlineStr">
        <is>
          <t>تحت 7</t>
        </is>
      </c>
      <c r="C70" s="5" t="inlineStr">
        <is>
          <t>مجموعة صامطة</t>
        </is>
      </c>
      <c r="D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0" s="4">
        <f t="array" ref="E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0" s="1">
        <f>MAX(0,الحد_الأدنى-ملخص_المجموعات[[#This Row],[مجموع الفرق]])</f>
        <v/>
      </c>
    </row>
    <row r="71" hidden="1">
      <c r="B71" s="2" t="inlineStr">
        <is>
          <t>تحت 9</t>
        </is>
      </c>
      <c r="C71" s="5" t="inlineStr">
        <is>
          <t>مجموعة صامطة</t>
        </is>
      </c>
      <c r="D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1" s="4">
        <f t="array" ref="E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1" s="1">
        <f>MAX(0,الحد_الأدنى-ملخص_المجموعات[[#This Row],[مجموع الفرق]])</f>
        <v/>
      </c>
    </row>
    <row r="72" hidden="1">
      <c r="B72" s="2" t="inlineStr">
        <is>
          <t>تحت 11</t>
        </is>
      </c>
      <c r="C72" s="5" t="inlineStr">
        <is>
          <t>مجموعة سكاكا</t>
        </is>
      </c>
      <c r="D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2" s="4">
        <f t="array" ref="E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2" s="1">
        <f>MAX(0,الحد_الأدنى-ملخص_المجموعات[[#This Row],[مجموع الفرق]])</f>
        <v/>
      </c>
    </row>
    <row r="73" hidden="1">
      <c r="B73" s="2" t="inlineStr">
        <is>
          <t>تحت 11</t>
        </is>
      </c>
      <c r="C73" s="5" t="inlineStr">
        <is>
          <t>مجموعة الخرج</t>
        </is>
      </c>
      <c r="D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3" s="4">
        <f t="array" ref="E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3" s="1">
        <f>MAX(0,الحد_الأدنى-ملخص_المجموعات[[#This Row],[مجموع الفرق]])</f>
        <v/>
      </c>
    </row>
    <row r="74" hidden="1">
      <c r="B74" s="2" t="inlineStr">
        <is>
          <t>تحت 11</t>
        </is>
      </c>
      <c r="C74" s="5" t="inlineStr">
        <is>
          <t>مجموعة أبها</t>
        </is>
      </c>
      <c r="D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4" s="4">
        <f t="array" ref="E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4" s="1">
        <f>MAX(0,الحد_الأدنى-ملخص_المجموعات[[#This Row],[مجموع الفرق]])</f>
        <v/>
      </c>
    </row>
    <row r="75" hidden="1">
      <c r="B75" s="2" t="inlineStr">
        <is>
          <t>تحت 11</t>
        </is>
      </c>
      <c r="C75" s="5" t="inlineStr">
        <is>
          <t>مجموعة جازان</t>
        </is>
      </c>
      <c r="D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5" s="4">
        <f t="array" ref="E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5" s="1">
        <f>MAX(0,الحد_الأدنى-ملخص_المجموعات[[#This Row],[مجموع الفرق]])</f>
        <v/>
      </c>
    </row>
    <row r="76" hidden="1">
      <c r="B76" s="2" t="inlineStr">
        <is>
          <t>تحت 11</t>
        </is>
      </c>
      <c r="C76" s="5" t="inlineStr">
        <is>
          <t>مجموعة أبو عريش</t>
        </is>
      </c>
      <c r="D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6" s="4">
        <f t="array" ref="E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6" s="1">
        <f>MAX(0,الحد_الأدنى-ملخص_المجموعات[[#This Row],[مجموع الفرق]])</f>
        <v/>
      </c>
    </row>
    <row r="77" hidden="1">
      <c r="B77" s="2" t="inlineStr">
        <is>
          <t>تحت 11</t>
        </is>
      </c>
      <c r="C77" s="5" t="inlineStr">
        <is>
          <t>مجموعة صامطة</t>
        </is>
      </c>
      <c r="D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7" s="4">
        <f t="array" ref="E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7" s="1">
        <f>MAX(0,الحد_الأدنى-ملخص_المجموعات[[#This Row],[مجموع الفرق]])</f>
        <v/>
      </c>
    </row>
    <row r="78" hidden="1">
      <c r="B78" s="2" t="inlineStr">
        <is>
          <t>تحت 12</t>
        </is>
      </c>
      <c r="C78" s="5" t="inlineStr">
        <is>
          <t>مجموعة أبو عريش</t>
        </is>
      </c>
      <c r="D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8" s="4">
        <f t="array" ref="E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8" s="1">
        <f>MAX(0,الحد_الأدنى-ملخص_المجموعات[[#This Row],[مجموع الفرق]])</f>
        <v/>
      </c>
    </row>
    <row r="79" hidden="1">
      <c r="B79" s="2" t="inlineStr">
        <is>
          <t>تحت 12</t>
        </is>
      </c>
      <c r="C79" s="5" t="inlineStr">
        <is>
          <t>مجموعة صامطة</t>
        </is>
      </c>
      <c r="D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79" s="4">
        <f t="array" ref="E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79" s="1">
        <f>MAX(0,الحد_الأدنى-ملخص_المجموعات[[#This Row],[مجموع الفرق]])</f>
        <v/>
      </c>
    </row>
    <row r="80" hidden="1">
      <c r="B80" s="2" t="inlineStr">
        <is>
          <t>تحت 13</t>
        </is>
      </c>
      <c r="C80" s="5" t="inlineStr">
        <is>
          <t>مجموعة أبها</t>
        </is>
      </c>
      <c r="D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0" s="4">
        <f t="array" ref="E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0" s="1">
        <f>MAX(0,الحد_الأدنى-ملخص_المجموعات[[#This Row],[مجموع الفرق]])</f>
        <v/>
      </c>
    </row>
    <row r="81" hidden="1">
      <c r="B81" s="2" t="inlineStr">
        <is>
          <t>تحت 13</t>
        </is>
      </c>
      <c r="C81" s="5" t="inlineStr">
        <is>
          <t>مجموعة القصيم</t>
        </is>
      </c>
      <c r="D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1" s="4">
        <f t="array" ref="E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1" s="1">
        <f>MAX(0,الحد_الأدنى-ملخص_المجموعات[[#This Row],[مجموع الفرق]])</f>
        <v/>
      </c>
    </row>
    <row r="82" hidden="1">
      <c r="B82" s="2" t="inlineStr">
        <is>
          <t>تحت 13</t>
        </is>
      </c>
      <c r="C82" s="5" t="inlineStr">
        <is>
          <t>مجموعة القطيف</t>
        </is>
      </c>
      <c r="D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2" s="4">
        <f t="array" ref="E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2" s="1">
        <f>MAX(0,الحد_الأدنى-ملخص_المجموعات[[#This Row],[مجموع الفرق]])</f>
        <v/>
      </c>
    </row>
    <row r="83" hidden="1">
      <c r="B83" s="2" t="inlineStr">
        <is>
          <t>تحت 13</t>
        </is>
      </c>
      <c r="C83" s="5" t="inlineStr">
        <is>
          <t>مجموعة أبو عريش</t>
        </is>
      </c>
      <c r="D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3" s="4">
        <f t="array" ref="E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3" s="1">
        <f>MAX(0,الحد_الأدنى-ملخص_المجموعات[[#This Row],[مجموع الفرق]])</f>
        <v/>
      </c>
    </row>
    <row r="84" hidden="1">
      <c r="B84" s="2" t="inlineStr">
        <is>
          <t>تحت 13</t>
        </is>
      </c>
      <c r="C84" s="5" t="inlineStr">
        <is>
          <t>مجموعة صامطة</t>
        </is>
      </c>
      <c r="D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4" s="4">
        <f t="array" ref="E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4" s="1">
        <f>MAX(0,الحد_الأدنى-ملخص_المجموعات[[#This Row],[مجموع الفرق]])</f>
        <v/>
      </c>
    </row>
    <row r="85">
      <c r="B85" s="2" t="inlineStr">
        <is>
          <t>تحت 14</t>
        </is>
      </c>
      <c r="C85" s="5" t="inlineStr">
        <is>
          <t>مجموعة القطيف</t>
        </is>
      </c>
      <c r="D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5" s="4">
        <f t="array" ref="E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5" s="1">
        <f>MAX(0,الحد_الأدنى-ملخص_المجموعات[[#This Row],[مجموع الفرق]])</f>
        <v/>
      </c>
    </row>
    <row r="86">
      <c r="B86" s="2" t="inlineStr">
        <is>
          <t>تحت 14</t>
        </is>
      </c>
      <c r="C86" s="5" t="inlineStr">
        <is>
          <t>مجموعة صامطة</t>
        </is>
      </c>
      <c r="D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6" s="4">
        <f t="array" ref="E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6" s="1">
        <f>MAX(0,الحد_الأدنى-ملخص_المجموعات[[#This Row],[مجموع الفرق]])</f>
        <v/>
      </c>
    </row>
    <row r="87">
      <c r="B87" s="2" t="inlineStr">
        <is>
          <t>تحت 14</t>
        </is>
      </c>
      <c r="C87" s="5" t="inlineStr">
        <is>
          <t>مجموعة أبو عريش</t>
        </is>
      </c>
      <c r="D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7" s="4">
        <f t="array" ref="E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7" s="1">
        <f>MAX(0,الحد_الأدنى-ملخص_المجموعات[[#This Row],[مجموع الفرق]])</f>
        <v/>
      </c>
    </row>
    <row r="88" hidden="1">
      <c r="B88" s="2" t="inlineStr">
        <is>
          <t>تحت 7</t>
        </is>
      </c>
      <c r="C88" s="5" t="inlineStr">
        <is>
          <t>مجموعة القطيف</t>
        </is>
      </c>
      <c r="D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8" s="4">
        <f t="array" ref="E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8" s="1">
        <f>MAX(0,الحد_الأدنى-ملخص_المجموعات[[#This Row],[مجموع الفرق]])</f>
        <v/>
      </c>
    </row>
    <row r="89" hidden="1">
      <c r="B89" s="2" t="inlineStr">
        <is>
          <t>تحت 7</t>
        </is>
      </c>
      <c r="C89" s="5" t="inlineStr">
        <is>
          <t>مجموعة أبو عريش</t>
        </is>
      </c>
      <c r="D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89" s="4">
        <f t="array" ref="E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89" s="1">
        <f>MAX(0,الحد_الأدنى-ملخص_المجموعات[[#This Row],[مجموع الفرق]])</f>
        <v/>
      </c>
    </row>
    <row r="90" hidden="1">
      <c r="B90" s="2" t="inlineStr">
        <is>
          <t>تحت 9</t>
        </is>
      </c>
      <c r="C90" s="5" t="inlineStr">
        <is>
          <t>مجموعة أبو عريش</t>
        </is>
      </c>
      <c r="D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0" s="4">
        <f t="array" ref="E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0" s="1">
        <f>MAX(0,الحد_الأدنى-ملخص_المجموعات[[#This Row],[مجموع الفرق]])</f>
        <v/>
      </c>
    </row>
    <row r="91" hidden="1">
      <c r="B91" s="2" t="inlineStr">
        <is>
          <t>تحت 11</t>
        </is>
      </c>
      <c r="C91" s="5" t="inlineStr">
        <is>
          <t>مجموعة الرس</t>
        </is>
      </c>
      <c r="D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1" s="4">
        <f t="array" ref="E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1" s="1">
        <f>MAX(0,الحد_الأدنى-ملخص_المجموعات[[#This Row],[مجموع الفرق]])</f>
        <v/>
      </c>
    </row>
    <row r="92" hidden="1">
      <c r="B92" s="2" t="inlineStr">
        <is>
          <t>تحت 11</t>
        </is>
      </c>
      <c r="C92" s="5" t="inlineStr">
        <is>
          <t>مجموعة الخبر</t>
        </is>
      </c>
      <c r="D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2" s="4">
        <f t="array" ref="E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2" s="1">
        <f>MAX(0,الحد_الأدنى-ملخص_المجموعات[[#This Row],[مجموع الفرق]])</f>
        <v/>
      </c>
    </row>
    <row r="93" hidden="1">
      <c r="B93" s="2" t="inlineStr">
        <is>
          <t>تحت 12</t>
        </is>
      </c>
      <c r="C93" s="5" t="inlineStr">
        <is>
          <t>مجموعة الرس</t>
        </is>
      </c>
      <c r="D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3" s="4">
        <f t="array" ref="E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3" s="1">
        <f>MAX(0,الحد_الأدنى-ملخص_المجموعات[[#This Row],[مجموع الفرق]])</f>
        <v/>
      </c>
    </row>
    <row r="94" hidden="1">
      <c r="B94" s="2" t="inlineStr">
        <is>
          <t>تحت 12</t>
        </is>
      </c>
      <c r="C94" s="5" t="inlineStr">
        <is>
          <t>مجموعة جازان</t>
        </is>
      </c>
      <c r="D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4" s="4">
        <f t="array" ref="E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4" s="1">
        <f>MAX(0,الحد_الأدنى-ملخص_المجموعات[[#This Row],[مجموع الفرق]])</f>
        <v/>
      </c>
    </row>
    <row r="95">
      <c r="B95" s="2" t="inlineStr">
        <is>
          <t>تحت 14</t>
        </is>
      </c>
      <c r="C95" s="5" t="inlineStr">
        <is>
          <t>مجموعة سكاكا</t>
        </is>
      </c>
      <c r="D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5" s="4">
        <f t="array" ref="E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5" s="1">
        <f>MAX(0,الحد_الأدنى-ملخص_المجموعات[[#This Row],[مجموع الفرق]])</f>
        <v/>
      </c>
    </row>
    <row r="96">
      <c r="B96" s="2" t="inlineStr">
        <is>
          <t>تحت 14</t>
        </is>
      </c>
      <c r="C96" s="5" t="inlineStr">
        <is>
          <t>مجموعة القنفذة</t>
        </is>
      </c>
      <c r="D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6" s="4">
        <f t="array" ref="E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6" s="1">
        <f>MAX(0,الحد_الأدنى-ملخص_المجموعات[[#This Row],[مجموع الفرق]])</f>
        <v/>
      </c>
    </row>
    <row r="97" hidden="1">
      <c r="B97" s="2" t="inlineStr">
        <is>
          <t>تحت 5</t>
        </is>
      </c>
      <c r="C97" s="5" t="inlineStr">
        <is>
          <t>مجموعة الطائف</t>
        </is>
      </c>
      <c r="D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7" s="4">
        <f t="array" ref="E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7" s="1">
        <f>MAX(0,الحد_الأدنى-ملخص_المجموعات[[#This Row],[مجموع الفرق]])</f>
        <v/>
      </c>
    </row>
    <row r="98" hidden="1">
      <c r="B98" s="2" t="inlineStr">
        <is>
          <t>تحت 9</t>
        </is>
      </c>
      <c r="C98" s="5" t="inlineStr">
        <is>
          <t>مجموعة أبها</t>
        </is>
      </c>
      <c r="D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8" s="4">
        <f t="array" ref="E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8" s="1">
        <f>MAX(0,الحد_الأدنى-ملخص_المجموعات[[#This Row],[مجموع الفرق]])</f>
        <v/>
      </c>
    </row>
    <row r="99" hidden="1">
      <c r="B99" s="2" t="inlineStr">
        <is>
          <t>تحت 9</t>
        </is>
      </c>
      <c r="C99" s="5" t="inlineStr">
        <is>
          <t>مجموعة جازان</t>
        </is>
      </c>
      <c r="D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99" s="4">
        <f t="array" ref="E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99" s="1">
        <f>MAX(0,الحد_الأدنى-ملخص_المجموعات[[#This Row],[مجموع الفرق]])</f>
        <v/>
      </c>
    </row>
    <row r="100" hidden="1">
      <c r="B100" s="2" t="inlineStr">
        <is>
          <t>تحت 12</t>
        </is>
      </c>
      <c r="C100" s="5" t="inlineStr">
        <is>
          <t>مجموعة حائل</t>
        </is>
      </c>
      <c r="D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0" s="4">
        <f t="array" ref="E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0" s="1">
        <f>MAX(0,الحد_الأدنى-ملخص_المجموعات[[#This Row],[مجموع الفرق]])</f>
        <v/>
      </c>
    </row>
    <row r="101" hidden="1">
      <c r="B101" s="2" t="inlineStr">
        <is>
          <t>تحت 12</t>
        </is>
      </c>
      <c r="C101" s="5" t="inlineStr">
        <is>
          <t>مجموعة القنفذة</t>
        </is>
      </c>
      <c r="D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1" s="4">
        <f t="array" ref="E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1" s="1">
        <f>MAX(0,الحد_الأدنى-ملخص_المجموعات[[#This Row],[مجموع الفرق]])</f>
        <v/>
      </c>
    </row>
    <row r="102" hidden="1">
      <c r="B102" s="2" t="inlineStr">
        <is>
          <t>تحت 12</t>
        </is>
      </c>
      <c r="C102" s="5" t="inlineStr">
        <is>
          <t>مجموعة الخبر</t>
        </is>
      </c>
      <c r="D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2" s="4">
        <f t="array" ref="E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2" s="1">
        <f>MAX(0,الحد_الأدنى-ملخص_المجموعات[[#This Row],[مجموع الفرق]])</f>
        <v/>
      </c>
    </row>
    <row r="103">
      <c r="B103" s="2" t="inlineStr">
        <is>
          <t>تحت 14</t>
        </is>
      </c>
      <c r="C103" s="5" t="inlineStr">
        <is>
          <t>مجموعة القصيم</t>
        </is>
      </c>
      <c r="D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3" s="4">
        <f t="array" ref="E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3" s="1">
        <f>MAX(0,الحد_الأدنى-ملخص_المجموعات[[#This Row],[مجموع الفرق]])</f>
        <v/>
      </c>
    </row>
    <row r="104">
      <c r="B104" s="2" t="inlineStr">
        <is>
          <t>تحت 14</t>
        </is>
      </c>
      <c r="C104" s="5" t="inlineStr">
        <is>
          <t>مجموعة الدمام</t>
        </is>
      </c>
      <c r="D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4" s="4">
        <f t="array" ref="E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4" s="1">
        <f>MAX(0,الحد_الأدنى-ملخص_المجموعات[[#This Row],[مجموع الفرق]])</f>
        <v/>
      </c>
    </row>
    <row r="105" hidden="1">
      <c r="B105" s="2" t="inlineStr">
        <is>
          <t>تحت 5</t>
        </is>
      </c>
      <c r="C105" s="5" t="inlineStr">
        <is>
          <t>مجموعة الخفجي</t>
        </is>
      </c>
      <c r="D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5" s="4">
        <f t="array" ref="E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5" s="1">
        <f>MAX(0,الحد_الأدنى-ملخص_المجموعات[[#This Row],[مجموع الفرق]])</f>
        <v/>
      </c>
    </row>
    <row r="106" hidden="1">
      <c r="B106" s="2" t="inlineStr">
        <is>
          <t>تحت 5</t>
        </is>
      </c>
      <c r="C106" s="5" t="inlineStr">
        <is>
          <t>مجموعة سكاكا</t>
        </is>
      </c>
      <c r="D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6" s="4">
        <f t="array" ref="E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6" s="1">
        <f>MAX(0,الحد_الأدنى-ملخص_المجموعات[[#This Row],[مجموع الفرق]])</f>
        <v/>
      </c>
    </row>
    <row r="107" hidden="1">
      <c r="B107" s="2" t="inlineStr">
        <is>
          <t>تحت 7</t>
        </is>
      </c>
      <c r="C107" s="5" t="inlineStr">
        <is>
          <t>مجموعة سكاكا</t>
        </is>
      </c>
      <c r="D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7" s="4">
        <f t="array" ref="E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7" s="1">
        <f>MAX(0,الحد_الأدنى-ملخص_المجموعات[[#This Row],[مجموع الفرق]])</f>
        <v/>
      </c>
    </row>
    <row r="108" hidden="1">
      <c r="B108" s="2" t="inlineStr">
        <is>
          <t>تحت 9</t>
        </is>
      </c>
      <c r="C108" s="5" t="inlineStr">
        <is>
          <t>مجموعة حائل</t>
        </is>
      </c>
      <c r="D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8" s="4">
        <f t="array" ref="E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8" s="1">
        <f>MAX(0,الحد_الأدنى-ملخص_المجموعات[[#This Row],[مجموع الفرق]])</f>
        <v/>
      </c>
    </row>
    <row r="109" hidden="1">
      <c r="B109" s="2" t="inlineStr">
        <is>
          <t>تحت 11</t>
        </is>
      </c>
      <c r="C109" s="5" t="inlineStr">
        <is>
          <t>مجموعة حائل</t>
        </is>
      </c>
      <c r="D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09" s="4">
        <f t="array" ref="E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09" s="1">
        <f>MAX(0,الحد_الأدنى-ملخص_المجموعات[[#This Row],[مجموع الفرق]])</f>
        <v/>
      </c>
    </row>
    <row r="110" hidden="1">
      <c r="B110" s="2" t="inlineStr">
        <is>
          <t>تحت 13</t>
        </is>
      </c>
      <c r="C110" s="5" t="inlineStr">
        <is>
          <t>مجموعة القنفذة</t>
        </is>
      </c>
      <c r="D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0" s="4">
        <f t="array" ref="E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0" s="1">
        <f>MAX(0,الحد_الأدنى-ملخص_المجموعات[[#This Row],[مجموع الفرق]])</f>
        <v/>
      </c>
    </row>
    <row r="111" hidden="1">
      <c r="B111" s="2" t="inlineStr">
        <is>
          <t>تحت 13</t>
        </is>
      </c>
      <c r="C111" s="5" t="inlineStr">
        <is>
          <t>مجموعة المدينة المنورة</t>
        </is>
      </c>
      <c r="D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1" s="4">
        <f t="array" ref="E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1" s="1">
        <f>MAX(0,الحد_الأدنى-ملخص_المجموعات[[#This Row],[مجموع الفرق]])</f>
        <v/>
      </c>
    </row>
    <row r="112" hidden="1">
      <c r="B112" s="2" t="inlineStr">
        <is>
          <t>تحت 5</t>
        </is>
      </c>
      <c r="C112" s="5" t="inlineStr">
        <is>
          <t>مجموعة الأحساء</t>
        </is>
      </c>
      <c r="D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2" s="4">
        <f t="array" ref="E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2" s="1">
        <f>MAX(0,الحد_الأدنى-ملخص_المجموعات[[#This Row],[مجموع الفرق]])</f>
        <v/>
      </c>
    </row>
    <row r="113" hidden="1">
      <c r="B113" s="2" t="inlineStr">
        <is>
          <t>تحت 5</t>
        </is>
      </c>
      <c r="C113" s="5" t="inlineStr">
        <is>
          <t>مجموعة صبيا</t>
        </is>
      </c>
      <c r="D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3" s="4">
        <f t="array" ref="E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3" s="1">
        <f>MAX(0,الحد_الأدنى-ملخص_المجموعات[[#This Row],[مجموع الفرق]])</f>
        <v/>
      </c>
    </row>
    <row r="114" hidden="1">
      <c r="B114" s="2" t="inlineStr">
        <is>
          <t>تحت 7</t>
        </is>
      </c>
      <c r="C114" s="5" t="inlineStr">
        <is>
          <t>مجموعة الخفجي</t>
        </is>
      </c>
      <c r="D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4" s="4">
        <f t="array" ref="E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4" s="1">
        <f>MAX(0,الحد_الأدنى-ملخص_المجموعات[[#This Row],[مجموع الفرق]])</f>
        <v/>
      </c>
    </row>
    <row r="115" hidden="1">
      <c r="B115" s="2" t="inlineStr">
        <is>
          <t>تحت 7</t>
        </is>
      </c>
      <c r="C115" s="5" t="inlineStr">
        <is>
          <t>مجموعة الطائف</t>
        </is>
      </c>
      <c r="D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5" s="4">
        <f t="array" ref="E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5" s="1">
        <f>MAX(0,الحد_الأدنى-ملخص_المجموعات[[#This Row],[مجموع الفرق]])</f>
        <v/>
      </c>
    </row>
    <row r="116" hidden="1">
      <c r="B116" s="2" t="inlineStr">
        <is>
          <t>تحت 11</t>
        </is>
      </c>
      <c r="C116" s="5" t="inlineStr">
        <is>
          <t>مجموعة الدمام</t>
        </is>
      </c>
      <c r="D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6" s="4">
        <f t="array" ref="E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6" s="1">
        <f>MAX(0,الحد_الأدنى-ملخص_المجموعات[[#This Row],[مجموع الفرق]])</f>
        <v/>
      </c>
    </row>
    <row r="117" hidden="1">
      <c r="B117" s="2" t="inlineStr">
        <is>
          <t>تحت 11</t>
        </is>
      </c>
      <c r="C117" s="5" t="inlineStr">
        <is>
          <t>مجموعة القنفذة</t>
        </is>
      </c>
      <c r="D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7" s="4">
        <f t="array" ref="E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7" s="1">
        <f>MAX(0,الحد_الأدنى-ملخص_المجموعات[[#This Row],[مجموع الفرق]])</f>
        <v/>
      </c>
    </row>
    <row r="118" hidden="1">
      <c r="B118" s="2" t="inlineStr">
        <is>
          <t>تحت 12</t>
        </is>
      </c>
      <c r="C118" s="5" t="inlineStr">
        <is>
          <t>مجموعة الدمام</t>
        </is>
      </c>
      <c r="D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8" s="4">
        <f t="array" ref="E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8" s="1">
        <f>MAX(0,الحد_الأدنى-ملخص_المجموعات[[#This Row],[مجموع الفرق]])</f>
        <v/>
      </c>
    </row>
    <row r="119" hidden="1">
      <c r="B119" s="2" t="inlineStr">
        <is>
          <t>تحت 12</t>
        </is>
      </c>
      <c r="C119" s="5" t="inlineStr">
        <is>
          <t>مجموعة الخرج</t>
        </is>
      </c>
      <c r="D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19" s="4">
        <f t="array" ref="E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19" s="1">
        <f>MAX(0,الحد_الأدنى-ملخص_المجموعات[[#This Row],[مجموع الفرق]])</f>
        <v/>
      </c>
    </row>
    <row r="120" hidden="1">
      <c r="B120" s="2" t="inlineStr">
        <is>
          <t>تحت 12</t>
        </is>
      </c>
      <c r="C120" s="5" t="inlineStr">
        <is>
          <t>مجموعة القصيم</t>
        </is>
      </c>
      <c r="D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0" s="4">
        <f t="array" ref="E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0" s="1">
        <f>MAX(0,الحد_الأدنى-ملخص_المجموعات[[#This Row],[مجموع الفرق]])</f>
        <v/>
      </c>
    </row>
    <row r="121" hidden="1">
      <c r="B121" s="2" t="inlineStr">
        <is>
          <t>تحت 13</t>
        </is>
      </c>
      <c r="C121" s="5" t="inlineStr">
        <is>
          <t>مجموعة الدمام</t>
        </is>
      </c>
      <c r="D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1" s="4">
        <f t="array" ref="E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1" s="1">
        <f>MAX(0,الحد_الأدنى-ملخص_المجموعات[[#This Row],[مجموع الفرق]])</f>
        <v/>
      </c>
    </row>
    <row r="122" hidden="1">
      <c r="B122" s="2" t="inlineStr">
        <is>
          <t>تحت 13</t>
        </is>
      </c>
      <c r="C122" s="5" t="inlineStr">
        <is>
          <t>مجموعة صبيا</t>
        </is>
      </c>
      <c r="D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2" s="4">
        <f t="array" ref="E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2" s="1">
        <f>MAX(0,الحد_الأدنى-ملخص_المجموعات[[#This Row],[مجموع الفرق]])</f>
        <v/>
      </c>
    </row>
    <row r="123">
      <c r="B123" s="2" t="inlineStr">
        <is>
          <t>تحت 14</t>
        </is>
      </c>
      <c r="C123" s="5" t="inlineStr">
        <is>
          <t>مجموعة صبيا</t>
        </is>
      </c>
      <c r="D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3" s="4">
        <f t="array" ref="E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3" s="1">
        <f>MAX(0,الحد_الأدنى-ملخص_المجموعات[[#This Row],[مجموع الفرق]])</f>
        <v/>
      </c>
    </row>
    <row r="124" hidden="1">
      <c r="B124" s="2" t="inlineStr">
        <is>
          <t>تحت 9</t>
        </is>
      </c>
      <c r="C124" s="5" t="inlineStr">
        <is>
          <t>مجموعة الخفجي</t>
        </is>
      </c>
      <c r="D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4" s="4">
        <f t="array" ref="E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4" s="1">
        <f>MAX(0,الحد_الأدنى-ملخص_المجموعات[[#This Row],[مجموع الفرق]])</f>
        <v/>
      </c>
    </row>
    <row r="125" hidden="1">
      <c r="B125" s="2" t="inlineStr">
        <is>
          <t>تحت 9</t>
        </is>
      </c>
      <c r="C125" s="5" t="inlineStr">
        <is>
          <t>مجموعة القصيم</t>
        </is>
      </c>
      <c r="D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5" s="4">
        <f t="array" ref="E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5" s="1">
        <f>MAX(0,الحد_الأدنى-ملخص_المجموعات[[#This Row],[مجموع الفرق]])</f>
        <v/>
      </c>
    </row>
    <row r="126" hidden="1">
      <c r="B126" s="2" t="inlineStr">
        <is>
          <t>تحت 11</t>
        </is>
      </c>
      <c r="C126" s="5" t="inlineStr">
        <is>
          <t>مجموعة الخفجي</t>
        </is>
      </c>
      <c r="D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6" s="4">
        <f t="array" ref="E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6" s="1">
        <f>MAX(0,الحد_الأدنى-ملخص_المجموعات[[#This Row],[مجموع الفرق]])</f>
        <v/>
      </c>
    </row>
    <row r="127" hidden="1">
      <c r="B127" s="2" t="inlineStr">
        <is>
          <t>تحت 11</t>
        </is>
      </c>
      <c r="C127" s="5" t="inlineStr">
        <is>
          <t>مجموعة الطائف</t>
        </is>
      </c>
      <c r="D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7" s="4">
        <f t="array" ref="E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7" s="1">
        <f>MAX(0,الحد_الأدنى-ملخص_المجموعات[[#This Row],[مجموع الفرق]])</f>
        <v/>
      </c>
    </row>
    <row r="128" hidden="1">
      <c r="B128" s="2" t="inlineStr">
        <is>
          <t>تحت 12</t>
        </is>
      </c>
      <c r="C128" s="5" t="inlineStr">
        <is>
          <t>مجموعة أبها</t>
        </is>
      </c>
      <c r="D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8" s="4">
        <f t="array" ref="E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8" s="1">
        <f>MAX(0,الحد_الأدنى-ملخص_المجموعات[[#This Row],[مجموع الفرق]])</f>
        <v/>
      </c>
    </row>
    <row r="129" hidden="1">
      <c r="B129" s="2" t="inlineStr">
        <is>
          <t>تحت 12</t>
        </is>
      </c>
      <c r="C129" s="5" t="inlineStr">
        <is>
          <t>مجموعة الخفجي</t>
        </is>
      </c>
      <c r="D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29" s="4">
        <f t="array" ref="E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29" s="1">
        <f>MAX(0,الحد_الأدنى-ملخص_المجموعات[[#This Row],[مجموع الفرق]])</f>
        <v/>
      </c>
    </row>
    <row r="130">
      <c r="B130" s="2" t="inlineStr">
        <is>
          <t>تحت 14</t>
        </is>
      </c>
      <c r="C130" s="5" t="inlineStr">
        <is>
          <t>مجموعة أبها</t>
        </is>
      </c>
      <c r="D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0" s="4">
        <f t="array" ref="E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0" s="1">
        <f>MAX(0,الحد_الأدنى-ملخص_المجموعات[[#This Row],[مجموع الفرق]])</f>
        <v/>
      </c>
    </row>
    <row r="131">
      <c r="B131" s="2" t="inlineStr">
        <is>
          <t>تحت 14</t>
        </is>
      </c>
      <c r="C131" s="5" t="inlineStr">
        <is>
          <t>مجموعة الخفجي</t>
        </is>
      </c>
      <c r="D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1" s="4">
        <f t="array" ref="E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1" s="1">
        <f>MAX(0,الحد_الأدنى-ملخص_المجموعات[[#This Row],[مجموع الفرق]])</f>
        <v/>
      </c>
    </row>
    <row r="132" hidden="1">
      <c r="B132" s="2" t="inlineStr">
        <is>
          <t>تحت 5</t>
        </is>
      </c>
      <c r="C132" s="5" t="inlineStr">
        <is>
          <t>مجموعة مكة المكرمة</t>
        </is>
      </c>
      <c r="D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2" s="4">
        <f t="array" ref="E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2" s="1">
        <f>MAX(0,الحد_الأدنى-ملخص_المجموعات[[#This Row],[مجموع الفرق]])</f>
        <v/>
      </c>
    </row>
    <row r="133" hidden="1">
      <c r="B133" s="2" t="inlineStr">
        <is>
          <t>تحت 7</t>
        </is>
      </c>
      <c r="C133" s="5" t="inlineStr">
        <is>
          <t>مجموعة صبيا</t>
        </is>
      </c>
      <c r="D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3" s="4">
        <f t="array" ref="E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3" s="1">
        <f>MAX(0,الحد_الأدنى-ملخص_المجموعات[[#This Row],[مجموع الفرق]])</f>
        <v/>
      </c>
    </row>
    <row r="134" hidden="1">
      <c r="B134" s="2" t="inlineStr">
        <is>
          <t>تحت 9</t>
        </is>
      </c>
      <c r="C134" s="5" t="inlineStr">
        <is>
          <t>مجموعة القطيف</t>
        </is>
      </c>
      <c r="D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4" s="4">
        <f t="array" ref="E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4" s="1">
        <f>MAX(0,الحد_الأدنى-ملخص_المجموعات[[#This Row],[مجموع الفرق]])</f>
        <v/>
      </c>
    </row>
    <row r="135" hidden="1">
      <c r="B135" s="2" t="inlineStr">
        <is>
          <t>تحت 9</t>
        </is>
      </c>
      <c r="C135" s="5" t="inlineStr">
        <is>
          <t>مجموعة سكاكا</t>
        </is>
      </c>
      <c r="D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5" s="4">
        <f t="array" ref="E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5" s="1">
        <f>MAX(0,الحد_الأدنى-ملخص_المجموعات[[#This Row],[مجموع الفرق]])</f>
        <v/>
      </c>
    </row>
    <row r="136" hidden="1">
      <c r="B136" s="2" t="inlineStr">
        <is>
          <t>تحت 9</t>
        </is>
      </c>
      <c r="C136" s="5" t="inlineStr">
        <is>
          <t>مجموعة الطائف</t>
        </is>
      </c>
      <c r="D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6" s="4">
        <f t="array" ref="E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6" s="1">
        <f>MAX(0,الحد_الأدنى-ملخص_المجموعات[[#This Row],[مجموع الفرق]])</f>
        <v/>
      </c>
    </row>
    <row r="137" hidden="1">
      <c r="B137" s="2" t="inlineStr">
        <is>
          <t>تحت 11</t>
        </is>
      </c>
      <c r="C137" s="5" t="inlineStr">
        <is>
          <t>مجموعة القصيم</t>
        </is>
      </c>
      <c r="D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7" s="4">
        <f t="array" ref="E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7" s="1">
        <f>MAX(0,الحد_الأدنى-ملخص_المجموعات[[#This Row],[مجموع الفرق]])</f>
        <v/>
      </c>
    </row>
    <row r="138" hidden="1">
      <c r="B138" s="2" t="inlineStr">
        <is>
          <t>تحت 11</t>
        </is>
      </c>
      <c r="C138" s="5" t="inlineStr">
        <is>
          <t>مجموعة القطيف</t>
        </is>
      </c>
      <c r="D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8" s="4">
        <f t="array" ref="E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8" s="1">
        <f>MAX(0,الحد_الأدنى-ملخص_المجموعات[[#This Row],[مجموع الفرق]])</f>
        <v/>
      </c>
    </row>
    <row r="139" hidden="1">
      <c r="B139" s="2" t="inlineStr">
        <is>
          <t>تحت 11</t>
        </is>
      </c>
      <c r="C139" s="5" t="inlineStr">
        <is>
          <t>مجموعة صبيا</t>
        </is>
      </c>
      <c r="D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39" s="4">
        <f t="array" ref="E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39" s="1">
        <f>MAX(0,الحد_الأدنى-ملخص_المجموعات[[#This Row],[مجموع الفرق]])</f>
        <v/>
      </c>
    </row>
    <row r="140" hidden="1">
      <c r="B140" s="2" t="inlineStr">
        <is>
          <t>تحت 12</t>
        </is>
      </c>
      <c r="C140" s="5" t="inlineStr">
        <is>
          <t>مجموعة الطائف</t>
        </is>
      </c>
      <c r="D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0" s="4">
        <f t="array" ref="E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0" s="1">
        <f>MAX(0,الحد_الأدنى-ملخص_المجموعات[[#This Row],[مجموع الفرق]])</f>
        <v/>
      </c>
    </row>
    <row r="141" hidden="1">
      <c r="B141" s="2" t="inlineStr">
        <is>
          <t>تحت 12</t>
        </is>
      </c>
      <c r="C141" s="5" t="inlineStr">
        <is>
          <t>مجموعة صبيا</t>
        </is>
      </c>
      <c r="D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1" s="4">
        <f t="array" ref="E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1" s="1">
        <f>MAX(0,الحد_الأدنى-ملخص_المجموعات[[#This Row],[مجموع الفرق]])</f>
        <v/>
      </c>
    </row>
    <row r="142" hidden="1">
      <c r="B142" s="2" t="inlineStr">
        <is>
          <t>تحت 13</t>
        </is>
      </c>
      <c r="C142" s="5" t="inlineStr">
        <is>
          <t>مجموعة الخفجي</t>
        </is>
      </c>
      <c r="D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2" s="4">
        <f t="array" ref="E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2" s="1">
        <f>MAX(0,الحد_الأدنى-ملخص_المجموعات[[#This Row],[مجموع الفرق]])</f>
        <v/>
      </c>
    </row>
    <row r="143" hidden="1">
      <c r="B143" s="2" t="inlineStr">
        <is>
          <t>تحت 13</t>
        </is>
      </c>
      <c r="C143" s="5" t="inlineStr">
        <is>
          <t>مجموعة الطائف</t>
        </is>
      </c>
      <c r="D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3" s="4">
        <f t="array" ref="E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3" s="1">
        <f>MAX(0,الحد_الأدنى-ملخص_المجموعات[[#This Row],[مجموع الفرق]])</f>
        <v/>
      </c>
    </row>
    <row r="144">
      <c r="B144" s="2" t="inlineStr">
        <is>
          <t>تحت 14</t>
        </is>
      </c>
      <c r="C144" s="5" t="inlineStr">
        <is>
          <t>مجموعة المدينة المنورة</t>
        </is>
      </c>
      <c r="D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4" s="4">
        <f t="array" ref="E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4" s="1">
        <f>MAX(0,الحد_الأدنى-ملخص_المجموعات[[#This Row],[مجموع الفرق]])</f>
        <v/>
      </c>
    </row>
    <row r="145" hidden="1">
      <c r="B145" s="2" t="inlineStr">
        <is>
          <t>تحت 5</t>
        </is>
      </c>
      <c r="C145" s="5" t="inlineStr">
        <is>
          <t>مجموعة حفر الباطن</t>
        </is>
      </c>
      <c r="D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5" s="4">
        <f t="array" ref="E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5" s="1">
        <f>MAX(0,الحد_الأدنى-ملخص_المجموعات[[#This Row],[مجموع الفرق]])</f>
        <v/>
      </c>
    </row>
    <row r="146" hidden="1">
      <c r="B146" s="2" t="inlineStr">
        <is>
          <t>تحت 7</t>
        </is>
      </c>
      <c r="C146" s="5" t="inlineStr">
        <is>
          <t>مجموعة المدينة المنورة</t>
        </is>
      </c>
      <c r="D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6" s="4">
        <f t="array" ref="E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6" s="1">
        <f>MAX(0,الحد_الأدنى-ملخص_المجموعات[[#This Row],[مجموع الفرق]])</f>
        <v/>
      </c>
    </row>
    <row r="147" hidden="1">
      <c r="B147" s="2" t="inlineStr">
        <is>
          <t>تحت 7</t>
        </is>
      </c>
      <c r="C147" s="5" t="inlineStr">
        <is>
          <t>مجموعة الدمام</t>
        </is>
      </c>
      <c r="D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7" s="4">
        <f t="array" ref="E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7" s="1">
        <f>MAX(0,الحد_الأدنى-ملخص_المجموعات[[#This Row],[مجموع الفرق]])</f>
        <v/>
      </c>
    </row>
    <row r="148" hidden="1">
      <c r="B148" s="2" t="inlineStr">
        <is>
          <t>تحت 9</t>
        </is>
      </c>
      <c r="C148" s="5" t="inlineStr">
        <is>
          <t>مجموعة صبيا</t>
        </is>
      </c>
      <c r="D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8" s="4">
        <f t="array" ref="E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8" s="1">
        <f>MAX(0,الحد_الأدنى-ملخص_المجموعات[[#This Row],[مجموع الفرق]])</f>
        <v/>
      </c>
    </row>
    <row r="149" hidden="1">
      <c r="B149" s="2" t="inlineStr">
        <is>
          <t>تحت 13</t>
        </is>
      </c>
      <c r="C149" s="5" t="inlineStr">
        <is>
          <t>مجموعة حفر الباطن</t>
        </is>
      </c>
      <c r="D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49" s="4">
        <f t="array" ref="E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49" s="1">
        <f>MAX(0,الحد_الأدنى-ملخص_المجموعات[[#This Row],[مجموع الفرق]])</f>
        <v/>
      </c>
    </row>
    <row r="150">
      <c r="B150" s="2" t="inlineStr">
        <is>
          <t>تحت 14</t>
        </is>
      </c>
      <c r="C150" s="5" t="inlineStr">
        <is>
          <t>مجموعة الطائف</t>
        </is>
      </c>
      <c r="D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0" s="4">
        <f t="array" ref="E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0" s="1">
        <f>MAX(0,الحد_الأدنى-ملخص_المجموعات[[#This Row],[مجموع الفرق]])</f>
        <v/>
      </c>
    </row>
    <row r="151" hidden="1">
      <c r="B151" s="2" t="inlineStr">
        <is>
          <t>تحت 5</t>
        </is>
      </c>
      <c r="C151" s="5" t="inlineStr">
        <is>
          <t>مجموعة الرياض</t>
        </is>
      </c>
      <c r="D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1" s="4">
        <f t="array" ref="E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1" s="1">
        <f>MAX(0,الحد_الأدنى-ملخص_المجموعات[[#This Row],[مجموع الفرق]])</f>
        <v/>
      </c>
    </row>
    <row r="152" hidden="1">
      <c r="B152" s="2" t="inlineStr">
        <is>
          <t>تحت 7</t>
        </is>
      </c>
      <c r="C152" s="5" t="inlineStr">
        <is>
          <t>مجموعة حفر الباطن</t>
        </is>
      </c>
      <c r="D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2" s="4">
        <f t="array" ref="E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2" s="1">
        <f>MAX(0,الحد_الأدنى-ملخص_المجموعات[[#This Row],[مجموع الفرق]])</f>
        <v/>
      </c>
    </row>
    <row r="153" hidden="1">
      <c r="B153" s="2" t="inlineStr">
        <is>
          <t>تحت 12</t>
        </is>
      </c>
      <c r="C153" s="5" t="inlineStr">
        <is>
          <t>مجموعة القطيف</t>
        </is>
      </c>
      <c r="D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3" s="4">
        <f t="array" ref="E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3" s="1">
        <f>MAX(0,الحد_الأدنى-ملخص_المجموعات[[#This Row],[مجموع الفرق]])</f>
        <v/>
      </c>
    </row>
    <row r="154" hidden="1">
      <c r="B154" s="2" t="inlineStr">
        <is>
          <t>تحت 7</t>
        </is>
      </c>
      <c r="C154" s="5" t="inlineStr">
        <is>
          <t>مجموعة الأحساء</t>
        </is>
      </c>
      <c r="D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4" s="4">
        <f t="array" ref="E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4" s="1">
        <f>MAX(0,الحد_الأدنى-ملخص_المجموعات[[#This Row],[مجموع الفرق]])</f>
        <v/>
      </c>
    </row>
    <row r="155">
      <c r="B155" s="2" t="inlineStr">
        <is>
          <t>تحت 14</t>
        </is>
      </c>
      <c r="C155" s="5" t="inlineStr">
        <is>
          <t>مجموعة حفر الباطن</t>
        </is>
      </c>
      <c r="D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5" s="4">
        <f t="array" ref="E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5" s="1">
        <f>MAX(0,الحد_الأدنى-ملخص_المجموعات[[#This Row],[مجموع الفرق]])</f>
        <v/>
      </c>
    </row>
    <row r="156" hidden="1">
      <c r="B156" s="2" t="inlineStr">
        <is>
          <t>تحت 9</t>
        </is>
      </c>
      <c r="C156" s="5" t="inlineStr">
        <is>
          <t>مجموعة حفر الباطن</t>
        </is>
      </c>
      <c r="D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6" s="4">
        <f t="array" ref="E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6" s="1">
        <f>MAX(0,الحد_الأدنى-ملخص_المجموعات[[#This Row],[مجموع الفرق]])</f>
        <v/>
      </c>
    </row>
    <row r="157" hidden="1">
      <c r="B157" s="2" t="inlineStr">
        <is>
          <t>تحت 11</t>
        </is>
      </c>
      <c r="C157" s="5" t="inlineStr">
        <is>
          <t>مجموعة حفر الباطن</t>
        </is>
      </c>
      <c r="D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7" s="4">
        <f t="array" ref="E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7" s="1">
        <f>MAX(0,الحد_الأدنى-ملخص_المجموعات[[#This Row],[مجموع الفرق]])</f>
        <v/>
      </c>
    </row>
    <row r="158" hidden="1">
      <c r="B158" s="2" t="inlineStr">
        <is>
          <t>تحت 7</t>
        </is>
      </c>
      <c r="C158" s="5" t="inlineStr">
        <is>
          <t>مجموعة مكة المكرمة</t>
        </is>
      </c>
      <c r="D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8" s="4">
        <f t="array" ref="E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8" s="1">
        <f>MAX(0,الحد_الأدنى-ملخص_المجموعات[[#This Row],[مجموع الفرق]])</f>
        <v/>
      </c>
    </row>
    <row r="159" hidden="1">
      <c r="B159" s="2" t="inlineStr">
        <is>
          <t>تحت 12</t>
        </is>
      </c>
      <c r="C159" s="5" t="inlineStr">
        <is>
          <t>مجموعة حفر الباطن</t>
        </is>
      </c>
      <c r="D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59" s="4">
        <f t="array" ref="E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59" s="1">
        <f>MAX(0,الحد_الأدنى-ملخص_المجموعات[[#This Row],[مجموع الفرق]])</f>
        <v/>
      </c>
    </row>
    <row r="160" hidden="1">
      <c r="B160" s="2" t="inlineStr">
        <is>
          <t>تحت 5</t>
        </is>
      </c>
      <c r="C160" s="5" t="inlineStr">
        <is>
          <t>مجموعة جدة</t>
        </is>
      </c>
      <c r="D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0" s="4">
        <f t="array" ref="E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0" s="1">
        <f>MAX(0,الحد_الأدنى-ملخص_المجموعات[[#This Row],[مجموع الفرق]])</f>
        <v/>
      </c>
    </row>
    <row r="161" hidden="1">
      <c r="B161" s="2" t="inlineStr">
        <is>
          <t>تحت 11</t>
        </is>
      </c>
      <c r="C161" s="5" t="inlineStr">
        <is>
          <t>مجموعة المدينة المنورة</t>
        </is>
      </c>
      <c r="D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1" s="4">
        <f t="array" ref="E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1" s="1">
        <f>MAX(0,الحد_الأدنى-ملخص_المجموعات[[#This Row],[مجموع الفرق]])</f>
        <v/>
      </c>
    </row>
    <row r="162" hidden="1">
      <c r="B162" s="2" t="inlineStr">
        <is>
          <t>تحت 13</t>
        </is>
      </c>
      <c r="C162" s="5" t="inlineStr">
        <is>
          <t>مجموعة مكة المكرمة</t>
        </is>
      </c>
      <c r="D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2" s="4">
        <f t="array" ref="E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2" s="1">
        <f>MAX(0,الحد_الأدنى-ملخص_المجموعات[[#This Row],[مجموع الفرق]])</f>
        <v/>
      </c>
    </row>
    <row r="163" hidden="1">
      <c r="B163" s="2" t="inlineStr">
        <is>
          <t>تحت 12</t>
        </is>
      </c>
      <c r="C163" s="5" t="inlineStr">
        <is>
          <t>مجموعة المدينة المنورة</t>
        </is>
      </c>
      <c r="D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3" s="4">
        <f t="array" ref="E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3" s="1">
        <f>MAX(0,الحد_الأدنى-ملخص_المجموعات[[#This Row],[مجموع الفرق]])</f>
        <v/>
      </c>
    </row>
    <row r="164" hidden="1">
      <c r="B164" s="2" t="inlineStr">
        <is>
          <t>تحت 9</t>
        </is>
      </c>
      <c r="C164" s="5" t="inlineStr">
        <is>
          <t>مجموعة المدينة المنورة</t>
        </is>
      </c>
      <c r="D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4" s="4">
        <f t="array" ref="E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4" s="1">
        <f>MAX(0,الحد_الأدنى-ملخص_المجموعات[[#This Row],[مجموع الفرق]])</f>
        <v/>
      </c>
    </row>
    <row r="165">
      <c r="B165" s="2" t="inlineStr">
        <is>
          <t>تحت 14</t>
        </is>
      </c>
      <c r="C165" s="5" t="inlineStr">
        <is>
          <t>مجموعة مكة المكرمة</t>
        </is>
      </c>
      <c r="D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5" s="4">
        <f t="array" ref="E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5" s="1">
        <f>MAX(0,الحد_الأدنى-ملخص_المجموعات[[#This Row],[مجموع الفرق]])</f>
        <v/>
      </c>
    </row>
    <row r="166" hidden="1">
      <c r="B166" s="2" t="inlineStr">
        <is>
          <t>تحت 11</t>
        </is>
      </c>
      <c r="C166" s="5" t="inlineStr">
        <is>
          <t>مجموعة مكة المكرمة</t>
        </is>
      </c>
      <c r="D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6" s="4">
        <f t="array" ref="E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6" s="1">
        <f>MAX(0,الحد_الأدنى-ملخص_المجموعات[[#This Row],[مجموع الفرق]])</f>
        <v/>
      </c>
    </row>
    <row r="167" hidden="1">
      <c r="B167" s="2" t="inlineStr">
        <is>
          <t>تحت 12</t>
        </is>
      </c>
      <c r="C167" s="5" t="inlineStr">
        <is>
          <t>مجموعة مكة المكرمة</t>
        </is>
      </c>
      <c r="D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7" s="4">
        <f t="array" ref="E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7" s="1">
        <f>MAX(0,الحد_الأدنى-ملخص_المجموعات[[#This Row],[مجموع الفرق]])</f>
        <v/>
      </c>
    </row>
    <row r="168">
      <c r="B168" s="2" t="inlineStr">
        <is>
          <t>تحت 14</t>
        </is>
      </c>
      <c r="C168" s="5" t="inlineStr">
        <is>
          <t>مجموعة الأحساء</t>
        </is>
      </c>
      <c r="D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8" s="4">
        <f t="array" ref="E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8" s="1">
        <f>MAX(0,الحد_الأدنى-ملخص_المجموعات[[#This Row],[مجموع الفرق]])</f>
        <v/>
      </c>
    </row>
    <row r="169" hidden="1">
      <c r="B169" s="2" t="inlineStr">
        <is>
          <t>تحت 9</t>
        </is>
      </c>
      <c r="C169" s="5" t="inlineStr">
        <is>
          <t>مجموعة الأحساء</t>
        </is>
      </c>
      <c r="D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69" s="4">
        <f t="array" ref="E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69" s="1">
        <f>MAX(0,الحد_الأدنى-ملخص_المجموعات[[#This Row],[مجموع الفرق]])</f>
        <v/>
      </c>
    </row>
    <row r="170" hidden="1">
      <c r="B170" s="2" t="inlineStr">
        <is>
          <t>تحت 12</t>
        </is>
      </c>
      <c r="C170" s="5" t="inlineStr">
        <is>
          <t>مجموعة الأحساء</t>
        </is>
      </c>
      <c r="D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0" s="4">
        <f t="array" ref="E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0" s="1">
        <f>MAX(0,الحد_الأدنى-ملخص_المجموعات[[#This Row],[مجموع الفرق]])</f>
        <v/>
      </c>
    </row>
    <row r="171" hidden="1">
      <c r="B171" s="2" t="inlineStr">
        <is>
          <t>تحت 13</t>
        </is>
      </c>
      <c r="C171" s="5" t="inlineStr">
        <is>
          <t>مجموعة الرياض</t>
        </is>
      </c>
      <c r="D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1" s="4">
        <f t="array" ref="E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1" s="1">
        <f>MAX(0,الحد_الأدنى-ملخص_المجموعات[[#This Row],[مجموع الفرق]])</f>
        <v/>
      </c>
    </row>
    <row r="172" hidden="1">
      <c r="B172" s="2" t="inlineStr">
        <is>
          <t>تحت 9</t>
        </is>
      </c>
      <c r="C172" s="5" t="inlineStr">
        <is>
          <t>مجموعة مكة المكرمة</t>
        </is>
      </c>
      <c r="D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2" s="4">
        <f t="array" ref="E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2" s="1">
        <f>MAX(0,الحد_الأدنى-ملخص_المجموعات[[#This Row],[مجموع الفرق]])</f>
        <v/>
      </c>
    </row>
    <row r="173" hidden="1">
      <c r="B173" s="2" t="inlineStr">
        <is>
          <t>تحت 7</t>
        </is>
      </c>
      <c r="C173" s="5" t="inlineStr">
        <is>
          <t>مجموعة الرياض</t>
        </is>
      </c>
      <c r="D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3" s="4">
        <f t="array" ref="E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3" s="1">
        <f>MAX(0,الحد_الأدنى-ملخص_المجموعات[[#This Row],[مجموع الفرق]])</f>
        <v/>
      </c>
    </row>
    <row r="174" hidden="1">
      <c r="B174" s="2" t="inlineStr">
        <is>
          <t>تحت 7</t>
        </is>
      </c>
      <c r="C174" s="5" t="inlineStr">
        <is>
          <t>مجموعة جدة</t>
        </is>
      </c>
      <c r="D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4" s="4">
        <f t="array" ref="E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4" s="1">
        <f>MAX(0,الحد_الأدنى-ملخص_المجموعات[[#This Row],[مجموع الفرق]])</f>
        <v/>
      </c>
    </row>
    <row r="175" hidden="1">
      <c r="B175" s="2" t="inlineStr">
        <is>
          <t>تحت 9</t>
        </is>
      </c>
      <c r="C175" s="5" t="inlineStr">
        <is>
          <t>مجموعة الدمام</t>
        </is>
      </c>
      <c r="D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5" s="4">
        <f t="array" ref="E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5" s="1">
        <f>MAX(0,الحد_الأدنى-ملخص_المجموعات[[#This Row],[مجموع الفرق]])</f>
        <v/>
      </c>
    </row>
    <row r="176" hidden="1">
      <c r="B176" s="2" t="inlineStr">
        <is>
          <t>تحت 13</t>
        </is>
      </c>
      <c r="C176" s="5" t="inlineStr">
        <is>
          <t>مجموعة جدة</t>
        </is>
      </c>
      <c r="D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6" s="4">
        <f t="array" ref="E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6" s="1">
        <f>MAX(0,الحد_الأدنى-ملخص_المجموعات[[#This Row],[مجموع الفرق]])</f>
        <v/>
      </c>
    </row>
    <row r="177" hidden="1">
      <c r="B177" s="2" t="inlineStr">
        <is>
          <t>تحت 13</t>
        </is>
      </c>
      <c r="C177" s="5" t="inlineStr">
        <is>
          <t>مجموعة الأحساء</t>
        </is>
      </c>
      <c r="D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7" s="4">
        <f t="array" ref="E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7" s="1">
        <f>MAX(0,الحد_الأدنى-ملخص_المجموعات[[#This Row],[مجموع الفرق]])</f>
        <v/>
      </c>
    </row>
    <row r="178" hidden="1">
      <c r="B178" s="2" t="inlineStr">
        <is>
          <t>تحت 11</t>
        </is>
      </c>
      <c r="C178" s="5" t="inlineStr">
        <is>
          <t>مجموعة الأحساء</t>
        </is>
      </c>
      <c r="D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8" s="4">
        <f t="array" ref="E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8" s="1">
        <f>MAX(0,الحد_الأدنى-ملخص_المجموعات[[#This Row],[مجموع الفرق]])</f>
        <v/>
      </c>
    </row>
    <row r="179">
      <c r="B179" s="2" t="inlineStr">
        <is>
          <t>تحت 14</t>
        </is>
      </c>
      <c r="C179" s="5" t="inlineStr">
        <is>
          <t>مجموعة الرياض</t>
        </is>
      </c>
      <c r="D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79" s="4">
        <f t="array" ref="E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79" s="1">
        <f>MAX(0,الحد_الأدنى-ملخص_المجموعات[[#This Row],[مجموع الفرق]])</f>
        <v/>
      </c>
    </row>
    <row r="180">
      <c r="B180" s="2" t="inlineStr">
        <is>
          <t>تحت 14</t>
        </is>
      </c>
      <c r="C180" s="5" t="inlineStr">
        <is>
          <t>مجموعة جدة</t>
        </is>
      </c>
      <c r="D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80" s="4">
        <f t="array" ref="E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80" s="1">
        <f>MAX(0,الحد_الأدنى-ملخص_المجموعات[[#This Row],[مجموع الفرق]])</f>
        <v/>
      </c>
    </row>
    <row r="181" hidden="1">
      <c r="B181" s="2" t="inlineStr">
        <is>
          <t>تحت 9</t>
        </is>
      </c>
      <c r="C181" s="5" t="inlineStr">
        <is>
          <t>مجموعة الرياض</t>
        </is>
      </c>
      <c r="D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81" s="4">
        <f t="array" ref="E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81" s="1">
        <f>MAX(0,الحد_الأدنى-ملخص_المجموعات[[#This Row],[مجموع الفرق]])</f>
        <v/>
      </c>
    </row>
    <row r="182" hidden="1">
      <c r="B182" s="2" t="inlineStr">
        <is>
          <t>تحت 11</t>
        </is>
      </c>
      <c r="C182" s="5" t="inlineStr">
        <is>
          <t>مجموعة الرياض</t>
        </is>
      </c>
      <c r="D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82" s="4">
        <f t="array" ref="E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82" s="1">
        <f>MAX(0,الحد_الأدنى-ملخص_المجموعات[[#This Row],[مجموع الفرق]])</f>
        <v/>
      </c>
    </row>
    <row r="183" hidden="1">
      <c r="B183" s="2" t="inlineStr">
        <is>
          <t>تحت 12</t>
        </is>
      </c>
      <c r="C183" s="5" t="inlineStr">
        <is>
          <t>مجموعة الرياض</t>
        </is>
      </c>
      <c r="D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83" s="4">
        <f t="array" ref="E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83" s="1">
        <f>MAX(0,الحد_الأدنى-ملخص_المجموعات[[#This Row],[مجموع الفرق]])</f>
        <v/>
      </c>
    </row>
    <row r="184" hidden="1">
      <c r="B184" s="2" t="inlineStr">
        <is>
          <t>تحت 9</t>
        </is>
      </c>
      <c r="C184" s="5" t="inlineStr">
        <is>
          <t>مجموعة جدة</t>
        </is>
      </c>
      <c r="D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84" s="4">
        <f t="array" ref="E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84" s="1">
        <f>MAX(0,الحد_الأدنى-ملخص_المجموعات[[#This Row],[مجموع الفرق]])</f>
        <v/>
      </c>
    </row>
    <row r="185" hidden="1">
      <c r="B185" s="2" t="inlineStr">
        <is>
          <t>تحت 11</t>
        </is>
      </c>
      <c r="C185" s="5" t="inlineStr">
        <is>
          <t>مجموعة جدة</t>
        </is>
      </c>
      <c r="D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85" s="4">
        <f t="array" ref="E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85" s="1">
        <f>MAX(0,الحد_الأدنى-ملخص_المجموعات[[#This Row],[مجموع الفرق]])</f>
        <v/>
      </c>
    </row>
    <row r="186" hidden="1">
      <c r="B186" s="2" t="inlineStr">
        <is>
          <t>تحت 12</t>
        </is>
      </c>
      <c r="C186" s="5" t="inlineStr">
        <is>
          <t>مجموعة جدة</t>
        </is>
      </c>
      <c r="D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/>
      </c>
      <c r="E186" s="4">
        <f t="array" ref="E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/>
      </c>
      <c r="F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/>
      </c>
      <c r="G186" s="1">
        <f>MAX(0,الحد_الأدنى-ملخص_المجموعات[[#This Row],[مجموع الفرق]])</f>
        <v/>
      </c>
    </row>
    <row r="187"/>
    <row r="188"/>
  </sheetData>
  <mergeCells count="1">
    <mergeCell ref="I9:K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N566"/>
  <sheetViews>
    <sheetView rightToLeft="1" tabSelected="1" zoomScale="86" zoomScaleNormal="70" workbookViewId="0">
      <pane ySplit="2" topLeftCell="A560" activePane="bottomLeft" state="frozen"/>
      <selection pane="bottomLeft" activeCell="C526" sqref="C526"/>
    </sheetView>
  </sheetViews>
  <sheetFormatPr baseColWidth="8" defaultColWidth="9" defaultRowHeight="14.5"/>
  <cols>
    <col width="14.26953125" bestFit="1" customWidth="1" style="18" min="1" max="1"/>
    <col width="46.90625" bestFit="1" customWidth="1" style="18" min="2" max="2"/>
    <col width="23.6328125" bestFit="1" customWidth="1" style="18" min="3" max="3"/>
    <col width="15.26953125" bestFit="1" customWidth="1" style="18" min="4" max="4"/>
    <col width="25.7265625" customWidth="1" style="18" min="5" max="5"/>
    <col width="11.26953125" bestFit="1" customWidth="1" style="18" min="6" max="6"/>
    <col width="12.453125" bestFit="1" customWidth="1" style="18" min="7" max="7"/>
    <col width="11.90625" customWidth="1" style="18" min="8" max="8"/>
    <col width="17.1796875" bestFit="1" customWidth="1" style="18" min="9" max="9"/>
    <col width="21.90625" bestFit="1" customWidth="1" style="18" min="10" max="13"/>
    <col width="20.453125" bestFit="1" customWidth="1" style="18" min="14" max="14"/>
    <col width="20.90625" bestFit="1" customWidth="1" style="18" min="15" max="15"/>
    <col width="20.453125" customWidth="1" style="18" min="16" max="16"/>
    <col width="30.08984375" customWidth="1" min="17" max="17"/>
    <col width="15.6328125" customWidth="1" min="18" max="18"/>
    <col width="29.90625" bestFit="1" customWidth="1" min="19" max="19"/>
  </cols>
  <sheetData>
    <row r="2" ht="18.5" customHeight="1">
      <c r="A2" s="14" t="inlineStr">
        <is>
          <t>Entry Id</t>
        </is>
      </c>
      <c r="B2" s="15" t="inlineStr">
        <is>
          <t>اسم الفريق</t>
        </is>
      </c>
      <c r="C2" s="15" t="inlineStr">
        <is>
          <t xml:space="preserve">الاسم </t>
        </is>
      </c>
      <c r="D2" s="15" t="inlineStr">
        <is>
          <t>رقم الجوال</t>
        </is>
      </c>
      <c r="E2" s="15" t="inlineStr">
        <is>
          <t>اسم الملعب</t>
        </is>
      </c>
      <c r="F2" s="15" t="inlineStr">
        <is>
          <t>الصفة</t>
        </is>
      </c>
      <c r="G2" s="15" t="inlineStr">
        <is>
          <t>المنطقة</t>
        </is>
      </c>
      <c r="H2" s="15" t="inlineStr">
        <is>
          <t>المدينة</t>
        </is>
      </c>
      <c r="I2" s="15" t="inlineStr">
        <is>
          <t>مكتب الوزارة</t>
        </is>
      </c>
      <c r="J2" s="15" t="inlineStr">
        <is>
          <t>المشاركة تحت 14</t>
        </is>
      </c>
      <c r="K2" s="15" t="inlineStr">
        <is>
          <t>المشاركة تحت 13</t>
        </is>
      </c>
      <c r="L2" s="15" t="inlineStr">
        <is>
          <t>المشاركة تحت 12</t>
        </is>
      </c>
      <c r="M2" s="15" t="inlineStr">
        <is>
          <t>المشاركة تحت 11</t>
        </is>
      </c>
      <c r="N2" s="15" t="inlineStr">
        <is>
          <t>المشاركة تحت 9</t>
        </is>
      </c>
      <c r="O2" s="15" t="inlineStr">
        <is>
          <t xml:space="preserve">المشاركة تحت 7 </t>
        </is>
      </c>
      <c r="P2" s="16" t="inlineStr">
        <is>
          <t>المشاركة تحت 5</t>
        </is>
      </c>
      <c r="Q2" s="15" t="inlineStr">
        <is>
          <t>ليس في أي مجموعة مكتملة</t>
        </is>
      </c>
      <c r="R2" s="15" t="inlineStr">
        <is>
          <t>حالة السداد</t>
        </is>
      </c>
      <c r="S2" s="15" t="inlineStr">
        <is>
          <t>فتح حساب لتسجيل اللاعبين</t>
        </is>
      </c>
    </row>
    <row r="3" ht="17" customFormat="1" customHeight="1" s="43">
      <c r="A3" s="17" t="n">
        <v>1</v>
      </c>
      <c r="B3" s="17" t="inlineStr">
        <is>
          <t>الزوري</t>
        </is>
      </c>
      <c r="C3" s="17" t="inlineStr">
        <is>
          <t>سالم محمد الدوسري</t>
        </is>
      </c>
      <c r="D3" s="17" t="n">
        <v>562311110</v>
      </c>
      <c r="E3" s="17" t="inlineStr">
        <is>
          <t xml:space="preserve">ملاعب المنافسة </t>
        </is>
      </c>
      <c r="F3" s="17" t="inlineStr">
        <is>
          <t>أكاديمية</t>
        </is>
      </c>
      <c r="G3" s="17" t="inlineStr">
        <is>
          <t>الشرقية</t>
        </is>
      </c>
      <c r="H3" s="17" t="inlineStr">
        <is>
          <t>الدمام</t>
        </is>
      </c>
      <c r="I3" s="17" t="inlineStr">
        <is>
          <t>الشرقية</t>
        </is>
      </c>
      <c r="J3" s="17" t="n">
        <v>0</v>
      </c>
      <c r="K3" s="17" t="n">
        <v>0</v>
      </c>
      <c r="L3" s="17" t="n">
        <v>1</v>
      </c>
      <c r="M3" s="17" t="n">
        <v>1</v>
      </c>
      <c r="N3" s="17" t="n">
        <v>1</v>
      </c>
      <c r="O3" s="17" t="n">
        <v>0</v>
      </c>
      <c r="P3" s="17" t="n">
        <v>0</v>
      </c>
      <c r="Q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" s="46" t="n"/>
      <c r="S3" s="17" t="n"/>
    </row>
    <row r="4" ht="17" customHeight="1">
      <c r="A4" s="17">
        <f>1+A3</f>
        <v/>
      </c>
      <c r="B4" s="17" t="inlineStr">
        <is>
          <t>المطوع</t>
        </is>
      </c>
      <c r="C4" s="17" t="inlineStr">
        <is>
          <t>محمد عساف العتيبي</t>
        </is>
      </c>
      <c r="D4" s="17" t="n">
        <v>539099199</v>
      </c>
      <c r="E4" s="17" t="inlineStr">
        <is>
          <t>المطوع بارك</t>
        </is>
      </c>
      <c r="F4" s="17" t="inlineStr">
        <is>
          <t>نادي</t>
        </is>
      </c>
      <c r="G4" s="17" t="inlineStr">
        <is>
          <t>الرياض</t>
        </is>
      </c>
      <c r="H4" s="17" t="inlineStr">
        <is>
          <t>الرياض</t>
        </is>
      </c>
      <c r="I4" s="17" t="inlineStr">
        <is>
          <t>الرياض</t>
        </is>
      </c>
      <c r="J4" s="17" t="n">
        <v>1</v>
      </c>
      <c r="K4" s="17" t="n">
        <v>1</v>
      </c>
      <c r="L4" s="17" t="n">
        <v>1</v>
      </c>
      <c r="M4" s="17" t="n">
        <v>1</v>
      </c>
      <c r="N4" s="17" t="n">
        <v>0</v>
      </c>
      <c r="O4" s="17" t="n">
        <v>0</v>
      </c>
      <c r="P4" s="17" t="n">
        <v>0</v>
      </c>
      <c r="Q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" s="13" t="n"/>
      <c r="S4" s="17" t="n"/>
    </row>
    <row r="5" ht="17" customHeight="1">
      <c r="A5" s="17">
        <f>1+A4</f>
        <v/>
      </c>
      <c r="B5" s="17" t="inlineStr">
        <is>
          <t>القوارة</t>
        </is>
      </c>
      <c r="C5" s="17" t="inlineStr">
        <is>
          <t>مثني فهد الحرابي</t>
        </is>
      </c>
      <c r="D5" s="17" t="n">
        <v>544394481</v>
      </c>
      <c r="E5" s="17" t="inlineStr">
        <is>
          <t>رديف نادي القوارة</t>
        </is>
      </c>
      <c r="F5" s="17" t="inlineStr">
        <is>
          <t>نادي</t>
        </is>
      </c>
      <c r="G5" s="17" t="inlineStr">
        <is>
          <t>القصيم</t>
        </is>
      </c>
      <c r="H5" s="17" t="inlineStr">
        <is>
          <t>بريدة</t>
        </is>
      </c>
      <c r="I5" s="17" t="inlineStr">
        <is>
          <t>القصيم</t>
        </is>
      </c>
      <c r="J5" s="17" t="n">
        <v>1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" s="13" t="n"/>
      <c r="S5" s="17" t="n"/>
    </row>
    <row r="6" ht="14" customHeight="1">
      <c r="A6" s="17">
        <f>1+A5</f>
        <v/>
      </c>
      <c r="B6" s="17" t="inlineStr">
        <is>
          <t>الصقر</t>
        </is>
      </c>
      <c r="C6" s="17" t="inlineStr">
        <is>
          <t>محمد عثمان المحيميد</t>
        </is>
      </c>
      <c r="D6" s="17" t="n">
        <v>546496199</v>
      </c>
      <c r="E6" s="17" t="inlineStr">
        <is>
          <t>الصقر</t>
        </is>
      </c>
      <c r="F6" s="17" t="inlineStr">
        <is>
          <t>نادي</t>
        </is>
      </c>
      <c r="G6" s="17" t="inlineStr">
        <is>
          <t>القصيم</t>
        </is>
      </c>
      <c r="H6" s="17" t="inlineStr">
        <is>
          <t>بريدة</t>
        </is>
      </c>
      <c r="I6" s="17" t="inlineStr">
        <is>
          <t>القصيم</t>
        </is>
      </c>
      <c r="J6" s="17" t="n">
        <v>0</v>
      </c>
      <c r="K6" s="17" t="n">
        <v>1</v>
      </c>
      <c r="L6" s="17" t="n">
        <v>0</v>
      </c>
      <c r="M6" s="17" t="n">
        <v>1</v>
      </c>
      <c r="N6" s="17" t="n">
        <v>0</v>
      </c>
      <c r="O6" s="17" t="n">
        <v>0</v>
      </c>
      <c r="P6" s="17" t="n">
        <v>0</v>
      </c>
      <c r="Q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" s="13" t="n"/>
      <c r="S6" s="17" t="n"/>
    </row>
    <row r="7" ht="17" customHeight="1">
      <c r="A7" s="17">
        <f>1+A6</f>
        <v/>
      </c>
      <c r="B7" s="17" t="inlineStr">
        <is>
          <t>عيون الجواء</t>
        </is>
      </c>
      <c r="C7" s="17" t="inlineStr">
        <is>
          <t>فيصل فهد الجماز</t>
        </is>
      </c>
      <c r="D7" s="17" t="n">
        <v>508279319</v>
      </c>
      <c r="E7" s="17" t="inlineStr">
        <is>
          <t>البدائع</t>
        </is>
      </c>
      <c r="F7" s="17" t="inlineStr">
        <is>
          <t>نادي</t>
        </is>
      </c>
      <c r="G7" s="17" t="inlineStr">
        <is>
          <t>القصيم</t>
        </is>
      </c>
      <c r="H7" s="17" t="inlineStr">
        <is>
          <t>عيون الجواء</t>
        </is>
      </c>
      <c r="I7" s="17" t="inlineStr">
        <is>
          <t>الرس</t>
        </is>
      </c>
      <c r="J7" s="17" t="n">
        <v>1</v>
      </c>
      <c r="K7" s="17" t="n">
        <v>1</v>
      </c>
      <c r="L7" s="17" t="n">
        <v>1</v>
      </c>
      <c r="M7" s="17" t="n">
        <v>1</v>
      </c>
      <c r="N7" s="17" t="n">
        <v>1</v>
      </c>
      <c r="O7" s="17" t="n">
        <v>1</v>
      </c>
      <c r="P7" s="17" t="n">
        <v>0</v>
      </c>
      <c r="Q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" s="13" t="n"/>
      <c r="S7" s="17" t="n"/>
    </row>
    <row r="8" ht="17" customHeight="1">
      <c r="A8" s="17">
        <f>1+A7</f>
        <v/>
      </c>
      <c r="B8" s="17" t="inlineStr">
        <is>
          <t>ليوبارد</t>
        </is>
      </c>
      <c r="C8" s="17" t="inlineStr">
        <is>
          <t xml:space="preserve">بدر عبدالعزيز الجربوع </t>
        </is>
      </c>
      <c r="D8" s="17" t="n">
        <v>564110010</v>
      </c>
      <c r="E8" s="17" t="inlineStr">
        <is>
          <t>المطوع بارك</t>
        </is>
      </c>
      <c r="F8" s="17" t="inlineStr">
        <is>
          <t>نادي</t>
        </is>
      </c>
      <c r="G8" s="17" t="inlineStr">
        <is>
          <t>الرياض</t>
        </is>
      </c>
      <c r="H8" s="17" t="inlineStr">
        <is>
          <t>الرياض</t>
        </is>
      </c>
      <c r="I8" s="17" t="inlineStr">
        <is>
          <t>الرياض</t>
        </is>
      </c>
      <c r="J8" s="17" t="n">
        <v>1</v>
      </c>
      <c r="K8" s="17" t="n">
        <v>1</v>
      </c>
      <c r="L8" s="17" t="n">
        <v>1</v>
      </c>
      <c r="M8" s="17" t="n">
        <v>1</v>
      </c>
      <c r="N8" s="17" t="n">
        <v>0</v>
      </c>
      <c r="O8" s="17" t="n">
        <v>0</v>
      </c>
      <c r="P8" s="17" t="n">
        <v>0</v>
      </c>
      <c r="Q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" s="13" t="n"/>
      <c r="S8" s="17" t="n"/>
    </row>
    <row r="9" ht="17" customHeight="1">
      <c r="A9" s="17">
        <f>1+A8</f>
        <v/>
      </c>
      <c r="B9" s="17" t="inlineStr">
        <is>
          <t>الاعب الموهوب</t>
        </is>
      </c>
      <c r="C9" s="17" t="inlineStr">
        <is>
          <t>ياسر ال خليتيت</t>
        </is>
      </c>
      <c r="D9" s="17" t="inlineStr">
        <is>
          <t>0597302630</t>
        </is>
      </c>
      <c r="E9" s="17" t="inlineStr">
        <is>
          <t>سوكر القطيف</t>
        </is>
      </c>
      <c r="F9" s="17" t="inlineStr">
        <is>
          <t>أكاديمية</t>
        </is>
      </c>
      <c r="G9" s="17" t="inlineStr">
        <is>
          <t>الشرقية</t>
        </is>
      </c>
      <c r="H9" s="17" t="inlineStr">
        <is>
          <t>القطيف</t>
        </is>
      </c>
      <c r="I9" s="17" t="inlineStr">
        <is>
          <t>القطيف</t>
        </is>
      </c>
      <c r="J9" s="17" t="n">
        <v>0</v>
      </c>
      <c r="K9" s="17" t="n">
        <v>1</v>
      </c>
      <c r="L9" s="17" t="n">
        <v>1</v>
      </c>
      <c r="M9" s="17" t="n">
        <v>1</v>
      </c>
      <c r="N9" s="17" t="n">
        <v>1</v>
      </c>
      <c r="O9" s="17" t="n">
        <v>0</v>
      </c>
      <c r="P9" s="17" t="n">
        <v>0</v>
      </c>
      <c r="Q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" s="13" t="n"/>
      <c r="S9" s="17" t="n"/>
    </row>
    <row r="10" ht="17" customHeight="1">
      <c r="A10" s="17">
        <f>1+A9</f>
        <v/>
      </c>
      <c r="B10" s="17" t="inlineStr">
        <is>
          <t>نجد الرياض</t>
        </is>
      </c>
      <c r="C10" s="17" t="inlineStr">
        <is>
          <t>مرعي عسيري</t>
        </is>
      </c>
      <c r="D10" s="17" t="inlineStr">
        <is>
          <t>0569339451</t>
        </is>
      </c>
      <c r="E10" s="17" t="inlineStr">
        <is>
          <t>محترفي الوادي</t>
        </is>
      </c>
      <c r="F10" s="17" t="inlineStr">
        <is>
          <t>نادي</t>
        </is>
      </c>
      <c r="G10" s="17" t="inlineStr">
        <is>
          <t>الرياض</t>
        </is>
      </c>
      <c r="H10" s="17" t="inlineStr">
        <is>
          <t>الرياض</t>
        </is>
      </c>
      <c r="I10" s="17" t="inlineStr">
        <is>
          <t>الرياض</t>
        </is>
      </c>
      <c r="J10" s="17" t="n">
        <v>1</v>
      </c>
      <c r="K10" s="17" t="n">
        <v>1</v>
      </c>
      <c r="L10" s="17" t="n">
        <v>0</v>
      </c>
      <c r="M10" s="17" t="n">
        <v>2</v>
      </c>
      <c r="N10" s="17" t="n">
        <v>0</v>
      </c>
      <c r="O10" s="17" t="n">
        <v>0</v>
      </c>
      <c r="P10" s="17" t="n">
        <v>0</v>
      </c>
      <c r="Q1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" s="13" t="n"/>
      <c r="S10" s="17" t="n"/>
    </row>
    <row r="11" ht="17" customHeight="1">
      <c r="A11" s="17">
        <f>1+A10</f>
        <v/>
      </c>
      <c r="B11" s="17" t="inlineStr">
        <is>
          <t>ربوع العين</t>
        </is>
      </c>
      <c r="C11" s="17" t="inlineStr">
        <is>
          <t>جارالله حسين المتعاني</t>
        </is>
      </c>
      <c r="D11" s="17" t="n">
        <v>582506321</v>
      </c>
      <c r="E11" s="17" t="inlineStr">
        <is>
          <t>ملعب الشهداء</t>
        </is>
      </c>
      <c r="F11" s="17" t="inlineStr">
        <is>
          <t>نادي</t>
        </is>
      </c>
      <c r="G11" s="17" t="inlineStr">
        <is>
          <t>مكة المكرمة</t>
        </is>
      </c>
      <c r="H11" s="17" t="inlineStr">
        <is>
          <t>القنفذة</t>
        </is>
      </c>
      <c r="I11" s="17" t="inlineStr">
        <is>
          <t>مكة المكرمة</t>
        </is>
      </c>
      <c r="J11" s="17" t="n">
        <v>1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" s="13" t="n"/>
      <c r="S11" s="17" t="n"/>
    </row>
    <row r="12" ht="17" customHeight="1">
      <c r="A12" s="17">
        <f>1+A11</f>
        <v/>
      </c>
      <c r="B12" s="17" t="inlineStr">
        <is>
          <t>أجيال الحياة</t>
        </is>
      </c>
      <c r="C12" s="17" t="inlineStr">
        <is>
          <t>محمد سلمان الشمري</t>
        </is>
      </c>
      <c r="D12" s="17" t="n">
        <v>57867222</v>
      </c>
      <c r="E12" s="17" t="inlineStr">
        <is>
          <t>العروبة</t>
        </is>
      </c>
      <c r="F12" s="17" t="inlineStr">
        <is>
          <t>أكاديمية</t>
        </is>
      </c>
      <c r="G12" s="63" t="inlineStr">
        <is>
          <t>الجوف</t>
        </is>
      </c>
      <c r="H12" s="17" t="inlineStr">
        <is>
          <t>سكاكا</t>
        </is>
      </c>
      <c r="I12" s="17" t="inlineStr">
        <is>
          <t>الجوف</t>
        </is>
      </c>
      <c r="J12" s="17" t="n">
        <v>1</v>
      </c>
      <c r="K12" s="17" t="n">
        <v>1</v>
      </c>
      <c r="L12" s="17" t="n">
        <v>1</v>
      </c>
      <c r="M12" s="17" t="n">
        <v>1</v>
      </c>
      <c r="N12" s="17" t="n">
        <v>1</v>
      </c>
      <c r="O12" s="17" t="n">
        <v>1</v>
      </c>
      <c r="P12" s="17" t="n">
        <v>1</v>
      </c>
      <c r="Q1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" s="13" t="n"/>
      <c r="S12" s="17" t="n"/>
    </row>
    <row r="13" ht="17" customHeight="1">
      <c r="A13" s="17">
        <f>1+A12</f>
        <v/>
      </c>
      <c r="B13" s="17" t="inlineStr">
        <is>
          <t>إيزوف</t>
        </is>
      </c>
      <c r="C13" s="17" t="inlineStr">
        <is>
          <t>عبدالله فهد الخليوي</t>
        </is>
      </c>
      <c r="D13" s="17" t="n">
        <v>505221717</v>
      </c>
      <c r="E13" s="17" t="inlineStr">
        <is>
          <t>لايوجد</t>
        </is>
      </c>
      <c r="F13" s="17" t="inlineStr">
        <is>
          <t>أكاديمية</t>
        </is>
      </c>
      <c r="G13" s="17" t="inlineStr">
        <is>
          <t>نجران</t>
        </is>
      </c>
      <c r="H13" s="17" t="inlineStr">
        <is>
          <t>نجران</t>
        </is>
      </c>
      <c r="I13" s="17" t="inlineStr">
        <is>
          <t>نجران</t>
        </is>
      </c>
      <c r="J13" s="17" t="n">
        <v>1</v>
      </c>
      <c r="K13" s="17" t="n">
        <v>1</v>
      </c>
      <c r="L13" s="17" t="n">
        <v>1</v>
      </c>
      <c r="M13" s="17" t="n">
        <v>0</v>
      </c>
      <c r="N13" s="17" t="n">
        <v>0</v>
      </c>
      <c r="O13" s="17" t="n">
        <v>0</v>
      </c>
      <c r="P13" s="17" t="n">
        <v>0</v>
      </c>
      <c r="Q1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" s="13" t="n"/>
      <c r="S13" s="17" t="n"/>
    </row>
    <row r="14" ht="14" customHeight="1">
      <c r="A14" s="17">
        <f>1+A13</f>
        <v/>
      </c>
      <c r="B14" s="17" t="inlineStr">
        <is>
          <t>مدارس الرياض</t>
        </is>
      </c>
      <c r="C14" s="17" t="inlineStr">
        <is>
          <t>صالح الخريجي</t>
        </is>
      </c>
      <c r="D14" s="17" t="n">
        <v>503605980</v>
      </c>
      <c r="E14" s="17" t="inlineStr">
        <is>
          <t>وادي مسك الرياضي</t>
        </is>
      </c>
      <c r="F14" s="17" t="inlineStr">
        <is>
          <t>أكاديمية</t>
        </is>
      </c>
      <c r="G14" s="17" t="inlineStr">
        <is>
          <t>الرياض</t>
        </is>
      </c>
      <c r="H14" s="17" t="inlineStr">
        <is>
          <t>الرياض</t>
        </is>
      </c>
      <c r="I14" s="17" t="inlineStr">
        <is>
          <t>الرياض</t>
        </is>
      </c>
      <c r="J14" s="17" t="n">
        <v>0</v>
      </c>
      <c r="K14" s="17" t="n">
        <v>1</v>
      </c>
      <c r="L14" s="17" t="n">
        <v>2</v>
      </c>
      <c r="M14" s="17" t="n">
        <v>2</v>
      </c>
      <c r="N14" s="17" t="n">
        <v>3</v>
      </c>
      <c r="O14" s="17" t="n">
        <v>1</v>
      </c>
      <c r="P14" s="17" t="n">
        <v>0</v>
      </c>
      <c r="Q1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" s="13" t="n"/>
      <c r="S14" s="17" t="n"/>
    </row>
    <row r="15" ht="17" customHeight="1">
      <c r="A15" s="17">
        <f>1+A14</f>
        <v/>
      </c>
      <c r="B15" s="17" t="inlineStr">
        <is>
          <t>الترجي</t>
        </is>
      </c>
      <c r="C15" s="17" t="inlineStr">
        <is>
          <t>نذير رضا المقبل</t>
        </is>
      </c>
      <c r="D15" s="17" t="n">
        <v>550558414</v>
      </c>
      <c r="E15" s="17" t="inlineStr">
        <is>
          <t>رديف نادي الترجي</t>
        </is>
      </c>
      <c r="F15" s="17" t="inlineStr">
        <is>
          <t>نادي</t>
        </is>
      </c>
      <c r="G15" s="17" t="inlineStr">
        <is>
          <t>الشرقية</t>
        </is>
      </c>
      <c r="H15" s="17" t="inlineStr">
        <is>
          <t>القطيف</t>
        </is>
      </c>
      <c r="I15" s="17" t="inlineStr">
        <is>
          <t>القطيف</t>
        </is>
      </c>
      <c r="J15" s="17" t="n">
        <v>1</v>
      </c>
      <c r="K15" s="17" t="n">
        <v>0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" s="13" t="n"/>
      <c r="S15" s="17" t="n"/>
    </row>
    <row r="16" ht="17" customHeight="1">
      <c r="A16" s="17">
        <f>1+A15</f>
        <v/>
      </c>
      <c r="B16" s="17" t="inlineStr">
        <is>
          <t>عكاظ</t>
        </is>
      </c>
      <c r="C16" s="17" t="inlineStr">
        <is>
          <t>ثامر سعد العتيبي</t>
        </is>
      </c>
      <c r="D16" s="17" t="n">
        <v>530603397</v>
      </c>
      <c r="E16" s="17" t="inlineStr">
        <is>
          <t>عكاظ</t>
        </is>
      </c>
      <c r="F16" s="17" t="inlineStr">
        <is>
          <t>نادي</t>
        </is>
      </c>
      <c r="G16" s="17" t="inlineStr">
        <is>
          <t>مكة المكرمة</t>
        </is>
      </c>
      <c r="H16" s="17" t="inlineStr">
        <is>
          <t>الطائف</t>
        </is>
      </c>
      <c r="I16" s="17" t="inlineStr">
        <is>
          <t>الطائف</t>
        </is>
      </c>
      <c r="J16" s="17" t="n">
        <v>1</v>
      </c>
      <c r="K16" s="17" t="n">
        <v>1</v>
      </c>
      <c r="L16" s="17" t="n">
        <v>1</v>
      </c>
      <c r="M16" s="17" t="n">
        <v>1</v>
      </c>
      <c r="N16" s="17" t="n">
        <v>1</v>
      </c>
      <c r="O16" s="17" t="n">
        <v>1</v>
      </c>
      <c r="P16" s="17" t="n">
        <v>1</v>
      </c>
      <c r="Q1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" s="13" t="n"/>
      <c r="S16" s="17" t="n"/>
    </row>
    <row r="17" ht="17" customHeight="1">
      <c r="A17" s="17">
        <f>1+A16</f>
        <v/>
      </c>
      <c r="B17" s="17" t="inlineStr">
        <is>
          <t>الطائي</t>
        </is>
      </c>
      <c r="C17" s="17" t="inlineStr">
        <is>
          <t xml:space="preserve">راكان عبدالله الجزاع </t>
        </is>
      </c>
      <c r="D17" s="17" t="n">
        <v>531609486</v>
      </c>
      <c r="E17" s="17" t="inlineStr">
        <is>
          <t>الطائي -القديم</t>
        </is>
      </c>
      <c r="F17" s="17" t="inlineStr">
        <is>
          <t>نادي</t>
        </is>
      </c>
      <c r="G17" s="17" t="inlineStr">
        <is>
          <t>حائل</t>
        </is>
      </c>
      <c r="H17" s="17" t="inlineStr">
        <is>
          <t>حائل</t>
        </is>
      </c>
      <c r="I17" s="17" t="inlineStr">
        <is>
          <t>حائل</t>
        </is>
      </c>
      <c r="J17" s="17" t="n">
        <v>1</v>
      </c>
      <c r="K17" s="17" t="n">
        <v>1</v>
      </c>
      <c r="L17" s="17" t="n">
        <v>1</v>
      </c>
      <c r="M17" s="17" t="n">
        <v>1</v>
      </c>
      <c r="N17" s="17" t="n">
        <v>1</v>
      </c>
      <c r="O17" s="17" t="n">
        <v>1</v>
      </c>
      <c r="P17" s="17" t="n">
        <v>1</v>
      </c>
      <c r="Q1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" s="13" t="n"/>
      <c r="S17" s="17" t="n"/>
    </row>
    <row r="18" ht="17" customHeight="1">
      <c r="A18" s="17">
        <f>1+A17</f>
        <v/>
      </c>
      <c r="B18" s="17" t="inlineStr">
        <is>
          <t>اي ار سي</t>
        </is>
      </c>
      <c r="C18" s="17" t="inlineStr">
        <is>
          <t>عمرو صالح</t>
        </is>
      </c>
      <c r="D18" s="17" t="n">
        <v>542146212</v>
      </c>
      <c r="E18" s="17" t="inlineStr">
        <is>
          <t>اي ار سي</t>
        </is>
      </c>
      <c r="F18" s="17" t="inlineStr">
        <is>
          <t>أكاديمية</t>
        </is>
      </c>
      <c r="G18" s="17" t="inlineStr">
        <is>
          <t>الرياض</t>
        </is>
      </c>
      <c r="H18" s="17" t="inlineStr">
        <is>
          <t>الرياض</t>
        </is>
      </c>
      <c r="I18" s="17" t="inlineStr">
        <is>
          <t>الرياض</t>
        </is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1</v>
      </c>
      <c r="P18" s="17" t="n">
        <v>0</v>
      </c>
      <c r="Q1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" s="13" t="n"/>
      <c r="S18" s="17" t="n"/>
    </row>
    <row r="19" ht="17" customHeight="1">
      <c r="A19" s="17">
        <f>1+A18</f>
        <v/>
      </c>
      <c r="B19" s="17" t="inlineStr">
        <is>
          <t>هجوم أتاك</t>
        </is>
      </c>
      <c r="C19" s="17" t="inlineStr">
        <is>
          <t>عبيد عبدالله السبيعي</t>
        </is>
      </c>
      <c r="D19" s="17" t="n">
        <v>533560034</v>
      </c>
      <c r="E19" s="17" t="inlineStr">
        <is>
          <t>مونديال عكاظ</t>
        </is>
      </c>
      <c r="F19" s="17" t="inlineStr">
        <is>
          <t>أكاديمية</t>
        </is>
      </c>
      <c r="G19" s="17" t="inlineStr">
        <is>
          <t>الرياض</t>
        </is>
      </c>
      <c r="H19" s="17" t="inlineStr">
        <is>
          <t>الرياض</t>
        </is>
      </c>
      <c r="I19" s="17" t="inlineStr">
        <is>
          <t>الرياض</t>
        </is>
      </c>
      <c r="J19" s="17" t="n">
        <v>0</v>
      </c>
      <c r="K19" s="17" t="n">
        <v>1</v>
      </c>
      <c r="L19" s="17" t="n">
        <v>1</v>
      </c>
      <c r="M19" s="17" t="n">
        <v>1</v>
      </c>
      <c r="N19" s="17" t="n">
        <v>0</v>
      </c>
      <c r="O19" s="17" t="n">
        <v>0</v>
      </c>
      <c r="P19" s="17" t="n">
        <v>0</v>
      </c>
      <c r="Q1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" s="13" t="n"/>
      <c r="S19" s="17" t="n"/>
    </row>
    <row r="20" ht="17" customHeight="1">
      <c r="A20" s="17">
        <f>1+A19</f>
        <v/>
      </c>
      <c r="B20" s="17" t="inlineStr">
        <is>
          <t>كات</t>
        </is>
      </c>
      <c r="C20" s="17" t="inlineStr">
        <is>
          <t>فاطمة محمد الصالح</t>
        </is>
      </c>
      <c r="D20" s="17" t="n">
        <v>549090796</v>
      </c>
      <c r="E20" s="17" t="inlineStr">
        <is>
          <t>اكاديمية كات</t>
        </is>
      </c>
      <c r="F20" s="17" t="inlineStr">
        <is>
          <t>أكاديمية</t>
        </is>
      </c>
      <c r="G20" s="17" t="inlineStr">
        <is>
          <t>الشرقية</t>
        </is>
      </c>
      <c r="H20" s="17" t="inlineStr">
        <is>
          <t>القطيف</t>
        </is>
      </c>
      <c r="I20" s="17" t="inlineStr">
        <is>
          <t>القطيف</t>
        </is>
      </c>
      <c r="J20" s="17" t="n">
        <v>0</v>
      </c>
      <c r="K20" s="17" t="n">
        <v>0</v>
      </c>
      <c r="L20" s="17" t="n">
        <v>1</v>
      </c>
      <c r="M20" s="17" t="n">
        <v>1</v>
      </c>
      <c r="N20" s="17" t="n">
        <v>2</v>
      </c>
      <c r="O20" s="17" t="n">
        <v>1</v>
      </c>
      <c r="P20" s="17" t="n">
        <v>1</v>
      </c>
      <c r="Q2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" s="13" t="n"/>
      <c r="S20" s="17" t="n"/>
    </row>
    <row r="21" ht="17" customHeight="1">
      <c r="A21" s="17">
        <f>1+A20</f>
        <v/>
      </c>
      <c r="B21" s="17" t="inlineStr">
        <is>
          <t>الفيصلي</t>
        </is>
      </c>
      <c r="C21" s="17" t="inlineStr">
        <is>
          <t>سلمان ناصر ابن ضاوي</t>
        </is>
      </c>
      <c r="D21" s="17" t="n">
        <v>533515111</v>
      </c>
      <c r="E21" s="17" t="inlineStr">
        <is>
          <t xml:space="preserve">استاد مهارة </t>
        </is>
      </c>
      <c r="F21" s="17" t="inlineStr">
        <is>
          <t>نادي</t>
        </is>
      </c>
      <c r="G21" s="17" t="inlineStr">
        <is>
          <t>القصيم</t>
        </is>
      </c>
      <c r="H21" s="17" t="inlineStr">
        <is>
          <t>الرس</t>
        </is>
      </c>
      <c r="I21" s="17" t="inlineStr">
        <is>
          <t>الرس</t>
        </is>
      </c>
      <c r="J21" s="17" t="n">
        <v>0</v>
      </c>
      <c r="K21" s="17" t="n">
        <v>0</v>
      </c>
      <c r="L21" s="17" t="n">
        <v>1</v>
      </c>
      <c r="M21" s="17" t="n">
        <v>1</v>
      </c>
      <c r="N21" s="17" t="n">
        <v>1</v>
      </c>
      <c r="O21" s="17" t="n">
        <v>0</v>
      </c>
      <c r="P21" s="17" t="n">
        <v>0</v>
      </c>
      <c r="Q2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" s="13" t="n"/>
      <c r="S21" s="17" t="n"/>
    </row>
    <row r="22" ht="17" customHeight="1">
      <c r="A22" s="17">
        <f>1+A21</f>
        <v/>
      </c>
      <c r="B22" s="17" t="inlineStr">
        <is>
          <t>الجندل</t>
        </is>
      </c>
      <c r="C22" s="17" t="inlineStr">
        <is>
          <t>زياد حامد السالم</t>
        </is>
      </c>
      <c r="D22" s="17" t="n">
        <v>558512190</v>
      </c>
      <c r="E22" s="17" t="inlineStr">
        <is>
          <t>الجندل</t>
        </is>
      </c>
      <c r="F22" s="17" t="inlineStr">
        <is>
          <t>نادي</t>
        </is>
      </c>
      <c r="G22" s="17" t="inlineStr">
        <is>
          <t>الجوف</t>
        </is>
      </c>
      <c r="H22" s="17" t="inlineStr">
        <is>
          <t>دومة الجندل</t>
        </is>
      </c>
      <c r="I22" s="17" t="inlineStr">
        <is>
          <t>الجوف</t>
        </is>
      </c>
      <c r="J22" s="17" t="n">
        <v>1</v>
      </c>
      <c r="K22" s="17" t="n">
        <v>1</v>
      </c>
      <c r="L22" s="17" t="n">
        <v>1</v>
      </c>
      <c r="M22" s="17" t="n">
        <v>1</v>
      </c>
      <c r="N22" s="17" t="n">
        <v>3</v>
      </c>
      <c r="O22" s="17" t="n">
        <v>3</v>
      </c>
      <c r="P22" s="17" t="n">
        <v>3</v>
      </c>
      <c r="Q2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" s="13" t="n"/>
      <c r="S22" s="17" t="n"/>
    </row>
    <row r="23" ht="17" customHeight="1">
      <c r="A23" s="17">
        <f>1+A22</f>
        <v/>
      </c>
      <c r="B23" s="17" t="inlineStr">
        <is>
          <t>الشعبة</t>
        </is>
      </c>
      <c r="C23" s="17" t="inlineStr">
        <is>
          <t>عيسى احمد الناظري</t>
        </is>
      </c>
      <c r="D23" s="17" t="n">
        <v>560059223</v>
      </c>
      <c r="E23" s="17" t="inlineStr">
        <is>
          <t>درة الاحساء</t>
        </is>
      </c>
      <c r="F23" s="17" t="inlineStr">
        <is>
          <t>نادي</t>
        </is>
      </c>
      <c r="G23" s="17" t="inlineStr">
        <is>
          <t>الشرقية</t>
        </is>
      </c>
      <c r="H23" s="17" t="inlineStr">
        <is>
          <t>الأحساء</t>
        </is>
      </c>
      <c r="I23" s="17" t="inlineStr">
        <is>
          <t>الأحساء</t>
        </is>
      </c>
      <c r="J23" s="17" t="n">
        <v>1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" s="13" t="n"/>
      <c r="S23" s="17" t="n"/>
    </row>
    <row r="24" ht="17" customHeight="1">
      <c r="A24" s="17">
        <f>1+A23</f>
        <v/>
      </c>
      <c r="B24" s="17" t="inlineStr">
        <is>
          <t>نيوم</t>
        </is>
      </c>
      <c r="C24" s="17" t="inlineStr">
        <is>
          <t>شريف الزاير</t>
        </is>
      </c>
      <c r="D24" s="17" t="n">
        <v>507302025</v>
      </c>
      <c r="E24" s="17" t="inlineStr">
        <is>
          <t>نيوم</t>
        </is>
      </c>
      <c r="F24" s="17" t="inlineStr">
        <is>
          <t>نادي</t>
        </is>
      </c>
      <c r="G24" s="17" t="inlineStr">
        <is>
          <t>تبوك</t>
        </is>
      </c>
      <c r="H24" s="17" t="inlineStr">
        <is>
          <t>تبوك</t>
        </is>
      </c>
      <c r="I24" s="17" t="inlineStr">
        <is>
          <t>تبوك</t>
        </is>
      </c>
      <c r="J24" s="17" t="n">
        <v>1</v>
      </c>
      <c r="K24" s="17" t="n">
        <v>1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" s="13" t="n"/>
      <c r="S24" s="17" t="n"/>
    </row>
    <row r="25" ht="17" customHeight="1">
      <c r="A25" s="17">
        <f>1+A24</f>
        <v/>
      </c>
      <c r="B25" s="17" t="inlineStr">
        <is>
          <t>نخبة الحمدانية</t>
        </is>
      </c>
      <c r="C25" s="17" t="inlineStr">
        <is>
          <t>مصعب محمد الجدعاني</t>
        </is>
      </c>
      <c r="D25" s="17" t="n">
        <v>550445443</v>
      </c>
      <c r="E25" s="17" t="inlineStr">
        <is>
          <t>ابطال اوربا</t>
        </is>
      </c>
      <c r="F25" s="17" t="inlineStr">
        <is>
          <t>أكاديمية</t>
        </is>
      </c>
      <c r="G25" s="17" t="inlineStr">
        <is>
          <t>مكة المكرمة</t>
        </is>
      </c>
      <c r="H25" s="17" t="inlineStr">
        <is>
          <t>جدة</t>
        </is>
      </c>
      <c r="I25" s="17" t="inlineStr">
        <is>
          <t>جدة</t>
        </is>
      </c>
      <c r="J25" s="17" t="n">
        <v>0</v>
      </c>
      <c r="K25" s="17" t="n">
        <v>0</v>
      </c>
      <c r="L25" s="17" t="n">
        <v>0</v>
      </c>
      <c r="M25" s="17" t="n">
        <v>1</v>
      </c>
      <c r="N25" s="17" t="n">
        <v>1</v>
      </c>
      <c r="O25" s="17" t="n">
        <v>0</v>
      </c>
      <c r="P25" s="17" t="n">
        <v>0</v>
      </c>
      <c r="Q2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" s="13" t="n"/>
      <c r="S25" s="17" t="n"/>
    </row>
    <row r="26" ht="17" customHeight="1">
      <c r="A26" s="17">
        <f>1+A25</f>
        <v/>
      </c>
      <c r="B26" s="17" t="inlineStr">
        <is>
          <t>الكالتشيو</t>
        </is>
      </c>
      <c r="C26" s="17" t="inlineStr">
        <is>
          <t>مدني الهندي</t>
        </is>
      </c>
      <c r="D26" s="17" t="n">
        <v>566989990</v>
      </c>
      <c r="E26" s="17" t="inlineStr">
        <is>
          <t>الكالتشيو</t>
        </is>
      </c>
      <c r="F26" s="17" t="inlineStr">
        <is>
          <t>أكاديمية</t>
        </is>
      </c>
      <c r="G26" s="17" t="inlineStr">
        <is>
          <t>المدينة المنورة</t>
        </is>
      </c>
      <c r="H26" s="17" t="inlineStr">
        <is>
          <t>المدينة المنورة</t>
        </is>
      </c>
      <c r="I26" s="17" t="inlineStr">
        <is>
          <t>المدينة المنورة</t>
        </is>
      </c>
      <c r="J26" s="17" t="n">
        <v>1</v>
      </c>
      <c r="K26" s="17" t="n">
        <v>1</v>
      </c>
      <c r="L26" s="17" t="n">
        <v>1</v>
      </c>
      <c r="M26" s="17" t="n">
        <v>1</v>
      </c>
      <c r="N26" s="17" t="n">
        <v>2</v>
      </c>
      <c r="O26" s="17" t="n">
        <v>1</v>
      </c>
      <c r="P26" s="17" t="n">
        <v>1</v>
      </c>
      <c r="Q2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" s="13" t="n"/>
      <c r="S26" s="17" t="n"/>
    </row>
    <row r="27" ht="17" customHeight="1">
      <c r="A27" s="17">
        <f>1+A26</f>
        <v/>
      </c>
      <c r="B27" s="17" t="inlineStr">
        <is>
          <t>الدرعية</t>
        </is>
      </c>
      <c r="C27" s="17" t="inlineStr">
        <is>
          <t>ويليام فرانك مانينغ</t>
        </is>
      </c>
      <c r="D27" s="17" t="inlineStr">
        <is>
          <t>لايوجد</t>
        </is>
      </c>
      <c r="E27" s="17" t="inlineStr">
        <is>
          <t>الامل والمستقبل</t>
        </is>
      </c>
      <c r="F27" s="17" t="inlineStr">
        <is>
          <t>نادي</t>
        </is>
      </c>
      <c r="G27" s="17" t="inlineStr">
        <is>
          <t>الرياض</t>
        </is>
      </c>
      <c r="H27" s="17" t="inlineStr">
        <is>
          <t>الرياض</t>
        </is>
      </c>
      <c r="I27" s="17" t="inlineStr">
        <is>
          <t>الرياض</t>
        </is>
      </c>
      <c r="J27" s="17" t="n">
        <v>1</v>
      </c>
      <c r="K27" s="17" t="n">
        <v>0</v>
      </c>
      <c r="L27" s="17" t="n">
        <v>0</v>
      </c>
      <c r="M27" s="17" t="n">
        <v>0</v>
      </c>
      <c r="N27" s="17" t="n">
        <v>1</v>
      </c>
      <c r="O27" s="17" t="n">
        <v>0</v>
      </c>
      <c r="P27" s="17" t="n">
        <v>0</v>
      </c>
      <c r="Q2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" s="13" t="n"/>
      <c r="S27" s="17" t="n"/>
    </row>
    <row r="28" ht="17" customHeight="1">
      <c r="A28" s="17">
        <f>1+A27</f>
        <v/>
      </c>
      <c r="B28" s="17" t="inlineStr">
        <is>
          <t>دريمز إف سي</t>
        </is>
      </c>
      <c r="C28" s="17" t="inlineStr">
        <is>
          <t>وليد الهلال</t>
        </is>
      </c>
      <c r="D28" s="17" t="n">
        <v>533777202</v>
      </c>
      <c r="E28" s="17" t="inlineStr">
        <is>
          <t>المطوع بارك</t>
        </is>
      </c>
      <c r="F28" s="17" t="inlineStr">
        <is>
          <t>أكاديمية</t>
        </is>
      </c>
      <c r="G28" s="17" t="inlineStr">
        <is>
          <t>الرياض</t>
        </is>
      </c>
      <c r="H28" s="17" t="inlineStr">
        <is>
          <t>الرياض</t>
        </is>
      </c>
      <c r="I28" s="17" t="inlineStr">
        <is>
          <t>الرياض</t>
        </is>
      </c>
      <c r="J28" s="17" t="n">
        <v>0</v>
      </c>
      <c r="K28" s="17" t="n">
        <v>0</v>
      </c>
      <c r="L28" s="17" t="n">
        <v>1</v>
      </c>
      <c r="M28" s="17" t="n">
        <v>0</v>
      </c>
      <c r="N28" s="17" t="n">
        <v>1</v>
      </c>
      <c r="O28" s="17" t="n">
        <v>1</v>
      </c>
      <c r="P28" s="17" t="n">
        <v>0</v>
      </c>
      <c r="Q2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" s="13" t="n"/>
      <c r="S28" s="17" t="n"/>
    </row>
    <row r="29" ht="17" customHeight="1">
      <c r="A29" s="17">
        <f>1+A28</f>
        <v/>
      </c>
      <c r="B29" s="17" t="inlineStr">
        <is>
          <t xml:space="preserve">شباب المروج </t>
        </is>
      </c>
      <c r="C29" s="17" t="inlineStr">
        <is>
          <t>خلف الراوي الشمري</t>
        </is>
      </c>
      <c r="D29" s="17" t="n">
        <v>500992928</v>
      </c>
      <c r="E29" s="17" t="inlineStr">
        <is>
          <t xml:space="preserve">ملعب مدينة الامير عبدالله </t>
        </is>
      </c>
      <c r="F29" s="17" t="inlineStr">
        <is>
          <t>أكاديمية</t>
        </is>
      </c>
      <c r="G29" s="17" t="inlineStr">
        <is>
          <t>الجوف</t>
        </is>
      </c>
      <c r="H29" s="17" t="inlineStr">
        <is>
          <t>سكاكا</t>
        </is>
      </c>
      <c r="I29" s="17" t="inlineStr">
        <is>
          <t>الجوف</t>
        </is>
      </c>
      <c r="J29" s="17" t="n">
        <v>1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" s="13" t="n"/>
      <c r="S29" s="17" t="n"/>
    </row>
    <row r="30" ht="17" customHeight="1">
      <c r="A30" s="17">
        <f>1+A29</f>
        <v/>
      </c>
      <c r="B30" s="17" t="inlineStr">
        <is>
          <t>مهد الرياضية</t>
        </is>
      </c>
      <c r="C30" s="17" t="inlineStr">
        <is>
          <t xml:space="preserve">عبدالله فيصل حماد </t>
        </is>
      </c>
      <c r="D30" s="17" t="n">
        <v>558381111</v>
      </c>
      <c r="E30" s="17" t="inlineStr">
        <is>
          <t>الصائغ</t>
        </is>
      </c>
      <c r="F30" s="17" t="inlineStr">
        <is>
          <t>أكاديمية</t>
        </is>
      </c>
      <c r="G30" s="17" t="inlineStr">
        <is>
          <t>الرياض</t>
        </is>
      </c>
      <c r="H30" s="17" t="inlineStr">
        <is>
          <t>الرياض</t>
        </is>
      </c>
      <c r="I30" s="17" t="inlineStr">
        <is>
          <t>الرياض</t>
        </is>
      </c>
      <c r="J30" s="17" t="n">
        <v>1</v>
      </c>
      <c r="K30" s="17" t="n">
        <v>0</v>
      </c>
      <c r="L30" s="17" t="n">
        <v>1</v>
      </c>
      <c r="M30" s="17" t="n">
        <v>2</v>
      </c>
      <c r="N30" s="17" t="n">
        <v>1</v>
      </c>
      <c r="O30" s="17" t="n">
        <v>0</v>
      </c>
      <c r="P30" s="17" t="n">
        <v>0</v>
      </c>
      <c r="Q3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" s="13" t="n"/>
      <c r="S30" s="17" t="n"/>
    </row>
    <row r="31" ht="17" customHeight="1">
      <c r="A31" s="17">
        <f>1+A30</f>
        <v/>
      </c>
      <c r="B31" s="17" t="inlineStr">
        <is>
          <t>الذهب الرياضي</t>
        </is>
      </c>
      <c r="C31" s="17" t="inlineStr">
        <is>
          <t>سعود محيا المطيري</t>
        </is>
      </c>
      <c r="D31" s="17" t="n">
        <v>500705735</v>
      </c>
      <c r="E31" s="17" t="inlineStr">
        <is>
          <t>مهد الذهب</t>
        </is>
      </c>
      <c r="F31" s="17" t="inlineStr">
        <is>
          <t>نادي</t>
        </is>
      </c>
      <c r="G31" s="17" t="inlineStr">
        <is>
          <t>المدينة المنورة</t>
        </is>
      </c>
      <c r="H31" s="63" t="inlineStr">
        <is>
          <t>المدينة المنورة</t>
        </is>
      </c>
      <c r="I31" s="17" t="inlineStr">
        <is>
          <t>المدينة المنورة</t>
        </is>
      </c>
      <c r="J31" s="17" t="n">
        <v>1</v>
      </c>
      <c r="K31" s="17" t="n">
        <v>0</v>
      </c>
      <c r="L31" s="17" t="n">
        <v>1</v>
      </c>
      <c r="M31" s="17" t="n">
        <v>0</v>
      </c>
      <c r="N31" s="17" t="n">
        <v>0</v>
      </c>
      <c r="O31" s="17" t="n">
        <v>0</v>
      </c>
      <c r="P31" s="17" t="n">
        <v>0</v>
      </c>
      <c r="Q3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" s="13" t="n"/>
      <c r="S31" s="17" t="n"/>
    </row>
    <row r="32" ht="17" customHeight="1">
      <c r="A32" s="17">
        <f>1+A31</f>
        <v/>
      </c>
      <c r="B32" s="17" t="inlineStr">
        <is>
          <t>الملوك الرياضية</t>
        </is>
      </c>
      <c r="C32" s="17" t="inlineStr">
        <is>
          <t>طلال عبدالعزيز العتيبي</t>
        </is>
      </c>
      <c r="D32" s="17" t="n">
        <v>557771151</v>
      </c>
      <c r="E32" s="17" t="inlineStr">
        <is>
          <t>لايوجد</t>
        </is>
      </c>
      <c r="F32" s="17" t="inlineStr">
        <is>
          <t>أكاديمية</t>
        </is>
      </c>
      <c r="G32" s="17" t="inlineStr">
        <is>
          <t>مكة المكرمة</t>
        </is>
      </c>
      <c r="H32" s="17" t="inlineStr">
        <is>
          <t>جدة</t>
        </is>
      </c>
      <c r="I32" s="17" t="inlineStr">
        <is>
          <t>جدة</t>
        </is>
      </c>
      <c r="J32" s="17" t="n">
        <v>1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" s="13" t="n"/>
      <c r="S32" s="17" t="n"/>
    </row>
    <row r="33" ht="17" customHeight="1">
      <c r="A33" s="17">
        <f>1+A32</f>
        <v/>
      </c>
      <c r="B33" s="17" t="inlineStr">
        <is>
          <t>الرياض</t>
        </is>
      </c>
      <c r="C33" s="17" t="inlineStr">
        <is>
          <t>تركي عبدالله الحمودي</t>
        </is>
      </c>
      <c r="D33" s="17" t="n">
        <v>500008200</v>
      </c>
      <c r="E33" s="17" t="inlineStr">
        <is>
          <t>الانجيلة بنادي الرياض</t>
        </is>
      </c>
      <c r="F33" s="17" t="inlineStr">
        <is>
          <t>نادي</t>
        </is>
      </c>
      <c r="G33" s="17" t="inlineStr">
        <is>
          <t>الرياض</t>
        </is>
      </c>
      <c r="H33" s="17" t="inlineStr">
        <is>
          <t>الرياض</t>
        </is>
      </c>
      <c r="I33" s="17" t="inlineStr">
        <is>
          <t>الرياض</t>
        </is>
      </c>
      <c r="J33" s="17" t="n">
        <v>1</v>
      </c>
      <c r="K33" s="17" t="n">
        <v>1</v>
      </c>
      <c r="L33" s="17" t="n">
        <v>1</v>
      </c>
      <c r="M33" s="17" t="n">
        <v>1</v>
      </c>
      <c r="N33" s="17" t="n">
        <v>0</v>
      </c>
      <c r="O33" s="17" t="n">
        <v>0</v>
      </c>
      <c r="P33" s="17" t="n">
        <v>0</v>
      </c>
      <c r="Q3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" s="13" t="n"/>
      <c r="S33" s="17" t="n"/>
    </row>
    <row r="34" ht="17" customHeight="1">
      <c r="A34" s="17">
        <f>1+A33</f>
        <v/>
      </c>
      <c r="B34" s="17" t="inlineStr">
        <is>
          <t>مواهب الخالدية</t>
        </is>
      </c>
      <c r="C34" s="17" t="inlineStr">
        <is>
          <t>خالد محمد الاحمري</t>
        </is>
      </c>
      <c r="D34" s="17" t="n">
        <v>500426629</v>
      </c>
      <c r="E34" s="17" t="inlineStr">
        <is>
          <t>نجوم الملاعب</t>
        </is>
      </c>
      <c r="F34" s="17" t="inlineStr">
        <is>
          <t>أكاديمية</t>
        </is>
      </c>
      <c r="G34" s="17" t="inlineStr">
        <is>
          <t>الرياض</t>
        </is>
      </c>
      <c r="H34" s="17" t="inlineStr">
        <is>
          <t>الرياض</t>
        </is>
      </c>
      <c r="I34" s="17" t="inlineStr">
        <is>
          <t>الرياض</t>
        </is>
      </c>
      <c r="J34" s="17" t="n">
        <v>0</v>
      </c>
      <c r="K34" s="17" t="n">
        <v>0</v>
      </c>
      <c r="L34" s="17" t="n">
        <v>0</v>
      </c>
      <c r="M34" s="17" t="n">
        <v>1</v>
      </c>
      <c r="N34" s="17" t="n">
        <v>1</v>
      </c>
      <c r="O34" s="17" t="n">
        <v>1</v>
      </c>
      <c r="P34" s="17" t="n">
        <v>0</v>
      </c>
      <c r="Q3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" s="13" t="n"/>
      <c r="S34" s="17" t="n"/>
    </row>
    <row r="35" ht="17" customHeight="1">
      <c r="A35" s="17">
        <f>1+A34</f>
        <v/>
      </c>
      <c r="B35" s="17" t="inlineStr">
        <is>
          <t xml:space="preserve">أشبال البراعم </t>
        </is>
      </c>
      <c r="C35" s="17" t="inlineStr">
        <is>
          <t>منصور فوزي الدوسري</t>
        </is>
      </c>
      <c r="D35" s="17" t="n">
        <v>547639991</v>
      </c>
      <c r="E35" s="17" t="inlineStr">
        <is>
          <t>فور غروث</t>
        </is>
      </c>
      <c r="F35" s="17" t="inlineStr">
        <is>
          <t>أكاديمية</t>
        </is>
      </c>
      <c r="G35" s="17" t="inlineStr">
        <is>
          <t>الشرقية</t>
        </is>
      </c>
      <c r="H35" s="17" t="inlineStr">
        <is>
          <t>الدمام</t>
        </is>
      </c>
      <c r="I35" s="17" t="inlineStr">
        <is>
          <t>الشرقية</t>
        </is>
      </c>
      <c r="J35" s="17" t="n">
        <v>0</v>
      </c>
      <c r="K35" s="17" t="n">
        <v>1</v>
      </c>
      <c r="L35" s="17" t="n">
        <v>1</v>
      </c>
      <c r="M35" s="17" t="n">
        <v>1</v>
      </c>
      <c r="N35" s="17" t="n">
        <v>1</v>
      </c>
      <c r="O35" s="17" t="n">
        <v>1</v>
      </c>
      <c r="P35" s="17" t="n">
        <v>0</v>
      </c>
      <c r="Q3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" s="13" t="n"/>
      <c r="S35" s="17" t="n"/>
    </row>
    <row r="36" ht="17" customHeight="1">
      <c r="A36" s="17">
        <f>1+A35</f>
        <v/>
      </c>
      <c r="B36" s="17" t="inlineStr">
        <is>
          <t>المحيط</t>
        </is>
      </c>
      <c r="C36" s="17" t="inlineStr">
        <is>
          <t>سالم منصور السليمان</t>
        </is>
      </c>
      <c r="D36" s="17" t="n">
        <v>597611102</v>
      </c>
      <c r="E36" s="17" t="inlineStr">
        <is>
          <t>المحيط</t>
        </is>
      </c>
      <c r="F36" s="17" t="inlineStr">
        <is>
          <t>نادي</t>
        </is>
      </c>
      <c r="G36" s="17" t="inlineStr">
        <is>
          <t>الشرقية</t>
        </is>
      </c>
      <c r="H36" s="17" t="inlineStr">
        <is>
          <t>القطيف</t>
        </is>
      </c>
      <c r="I36" s="17" t="inlineStr">
        <is>
          <t>القطيف</t>
        </is>
      </c>
      <c r="J36" s="17" t="n">
        <v>0</v>
      </c>
      <c r="K36" s="17" t="n">
        <v>1</v>
      </c>
      <c r="L36" s="17" t="n">
        <v>1</v>
      </c>
      <c r="M36" s="17" t="n">
        <v>1</v>
      </c>
      <c r="N36" s="17" t="n">
        <v>0</v>
      </c>
      <c r="O36" s="17" t="n">
        <v>0</v>
      </c>
      <c r="P36" s="17" t="n">
        <v>0</v>
      </c>
      <c r="Q3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" s="13" t="n"/>
      <c r="S36" s="17" t="n"/>
    </row>
    <row r="37" ht="17" customHeight="1">
      <c r="A37" s="17">
        <f>1+A36</f>
        <v/>
      </c>
      <c r="B37" s="17" t="inlineStr">
        <is>
          <t>الرواد الرياضية</t>
        </is>
      </c>
      <c r="C37" s="17" t="inlineStr">
        <is>
          <t>عبدالله معدي ال عوض</t>
        </is>
      </c>
      <c r="D37" s="17" t="n">
        <v>555969798</v>
      </c>
      <c r="E37" s="17" t="inlineStr">
        <is>
          <t>الرواد ارينا</t>
        </is>
      </c>
      <c r="F37" s="17" t="inlineStr">
        <is>
          <t>أكاديمية</t>
        </is>
      </c>
      <c r="G37" s="17" t="inlineStr">
        <is>
          <t>عسير</t>
        </is>
      </c>
      <c r="H37" s="17" t="inlineStr">
        <is>
          <t>خميس مشيط</t>
        </is>
      </c>
      <c r="I37" s="17" t="inlineStr">
        <is>
          <t>عسير</t>
        </is>
      </c>
      <c r="J37" s="17" t="n">
        <v>1</v>
      </c>
      <c r="K37" s="17" t="n">
        <v>1</v>
      </c>
      <c r="L37" s="17" t="n">
        <v>0</v>
      </c>
      <c r="M37" s="17" t="n">
        <v>1</v>
      </c>
      <c r="N37" s="17" t="n">
        <v>1</v>
      </c>
      <c r="O37" s="17" t="n">
        <v>0</v>
      </c>
      <c r="P37" s="17" t="n">
        <v>0</v>
      </c>
      <c r="Q3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" s="13" t="n"/>
      <c r="S37" s="17" t="n"/>
    </row>
    <row r="38" ht="17" customHeight="1">
      <c r="A38" s="17">
        <f>1+A37</f>
        <v/>
      </c>
      <c r="B38" s="17" t="inlineStr">
        <is>
          <t>الانطلاق</t>
        </is>
      </c>
      <c r="C38" s="17" t="inlineStr">
        <is>
          <t>طلال الهريش الرويلي</t>
        </is>
      </c>
      <c r="D38" s="17" t="n">
        <v>530384363</v>
      </c>
      <c r="E38" s="17" t="inlineStr">
        <is>
          <t>الانطلاق</t>
        </is>
      </c>
      <c r="F38" s="17" t="inlineStr">
        <is>
          <t>نادي</t>
        </is>
      </c>
      <c r="G38" s="17" t="inlineStr">
        <is>
          <t>الجوف</t>
        </is>
      </c>
      <c r="H38" s="17" t="inlineStr">
        <is>
          <t>سكاكا</t>
        </is>
      </c>
      <c r="I38" s="17" t="inlineStr">
        <is>
          <t>الجوف</t>
        </is>
      </c>
      <c r="J38" s="17" t="n">
        <v>1</v>
      </c>
      <c r="K38" s="17" t="n">
        <v>0</v>
      </c>
      <c r="L38" s="17" t="n">
        <v>1</v>
      </c>
      <c r="M38" s="17" t="n">
        <v>1</v>
      </c>
      <c r="N38" s="17" t="n">
        <v>2</v>
      </c>
      <c r="O38" s="17" t="n">
        <v>2</v>
      </c>
      <c r="P38" s="17" t="n">
        <v>2</v>
      </c>
      <c r="Q3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" s="13" t="n"/>
      <c r="S38" s="17" t="n"/>
    </row>
    <row r="39" ht="17" customHeight="1">
      <c r="A39" s="17">
        <f>1+A38</f>
        <v/>
      </c>
      <c r="B39" s="17" t="inlineStr">
        <is>
          <t>الجبلين</t>
        </is>
      </c>
      <c r="C39" s="17" t="inlineStr">
        <is>
          <t>سالم محمد الراجح</t>
        </is>
      </c>
      <c r="D39" s="17" t="n">
        <v>503172526</v>
      </c>
      <c r="E39" s="17" t="inlineStr">
        <is>
          <t>رديف نادي الجبلين</t>
        </is>
      </c>
      <c r="F39" s="17" t="inlineStr">
        <is>
          <t>نادي</t>
        </is>
      </c>
      <c r="G39" s="17" t="inlineStr">
        <is>
          <t>حائل</t>
        </is>
      </c>
      <c r="H39" s="17" t="inlineStr">
        <is>
          <t>حائل</t>
        </is>
      </c>
      <c r="I39" s="17" t="inlineStr">
        <is>
          <t>حائل</t>
        </is>
      </c>
      <c r="J39" s="17" t="n">
        <v>1</v>
      </c>
      <c r="K39" s="17" t="n">
        <v>1</v>
      </c>
      <c r="L39" s="17" t="n">
        <v>1</v>
      </c>
      <c r="M39" s="17" t="n">
        <v>1</v>
      </c>
      <c r="N39" s="17" t="n">
        <v>1</v>
      </c>
      <c r="O39" s="17" t="n">
        <v>1</v>
      </c>
      <c r="P39" s="17" t="n">
        <v>1</v>
      </c>
      <c r="Q3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" s="13" t="n"/>
      <c r="S39" s="17" t="n"/>
    </row>
    <row r="40" ht="17" customHeight="1">
      <c r="A40" s="17">
        <f>1+A39</f>
        <v/>
      </c>
      <c r="B40" s="17" t="inlineStr">
        <is>
          <t>مواهب الحفر</t>
        </is>
      </c>
      <c r="C40" s="17" t="inlineStr">
        <is>
          <t>عبدالله العنزي</t>
        </is>
      </c>
      <c r="D40" s="17" t="n">
        <v>507685732</v>
      </c>
      <c r="E40" s="17" t="inlineStr">
        <is>
          <t>لايوجد</t>
        </is>
      </c>
      <c r="F40" s="17" t="inlineStr">
        <is>
          <t>أكاديمية</t>
        </is>
      </c>
      <c r="G40" s="17" t="inlineStr">
        <is>
          <t>الشرقية</t>
        </is>
      </c>
      <c r="H40" s="17" t="inlineStr">
        <is>
          <t>حفر الباطن</t>
        </is>
      </c>
      <c r="I40" s="17" t="inlineStr">
        <is>
          <t>حفر الباطن</t>
        </is>
      </c>
      <c r="J40" s="17" t="n">
        <v>1</v>
      </c>
      <c r="K40" s="17" t="n">
        <v>1</v>
      </c>
      <c r="L40" s="17" t="n">
        <v>2</v>
      </c>
      <c r="M40" s="17" t="n">
        <v>1</v>
      </c>
      <c r="N40" s="17" t="n">
        <v>1</v>
      </c>
      <c r="O40" s="17" t="n">
        <v>1</v>
      </c>
      <c r="P40" s="17" t="n">
        <v>1</v>
      </c>
      <c r="Q4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" s="13" t="n"/>
      <c r="S40" s="17" t="n"/>
    </row>
    <row r="41" ht="17" customHeight="1">
      <c r="A41" s="17">
        <f>1+A40</f>
        <v/>
      </c>
      <c r="B41" s="17" t="inlineStr">
        <is>
          <t>وينرز</t>
        </is>
      </c>
      <c r="C41" s="17" t="inlineStr">
        <is>
          <t>عبدالعزيز الدعيلج</t>
        </is>
      </c>
      <c r="D41" s="17" t="n">
        <v>550313771</v>
      </c>
      <c r="E41" s="17" t="inlineStr">
        <is>
          <t>وينرز</t>
        </is>
      </c>
      <c r="F41" s="17" t="inlineStr">
        <is>
          <t>نادي</t>
        </is>
      </c>
      <c r="G41" s="17" t="inlineStr">
        <is>
          <t>الشرقية</t>
        </is>
      </c>
      <c r="H41" s="17" t="inlineStr">
        <is>
          <t>الدمام</t>
        </is>
      </c>
      <c r="I41" s="17" t="inlineStr">
        <is>
          <t>الشرقية</t>
        </is>
      </c>
      <c r="J41" s="17" t="n">
        <v>1</v>
      </c>
      <c r="K41" s="17" t="n">
        <v>1</v>
      </c>
      <c r="L41" s="17" t="n">
        <v>2</v>
      </c>
      <c r="M41" s="17" t="n">
        <v>2</v>
      </c>
      <c r="N41" s="17" t="n">
        <v>3</v>
      </c>
      <c r="O41" s="17" t="n">
        <v>2</v>
      </c>
      <c r="P41" s="17" t="n">
        <v>2</v>
      </c>
      <c r="Q4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" s="13" t="n"/>
      <c r="S41" s="17" t="n"/>
    </row>
    <row r="42" ht="17" customHeight="1">
      <c r="A42" s="17">
        <f>1+A41</f>
        <v/>
      </c>
      <c r="B42" s="17" t="inlineStr">
        <is>
          <t>الاتفاق</t>
        </is>
      </c>
      <c r="C42" s="17" t="inlineStr">
        <is>
          <t>حمد عبدالله المطوع</t>
        </is>
      </c>
      <c r="D42" s="17" t="n">
        <v>504981449</v>
      </c>
      <c r="E42" s="17" t="inlineStr">
        <is>
          <t>الرديف الصناعي بنادي الاتفاق</t>
        </is>
      </c>
      <c r="F42" s="17" t="inlineStr">
        <is>
          <t>نادي</t>
        </is>
      </c>
      <c r="G42" s="17" t="inlineStr">
        <is>
          <t>الشرقية</t>
        </is>
      </c>
      <c r="H42" s="17" t="inlineStr">
        <is>
          <t>الخبر</t>
        </is>
      </c>
      <c r="I42" s="17" t="inlineStr">
        <is>
          <t>الشرقية</t>
        </is>
      </c>
      <c r="J42" s="17" t="n">
        <v>1</v>
      </c>
      <c r="K42" s="17" t="n">
        <v>1</v>
      </c>
      <c r="L42" s="17" t="n">
        <v>2</v>
      </c>
      <c r="M42" s="17" t="n">
        <v>2</v>
      </c>
      <c r="N42" s="17" t="n">
        <v>2</v>
      </c>
      <c r="O42" s="17" t="n">
        <v>1</v>
      </c>
      <c r="P42" s="17" t="n">
        <v>0</v>
      </c>
      <c r="Q4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" s="13" t="n"/>
      <c r="S42" s="17" t="n"/>
    </row>
    <row r="43" ht="17" customHeight="1">
      <c r="A43" s="17">
        <f>1+A42</f>
        <v/>
      </c>
      <c r="B43" s="17" t="inlineStr">
        <is>
          <t>الجيل</t>
        </is>
      </c>
      <c r="C43" s="17" t="inlineStr">
        <is>
          <t>مروان خليل الذكر الله</t>
        </is>
      </c>
      <c r="D43" s="17" t="n">
        <v>591008981</v>
      </c>
      <c r="E43" s="17" t="inlineStr">
        <is>
          <t>الجيل</t>
        </is>
      </c>
      <c r="F43" s="17" t="inlineStr">
        <is>
          <t>نادي</t>
        </is>
      </c>
      <c r="G43" s="17" t="inlineStr">
        <is>
          <t>الشرقية</t>
        </is>
      </c>
      <c r="H43" s="17" t="inlineStr">
        <is>
          <t>الأحساء</t>
        </is>
      </c>
      <c r="I43" s="17" t="inlineStr">
        <is>
          <t>الأحساء</t>
        </is>
      </c>
      <c r="J43" s="17" t="n">
        <v>1</v>
      </c>
      <c r="K43" s="17" t="n">
        <v>1</v>
      </c>
      <c r="L43" s="17" t="n">
        <v>0</v>
      </c>
      <c r="M43" s="17" t="n">
        <v>0</v>
      </c>
      <c r="N43" s="17" t="n">
        <v>1</v>
      </c>
      <c r="O43" s="17" t="n">
        <v>1</v>
      </c>
      <c r="P43" s="17" t="n">
        <v>0</v>
      </c>
      <c r="Q4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" s="13" t="n"/>
      <c r="S43" s="17" t="n"/>
    </row>
    <row r="44" ht="17" customHeight="1">
      <c r="A44" s="17">
        <f>1+A43</f>
        <v/>
      </c>
      <c r="B44" s="17" t="inlineStr">
        <is>
          <t>يوفنتوس جدة</t>
        </is>
      </c>
      <c r="C44" s="17" t="inlineStr">
        <is>
          <t>وليد الشعيبي</t>
        </is>
      </c>
      <c r="D44" s="17" t="n">
        <v>509352326</v>
      </c>
      <c r="E44" s="17" t="inlineStr">
        <is>
          <t xml:space="preserve">اكاديمية نون </t>
        </is>
      </c>
      <c r="F44" s="17" t="inlineStr">
        <is>
          <t>أكاديمية</t>
        </is>
      </c>
      <c r="G44" s="17" t="inlineStr">
        <is>
          <t>مكة المكرمة</t>
        </is>
      </c>
      <c r="H44" s="17" t="inlineStr">
        <is>
          <t>جدة</t>
        </is>
      </c>
      <c r="I44" s="17" t="inlineStr">
        <is>
          <t>جدة</t>
        </is>
      </c>
      <c r="J44" s="17" t="n">
        <v>0</v>
      </c>
      <c r="K44" s="17" t="n">
        <v>1</v>
      </c>
      <c r="L44" s="17" t="n">
        <v>0</v>
      </c>
      <c r="M44" s="17" t="n">
        <v>1</v>
      </c>
      <c r="N44" s="17" t="n">
        <v>0</v>
      </c>
      <c r="O44" s="17" t="n">
        <v>0</v>
      </c>
      <c r="P44" s="17" t="n">
        <v>0</v>
      </c>
      <c r="Q4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" s="13" t="n"/>
      <c r="S44" s="17" t="n"/>
    </row>
    <row r="45" ht="17" customHeight="1">
      <c r="A45" s="17">
        <f>1+A44</f>
        <v/>
      </c>
      <c r="B45" s="17" t="inlineStr">
        <is>
          <t>يوفنتوس الخبر</t>
        </is>
      </c>
      <c r="C45" s="17" t="inlineStr">
        <is>
          <t>وليد الشعيبي</t>
        </is>
      </c>
      <c r="D45" s="17" t="n">
        <v>509352326</v>
      </c>
      <c r="E45" s="17" t="inlineStr">
        <is>
          <t xml:space="preserve">جامعة اليمامة </t>
        </is>
      </c>
      <c r="F45" s="17" t="inlineStr">
        <is>
          <t>أكاديمية</t>
        </is>
      </c>
      <c r="G45" s="17" t="inlineStr">
        <is>
          <t>الشرقية</t>
        </is>
      </c>
      <c r="H45" s="17" t="inlineStr">
        <is>
          <t>الخبر</t>
        </is>
      </c>
      <c r="I45" s="17" t="inlineStr">
        <is>
          <t>الشرقية</t>
        </is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1</v>
      </c>
      <c r="O45" s="17" t="n">
        <v>0</v>
      </c>
      <c r="P45" s="17" t="n">
        <v>0</v>
      </c>
      <c r="Q4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" s="13" t="n"/>
      <c r="S45" s="17" t="n"/>
    </row>
    <row r="46" ht="17" customHeight="1">
      <c r="A46" s="17">
        <f>1+A45</f>
        <v/>
      </c>
      <c r="B46" s="17" t="inlineStr">
        <is>
          <t>الجوكر</t>
        </is>
      </c>
      <c r="C46" s="17" t="inlineStr">
        <is>
          <t>مؤيد الدريهم</t>
        </is>
      </c>
      <c r="D46" s="17" t="n">
        <v>559366026</v>
      </c>
      <c r="E46" s="17" t="inlineStr">
        <is>
          <t>مدرسة أسيست</t>
        </is>
      </c>
      <c r="F46" s="17" t="inlineStr">
        <is>
          <t>أكاديمية</t>
        </is>
      </c>
      <c r="G46" s="17" t="inlineStr">
        <is>
          <t>الرياض</t>
        </is>
      </c>
      <c r="H46" s="17" t="inlineStr">
        <is>
          <t>الرياض</t>
        </is>
      </c>
      <c r="I46" s="17" t="inlineStr">
        <is>
          <t>الرياض</t>
        </is>
      </c>
      <c r="J46" s="17" t="n">
        <v>1</v>
      </c>
      <c r="K46" s="17" t="n">
        <v>1</v>
      </c>
      <c r="L46" s="17" t="n">
        <v>1</v>
      </c>
      <c r="M46" s="17" t="n">
        <v>1</v>
      </c>
      <c r="N46" s="17" t="n">
        <v>0</v>
      </c>
      <c r="O46" s="17" t="n">
        <v>0</v>
      </c>
      <c r="P46" s="17" t="n">
        <v>0</v>
      </c>
      <c r="Q4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" s="13" t="n"/>
      <c r="S46" s="17" t="n"/>
    </row>
    <row r="47" ht="17" customHeight="1">
      <c r="A47" s="17">
        <f>1+A46</f>
        <v/>
      </c>
      <c r="B47" s="17" t="inlineStr">
        <is>
          <t xml:space="preserve"> هاي ليفل اوف برفورمانس</t>
        </is>
      </c>
      <c r="C47" s="17" t="inlineStr">
        <is>
          <t>عمر ممحمد الجليان</t>
        </is>
      </c>
      <c r="D47" s="17" t="n">
        <v>566780780</v>
      </c>
      <c r="E47" s="17" t="inlineStr">
        <is>
          <t xml:space="preserve">لايوجد </t>
        </is>
      </c>
      <c r="F47" s="17" t="inlineStr">
        <is>
          <t>أكاديمية</t>
        </is>
      </c>
      <c r="G47" s="17" t="inlineStr">
        <is>
          <t>الرياض</t>
        </is>
      </c>
      <c r="H47" s="17" t="inlineStr">
        <is>
          <t>الرياض</t>
        </is>
      </c>
      <c r="I47" s="17" t="inlineStr">
        <is>
          <t>الرياض</t>
        </is>
      </c>
      <c r="J47" s="17" t="n">
        <v>0</v>
      </c>
      <c r="K47" s="17" t="n">
        <v>1</v>
      </c>
      <c r="L47" s="17" t="n">
        <v>1</v>
      </c>
      <c r="M47" s="17" t="n">
        <v>2</v>
      </c>
      <c r="N47" s="17" t="n">
        <v>2</v>
      </c>
      <c r="O47" s="17" t="n">
        <v>2</v>
      </c>
      <c r="P47" s="17" t="n">
        <v>1</v>
      </c>
      <c r="Q4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" s="13" t="n"/>
      <c r="S47" s="17" t="n"/>
    </row>
    <row r="48" ht="17" customHeight="1">
      <c r="A48" s="17">
        <f>1+A47</f>
        <v/>
      </c>
      <c r="B48" s="17" t="inlineStr">
        <is>
          <t>مهارة لاعب</t>
        </is>
      </c>
      <c r="C48" s="17" t="inlineStr">
        <is>
          <t xml:space="preserve">عبدالله سيف الحربي </t>
        </is>
      </c>
      <c r="D48" s="17" t="n">
        <v>550228585</v>
      </c>
      <c r="E48" s="17" t="inlineStr">
        <is>
          <t>مهارة لاعب</t>
        </is>
      </c>
      <c r="F48" s="17" t="inlineStr">
        <is>
          <t>أكاديمية</t>
        </is>
      </c>
      <c r="G48" s="17" t="inlineStr">
        <is>
          <t>القصيم</t>
        </is>
      </c>
      <c r="H48" s="17" t="inlineStr">
        <is>
          <t>الرس</t>
        </is>
      </c>
      <c r="I48" s="17" t="inlineStr">
        <is>
          <t>الرس</t>
        </is>
      </c>
      <c r="J48" s="17" t="n">
        <v>1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" s="13" t="n"/>
      <c r="S48" s="17" t="n"/>
    </row>
    <row r="49" ht="17" customHeight="1">
      <c r="A49" s="17">
        <f>1+A48</f>
        <v/>
      </c>
      <c r="B49" s="17" t="inlineStr">
        <is>
          <t>حطين</t>
        </is>
      </c>
      <c r="C49" s="17" t="inlineStr">
        <is>
          <t xml:space="preserve">شريف صالح سهلي </t>
        </is>
      </c>
      <c r="D49" s="17" t="n">
        <v>50774773</v>
      </c>
      <c r="E49" s="17" t="inlineStr">
        <is>
          <t xml:space="preserve">مدينة الملك فيصل الرياضية </t>
        </is>
      </c>
      <c r="F49" s="17" t="inlineStr">
        <is>
          <t>نادي</t>
        </is>
      </c>
      <c r="G49" s="17" t="inlineStr">
        <is>
          <t>جازان</t>
        </is>
      </c>
      <c r="H49" s="17" t="inlineStr">
        <is>
          <t>صامطة</t>
        </is>
      </c>
      <c r="I49" s="17" t="inlineStr">
        <is>
          <t>جازان</t>
        </is>
      </c>
      <c r="J49" s="17" t="n">
        <v>1</v>
      </c>
      <c r="K49" s="17" t="n">
        <v>1</v>
      </c>
      <c r="L49" s="17" t="n">
        <v>1</v>
      </c>
      <c r="M49" s="17" t="n">
        <v>1</v>
      </c>
      <c r="N49" s="17" t="n">
        <v>0</v>
      </c>
      <c r="O49" s="17" t="n">
        <v>0</v>
      </c>
      <c r="P49" s="17" t="n">
        <v>0</v>
      </c>
      <c r="Q4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" s="13" t="n"/>
      <c r="S49" s="17" t="n"/>
    </row>
    <row r="50" ht="17" customHeight="1">
      <c r="A50" s="17">
        <f>1+A49</f>
        <v/>
      </c>
      <c r="B50" s="13" t="inlineStr">
        <is>
          <t>اورباه ستارز</t>
        </is>
      </c>
      <c r="C50" s="13" t="inlineStr">
        <is>
          <t>محمد الصيعري</t>
        </is>
      </c>
      <c r="D50" s="13" t="n">
        <v>501673755</v>
      </c>
      <c r="E50" s="13" t="inlineStr">
        <is>
          <t xml:space="preserve">الجوهرة </t>
        </is>
      </c>
      <c r="F50" s="13" t="inlineStr">
        <is>
          <t>أكاديمية</t>
        </is>
      </c>
      <c r="G50" s="13" t="inlineStr">
        <is>
          <t>مكة المكرمة</t>
        </is>
      </c>
      <c r="H50" s="13" t="inlineStr">
        <is>
          <t>جدة</t>
        </is>
      </c>
      <c r="I50" s="17" t="inlineStr">
        <is>
          <t>جدة</t>
        </is>
      </c>
      <c r="J50" s="13" t="n">
        <v>1</v>
      </c>
      <c r="K50" s="13" t="n">
        <v>1</v>
      </c>
      <c r="L50" s="13" t="n">
        <v>2</v>
      </c>
      <c r="M50" s="13" t="n">
        <v>0</v>
      </c>
      <c r="N50" s="13" t="n">
        <v>0</v>
      </c>
      <c r="O50" s="13" t="n">
        <v>0</v>
      </c>
      <c r="P50" s="13" t="n">
        <v>0</v>
      </c>
      <c r="Q5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" s="13" t="n"/>
      <c r="S50" s="17" t="n"/>
    </row>
    <row r="51" ht="17" customHeight="1">
      <c r="A51" s="17">
        <f>1+A50</f>
        <v/>
      </c>
      <c r="B51" s="17" t="inlineStr">
        <is>
          <t>الانصار</t>
        </is>
      </c>
      <c r="C51" s="17" t="inlineStr">
        <is>
          <t>باسم عوده البلادي</t>
        </is>
      </c>
      <c r="D51" s="17" t="n">
        <v>559777633</v>
      </c>
      <c r="E51" s="17" t="inlineStr">
        <is>
          <t>رديف 2 الانصار</t>
        </is>
      </c>
      <c r="F51" s="17" t="inlineStr">
        <is>
          <t>نادي</t>
        </is>
      </c>
      <c r="G51" s="17" t="inlineStr">
        <is>
          <t>المدينة المنورة</t>
        </is>
      </c>
      <c r="H51" s="17" t="inlineStr">
        <is>
          <t>المدينة المنورة</t>
        </is>
      </c>
      <c r="I51" s="17" t="inlineStr">
        <is>
          <t>المدينة المنورة</t>
        </is>
      </c>
      <c r="J51" s="17" t="n">
        <v>1</v>
      </c>
      <c r="K51" s="17" t="n">
        <v>1</v>
      </c>
      <c r="L51" s="17" t="n">
        <v>2</v>
      </c>
      <c r="M51" s="17" t="n">
        <v>2</v>
      </c>
      <c r="N51" s="17" t="n">
        <v>3</v>
      </c>
      <c r="O51" s="17" t="n">
        <v>3</v>
      </c>
      <c r="P51" s="17" t="n">
        <v>4</v>
      </c>
      <c r="Q5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" s="13" t="n"/>
      <c r="S51" s="17" t="n"/>
    </row>
    <row r="52" ht="17" customHeight="1">
      <c r="A52" s="17">
        <f>1+A51</f>
        <v/>
      </c>
      <c r="B52" s="13" t="inlineStr">
        <is>
          <t>نادي الاهلي السعودي</t>
        </is>
      </c>
      <c r="C52" s="13" t="inlineStr">
        <is>
          <t>اسامة هوساوي</t>
        </is>
      </c>
      <c r="D52" s="13" t="n">
        <v>53333554</v>
      </c>
      <c r="E52" s="13" t="inlineStr">
        <is>
          <t>اكاديمية نادي الاهلي</t>
        </is>
      </c>
      <c r="F52" s="13" t="inlineStr">
        <is>
          <t>نادي</t>
        </is>
      </c>
      <c r="G52" s="13" t="inlineStr">
        <is>
          <t>مكة المكرمة</t>
        </is>
      </c>
      <c r="H52" s="13" t="inlineStr">
        <is>
          <t>جدة</t>
        </is>
      </c>
      <c r="I52" s="17" t="inlineStr">
        <is>
          <t>جدة</t>
        </is>
      </c>
      <c r="J52" s="13" t="n">
        <v>1</v>
      </c>
      <c r="K52" s="13" t="n">
        <v>1</v>
      </c>
      <c r="L52" s="13" t="n">
        <v>2</v>
      </c>
      <c r="M52" s="13" t="n">
        <v>2</v>
      </c>
      <c r="N52" s="13" t="n">
        <v>3</v>
      </c>
      <c r="O52" s="13" t="n">
        <v>3</v>
      </c>
      <c r="P52" s="13" t="n">
        <v>3</v>
      </c>
      <c r="Q5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" s="13" t="n"/>
      <c r="S52" s="17" t="n"/>
    </row>
    <row r="53" ht="17" customHeight="1">
      <c r="A53" s="17">
        <f>1+A52</f>
        <v/>
      </c>
      <c r="B53" s="17" t="inlineStr">
        <is>
          <t>مواهب الشرق</t>
        </is>
      </c>
      <c r="C53" s="17" t="inlineStr">
        <is>
          <t>احمد هليل العنزي</t>
        </is>
      </c>
      <c r="D53" s="17" t="n">
        <v>555232556</v>
      </c>
      <c r="E53" s="17" t="inlineStr">
        <is>
          <t>قابوس</t>
        </is>
      </c>
      <c r="F53" s="17" t="inlineStr">
        <is>
          <t>أكاديمية</t>
        </is>
      </c>
      <c r="G53" s="17" t="inlineStr">
        <is>
          <t>الرياض</t>
        </is>
      </c>
      <c r="H53" s="17" t="inlineStr">
        <is>
          <t>الرياض</t>
        </is>
      </c>
      <c r="I53" s="17" t="inlineStr">
        <is>
          <t>الرياض</t>
        </is>
      </c>
      <c r="J53" s="17" t="n">
        <v>1</v>
      </c>
      <c r="K53" s="17" t="n">
        <v>1</v>
      </c>
      <c r="L53" s="17" t="n">
        <v>1</v>
      </c>
      <c r="M53" s="17" t="n">
        <v>1</v>
      </c>
      <c r="N53" s="17" t="n">
        <v>1</v>
      </c>
      <c r="O53" s="17" t="n">
        <v>1</v>
      </c>
      <c r="P53" s="17" t="n">
        <v>1</v>
      </c>
      <c r="Q5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" s="13" t="n"/>
      <c r="S53" s="17" t="n"/>
    </row>
    <row r="54" ht="17" customHeight="1">
      <c r="A54" s="17">
        <f>1+A53</f>
        <v/>
      </c>
      <c r="B54" s="17" t="inlineStr">
        <is>
          <t>الدمام السعودي</t>
        </is>
      </c>
      <c r="C54" s="17" t="inlineStr">
        <is>
          <t>سلطان محمد السبيعي</t>
        </is>
      </c>
      <c r="D54" s="17" t="n">
        <v>509966696</v>
      </c>
      <c r="E54" s="17" t="inlineStr">
        <is>
          <t>لايوجد</t>
        </is>
      </c>
      <c r="F54" s="17" t="inlineStr">
        <is>
          <t>نادي</t>
        </is>
      </c>
      <c r="G54" s="17" t="inlineStr">
        <is>
          <t>الشرقية</t>
        </is>
      </c>
      <c r="H54" s="17" t="inlineStr">
        <is>
          <t>الدمام</t>
        </is>
      </c>
      <c r="I54" s="17" t="inlineStr">
        <is>
          <t>الشرقية</t>
        </is>
      </c>
      <c r="J54" s="17" t="n">
        <v>1</v>
      </c>
      <c r="K54" s="17" t="n">
        <v>1</v>
      </c>
      <c r="L54" s="17" t="n">
        <v>1</v>
      </c>
      <c r="M54" s="17" t="n">
        <v>1</v>
      </c>
      <c r="N54" s="17" t="n">
        <v>0</v>
      </c>
      <c r="O54" s="17" t="n">
        <v>0</v>
      </c>
      <c r="P54" s="17" t="n">
        <v>0</v>
      </c>
      <c r="Q5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" s="13" t="n"/>
      <c r="S54" s="17" t="n"/>
    </row>
    <row r="55" ht="17" customHeight="1">
      <c r="A55" s="17">
        <f>1+A54</f>
        <v/>
      </c>
      <c r="B55" s="17" t="inlineStr">
        <is>
          <t>المجد النموذجية</t>
        </is>
      </c>
      <c r="C55" s="17" t="inlineStr">
        <is>
          <t>عبدالمجيد محمد الراجحي</t>
        </is>
      </c>
      <c r="D55" s="17" t="n">
        <v>550206999</v>
      </c>
      <c r="E55" s="17" t="inlineStr">
        <is>
          <t>ماديرا</t>
        </is>
      </c>
      <c r="F55" s="17" t="inlineStr">
        <is>
          <t>أكاديمية</t>
        </is>
      </c>
      <c r="G55" s="17" t="inlineStr">
        <is>
          <t>مكة المكرمة</t>
        </is>
      </c>
      <c r="H55" s="17" t="inlineStr">
        <is>
          <t>جدة</t>
        </is>
      </c>
      <c r="I55" s="17" t="inlineStr">
        <is>
          <t>جدة</t>
        </is>
      </c>
      <c r="J55" s="17" t="n">
        <v>1</v>
      </c>
      <c r="K55" s="17" t="n">
        <v>1</v>
      </c>
      <c r="L55" s="17" t="n">
        <v>2</v>
      </c>
      <c r="M55" s="17" t="n">
        <v>2</v>
      </c>
      <c r="N55" s="17" t="n">
        <v>2</v>
      </c>
      <c r="O55" s="17" t="n">
        <v>2</v>
      </c>
      <c r="P55" s="17" t="n">
        <v>2</v>
      </c>
      <c r="Q5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" s="13" t="n"/>
      <c r="S55" s="17" t="n"/>
    </row>
    <row r="56" ht="17" customHeight="1">
      <c r="A56" s="17">
        <f>1+A55</f>
        <v/>
      </c>
      <c r="B56" s="17" t="inlineStr">
        <is>
          <t xml:space="preserve">مواهب الدانة </t>
        </is>
      </c>
      <c r="C56" s="17" t="inlineStr">
        <is>
          <t xml:space="preserve">تركي زين الدين </t>
        </is>
      </c>
      <c r="D56" s="17" t="n">
        <v>505821403</v>
      </c>
      <c r="E56" s="17" t="inlineStr">
        <is>
          <t>المطوع</t>
        </is>
      </c>
      <c r="F56" s="17" t="inlineStr">
        <is>
          <t>أكاديمية</t>
        </is>
      </c>
      <c r="G56" s="17" t="inlineStr">
        <is>
          <t>الشرقية</t>
        </is>
      </c>
      <c r="H56" s="17" t="inlineStr">
        <is>
          <t>القطيف</t>
        </is>
      </c>
      <c r="I56" s="17" t="inlineStr">
        <is>
          <t>القطيف</t>
        </is>
      </c>
      <c r="J56" s="17" t="n">
        <v>0</v>
      </c>
      <c r="K56" s="17" t="n">
        <v>0</v>
      </c>
      <c r="L56" s="17" t="n">
        <v>1</v>
      </c>
      <c r="M56" s="17" t="n">
        <v>1</v>
      </c>
      <c r="N56" s="17" t="n">
        <v>1</v>
      </c>
      <c r="O56" s="17" t="n">
        <v>1</v>
      </c>
      <c r="P56" s="17" t="n">
        <v>1</v>
      </c>
      <c r="Q5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6" s="13" t="n"/>
      <c r="S56" s="17" t="n"/>
    </row>
    <row r="57" ht="17" customHeight="1">
      <c r="A57" s="17">
        <f>1+A56</f>
        <v/>
      </c>
      <c r="B57" s="17" t="inlineStr">
        <is>
          <t>خالد مبارك الرياضية</t>
        </is>
      </c>
      <c r="C57" s="17" t="inlineStr">
        <is>
          <t xml:space="preserve"> بندر خالد الدحيم</t>
        </is>
      </c>
      <c r="D57" s="17" t="n">
        <v>508999801</v>
      </c>
      <c r="E57" s="17" t="inlineStr">
        <is>
          <t>ملاعب فندق القصيبي</t>
        </is>
      </c>
      <c r="F57" s="17" t="inlineStr">
        <is>
          <t>أكاديمية</t>
        </is>
      </c>
      <c r="G57" s="17" t="inlineStr">
        <is>
          <t>الشرقية</t>
        </is>
      </c>
      <c r="H57" s="17" t="inlineStr">
        <is>
          <t>الخبر</t>
        </is>
      </c>
      <c r="I57" s="17" t="inlineStr">
        <is>
          <t>الشرقية</t>
        </is>
      </c>
      <c r="J57" s="17" t="n">
        <v>0</v>
      </c>
      <c r="K57" s="17" t="n">
        <v>0</v>
      </c>
      <c r="L57" s="17" t="n">
        <v>1</v>
      </c>
      <c r="M57" s="17" t="n">
        <v>1</v>
      </c>
      <c r="N57" s="17" t="n">
        <v>0</v>
      </c>
      <c r="O57" s="17" t="n">
        <v>0</v>
      </c>
      <c r="P57" s="17" t="n">
        <v>0</v>
      </c>
      <c r="Q5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7" s="13" t="n"/>
      <c r="S57" s="17" t="n"/>
    </row>
    <row r="58" ht="17" customHeight="1">
      <c r="A58" s="17">
        <f>1+A57</f>
        <v/>
      </c>
      <c r="B58" s="17" t="inlineStr">
        <is>
          <t xml:space="preserve">قادسية الخبر </t>
        </is>
      </c>
      <c r="C58" s="17" t="inlineStr">
        <is>
          <t xml:space="preserve">خليل العيسى </t>
        </is>
      </c>
      <c r="D58" s="17" t="n">
        <v>501918000</v>
      </c>
      <c r="E58" s="17" t="inlineStr">
        <is>
          <t>لا يوجد</t>
        </is>
      </c>
      <c r="F58" s="17" t="inlineStr">
        <is>
          <t>أكاديمية</t>
        </is>
      </c>
      <c r="G58" s="17" t="inlineStr">
        <is>
          <t>الشرقية</t>
        </is>
      </c>
      <c r="H58" s="17" t="inlineStr">
        <is>
          <t>الخبر</t>
        </is>
      </c>
      <c r="I58" s="17" t="inlineStr">
        <is>
          <t>الشرقية</t>
        </is>
      </c>
      <c r="J58" s="17" t="n">
        <v>0</v>
      </c>
      <c r="K58" s="17" t="n">
        <v>1</v>
      </c>
      <c r="L58" s="17" t="n">
        <v>2</v>
      </c>
      <c r="M58" s="17" t="n">
        <v>2</v>
      </c>
      <c r="N58" s="17" t="n">
        <v>3</v>
      </c>
      <c r="O58" s="17" t="n">
        <v>3</v>
      </c>
      <c r="P58" s="17" t="n">
        <v>1</v>
      </c>
      <c r="Q5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8" s="13" t="n"/>
      <c r="S58" s="17" t="n"/>
    </row>
    <row r="59" ht="17" customHeight="1">
      <c r="A59" s="17">
        <f>1+A58</f>
        <v/>
      </c>
      <c r="B59" s="17" t="inlineStr">
        <is>
          <t>قادسية الاحساء</t>
        </is>
      </c>
      <c r="C59" s="17" t="inlineStr">
        <is>
          <t xml:space="preserve">خليل العيسى </t>
        </is>
      </c>
      <c r="D59" s="17" t="n">
        <v>501918000</v>
      </c>
      <c r="E59" s="17" t="inlineStr">
        <is>
          <t>لايوجد</t>
        </is>
      </c>
      <c r="F59" s="17" t="inlineStr">
        <is>
          <t>أكاديمية</t>
        </is>
      </c>
      <c r="G59" s="17" t="inlineStr">
        <is>
          <t>الشرقية</t>
        </is>
      </c>
      <c r="H59" s="17" t="inlineStr">
        <is>
          <t>الأحساء</t>
        </is>
      </c>
      <c r="I59" s="17" t="inlineStr">
        <is>
          <t>الأحساء</t>
        </is>
      </c>
      <c r="J59" s="17" t="n">
        <v>0</v>
      </c>
      <c r="K59" s="17" t="n">
        <v>0</v>
      </c>
      <c r="L59" s="17" t="n">
        <v>1</v>
      </c>
      <c r="M59" s="17" t="n">
        <v>1</v>
      </c>
      <c r="N59" s="17" t="n">
        <v>2</v>
      </c>
      <c r="O59" s="17" t="n">
        <v>1</v>
      </c>
      <c r="P59" s="17" t="n">
        <v>0</v>
      </c>
      <c r="Q5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9" s="13" t="n"/>
      <c r="S59" s="17" t="n"/>
    </row>
    <row r="60" ht="17" customHeight="1">
      <c r="A60" s="17">
        <f>1+A59</f>
        <v/>
      </c>
      <c r="B60" s="17" t="inlineStr">
        <is>
          <t>الشنانة</t>
        </is>
      </c>
      <c r="C60" s="17" t="inlineStr">
        <is>
          <t>بشارة الدسوقي</t>
        </is>
      </c>
      <c r="D60" s="17" t="n">
        <v>531246862</v>
      </c>
      <c r="E60" s="17" t="inlineStr">
        <is>
          <t>TO34</t>
        </is>
      </c>
      <c r="F60" s="17" t="inlineStr">
        <is>
          <t>أكاديمية</t>
        </is>
      </c>
      <c r="G60" s="17" t="inlineStr">
        <is>
          <t>القصيم</t>
        </is>
      </c>
      <c r="H60" s="17" t="inlineStr">
        <is>
          <t>الرس</t>
        </is>
      </c>
      <c r="I60" s="17" t="inlineStr">
        <is>
          <t>الرس</t>
        </is>
      </c>
      <c r="J60" s="17" t="n">
        <v>1</v>
      </c>
      <c r="K60" s="17" t="n">
        <v>1</v>
      </c>
      <c r="L60" s="17" t="n">
        <v>1</v>
      </c>
      <c r="M60" s="17" t="n">
        <v>1</v>
      </c>
      <c r="N60" s="17" t="n">
        <v>1</v>
      </c>
      <c r="O60" s="17" t="n">
        <v>0</v>
      </c>
      <c r="P60" s="17" t="n">
        <v>0</v>
      </c>
      <c r="Q6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0" s="13" t="n"/>
      <c r="S60" s="17" t="n"/>
    </row>
    <row r="61" ht="17" customHeight="1">
      <c r="A61" s="17">
        <f>1+A60</f>
        <v/>
      </c>
      <c r="B61" s="17" t="inlineStr">
        <is>
          <t xml:space="preserve">فيصل الدخيل </t>
        </is>
      </c>
      <c r="C61" s="17" t="inlineStr">
        <is>
          <t>فيصل الدخيل</t>
        </is>
      </c>
      <c r="D61" s="17" t="n">
        <v>559505959</v>
      </c>
      <c r="E61" s="17" t="inlineStr">
        <is>
          <t>الهدف</t>
        </is>
      </c>
      <c r="F61" s="17" t="inlineStr">
        <is>
          <t>أكاديمية</t>
        </is>
      </c>
      <c r="G61" s="17" t="inlineStr">
        <is>
          <t>الشرقية</t>
        </is>
      </c>
      <c r="H61" s="17" t="inlineStr">
        <is>
          <t>حفر الباطن</t>
        </is>
      </c>
      <c r="I61" s="17" t="inlineStr">
        <is>
          <t>حفر الباطن</t>
        </is>
      </c>
      <c r="J61" s="17" t="n">
        <v>1</v>
      </c>
      <c r="K61" s="17" t="n">
        <v>1</v>
      </c>
      <c r="L61" s="17" t="n">
        <v>1</v>
      </c>
      <c r="M61" s="17" t="n">
        <v>1</v>
      </c>
      <c r="N61" s="17" t="n">
        <v>1</v>
      </c>
      <c r="O61" s="17" t="n">
        <v>1</v>
      </c>
      <c r="P61" s="17" t="n">
        <v>1</v>
      </c>
      <c r="Q6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1" s="13" t="n"/>
      <c r="S61" s="17" t="n"/>
    </row>
    <row r="62" ht="17" customHeight="1">
      <c r="A62" s="17">
        <f>1+A61</f>
        <v/>
      </c>
      <c r="B62" s="17" t="inlineStr">
        <is>
          <t>أحلام المنصورة</t>
        </is>
      </c>
      <c r="C62" s="17" t="inlineStr">
        <is>
          <t>محمد طه السلطان</t>
        </is>
      </c>
      <c r="D62" s="17" t="n">
        <v>560553521</v>
      </c>
      <c r="E62" s="17" t="inlineStr">
        <is>
          <t>الديربي</t>
        </is>
      </c>
      <c r="F62" s="17" t="inlineStr">
        <is>
          <t>أكاديمية</t>
        </is>
      </c>
      <c r="G62" s="17" t="inlineStr">
        <is>
          <t>الشرقية</t>
        </is>
      </c>
      <c r="H62" s="17" t="inlineStr">
        <is>
          <t>الأحساء</t>
        </is>
      </c>
      <c r="I62" s="17" t="inlineStr">
        <is>
          <t>الأحساء</t>
        </is>
      </c>
      <c r="J62" s="17" t="n">
        <v>1</v>
      </c>
      <c r="K62" s="17" t="n">
        <v>1</v>
      </c>
      <c r="L62" s="17" t="n">
        <v>2</v>
      </c>
      <c r="M62" s="17" t="n">
        <v>2</v>
      </c>
      <c r="N62" s="17" t="n">
        <v>3</v>
      </c>
      <c r="O62" s="17" t="n">
        <v>2</v>
      </c>
      <c r="P62" s="17" t="n">
        <v>2</v>
      </c>
      <c r="Q6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2" s="13" t="n"/>
      <c r="S62" s="17" t="n"/>
    </row>
    <row r="63" ht="17" customHeight="1">
      <c r="A63" s="17">
        <f>1+A62</f>
        <v/>
      </c>
      <c r="B63" s="17" t="inlineStr">
        <is>
          <t>الفتح</t>
        </is>
      </c>
      <c r="C63" s="17" t="inlineStr">
        <is>
          <t>احمد عبدالمجيد العيسى</t>
        </is>
      </c>
      <c r="D63" s="17" t="n">
        <v>505923214</v>
      </c>
      <c r="E63" s="17" t="inlineStr">
        <is>
          <t>رديف الفتح</t>
        </is>
      </c>
      <c r="F63" s="17" t="inlineStr">
        <is>
          <t>نادي</t>
        </is>
      </c>
      <c r="G63" s="17" t="inlineStr">
        <is>
          <t>الشرقية</t>
        </is>
      </c>
      <c r="H63" s="17" t="inlineStr">
        <is>
          <t>الأحساء</t>
        </is>
      </c>
      <c r="I63" s="17" t="inlineStr">
        <is>
          <t>الأحساء</t>
        </is>
      </c>
      <c r="J63" s="17" t="n">
        <v>1</v>
      </c>
      <c r="K63" s="17" t="n">
        <v>1</v>
      </c>
      <c r="L63" s="17" t="n">
        <v>2</v>
      </c>
      <c r="M63" s="17" t="n">
        <v>2</v>
      </c>
      <c r="N63" s="17" t="n">
        <v>2</v>
      </c>
      <c r="O63" s="17" t="n">
        <v>2</v>
      </c>
      <c r="P63" s="17" t="n">
        <v>0</v>
      </c>
      <c r="Q6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3" s="13" t="n"/>
      <c r="S63" s="17" t="n"/>
    </row>
    <row r="64" ht="17" customHeight="1">
      <c r="A64" s="17">
        <f>1+A63</f>
        <v/>
      </c>
      <c r="B64" s="17" t="inlineStr">
        <is>
          <t>اكاديمية جدة الاحترافية</t>
        </is>
      </c>
      <c r="C64" s="17" t="inlineStr">
        <is>
          <t>نائف الصحابي</t>
        </is>
      </c>
      <c r="D64" s="17" t="n">
        <v>597190992</v>
      </c>
      <c r="E64" s="17" t="inlineStr">
        <is>
          <t xml:space="preserve">لايوجد </t>
        </is>
      </c>
      <c r="F64" s="17" t="inlineStr">
        <is>
          <t>أكاديمية</t>
        </is>
      </c>
      <c r="G64" s="17" t="inlineStr">
        <is>
          <t>مكة المكرمة</t>
        </is>
      </c>
      <c r="H64" s="17" t="inlineStr">
        <is>
          <t>جدة</t>
        </is>
      </c>
      <c r="I64" s="17" t="inlineStr">
        <is>
          <t>جدة</t>
        </is>
      </c>
      <c r="J64" s="17" t="n">
        <v>1</v>
      </c>
      <c r="K64" s="17" t="n">
        <v>0</v>
      </c>
      <c r="L64" s="17" t="n">
        <v>1</v>
      </c>
      <c r="M64" s="17" t="n">
        <v>0</v>
      </c>
      <c r="N64" s="17" t="n">
        <v>0</v>
      </c>
      <c r="O64" s="17" t="n">
        <v>0</v>
      </c>
      <c r="P64" s="17" t="n">
        <v>0</v>
      </c>
      <c r="Q6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4" s="13" t="n"/>
      <c r="S64" s="17" t="n"/>
    </row>
    <row r="65" ht="17" customHeight="1">
      <c r="A65" s="17">
        <f>1+A64</f>
        <v/>
      </c>
      <c r="B65" s="17" t="inlineStr">
        <is>
          <t>اكاديمية الأسياد</t>
        </is>
      </c>
      <c r="C65" s="17" t="inlineStr">
        <is>
          <t>مطلق الشلوي</t>
        </is>
      </c>
      <c r="D65" s="17" t="n">
        <v>561646725</v>
      </c>
      <c r="E65" s="17" t="inlineStr">
        <is>
          <t>ملعب الاسياد - حديقه الامراء</t>
        </is>
      </c>
      <c r="F65" s="17" t="inlineStr">
        <is>
          <t>أكاديمية</t>
        </is>
      </c>
      <c r="G65" s="17" t="inlineStr">
        <is>
          <t>مكة المكرمة</t>
        </is>
      </c>
      <c r="H65" s="17" t="inlineStr">
        <is>
          <t>مكة المكرمة</t>
        </is>
      </c>
      <c r="I65" s="17" t="inlineStr">
        <is>
          <t>مكة المكرمة</t>
        </is>
      </c>
      <c r="J65" s="17" t="n">
        <v>1</v>
      </c>
      <c r="K65" s="17" t="n">
        <v>0</v>
      </c>
      <c r="L65" s="17" t="n">
        <v>1</v>
      </c>
      <c r="M65" s="17" t="n">
        <v>1</v>
      </c>
      <c r="N65" s="17" t="n">
        <v>1</v>
      </c>
      <c r="O65" s="17" t="n">
        <v>1</v>
      </c>
      <c r="P65" s="17" t="n">
        <v>1</v>
      </c>
      <c r="Q6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5" s="13" t="n"/>
      <c r="S65" s="17" t="n"/>
    </row>
    <row r="66" ht="17" customHeight="1">
      <c r="A66" s="17">
        <f>1+A65</f>
        <v/>
      </c>
      <c r="B66" s="17" t="inlineStr">
        <is>
          <t>اكاديمية الشنكل</t>
        </is>
      </c>
      <c r="C66" s="17" t="inlineStr">
        <is>
          <t>عبدالله لافي</t>
        </is>
      </c>
      <c r="D66" s="17" t="n">
        <v>559900567</v>
      </c>
      <c r="E66" s="17" t="inlineStr">
        <is>
          <t>ملاعب اليورو</t>
        </is>
      </c>
      <c r="F66" s="17" t="inlineStr">
        <is>
          <t>أكاديمية</t>
        </is>
      </c>
      <c r="G66" s="17" t="inlineStr">
        <is>
          <t>الرياض</t>
        </is>
      </c>
      <c r="H66" s="17" t="inlineStr">
        <is>
          <t>الرياض</t>
        </is>
      </c>
      <c r="I66" s="17" t="inlineStr">
        <is>
          <t>الرياض</t>
        </is>
      </c>
      <c r="J66" s="17" t="n">
        <v>1</v>
      </c>
      <c r="K66" s="17" t="n">
        <v>0</v>
      </c>
      <c r="L66" s="17" t="n">
        <v>1</v>
      </c>
      <c r="M66" s="17" t="n">
        <v>0</v>
      </c>
      <c r="N66" s="17" t="n">
        <v>1</v>
      </c>
      <c r="O66" s="17" t="n">
        <v>1</v>
      </c>
      <c r="P66" s="17" t="n">
        <v>1</v>
      </c>
      <c r="Q6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6" s="13" t="n"/>
      <c r="S66" s="17" t="n"/>
    </row>
    <row r="67" ht="17" customHeight="1">
      <c r="A67" s="17">
        <f>1+A66</f>
        <v/>
      </c>
      <c r="B67" s="17" t="inlineStr">
        <is>
          <t>ضباء</t>
        </is>
      </c>
      <c r="C67" s="17" t="inlineStr">
        <is>
          <t>ياسر العقيل</t>
        </is>
      </c>
      <c r="D67" s="17" t="n">
        <v>532676668</v>
      </c>
      <c r="E67" s="17" t="inlineStr">
        <is>
          <t>ملعب ضباء</t>
        </is>
      </c>
      <c r="F67" s="17" t="inlineStr">
        <is>
          <t>نادي</t>
        </is>
      </c>
      <c r="G67" s="17" t="inlineStr">
        <is>
          <t>تبوك</t>
        </is>
      </c>
      <c r="H67" s="63" t="inlineStr">
        <is>
          <t>تبوك</t>
        </is>
      </c>
      <c r="I67" s="17" t="inlineStr">
        <is>
          <t>تبوك</t>
        </is>
      </c>
      <c r="J67" s="17" t="n">
        <v>1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7" s="13" t="n"/>
      <c r="S67" s="17" t="n"/>
    </row>
    <row r="68" ht="17" customHeight="1">
      <c r="A68" s="17">
        <f>1+A67</f>
        <v/>
      </c>
      <c r="B68" s="17" t="inlineStr">
        <is>
          <t>كرة النجوم</t>
        </is>
      </c>
      <c r="C68" s="17" t="inlineStr">
        <is>
          <t>محمد قاسم</t>
        </is>
      </c>
      <c r="D68" s="17" t="n">
        <v>555770708</v>
      </c>
      <c r="E68" s="17" t="inlineStr">
        <is>
          <t>لايوجد</t>
        </is>
      </c>
      <c r="F68" s="17" t="inlineStr">
        <is>
          <t>أكاديمية</t>
        </is>
      </c>
      <c r="G68" s="17" t="inlineStr">
        <is>
          <t>مكة المكرمة</t>
        </is>
      </c>
      <c r="H68" s="17" t="inlineStr">
        <is>
          <t>مكة المكرمة</t>
        </is>
      </c>
      <c r="I68" s="17" t="inlineStr">
        <is>
          <t>مكة المكرمة</t>
        </is>
      </c>
      <c r="J68" s="17" t="n">
        <v>1</v>
      </c>
      <c r="K68" s="17" t="n">
        <v>0</v>
      </c>
      <c r="L68" s="17" t="n">
        <v>1</v>
      </c>
      <c r="M68" s="17" t="n">
        <v>1</v>
      </c>
      <c r="N68" s="17" t="n">
        <v>2</v>
      </c>
      <c r="O68" s="17" t="n">
        <v>1</v>
      </c>
      <c r="P68" s="17" t="n">
        <v>0</v>
      </c>
      <c r="Q6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8" s="13" t="n"/>
      <c r="S68" s="17" t="n"/>
    </row>
    <row r="69" ht="17" customHeight="1">
      <c r="A69" s="17">
        <f>1+A68</f>
        <v/>
      </c>
      <c r="B69" s="17" t="inlineStr">
        <is>
          <t>الوداد الطائفي</t>
        </is>
      </c>
      <c r="C69" s="17" t="inlineStr">
        <is>
          <t>دخيل الله الشيباني</t>
        </is>
      </c>
      <c r="D69" s="17" t="n">
        <v>552244348</v>
      </c>
      <c r="E69" s="17" t="inlineStr">
        <is>
          <t>ملعب الوداد الطائفي</t>
        </is>
      </c>
      <c r="F69" s="17" t="inlineStr">
        <is>
          <t>نادي</t>
        </is>
      </c>
      <c r="G69" s="17" t="inlineStr">
        <is>
          <t>مكة المكرمة</t>
        </is>
      </c>
      <c r="H69" s="17" t="inlineStr">
        <is>
          <t>الطائف</t>
        </is>
      </c>
      <c r="I69" s="17" t="inlineStr">
        <is>
          <t>الطائف</t>
        </is>
      </c>
      <c r="J69" s="17" t="n">
        <v>1</v>
      </c>
      <c r="K69" s="17" t="n">
        <v>1</v>
      </c>
      <c r="L69" s="17" t="n">
        <v>1</v>
      </c>
      <c r="M69" s="17" t="n">
        <v>1</v>
      </c>
      <c r="N69" s="17" t="n">
        <v>1</v>
      </c>
      <c r="O69" s="17" t="n">
        <v>1</v>
      </c>
      <c r="P69" s="17" t="n">
        <v>1</v>
      </c>
      <c r="Q6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69" s="13" t="n"/>
      <c r="S69" s="17" t="n"/>
    </row>
    <row r="70" ht="17" customHeight="1">
      <c r="A70" s="17">
        <f>1+A69</f>
        <v/>
      </c>
      <c r="B70" s="17" t="inlineStr">
        <is>
          <t>اكاديمية مجتمعي</t>
        </is>
      </c>
      <c r="C70" s="17" t="inlineStr">
        <is>
          <t>يوسف الحربي</t>
        </is>
      </c>
      <c r="D70" s="17" t="n">
        <v>558880147</v>
      </c>
      <c r="E70" s="17" t="inlineStr">
        <is>
          <t>دوم الحضاري</t>
        </is>
      </c>
      <c r="F70" s="17" t="inlineStr">
        <is>
          <t>أكاديمية</t>
        </is>
      </c>
      <c r="G70" s="17" t="inlineStr">
        <is>
          <t>المدينة المنورة</t>
        </is>
      </c>
      <c r="H70" s="17" t="inlineStr">
        <is>
          <t>المدينة المنورة</t>
        </is>
      </c>
      <c r="I70" s="17" t="inlineStr">
        <is>
          <t>المدينة المنورة</t>
        </is>
      </c>
      <c r="J70" s="17" t="n">
        <v>1</v>
      </c>
      <c r="K70" s="17" t="n">
        <v>1</v>
      </c>
      <c r="L70" s="17" t="n">
        <v>2</v>
      </c>
      <c r="M70" s="17" t="n">
        <v>2</v>
      </c>
      <c r="N70" s="17" t="n">
        <v>0</v>
      </c>
      <c r="O70" s="17" t="n">
        <v>0</v>
      </c>
      <c r="P70" s="17" t="n">
        <v>0</v>
      </c>
      <c r="Q7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0" s="13" t="n"/>
      <c r="S70" s="17" t="n"/>
    </row>
    <row r="71" ht="17" customHeight="1">
      <c r="A71" s="17">
        <f>1+A70</f>
        <v/>
      </c>
      <c r="B71" s="17" t="inlineStr">
        <is>
          <t>اكاديمية لاتين</t>
        </is>
      </c>
      <c r="C71" s="17" t="inlineStr">
        <is>
          <t>سيف الغامدي</t>
        </is>
      </c>
      <c r="D71" s="17" t="n">
        <v>543644757</v>
      </c>
      <c r="E71" s="17" t="inlineStr">
        <is>
          <t>ملعب الشاطئ</t>
        </is>
      </c>
      <c r="F71" s="17" t="inlineStr">
        <is>
          <t>أكاديمية</t>
        </is>
      </c>
      <c r="G71" s="17" t="inlineStr">
        <is>
          <t>مكة المكرمة</t>
        </is>
      </c>
      <c r="H71" s="17" t="inlineStr">
        <is>
          <t>جدة</t>
        </is>
      </c>
      <c r="I71" s="17" t="inlineStr">
        <is>
          <t>جدة</t>
        </is>
      </c>
      <c r="J71" s="17" t="n">
        <v>1</v>
      </c>
      <c r="K71" s="17" t="n">
        <v>0</v>
      </c>
      <c r="L71" s="17" t="n">
        <v>2</v>
      </c>
      <c r="M71" s="17" t="n">
        <v>0</v>
      </c>
      <c r="N71" s="17" t="n">
        <v>0</v>
      </c>
      <c r="O71" s="17" t="n">
        <v>0</v>
      </c>
      <c r="P71" s="17" t="n">
        <v>0</v>
      </c>
      <c r="Q7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1" s="13" t="n"/>
      <c r="S71" s="17" t="n"/>
    </row>
    <row r="72" ht="17" customHeight="1">
      <c r="A72" s="17">
        <f>1+A71</f>
        <v/>
      </c>
      <c r="B72" s="17" t="inlineStr">
        <is>
          <t xml:space="preserve">m 1 </t>
        </is>
      </c>
      <c r="C72" s="17" t="inlineStr">
        <is>
          <t xml:space="preserve">موسى علي جمعة </t>
        </is>
      </c>
      <c r="D72" s="17" t="n">
        <v>510301850</v>
      </c>
      <c r="E72" s="17" t="inlineStr">
        <is>
          <t>لايوجد</t>
        </is>
      </c>
      <c r="F72" s="17" t="inlineStr">
        <is>
          <t>هواة</t>
        </is>
      </c>
      <c r="G72" s="17" t="inlineStr">
        <is>
          <t>المدينة المنورة</t>
        </is>
      </c>
      <c r="H72" s="17" t="inlineStr">
        <is>
          <t>المدينة المنورة</t>
        </is>
      </c>
      <c r="I72" s="17" t="inlineStr">
        <is>
          <t>المدينة المنورة</t>
        </is>
      </c>
      <c r="J72" s="17" t="n">
        <v>0</v>
      </c>
      <c r="K72" s="17" t="n">
        <v>0</v>
      </c>
      <c r="L72" s="17" t="n">
        <v>1</v>
      </c>
      <c r="M72" s="17" t="n">
        <v>1</v>
      </c>
      <c r="N72" s="17" t="n">
        <v>1</v>
      </c>
      <c r="O72" s="17" t="n">
        <v>0</v>
      </c>
      <c r="P72" s="17" t="n">
        <v>0</v>
      </c>
      <c r="Q7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2" s="13" t="n"/>
      <c r="S72" s="17" t="inlineStr">
        <is>
          <t>نعم</t>
        </is>
      </c>
    </row>
    <row r="73" ht="17" customHeight="1">
      <c r="A73" s="17">
        <f>1+A72</f>
        <v/>
      </c>
      <c r="B73" s="17" t="inlineStr">
        <is>
          <t xml:space="preserve">الحزم جول </t>
        </is>
      </c>
      <c r="C73" s="17" t="inlineStr">
        <is>
          <t>ايهاب</t>
        </is>
      </c>
      <c r="D73" s="17" t="n">
        <v>542890420</v>
      </c>
      <c r="E73" s="17" t="inlineStr">
        <is>
          <t>لايوجد</t>
        </is>
      </c>
      <c r="F73" s="17" t="inlineStr">
        <is>
          <t>أكاديمية</t>
        </is>
      </c>
      <c r="G73" s="17" t="inlineStr">
        <is>
          <t>الرياض</t>
        </is>
      </c>
      <c r="H73" s="17" t="inlineStr">
        <is>
          <t>الرياض</t>
        </is>
      </c>
      <c r="I73" s="17" t="inlineStr">
        <is>
          <t>الرياض</t>
        </is>
      </c>
      <c r="J73" s="17" t="n">
        <v>0</v>
      </c>
      <c r="K73" s="17" t="n">
        <v>0</v>
      </c>
      <c r="L73" s="17" t="n">
        <v>1</v>
      </c>
      <c r="M73" s="17" t="n">
        <v>1</v>
      </c>
      <c r="N73" s="17" t="n">
        <v>1</v>
      </c>
      <c r="O73" s="17" t="n">
        <v>1</v>
      </c>
      <c r="P73" s="17" t="n">
        <v>0</v>
      </c>
      <c r="Q7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3" s="13" t="n"/>
      <c r="S73" s="17" t="n"/>
    </row>
    <row r="74" ht="17" customHeight="1">
      <c r="A74" s="17">
        <f>1+A73</f>
        <v/>
      </c>
      <c r="B74" s="17" t="inlineStr">
        <is>
          <t>المنار</t>
        </is>
      </c>
      <c r="C74" s="17" t="inlineStr">
        <is>
          <t>عبدالعزيز الشوشان</t>
        </is>
      </c>
      <c r="D74" s="17" t="n">
        <v>505219942</v>
      </c>
      <c r="E74" s="17" t="inlineStr">
        <is>
          <t xml:space="preserve">المطوع </t>
        </is>
      </c>
      <c r="F74" s="17" t="inlineStr">
        <is>
          <t>أكاديمية</t>
        </is>
      </c>
      <c r="G74" s="17" t="inlineStr">
        <is>
          <t>الرياض</t>
        </is>
      </c>
      <c r="H74" s="17" t="inlineStr">
        <is>
          <t>الرياض</t>
        </is>
      </c>
      <c r="I74" s="17" t="inlineStr">
        <is>
          <t>الرياض</t>
        </is>
      </c>
      <c r="J74" s="17" t="n">
        <v>0</v>
      </c>
      <c r="K74" s="17" t="n">
        <v>0</v>
      </c>
      <c r="L74" s="17" t="n">
        <v>1</v>
      </c>
      <c r="M74" s="17" t="n">
        <v>0</v>
      </c>
      <c r="N74" s="17" t="n">
        <v>0</v>
      </c>
      <c r="O74" s="17" t="n">
        <v>0</v>
      </c>
      <c r="P74" s="17" t="n">
        <v>0</v>
      </c>
      <c r="Q7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4" s="13" t="n"/>
      <c r="S74" s="17" t="n"/>
    </row>
    <row r="75" ht="17" customHeight="1">
      <c r="A75" s="17">
        <f>1+A74</f>
        <v/>
      </c>
      <c r="B75" s="17" t="inlineStr">
        <is>
          <t xml:space="preserve">اوتو مكة </t>
        </is>
      </c>
      <c r="C75" s="17" t="inlineStr">
        <is>
          <t>عمار عبدالله محمد</t>
        </is>
      </c>
      <c r="D75" s="17" t="n">
        <v>540782434</v>
      </c>
      <c r="E75" s="17" t="inlineStr">
        <is>
          <t>لايوجد</t>
        </is>
      </c>
      <c r="F75" s="17" t="inlineStr">
        <is>
          <t>هواة</t>
        </is>
      </c>
      <c r="G75" s="17" t="inlineStr">
        <is>
          <t>مكة المكرمة</t>
        </is>
      </c>
      <c r="H75" s="17" t="inlineStr">
        <is>
          <t>مكة المكرمة</t>
        </is>
      </c>
      <c r="I75" s="17" t="inlineStr">
        <is>
          <t>مكة المكرمة</t>
        </is>
      </c>
      <c r="J75" s="17" t="n">
        <v>1</v>
      </c>
      <c r="K75" s="17" t="n">
        <v>1</v>
      </c>
      <c r="L75" s="17" t="n">
        <v>1</v>
      </c>
      <c r="M75" s="17" t="n">
        <v>1</v>
      </c>
      <c r="N75" s="17" t="n">
        <v>1</v>
      </c>
      <c r="O75" s="17" t="n">
        <v>1</v>
      </c>
      <c r="P75" s="17" t="n">
        <v>1</v>
      </c>
      <c r="Q7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5" s="13" t="n"/>
      <c r="S75" s="17" t="inlineStr">
        <is>
          <t>نعم</t>
        </is>
      </c>
    </row>
    <row r="76" ht="17" customHeight="1">
      <c r="A76" s="17">
        <f>1+A75</f>
        <v/>
      </c>
      <c r="B76" s="17" t="inlineStr">
        <is>
          <t xml:space="preserve">الفيصلية </t>
        </is>
      </c>
      <c r="C76" s="17" t="inlineStr">
        <is>
          <t>فوزي لمنجومي</t>
        </is>
      </c>
      <c r="D76" s="17" t="n">
        <v>500003807</v>
      </c>
      <c r="E76" s="17" t="inlineStr">
        <is>
          <t>الفيصلية</t>
        </is>
      </c>
      <c r="F76" s="17" t="inlineStr">
        <is>
          <t>أكاديمية</t>
        </is>
      </c>
      <c r="G76" s="17" t="inlineStr">
        <is>
          <t>مكة المكرمة</t>
        </is>
      </c>
      <c r="H76" s="17" t="inlineStr">
        <is>
          <t>جدة</t>
        </is>
      </c>
      <c r="I76" s="17" t="inlineStr">
        <is>
          <t>جدة</t>
        </is>
      </c>
      <c r="J76" s="17" t="n">
        <v>0</v>
      </c>
      <c r="K76" s="17" t="n">
        <v>0</v>
      </c>
      <c r="L76" s="17" t="n">
        <v>1</v>
      </c>
      <c r="M76" s="17" t="n">
        <v>0</v>
      </c>
      <c r="N76" s="17" t="n">
        <v>1</v>
      </c>
      <c r="O76" s="17" t="n">
        <v>0</v>
      </c>
      <c r="P76" s="17" t="n">
        <v>0</v>
      </c>
      <c r="Q7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6" s="13" t="n"/>
      <c r="S76" s="17" t="n"/>
    </row>
    <row r="77" ht="17" customHeight="1">
      <c r="A77" s="17">
        <f>1+A76</f>
        <v/>
      </c>
      <c r="B77" s="17" t="inlineStr">
        <is>
          <t xml:space="preserve">الامام يعقوب </t>
        </is>
      </c>
      <c r="C77" s="17" t="inlineStr">
        <is>
          <t>بدر قالط المطيري</t>
        </is>
      </c>
      <c r="D77" s="17" t="n">
        <v>560071810</v>
      </c>
      <c r="E77" s="17" t="inlineStr">
        <is>
          <t xml:space="preserve">لايوجد </t>
        </is>
      </c>
      <c r="F77" s="17" t="inlineStr">
        <is>
          <t>هواة</t>
        </is>
      </c>
      <c r="G77" s="17" t="inlineStr">
        <is>
          <t>المدينة المنورة</t>
        </is>
      </c>
      <c r="H77" s="17" t="inlineStr">
        <is>
          <t>المدينة المنورة</t>
        </is>
      </c>
      <c r="I77" s="17" t="inlineStr">
        <is>
          <t>المدينة المنورة</t>
        </is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1</v>
      </c>
      <c r="O77" s="17" t="n">
        <v>0</v>
      </c>
      <c r="P77" s="17" t="n">
        <v>0</v>
      </c>
      <c r="Q7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7" s="13" t="inlineStr">
        <is>
          <t>لم يتم السداد</t>
        </is>
      </c>
      <c r="S77" s="17" t="inlineStr">
        <is>
          <t>نعم</t>
        </is>
      </c>
    </row>
    <row r="78" ht="17" customHeight="1">
      <c r="A78" s="17">
        <f>1+A77</f>
        <v/>
      </c>
      <c r="B78" s="17" t="inlineStr">
        <is>
          <t xml:space="preserve">الغد </t>
        </is>
      </c>
      <c r="C78" s="17" t="inlineStr">
        <is>
          <t>عبدالعزيز عطية عشوي</t>
        </is>
      </c>
      <c r="D78" s="17" t="n">
        <v>537560942</v>
      </c>
      <c r="E78" s="17" t="inlineStr">
        <is>
          <t>لايوجد</t>
        </is>
      </c>
      <c r="F78" s="17" t="inlineStr">
        <is>
          <t>هواة</t>
        </is>
      </c>
      <c r="G78" s="17" t="inlineStr">
        <is>
          <t>الرياض</t>
        </is>
      </c>
      <c r="H78" s="17" t="inlineStr">
        <is>
          <t>الرياض</t>
        </is>
      </c>
      <c r="I78" s="17" t="inlineStr">
        <is>
          <t>الرياض</t>
        </is>
      </c>
      <c r="J78" s="17" t="n">
        <v>1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8" s="13" t="inlineStr">
        <is>
          <t>لم يتم السداد</t>
        </is>
      </c>
      <c r="S78" s="17" t="inlineStr">
        <is>
          <t>نعم</t>
        </is>
      </c>
    </row>
    <row r="79" ht="17" customHeight="1">
      <c r="A79" s="17">
        <f>1+A78</f>
        <v/>
      </c>
      <c r="B79" s="17" t="inlineStr">
        <is>
          <t xml:space="preserve">جسر النجوم </t>
        </is>
      </c>
      <c r="C79" s="17" t="inlineStr">
        <is>
          <t>سعود السعود</t>
        </is>
      </c>
      <c r="D79" s="17" t="n">
        <v>558122658</v>
      </c>
      <c r="E79" s="17" t="inlineStr">
        <is>
          <t xml:space="preserve">لايوجد </t>
        </is>
      </c>
      <c r="F79" s="17" t="inlineStr">
        <is>
          <t>هواة</t>
        </is>
      </c>
      <c r="G79" s="17" t="inlineStr">
        <is>
          <t>الرياض</t>
        </is>
      </c>
      <c r="H79" s="17" t="inlineStr">
        <is>
          <t>الرياض</t>
        </is>
      </c>
      <c r="I79" s="17" t="inlineStr">
        <is>
          <t>الرياض</t>
        </is>
      </c>
      <c r="J79" s="17" t="n">
        <v>1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79" s="13" t="n"/>
      <c r="S79" s="17" t="inlineStr">
        <is>
          <t>نعم</t>
        </is>
      </c>
    </row>
    <row r="80" ht="17" customHeight="1">
      <c r="A80" s="17">
        <f>1+A79</f>
        <v/>
      </c>
      <c r="B80" s="17" t="inlineStr">
        <is>
          <t xml:space="preserve">فيفا املج </t>
        </is>
      </c>
      <c r="C80" s="17" t="inlineStr">
        <is>
          <t xml:space="preserve">رضا علي الجهني </t>
        </is>
      </c>
      <c r="D80" s="17" t="n">
        <v>566580588</v>
      </c>
      <c r="E80" s="17" t="inlineStr">
        <is>
          <t>لايوجد</t>
        </is>
      </c>
      <c r="F80" s="17" t="inlineStr">
        <is>
          <t>هواة</t>
        </is>
      </c>
      <c r="G80" s="17" t="inlineStr">
        <is>
          <t>تبوك</t>
        </is>
      </c>
      <c r="H80" s="17" t="inlineStr">
        <is>
          <t>أملج</t>
        </is>
      </c>
      <c r="I80" s="17" t="inlineStr">
        <is>
          <t>تبوك</t>
        </is>
      </c>
      <c r="J80" s="17" t="n">
        <v>0</v>
      </c>
      <c r="K80" s="17" t="n">
        <v>0</v>
      </c>
      <c r="L80" s="17" t="n">
        <v>1</v>
      </c>
      <c r="M80" s="17" t="n">
        <v>0</v>
      </c>
      <c r="N80" s="17" t="n">
        <v>0</v>
      </c>
      <c r="O80" s="17" t="n">
        <v>0</v>
      </c>
      <c r="P80" s="17" t="n">
        <v>0</v>
      </c>
      <c r="Q8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0" s="13" t="inlineStr">
        <is>
          <t>لم يتم السداد</t>
        </is>
      </c>
      <c r="S80" s="17" t="inlineStr">
        <is>
          <t>نعم</t>
        </is>
      </c>
    </row>
    <row r="81" ht="17" customHeight="1">
      <c r="A81" s="17">
        <f>1+A80</f>
        <v/>
      </c>
      <c r="B81" s="17" t="inlineStr">
        <is>
          <t xml:space="preserve">أحلام الريان </t>
        </is>
      </c>
      <c r="C81" s="17" t="inlineStr">
        <is>
          <t xml:space="preserve">حسن محمد </t>
        </is>
      </c>
      <c r="D81" s="17" t="n">
        <v>545585613</v>
      </c>
      <c r="E81" s="17" t="inlineStr">
        <is>
          <t xml:space="preserve">لايوجد </t>
        </is>
      </c>
      <c r="F81" s="17" t="inlineStr">
        <is>
          <t>هواة</t>
        </is>
      </c>
      <c r="G81" s="17" t="inlineStr">
        <is>
          <t>جازان</t>
        </is>
      </c>
      <c r="H81" s="17" t="inlineStr">
        <is>
          <t>أحد المسارحة</t>
        </is>
      </c>
      <c r="I81" s="17" t="inlineStr">
        <is>
          <t>جازان</t>
        </is>
      </c>
      <c r="J81" s="17" t="n">
        <v>1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1" s="13" t="inlineStr">
        <is>
          <t>لم يتم السداد</t>
        </is>
      </c>
      <c r="S81" s="17" t="inlineStr">
        <is>
          <t>نعم</t>
        </is>
      </c>
    </row>
    <row r="82" ht="17" customHeight="1">
      <c r="A82" s="17">
        <f>1+A81</f>
        <v/>
      </c>
      <c r="B82" s="17" t="inlineStr">
        <is>
          <t>شعلة الهفوف</t>
        </is>
      </c>
      <c r="C82" s="17" t="inlineStr">
        <is>
          <t>بدر السعيد</t>
        </is>
      </c>
      <c r="D82" s="17" t="n">
        <v>567232330</v>
      </c>
      <c r="E82" s="17" t="inlineStr">
        <is>
          <t xml:space="preserve">لايوجد </t>
        </is>
      </c>
      <c r="F82" s="17" t="inlineStr">
        <is>
          <t>هواة</t>
        </is>
      </c>
      <c r="G82" s="17" t="inlineStr">
        <is>
          <t>الشرقية</t>
        </is>
      </c>
      <c r="H82" s="17" t="inlineStr">
        <is>
          <t>الأحساء</t>
        </is>
      </c>
      <c r="I82" s="17" t="inlineStr">
        <is>
          <t>الأحساء</t>
        </is>
      </c>
      <c r="J82" s="17" t="n">
        <v>1</v>
      </c>
      <c r="K82" s="17" t="n">
        <v>1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2" s="13" t="n"/>
      <c r="S82" s="17" t="inlineStr">
        <is>
          <t>نعم</t>
        </is>
      </c>
    </row>
    <row r="83" ht="17" customHeight="1">
      <c r="A83" s="17">
        <f>1+A82</f>
        <v/>
      </c>
      <c r="B83" s="17" t="inlineStr">
        <is>
          <t xml:space="preserve">نجوم الاحساء </t>
        </is>
      </c>
      <c r="C83" s="17" t="inlineStr">
        <is>
          <t xml:space="preserve">عبدالاله العيسى </t>
        </is>
      </c>
      <c r="D83" s="17" t="n">
        <v>504855301</v>
      </c>
      <c r="E83" s="17" t="inlineStr">
        <is>
          <t xml:space="preserve">لايوجد </t>
        </is>
      </c>
      <c r="F83" s="17" t="inlineStr">
        <is>
          <t>هواة</t>
        </is>
      </c>
      <c r="G83" s="17" t="inlineStr">
        <is>
          <t>الشرقية</t>
        </is>
      </c>
      <c r="H83" s="17" t="inlineStr">
        <is>
          <t>الأحساء</t>
        </is>
      </c>
      <c r="I83" s="17" t="inlineStr">
        <is>
          <t>الأحساء</t>
        </is>
      </c>
      <c r="J83" s="17" t="n">
        <v>1</v>
      </c>
      <c r="K83" s="17" t="n">
        <v>1</v>
      </c>
      <c r="L83" s="17" t="n">
        <v>1</v>
      </c>
      <c r="M83" s="17" t="n">
        <v>1</v>
      </c>
      <c r="N83" s="17" t="n">
        <v>1</v>
      </c>
      <c r="O83" s="17" t="n">
        <v>0</v>
      </c>
      <c r="P83" s="17" t="n">
        <v>0</v>
      </c>
      <c r="Q8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3" s="13" t="n"/>
      <c r="S83" s="17" t="inlineStr">
        <is>
          <t>نعم</t>
        </is>
      </c>
    </row>
    <row r="84" ht="17" customHeight="1">
      <c r="A84" s="17">
        <f>1+A83</f>
        <v/>
      </c>
      <c r="B84" s="17" t="inlineStr">
        <is>
          <t>الوطن الاحساء</t>
        </is>
      </c>
      <c r="C84" s="17" t="inlineStr">
        <is>
          <t xml:space="preserve">عبدالعزيز السلمان </t>
        </is>
      </c>
      <c r="D84" s="17" t="n">
        <v>505929798</v>
      </c>
      <c r="E84" s="17" t="inlineStr">
        <is>
          <t xml:space="preserve">لايوجد </t>
        </is>
      </c>
      <c r="F84" s="17" t="inlineStr">
        <is>
          <t>هواة</t>
        </is>
      </c>
      <c r="G84" s="17" t="inlineStr">
        <is>
          <t>الشرقية</t>
        </is>
      </c>
      <c r="H84" s="17" t="inlineStr">
        <is>
          <t>الأحساء</t>
        </is>
      </c>
      <c r="I84" s="17" t="inlineStr">
        <is>
          <t>الأحساء</t>
        </is>
      </c>
      <c r="J84" s="17" t="n">
        <v>1</v>
      </c>
      <c r="K84" s="17" t="n">
        <v>1</v>
      </c>
      <c r="L84" s="17" t="n">
        <v>1</v>
      </c>
      <c r="M84" s="17" t="n">
        <v>1</v>
      </c>
      <c r="N84" s="17" t="n">
        <v>0</v>
      </c>
      <c r="O84" s="17" t="n">
        <v>0</v>
      </c>
      <c r="P84" s="17" t="n">
        <v>0</v>
      </c>
      <c r="Q8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4" s="13" t="n"/>
      <c r="S84" s="17" t="inlineStr">
        <is>
          <t>نعم</t>
        </is>
      </c>
    </row>
    <row r="85" ht="17" customHeight="1">
      <c r="A85" s="17">
        <f>1+A84</f>
        <v/>
      </c>
      <c r="B85" s="17" t="inlineStr">
        <is>
          <t xml:space="preserve">الطليعة </t>
        </is>
      </c>
      <c r="C85" s="17" t="inlineStr">
        <is>
          <t xml:space="preserve">علي الفرج  </t>
        </is>
      </c>
      <c r="D85" s="17" t="n">
        <v>540795210</v>
      </c>
      <c r="E85" s="17" t="inlineStr">
        <is>
          <t>لايوجد</t>
        </is>
      </c>
      <c r="F85" s="17" t="inlineStr">
        <is>
          <t>هواة</t>
        </is>
      </c>
      <c r="G85" s="17" t="inlineStr">
        <is>
          <t>الشرقية</t>
        </is>
      </c>
      <c r="H85" s="17" t="inlineStr">
        <is>
          <t>الأحساء</t>
        </is>
      </c>
      <c r="I85" s="17" t="inlineStr">
        <is>
          <t>الأحساء</t>
        </is>
      </c>
      <c r="J85" s="17" t="n">
        <v>1</v>
      </c>
      <c r="K85" s="17" t="n">
        <v>1</v>
      </c>
      <c r="L85" s="17" t="n">
        <v>0</v>
      </c>
      <c r="M85" s="17" t="n">
        <v>1</v>
      </c>
      <c r="N85" s="17" t="n">
        <v>0</v>
      </c>
      <c r="O85" s="17" t="n">
        <v>0</v>
      </c>
      <c r="P85" s="17" t="n">
        <v>0</v>
      </c>
      <c r="Q8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5" s="13" t="n"/>
      <c r="S85" s="17" t="inlineStr">
        <is>
          <t>نعم</t>
        </is>
      </c>
    </row>
    <row r="86" ht="17" customHeight="1">
      <c r="A86" s="17">
        <f>1+A85</f>
        <v/>
      </c>
      <c r="B86" s="17" t="inlineStr">
        <is>
          <t xml:space="preserve">الضحى </t>
        </is>
      </c>
      <c r="C86" s="17" t="inlineStr">
        <is>
          <t xml:space="preserve">محمد العبيدان </t>
        </is>
      </c>
      <c r="D86" s="17" t="n">
        <v>544474405</v>
      </c>
      <c r="E86" s="17" t="inlineStr">
        <is>
          <t>لايوجد</t>
        </is>
      </c>
      <c r="F86" s="17" t="inlineStr">
        <is>
          <t>هواة</t>
        </is>
      </c>
      <c r="G86" s="17" t="inlineStr">
        <is>
          <t>الشرقية</t>
        </is>
      </c>
      <c r="H86" s="17" t="inlineStr">
        <is>
          <t>الأحساء</t>
        </is>
      </c>
      <c r="I86" s="17" t="inlineStr">
        <is>
          <t>الأحساء</t>
        </is>
      </c>
      <c r="J86" s="17" t="n">
        <v>1</v>
      </c>
      <c r="K86" s="17" t="n">
        <v>1</v>
      </c>
      <c r="L86" s="17" t="n">
        <v>1</v>
      </c>
      <c r="M86" s="17" t="n">
        <v>1</v>
      </c>
      <c r="N86" s="17" t="n">
        <v>0</v>
      </c>
      <c r="O86" s="17" t="n">
        <v>0</v>
      </c>
      <c r="P86" s="17" t="n">
        <v>0</v>
      </c>
      <c r="Q8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6" s="13" t="n"/>
      <c r="S86" s="17" t="inlineStr">
        <is>
          <t>نعم</t>
        </is>
      </c>
    </row>
    <row r="87" ht="17" customHeight="1">
      <c r="A87" s="17">
        <f>1+A86</f>
        <v/>
      </c>
      <c r="B87" s="17" t="inlineStr">
        <is>
          <t xml:space="preserve">مواهب رماح </t>
        </is>
      </c>
      <c r="C87" s="17" t="inlineStr">
        <is>
          <t xml:space="preserve">ناصر جحيان </t>
        </is>
      </c>
      <c r="D87" s="17" t="n">
        <v>503118340</v>
      </c>
      <c r="E87" s="17" t="inlineStr">
        <is>
          <t xml:space="preserve">لايوجد </t>
        </is>
      </c>
      <c r="F87" s="17" t="inlineStr">
        <is>
          <t>هواة</t>
        </is>
      </c>
      <c r="G87" s="17" t="inlineStr">
        <is>
          <t>الرياض</t>
        </is>
      </c>
      <c r="H87" s="17" t="inlineStr">
        <is>
          <t>الرياض</t>
        </is>
      </c>
      <c r="I87" s="17" t="inlineStr">
        <is>
          <t>الرياض</t>
        </is>
      </c>
      <c r="J87" s="17" t="n">
        <v>1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7" s="13" t="inlineStr">
        <is>
          <t>لم يتم السداد</t>
        </is>
      </c>
      <c r="S87" s="17" t="inlineStr">
        <is>
          <t>نعم</t>
        </is>
      </c>
    </row>
    <row r="88" ht="17" customHeight="1">
      <c r="A88" s="17">
        <f>1+A87</f>
        <v/>
      </c>
      <c r="B88" s="17" t="inlineStr">
        <is>
          <t>العاصمة البيضاء</t>
        </is>
      </c>
      <c r="C88" s="17" t="inlineStr">
        <is>
          <t xml:space="preserve">نايف الحساني </t>
        </is>
      </c>
      <c r="D88" s="17" t="n">
        <v>555519604</v>
      </c>
      <c r="E88" s="17" t="inlineStr">
        <is>
          <t>لايوجد</t>
        </is>
      </c>
      <c r="F88" s="17" t="inlineStr">
        <is>
          <t>هواة</t>
        </is>
      </c>
      <c r="G88" s="17" t="inlineStr">
        <is>
          <t>مكة المكرمة</t>
        </is>
      </c>
      <c r="H88" s="17" t="inlineStr">
        <is>
          <t>مكة المكرمة</t>
        </is>
      </c>
      <c r="I88" s="17" t="inlineStr">
        <is>
          <t>مكة المكرمة</t>
        </is>
      </c>
      <c r="J88" s="17" t="n">
        <v>1</v>
      </c>
      <c r="K88" s="17" t="n">
        <v>1</v>
      </c>
      <c r="L88" s="17" t="n">
        <v>1</v>
      </c>
      <c r="M88" s="17" t="n">
        <v>1</v>
      </c>
      <c r="N88" s="17" t="n">
        <v>1</v>
      </c>
      <c r="O88" s="17" t="n">
        <v>1</v>
      </c>
      <c r="P88" s="17" t="n">
        <v>1</v>
      </c>
      <c r="Q8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8" s="13" t="n"/>
      <c r="S88" s="17" t="inlineStr">
        <is>
          <t>نعم</t>
        </is>
      </c>
    </row>
    <row r="89" ht="17" customHeight="1">
      <c r="A89" s="17">
        <f>1+A88</f>
        <v/>
      </c>
      <c r="B89" s="17" t="inlineStr">
        <is>
          <t xml:space="preserve">انوار الفضول </t>
        </is>
      </c>
      <c r="C89" s="17" t="inlineStr">
        <is>
          <t>ناجي العبدالرضا</t>
        </is>
      </c>
      <c r="D89" s="17" t="n">
        <v>504921358</v>
      </c>
      <c r="E89" s="17" t="inlineStr">
        <is>
          <t>لايوجد</t>
        </is>
      </c>
      <c r="F89" s="17" t="inlineStr">
        <is>
          <t>هواة</t>
        </is>
      </c>
      <c r="G89" s="17" t="inlineStr">
        <is>
          <t>الشرقية</t>
        </is>
      </c>
      <c r="H89" s="17" t="inlineStr">
        <is>
          <t>الأحساء</t>
        </is>
      </c>
      <c r="I89" s="17" t="inlineStr">
        <is>
          <t>الأحساء</t>
        </is>
      </c>
      <c r="J89" s="17" t="n">
        <v>1</v>
      </c>
      <c r="K89" s="17" t="n">
        <v>1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89" s="13" t="n"/>
      <c r="S89" s="17" t="inlineStr">
        <is>
          <t>نعم</t>
        </is>
      </c>
    </row>
    <row r="90" ht="17" customHeight="1">
      <c r="A90" s="17">
        <f>1+A89</f>
        <v/>
      </c>
      <c r="B90" s="17" t="inlineStr">
        <is>
          <t xml:space="preserve">الكواسر </t>
        </is>
      </c>
      <c r="C90" s="17" t="inlineStr">
        <is>
          <t xml:space="preserve">منصور العطية </t>
        </is>
      </c>
      <c r="D90" s="17" t="n">
        <v>506924761</v>
      </c>
      <c r="E90" s="17" t="inlineStr">
        <is>
          <t xml:space="preserve">لايوجد </t>
        </is>
      </c>
      <c r="F90" s="17" t="inlineStr">
        <is>
          <t>هواة</t>
        </is>
      </c>
      <c r="G90" s="17" t="inlineStr">
        <is>
          <t>الشرقية</t>
        </is>
      </c>
      <c r="H90" s="17" t="inlineStr">
        <is>
          <t>الأحساء</t>
        </is>
      </c>
      <c r="I90" s="17" t="inlineStr">
        <is>
          <t>الأحساء</t>
        </is>
      </c>
      <c r="J90" s="17" t="n">
        <v>1</v>
      </c>
      <c r="K90" s="17" t="n">
        <v>1</v>
      </c>
      <c r="L90" s="17" t="n">
        <v>1</v>
      </c>
      <c r="M90" s="17" t="n">
        <v>1</v>
      </c>
      <c r="N90" s="17" t="n">
        <v>1</v>
      </c>
      <c r="O90" s="17" t="n">
        <v>1</v>
      </c>
      <c r="P90" s="17" t="n">
        <v>1</v>
      </c>
      <c r="Q9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0" s="13" t="n"/>
      <c r="S90" s="17" t="inlineStr">
        <is>
          <t>نعم</t>
        </is>
      </c>
    </row>
    <row r="91" ht="17" customHeight="1">
      <c r="A91" s="17">
        <f>1+A90</f>
        <v/>
      </c>
      <c r="B91" s="17" t="inlineStr">
        <is>
          <t xml:space="preserve">ريف جواثا </t>
        </is>
      </c>
      <c r="C91" s="17" t="inlineStr">
        <is>
          <t xml:space="preserve">لافي المرفوعي </t>
        </is>
      </c>
      <c r="D91" s="17" t="n">
        <v>555903375</v>
      </c>
      <c r="E91" s="17" t="inlineStr">
        <is>
          <t xml:space="preserve">لايوجد </t>
        </is>
      </c>
      <c r="F91" s="17" t="inlineStr">
        <is>
          <t>هواة</t>
        </is>
      </c>
      <c r="G91" s="17" t="inlineStr">
        <is>
          <t>الشرقية</t>
        </is>
      </c>
      <c r="H91" s="17" t="inlineStr">
        <is>
          <t>الأحساء</t>
        </is>
      </c>
      <c r="I91" s="17" t="inlineStr">
        <is>
          <t>الأحساء</t>
        </is>
      </c>
      <c r="J91" s="17" t="n">
        <v>1</v>
      </c>
      <c r="K91" s="17" t="n">
        <v>1</v>
      </c>
      <c r="L91" s="17" t="n">
        <v>1</v>
      </c>
      <c r="M91" s="17" t="n">
        <v>1</v>
      </c>
      <c r="N91" s="17" t="n">
        <v>1</v>
      </c>
      <c r="O91" s="17" t="n">
        <v>0</v>
      </c>
      <c r="P91" s="17" t="n">
        <v>0</v>
      </c>
      <c r="Q9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1" s="13" t="n"/>
      <c r="S91" s="17" t="inlineStr">
        <is>
          <t>نعم</t>
        </is>
      </c>
    </row>
    <row r="92" ht="17" customHeight="1">
      <c r="A92" s="17">
        <f>1+A91</f>
        <v/>
      </c>
      <c r="B92" s="17" t="inlineStr">
        <is>
          <t xml:space="preserve">ون فاير </t>
        </is>
      </c>
      <c r="C92" s="17" t="inlineStr">
        <is>
          <t xml:space="preserve">يوسف المطيري </t>
        </is>
      </c>
      <c r="D92" s="17" t="n">
        <v>565503931</v>
      </c>
      <c r="E92" s="17" t="inlineStr">
        <is>
          <t xml:space="preserve">لايوجد </t>
        </is>
      </c>
      <c r="F92" s="17" t="inlineStr">
        <is>
          <t>هواة</t>
        </is>
      </c>
      <c r="G92" s="17" t="inlineStr">
        <is>
          <t>الرياض</t>
        </is>
      </c>
      <c r="H92" s="17" t="inlineStr">
        <is>
          <t>الرياض</t>
        </is>
      </c>
      <c r="I92" s="17" t="inlineStr">
        <is>
          <t>الرياض</t>
        </is>
      </c>
      <c r="J92" s="17" t="n">
        <v>1</v>
      </c>
      <c r="K92" s="17" t="n">
        <v>1</v>
      </c>
      <c r="L92" s="17" t="n">
        <v>1</v>
      </c>
      <c r="M92" s="17" t="n">
        <v>1</v>
      </c>
      <c r="N92" s="17" t="n">
        <v>0</v>
      </c>
      <c r="O92" s="17" t="n">
        <v>0</v>
      </c>
      <c r="P92" s="17" t="n">
        <v>0</v>
      </c>
      <c r="Q9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2" s="13" t="inlineStr">
        <is>
          <t>لم يتم السداد</t>
        </is>
      </c>
      <c r="S92" s="17" t="inlineStr">
        <is>
          <t>نعم</t>
        </is>
      </c>
    </row>
    <row r="93" ht="17" customHeight="1">
      <c r="A93" s="17">
        <f>1+A92</f>
        <v/>
      </c>
      <c r="B93" s="17" t="inlineStr">
        <is>
          <t xml:space="preserve">الوسام </t>
        </is>
      </c>
      <c r="C93" s="17" t="inlineStr">
        <is>
          <t>يحيي علي علي</t>
        </is>
      </c>
      <c r="D93" s="44" t="inlineStr">
        <is>
          <t>966506745595</t>
        </is>
      </c>
      <c r="E93" s="17" t="inlineStr">
        <is>
          <t>لايوجد</t>
        </is>
      </c>
      <c r="F93" s="17" t="inlineStr">
        <is>
          <t>هواة</t>
        </is>
      </c>
      <c r="G93" s="17" t="inlineStr">
        <is>
          <t>جازان</t>
        </is>
      </c>
      <c r="H93" s="17" t="inlineStr">
        <is>
          <t>أحد المسارحة</t>
        </is>
      </c>
      <c r="I93" s="17" t="inlineStr">
        <is>
          <t>جازان</t>
        </is>
      </c>
      <c r="J93" s="17" t="n">
        <v>1</v>
      </c>
      <c r="K93" s="17" t="n">
        <v>1</v>
      </c>
      <c r="L93" s="17" t="n">
        <v>1</v>
      </c>
      <c r="M93" s="17" t="n">
        <v>1</v>
      </c>
      <c r="N93" s="17" t="n">
        <v>1</v>
      </c>
      <c r="O93" s="17" t="n">
        <v>1</v>
      </c>
      <c r="P93" s="17" t="n">
        <v>1</v>
      </c>
      <c r="Q9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3" s="13" t="n"/>
      <c r="S93" s="17" t="inlineStr">
        <is>
          <t>نعم</t>
        </is>
      </c>
    </row>
    <row r="94" ht="17" customHeight="1">
      <c r="A94" s="17">
        <f>1+A93</f>
        <v/>
      </c>
      <c r="B94" s="17" t="inlineStr">
        <is>
          <t xml:space="preserve">خليج الطرف </t>
        </is>
      </c>
      <c r="C94" s="17" t="inlineStr">
        <is>
          <t>محمد حسين الفرحان</t>
        </is>
      </c>
      <c r="D94" s="44" t="inlineStr">
        <is>
          <t>966546003311</t>
        </is>
      </c>
      <c r="E94" s="17" t="inlineStr">
        <is>
          <t xml:space="preserve">لايوجد </t>
        </is>
      </c>
      <c r="F94" s="17" t="inlineStr">
        <is>
          <t>هواة</t>
        </is>
      </c>
      <c r="G94" s="17" t="inlineStr">
        <is>
          <t>الشرقية</t>
        </is>
      </c>
      <c r="H94" s="17" t="inlineStr">
        <is>
          <t>الأحساء</t>
        </is>
      </c>
      <c r="I94" s="17" t="inlineStr">
        <is>
          <t>الأحساء</t>
        </is>
      </c>
      <c r="J94" s="17" t="n">
        <v>1</v>
      </c>
      <c r="K94" s="17" t="n">
        <v>1</v>
      </c>
      <c r="L94" s="17" t="n">
        <v>1</v>
      </c>
      <c r="M94" s="17" t="n">
        <v>0</v>
      </c>
      <c r="N94" s="17" t="n">
        <v>1</v>
      </c>
      <c r="O94" s="17" t="n">
        <v>0</v>
      </c>
      <c r="P94" s="17" t="n">
        <v>0</v>
      </c>
      <c r="Q9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4" s="13" t="n"/>
      <c r="S94" s="17" t="inlineStr">
        <is>
          <t>نعم</t>
        </is>
      </c>
    </row>
    <row r="95" ht="17" customHeight="1">
      <c r="A95" s="17">
        <f>1+A94</f>
        <v/>
      </c>
      <c r="B95" s="17" t="inlineStr">
        <is>
          <t xml:space="preserve">الوحوش </t>
        </is>
      </c>
      <c r="C95" s="17" t="inlineStr">
        <is>
          <t>أحمد يحيى عثمان مغفوري</t>
        </is>
      </c>
      <c r="D95" s="17" t="inlineStr">
        <is>
          <t>966534241659</t>
        </is>
      </c>
      <c r="E95" s="17" t="inlineStr">
        <is>
          <t xml:space="preserve">لايوجد </t>
        </is>
      </c>
      <c r="F95" s="17" t="inlineStr">
        <is>
          <t>هواة</t>
        </is>
      </c>
      <c r="G95" s="17" t="inlineStr">
        <is>
          <t>جازان</t>
        </is>
      </c>
      <c r="H95" s="17" t="inlineStr">
        <is>
          <t>أحد المسارحة</t>
        </is>
      </c>
      <c r="I95" s="17" t="inlineStr">
        <is>
          <t>جازان</t>
        </is>
      </c>
      <c r="J95" s="17" t="n">
        <v>1</v>
      </c>
      <c r="K95" s="17" t="n">
        <v>1</v>
      </c>
      <c r="L95" s="17" t="n">
        <v>1</v>
      </c>
      <c r="M95" s="17" t="n">
        <v>1</v>
      </c>
      <c r="N95" s="17" t="n">
        <v>1</v>
      </c>
      <c r="O95" s="17" t="n">
        <v>1</v>
      </c>
      <c r="P95" s="17" t="n">
        <v>1</v>
      </c>
      <c r="Q9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5" s="13" t="n"/>
      <c r="S95" s="17" t="inlineStr">
        <is>
          <t>نعم</t>
        </is>
      </c>
    </row>
    <row r="96" ht="17" customHeight="1">
      <c r="A96" s="17">
        <f>1+A95</f>
        <v/>
      </c>
      <c r="B96" s="17" t="inlineStr">
        <is>
          <t>النور بالبطالية</t>
        </is>
      </c>
      <c r="C96" s="17" t="inlineStr">
        <is>
          <t xml:space="preserve">حسن محمد </t>
        </is>
      </c>
      <c r="D96" s="17" t="n">
        <v>559469682</v>
      </c>
      <c r="E96" s="17" t="inlineStr">
        <is>
          <t xml:space="preserve">لايوجد </t>
        </is>
      </c>
      <c r="F96" s="17" t="inlineStr">
        <is>
          <t>هواة</t>
        </is>
      </c>
      <c r="G96" s="17" t="inlineStr">
        <is>
          <t>الشرقية</t>
        </is>
      </c>
      <c r="H96" s="17" t="inlineStr">
        <is>
          <t>الأحساء</t>
        </is>
      </c>
      <c r="I96" s="17" t="inlineStr">
        <is>
          <t>الأحساء</t>
        </is>
      </c>
      <c r="J96" s="17" t="n">
        <v>0</v>
      </c>
      <c r="K96" s="17" t="n">
        <v>1</v>
      </c>
      <c r="L96" s="17" t="n">
        <v>1</v>
      </c>
      <c r="M96" s="17" t="n">
        <v>1</v>
      </c>
      <c r="N96" s="17" t="n">
        <v>0</v>
      </c>
      <c r="O96" s="17" t="n">
        <v>0</v>
      </c>
      <c r="P96" s="17" t="n">
        <v>0</v>
      </c>
      <c r="Q9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6" s="13" t="n"/>
      <c r="S96" s="17" t="inlineStr">
        <is>
          <t>نعم</t>
        </is>
      </c>
    </row>
    <row r="97" ht="17" customHeight="1">
      <c r="A97" s="17">
        <f>1+A96</f>
        <v/>
      </c>
      <c r="B97" s="17" t="inlineStr">
        <is>
          <t>سحار</t>
        </is>
      </c>
      <c r="C97" s="17" t="inlineStr">
        <is>
          <t>سلطان سلمان حسين سحاري</t>
        </is>
      </c>
      <c r="D97" s="17" t="inlineStr">
        <is>
          <t>966557635989</t>
        </is>
      </c>
      <c r="E97" s="17" t="inlineStr">
        <is>
          <t xml:space="preserve">لايوجد </t>
        </is>
      </c>
      <c r="F97" s="17" t="inlineStr">
        <is>
          <t>هواة</t>
        </is>
      </c>
      <c r="G97" s="17" t="inlineStr">
        <is>
          <t>جازان</t>
        </is>
      </c>
      <c r="H97" s="17" t="inlineStr">
        <is>
          <t>جيزان</t>
        </is>
      </c>
      <c r="I97" s="17" t="inlineStr">
        <is>
          <t>جازان</t>
        </is>
      </c>
      <c r="J97" s="17" t="n">
        <v>1</v>
      </c>
      <c r="K97" s="17" t="n">
        <v>1</v>
      </c>
      <c r="L97" s="17" t="n">
        <v>1</v>
      </c>
      <c r="M97" s="17" t="n">
        <v>1</v>
      </c>
      <c r="N97" s="17" t="n">
        <v>1</v>
      </c>
      <c r="O97" s="17" t="n">
        <v>1</v>
      </c>
      <c r="P97" s="17" t="n">
        <v>1</v>
      </c>
      <c r="Q9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7" s="13" t="n"/>
      <c r="S97" s="17" t="inlineStr">
        <is>
          <t>نعم</t>
        </is>
      </c>
    </row>
    <row r="98" ht="17" customHeight="1">
      <c r="A98" s="17">
        <f>1+A97</f>
        <v/>
      </c>
      <c r="B98" s="17" t="inlineStr">
        <is>
          <t xml:space="preserve">تعاون الشعفولية </t>
        </is>
      </c>
      <c r="C98" s="17" t="inlineStr">
        <is>
          <t>سامي عبده علي كليبي</t>
        </is>
      </c>
      <c r="D98" s="17" t="inlineStr">
        <is>
          <t>966537506528</t>
        </is>
      </c>
      <c r="E98" s="17" t="inlineStr">
        <is>
          <t xml:space="preserve">لايوجد </t>
        </is>
      </c>
      <c r="F98" s="17" t="inlineStr">
        <is>
          <t>هواة</t>
        </is>
      </c>
      <c r="G98" s="17" t="inlineStr">
        <is>
          <t>جازان</t>
        </is>
      </c>
      <c r="H98" s="17" t="inlineStr">
        <is>
          <t>أحد المسارحة</t>
        </is>
      </c>
      <c r="I98" s="17" t="inlineStr">
        <is>
          <t>جازان</t>
        </is>
      </c>
      <c r="J98" s="17" t="n">
        <v>1</v>
      </c>
      <c r="K98" s="17" t="n">
        <v>1</v>
      </c>
      <c r="L98" s="17" t="n">
        <v>1</v>
      </c>
      <c r="M98" s="17" t="n">
        <v>1</v>
      </c>
      <c r="N98" s="17" t="n">
        <v>1</v>
      </c>
      <c r="O98" s="17" t="n">
        <v>1</v>
      </c>
      <c r="P98" s="17" t="n">
        <v>1</v>
      </c>
      <c r="Q9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8" s="13" t="n"/>
      <c r="S98" s="17" t="inlineStr">
        <is>
          <t>نعم</t>
        </is>
      </c>
    </row>
    <row r="99" ht="17" customHeight="1">
      <c r="A99" s="17">
        <f>1+A98</f>
        <v/>
      </c>
      <c r="B99" s="17" t="inlineStr">
        <is>
          <t>برذرتيم</t>
        </is>
      </c>
      <c r="C99" s="17" t="inlineStr">
        <is>
          <t>صالح خليفة صالح المزيعل</t>
        </is>
      </c>
      <c r="D99" s="44" t="inlineStr">
        <is>
          <t>966508657775</t>
        </is>
      </c>
      <c r="E99" s="17" t="inlineStr">
        <is>
          <t>لايوجد</t>
        </is>
      </c>
      <c r="F99" s="17" t="inlineStr">
        <is>
          <t>هواة</t>
        </is>
      </c>
      <c r="G99" s="17" t="inlineStr">
        <is>
          <t>الشرقية</t>
        </is>
      </c>
      <c r="H99" s="17" t="inlineStr">
        <is>
          <t>الأحساء</t>
        </is>
      </c>
      <c r="I99" s="17" t="inlineStr">
        <is>
          <t>الأحساء</t>
        </is>
      </c>
      <c r="J99" s="17" t="n">
        <v>1</v>
      </c>
      <c r="K99" s="17" t="n">
        <v>1</v>
      </c>
      <c r="L99" s="17" t="n">
        <v>1</v>
      </c>
      <c r="M99" s="17" t="n">
        <v>1</v>
      </c>
      <c r="N99" s="17" t="n">
        <v>1</v>
      </c>
      <c r="O99" s="17" t="n">
        <v>1</v>
      </c>
      <c r="P99" s="17" t="n">
        <v>0</v>
      </c>
      <c r="Q9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99" s="13" t="n"/>
      <c r="S99" s="17" t="inlineStr">
        <is>
          <t>نعم</t>
        </is>
      </c>
    </row>
    <row r="100" ht="17" customHeight="1">
      <c r="A100" s="17">
        <f>1+A99</f>
        <v/>
      </c>
      <c r="B100" s="17" t="inlineStr">
        <is>
          <t>السويديه</t>
        </is>
      </c>
      <c r="C100" s="17" t="inlineStr">
        <is>
          <t>احمد محمد عبدالله كليبي</t>
        </is>
      </c>
      <c r="D100" s="17" t="inlineStr">
        <is>
          <t>966534565885</t>
        </is>
      </c>
      <c r="E100" s="17" t="inlineStr">
        <is>
          <t xml:space="preserve">لايوجد </t>
        </is>
      </c>
      <c r="F100" s="17" t="inlineStr">
        <is>
          <t>هواة</t>
        </is>
      </c>
      <c r="G100" s="17" t="inlineStr">
        <is>
          <t>جازان</t>
        </is>
      </c>
      <c r="H100" s="17" t="inlineStr">
        <is>
          <t>أحد المسارحة</t>
        </is>
      </c>
      <c r="I100" s="17" t="inlineStr">
        <is>
          <t>جازان</t>
        </is>
      </c>
      <c r="J100" s="17" t="n">
        <v>1</v>
      </c>
      <c r="K100" s="17" t="n">
        <v>1</v>
      </c>
      <c r="L100" s="17" t="n">
        <v>1</v>
      </c>
      <c r="M100" s="17" t="n">
        <v>1</v>
      </c>
      <c r="N100" s="17" t="n">
        <v>1</v>
      </c>
      <c r="O100" s="17" t="n">
        <v>1</v>
      </c>
      <c r="P100" s="17" t="n">
        <v>1</v>
      </c>
      <c r="Q10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0" s="13" t="n"/>
      <c r="S100" s="17" t="inlineStr">
        <is>
          <t>نعم</t>
        </is>
      </c>
    </row>
    <row r="101" ht="17" customHeight="1">
      <c r="A101" s="17">
        <f>1+A100</f>
        <v/>
      </c>
      <c r="B101" s="17" t="inlineStr">
        <is>
          <t xml:space="preserve">الرابية </t>
        </is>
      </c>
      <c r="C101" s="17" t="inlineStr">
        <is>
          <t>امين الحنابي</t>
        </is>
      </c>
      <c r="D101" s="44" t="inlineStr">
        <is>
          <t>966551745791</t>
        </is>
      </c>
      <c r="E101" s="17" t="inlineStr">
        <is>
          <t xml:space="preserve">لايوجد </t>
        </is>
      </c>
      <c r="F101" s="17" t="inlineStr">
        <is>
          <t>هواة</t>
        </is>
      </c>
      <c r="G101" s="17" t="inlineStr">
        <is>
          <t>الشرقية</t>
        </is>
      </c>
      <c r="H101" s="17" t="inlineStr">
        <is>
          <t>الأحساء</t>
        </is>
      </c>
      <c r="I101" s="17" t="inlineStr">
        <is>
          <t>الأحساء</t>
        </is>
      </c>
      <c r="J101" s="17" t="n">
        <v>1</v>
      </c>
      <c r="K101" s="17" t="n">
        <v>1</v>
      </c>
      <c r="L101" s="17" t="n">
        <v>1</v>
      </c>
      <c r="M101" s="17" t="n">
        <v>1</v>
      </c>
      <c r="N101" s="17" t="n">
        <v>1</v>
      </c>
      <c r="O101" s="17" t="n">
        <v>0</v>
      </c>
      <c r="P101" s="17" t="n">
        <v>0</v>
      </c>
      <c r="Q10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1" s="13" t="n"/>
      <c r="S101" s="17" t="inlineStr">
        <is>
          <t>نعم</t>
        </is>
      </c>
    </row>
    <row r="102" ht="17" customHeight="1">
      <c r="A102" s="17">
        <f>1+A101</f>
        <v/>
      </c>
      <c r="B102" s="17" t="inlineStr">
        <is>
          <t>الجاردن</t>
        </is>
      </c>
      <c r="C102" s="17" t="inlineStr">
        <is>
          <t>انس محمد  احمد  مظفر</t>
        </is>
      </c>
      <c r="D102" s="17" t="inlineStr">
        <is>
          <t>966561909044</t>
        </is>
      </c>
      <c r="E102" s="17" t="inlineStr">
        <is>
          <t xml:space="preserve">لايوجد </t>
        </is>
      </c>
      <c r="F102" s="17" t="inlineStr">
        <is>
          <t>هواة</t>
        </is>
      </c>
      <c r="G102" s="17" t="inlineStr">
        <is>
          <t>جازان</t>
        </is>
      </c>
      <c r="H102" s="17" t="inlineStr">
        <is>
          <t>جيزان</t>
        </is>
      </c>
      <c r="I102" s="17" t="inlineStr">
        <is>
          <t>جازان</t>
        </is>
      </c>
      <c r="J102" s="17" t="n">
        <v>1</v>
      </c>
      <c r="K102" s="17" t="n">
        <v>1</v>
      </c>
      <c r="L102" s="17" t="n">
        <v>1</v>
      </c>
      <c r="M102" s="17" t="n">
        <v>1</v>
      </c>
      <c r="N102" s="17" t="n">
        <v>1</v>
      </c>
      <c r="O102" s="17" t="n">
        <v>1</v>
      </c>
      <c r="P102" s="17" t="n">
        <v>1</v>
      </c>
      <c r="Q10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2" s="13" t="n"/>
      <c r="S102" s="17" t="inlineStr">
        <is>
          <t>نعم</t>
        </is>
      </c>
    </row>
    <row r="103" ht="17" customHeight="1">
      <c r="A103" s="17">
        <f>1+A102</f>
        <v/>
      </c>
      <c r="B103" s="17" t="inlineStr">
        <is>
          <t>احلام النورس</t>
        </is>
      </c>
      <c r="C103" s="17" t="inlineStr">
        <is>
          <t>عوض يحيى كعكوم حومان</t>
        </is>
      </c>
      <c r="D103" s="17" t="inlineStr">
        <is>
          <t>966508284215</t>
        </is>
      </c>
      <c r="E103" s="17" t="inlineStr">
        <is>
          <t xml:space="preserve">لايوجد </t>
        </is>
      </c>
      <c r="F103" s="17" t="inlineStr">
        <is>
          <t>هواة</t>
        </is>
      </c>
      <c r="G103" s="17" t="inlineStr">
        <is>
          <t>جازان</t>
        </is>
      </c>
      <c r="H103" s="17" t="inlineStr">
        <is>
          <t>أحد المسارحة</t>
        </is>
      </c>
      <c r="I103" s="17" t="inlineStr">
        <is>
          <t>جازان</t>
        </is>
      </c>
      <c r="J103" s="17" t="n">
        <v>1</v>
      </c>
      <c r="K103" s="17" t="n">
        <v>1</v>
      </c>
      <c r="L103" s="17" t="n">
        <v>1</v>
      </c>
      <c r="M103" s="17" t="n">
        <v>1</v>
      </c>
      <c r="N103" s="17" t="n">
        <v>1</v>
      </c>
      <c r="O103" s="17" t="n">
        <v>1</v>
      </c>
      <c r="P103" s="17" t="n">
        <v>1</v>
      </c>
      <c r="Q10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3" s="13" t="n"/>
      <c r="S103" s="17" t="inlineStr">
        <is>
          <t>نعم</t>
        </is>
      </c>
    </row>
    <row r="104" ht="17" customHeight="1">
      <c r="A104" s="17">
        <f>1+A103</f>
        <v/>
      </c>
      <c r="B104" s="17" t="inlineStr">
        <is>
          <t xml:space="preserve">أمجاد الخشابية </t>
        </is>
      </c>
      <c r="C104" s="17" t="inlineStr">
        <is>
          <t>علي هادي هادي مسملي</t>
        </is>
      </c>
      <c r="D104" s="17" t="inlineStr">
        <is>
          <t>966507799054</t>
        </is>
      </c>
      <c r="E104" s="17" t="inlineStr">
        <is>
          <t xml:space="preserve">لايوجد </t>
        </is>
      </c>
      <c r="F104" s="17" t="inlineStr">
        <is>
          <t>هواة</t>
        </is>
      </c>
      <c r="G104" s="17" t="inlineStr">
        <is>
          <t>جازان</t>
        </is>
      </c>
      <c r="H104" s="17" t="inlineStr">
        <is>
          <t>أبو عريش</t>
        </is>
      </c>
      <c r="I104" s="17" t="inlineStr">
        <is>
          <t>جازان</t>
        </is>
      </c>
      <c r="J104" s="17" t="n">
        <v>1</v>
      </c>
      <c r="K104" s="17" t="n">
        <v>1</v>
      </c>
      <c r="L104" s="17" t="n">
        <v>1</v>
      </c>
      <c r="M104" s="17" t="n">
        <v>1</v>
      </c>
      <c r="N104" s="17" t="n">
        <v>1</v>
      </c>
      <c r="O104" s="17" t="n">
        <v>1</v>
      </c>
      <c r="P104" s="17" t="n">
        <v>1</v>
      </c>
      <c r="Q10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4" s="13" t="n"/>
      <c r="S104" s="17" t="inlineStr">
        <is>
          <t>نعم</t>
        </is>
      </c>
    </row>
    <row r="105" ht="17" customHeight="1">
      <c r="A105" s="17">
        <f>1+A104</f>
        <v/>
      </c>
      <c r="B105" s="17" t="inlineStr">
        <is>
          <t xml:space="preserve">أجيال الفيصل </t>
        </is>
      </c>
      <c r="C105" s="17" t="inlineStr">
        <is>
          <t>طاهر أحمد حسين الزارعي</t>
        </is>
      </c>
      <c r="D105" s="17" t="inlineStr">
        <is>
          <t>966555977647</t>
        </is>
      </c>
      <c r="E105" s="17" t="inlineStr">
        <is>
          <t>لايوجد</t>
        </is>
      </c>
      <c r="F105" s="17" t="inlineStr">
        <is>
          <t>هواة</t>
        </is>
      </c>
      <c r="G105" s="17" t="inlineStr">
        <is>
          <t>الشرقية</t>
        </is>
      </c>
      <c r="H105" s="17" t="inlineStr">
        <is>
          <t>الأحساء</t>
        </is>
      </c>
      <c r="I105" s="17" t="inlineStr">
        <is>
          <t>الأحساء</t>
        </is>
      </c>
      <c r="J105" s="17" t="n">
        <v>0</v>
      </c>
      <c r="K105" s="17" t="n">
        <v>1</v>
      </c>
      <c r="L105" s="17" t="n">
        <v>0</v>
      </c>
      <c r="M105" s="17" t="n">
        <v>1</v>
      </c>
      <c r="N105" s="17" t="n">
        <v>0</v>
      </c>
      <c r="O105" s="17" t="n">
        <v>0</v>
      </c>
      <c r="P105" s="17" t="n">
        <v>0</v>
      </c>
      <c r="Q10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5" s="13" t="n"/>
      <c r="S105" s="17" t="inlineStr">
        <is>
          <t>نعم</t>
        </is>
      </c>
    </row>
    <row r="106" ht="17" customHeight="1">
      <c r="A106" s="17">
        <f>1+A105</f>
        <v/>
      </c>
      <c r="B106" s="17" t="inlineStr">
        <is>
          <t>منجم المواهب</t>
        </is>
      </c>
      <c r="C106" s="17" t="inlineStr">
        <is>
          <t>ابراهيم خفاجي</t>
        </is>
      </c>
      <c r="D106" s="17" t="n">
        <v>547480334</v>
      </c>
      <c r="E106" s="17" t="inlineStr">
        <is>
          <t xml:space="preserve">لايوجد </t>
        </is>
      </c>
      <c r="F106" s="17" t="inlineStr">
        <is>
          <t>نادي</t>
        </is>
      </c>
      <c r="G106" s="17" t="inlineStr">
        <is>
          <t>مكة المكرمة</t>
        </is>
      </c>
      <c r="H106" s="17" t="inlineStr">
        <is>
          <t>مكة المكرمة</t>
        </is>
      </c>
      <c r="I106" s="17" t="inlineStr">
        <is>
          <t>مكة المكرمة</t>
        </is>
      </c>
      <c r="J106" s="17" t="n">
        <v>1</v>
      </c>
      <c r="K106" s="17" t="n">
        <v>0</v>
      </c>
      <c r="L106" s="17" t="n">
        <v>1</v>
      </c>
      <c r="M106" s="17" t="n">
        <v>1</v>
      </c>
      <c r="N106" s="17" t="n">
        <v>0</v>
      </c>
      <c r="O106" s="17" t="n">
        <v>0</v>
      </c>
      <c r="P106" s="17" t="n">
        <v>0</v>
      </c>
      <c r="Q10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6" s="13" t="n"/>
      <c r="S106" s="17" t="n"/>
    </row>
    <row r="107" ht="17" customHeight="1">
      <c r="A107" s="17">
        <f>1+A106</f>
        <v/>
      </c>
      <c r="B107" s="17" t="inlineStr">
        <is>
          <t xml:space="preserve">الريان </t>
        </is>
      </c>
      <c r="C107" s="17" t="inlineStr">
        <is>
          <t xml:space="preserve">عياد العياد </t>
        </is>
      </c>
      <c r="D107" s="17" t="n">
        <v>551259595</v>
      </c>
      <c r="E107" s="17" t="inlineStr">
        <is>
          <t xml:space="preserve">لايوجد </t>
        </is>
      </c>
      <c r="F107" s="17" t="inlineStr">
        <is>
          <t>نادي</t>
        </is>
      </c>
      <c r="G107" s="17" t="inlineStr">
        <is>
          <t>حائل</t>
        </is>
      </c>
      <c r="H107" s="17" t="inlineStr">
        <is>
          <t>حائل</t>
        </is>
      </c>
      <c r="I107" s="17" t="inlineStr">
        <is>
          <t>حائل</t>
        </is>
      </c>
      <c r="J107" s="17" t="n">
        <v>1</v>
      </c>
      <c r="K107" s="17" t="n">
        <v>1</v>
      </c>
      <c r="L107" s="17" t="n">
        <v>1</v>
      </c>
      <c r="M107" s="17" t="n">
        <v>1</v>
      </c>
      <c r="N107" s="17" t="n">
        <v>1</v>
      </c>
      <c r="O107" s="17" t="n">
        <v>1</v>
      </c>
      <c r="P107" s="17" t="n">
        <v>1</v>
      </c>
      <c r="Q10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7" s="13" t="n"/>
      <c r="S107" s="17" t="n"/>
    </row>
    <row r="108" ht="17" customHeight="1">
      <c r="A108" s="17">
        <f>1+A107</f>
        <v/>
      </c>
      <c r="B108" s="17" t="inlineStr">
        <is>
          <t>مستقبل الخميس</t>
        </is>
      </c>
      <c r="C108" s="17" t="inlineStr">
        <is>
          <t>عبدالله سعيد الشهراني</t>
        </is>
      </c>
      <c r="D108" s="17" t="n">
        <v>593780900</v>
      </c>
      <c r="E108" s="17" t="inlineStr">
        <is>
          <t>مستقبل الخميس</t>
        </is>
      </c>
      <c r="F108" s="17" t="inlineStr">
        <is>
          <t>أكاديمية</t>
        </is>
      </c>
      <c r="G108" s="17" t="inlineStr">
        <is>
          <t>عسير</t>
        </is>
      </c>
      <c r="H108" s="17" t="inlineStr">
        <is>
          <t>خميس مشيط</t>
        </is>
      </c>
      <c r="I108" s="17" t="inlineStr">
        <is>
          <t>عسير</t>
        </is>
      </c>
      <c r="J108" s="17" t="n">
        <v>1</v>
      </c>
      <c r="K108" s="17" t="n">
        <v>1</v>
      </c>
      <c r="L108" s="17" t="n">
        <v>2</v>
      </c>
      <c r="M108" s="17" t="n">
        <v>2</v>
      </c>
      <c r="N108" s="17" t="n">
        <v>2</v>
      </c>
      <c r="O108" s="17" t="n">
        <v>1</v>
      </c>
      <c r="P108" s="17" t="n">
        <v>0</v>
      </c>
      <c r="Q10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8" s="13" t="n"/>
      <c r="S108" s="17" t="n"/>
    </row>
    <row r="109" ht="17" customHeight="1">
      <c r="A109" s="17">
        <f>1+A108</f>
        <v/>
      </c>
      <c r="B109" s="17" t="inlineStr">
        <is>
          <t xml:space="preserve">الوطن </t>
        </is>
      </c>
      <c r="C109" s="17" t="inlineStr">
        <is>
          <t xml:space="preserve">سلطان يحيى الحازمي </t>
        </is>
      </c>
      <c r="D109" s="17" t="n">
        <v>532634501</v>
      </c>
      <c r="E109" s="17" t="inlineStr">
        <is>
          <t xml:space="preserve">بلدية ضمد </t>
        </is>
      </c>
      <c r="F109" s="17" t="inlineStr">
        <is>
          <t>نادي</t>
        </is>
      </c>
      <c r="G109" s="17" t="inlineStr">
        <is>
          <t>جازان</t>
        </is>
      </c>
      <c r="H109" s="17" t="inlineStr">
        <is>
          <t>ضمد</t>
        </is>
      </c>
      <c r="I109" s="17" t="inlineStr">
        <is>
          <t>جازان</t>
        </is>
      </c>
      <c r="J109" s="17" t="n">
        <v>1</v>
      </c>
      <c r="K109" s="17" t="n">
        <v>1</v>
      </c>
      <c r="L109" s="17" t="n">
        <v>1</v>
      </c>
      <c r="M109" s="17" t="n">
        <v>1</v>
      </c>
      <c r="N109" s="17" t="n">
        <v>1</v>
      </c>
      <c r="O109" s="17" t="n">
        <v>1</v>
      </c>
      <c r="P109" s="17" t="n">
        <v>0</v>
      </c>
      <c r="Q10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09" s="13" t="n"/>
      <c r="S109" s="17" t="n"/>
    </row>
    <row r="110" ht="17" customHeight="1">
      <c r="A110" s="17">
        <f>1+A109</f>
        <v/>
      </c>
      <c r="B110" s="17" t="inlineStr">
        <is>
          <t xml:space="preserve">الملعب الذهبي </t>
        </is>
      </c>
      <c r="C110" s="17" t="inlineStr">
        <is>
          <t>عبدالمحسن المالكي</t>
        </is>
      </c>
      <c r="D110" s="17" t="n">
        <v>583210955</v>
      </c>
      <c r="E110" s="17" t="inlineStr">
        <is>
          <t xml:space="preserve">لايوجد </t>
        </is>
      </c>
      <c r="F110" s="17" t="inlineStr">
        <is>
          <t>أكاديمية</t>
        </is>
      </c>
      <c r="G110" s="17" t="inlineStr">
        <is>
          <t>نجران</t>
        </is>
      </c>
      <c r="H110" s="17" t="inlineStr">
        <is>
          <t>نجران</t>
        </is>
      </c>
      <c r="I110" s="17" t="inlineStr">
        <is>
          <t>نجران</t>
        </is>
      </c>
      <c r="J110" s="17" t="n">
        <v>1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0" s="13" t="n"/>
      <c r="S110" s="17" t="n"/>
    </row>
    <row r="111" ht="17" customHeight="1">
      <c r="A111" s="17">
        <f>1+A110</f>
        <v/>
      </c>
      <c r="B111" s="17" t="inlineStr">
        <is>
          <t>شركة براعم المقاولون العرب</t>
        </is>
      </c>
      <c r="C111" s="17" t="inlineStr">
        <is>
          <t>احمد علي</t>
        </is>
      </c>
      <c r="D111" s="17" t="n">
        <v>546403008</v>
      </c>
      <c r="E111" s="17" t="inlineStr">
        <is>
          <t xml:space="preserve">اكاديمية نون </t>
        </is>
      </c>
      <c r="F111" s="17" t="inlineStr">
        <is>
          <t>أكاديمية</t>
        </is>
      </c>
      <c r="G111" s="17" t="inlineStr">
        <is>
          <t>مكة المكرمة</t>
        </is>
      </c>
      <c r="H111" s="17" t="inlineStr">
        <is>
          <t>جدة</t>
        </is>
      </c>
      <c r="I111" s="17" t="inlineStr">
        <is>
          <t>جدة</t>
        </is>
      </c>
      <c r="J111" s="17" t="n">
        <v>1</v>
      </c>
      <c r="K111" s="17" t="n">
        <v>1</v>
      </c>
      <c r="L111" s="17" t="n">
        <v>0</v>
      </c>
      <c r="M111" s="17" t="n">
        <v>1</v>
      </c>
      <c r="N111" s="17" t="n">
        <v>2</v>
      </c>
      <c r="O111" s="17" t="n">
        <v>1</v>
      </c>
      <c r="P111" s="17" t="n">
        <v>0</v>
      </c>
      <c r="Q11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1" s="13" t="n"/>
      <c r="S111" s="17" t="n"/>
    </row>
    <row r="112" ht="17" customHeight="1">
      <c r="A112" s="17">
        <f>1+A111</f>
        <v/>
      </c>
      <c r="B112" s="17" t="inlineStr">
        <is>
          <t xml:space="preserve">الوصل الرياضية </t>
        </is>
      </c>
      <c r="C112" s="17" t="inlineStr">
        <is>
          <t xml:space="preserve">بدر الشمري </t>
        </is>
      </c>
      <c r="D112" s="17" t="n">
        <v>544122128</v>
      </c>
      <c r="E112" s="17" t="inlineStr">
        <is>
          <t xml:space="preserve">الوصل </t>
        </is>
      </c>
      <c r="F112" s="17" t="inlineStr">
        <is>
          <t>أكاديمية</t>
        </is>
      </c>
      <c r="G112" s="17" t="inlineStr">
        <is>
          <t>الرياض</t>
        </is>
      </c>
      <c r="H112" s="17" t="inlineStr">
        <is>
          <t>الرياض</t>
        </is>
      </c>
      <c r="I112" s="17" t="inlineStr">
        <is>
          <t>الرياض</t>
        </is>
      </c>
      <c r="J112" s="17" t="n">
        <v>1</v>
      </c>
      <c r="K112" s="17" t="n">
        <v>0</v>
      </c>
      <c r="L112" s="17" t="n">
        <v>1</v>
      </c>
      <c r="M112" s="17" t="n">
        <v>1</v>
      </c>
      <c r="N112" s="17" t="n">
        <v>1</v>
      </c>
      <c r="O112" s="17" t="n">
        <v>1</v>
      </c>
      <c r="P112" s="17" t="n">
        <v>1</v>
      </c>
      <c r="Q11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2" s="13" t="n"/>
      <c r="S112" s="17" t="n"/>
    </row>
    <row r="113" ht="17" customHeight="1">
      <c r="A113" s="17">
        <f>1+A112</f>
        <v/>
      </c>
      <c r="B113" s="17" t="inlineStr">
        <is>
          <t xml:space="preserve">نجوم لوسيل </t>
        </is>
      </c>
      <c r="C113" s="17" t="inlineStr">
        <is>
          <t xml:space="preserve">فارس ال همام </t>
        </is>
      </c>
      <c r="D113" s="17" t="n">
        <v>590203553</v>
      </c>
      <c r="E113" s="17" t="inlineStr">
        <is>
          <t xml:space="preserve">نجران </t>
        </is>
      </c>
      <c r="F113" s="17" t="inlineStr">
        <is>
          <t>أكاديمية</t>
        </is>
      </c>
      <c r="G113" s="17" t="inlineStr">
        <is>
          <t>نجران</t>
        </is>
      </c>
      <c r="H113" s="17" t="inlineStr">
        <is>
          <t>نجران</t>
        </is>
      </c>
      <c r="I113" s="17" t="inlineStr">
        <is>
          <t>نجران</t>
        </is>
      </c>
      <c r="J113" s="17" t="n">
        <v>1</v>
      </c>
      <c r="K113" s="17" t="n">
        <v>0</v>
      </c>
      <c r="L113" s="17" t="n">
        <v>1</v>
      </c>
      <c r="M113" s="17" t="n">
        <v>0</v>
      </c>
      <c r="N113" s="17" t="n">
        <v>0</v>
      </c>
      <c r="O113" s="17" t="n">
        <v>0</v>
      </c>
      <c r="P113" s="17" t="n">
        <v>0</v>
      </c>
      <c r="Q11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3" s="13" t="n"/>
      <c r="S113" s="17" t="n"/>
    </row>
    <row r="114" ht="17" customHeight="1">
      <c r="A114" s="17">
        <f>1+A113</f>
        <v/>
      </c>
      <c r="B114" s="17" t="inlineStr">
        <is>
          <t>اسبايرالظهران</t>
        </is>
      </c>
      <c r="C114" s="17" t="inlineStr">
        <is>
          <t>خالد الشهري</t>
        </is>
      </c>
      <c r="D114" s="17" t="n">
        <v>541715198</v>
      </c>
      <c r="E114" s="17" t="inlineStr">
        <is>
          <t xml:space="preserve">لايوجد </t>
        </is>
      </c>
      <c r="F114" s="17" t="inlineStr">
        <is>
          <t>أكاديمية</t>
        </is>
      </c>
      <c r="G114" s="17" t="inlineStr">
        <is>
          <t>الشرقية</t>
        </is>
      </c>
      <c r="H114" s="17" t="inlineStr">
        <is>
          <t>الدمام</t>
        </is>
      </c>
      <c r="I114" s="17" t="inlineStr">
        <is>
          <t>الشرقية</t>
        </is>
      </c>
      <c r="J114" s="17" t="n">
        <v>1</v>
      </c>
      <c r="K114" s="17" t="n">
        <v>1</v>
      </c>
      <c r="L114" s="17" t="n">
        <v>1</v>
      </c>
      <c r="M114" s="17" t="n">
        <v>0</v>
      </c>
      <c r="N114" s="17" t="n">
        <v>1</v>
      </c>
      <c r="O114" s="17" t="n">
        <v>0</v>
      </c>
      <c r="P114" s="17" t="n">
        <v>0</v>
      </c>
      <c r="Q11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4" s="13" t="n"/>
      <c r="S114" s="17" t="n"/>
    </row>
    <row r="115" ht="17" customHeight="1">
      <c r="A115" s="17">
        <f>1+A114</f>
        <v/>
      </c>
      <c r="B115" s="17" t="inlineStr">
        <is>
          <t xml:space="preserve">التعاون </t>
        </is>
      </c>
      <c r="C115" s="17" t="inlineStr">
        <is>
          <t>علي الشايعي</t>
        </is>
      </c>
      <c r="D115" s="17" t="n">
        <v>504888908</v>
      </c>
      <c r="E115" s="17" t="inlineStr">
        <is>
          <t xml:space="preserve">التعاون </t>
        </is>
      </c>
      <c r="F115" s="17" t="inlineStr">
        <is>
          <t>نادي</t>
        </is>
      </c>
      <c r="G115" s="17" t="inlineStr">
        <is>
          <t>القصيم</t>
        </is>
      </c>
      <c r="H115" s="17" t="inlineStr">
        <is>
          <t>بريدة</t>
        </is>
      </c>
      <c r="I115" s="17" t="inlineStr">
        <is>
          <t>القصيم</t>
        </is>
      </c>
      <c r="J115" s="17" t="n">
        <v>1</v>
      </c>
      <c r="K115" s="17" t="n">
        <v>1</v>
      </c>
      <c r="L115" s="17" t="n">
        <v>1</v>
      </c>
      <c r="M115" s="17" t="n">
        <v>1</v>
      </c>
      <c r="N115" s="17" t="n">
        <v>0</v>
      </c>
      <c r="O115" s="17" t="n">
        <v>0</v>
      </c>
      <c r="P115" s="17" t="n">
        <v>0</v>
      </c>
      <c r="Q11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5" s="13" t="n"/>
      <c r="S115" s="17" t="n"/>
    </row>
    <row r="116" ht="17" customHeight="1">
      <c r="A116" s="17">
        <f>1+A115</f>
        <v/>
      </c>
      <c r="B116" s="17" t="inlineStr">
        <is>
          <t>تورنيدو</t>
        </is>
      </c>
      <c r="C116" s="17" t="inlineStr">
        <is>
          <t>عبدالرحمن راجي القثامي</t>
        </is>
      </c>
      <c r="D116" s="17" t="n">
        <v>503041496</v>
      </c>
      <c r="E116" s="17" t="inlineStr">
        <is>
          <t>لايوجد</t>
        </is>
      </c>
      <c r="F116" s="17" t="inlineStr">
        <is>
          <t>هواة</t>
        </is>
      </c>
      <c r="G116" s="17" t="inlineStr">
        <is>
          <t>مكة المكرمة</t>
        </is>
      </c>
      <c r="H116" s="17" t="inlineStr">
        <is>
          <t>الطائف</t>
        </is>
      </c>
      <c r="I116" s="17" t="inlineStr">
        <is>
          <t>الطائف</t>
        </is>
      </c>
      <c r="J116" s="17" t="n">
        <v>0</v>
      </c>
      <c r="K116" s="17" t="n">
        <v>1</v>
      </c>
      <c r="L116" s="17" t="n">
        <v>0</v>
      </c>
      <c r="M116" s="17" t="n">
        <v>1</v>
      </c>
      <c r="N116" s="17" t="n">
        <v>1</v>
      </c>
      <c r="O116" s="17" t="n">
        <v>0</v>
      </c>
      <c r="P116" s="17" t="n">
        <v>0</v>
      </c>
      <c r="Q11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6" s="13" t="n"/>
      <c r="S116" s="17" t="inlineStr">
        <is>
          <t>نعم</t>
        </is>
      </c>
    </row>
    <row r="117" ht="17" customHeight="1">
      <c r="A117" s="17">
        <f>1+A116</f>
        <v/>
      </c>
      <c r="B117" s="17" t="inlineStr">
        <is>
          <t>التهامي</t>
        </is>
      </c>
      <c r="C117" s="17" t="inlineStr">
        <is>
          <t>حسام صميلي</t>
        </is>
      </c>
      <c r="D117" s="17" t="n">
        <v>568608087</v>
      </c>
      <c r="E117" s="17" t="inlineStr">
        <is>
          <t>التهامي</t>
        </is>
      </c>
      <c r="F117" s="17" t="inlineStr">
        <is>
          <t>نادي</t>
        </is>
      </c>
      <c r="G117" s="17" t="inlineStr">
        <is>
          <t>جازان</t>
        </is>
      </c>
      <c r="H117" s="17" t="inlineStr">
        <is>
          <t>جيزان</t>
        </is>
      </c>
      <c r="I117" s="17" t="inlineStr">
        <is>
          <t>جازان</t>
        </is>
      </c>
      <c r="J117" s="17" t="n">
        <v>0</v>
      </c>
      <c r="K117" s="17" t="n">
        <v>0</v>
      </c>
      <c r="L117" s="17" t="n">
        <v>2</v>
      </c>
      <c r="M117" s="17" t="n">
        <v>2</v>
      </c>
      <c r="N117" s="17" t="n">
        <v>2</v>
      </c>
      <c r="O117" s="17" t="n">
        <v>0</v>
      </c>
      <c r="P117" s="17" t="n">
        <v>0</v>
      </c>
      <c r="Q11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7" s="13" t="n"/>
      <c r="S117" s="17" t="n"/>
    </row>
    <row r="118" ht="17" customHeight="1">
      <c r="A118" s="17">
        <f>1+A117</f>
        <v/>
      </c>
      <c r="B118" s="17" t="inlineStr">
        <is>
          <t xml:space="preserve">نجوم مجد </t>
        </is>
      </c>
      <c r="C118" s="17" t="inlineStr">
        <is>
          <t xml:space="preserve">محمد سعيد العصيمي </t>
        </is>
      </c>
      <c r="D118" s="17" t="n">
        <v>503101442</v>
      </c>
      <c r="E118" s="17" t="inlineStr">
        <is>
          <t xml:space="preserve">المعسكر الدائم </t>
        </is>
      </c>
      <c r="F118" s="17" t="inlineStr">
        <is>
          <t>أكاديمية</t>
        </is>
      </c>
      <c r="G118" s="17" t="inlineStr">
        <is>
          <t>مكة المكرمة</t>
        </is>
      </c>
      <c r="H118" s="17" t="inlineStr">
        <is>
          <t>الطائف</t>
        </is>
      </c>
      <c r="I118" s="17" t="inlineStr">
        <is>
          <t>الطائف</t>
        </is>
      </c>
      <c r="J118" s="17" t="n">
        <v>1</v>
      </c>
      <c r="K118" s="17" t="n">
        <v>1</v>
      </c>
      <c r="L118" s="17" t="n">
        <v>1</v>
      </c>
      <c r="M118" s="17" t="n">
        <v>1</v>
      </c>
      <c r="N118" s="17" t="n">
        <v>1</v>
      </c>
      <c r="O118" s="17" t="n">
        <v>1</v>
      </c>
      <c r="P118" s="17" t="n">
        <v>1</v>
      </c>
      <c r="Q11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8" s="13" t="n"/>
      <c r="S118" s="17" t="n"/>
    </row>
    <row r="119" ht="17" customHeight="1">
      <c r="A119" s="17">
        <f>1+A118</f>
        <v/>
      </c>
      <c r="B119" s="17" t="inlineStr">
        <is>
          <t>تالنت</t>
        </is>
      </c>
      <c r="C119" s="17" t="inlineStr">
        <is>
          <t xml:space="preserve">جهاد السعيد </t>
        </is>
      </c>
      <c r="D119" s="17" t="n">
        <v>545908100</v>
      </c>
      <c r="E119" s="17" t="inlineStr">
        <is>
          <t xml:space="preserve">تالنت </t>
        </is>
      </c>
      <c r="F119" s="17" t="inlineStr">
        <is>
          <t>أكاديمية</t>
        </is>
      </c>
      <c r="G119" s="17" t="inlineStr">
        <is>
          <t>القصيم</t>
        </is>
      </c>
      <c r="H119" s="17" t="inlineStr">
        <is>
          <t>بريدة</t>
        </is>
      </c>
      <c r="I119" s="17" t="inlineStr">
        <is>
          <t>القصيم</t>
        </is>
      </c>
      <c r="J119" s="17" t="n">
        <v>0</v>
      </c>
      <c r="K119" s="17" t="n">
        <v>1</v>
      </c>
      <c r="L119" s="17" t="n">
        <v>1</v>
      </c>
      <c r="M119" s="17" t="n">
        <v>1</v>
      </c>
      <c r="N119" s="17" t="n">
        <v>3</v>
      </c>
      <c r="O119" s="17" t="n">
        <v>1</v>
      </c>
      <c r="P119" s="17" t="n">
        <v>0</v>
      </c>
      <c r="Q11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19" s="13" t="n"/>
      <c r="S119" s="17" t="n"/>
    </row>
    <row r="120" ht="17" customHeight="1">
      <c r="A120" s="17">
        <f>1+A119</f>
        <v/>
      </c>
      <c r="B120" s="17" t="inlineStr">
        <is>
          <t>جميما</t>
        </is>
      </c>
      <c r="C120" s="17" t="inlineStr">
        <is>
          <t>ابراهيم حمود هديس</t>
        </is>
      </c>
      <c r="D120" s="17" t="n">
        <v>507575082</v>
      </c>
      <c r="E120" s="17" t="inlineStr">
        <is>
          <t xml:space="preserve">لايوجد </t>
        </is>
      </c>
      <c r="F120" s="17" t="inlineStr">
        <is>
          <t>هواة</t>
        </is>
      </c>
      <c r="G120" s="17" t="inlineStr">
        <is>
          <t>جازان</t>
        </is>
      </c>
      <c r="H120" s="17" t="inlineStr">
        <is>
          <t>صبيا</t>
        </is>
      </c>
      <c r="I120" s="17" t="inlineStr">
        <is>
          <t>جازان</t>
        </is>
      </c>
      <c r="J120" s="17" t="n">
        <v>1</v>
      </c>
      <c r="K120" s="17" t="n">
        <v>1</v>
      </c>
      <c r="L120" s="17" t="n">
        <v>1</v>
      </c>
      <c r="M120" s="17" t="n">
        <v>1</v>
      </c>
      <c r="N120" s="17" t="n">
        <v>1</v>
      </c>
      <c r="O120" s="17" t="n">
        <v>1</v>
      </c>
      <c r="P120" s="17" t="n">
        <v>1</v>
      </c>
      <c r="Q12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0" s="13" t="n"/>
      <c r="S120" s="17" t="inlineStr">
        <is>
          <t>نعم</t>
        </is>
      </c>
    </row>
    <row r="121" ht="17" customHeight="1">
      <c r="A121" s="17">
        <f>1+A120</f>
        <v/>
      </c>
      <c r="B121" s="17" t="inlineStr">
        <is>
          <t xml:space="preserve">المحمدية </t>
        </is>
      </c>
      <c r="C121" s="17" t="inlineStr">
        <is>
          <t>ابراهيم سالم حيسي</t>
        </is>
      </c>
      <c r="D121" s="17" t="n">
        <v>590059965</v>
      </c>
      <c r="E121" s="17" t="inlineStr">
        <is>
          <t xml:space="preserve">لايوجد </t>
        </is>
      </c>
      <c r="F121" s="17" t="inlineStr">
        <is>
          <t>هواة</t>
        </is>
      </c>
      <c r="G121" s="17" t="inlineStr">
        <is>
          <t>جازان</t>
        </is>
      </c>
      <c r="H121" s="17" t="inlineStr">
        <is>
          <t>صبيا</t>
        </is>
      </c>
      <c r="I121" s="17" t="inlineStr">
        <is>
          <t>جازان</t>
        </is>
      </c>
      <c r="J121" s="17" t="n">
        <v>1</v>
      </c>
      <c r="K121" s="17" t="n">
        <v>1</v>
      </c>
      <c r="L121" s="17" t="n">
        <v>1</v>
      </c>
      <c r="M121" s="17" t="n">
        <v>1</v>
      </c>
      <c r="N121" s="17" t="n">
        <v>1</v>
      </c>
      <c r="O121" s="17" t="n">
        <v>1</v>
      </c>
      <c r="P121" s="17" t="n">
        <v>1</v>
      </c>
      <c r="Q12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1" s="13" t="n"/>
      <c r="S121" s="17" t="inlineStr">
        <is>
          <t>نعم</t>
        </is>
      </c>
    </row>
    <row r="122" ht="17" customHeight="1">
      <c r="A122" s="17">
        <f>1+A121</f>
        <v/>
      </c>
      <c r="B122" s="17" t="inlineStr">
        <is>
          <t>الشاطئ</t>
        </is>
      </c>
      <c r="C122" s="17" t="inlineStr">
        <is>
          <t xml:space="preserve">ابراهيم يحيى عيشة </t>
        </is>
      </c>
      <c r="D122" s="17" t="n">
        <v>504403817</v>
      </c>
      <c r="E122" s="17" t="inlineStr">
        <is>
          <t xml:space="preserve">لايوجد </t>
        </is>
      </c>
      <c r="F122" s="17" t="inlineStr">
        <is>
          <t>هواة</t>
        </is>
      </c>
      <c r="G122" s="17" t="inlineStr">
        <is>
          <t>جازان</t>
        </is>
      </c>
      <c r="H122" s="17" t="inlineStr">
        <is>
          <t>صبيا</t>
        </is>
      </c>
      <c r="I122" s="17" t="inlineStr">
        <is>
          <t>جازان</t>
        </is>
      </c>
      <c r="J122" s="17" t="n">
        <v>1</v>
      </c>
      <c r="K122" s="17" t="n">
        <v>1</v>
      </c>
      <c r="L122" s="17" t="n">
        <v>1</v>
      </c>
      <c r="M122" s="17" t="n">
        <v>1</v>
      </c>
      <c r="N122" s="17" t="n">
        <v>1</v>
      </c>
      <c r="O122" s="17" t="n">
        <v>1</v>
      </c>
      <c r="P122" s="17" t="n">
        <v>1</v>
      </c>
      <c r="Q12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2" s="13" t="n"/>
      <c r="S122" s="17" t="inlineStr">
        <is>
          <t>نعم</t>
        </is>
      </c>
    </row>
    <row r="123" ht="17" customHeight="1">
      <c r="A123" s="17">
        <f>1+A122</f>
        <v/>
      </c>
      <c r="B123" s="17" t="inlineStr">
        <is>
          <t xml:space="preserve">العروبة بجخيرة </t>
        </is>
      </c>
      <c r="C123" s="17" t="inlineStr">
        <is>
          <t xml:space="preserve">العابد ابراهيم الذروي </t>
        </is>
      </c>
      <c r="D123" s="17" t="n">
        <v>507766299</v>
      </c>
      <c r="E123" s="17" t="inlineStr">
        <is>
          <t xml:space="preserve">لايوجد </t>
        </is>
      </c>
      <c r="F123" s="17" t="inlineStr">
        <is>
          <t>هواة</t>
        </is>
      </c>
      <c r="G123" s="17" t="inlineStr">
        <is>
          <t>جازان</t>
        </is>
      </c>
      <c r="H123" s="17" t="inlineStr">
        <is>
          <t>صبيا</t>
        </is>
      </c>
      <c r="I123" s="17" t="inlineStr">
        <is>
          <t>جازان</t>
        </is>
      </c>
      <c r="J123" s="17" t="n">
        <v>1</v>
      </c>
      <c r="K123" s="17" t="n">
        <v>1</v>
      </c>
      <c r="L123" s="17" t="n">
        <v>1</v>
      </c>
      <c r="M123" s="17" t="n">
        <v>1</v>
      </c>
      <c r="N123" s="17" t="n">
        <v>1</v>
      </c>
      <c r="O123" s="17" t="n">
        <v>1</v>
      </c>
      <c r="P123" s="17" t="n">
        <v>1</v>
      </c>
      <c r="Q12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3" s="13" t="n"/>
      <c r="S123" s="17" t="inlineStr">
        <is>
          <t>نعم</t>
        </is>
      </c>
    </row>
    <row r="124" ht="17" customHeight="1">
      <c r="A124" s="17">
        <f>1+A123</f>
        <v/>
      </c>
      <c r="B124" s="17" t="inlineStr">
        <is>
          <t xml:space="preserve">العدايا </t>
        </is>
      </c>
      <c r="C124" s="17" t="inlineStr">
        <is>
          <t xml:space="preserve">سعود ابو الفضائل </t>
        </is>
      </c>
      <c r="D124" s="17" t="n">
        <v>506786649</v>
      </c>
      <c r="E124" s="17" t="inlineStr">
        <is>
          <t xml:space="preserve">لايوجد </t>
        </is>
      </c>
      <c r="F124" s="17" t="inlineStr">
        <is>
          <t>هواة</t>
        </is>
      </c>
      <c r="G124" s="17" t="inlineStr">
        <is>
          <t>جازان</t>
        </is>
      </c>
      <c r="H124" s="17" t="inlineStr">
        <is>
          <t>جيزان</t>
        </is>
      </c>
      <c r="I124" s="17" t="inlineStr">
        <is>
          <t>جازان</t>
        </is>
      </c>
      <c r="J124" s="17" t="n">
        <v>1</v>
      </c>
      <c r="K124" s="17" t="n">
        <v>1</v>
      </c>
      <c r="L124" s="17" t="n">
        <v>1</v>
      </c>
      <c r="M124" s="17" t="n">
        <v>1</v>
      </c>
      <c r="N124" s="17" t="n">
        <v>1</v>
      </c>
      <c r="O124" s="17" t="n">
        <v>1</v>
      </c>
      <c r="P124" s="17" t="n">
        <v>1</v>
      </c>
      <c r="Q12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4" s="13" t="n"/>
      <c r="S124" s="17" t="inlineStr">
        <is>
          <t>نعم</t>
        </is>
      </c>
    </row>
    <row r="125" ht="17" customHeight="1">
      <c r="A125" s="17">
        <f>1+A124</f>
        <v/>
      </c>
      <c r="B125" s="17" t="inlineStr">
        <is>
          <t xml:space="preserve">نجوم النخبة </t>
        </is>
      </c>
      <c r="C125" s="17" t="inlineStr">
        <is>
          <t xml:space="preserve">عادل عويض العتيبي </t>
        </is>
      </c>
      <c r="D125" s="17" t="n">
        <v>558947547</v>
      </c>
      <c r="E125" s="17" t="inlineStr">
        <is>
          <t xml:space="preserve">لايوجد </t>
        </is>
      </c>
      <c r="F125" s="17" t="inlineStr">
        <is>
          <t>هواة</t>
        </is>
      </c>
      <c r="G125" s="17" t="inlineStr">
        <is>
          <t>مكة المكرمة</t>
        </is>
      </c>
      <c r="H125" s="17" t="inlineStr">
        <is>
          <t>الطائف</t>
        </is>
      </c>
      <c r="I125" s="17" t="inlineStr">
        <is>
          <t>الطائف</t>
        </is>
      </c>
      <c r="J125" s="17" t="n">
        <v>1</v>
      </c>
      <c r="K125" s="17" t="n">
        <v>1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5" s="13" t="n"/>
      <c r="S125" s="17" t="inlineStr">
        <is>
          <t>نعم</t>
        </is>
      </c>
    </row>
    <row r="126" ht="17" customHeight="1">
      <c r="A126" s="17">
        <f>1+A125</f>
        <v/>
      </c>
      <c r="B126" s="17" t="inlineStr">
        <is>
          <t xml:space="preserve">إتحاد صامطة </t>
        </is>
      </c>
      <c r="C126" s="17" t="inlineStr">
        <is>
          <t xml:space="preserve">عبدالله ابراهيم مدخلي </t>
        </is>
      </c>
      <c r="D126" s="17" t="n">
        <v>551351433</v>
      </c>
      <c r="E126" s="17" t="inlineStr">
        <is>
          <t xml:space="preserve">لايوجد </t>
        </is>
      </c>
      <c r="F126" s="17" t="inlineStr">
        <is>
          <t>هواة</t>
        </is>
      </c>
      <c r="G126" s="17" t="inlineStr">
        <is>
          <t>جازان</t>
        </is>
      </c>
      <c r="H126" s="17" t="inlineStr">
        <is>
          <t>صامطة</t>
        </is>
      </c>
      <c r="I126" s="17" t="inlineStr">
        <is>
          <t>جازان</t>
        </is>
      </c>
      <c r="J126" s="17" t="n">
        <v>1</v>
      </c>
      <c r="K126" s="17" t="n">
        <v>1</v>
      </c>
      <c r="L126" s="17" t="n">
        <v>1</v>
      </c>
      <c r="M126" s="17" t="n">
        <v>1</v>
      </c>
      <c r="N126" s="17" t="n">
        <v>1</v>
      </c>
      <c r="O126" s="17" t="n">
        <v>1</v>
      </c>
      <c r="P126" s="17" t="n">
        <v>1</v>
      </c>
      <c r="Q12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6" s="13" t="n"/>
      <c r="S126" s="17" t="inlineStr">
        <is>
          <t>نعم</t>
        </is>
      </c>
    </row>
    <row r="127" ht="17" customHeight="1">
      <c r="A127" s="17">
        <f>1+A126</f>
        <v/>
      </c>
      <c r="B127" s="17" t="inlineStr">
        <is>
          <t>التضامن</t>
        </is>
      </c>
      <c r="C127" s="17" t="inlineStr">
        <is>
          <t xml:space="preserve">علي ابراهيم خلوفه </t>
        </is>
      </c>
      <c r="D127" s="17" t="n">
        <v>507826500</v>
      </c>
      <c r="E127" s="17" t="inlineStr">
        <is>
          <t xml:space="preserve">لايوجد </t>
        </is>
      </c>
      <c r="F127" s="17" t="inlineStr">
        <is>
          <t>هواة</t>
        </is>
      </c>
      <c r="G127" s="17" t="inlineStr">
        <is>
          <t>جازان</t>
        </is>
      </c>
      <c r="H127" s="17" t="inlineStr">
        <is>
          <t>صامطة</t>
        </is>
      </c>
      <c r="I127" s="17" t="inlineStr">
        <is>
          <t>جازان</t>
        </is>
      </c>
      <c r="J127" s="17" t="n">
        <v>1</v>
      </c>
      <c r="K127" s="17" t="n">
        <v>1</v>
      </c>
      <c r="L127" s="17" t="n">
        <v>1</v>
      </c>
      <c r="M127" s="17" t="n">
        <v>1</v>
      </c>
      <c r="N127" s="17" t="n">
        <v>1</v>
      </c>
      <c r="O127" s="17" t="n">
        <v>1</v>
      </c>
      <c r="P127" s="17" t="n">
        <v>1</v>
      </c>
      <c r="Q12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7" s="13" t="n"/>
      <c r="S127" s="17" t="inlineStr">
        <is>
          <t>نعم</t>
        </is>
      </c>
    </row>
    <row r="128" ht="17" customHeight="1">
      <c r="A128" s="17">
        <f>1+A127</f>
        <v/>
      </c>
      <c r="B128" s="17" t="inlineStr">
        <is>
          <t>النمور</t>
        </is>
      </c>
      <c r="C128" s="17" t="inlineStr">
        <is>
          <t>علي توفيق الجاسم</t>
        </is>
      </c>
      <c r="D128" s="17" t="n">
        <v>563244400</v>
      </c>
      <c r="E128" s="17" t="inlineStr">
        <is>
          <t xml:space="preserve">لايوجد </t>
        </is>
      </c>
      <c r="F128" s="17" t="inlineStr">
        <is>
          <t>هواة</t>
        </is>
      </c>
      <c r="G128" s="17" t="inlineStr">
        <is>
          <t>الشرقية</t>
        </is>
      </c>
      <c r="H128" s="17" t="inlineStr">
        <is>
          <t>الأحساء</t>
        </is>
      </c>
      <c r="I128" s="17" t="inlineStr">
        <is>
          <t>الأحساء</t>
        </is>
      </c>
      <c r="J128" s="17" t="n">
        <v>1</v>
      </c>
      <c r="K128" s="17" t="n">
        <v>1</v>
      </c>
      <c r="L128" s="17" t="n">
        <v>0</v>
      </c>
      <c r="M128" s="17" t="n">
        <v>1</v>
      </c>
      <c r="N128" s="17" t="n">
        <v>0</v>
      </c>
      <c r="O128" s="17" t="n">
        <v>0</v>
      </c>
      <c r="P128" s="17" t="n">
        <v>0</v>
      </c>
      <c r="Q12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8" s="13" t="n"/>
      <c r="S128" s="17" t="inlineStr">
        <is>
          <t>نعم</t>
        </is>
      </c>
    </row>
    <row r="129" ht="17" customHeight="1">
      <c r="A129" s="17">
        <f>1+A128</f>
        <v/>
      </c>
      <c r="B129" s="17" t="inlineStr">
        <is>
          <t>القاضي</t>
        </is>
      </c>
      <c r="C129" s="17" t="inlineStr">
        <is>
          <t xml:space="preserve">خليل حسين سالم </t>
        </is>
      </c>
      <c r="D129" s="17" t="n">
        <v>535320370</v>
      </c>
      <c r="E129" s="17" t="inlineStr">
        <is>
          <t xml:space="preserve">لايوجد </t>
        </is>
      </c>
      <c r="F129" s="17" t="inlineStr">
        <is>
          <t>هواة</t>
        </is>
      </c>
      <c r="G129" s="17" t="inlineStr">
        <is>
          <t>جازان</t>
        </is>
      </c>
      <c r="H129" s="17" t="inlineStr">
        <is>
          <t>صبيا</t>
        </is>
      </c>
      <c r="I129" s="17" t="inlineStr">
        <is>
          <t>جازان</t>
        </is>
      </c>
      <c r="J129" s="17" t="n">
        <v>1</v>
      </c>
      <c r="K129" s="17" t="n">
        <v>1</v>
      </c>
      <c r="L129" s="17" t="n">
        <v>1</v>
      </c>
      <c r="M129" s="17" t="n">
        <v>1</v>
      </c>
      <c r="N129" s="17" t="n">
        <v>1</v>
      </c>
      <c r="O129" s="17" t="n">
        <v>1</v>
      </c>
      <c r="P129" s="17" t="n">
        <v>1</v>
      </c>
      <c r="Q12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29" s="13" t="n"/>
      <c r="S129" s="17" t="inlineStr">
        <is>
          <t>نعم</t>
        </is>
      </c>
    </row>
    <row r="130" ht="17" customHeight="1">
      <c r="A130" s="17">
        <f>1+A129</f>
        <v/>
      </c>
      <c r="B130" s="17" t="inlineStr">
        <is>
          <t>الجواء</t>
        </is>
      </c>
      <c r="C130" s="17" t="inlineStr">
        <is>
          <t xml:space="preserve">هتاف الغفيلي </t>
        </is>
      </c>
      <c r="D130" s="17" t="n">
        <v>5533332423</v>
      </c>
      <c r="E130" s="17" t="inlineStr">
        <is>
          <t>الجواء</t>
        </is>
      </c>
      <c r="F130" s="17" t="inlineStr">
        <is>
          <t>نادي</t>
        </is>
      </c>
      <c r="G130" s="17" t="inlineStr">
        <is>
          <t>القصيم</t>
        </is>
      </c>
      <c r="H130" s="17" t="inlineStr">
        <is>
          <t>عيون الجواء</t>
        </is>
      </c>
      <c r="I130" s="17" t="inlineStr">
        <is>
          <t>الرس</t>
        </is>
      </c>
      <c r="J130" s="17" t="n">
        <v>1</v>
      </c>
      <c r="K130" s="17" t="n">
        <v>0</v>
      </c>
      <c r="L130" s="17" t="n">
        <v>1</v>
      </c>
      <c r="M130" s="17" t="n">
        <v>0</v>
      </c>
      <c r="N130" s="17" t="n">
        <v>0</v>
      </c>
      <c r="O130" s="17" t="n">
        <v>0</v>
      </c>
      <c r="P130" s="17" t="n">
        <v>0</v>
      </c>
      <c r="Q13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0" s="13" t="n"/>
      <c r="S130" s="17" t="n"/>
    </row>
    <row r="131" ht="17" customHeight="1">
      <c r="A131" s="17">
        <f>1+A130</f>
        <v/>
      </c>
      <c r="B131" s="17" t="inlineStr">
        <is>
          <t xml:space="preserve">النورس بالرميلة </t>
        </is>
      </c>
      <c r="C131" s="17" t="inlineStr">
        <is>
          <t xml:space="preserve">علي الحساوي </t>
        </is>
      </c>
      <c r="D131" s="17" t="n">
        <v>562574033</v>
      </c>
      <c r="E131" s="17" t="inlineStr">
        <is>
          <t>لايوجد</t>
        </is>
      </c>
      <c r="F131" s="17" t="inlineStr">
        <is>
          <t>هواة</t>
        </is>
      </c>
      <c r="G131" s="17" t="inlineStr">
        <is>
          <t>الشرقية</t>
        </is>
      </c>
      <c r="H131" s="17" t="inlineStr">
        <is>
          <t>الأحساء</t>
        </is>
      </c>
      <c r="I131" s="17" t="inlineStr">
        <is>
          <t>الأحساء</t>
        </is>
      </c>
      <c r="J131" s="17" t="n">
        <v>0</v>
      </c>
      <c r="K131" s="17" t="n">
        <v>1</v>
      </c>
      <c r="L131" s="17" t="n">
        <v>1</v>
      </c>
      <c r="M131" s="17" t="n">
        <v>1</v>
      </c>
      <c r="N131" s="17" t="n">
        <v>1</v>
      </c>
      <c r="O131" s="17" t="n">
        <v>0</v>
      </c>
      <c r="P131" s="17" t="n">
        <v>0</v>
      </c>
      <c r="Q13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1" s="13" t="n"/>
      <c r="S131" s="17" t="inlineStr">
        <is>
          <t>نعم</t>
        </is>
      </c>
    </row>
    <row r="132" ht="17" customHeight="1">
      <c r="A132" s="17">
        <f>1+A131</f>
        <v/>
      </c>
      <c r="B132" s="17" t="inlineStr">
        <is>
          <t>النجوم بجازان</t>
        </is>
      </c>
      <c r="C132" s="17" t="inlineStr">
        <is>
          <t>محمد سالم الودعاني</t>
        </is>
      </c>
      <c r="D132" s="17" t="n">
        <v>507572755</v>
      </c>
      <c r="E132" s="17" t="inlineStr">
        <is>
          <t>لايوجد</t>
        </is>
      </c>
      <c r="F132" s="17" t="inlineStr">
        <is>
          <t>هواة</t>
        </is>
      </c>
      <c r="G132" s="17" t="inlineStr">
        <is>
          <t>جازان</t>
        </is>
      </c>
      <c r="H132" s="17" t="inlineStr">
        <is>
          <t>جيزان</t>
        </is>
      </c>
      <c r="I132" s="17" t="inlineStr">
        <is>
          <t>جازان</t>
        </is>
      </c>
      <c r="J132" s="17" t="n">
        <v>1</v>
      </c>
      <c r="K132" s="17" t="n">
        <v>1</v>
      </c>
      <c r="L132" s="17" t="n">
        <v>1</v>
      </c>
      <c r="M132" s="17" t="n">
        <v>1</v>
      </c>
      <c r="N132" s="17" t="n">
        <v>1</v>
      </c>
      <c r="O132" s="17" t="n">
        <v>1</v>
      </c>
      <c r="P132" s="17" t="n">
        <v>1</v>
      </c>
      <c r="Q13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2" s="13" t="n"/>
      <c r="S132" s="17" t="inlineStr">
        <is>
          <t>نعم</t>
        </is>
      </c>
    </row>
    <row r="133" ht="17" customHeight="1">
      <c r="A133" s="17">
        <f>1+A132</f>
        <v/>
      </c>
      <c r="B133" s="17" t="inlineStr">
        <is>
          <t xml:space="preserve">تعاون ديحمة </t>
        </is>
      </c>
      <c r="C133" s="17" t="inlineStr">
        <is>
          <t xml:space="preserve">مساعد شوك </t>
        </is>
      </c>
      <c r="D133" s="17" t="n">
        <v>505923229</v>
      </c>
      <c r="E133" s="17" t="inlineStr">
        <is>
          <t xml:space="preserve">لايوجد </t>
        </is>
      </c>
      <c r="F133" s="17" t="inlineStr">
        <is>
          <t>هواة</t>
        </is>
      </c>
      <c r="G133" s="17" t="inlineStr">
        <is>
          <t>جازان</t>
        </is>
      </c>
      <c r="H133" s="17" t="inlineStr">
        <is>
          <t>صامطة</t>
        </is>
      </c>
      <c r="I133" s="17" t="inlineStr">
        <is>
          <t>جازان</t>
        </is>
      </c>
      <c r="J133" s="17" t="n">
        <v>1</v>
      </c>
      <c r="K133" s="17" t="n">
        <v>1</v>
      </c>
      <c r="L133" s="17" t="n">
        <v>1</v>
      </c>
      <c r="M133" s="17" t="n">
        <v>1</v>
      </c>
      <c r="N133" s="17" t="n">
        <v>1</v>
      </c>
      <c r="O133" s="17" t="n">
        <v>1</v>
      </c>
      <c r="P133" s="17" t="n">
        <v>1</v>
      </c>
      <c r="Q13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3" s="13" t="n"/>
      <c r="S133" s="17" t="inlineStr">
        <is>
          <t>نعم</t>
        </is>
      </c>
    </row>
    <row r="134" ht="17" customHeight="1">
      <c r="A134" s="17">
        <f>1+A133</f>
        <v/>
      </c>
      <c r="B134" s="17" t="inlineStr">
        <is>
          <t>الجزيرة بالحسيني</t>
        </is>
      </c>
      <c r="C134" s="17" t="inlineStr">
        <is>
          <t>مصطفى الحازمي</t>
        </is>
      </c>
      <c r="D134" s="17" t="n">
        <v>500588768</v>
      </c>
      <c r="E134" s="17" t="inlineStr">
        <is>
          <t xml:space="preserve">لايوجد </t>
        </is>
      </c>
      <c r="F134" s="17" t="inlineStr">
        <is>
          <t>هواة</t>
        </is>
      </c>
      <c r="G134" s="17" t="inlineStr">
        <is>
          <t>جازان</t>
        </is>
      </c>
      <c r="H134" s="17" t="inlineStr">
        <is>
          <t>صبيا</t>
        </is>
      </c>
      <c r="I134" s="17" t="inlineStr">
        <is>
          <t>جازان</t>
        </is>
      </c>
      <c r="J134" s="17" t="n">
        <v>1</v>
      </c>
      <c r="K134" s="17" t="n">
        <v>1</v>
      </c>
      <c r="L134" s="17" t="n">
        <v>1</v>
      </c>
      <c r="M134" s="17" t="n">
        <v>1</v>
      </c>
      <c r="N134" s="17" t="n">
        <v>1</v>
      </c>
      <c r="O134" s="17" t="n">
        <v>1</v>
      </c>
      <c r="P134" s="17" t="n">
        <v>1</v>
      </c>
      <c r="Q13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4" s="13" t="n"/>
      <c r="S134" s="17" t="inlineStr">
        <is>
          <t>نعم</t>
        </is>
      </c>
    </row>
    <row r="135" ht="17" customHeight="1">
      <c r="A135" s="17">
        <f>1+A134</f>
        <v/>
      </c>
      <c r="B135" s="17" t="inlineStr">
        <is>
          <t xml:space="preserve">البكيرية </t>
        </is>
      </c>
      <c r="C135" s="17" t="inlineStr">
        <is>
          <t>عبدالرحمن صالح الحضيف</t>
        </is>
      </c>
      <c r="D135" s="17" t="inlineStr">
        <is>
          <t xml:space="preserve">لايوجد </t>
        </is>
      </c>
      <c r="E135" s="17" t="inlineStr">
        <is>
          <t>البكيرية</t>
        </is>
      </c>
      <c r="F135" s="17" t="inlineStr">
        <is>
          <t>نادي</t>
        </is>
      </c>
      <c r="G135" s="17" t="inlineStr">
        <is>
          <t>القصيم</t>
        </is>
      </c>
      <c r="H135" s="17" t="inlineStr">
        <is>
          <t>البكيرية</t>
        </is>
      </c>
      <c r="I135" s="17" t="inlineStr">
        <is>
          <t>الرس</t>
        </is>
      </c>
      <c r="J135" s="17" t="n">
        <v>1</v>
      </c>
      <c r="K135" s="17" t="n">
        <v>0</v>
      </c>
      <c r="L135" s="17" t="n">
        <v>1</v>
      </c>
      <c r="M135" s="17" t="n">
        <v>0</v>
      </c>
      <c r="N135" s="17" t="n">
        <v>0</v>
      </c>
      <c r="O135" s="17" t="n">
        <v>0</v>
      </c>
      <c r="P135" s="17" t="n">
        <v>0</v>
      </c>
      <c r="Q13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5" s="13" t="n"/>
      <c r="S135" s="17" t="n"/>
    </row>
    <row r="136" ht="17" customHeight="1">
      <c r="A136" s="17">
        <f>1+A135</f>
        <v/>
      </c>
      <c r="B136" s="17" t="inlineStr">
        <is>
          <t>القصيم</t>
        </is>
      </c>
      <c r="C136" s="17" t="inlineStr">
        <is>
          <t xml:space="preserve"> صالح بن خلف</t>
        </is>
      </c>
      <c r="D136" s="17" t="n">
        <v>533920891</v>
      </c>
      <c r="E136" s="17" t="inlineStr">
        <is>
          <t>القصيم</t>
        </is>
      </c>
      <c r="F136" s="17" t="inlineStr">
        <is>
          <t>نادي</t>
        </is>
      </c>
      <c r="G136" s="17" t="inlineStr">
        <is>
          <t>القصيم</t>
        </is>
      </c>
      <c r="H136" s="17" t="inlineStr">
        <is>
          <t>الرس</t>
        </is>
      </c>
      <c r="I136" s="17" t="inlineStr">
        <is>
          <t>الرس</t>
        </is>
      </c>
      <c r="J136" s="17" t="n">
        <v>1</v>
      </c>
      <c r="K136" s="17" t="n">
        <v>1</v>
      </c>
      <c r="L136" s="17" t="n">
        <v>2</v>
      </c>
      <c r="M136" s="17" t="n">
        <v>2</v>
      </c>
      <c r="N136" s="17" t="n">
        <v>1</v>
      </c>
      <c r="O136" s="17" t="n">
        <v>0</v>
      </c>
      <c r="P136" s="17" t="n">
        <v>0</v>
      </c>
      <c r="Q13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6" s="13" t="n"/>
      <c r="S136" s="17" t="n"/>
    </row>
    <row r="137" ht="17" customHeight="1">
      <c r="A137" s="17">
        <f>1+A136</f>
        <v/>
      </c>
      <c r="B137" s="17" t="inlineStr">
        <is>
          <t xml:space="preserve">الخلود </t>
        </is>
      </c>
      <c r="C137" s="17" t="inlineStr">
        <is>
          <t>بينجامين ديفيد</t>
        </is>
      </c>
      <c r="D137" s="17" t="n">
        <v>505769181</v>
      </c>
      <c r="E137" s="17" t="inlineStr">
        <is>
          <t xml:space="preserve">الخلود </t>
        </is>
      </c>
      <c r="F137" s="17" t="inlineStr">
        <is>
          <t>نادي</t>
        </is>
      </c>
      <c r="G137" s="17" t="inlineStr">
        <is>
          <t>القصيم</t>
        </is>
      </c>
      <c r="H137" s="17" t="inlineStr">
        <is>
          <t>الرس</t>
        </is>
      </c>
      <c r="I137" s="17" t="inlineStr">
        <is>
          <t>الرس</t>
        </is>
      </c>
      <c r="J137" s="17" t="n">
        <v>1</v>
      </c>
      <c r="K137" s="17" t="n">
        <v>1</v>
      </c>
      <c r="L137" s="17" t="n">
        <v>1</v>
      </c>
      <c r="M137" s="17" t="n">
        <v>1</v>
      </c>
      <c r="N137" s="17" t="n">
        <v>1</v>
      </c>
      <c r="O137" s="17" t="n">
        <v>0</v>
      </c>
      <c r="P137" s="17" t="n">
        <v>0</v>
      </c>
      <c r="Q13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7" s="13" t="n"/>
      <c r="S137" s="17" t="n"/>
    </row>
    <row r="138" ht="17" customHeight="1">
      <c r="A138" s="17">
        <f>1+A137</f>
        <v/>
      </c>
      <c r="B138" s="17" t="inlineStr">
        <is>
          <t>الخزامى</t>
        </is>
      </c>
      <c r="C138" s="17" t="inlineStr">
        <is>
          <t>نايف الحربي</t>
        </is>
      </c>
      <c r="D138" s="17" t="n">
        <v>543332042</v>
      </c>
      <c r="E138" s="17" t="inlineStr">
        <is>
          <t>الخزامى</t>
        </is>
      </c>
      <c r="F138" s="17" t="inlineStr">
        <is>
          <t>أكاديمية</t>
        </is>
      </c>
      <c r="G138" s="17" t="inlineStr">
        <is>
          <t>القصيم</t>
        </is>
      </c>
      <c r="H138" s="17" t="inlineStr">
        <is>
          <t>الرس</t>
        </is>
      </c>
      <c r="I138" s="17" t="inlineStr">
        <is>
          <t>الرس</t>
        </is>
      </c>
      <c r="J138" s="17" t="n">
        <v>0</v>
      </c>
      <c r="K138" s="17" t="n">
        <v>0</v>
      </c>
      <c r="L138" s="17" t="n">
        <v>1</v>
      </c>
      <c r="M138" s="17" t="n">
        <v>0</v>
      </c>
      <c r="N138" s="17" t="n">
        <v>0</v>
      </c>
      <c r="O138" s="17" t="n">
        <v>0</v>
      </c>
      <c r="P138" s="17" t="n">
        <v>0</v>
      </c>
      <c r="Q13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8" s="13" t="n"/>
      <c r="S138" s="17" t="n"/>
    </row>
    <row r="139" ht="17" customHeight="1">
      <c r="A139" s="17">
        <f>1+A138</f>
        <v/>
      </c>
      <c r="B139" s="17" t="inlineStr">
        <is>
          <t>القرية الاولومبية</t>
        </is>
      </c>
      <c r="C139" s="17" t="inlineStr">
        <is>
          <t>محمد الحربي</t>
        </is>
      </c>
      <c r="D139" s="17" t="n">
        <v>581520094</v>
      </c>
      <c r="E139" s="17" t="inlineStr">
        <is>
          <t xml:space="preserve">لايوجد </t>
        </is>
      </c>
      <c r="F139" s="17" t="inlineStr">
        <is>
          <t>أكاديمية</t>
        </is>
      </c>
      <c r="G139" s="17" t="inlineStr">
        <is>
          <t>مكة المكرمة</t>
        </is>
      </c>
      <c r="H139" s="17" t="inlineStr">
        <is>
          <t>جدة</t>
        </is>
      </c>
      <c r="I139" s="17" t="inlineStr">
        <is>
          <t>جدة</t>
        </is>
      </c>
      <c r="J139" s="17" t="n">
        <v>0</v>
      </c>
      <c r="K139" s="17" t="n">
        <v>0</v>
      </c>
      <c r="L139" s="17" t="n">
        <v>1</v>
      </c>
      <c r="M139" s="17" t="n">
        <v>2</v>
      </c>
      <c r="N139" s="17" t="n">
        <v>2</v>
      </c>
      <c r="O139" s="17" t="n">
        <v>2</v>
      </c>
      <c r="P139" s="17" t="n">
        <v>2</v>
      </c>
      <c r="Q13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39" s="13" t="n"/>
      <c r="S139" s="17" t="n"/>
    </row>
    <row r="140" ht="17" customHeight="1">
      <c r="A140" s="17">
        <f>1+A139</f>
        <v/>
      </c>
      <c r="B140" s="17" t="inlineStr">
        <is>
          <t xml:space="preserve">رجال التعاون </t>
        </is>
      </c>
      <c r="C140" s="17" t="inlineStr">
        <is>
          <t>فيصل الصبحي</t>
        </is>
      </c>
      <c r="D140" s="17" t="n">
        <v>565157685</v>
      </c>
      <c r="E140" s="17" t="inlineStr">
        <is>
          <t>رجال التعاون</t>
        </is>
      </c>
      <c r="F140" s="17" t="inlineStr">
        <is>
          <t>أكاديمية</t>
        </is>
      </c>
      <c r="G140" s="17" t="inlineStr">
        <is>
          <t>مكة المكرمة</t>
        </is>
      </c>
      <c r="H140" s="17" t="inlineStr">
        <is>
          <t>جدة</t>
        </is>
      </c>
      <c r="I140" s="17" t="inlineStr">
        <is>
          <t>جدة</t>
        </is>
      </c>
      <c r="J140" s="17" t="n">
        <v>0</v>
      </c>
      <c r="K140" s="17" t="n">
        <v>1</v>
      </c>
      <c r="L140" s="17" t="n">
        <v>0</v>
      </c>
      <c r="M140" s="17" t="n">
        <v>1</v>
      </c>
      <c r="N140" s="17" t="n">
        <v>1</v>
      </c>
      <c r="O140" s="17" t="n">
        <v>0</v>
      </c>
      <c r="P140" s="17" t="n">
        <v>0</v>
      </c>
      <c r="Q14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0" s="13" t="n"/>
      <c r="S140" s="17" t="n"/>
    </row>
    <row r="141" ht="17" customHeight="1">
      <c r="A141" s="17">
        <f>1+A140</f>
        <v/>
      </c>
      <c r="B141" s="17" t="inlineStr">
        <is>
          <t xml:space="preserve">أتلتيك </t>
        </is>
      </c>
      <c r="C141" s="17" t="inlineStr">
        <is>
          <t>سلطان الوهيبي</t>
        </is>
      </c>
      <c r="D141" s="17" t="n">
        <v>506107375</v>
      </c>
      <c r="E141" s="17" t="inlineStr">
        <is>
          <t xml:space="preserve">مهارة </t>
        </is>
      </c>
      <c r="F141" s="17" t="inlineStr">
        <is>
          <t>أكاديمية</t>
        </is>
      </c>
      <c r="G141" s="17" t="inlineStr">
        <is>
          <t>القصيم</t>
        </is>
      </c>
      <c r="H141" s="17" t="inlineStr">
        <is>
          <t>الرس</t>
        </is>
      </c>
      <c r="I141" s="17" t="inlineStr">
        <is>
          <t>الرس</t>
        </is>
      </c>
      <c r="J141" s="17" t="n">
        <v>0</v>
      </c>
      <c r="K141" s="17" t="n">
        <v>1</v>
      </c>
      <c r="L141" s="17" t="n">
        <v>1</v>
      </c>
      <c r="M141" s="17" t="n">
        <v>1</v>
      </c>
      <c r="N141" s="17" t="n">
        <v>0</v>
      </c>
      <c r="O141" s="17" t="n">
        <v>0</v>
      </c>
      <c r="P141" s="17" t="n">
        <v>0</v>
      </c>
      <c r="Q14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1" s="13" t="n"/>
      <c r="S141" s="17" t="n"/>
    </row>
    <row r="142" ht="17" customHeight="1">
      <c r="A142" s="17">
        <f>1+A141</f>
        <v/>
      </c>
      <c r="B142" s="17" t="inlineStr">
        <is>
          <t>السفير</t>
        </is>
      </c>
      <c r="C142" s="17" t="inlineStr">
        <is>
          <t>ناصر النخلي</t>
        </is>
      </c>
      <c r="D142" s="17" t="n">
        <v>552262899</v>
      </c>
      <c r="E142" s="17" t="inlineStr">
        <is>
          <t xml:space="preserve">لايوجد </t>
        </is>
      </c>
      <c r="F142" s="17" t="inlineStr">
        <is>
          <t>أكاديمية</t>
        </is>
      </c>
      <c r="G142" s="17" t="inlineStr">
        <is>
          <t>المدينة المنورة</t>
        </is>
      </c>
      <c r="H142" s="17" t="inlineStr">
        <is>
          <t>المدينة المنورة</t>
        </is>
      </c>
      <c r="I142" s="17" t="inlineStr">
        <is>
          <t>المدينة المنورة</t>
        </is>
      </c>
      <c r="J142" s="17" t="n">
        <v>1</v>
      </c>
      <c r="K142" s="17" t="n">
        <v>1</v>
      </c>
      <c r="L142" s="17" t="n">
        <v>1</v>
      </c>
      <c r="M142" s="17" t="n">
        <v>2</v>
      </c>
      <c r="N142" s="17" t="n">
        <v>1</v>
      </c>
      <c r="O142" s="17" t="n">
        <v>1</v>
      </c>
      <c r="P142" s="17" t="n">
        <v>0</v>
      </c>
      <c r="Q14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2" s="13" t="n"/>
      <c r="S142" s="17" t="n"/>
    </row>
    <row r="143" ht="17" customHeight="1">
      <c r="A143" s="17">
        <f>1+A142</f>
        <v/>
      </c>
      <c r="B143" s="17" t="inlineStr">
        <is>
          <t>ستار ستيبس</t>
        </is>
      </c>
      <c r="C143" s="17" t="inlineStr">
        <is>
          <t xml:space="preserve">سلطان الفهد </t>
        </is>
      </c>
      <c r="D143" s="17" t="n">
        <v>504868259</v>
      </c>
      <c r="E143" s="17" t="inlineStr">
        <is>
          <t xml:space="preserve">لايوجد </t>
        </is>
      </c>
      <c r="F143" s="17" t="inlineStr">
        <is>
          <t>أكاديمية</t>
        </is>
      </c>
      <c r="G143" s="17" t="inlineStr">
        <is>
          <t>الرياض</t>
        </is>
      </c>
      <c r="H143" s="17" t="inlineStr">
        <is>
          <t>الرياض</t>
        </is>
      </c>
      <c r="I143" s="17" t="inlineStr">
        <is>
          <t>الرياض</t>
        </is>
      </c>
      <c r="J143" s="17" t="n">
        <v>0</v>
      </c>
      <c r="K143" s="17" t="n">
        <v>0</v>
      </c>
      <c r="L143" s="17" t="n">
        <v>1</v>
      </c>
      <c r="M143" s="17" t="n">
        <v>0</v>
      </c>
      <c r="N143" s="17" t="n">
        <v>0</v>
      </c>
      <c r="O143" s="17" t="n">
        <v>0</v>
      </c>
      <c r="P143" s="17" t="n">
        <v>0</v>
      </c>
      <c r="Q14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3" s="13" t="n"/>
      <c r="S143" s="17" t="n"/>
    </row>
    <row r="144" ht="17" customHeight="1">
      <c r="A144" s="17">
        <f>1+A143</f>
        <v/>
      </c>
      <c r="B144" s="17" t="inlineStr">
        <is>
          <t>الحوراء</t>
        </is>
      </c>
      <c r="C144" s="17" t="inlineStr">
        <is>
          <t>منى الجهيني</t>
        </is>
      </c>
      <c r="D144" s="17" t="n">
        <v>551021335</v>
      </c>
      <c r="E144" s="17" t="inlineStr">
        <is>
          <t>الحوراء</t>
        </is>
      </c>
      <c r="F144" s="17" t="inlineStr">
        <is>
          <t>نادي</t>
        </is>
      </c>
      <c r="G144" s="17" t="inlineStr">
        <is>
          <t>تبوك</t>
        </is>
      </c>
      <c r="H144" s="17" t="inlineStr">
        <is>
          <t>تبوك</t>
        </is>
      </c>
      <c r="I144" s="17" t="inlineStr">
        <is>
          <t>تبوك</t>
        </is>
      </c>
      <c r="J144" s="17" t="n">
        <v>1</v>
      </c>
      <c r="K144" s="17" t="n">
        <v>1</v>
      </c>
      <c r="L144" s="17" t="n">
        <v>1</v>
      </c>
      <c r="M144" s="17" t="n">
        <v>1</v>
      </c>
      <c r="N144" s="17" t="n">
        <v>0</v>
      </c>
      <c r="O144" s="17" t="n">
        <v>0</v>
      </c>
      <c r="P144" s="17" t="n">
        <v>0</v>
      </c>
      <c r="Q14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4" s="13" t="n"/>
      <c r="S144" s="17" t="n"/>
    </row>
    <row r="145" ht="17" customHeight="1">
      <c r="A145" s="17">
        <f>1+A144</f>
        <v/>
      </c>
      <c r="B145" s="17" t="inlineStr">
        <is>
          <t xml:space="preserve">ون تو </t>
        </is>
      </c>
      <c r="C145" s="17" t="inlineStr">
        <is>
          <t>احمد الوشمي</t>
        </is>
      </c>
      <c r="D145" s="17" t="n">
        <v>503980009</v>
      </c>
      <c r="E145" s="17" t="inlineStr">
        <is>
          <t xml:space="preserve">لايوجد </t>
        </is>
      </c>
      <c r="F145" s="17" t="inlineStr">
        <is>
          <t>هواة</t>
        </is>
      </c>
      <c r="G145" s="17" t="inlineStr">
        <is>
          <t>القصيم</t>
        </is>
      </c>
      <c r="H145" s="17" t="inlineStr">
        <is>
          <t>بريدة</t>
        </is>
      </c>
      <c r="I145" s="17" t="inlineStr">
        <is>
          <t>القصيم</t>
        </is>
      </c>
      <c r="J145" s="17" t="n">
        <v>1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5" s="13" t="n"/>
      <c r="S145" s="17" t="inlineStr">
        <is>
          <t>نعم</t>
        </is>
      </c>
    </row>
    <row r="146" ht="17" customHeight="1">
      <c r="A146" s="17">
        <f>1+A145</f>
        <v/>
      </c>
      <c r="B146" s="17" t="inlineStr">
        <is>
          <t xml:space="preserve">السالمية </t>
        </is>
      </c>
      <c r="C146" s="17" t="inlineStr">
        <is>
          <t>حيدر هادي</t>
        </is>
      </c>
      <c r="D146" s="17" t="n">
        <v>501738972</v>
      </c>
      <c r="E146" s="17" t="inlineStr">
        <is>
          <t xml:space="preserve">لايوجد </t>
        </is>
      </c>
      <c r="F146" s="17" t="inlineStr">
        <is>
          <t>هواة</t>
        </is>
      </c>
      <c r="G146" s="17" t="inlineStr">
        <is>
          <t>جازان</t>
        </is>
      </c>
      <c r="H146" s="17" t="inlineStr">
        <is>
          <t>صبيا</t>
        </is>
      </c>
      <c r="I146" s="17" t="inlineStr">
        <is>
          <t>جازان</t>
        </is>
      </c>
      <c r="J146" s="17" t="n">
        <v>0</v>
      </c>
      <c r="K146" s="17" t="n">
        <v>0</v>
      </c>
      <c r="L146" s="17" t="n">
        <v>1</v>
      </c>
      <c r="M146" s="17" t="n">
        <v>1</v>
      </c>
      <c r="N146" s="17" t="n">
        <v>1</v>
      </c>
      <c r="O146" s="17" t="n">
        <v>1</v>
      </c>
      <c r="P146" s="17" t="n">
        <v>1</v>
      </c>
      <c r="Q14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6" s="13" t="n"/>
      <c r="S146" s="17" t="inlineStr">
        <is>
          <t>نعم</t>
        </is>
      </c>
    </row>
    <row r="147" ht="17" customHeight="1">
      <c r="A147" s="17">
        <f>1+A146</f>
        <v/>
      </c>
      <c r="B147" s="17" t="inlineStr">
        <is>
          <t>نجوم الروحاء</t>
        </is>
      </c>
      <c r="C147" s="17" t="inlineStr">
        <is>
          <t>زكريا هوساوي</t>
        </is>
      </c>
      <c r="D147" s="17" t="n">
        <v>506562141</v>
      </c>
      <c r="E147" s="17" t="inlineStr">
        <is>
          <t xml:space="preserve">لايوجد </t>
        </is>
      </c>
      <c r="F147" s="17" t="inlineStr">
        <is>
          <t>هواة</t>
        </is>
      </c>
      <c r="G147" s="17" t="inlineStr">
        <is>
          <t>مكة المكرمة</t>
        </is>
      </c>
      <c r="H147" s="17" t="inlineStr">
        <is>
          <t>مكة المكرمة</t>
        </is>
      </c>
      <c r="I147" s="17" t="inlineStr">
        <is>
          <t>مكة المكرمة</t>
        </is>
      </c>
      <c r="J147" s="17" t="n">
        <v>1</v>
      </c>
      <c r="K147" s="17" t="n">
        <v>1</v>
      </c>
      <c r="L147" s="17" t="n">
        <v>1</v>
      </c>
      <c r="M147" s="17" t="n">
        <v>1</v>
      </c>
      <c r="N147" s="17" t="n">
        <v>1</v>
      </c>
      <c r="O147" s="17" t="n">
        <v>0</v>
      </c>
      <c r="P147" s="17" t="n">
        <v>0</v>
      </c>
      <c r="Q14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7" s="13" t="n"/>
      <c r="S147" s="17" t="inlineStr">
        <is>
          <t>نعم</t>
        </is>
      </c>
    </row>
    <row r="148" ht="17" customHeight="1">
      <c r="A148" s="17">
        <f>1+A147</f>
        <v/>
      </c>
      <c r="B148" s="17" t="inlineStr">
        <is>
          <t>سانتوس جيزان</t>
        </is>
      </c>
      <c r="C148" s="17" t="inlineStr">
        <is>
          <t>عبدالعزيز الحمدي</t>
        </is>
      </c>
      <c r="D148" s="17" t="n">
        <v>533252040</v>
      </c>
      <c r="E148" s="17" t="inlineStr">
        <is>
          <t xml:space="preserve">لايوجد </t>
        </is>
      </c>
      <c r="F148" s="17" t="inlineStr">
        <is>
          <t>هواة</t>
        </is>
      </c>
      <c r="G148" s="17" t="inlineStr">
        <is>
          <t>جازان</t>
        </is>
      </c>
      <c r="H148" s="17" t="inlineStr">
        <is>
          <t>جيزان</t>
        </is>
      </c>
      <c r="I148" s="17" t="inlineStr">
        <is>
          <t>جازان</t>
        </is>
      </c>
      <c r="J148" s="17" t="n">
        <v>1</v>
      </c>
      <c r="K148" s="17" t="n">
        <v>1</v>
      </c>
      <c r="L148" s="17" t="n">
        <v>1</v>
      </c>
      <c r="M148" s="17" t="n">
        <v>1</v>
      </c>
      <c r="N148" s="17" t="n">
        <v>1</v>
      </c>
      <c r="O148" s="17" t="n">
        <v>1</v>
      </c>
      <c r="P148" s="17" t="n">
        <v>1</v>
      </c>
      <c r="Q14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8" s="13" t="n"/>
      <c r="S148" s="17" t="inlineStr">
        <is>
          <t>نعم</t>
        </is>
      </c>
    </row>
    <row r="149" ht="17" customHeight="1">
      <c r="A149" s="17">
        <f>1+A148</f>
        <v/>
      </c>
      <c r="B149" s="17" t="inlineStr">
        <is>
          <t>صقور الوادي</t>
        </is>
      </c>
      <c r="C149" s="17" t="inlineStr">
        <is>
          <t>عبدالله غبيري</t>
        </is>
      </c>
      <c r="D149" s="17" t="n">
        <v>509764227</v>
      </c>
      <c r="E149" s="17" t="inlineStr">
        <is>
          <t>لايوجد</t>
        </is>
      </c>
      <c r="F149" s="17" t="inlineStr">
        <is>
          <t>هواة</t>
        </is>
      </c>
      <c r="G149" s="17" t="inlineStr">
        <is>
          <t>جازان</t>
        </is>
      </c>
      <c r="H149" s="17" t="inlineStr">
        <is>
          <t>جيزان</t>
        </is>
      </c>
      <c r="I149" s="17" t="inlineStr">
        <is>
          <t>جازان</t>
        </is>
      </c>
      <c r="J149" s="17" t="n">
        <v>0</v>
      </c>
      <c r="K149" s="17" t="n">
        <v>1</v>
      </c>
      <c r="L149" s="17" t="n">
        <v>1</v>
      </c>
      <c r="M149" s="17" t="n">
        <v>1</v>
      </c>
      <c r="N149" s="17" t="n">
        <v>1</v>
      </c>
      <c r="O149" s="17" t="n">
        <v>1</v>
      </c>
      <c r="P149" s="17" t="n">
        <v>1</v>
      </c>
      <c r="Q14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49" s="13" t="n"/>
      <c r="S149" s="17" t="inlineStr">
        <is>
          <t>نعم</t>
        </is>
      </c>
    </row>
    <row r="150" ht="17" customHeight="1">
      <c r="A150" s="17">
        <f>1+A149</f>
        <v/>
      </c>
      <c r="B150" s="17" t="inlineStr">
        <is>
          <t xml:space="preserve">الصمود </t>
        </is>
      </c>
      <c r="C150" s="17" t="inlineStr">
        <is>
          <t>عبدالله غروي</t>
        </is>
      </c>
      <c r="D150" s="79" t="n">
        <v>966536699596</v>
      </c>
      <c r="E150" s="17" t="inlineStr">
        <is>
          <t>لايوجد</t>
        </is>
      </c>
      <c r="F150" s="17" t="inlineStr">
        <is>
          <t>هواة</t>
        </is>
      </c>
      <c r="G150" s="17" t="inlineStr">
        <is>
          <t>جازان</t>
        </is>
      </c>
      <c r="H150" s="17" t="inlineStr">
        <is>
          <t>صبيا</t>
        </is>
      </c>
      <c r="I150" s="17" t="inlineStr">
        <is>
          <t>جازان</t>
        </is>
      </c>
      <c r="J150" s="17" t="n">
        <v>1</v>
      </c>
      <c r="K150" s="17" t="n">
        <v>1</v>
      </c>
      <c r="L150" s="17" t="n">
        <v>1</v>
      </c>
      <c r="M150" s="17" t="n">
        <v>1</v>
      </c>
      <c r="N150" s="17" t="n">
        <v>1</v>
      </c>
      <c r="O150" s="17" t="n">
        <v>1</v>
      </c>
      <c r="P150" s="17" t="n">
        <v>1</v>
      </c>
      <c r="Q15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0" s="13" t="n"/>
      <c r="S150" s="17" t="inlineStr">
        <is>
          <t>نعم</t>
        </is>
      </c>
    </row>
    <row r="151" ht="17" customHeight="1">
      <c r="A151" s="17">
        <f>1+A150</f>
        <v/>
      </c>
      <c r="B151" s="17" t="inlineStr">
        <is>
          <t>فارس الحميد الطائف</t>
        </is>
      </c>
      <c r="C151" s="17" t="inlineStr">
        <is>
          <t>عبدالله الزهراني</t>
        </is>
      </c>
      <c r="D151" s="17" t="n">
        <v>543039491</v>
      </c>
      <c r="E151" s="17" t="inlineStr">
        <is>
          <t>اكاديمية فارس</t>
        </is>
      </c>
      <c r="F151" s="17" t="inlineStr">
        <is>
          <t>أكاديمية</t>
        </is>
      </c>
      <c r="G151" s="17" t="inlineStr">
        <is>
          <t>مكة المكرمة</t>
        </is>
      </c>
      <c r="H151" s="17" t="inlineStr">
        <is>
          <t>الطائف</t>
        </is>
      </c>
      <c r="I151" s="17" t="inlineStr">
        <is>
          <t>الطائف</t>
        </is>
      </c>
      <c r="J151" s="17" t="n">
        <v>1</v>
      </c>
      <c r="K151" s="17" t="n">
        <v>0</v>
      </c>
      <c r="L151" s="17" t="n">
        <v>1</v>
      </c>
      <c r="M151" s="17" t="n">
        <v>0</v>
      </c>
      <c r="N151" s="17" t="n">
        <v>1</v>
      </c>
      <c r="O151" s="17" t="n">
        <v>0</v>
      </c>
      <c r="P151" s="17" t="n">
        <v>0</v>
      </c>
      <c r="Q15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1" s="13" t="n"/>
      <c r="S151" s="17" t="n"/>
    </row>
    <row r="152" ht="17" customHeight="1">
      <c r="A152" s="17">
        <f>1+A151</f>
        <v/>
      </c>
      <c r="B152" s="17" t="inlineStr">
        <is>
          <t xml:space="preserve">تعاون الطرشية </t>
        </is>
      </c>
      <c r="C152" s="17" t="inlineStr">
        <is>
          <t xml:space="preserve">ماجد خيرات </t>
        </is>
      </c>
      <c r="D152" s="17" t="n">
        <v>550404704</v>
      </c>
      <c r="E152" s="17" t="inlineStr">
        <is>
          <t xml:space="preserve">لايوجد </t>
        </is>
      </c>
      <c r="F152" s="17" t="inlineStr">
        <is>
          <t>هواة</t>
        </is>
      </c>
      <c r="G152" s="17" t="inlineStr">
        <is>
          <t>جازان</t>
        </is>
      </c>
      <c r="H152" s="17" t="inlineStr">
        <is>
          <t>صامطة</t>
        </is>
      </c>
      <c r="I152" s="17" t="inlineStr">
        <is>
          <t>جازان</t>
        </is>
      </c>
      <c r="J152" s="17" t="n">
        <v>1</v>
      </c>
      <c r="K152" s="17" t="n">
        <v>1</v>
      </c>
      <c r="L152" s="17" t="n">
        <v>1</v>
      </c>
      <c r="M152" s="17" t="n">
        <v>1</v>
      </c>
      <c r="N152" s="17" t="n">
        <v>1</v>
      </c>
      <c r="O152" s="17" t="n">
        <v>1</v>
      </c>
      <c r="P152" s="17" t="n">
        <v>1</v>
      </c>
      <c r="Q15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2" s="13" t="n"/>
      <c r="S152" s="17" t="inlineStr">
        <is>
          <t>نعم</t>
        </is>
      </c>
    </row>
    <row r="153" ht="17" customHeight="1">
      <c r="A153" s="17">
        <f>1+A152</f>
        <v/>
      </c>
      <c r="B153" s="17" t="inlineStr">
        <is>
          <t xml:space="preserve">زين المباركة </t>
        </is>
      </c>
      <c r="C153" s="17" t="inlineStr">
        <is>
          <t xml:space="preserve">يحيى عواف </t>
        </is>
      </c>
      <c r="D153" s="17" t="n">
        <v>534933757</v>
      </c>
      <c r="E153" s="17" t="inlineStr">
        <is>
          <t xml:space="preserve">لايوجد </t>
        </is>
      </c>
      <c r="F153" s="17" t="inlineStr">
        <is>
          <t>هواة</t>
        </is>
      </c>
      <c r="G153" s="17" t="inlineStr">
        <is>
          <t>جازان</t>
        </is>
      </c>
      <c r="H153" s="17" t="inlineStr">
        <is>
          <t>صامطة</t>
        </is>
      </c>
      <c r="I153" s="17" t="inlineStr">
        <is>
          <t>جازان</t>
        </is>
      </c>
      <c r="J153" s="17" t="n">
        <v>1</v>
      </c>
      <c r="K153" s="17" t="n">
        <v>1</v>
      </c>
      <c r="L153" s="17" t="n">
        <v>1</v>
      </c>
      <c r="M153" s="17" t="n">
        <v>1</v>
      </c>
      <c r="N153" s="17" t="n">
        <v>1</v>
      </c>
      <c r="O153" s="17" t="n">
        <v>1</v>
      </c>
      <c r="P153" s="17" t="n">
        <v>1</v>
      </c>
      <c r="Q15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3" s="13" t="n"/>
      <c r="S153" s="17" t="inlineStr">
        <is>
          <t>نعم</t>
        </is>
      </c>
    </row>
    <row r="154" ht="17" customHeight="1">
      <c r="A154" s="17">
        <f>1+A153</f>
        <v/>
      </c>
      <c r="B154" s="17" t="inlineStr">
        <is>
          <t>الليث الابيض</t>
        </is>
      </c>
      <c r="C154" s="17" t="inlineStr">
        <is>
          <t xml:space="preserve">عماد يحيى </t>
        </is>
      </c>
      <c r="D154" s="17" t="n">
        <v>507769877</v>
      </c>
      <c r="E154" s="17" t="inlineStr">
        <is>
          <t xml:space="preserve">الليث الابيض </t>
        </is>
      </c>
      <c r="F154" s="17" t="inlineStr">
        <is>
          <t>أكاديمية</t>
        </is>
      </c>
      <c r="G154" s="17" t="inlineStr">
        <is>
          <t>جازان</t>
        </is>
      </c>
      <c r="H154" s="17" t="inlineStr">
        <is>
          <t>صبيا</t>
        </is>
      </c>
      <c r="I154" s="17" t="inlineStr">
        <is>
          <t>جازان</t>
        </is>
      </c>
      <c r="J154" s="17" t="n">
        <v>1</v>
      </c>
      <c r="K154" s="17" t="n">
        <v>1</v>
      </c>
      <c r="L154" s="17" t="n">
        <v>1</v>
      </c>
      <c r="M154" s="17" t="n">
        <v>1</v>
      </c>
      <c r="N154" s="17" t="n">
        <v>1</v>
      </c>
      <c r="O154" s="17" t="n">
        <v>1</v>
      </c>
      <c r="P154" s="17" t="n">
        <v>1</v>
      </c>
      <c r="Q15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4" s="13" t="n"/>
      <c r="S154" s="17" t="n"/>
    </row>
    <row r="155" ht="17" customHeight="1">
      <c r="A155" s="17">
        <f>1+A154</f>
        <v/>
      </c>
      <c r="B155" s="17" t="inlineStr">
        <is>
          <t xml:space="preserve">مضر </t>
        </is>
      </c>
      <c r="C155" s="17" t="inlineStr">
        <is>
          <t xml:space="preserve">حسين غزوي </t>
        </is>
      </c>
      <c r="D155" s="17" t="n">
        <v>562060445</v>
      </c>
      <c r="E155" s="17" t="inlineStr">
        <is>
          <t xml:space="preserve">مدينة الامير نايف </t>
        </is>
      </c>
      <c r="F155" s="17" t="inlineStr">
        <is>
          <t>نادي</t>
        </is>
      </c>
      <c r="G155" s="17" t="inlineStr">
        <is>
          <t>الشرقية</t>
        </is>
      </c>
      <c r="H155" s="17" t="inlineStr">
        <is>
          <t>القطيف</t>
        </is>
      </c>
      <c r="I155" s="17" t="inlineStr">
        <is>
          <t>القطيف</t>
        </is>
      </c>
      <c r="J155" s="17" t="n">
        <v>1</v>
      </c>
      <c r="K155" s="17" t="n">
        <v>1</v>
      </c>
      <c r="L155" s="17" t="n">
        <v>1</v>
      </c>
      <c r="M155" s="17" t="n">
        <v>1</v>
      </c>
      <c r="N155" s="17" t="n">
        <v>1</v>
      </c>
      <c r="O155" s="17" t="n">
        <v>1</v>
      </c>
      <c r="P155" s="17" t="n">
        <v>1</v>
      </c>
      <c r="Q15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5" s="13" t="n"/>
      <c r="S155" s="17" t="n"/>
    </row>
    <row r="156" ht="17" customHeight="1">
      <c r="A156" s="17">
        <f>1+A155</f>
        <v/>
      </c>
      <c r="B156" s="17" t="inlineStr">
        <is>
          <t>الجيل الجديد</t>
        </is>
      </c>
      <c r="C156" s="17" t="inlineStr">
        <is>
          <t xml:space="preserve">عبدالوهاب البركاتي </t>
        </is>
      </c>
      <c r="D156" s="17" t="n">
        <v>547092178</v>
      </c>
      <c r="E156" s="17" t="inlineStr">
        <is>
          <t xml:space="preserve">لايوجد </t>
        </is>
      </c>
      <c r="F156" s="17" t="inlineStr">
        <is>
          <t>أكاديمية</t>
        </is>
      </c>
      <c r="G156" s="17" t="inlineStr">
        <is>
          <t>المدينة المنورة</t>
        </is>
      </c>
      <c r="H156" s="17" t="inlineStr">
        <is>
          <t>المدينة المنورة</t>
        </is>
      </c>
      <c r="I156" s="17" t="inlineStr">
        <is>
          <t>المدينة المنورة</t>
        </is>
      </c>
      <c r="J156" s="17" t="n">
        <v>0</v>
      </c>
      <c r="K156" s="17" t="n">
        <v>0</v>
      </c>
      <c r="L156" s="17" t="n">
        <v>0</v>
      </c>
      <c r="M156" s="17" t="n">
        <v>1</v>
      </c>
      <c r="N156" s="17" t="n">
        <v>0</v>
      </c>
      <c r="O156" s="17" t="n">
        <v>0</v>
      </c>
      <c r="P156" s="17" t="n">
        <v>0</v>
      </c>
      <c r="Q15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6" s="13" t="n"/>
      <c r="S156" s="17" t="n"/>
    </row>
    <row r="157" ht="17" customHeight="1">
      <c r="A157" s="17">
        <f>1+A156</f>
        <v/>
      </c>
      <c r="B157" s="17" t="inlineStr">
        <is>
          <t xml:space="preserve">فيتوريا زون </t>
        </is>
      </c>
      <c r="C157" s="17" t="inlineStr">
        <is>
          <t xml:space="preserve">مازن السكران </t>
        </is>
      </c>
      <c r="D157" s="17" t="n">
        <v>55343180</v>
      </c>
      <c r="E157" s="17" t="inlineStr">
        <is>
          <t xml:space="preserve">لايوجد </t>
        </is>
      </c>
      <c r="F157" s="17" t="inlineStr">
        <is>
          <t>أكاديمية</t>
        </is>
      </c>
      <c r="G157" s="17" t="inlineStr">
        <is>
          <t>مكة المكرمة</t>
        </is>
      </c>
      <c r="H157" s="17" t="inlineStr">
        <is>
          <t>جدة</t>
        </is>
      </c>
      <c r="I157" s="17" t="inlineStr">
        <is>
          <t>جدة</t>
        </is>
      </c>
      <c r="J157" s="17" t="n">
        <v>0</v>
      </c>
      <c r="K157" s="17" t="n">
        <v>1</v>
      </c>
      <c r="L157" s="17" t="n">
        <v>0</v>
      </c>
      <c r="M157" s="17" t="n">
        <v>1</v>
      </c>
      <c r="N157" s="17" t="n">
        <v>0</v>
      </c>
      <c r="O157" s="17" t="n">
        <v>0</v>
      </c>
      <c r="P157" s="17" t="n">
        <v>0</v>
      </c>
      <c r="Q15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7" s="13" t="n"/>
      <c r="S157" s="17" t="n"/>
    </row>
    <row r="158" ht="17" customHeight="1">
      <c r="A158" s="17">
        <f>1+A157</f>
        <v/>
      </c>
      <c r="B158" s="17" t="inlineStr">
        <is>
          <t xml:space="preserve">الايمان الرياضية </t>
        </is>
      </c>
      <c r="C158" s="17" t="inlineStr">
        <is>
          <t xml:space="preserve">مسفر العمر </t>
        </is>
      </c>
      <c r="D158" s="17" t="n">
        <v>551086669</v>
      </c>
      <c r="E158" s="17" t="inlineStr">
        <is>
          <t>الايمان</t>
        </is>
      </c>
      <c r="F158" s="17" t="inlineStr">
        <is>
          <t>أكاديمية</t>
        </is>
      </c>
      <c r="G158" s="17" t="inlineStr">
        <is>
          <t>الشرقية</t>
        </is>
      </c>
      <c r="H158" s="17" t="inlineStr">
        <is>
          <t>الخفجي</t>
        </is>
      </c>
      <c r="I158" s="17" t="inlineStr">
        <is>
          <t>حفر الباطن</t>
        </is>
      </c>
      <c r="J158" s="17" t="n">
        <v>1</v>
      </c>
      <c r="K158" s="17" t="n">
        <v>1</v>
      </c>
      <c r="L158" s="17" t="n">
        <v>1</v>
      </c>
      <c r="M158" s="17" t="n">
        <v>1</v>
      </c>
      <c r="N158" s="17" t="n">
        <v>1</v>
      </c>
      <c r="O158" s="17" t="n">
        <v>1</v>
      </c>
      <c r="P158" s="17" t="n">
        <v>1</v>
      </c>
      <c r="Q15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8" s="13" t="n"/>
      <c r="S158" s="17" t="n"/>
    </row>
    <row r="159" ht="17" customHeight="1">
      <c r="A159" s="17">
        <f>1+A158</f>
        <v/>
      </c>
      <c r="B159" s="17" t="inlineStr">
        <is>
          <t xml:space="preserve">القمة الرياضية </t>
        </is>
      </c>
      <c r="C159" s="17" t="inlineStr">
        <is>
          <t>سلطان الظفيري</t>
        </is>
      </c>
      <c r="D159" s="17" t="n">
        <v>535535146</v>
      </c>
      <c r="E159" s="17" t="inlineStr">
        <is>
          <t xml:space="preserve">الامانة </t>
        </is>
      </c>
      <c r="F159" s="17" t="inlineStr">
        <is>
          <t>أكاديمية</t>
        </is>
      </c>
      <c r="G159" s="17" t="inlineStr">
        <is>
          <t>الشرقية</t>
        </is>
      </c>
      <c r="H159" s="17" t="inlineStr">
        <is>
          <t>حفر الباطن</t>
        </is>
      </c>
      <c r="I159" s="17" t="inlineStr">
        <is>
          <t>حفر الباطن</t>
        </is>
      </c>
      <c r="J159" s="17" t="n">
        <v>1</v>
      </c>
      <c r="K159" s="17" t="n">
        <v>1</v>
      </c>
      <c r="L159" s="17" t="n">
        <v>1</v>
      </c>
      <c r="M159" s="17" t="n">
        <v>1</v>
      </c>
      <c r="N159" s="17" t="n">
        <v>1</v>
      </c>
      <c r="O159" s="17" t="n">
        <v>1</v>
      </c>
      <c r="P159" s="17" t="n">
        <v>1</v>
      </c>
      <c r="Q15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59" s="13" t="n"/>
      <c r="S159" s="17" t="n"/>
    </row>
    <row r="160" ht="17" customHeight="1">
      <c r="A160" s="17">
        <f>1+A159</f>
        <v/>
      </c>
      <c r="B160" s="17" t="inlineStr">
        <is>
          <t xml:space="preserve">فريق بحلي </t>
        </is>
      </c>
      <c r="C160" s="17" t="inlineStr">
        <is>
          <t>مصلح الزبيدي</t>
        </is>
      </c>
      <c r="D160" s="17" t="n">
        <v>560056156</v>
      </c>
      <c r="E160" s="17" t="inlineStr">
        <is>
          <t xml:space="preserve">لايوجد </t>
        </is>
      </c>
      <c r="F160" s="17" t="inlineStr">
        <is>
          <t>هواة</t>
        </is>
      </c>
      <c r="G160" s="17" t="inlineStr">
        <is>
          <t>مكة المكرمة</t>
        </is>
      </c>
      <c r="H160" s="17" t="inlineStr">
        <is>
          <t>القنفذة</t>
        </is>
      </c>
      <c r="I160" s="17" t="inlineStr">
        <is>
          <t>مكة المكرمة</t>
        </is>
      </c>
      <c r="J160" s="17" t="n">
        <v>1</v>
      </c>
      <c r="K160" s="17" t="n">
        <v>1</v>
      </c>
      <c r="L160" s="17" t="n">
        <v>1</v>
      </c>
      <c r="M160" s="17" t="n">
        <v>1</v>
      </c>
      <c r="N160" s="17" t="n">
        <v>1</v>
      </c>
      <c r="O160" s="17" t="n">
        <v>0</v>
      </c>
      <c r="P160" s="17" t="n">
        <v>0</v>
      </c>
      <c r="Q16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0" s="13" t="n"/>
      <c r="S160" s="17" t="inlineStr">
        <is>
          <t>نعم</t>
        </is>
      </c>
    </row>
    <row r="161" ht="17" customHeight="1">
      <c r="A161" s="17">
        <f>1+A160</f>
        <v/>
      </c>
      <c r="B161" s="17" t="inlineStr">
        <is>
          <t>جريبة</t>
        </is>
      </c>
      <c r="C161" s="17" t="inlineStr">
        <is>
          <t>محمد قميري</t>
        </is>
      </c>
      <c r="D161" s="17" t="n">
        <v>504577997</v>
      </c>
      <c r="E161" s="17" t="inlineStr">
        <is>
          <t>لايوجد</t>
        </is>
      </c>
      <c r="F161" s="17" t="inlineStr">
        <is>
          <t>هواة</t>
        </is>
      </c>
      <c r="G161" s="17" t="inlineStr">
        <is>
          <t>جازان</t>
        </is>
      </c>
      <c r="H161" s="17" t="inlineStr">
        <is>
          <t>صبيا</t>
        </is>
      </c>
      <c r="I161" s="17" t="inlineStr">
        <is>
          <t>جازان</t>
        </is>
      </c>
      <c r="J161" s="17" t="n">
        <v>0</v>
      </c>
      <c r="K161" s="17" t="n">
        <v>1</v>
      </c>
      <c r="L161" s="17" t="n">
        <v>1</v>
      </c>
      <c r="M161" s="17" t="n">
        <v>1</v>
      </c>
      <c r="N161" s="17" t="n">
        <v>1</v>
      </c>
      <c r="O161" s="17" t="n">
        <v>1</v>
      </c>
      <c r="P161" s="17" t="n">
        <v>1</v>
      </c>
      <c r="Q16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1" s="13" t="n"/>
      <c r="S161" s="17" t="inlineStr">
        <is>
          <t>نعم</t>
        </is>
      </c>
    </row>
    <row r="162" ht="17" customHeight="1">
      <c r="A162" s="17">
        <f>1+A161</f>
        <v/>
      </c>
      <c r="B162" s="17" t="inlineStr">
        <is>
          <t>ثلاثا يبه</t>
        </is>
      </c>
      <c r="C162" s="17" t="inlineStr">
        <is>
          <t>احمد المقعدي</t>
        </is>
      </c>
      <c r="D162" s="79" t="n">
        <v>966506522952</v>
      </c>
      <c r="E162" s="17" t="inlineStr">
        <is>
          <t>لايوجد</t>
        </is>
      </c>
      <c r="F162" s="17" t="inlineStr">
        <is>
          <t>هواة</t>
        </is>
      </c>
      <c r="G162" s="17" t="inlineStr">
        <is>
          <t>مكة المكرمة</t>
        </is>
      </c>
      <c r="H162" s="17" t="inlineStr">
        <is>
          <t>القنفذة</t>
        </is>
      </c>
      <c r="I162" s="17" t="inlineStr">
        <is>
          <t>مكة المكرمة</t>
        </is>
      </c>
      <c r="J162" s="17" t="n">
        <v>0</v>
      </c>
      <c r="K162" s="17" t="n">
        <v>1</v>
      </c>
      <c r="L162" s="17" t="n">
        <v>1</v>
      </c>
      <c r="M162" s="17" t="n">
        <v>1</v>
      </c>
      <c r="N162" s="17" t="n">
        <v>1</v>
      </c>
      <c r="O162" s="17" t="n">
        <v>0</v>
      </c>
      <c r="P162" s="17" t="n">
        <v>0</v>
      </c>
      <c r="Q16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2" s="13" t="n"/>
      <c r="S162" s="17" t="inlineStr">
        <is>
          <t>نعم</t>
        </is>
      </c>
    </row>
    <row r="163" ht="17" customHeight="1">
      <c r="A163" s="17">
        <f>1+A162</f>
        <v/>
      </c>
      <c r="B163" s="17" t="inlineStr">
        <is>
          <t xml:space="preserve">اتحاد دوقة </t>
        </is>
      </c>
      <c r="C163" s="17" t="inlineStr">
        <is>
          <t>احمد الحرازي</t>
        </is>
      </c>
      <c r="D163" s="17" t="n">
        <v>555531479</v>
      </c>
      <c r="E163" s="17" t="inlineStr">
        <is>
          <t>لايوجد</t>
        </is>
      </c>
      <c r="F163" s="17" t="inlineStr">
        <is>
          <t>هواة</t>
        </is>
      </c>
      <c r="G163" s="17" t="inlineStr">
        <is>
          <t>مكة المكرمة</t>
        </is>
      </c>
      <c r="H163" s="17" t="inlineStr">
        <is>
          <t>القنفذة</t>
        </is>
      </c>
      <c r="I163" s="17" t="inlineStr">
        <is>
          <t>مكة المكرمة</t>
        </is>
      </c>
      <c r="J163" s="17" t="n">
        <v>1</v>
      </c>
      <c r="K163" s="17" t="n">
        <v>1</v>
      </c>
      <c r="L163" s="17" t="n">
        <v>1</v>
      </c>
      <c r="M163" s="17" t="n">
        <v>1</v>
      </c>
      <c r="N163" s="17" t="n">
        <v>0</v>
      </c>
      <c r="O163" s="17" t="n">
        <v>0</v>
      </c>
      <c r="P163" s="17" t="n">
        <v>0</v>
      </c>
      <c r="Q16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3" s="13" t="n"/>
      <c r="S163" s="17" t="inlineStr">
        <is>
          <t>نعم</t>
        </is>
      </c>
    </row>
    <row r="164" ht="17" customHeight="1">
      <c r="A164" s="17">
        <f>1+A163</f>
        <v/>
      </c>
      <c r="B164" s="17" t="inlineStr">
        <is>
          <t>اكاديمة السامبا</t>
        </is>
      </c>
      <c r="C164" s="17" t="inlineStr">
        <is>
          <t>ماجد الحارثي</t>
        </is>
      </c>
      <c r="D164" s="17" t="n">
        <v>543040905</v>
      </c>
      <c r="E164" s="17" t="inlineStr">
        <is>
          <t xml:space="preserve">لايوجد </t>
        </is>
      </c>
      <c r="F164" s="17" t="inlineStr">
        <is>
          <t>هواة</t>
        </is>
      </c>
      <c r="G164" s="17" t="inlineStr">
        <is>
          <t>مكة المكرمة</t>
        </is>
      </c>
      <c r="H164" s="17" t="inlineStr">
        <is>
          <t>الطائف</t>
        </is>
      </c>
      <c r="I164" s="17" t="inlineStr">
        <is>
          <t>الطائف</t>
        </is>
      </c>
      <c r="J164" s="17" t="n">
        <v>1</v>
      </c>
      <c r="K164" s="17" t="n">
        <v>1</v>
      </c>
      <c r="L164" s="17" t="n">
        <v>1</v>
      </c>
      <c r="M164" s="17" t="n">
        <v>1</v>
      </c>
      <c r="N164" s="17" t="n">
        <v>1</v>
      </c>
      <c r="O164" s="17" t="n">
        <v>1</v>
      </c>
      <c r="P164" s="17" t="n">
        <v>1</v>
      </c>
      <c r="Q16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4" s="13" t="n"/>
      <c r="S164" s="17" t="inlineStr">
        <is>
          <t>نعم</t>
        </is>
      </c>
    </row>
    <row r="165" ht="17" customHeight="1">
      <c r="A165" s="17">
        <f>1+A164</f>
        <v/>
      </c>
      <c r="B165" s="13" t="inlineStr">
        <is>
          <t>المملكة</t>
        </is>
      </c>
      <c r="C165" s="13" t="inlineStr">
        <is>
          <t>احمد علي</t>
        </is>
      </c>
      <c r="D165" s="13" t="n">
        <v>542704065</v>
      </c>
      <c r="E165" s="13" t="inlineStr">
        <is>
          <t>المملكة</t>
        </is>
      </c>
      <c r="F165" s="13" t="inlineStr">
        <is>
          <t>أكاديمية</t>
        </is>
      </c>
      <c r="G165" s="13" t="inlineStr">
        <is>
          <t>مكة المكرمة</t>
        </is>
      </c>
      <c r="H165" s="13" t="inlineStr">
        <is>
          <t>جدة</t>
        </is>
      </c>
      <c r="I165" s="17" t="inlineStr">
        <is>
          <t>جدة</t>
        </is>
      </c>
      <c r="J165" s="13" t="n">
        <v>0</v>
      </c>
      <c r="K165" s="13" t="n">
        <v>0</v>
      </c>
      <c r="L165" s="13" t="n">
        <v>1</v>
      </c>
      <c r="M165" s="13" t="n">
        <v>1</v>
      </c>
      <c r="N165" s="13" t="n">
        <v>2</v>
      </c>
      <c r="O165" s="13" t="n">
        <v>2</v>
      </c>
      <c r="P165" s="13" t="n">
        <v>2</v>
      </c>
      <c r="Q16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5" s="13" t="n"/>
      <c r="S165" s="17" t="n"/>
    </row>
    <row r="166" ht="17" customHeight="1">
      <c r="A166" s="17">
        <f>1+A165</f>
        <v/>
      </c>
      <c r="B166" s="17" t="inlineStr">
        <is>
          <t>اكاديمية الدلم</t>
        </is>
      </c>
      <c r="C166" s="17" t="inlineStr">
        <is>
          <t>عبدالله المحسن</t>
        </is>
      </c>
      <c r="D166" s="17" t="n">
        <v>555106645</v>
      </c>
      <c r="E166" s="17" t="inlineStr">
        <is>
          <t>الانفيلد</t>
        </is>
      </c>
      <c r="F166" s="17" t="inlineStr">
        <is>
          <t>هواة</t>
        </is>
      </c>
      <c r="G166" s="17" t="inlineStr">
        <is>
          <t>الرياض</t>
        </is>
      </c>
      <c r="H166" s="17" t="inlineStr">
        <is>
          <t>الدلم</t>
        </is>
      </c>
      <c r="I166" s="17" t="inlineStr">
        <is>
          <t>الخرج</t>
        </is>
      </c>
      <c r="J166" s="17" t="n">
        <v>0</v>
      </c>
      <c r="K166" s="17" t="n">
        <v>1</v>
      </c>
      <c r="L166" s="17" t="n">
        <v>1</v>
      </c>
      <c r="M166" s="17" t="n">
        <v>0</v>
      </c>
      <c r="N166" s="17" t="n">
        <v>0</v>
      </c>
      <c r="O166" s="17" t="n">
        <v>0</v>
      </c>
      <c r="P166" s="17" t="n">
        <v>0</v>
      </c>
      <c r="Q16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6" s="13" t="inlineStr">
        <is>
          <t>لم يتم السداد</t>
        </is>
      </c>
      <c r="S166" s="17" t="inlineStr">
        <is>
          <t>نعم</t>
        </is>
      </c>
    </row>
    <row r="167" ht="17" customHeight="1">
      <c r="A167" s="17">
        <f>1+A166</f>
        <v/>
      </c>
      <c r="B167" s="17" t="inlineStr">
        <is>
          <t xml:space="preserve">اكاديمية ليوث الخالدية </t>
        </is>
      </c>
      <c r="C167" s="17" t="inlineStr">
        <is>
          <t>عادل شهاب</t>
        </is>
      </c>
      <c r="D167" s="17" t="n">
        <v>592080007</v>
      </c>
      <c r="E167" s="17" t="inlineStr">
        <is>
          <t xml:space="preserve">لايوجد </t>
        </is>
      </c>
      <c r="F167" s="17" t="inlineStr">
        <is>
          <t>هواة</t>
        </is>
      </c>
      <c r="G167" s="17" t="inlineStr">
        <is>
          <t>الرياض</t>
        </is>
      </c>
      <c r="H167" s="17" t="inlineStr">
        <is>
          <t>الرياض</t>
        </is>
      </c>
      <c r="I167" s="17" t="inlineStr">
        <is>
          <t>الرياض</t>
        </is>
      </c>
      <c r="J167" s="17" t="n">
        <v>1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7" s="13" t="inlineStr">
        <is>
          <t>لم يتم السداد</t>
        </is>
      </c>
      <c r="S167" s="17" t="inlineStr">
        <is>
          <t>نعم</t>
        </is>
      </c>
    </row>
    <row r="168" ht="17" customHeight="1">
      <c r="A168" s="17">
        <f>1+A167</f>
        <v/>
      </c>
      <c r="B168" s="17" t="inlineStr">
        <is>
          <t>الخويلدية</t>
        </is>
      </c>
      <c r="C168" s="17" t="inlineStr">
        <is>
          <t>محمد ال اسماعيل</t>
        </is>
      </c>
      <c r="D168" s="17" t="n">
        <v>580008374</v>
      </c>
      <c r="E168" s="17" t="inlineStr">
        <is>
          <t>مدينة الامير نايف</t>
        </is>
      </c>
      <c r="F168" s="17" t="inlineStr">
        <is>
          <t>نادي</t>
        </is>
      </c>
      <c r="G168" s="17" t="inlineStr">
        <is>
          <t>الشرقية</t>
        </is>
      </c>
      <c r="H168" s="17" t="inlineStr">
        <is>
          <t>القطيف</t>
        </is>
      </c>
      <c r="I168" s="17" t="inlineStr">
        <is>
          <t>القطيف</t>
        </is>
      </c>
      <c r="J168" s="17" t="n">
        <v>0</v>
      </c>
      <c r="K168" s="17" t="n">
        <v>1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8" s="13" t="n"/>
      <c r="S168" s="17" t="n"/>
    </row>
    <row r="169" ht="17" customHeight="1">
      <c r="A169" s="17">
        <f>1+A168</f>
        <v/>
      </c>
      <c r="B169" s="17" t="inlineStr">
        <is>
          <t>اكاديمية فارس الرياض</t>
        </is>
      </c>
      <c r="C169" s="17" t="inlineStr">
        <is>
          <t>عبدالحميد الوابل</t>
        </is>
      </c>
      <c r="D169" s="17" t="n">
        <v>546505524</v>
      </c>
      <c r="E169" s="17" t="inlineStr">
        <is>
          <t xml:space="preserve">لايوجد </t>
        </is>
      </c>
      <c r="F169" s="17" t="inlineStr">
        <is>
          <t>أكاديمية</t>
        </is>
      </c>
      <c r="G169" s="17" t="inlineStr">
        <is>
          <t>الرياض</t>
        </is>
      </c>
      <c r="H169" s="17" t="inlineStr">
        <is>
          <t>الرياض</t>
        </is>
      </c>
      <c r="I169" s="17" t="inlineStr">
        <is>
          <t>الرياض</t>
        </is>
      </c>
      <c r="J169" s="17" t="n">
        <v>0</v>
      </c>
      <c r="K169" s="17" t="n">
        <v>0</v>
      </c>
      <c r="L169" s="17" t="n">
        <v>1</v>
      </c>
      <c r="M169" s="17" t="n">
        <v>1</v>
      </c>
      <c r="N169" s="17" t="n">
        <v>2</v>
      </c>
      <c r="O169" s="17" t="n">
        <v>2</v>
      </c>
      <c r="P169" s="17" t="n">
        <v>0</v>
      </c>
      <c r="Q16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69" s="13" t="n"/>
      <c r="S169" s="17" t="n"/>
    </row>
    <row r="170" ht="17" customHeight="1">
      <c r="A170" s="17">
        <f>1+A169</f>
        <v/>
      </c>
      <c r="B170" s="17" t="inlineStr">
        <is>
          <t xml:space="preserve">الأغر </t>
        </is>
      </c>
      <c r="C170" s="17" t="inlineStr">
        <is>
          <t>رباح السبيعي</t>
        </is>
      </c>
      <c r="D170" s="17" t="n">
        <v>503708977</v>
      </c>
      <c r="E170" s="17" t="inlineStr">
        <is>
          <t xml:space="preserve">المعسكر الدائم </t>
        </is>
      </c>
      <c r="F170" s="17" t="inlineStr">
        <is>
          <t>نادي</t>
        </is>
      </c>
      <c r="G170" s="17" t="inlineStr">
        <is>
          <t>مكة المكرمة</t>
        </is>
      </c>
      <c r="H170" s="17" t="inlineStr">
        <is>
          <t>الطائف</t>
        </is>
      </c>
      <c r="I170" s="17" t="inlineStr">
        <is>
          <t>الطائف</t>
        </is>
      </c>
      <c r="J170" s="17" t="n">
        <v>1</v>
      </c>
      <c r="K170" s="17" t="n">
        <v>1</v>
      </c>
      <c r="L170" s="17" t="n">
        <v>1</v>
      </c>
      <c r="M170" s="17" t="n">
        <v>1</v>
      </c>
      <c r="N170" s="17" t="n">
        <v>1</v>
      </c>
      <c r="O170" s="17" t="n">
        <v>1</v>
      </c>
      <c r="P170" s="17" t="n">
        <v>1</v>
      </c>
      <c r="Q17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0" s="13" t="n"/>
      <c r="S170" s="17" t="n"/>
    </row>
    <row r="171" ht="17" customHeight="1">
      <c r="A171" s="17">
        <f>1+A170</f>
        <v/>
      </c>
      <c r="B171" s="17" t="inlineStr">
        <is>
          <t xml:space="preserve">الصحراء الرياضية </t>
        </is>
      </c>
      <c r="C171" s="17" t="inlineStr">
        <is>
          <t>نايف الغامدي</t>
        </is>
      </c>
      <c r="D171" s="17" t="n">
        <v>530282832</v>
      </c>
      <c r="E171" s="17" t="inlineStr">
        <is>
          <t>المدينة الرياضية بالباحة</t>
        </is>
      </c>
      <c r="F171" s="17" t="inlineStr">
        <is>
          <t>أكاديمية</t>
        </is>
      </c>
      <c r="G171" s="17" t="inlineStr">
        <is>
          <t>الباحة</t>
        </is>
      </c>
      <c r="H171" s="17" t="inlineStr">
        <is>
          <t>العقيق</t>
        </is>
      </c>
      <c r="I171" s="17" t="inlineStr">
        <is>
          <t>الباحة</t>
        </is>
      </c>
      <c r="J171" s="17" t="n">
        <v>0</v>
      </c>
      <c r="K171" s="17" t="n">
        <v>1</v>
      </c>
      <c r="L171" s="17" t="n">
        <v>1</v>
      </c>
      <c r="M171" s="17" t="n">
        <v>0</v>
      </c>
      <c r="N171" s="17" t="n">
        <v>1</v>
      </c>
      <c r="O171" s="17" t="n">
        <v>0</v>
      </c>
      <c r="P171" s="17" t="n">
        <v>0</v>
      </c>
      <c r="Q17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1" s="13" t="n"/>
      <c r="S171" s="17" t="n"/>
    </row>
    <row r="172" ht="17" customHeight="1">
      <c r="A172" s="17">
        <f>1+A171</f>
        <v/>
      </c>
      <c r="B172" s="17" t="inlineStr">
        <is>
          <t>تيم قول</t>
        </is>
      </c>
      <c r="C172" s="17" t="inlineStr">
        <is>
          <t>محمد الغامدي</t>
        </is>
      </c>
      <c r="D172" s="17" t="n">
        <v>561040409</v>
      </c>
      <c r="E172" s="17" t="inlineStr">
        <is>
          <t>تيم قول</t>
        </is>
      </c>
      <c r="F172" s="17" t="inlineStr">
        <is>
          <t>أكاديمية</t>
        </is>
      </c>
      <c r="G172" s="17" t="inlineStr">
        <is>
          <t>الباحة</t>
        </is>
      </c>
      <c r="H172" s="17" t="inlineStr">
        <is>
          <t>الباحة</t>
        </is>
      </c>
      <c r="I172" s="17" t="inlineStr">
        <is>
          <t>الباحة</t>
        </is>
      </c>
      <c r="J172" s="17" t="n">
        <v>1</v>
      </c>
      <c r="K172" s="17" t="n">
        <v>1</v>
      </c>
      <c r="L172" s="17" t="n">
        <v>0</v>
      </c>
      <c r="M172" s="17" t="n">
        <v>0</v>
      </c>
      <c r="N172" s="17" t="n">
        <v>1</v>
      </c>
      <c r="O172" s="17" t="n">
        <v>0</v>
      </c>
      <c r="P172" s="17" t="n">
        <v>0</v>
      </c>
      <c r="Q17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2" s="13" t="n"/>
      <c r="S172" s="17" t="n"/>
    </row>
    <row r="173" ht="17" customHeight="1">
      <c r="A173" s="17">
        <f>1+A172</f>
        <v/>
      </c>
      <c r="B173" s="17" t="inlineStr">
        <is>
          <t>ليدرز هاوس</t>
        </is>
      </c>
      <c r="C173" s="17" t="inlineStr">
        <is>
          <t>ابراهيم الحسيكا</t>
        </is>
      </c>
      <c r="D173" s="17" t="n">
        <v>531210933</v>
      </c>
      <c r="E173" s="17" t="inlineStr">
        <is>
          <t>لايوجد</t>
        </is>
      </c>
      <c r="F173" s="17" t="inlineStr">
        <is>
          <t>أكاديمية</t>
        </is>
      </c>
      <c r="G173" s="17" t="inlineStr">
        <is>
          <t>القصيم</t>
        </is>
      </c>
      <c r="H173" s="17" t="inlineStr">
        <is>
          <t>بريدة</t>
        </is>
      </c>
      <c r="I173" s="17" t="inlineStr">
        <is>
          <t>القصيم</t>
        </is>
      </c>
      <c r="J173" s="17" t="n">
        <v>0</v>
      </c>
      <c r="K173" s="17" t="n">
        <v>0</v>
      </c>
      <c r="L173" s="17" t="n">
        <v>1</v>
      </c>
      <c r="M173" s="17" t="n">
        <v>1</v>
      </c>
      <c r="N173" s="17" t="n">
        <v>0</v>
      </c>
      <c r="O173" s="17" t="n">
        <v>0</v>
      </c>
      <c r="P173" s="17" t="n">
        <v>0</v>
      </c>
      <c r="Q17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3" s="13" t="n"/>
      <c r="S173" s="17" t="n"/>
    </row>
    <row r="174" ht="17" customHeight="1">
      <c r="A174" s="17">
        <f>1+A173</f>
        <v/>
      </c>
      <c r="B174" s="17" t="inlineStr">
        <is>
          <t xml:space="preserve">الكرة المشتعلة </t>
        </is>
      </c>
      <c r="C174" s="17" t="inlineStr">
        <is>
          <t>فهد بوبشيت</t>
        </is>
      </c>
      <c r="D174" s="17" t="n">
        <v>551141914</v>
      </c>
      <c r="E174" s="17" t="inlineStr">
        <is>
          <t xml:space="preserve">الكرة المشتعلة </t>
        </is>
      </c>
      <c r="F174" s="17" t="inlineStr">
        <is>
          <t>أكاديمية</t>
        </is>
      </c>
      <c r="G174" s="17" t="inlineStr">
        <is>
          <t>مكة المكرمة</t>
        </is>
      </c>
      <c r="H174" s="17" t="inlineStr">
        <is>
          <t>جدة</t>
        </is>
      </c>
      <c r="I174" s="17" t="inlineStr">
        <is>
          <t>جدة</t>
        </is>
      </c>
      <c r="J174" s="17" t="n">
        <v>1</v>
      </c>
      <c r="K174" s="17" t="n">
        <v>1</v>
      </c>
      <c r="L174" s="17" t="n">
        <v>1</v>
      </c>
      <c r="M174" s="17" t="n">
        <v>1</v>
      </c>
      <c r="N174" s="17" t="n">
        <v>1</v>
      </c>
      <c r="O174" s="17" t="n">
        <v>1</v>
      </c>
      <c r="P174" s="17" t="n">
        <v>1</v>
      </c>
      <c r="Q17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4" s="13" t="n"/>
      <c r="S174" s="17" t="n"/>
    </row>
    <row r="175" ht="17" customHeight="1">
      <c r="A175" s="17">
        <f>1+A174</f>
        <v/>
      </c>
      <c r="B175" s="13" t="inlineStr">
        <is>
          <t>الهدى</t>
        </is>
      </c>
      <c r="C175" s="13" t="inlineStr">
        <is>
          <t>ابراهيم بوسرور</t>
        </is>
      </c>
      <c r="D175" s="13" t="n">
        <v>565885126</v>
      </c>
      <c r="E175" s="13" t="inlineStr">
        <is>
          <t>الهدى</t>
        </is>
      </c>
      <c r="F175" s="13" t="inlineStr">
        <is>
          <t>نادي</t>
        </is>
      </c>
      <c r="G175" s="13" t="inlineStr">
        <is>
          <t>الشرقية</t>
        </is>
      </c>
      <c r="H175" s="13" t="inlineStr">
        <is>
          <t>القطيف</t>
        </is>
      </c>
      <c r="I175" s="17" t="inlineStr">
        <is>
          <t>القطيف</t>
        </is>
      </c>
      <c r="J175" s="17" t="n">
        <v>1</v>
      </c>
      <c r="K175" s="17" t="n">
        <v>1</v>
      </c>
      <c r="L175" s="17" t="n">
        <v>1</v>
      </c>
      <c r="M175" s="17" t="n">
        <v>0</v>
      </c>
      <c r="N175" s="17" t="n">
        <v>0</v>
      </c>
      <c r="O175" s="17" t="n">
        <v>0</v>
      </c>
      <c r="P175" s="17" t="n">
        <v>0</v>
      </c>
      <c r="Q17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5" s="13" t="n"/>
      <c r="S175" s="17" t="n"/>
    </row>
    <row r="176" ht="17" customHeight="1">
      <c r="A176" s="17">
        <f>1+A175</f>
        <v/>
      </c>
      <c r="B176" s="13" t="inlineStr">
        <is>
          <t>الجوهرية</t>
        </is>
      </c>
      <c r="C176" s="13" t="inlineStr">
        <is>
          <t>عبدالعزيزالياسين</t>
        </is>
      </c>
      <c r="D176" s="13" t="n">
        <v>560404898</v>
      </c>
      <c r="E176" s="13" t="inlineStr">
        <is>
          <t>لايوجد</t>
        </is>
      </c>
      <c r="F176" s="13" t="inlineStr">
        <is>
          <t>هواة</t>
        </is>
      </c>
      <c r="G176" s="13" t="inlineStr">
        <is>
          <t>الشرقية</t>
        </is>
      </c>
      <c r="H176" s="13" t="inlineStr">
        <is>
          <t>الأحساء</t>
        </is>
      </c>
      <c r="I176" s="17" t="inlineStr">
        <is>
          <t>الأحساء</t>
        </is>
      </c>
      <c r="J176" s="17" t="n">
        <v>0</v>
      </c>
      <c r="K176" s="17" t="n">
        <v>1</v>
      </c>
      <c r="L176" s="17" t="n">
        <v>0</v>
      </c>
      <c r="M176" s="17" t="n">
        <v>1</v>
      </c>
      <c r="N176" s="17" t="n">
        <v>0</v>
      </c>
      <c r="O176" s="17" t="n">
        <v>0</v>
      </c>
      <c r="P176" s="17" t="n">
        <v>0</v>
      </c>
      <c r="Q17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6" s="13" t="n"/>
      <c r="S176" s="17" t="inlineStr">
        <is>
          <t>نعم</t>
        </is>
      </c>
    </row>
    <row r="177" ht="17" customHeight="1">
      <c r="A177" s="17">
        <f>1+A176</f>
        <v/>
      </c>
      <c r="B177" s="13" t="inlineStr">
        <is>
          <t>تضامن القنفذة بالقوز</t>
        </is>
      </c>
      <c r="C177" s="13" t="inlineStr">
        <is>
          <t>خالد الفقيه</t>
        </is>
      </c>
      <c r="D177" s="13" t="n">
        <v>508665628</v>
      </c>
      <c r="E177" s="13" t="inlineStr">
        <is>
          <t>لايوجد</t>
        </is>
      </c>
      <c r="F177" s="13" t="inlineStr">
        <is>
          <t>أكاديمية</t>
        </is>
      </c>
      <c r="G177" s="13" t="inlineStr">
        <is>
          <t>مكة المكرمة</t>
        </is>
      </c>
      <c r="H177" s="13" t="inlineStr">
        <is>
          <t>القنفذة</t>
        </is>
      </c>
      <c r="I177" s="17" t="inlineStr">
        <is>
          <t>مكة المكرمة</t>
        </is>
      </c>
      <c r="J177" s="17" t="n">
        <v>0</v>
      </c>
      <c r="K177" s="17" t="n">
        <v>1</v>
      </c>
      <c r="L177" s="17" t="n">
        <v>1</v>
      </c>
      <c r="M177" s="17" t="n">
        <v>1</v>
      </c>
      <c r="N177" s="17" t="n">
        <v>1</v>
      </c>
      <c r="O177" s="17" t="n">
        <v>0</v>
      </c>
      <c r="P177" s="17" t="n">
        <v>0</v>
      </c>
      <c r="Q17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7" s="13" t="n"/>
      <c r="S177" s="17" t="n"/>
    </row>
    <row r="178" ht="17" customHeight="1">
      <c r="A178" s="17">
        <f>1+A177</f>
        <v/>
      </c>
      <c r="B178" s="13" t="inlineStr">
        <is>
          <t>البرك</t>
        </is>
      </c>
      <c r="C178" s="13" t="inlineStr">
        <is>
          <t>عبدالخالق الغبيشي</t>
        </is>
      </c>
      <c r="D178" s="13" t="n">
        <v>556613563</v>
      </c>
      <c r="E178" s="13" t="inlineStr">
        <is>
          <t>لايوجد</t>
        </is>
      </c>
      <c r="F178" s="13" t="inlineStr">
        <is>
          <t>هواة</t>
        </is>
      </c>
      <c r="G178" s="13" t="inlineStr">
        <is>
          <t>مكة المكرمة</t>
        </is>
      </c>
      <c r="H178" s="13" t="inlineStr">
        <is>
          <t>القنفذة</t>
        </is>
      </c>
      <c r="I178" s="17" t="inlineStr">
        <is>
          <t>مكة المكرمة</t>
        </is>
      </c>
      <c r="J178" s="17" t="n">
        <v>1</v>
      </c>
      <c r="K178" s="17" t="n">
        <v>1</v>
      </c>
      <c r="L178" s="17" t="n">
        <v>1</v>
      </c>
      <c r="M178" s="17" t="n">
        <v>0</v>
      </c>
      <c r="N178" s="17" t="n">
        <v>0</v>
      </c>
      <c r="O178" s="17" t="n">
        <v>0</v>
      </c>
      <c r="P178" s="17" t="n">
        <v>0</v>
      </c>
      <c r="Q17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8" s="13" t="n"/>
      <c r="S178" s="17" t="inlineStr">
        <is>
          <t>نعم</t>
        </is>
      </c>
    </row>
    <row r="179" ht="17" customHeight="1">
      <c r="A179" s="17">
        <f>1+A178</f>
        <v/>
      </c>
      <c r="B179" s="13" t="inlineStr">
        <is>
          <t>الطموح</t>
        </is>
      </c>
      <c r="C179" s="13" t="inlineStr">
        <is>
          <t>احمد المنتشري</t>
        </is>
      </c>
      <c r="D179" s="13" t="n">
        <v>550424299</v>
      </c>
      <c r="E179" s="13" t="inlineStr">
        <is>
          <t>لايوجد</t>
        </is>
      </c>
      <c r="F179" s="13" t="inlineStr">
        <is>
          <t>هواة</t>
        </is>
      </c>
      <c r="G179" s="13" t="inlineStr">
        <is>
          <t>مكة المكرمة</t>
        </is>
      </c>
      <c r="H179" s="13" t="inlineStr">
        <is>
          <t>الطائف</t>
        </is>
      </c>
      <c r="I179" s="17" t="inlineStr">
        <is>
          <t>الطائف</t>
        </is>
      </c>
      <c r="J179" s="17" t="n">
        <v>0</v>
      </c>
      <c r="K179" s="17" t="n">
        <v>1</v>
      </c>
      <c r="L179" s="17" t="n">
        <v>1</v>
      </c>
      <c r="M179" s="17" t="n">
        <v>1</v>
      </c>
      <c r="N179" s="17" t="n">
        <v>0</v>
      </c>
      <c r="O179" s="17" t="n">
        <v>0</v>
      </c>
      <c r="P179" s="17" t="n">
        <v>0</v>
      </c>
      <c r="Q17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79" s="13" t="n"/>
      <c r="S179" s="17" t="inlineStr">
        <is>
          <t>نعم</t>
        </is>
      </c>
    </row>
    <row r="180" ht="17" customHeight="1">
      <c r="A180" s="17">
        <f>1+A179</f>
        <v/>
      </c>
      <c r="B180" s="13" t="inlineStr">
        <is>
          <t>اكاديمية عز تن</t>
        </is>
      </c>
      <c r="C180" s="13" t="inlineStr">
        <is>
          <t>احمد الرفيدي</t>
        </is>
      </c>
      <c r="D180" s="13" t="n">
        <v>554268528</v>
      </c>
      <c r="E180" s="13" t="inlineStr">
        <is>
          <t>لايوجد</t>
        </is>
      </c>
      <c r="F180" s="13" t="inlineStr">
        <is>
          <t>هواة</t>
        </is>
      </c>
      <c r="G180" s="13" t="inlineStr">
        <is>
          <t>مكة المكرمة</t>
        </is>
      </c>
      <c r="H180" s="13" t="inlineStr">
        <is>
          <t>القنفذة</t>
        </is>
      </c>
      <c r="I180" s="17" t="inlineStr">
        <is>
          <t>مكة المكرمة</t>
        </is>
      </c>
      <c r="J180" s="17" t="n">
        <v>1</v>
      </c>
      <c r="K180" s="17" t="n">
        <v>1</v>
      </c>
      <c r="L180" s="17" t="n">
        <v>1</v>
      </c>
      <c r="M180" s="17" t="n">
        <v>1</v>
      </c>
      <c r="N180" s="17" t="n">
        <v>1</v>
      </c>
      <c r="O180" s="17" t="n">
        <v>0</v>
      </c>
      <c r="P180" s="17" t="n">
        <v>0</v>
      </c>
      <c r="Q18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0" s="13" t="n"/>
      <c r="S180" s="17" t="inlineStr">
        <is>
          <t>نعم</t>
        </is>
      </c>
    </row>
    <row r="181" ht="17" customHeight="1">
      <c r="A181" s="17">
        <f>1+A180</f>
        <v/>
      </c>
      <c r="B181" s="13" t="inlineStr">
        <is>
          <t>اكاديمية بيتيس تبوك</t>
        </is>
      </c>
      <c r="C181" s="13" t="inlineStr">
        <is>
          <t>عبدالرحمن العنزي</t>
        </is>
      </c>
      <c r="D181" s="13" t="n">
        <v>500265545</v>
      </c>
      <c r="E181" s="13" t="inlineStr">
        <is>
          <t>لايوجد</t>
        </is>
      </c>
      <c r="F181" s="13" t="inlineStr">
        <is>
          <t>هواة</t>
        </is>
      </c>
      <c r="G181" s="13" t="inlineStr">
        <is>
          <t>تبوك</t>
        </is>
      </c>
      <c r="H181" s="13" t="inlineStr">
        <is>
          <t>تبوك</t>
        </is>
      </c>
      <c r="I181" s="17" t="inlineStr">
        <is>
          <t>تبوك</t>
        </is>
      </c>
      <c r="J181" s="17" t="n">
        <v>1</v>
      </c>
      <c r="K181" s="17" t="n">
        <v>1</v>
      </c>
      <c r="L181" s="17" t="n">
        <v>1</v>
      </c>
      <c r="M181" s="17" t="n">
        <v>1</v>
      </c>
      <c r="N181" s="17" t="n">
        <v>0</v>
      </c>
      <c r="O181" s="17" t="n">
        <v>0</v>
      </c>
      <c r="P181" s="17" t="n">
        <v>0</v>
      </c>
      <c r="Q18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1" s="13" t="n"/>
      <c r="S181" s="17" t="inlineStr">
        <is>
          <t>نعم</t>
        </is>
      </c>
    </row>
    <row r="182" ht="17" customHeight="1">
      <c r="A182" s="17">
        <f>1+A181</f>
        <v/>
      </c>
      <c r="B182" s="13" t="inlineStr">
        <is>
          <t>البداية الاولمبية</t>
        </is>
      </c>
      <c r="C182" s="13" t="inlineStr">
        <is>
          <t>هاني الخزاعي</t>
        </is>
      </c>
      <c r="D182" s="13" t="n">
        <v>509245807</v>
      </c>
      <c r="E182" s="13" t="inlineStr">
        <is>
          <t>لايوجد</t>
        </is>
      </c>
      <c r="F182" s="13" t="inlineStr">
        <is>
          <t>هواة</t>
        </is>
      </c>
      <c r="G182" s="13" t="inlineStr">
        <is>
          <t>مكة المكرمة</t>
        </is>
      </c>
      <c r="H182" s="13" t="inlineStr">
        <is>
          <t>مكة المكرمة</t>
        </is>
      </c>
      <c r="I182" s="17" t="inlineStr">
        <is>
          <t>مكة المكرمة</t>
        </is>
      </c>
      <c r="J182" s="17" t="n">
        <v>1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2" s="13" t="n"/>
      <c r="S182" s="17" t="inlineStr">
        <is>
          <t>نعم</t>
        </is>
      </c>
    </row>
    <row r="183" ht="17" customHeight="1">
      <c r="A183" s="17">
        <f>1+A182</f>
        <v/>
      </c>
      <c r="B183" s="13" t="inlineStr">
        <is>
          <t>الكوماندوز</t>
        </is>
      </c>
      <c r="C183" s="13" t="inlineStr">
        <is>
          <t>عبدالرحمن الحارثي</t>
        </is>
      </c>
      <c r="D183" s="13" t="n">
        <v>571133686</v>
      </c>
      <c r="E183" s="13" t="inlineStr">
        <is>
          <t>لايوجد</t>
        </is>
      </c>
      <c r="F183" s="13" t="inlineStr">
        <is>
          <t>هواة</t>
        </is>
      </c>
      <c r="G183" s="13" t="inlineStr">
        <is>
          <t>مكة المكرمة</t>
        </is>
      </c>
      <c r="H183" s="13" t="inlineStr">
        <is>
          <t>الطائف</t>
        </is>
      </c>
      <c r="I183" s="17" t="inlineStr">
        <is>
          <t>الطائف</t>
        </is>
      </c>
      <c r="J183" s="17" t="n">
        <v>0</v>
      </c>
      <c r="K183" s="17" t="n">
        <v>0</v>
      </c>
      <c r="L183" s="17" t="n">
        <v>1</v>
      </c>
      <c r="M183" s="17" t="n">
        <v>0</v>
      </c>
      <c r="N183" s="17" t="n">
        <v>1</v>
      </c>
      <c r="O183" s="17" t="n">
        <v>1</v>
      </c>
      <c r="P183" s="17" t="n">
        <v>0</v>
      </c>
      <c r="Q18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3" s="13" t="n"/>
      <c r="S183" s="17" t="inlineStr">
        <is>
          <t>نعم</t>
        </is>
      </c>
    </row>
    <row r="184" ht="17" customHeight="1">
      <c r="A184" s="17">
        <f>1+A183</f>
        <v/>
      </c>
      <c r="B184" s="13" t="inlineStr">
        <is>
          <t>اكاديمية موهبة نعجان</t>
        </is>
      </c>
      <c r="C184" s="13" t="inlineStr">
        <is>
          <t>ابراهيم المنيف</t>
        </is>
      </c>
      <c r="D184" s="13" t="n">
        <v>555299927</v>
      </c>
      <c r="E184" s="13" t="inlineStr">
        <is>
          <t>لايوجد</t>
        </is>
      </c>
      <c r="F184" s="13" t="inlineStr">
        <is>
          <t>هواة</t>
        </is>
      </c>
      <c r="G184" s="13" t="inlineStr">
        <is>
          <t>الرياض</t>
        </is>
      </c>
      <c r="H184" s="13" t="inlineStr">
        <is>
          <t>الخرج</t>
        </is>
      </c>
      <c r="I184" s="17" t="inlineStr">
        <is>
          <t>الخرج</t>
        </is>
      </c>
      <c r="J184" s="17" t="n">
        <v>0</v>
      </c>
      <c r="K184" s="17" t="n">
        <v>0</v>
      </c>
      <c r="L184" s="17" t="n">
        <v>1</v>
      </c>
      <c r="M184" s="17" t="n">
        <v>1</v>
      </c>
      <c r="N184" s="17" t="n">
        <v>0</v>
      </c>
      <c r="O184" s="17" t="n">
        <v>0</v>
      </c>
      <c r="P184" s="17" t="n">
        <v>0</v>
      </c>
      <c r="Q18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4" s="13" t="inlineStr">
        <is>
          <t>لم يتم السداد</t>
        </is>
      </c>
      <c r="S184" s="17" t="inlineStr">
        <is>
          <t>نعم</t>
        </is>
      </c>
    </row>
    <row r="185" ht="17" customHeight="1">
      <c r="A185" s="17">
        <f>1+A184</f>
        <v/>
      </c>
      <c r="B185" s="13" t="inlineStr">
        <is>
          <t xml:space="preserve">اكاديمية نبض القوة </t>
        </is>
      </c>
      <c r="C185" s="13" t="inlineStr">
        <is>
          <t>احمد سليمان الجوير</t>
        </is>
      </c>
      <c r="D185" s="13" t="n">
        <v>555148355</v>
      </c>
      <c r="E185" s="13" t="inlineStr">
        <is>
          <t>نبض القوة</t>
        </is>
      </c>
      <c r="F185" s="13" t="inlineStr">
        <is>
          <t>أكاديمية</t>
        </is>
      </c>
      <c r="G185" s="13" t="inlineStr">
        <is>
          <t>القصيم</t>
        </is>
      </c>
      <c r="H185" s="13" t="inlineStr">
        <is>
          <t>بريدة</t>
        </is>
      </c>
      <c r="I185" s="17" t="inlineStr">
        <is>
          <t>القصيم</t>
        </is>
      </c>
      <c r="J185" s="17" t="n">
        <v>0</v>
      </c>
      <c r="K185" s="17" t="n">
        <v>0</v>
      </c>
      <c r="L185" s="17" t="n">
        <v>1</v>
      </c>
      <c r="M185" s="17" t="n">
        <v>0</v>
      </c>
      <c r="N185" s="17" t="n">
        <v>0</v>
      </c>
      <c r="O185" s="17" t="n">
        <v>0</v>
      </c>
      <c r="P185" s="17" t="n">
        <v>0</v>
      </c>
      <c r="Q18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5" s="13" t="n"/>
      <c r="S185" s="17" t="n"/>
    </row>
    <row r="186" ht="17" customHeight="1">
      <c r="A186" s="17">
        <f>1+A185</f>
        <v/>
      </c>
      <c r="B186" s="13" t="inlineStr">
        <is>
          <t>الكواكب ابو عريش</t>
        </is>
      </c>
      <c r="C186" s="13" t="inlineStr">
        <is>
          <t xml:space="preserve">مححمد الحسن </t>
        </is>
      </c>
      <c r="D186" s="45" t="n">
        <v>966550772778</v>
      </c>
      <c r="E186" s="13" t="inlineStr">
        <is>
          <t xml:space="preserve">لايوجد </t>
        </is>
      </c>
      <c r="F186" s="13" t="inlineStr">
        <is>
          <t>هواة</t>
        </is>
      </c>
      <c r="G186" s="13" t="inlineStr">
        <is>
          <t>جازان</t>
        </is>
      </c>
      <c r="H186" s="13" t="inlineStr">
        <is>
          <t>أبو عريش</t>
        </is>
      </c>
      <c r="I186" s="17" t="inlineStr">
        <is>
          <t>جازان</t>
        </is>
      </c>
      <c r="J186" s="13" t="n">
        <v>1</v>
      </c>
      <c r="K186" s="13" t="n">
        <v>1</v>
      </c>
      <c r="L186" s="13" t="n">
        <v>1</v>
      </c>
      <c r="M186" s="13" t="n">
        <v>1</v>
      </c>
      <c r="N186" s="13" t="n">
        <v>1</v>
      </c>
      <c r="O186" s="13" t="n">
        <v>1</v>
      </c>
      <c r="P186" s="13" t="n">
        <v>1</v>
      </c>
      <c r="Q18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6" s="13" t="n"/>
      <c r="S186" s="17" t="inlineStr">
        <is>
          <t>نعم</t>
        </is>
      </c>
    </row>
    <row r="187" ht="17" customHeight="1">
      <c r="A187" s="17">
        <f>1+A186</f>
        <v/>
      </c>
      <c r="B187" s="13" t="inlineStr">
        <is>
          <t>شباب الوادي</t>
        </is>
      </c>
      <c r="C187" s="13" t="inlineStr">
        <is>
          <t>عبيد العتيبي</t>
        </is>
      </c>
      <c r="D187" s="13" t="n">
        <v>544421129</v>
      </c>
      <c r="E187" s="13" t="inlineStr">
        <is>
          <t xml:space="preserve">لايوجد </t>
        </is>
      </c>
      <c r="F187" s="13" t="inlineStr">
        <is>
          <t>هواة</t>
        </is>
      </c>
      <c r="G187" s="13" t="inlineStr">
        <is>
          <t>مكة المكرمة</t>
        </is>
      </c>
      <c r="H187" s="13" t="inlineStr">
        <is>
          <t>مكة المكرمة</t>
        </is>
      </c>
      <c r="I187" s="17" t="inlineStr">
        <is>
          <t>مكة المكرمة</t>
        </is>
      </c>
      <c r="J187" s="13" t="n">
        <v>1</v>
      </c>
      <c r="K187" s="13" t="n">
        <v>1</v>
      </c>
      <c r="L187" s="13" t="n">
        <v>1</v>
      </c>
      <c r="M187" s="13" t="n">
        <v>1</v>
      </c>
      <c r="N187" s="13" t="n">
        <v>1</v>
      </c>
      <c r="O187" s="13" t="n">
        <v>1</v>
      </c>
      <c r="P187" s="13" t="n">
        <v>1</v>
      </c>
      <c r="Q18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7" s="13" t="n"/>
      <c r="S187" s="17" t="inlineStr">
        <is>
          <t>نعم</t>
        </is>
      </c>
    </row>
    <row r="188" ht="17" customHeight="1">
      <c r="A188" s="17">
        <f>1+A187</f>
        <v/>
      </c>
      <c r="B188" s="13" t="inlineStr">
        <is>
          <t>ساحل الوحلة</t>
        </is>
      </c>
      <c r="C188" s="13" t="inlineStr">
        <is>
          <t>حسن حكمي</t>
        </is>
      </c>
      <c r="D188" s="13" t="n">
        <v>531831837</v>
      </c>
      <c r="E188" s="13" t="inlineStr">
        <is>
          <t xml:space="preserve">لايوجد </t>
        </is>
      </c>
      <c r="F188" s="13" t="inlineStr">
        <is>
          <t>هواة</t>
        </is>
      </c>
      <c r="G188" s="13" t="inlineStr">
        <is>
          <t>جازان</t>
        </is>
      </c>
      <c r="H188" s="13" t="inlineStr">
        <is>
          <t>أحد المسارحة</t>
        </is>
      </c>
      <c r="I188" s="17" t="inlineStr">
        <is>
          <t>جازان</t>
        </is>
      </c>
      <c r="J188" s="13" t="n">
        <v>1</v>
      </c>
      <c r="K188" s="13" t="n">
        <v>1</v>
      </c>
      <c r="L188" s="13" t="n">
        <v>1</v>
      </c>
      <c r="M188" s="13" t="n">
        <v>1</v>
      </c>
      <c r="N188" s="13" t="n">
        <v>1</v>
      </c>
      <c r="O188" s="13" t="n">
        <v>1</v>
      </c>
      <c r="P188" s="13" t="n">
        <v>1</v>
      </c>
      <c r="Q18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8" s="13" t="n"/>
      <c r="S188" s="17" t="inlineStr">
        <is>
          <t>نعم</t>
        </is>
      </c>
    </row>
    <row r="189" ht="17" customHeight="1">
      <c r="A189" s="17">
        <f>1+A188</f>
        <v/>
      </c>
      <c r="B189" s="13" t="inlineStr">
        <is>
          <t>مستقبل الخضراء</t>
        </is>
      </c>
      <c r="C189" s="13" t="inlineStr">
        <is>
          <t>حيدر السالم</t>
        </is>
      </c>
      <c r="D189" s="13" t="n">
        <v>535189141</v>
      </c>
      <c r="E189" s="13" t="inlineStr">
        <is>
          <t xml:space="preserve">لايوجد </t>
        </is>
      </c>
      <c r="F189" s="13" t="inlineStr">
        <is>
          <t>هواة</t>
        </is>
      </c>
      <c r="G189" s="13" t="inlineStr">
        <is>
          <t>جازان</t>
        </is>
      </c>
      <c r="H189" s="13" t="inlineStr">
        <is>
          <t>أبو عريش</t>
        </is>
      </c>
      <c r="I189" s="17" t="inlineStr">
        <is>
          <t>جازان</t>
        </is>
      </c>
      <c r="J189" s="13" t="n">
        <v>1</v>
      </c>
      <c r="K189" s="13" t="n">
        <v>1</v>
      </c>
      <c r="L189" s="13" t="n">
        <v>1</v>
      </c>
      <c r="M189" s="13" t="n">
        <v>1</v>
      </c>
      <c r="N189" s="13" t="n">
        <v>1</v>
      </c>
      <c r="O189" s="13" t="n">
        <v>1</v>
      </c>
      <c r="P189" s="13" t="n">
        <v>1</v>
      </c>
      <c r="Q18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89" s="13" t="n"/>
      <c r="S189" s="17" t="inlineStr">
        <is>
          <t>نعم</t>
        </is>
      </c>
    </row>
    <row r="190" ht="17" customHeight="1">
      <c r="A190" s="17">
        <f>1+A189</f>
        <v/>
      </c>
      <c r="B190" s="17" t="inlineStr">
        <is>
          <t>اكاديمية الجوهره</t>
        </is>
      </c>
      <c r="C190" s="17" t="inlineStr">
        <is>
          <t xml:space="preserve"> هندي زايد الحارثي</t>
        </is>
      </c>
      <c r="D190" s="17" t="n">
        <v>555721800</v>
      </c>
      <c r="E190" s="17" t="inlineStr">
        <is>
          <t xml:space="preserve">لايوجد </t>
        </is>
      </c>
      <c r="F190" s="17" t="inlineStr">
        <is>
          <t>هواة</t>
        </is>
      </c>
      <c r="G190" s="17" t="inlineStr">
        <is>
          <t>مكة المكرمة</t>
        </is>
      </c>
      <c r="H190" s="17" t="inlineStr">
        <is>
          <t>الطائف</t>
        </is>
      </c>
      <c r="I190" s="17" t="inlineStr">
        <is>
          <t>الطائف</t>
        </is>
      </c>
      <c r="J190" s="17" t="n">
        <v>1</v>
      </c>
      <c r="K190" s="17" t="n">
        <v>1</v>
      </c>
      <c r="L190" s="17" t="n">
        <v>1</v>
      </c>
      <c r="M190" s="17" t="n">
        <v>1</v>
      </c>
      <c r="N190" s="17" t="n">
        <v>1</v>
      </c>
      <c r="O190" s="17" t="n">
        <v>1</v>
      </c>
      <c r="P190" s="17" t="n">
        <v>0</v>
      </c>
      <c r="Q19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0" s="13" t="n"/>
      <c r="S190" s="17" t="inlineStr">
        <is>
          <t>نعم</t>
        </is>
      </c>
    </row>
    <row r="191" ht="17" customHeight="1">
      <c r="A191" s="17">
        <f>1+A190</f>
        <v/>
      </c>
      <c r="B191" s="17" t="inlineStr">
        <is>
          <t xml:space="preserve">مواهب جدة </t>
        </is>
      </c>
      <c r="C191" s="17" t="inlineStr">
        <is>
          <t>محمد حمود البلوي</t>
        </is>
      </c>
      <c r="D191" s="17" t="n">
        <v>539839414</v>
      </c>
      <c r="E191" s="17" t="inlineStr">
        <is>
          <t>عسفان</t>
        </is>
      </c>
      <c r="F191" s="17" t="inlineStr">
        <is>
          <t>أكاديمية</t>
        </is>
      </c>
      <c r="G191" s="17" t="inlineStr">
        <is>
          <t>مكة المكرمة</t>
        </is>
      </c>
      <c r="H191" s="17" t="inlineStr">
        <is>
          <t>جدة</t>
        </is>
      </c>
      <c r="I191" s="17" t="inlineStr">
        <is>
          <t>جدة</t>
        </is>
      </c>
      <c r="J191" s="17" t="n">
        <v>1</v>
      </c>
      <c r="K191" s="17" t="n">
        <v>0</v>
      </c>
      <c r="L191" s="17" t="n">
        <v>1</v>
      </c>
      <c r="M191" s="17" t="n">
        <v>1</v>
      </c>
      <c r="N191" s="17" t="n">
        <v>1</v>
      </c>
      <c r="O191" s="17" t="n">
        <v>1</v>
      </c>
      <c r="P191" s="17" t="n">
        <v>1</v>
      </c>
      <c r="Q19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1" s="13" t="n"/>
      <c r="S191" s="17" t="n"/>
    </row>
    <row r="192" ht="17" customHeight="1">
      <c r="A192" s="17">
        <f>1+A191</f>
        <v/>
      </c>
      <c r="B192" s="13" t="inlineStr">
        <is>
          <t>سر النجوم</t>
        </is>
      </c>
      <c r="C192" s="13" t="inlineStr">
        <is>
          <t>اصيل العامري</t>
        </is>
      </c>
      <c r="D192" s="13" t="n">
        <v>564490015</v>
      </c>
      <c r="E192" s="13" t="inlineStr">
        <is>
          <t xml:space="preserve">لايوجد </t>
        </is>
      </c>
      <c r="F192" s="13" t="inlineStr">
        <is>
          <t>هواة</t>
        </is>
      </c>
      <c r="G192" s="13" t="inlineStr">
        <is>
          <t>مكة المكرمة</t>
        </is>
      </c>
      <c r="H192" s="13" t="inlineStr">
        <is>
          <t>الطائف</t>
        </is>
      </c>
      <c r="I192" s="17" t="inlineStr">
        <is>
          <t>الطائف</t>
        </is>
      </c>
      <c r="J192" s="13" t="n">
        <v>1</v>
      </c>
      <c r="K192" s="13" t="n">
        <v>1</v>
      </c>
      <c r="L192" s="13" t="n">
        <v>1</v>
      </c>
      <c r="M192" s="13" t="n">
        <v>1</v>
      </c>
      <c r="N192" s="13" t="n">
        <v>1</v>
      </c>
      <c r="O192" s="13" t="n">
        <v>1</v>
      </c>
      <c r="P192" s="13" t="n">
        <v>1</v>
      </c>
      <c r="Q19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2" s="13" t="n"/>
      <c r="S192" s="17" t="inlineStr">
        <is>
          <t>نعم</t>
        </is>
      </c>
    </row>
    <row r="193" ht="17" customHeight="1">
      <c r="A193" s="17">
        <f>1+A192</f>
        <v/>
      </c>
      <c r="B193" s="13" t="inlineStr">
        <is>
          <t>اكاديمية المنصور</t>
        </is>
      </c>
      <c r="C193" s="13" t="inlineStr">
        <is>
          <t>احمد العتيبي</t>
        </is>
      </c>
      <c r="D193" s="13" t="n">
        <v>595147684</v>
      </c>
      <c r="E193" s="13" t="inlineStr">
        <is>
          <t xml:space="preserve">لايوجد </t>
        </is>
      </c>
      <c r="F193" s="13" t="inlineStr">
        <is>
          <t>هواة</t>
        </is>
      </c>
      <c r="G193" s="13" t="inlineStr">
        <is>
          <t>مكة المكرمة</t>
        </is>
      </c>
      <c r="H193" s="13" t="inlineStr">
        <is>
          <t>الجموم</t>
        </is>
      </c>
      <c r="I193" s="17" t="inlineStr">
        <is>
          <t>مكة المكرمة</t>
        </is>
      </c>
      <c r="J193" s="13" t="n">
        <v>1</v>
      </c>
      <c r="K193" s="13" t="n">
        <v>1</v>
      </c>
      <c r="L193" s="13" t="n">
        <v>1</v>
      </c>
      <c r="M193" s="13" t="n">
        <v>1</v>
      </c>
      <c r="N193" s="13" t="n">
        <v>1</v>
      </c>
      <c r="O193" s="13" t="n">
        <v>0</v>
      </c>
      <c r="P193" s="13" t="n">
        <v>0</v>
      </c>
      <c r="Q19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3" s="13" t="n"/>
      <c r="S193" s="17" t="inlineStr">
        <is>
          <t>نعم</t>
        </is>
      </c>
    </row>
    <row r="194" ht="17" customHeight="1">
      <c r="A194" s="17">
        <f>1+A193</f>
        <v/>
      </c>
      <c r="B194" s="17" t="inlineStr">
        <is>
          <t xml:space="preserve">اكاديمية الترجي جدة </t>
        </is>
      </c>
      <c r="C194" s="17" t="inlineStr">
        <is>
          <t>ماجد الجهني</t>
        </is>
      </c>
      <c r="D194" s="17" t="n">
        <v>508878096</v>
      </c>
      <c r="E194" s="17" t="inlineStr">
        <is>
          <t>لايوجد</t>
        </is>
      </c>
      <c r="F194" s="17" t="inlineStr">
        <is>
          <t>هواة</t>
        </is>
      </c>
      <c r="G194" s="17" t="inlineStr">
        <is>
          <t>مكة المكرمة</t>
        </is>
      </c>
      <c r="H194" s="17" t="inlineStr">
        <is>
          <t>جدة</t>
        </is>
      </c>
      <c r="I194" s="17" t="inlineStr">
        <is>
          <t>جدة</t>
        </is>
      </c>
      <c r="J194" s="17" t="n">
        <v>0</v>
      </c>
      <c r="K194" s="17" t="n">
        <v>0</v>
      </c>
      <c r="L194" s="17" t="n">
        <v>1</v>
      </c>
      <c r="M194" s="17" t="n">
        <v>1</v>
      </c>
      <c r="N194" s="17" t="n">
        <v>1</v>
      </c>
      <c r="O194" s="17" t="n">
        <v>1</v>
      </c>
      <c r="P194" s="17" t="n">
        <v>0</v>
      </c>
      <c r="Q19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4" s="13" t="n"/>
      <c r="S194" s="17" t="inlineStr">
        <is>
          <t>نعم</t>
        </is>
      </c>
    </row>
    <row r="195" ht="17" customHeight="1">
      <c r="A195" s="17">
        <f>1+A194</f>
        <v/>
      </c>
      <c r="B195" s="13" t="inlineStr">
        <is>
          <t>اكاديمية ارتس فوتبول</t>
        </is>
      </c>
      <c r="C195" s="13" t="inlineStr">
        <is>
          <t>علي الدوسري</t>
        </is>
      </c>
      <c r="D195" s="13" t="n">
        <v>548014000</v>
      </c>
      <c r="E195" s="13" t="inlineStr">
        <is>
          <t xml:space="preserve">لايوجد </t>
        </is>
      </c>
      <c r="F195" s="13" t="inlineStr">
        <is>
          <t>أكاديمية</t>
        </is>
      </c>
      <c r="G195" s="13" t="inlineStr">
        <is>
          <t>الرياض</t>
        </is>
      </c>
      <c r="H195" s="13" t="inlineStr">
        <is>
          <t>الخرج</t>
        </is>
      </c>
      <c r="I195" s="17" t="inlineStr">
        <is>
          <t>الخرج</t>
        </is>
      </c>
      <c r="J195" s="13" t="n">
        <v>1</v>
      </c>
      <c r="K195" s="13" t="n">
        <v>1</v>
      </c>
      <c r="L195" s="13" t="n">
        <v>1</v>
      </c>
      <c r="M195" s="13" t="n">
        <v>1</v>
      </c>
      <c r="N195" s="13" t="n">
        <v>1</v>
      </c>
      <c r="O195" s="13" t="n">
        <v>0</v>
      </c>
      <c r="P195" s="13" t="n">
        <v>0</v>
      </c>
      <c r="Q19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5" s="13" t="n"/>
      <c r="S195" s="17" t="n"/>
    </row>
    <row r="196" ht="17" customHeight="1">
      <c r="A196" s="17">
        <f>1+A195</f>
        <v/>
      </c>
      <c r="B196" s="13" t="inlineStr">
        <is>
          <t>اكاديمية الاقوياء الرياضية ينبع</t>
        </is>
      </c>
      <c r="C196" s="13" t="inlineStr">
        <is>
          <t>اصيل الروسي</t>
        </is>
      </c>
      <c r="D196" s="13" t="n">
        <v>554070943</v>
      </c>
      <c r="E196" s="13" t="inlineStr">
        <is>
          <t xml:space="preserve">لايوجد </t>
        </is>
      </c>
      <c r="F196" s="13" t="inlineStr">
        <is>
          <t>أكاديمية</t>
        </is>
      </c>
      <c r="G196" s="13" t="inlineStr">
        <is>
          <t>المدينة المنورة</t>
        </is>
      </c>
      <c r="H196" s="13" t="inlineStr">
        <is>
          <t>ينبع</t>
        </is>
      </c>
      <c r="I196" s="17" t="inlineStr">
        <is>
          <t>المدينة المنورة</t>
        </is>
      </c>
      <c r="J196" s="13" t="n">
        <v>0</v>
      </c>
      <c r="K196" s="13" t="n">
        <v>0</v>
      </c>
      <c r="L196" s="13" t="n">
        <v>1</v>
      </c>
      <c r="M196" s="13" t="n">
        <v>0</v>
      </c>
      <c r="N196" s="13" t="n">
        <v>0</v>
      </c>
      <c r="O196" s="13" t="n">
        <v>0</v>
      </c>
      <c r="P196" s="13" t="n">
        <v>0</v>
      </c>
      <c r="Q19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6" s="13" t="n"/>
      <c r="S196" s="17" t="n"/>
    </row>
    <row r="197" ht="17" customHeight="1">
      <c r="A197" s="17">
        <f>1+A196</f>
        <v/>
      </c>
      <c r="B197" s="13" t="inlineStr">
        <is>
          <t>وولف</t>
        </is>
      </c>
      <c r="C197" s="13" t="inlineStr">
        <is>
          <t>وليد الشراري</t>
        </is>
      </c>
      <c r="D197" s="13" t="n">
        <v>504662488</v>
      </c>
      <c r="E197" s="13" t="inlineStr">
        <is>
          <t>لايوجد</t>
        </is>
      </c>
      <c r="F197" s="13" t="inlineStr">
        <is>
          <t>هواة</t>
        </is>
      </c>
      <c r="G197" s="13" t="inlineStr">
        <is>
          <t>الجوف</t>
        </is>
      </c>
      <c r="H197" s="13" t="inlineStr">
        <is>
          <t>القريات</t>
        </is>
      </c>
      <c r="I197" s="17" t="inlineStr">
        <is>
          <t>الجوف</t>
        </is>
      </c>
      <c r="J197" s="13" t="n">
        <v>1</v>
      </c>
      <c r="K197" s="13" t="n">
        <v>1</v>
      </c>
      <c r="L197" s="13" t="n">
        <v>1</v>
      </c>
      <c r="M197" s="13" t="n">
        <v>1</v>
      </c>
      <c r="N197" s="13" t="n">
        <v>1</v>
      </c>
      <c r="O197" s="13" t="n">
        <v>1</v>
      </c>
      <c r="P197" s="13" t="n">
        <v>1</v>
      </c>
      <c r="Q19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7" s="13" t="inlineStr">
        <is>
          <t>لم يتم السداد</t>
        </is>
      </c>
      <c r="S197" s="17" t="inlineStr">
        <is>
          <t>نعم</t>
        </is>
      </c>
    </row>
    <row r="198" ht="17" customHeight="1">
      <c r="A198" s="17">
        <f>1+A197</f>
        <v/>
      </c>
      <c r="B198" s="13" t="inlineStr">
        <is>
          <t>قفار</t>
        </is>
      </c>
      <c r="C198" s="13" t="inlineStr">
        <is>
          <t>عبدالعزيز التميمي</t>
        </is>
      </c>
      <c r="D198" s="13" t="n">
        <v>546970007</v>
      </c>
      <c r="E198" s="13" t="inlineStr">
        <is>
          <t>لايوجد</t>
        </is>
      </c>
      <c r="F198" s="13" t="inlineStr">
        <is>
          <t>نادي</t>
        </is>
      </c>
      <c r="G198" s="13" t="inlineStr">
        <is>
          <t>حائل</t>
        </is>
      </c>
      <c r="H198" s="13" t="inlineStr">
        <is>
          <t>حائل</t>
        </is>
      </c>
      <c r="I198" s="17" t="inlineStr">
        <is>
          <t>حائل</t>
        </is>
      </c>
      <c r="J198" s="13" t="n">
        <v>0</v>
      </c>
      <c r="K198" s="13" t="n">
        <v>0</v>
      </c>
      <c r="L198" s="13" t="n">
        <v>1</v>
      </c>
      <c r="M198" s="13" t="n">
        <v>1</v>
      </c>
      <c r="N198" s="13" t="n">
        <v>1</v>
      </c>
      <c r="O198" s="13" t="n">
        <v>0</v>
      </c>
      <c r="P198" s="13" t="n">
        <v>0</v>
      </c>
      <c r="Q19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8" s="13" t="n"/>
      <c r="S198" s="17" t="n"/>
    </row>
    <row r="199" ht="17" customHeight="1">
      <c r="A199" s="17">
        <f>1+A198</f>
        <v/>
      </c>
      <c r="B199" s="13" t="inlineStr">
        <is>
          <t>اكاديمية نجوم الاوائل</t>
        </is>
      </c>
      <c r="C199" s="13" t="inlineStr">
        <is>
          <t>سعيد ال ماطر</t>
        </is>
      </c>
      <c r="D199" s="13" t="n">
        <v>542225868</v>
      </c>
      <c r="E199" s="13" t="inlineStr">
        <is>
          <t>نادي المصيف</t>
        </is>
      </c>
      <c r="F199" s="13" t="inlineStr">
        <is>
          <t>أكاديمية</t>
        </is>
      </c>
      <c r="G199" s="13" t="inlineStr">
        <is>
          <t>عسير</t>
        </is>
      </c>
      <c r="H199" s="13" t="inlineStr">
        <is>
          <t>أبها</t>
        </is>
      </c>
      <c r="I199" s="17" t="inlineStr">
        <is>
          <t>عسير</t>
        </is>
      </c>
      <c r="J199" s="13" t="n">
        <v>1</v>
      </c>
      <c r="K199" s="13" t="n">
        <v>1</v>
      </c>
      <c r="L199" s="13" t="n">
        <v>1</v>
      </c>
      <c r="M199" s="13" t="n">
        <v>1</v>
      </c>
      <c r="N199" s="13" t="n">
        <v>0</v>
      </c>
      <c r="O199" s="13" t="n">
        <v>0</v>
      </c>
      <c r="P199" s="13" t="n">
        <v>0</v>
      </c>
      <c r="Q19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199" s="13" t="n"/>
      <c r="S199" s="17" t="n"/>
    </row>
    <row r="200" ht="17" customHeight="1">
      <c r="A200" s="17">
        <f>1+A199</f>
        <v/>
      </c>
      <c r="B200" s="13" t="inlineStr">
        <is>
          <t xml:space="preserve">الرؤية المحترفة </t>
        </is>
      </c>
      <c r="C200" s="13" t="inlineStr">
        <is>
          <t>عيسى المحياني</t>
        </is>
      </c>
      <c r="D200" s="13" t="n">
        <v>565541685</v>
      </c>
      <c r="E200" s="13" t="inlineStr">
        <is>
          <t xml:space="preserve">الرؤية المحترفة </t>
        </is>
      </c>
      <c r="F200" s="13" t="inlineStr">
        <is>
          <t>أكاديمية</t>
        </is>
      </c>
      <c r="G200" s="13" t="inlineStr">
        <is>
          <t>مكة المكرمة</t>
        </is>
      </c>
      <c r="H200" s="13" t="inlineStr">
        <is>
          <t>مكة المكرمة</t>
        </is>
      </c>
      <c r="I200" s="17" t="inlineStr">
        <is>
          <t>مكة المكرمة</t>
        </is>
      </c>
      <c r="J200" s="13" t="n">
        <v>1</v>
      </c>
      <c r="K200" s="13" t="n">
        <v>1</v>
      </c>
      <c r="L200" s="13" t="n">
        <v>1</v>
      </c>
      <c r="M200" s="13" t="n">
        <v>1</v>
      </c>
      <c r="N200" s="13" t="n">
        <v>2</v>
      </c>
      <c r="O200" s="13" t="n">
        <v>2</v>
      </c>
      <c r="P200" s="13" t="n">
        <v>2</v>
      </c>
      <c r="Q20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0" s="13" t="n"/>
      <c r="S200" s="17" t="n"/>
    </row>
    <row r="201" ht="17" customHeight="1">
      <c r="A201" s="17">
        <f>1+A200</f>
        <v/>
      </c>
      <c r="B201" s="13" t="inlineStr">
        <is>
          <t xml:space="preserve">اكاديمية موهبة الرياضية </t>
        </is>
      </c>
      <c r="C201" s="13" t="inlineStr">
        <is>
          <t>عبدالرحمن الجعيثن</t>
        </is>
      </c>
      <c r="D201" s="13" t="n">
        <v>503289999</v>
      </c>
      <c r="E201" s="13" t="inlineStr">
        <is>
          <t xml:space="preserve">اكاديمية موهبة </t>
        </is>
      </c>
      <c r="F201" s="13" t="inlineStr">
        <is>
          <t>أكاديمية</t>
        </is>
      </c>
      <c r="G201" s="13" t="inlineStr">
        <is>
          <t>القصيم</t>
        </is>
      </c>
      <c r="H201" s="13" t="inlineStr">
        <is>
          <t>بريدة</t>
        </is>
      </c>
      <c r="I201" s="17" t="inlineStr">
        <is>
          <t>القصيم</t>
        </is>
      </c>
      <c r="J201" s="13" t="n">
        <v>0</v>
      </c>
      <c r="K201" s="13" t="n">
        <v>1</v>
      </c>
      <c r="L201" s="13" t="n">
        <v>2</v>
      </c>
      <c r="M201" s="13" t="n">
        <v>2</v>
      </c>
      <c r="N201" s="13" t="n">
        <v>2</v>
      </c>
      <c r="O201" s="13" t="n">
        <v>2</v>
      </c>
      <c r="P201" s="13" t="n">
        <v>0</v>
      </c>
      <c r="Q20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1" s="13" t="n"/>
      <c r="S201" s="17" t="n"/>
    </row>
    <row r="202" ht="17" customHeight="1">
      <c r="A202" s="17">
        <f>1+A201</f>
        <v/>
      </c>
      <c r="B202" s="13" t="inlineStr">
        <is>
          <t xml:space="preserve">اكاديمية الجوبة الرياضية </t>
        </is>
      </c>
      <c r="C202" s="13" t="inlineStr">
        <is>
          <t>معاذ الزارع</t>
        </is>
      </c>
      <c r="D202" s="13" t="n">
        <v>553739637</v>
      </c>
      <c r="E202" s="13" t="inlineStr">
        <is>
          <t>القلعة بالجوف</t>
        </is>
      </c>
      <c r="F202" s="13" t="inlineStr">
        <is>
          <t>أكاديمية</t>
        </is>
      </c>
      <c r="G202" s="13" t="inlineStr">
        <is>
          <t>الجوف</t>
        </is>
      </c>
      <c r="H202" s="13" t="inlineStr">
        <is>
          <t>سكاكا</t>
        </is>
      </c>
      <c r="I202" s="17" t="inlineStr">
        <is>
          <t>الجوف</t>
        </is>
      </c>
      <c r="J202" s="13" t="n">
        <v>1</v>
      </c>
      <c r="K202" s="13" t="n">
        <v>1</v>
      </c>
      <c r="L202" s="13" t="n">
        <v>1</v>
      </c>
      <c r="M202" s="13" t="n">
        <v>2</v>
      </c>
      <c r="N202" s="13" t="n">
        <v>1</v>
      </c>
      <c r="O202" s="13" t="n">
        <v>0</v>
      </c>
      <c r="P202" s="13" t="n">
        <v>0</v>
      </c>
      <c r="Q20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2" s="13" t="n"/>
      <c r="S202" s="17" t="n"/>
    </row>
    <row r="203" ht="17" customHeight="1">
      <c r="A203" s="17">
        <f>1+A202</f>
        <v/>
      </c>
      <c r="B203" s="13" t="inlineStr">
        <is>
          <t>الجوهرة المتحدة</t>
        </is>
      </c>
      <c r="C203" s="13" t="inlineStr">
        <is>
          <t>عيسى المعلوي</t>
        </is>
      </c>
      <c r="D203" s="13" t="n">
        <v>556046415</v>
      </c>
      <c r="E203" s="13" t="inlineStr">
        <is>
          <t xml:space="preserve">لايوجد </t>
        </is>
      </c>
      <c r="F203" s="13" t="inlineStr">
        <is>
          <t>أكاديمية</t>
        </is>
      </c>
      <c r="G203" s="13" t="inlineStr">
        <is>
          <t>مكة المكرمة</t>
        </is>
      </c>
      <c r="H203" s="13" t="inlineStr">
        <is>
          <t>جدة</t>
        </is>
      </c>
      <c r="I203" s="17" t="inlineStr">
        <is>
          <t>جدة</t>
        </is>
      </c>
      <c r="J203" s="17" t="n">
        <v>1</v>
      </c>
      <c r="K203" s="17" t="n">
        <v>1</v>
      </c>
      <c r="L203" s="17" t="n">
        <v>1</v>
      </c>
      <c r="M203" s="17" t="n">
        <v>1</v>
      </c>
      <c r="N203" s="17" t="n">
        <v>2</v>
      </c>
      <c r="O203" s="17" t="n">
        <v>2</v>
      </c>
      <c r="P203" s="17" t="n">
        <v>1</v>
      </c>
      <c r="Q20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3" s="13" t="n"/>
      <c r="S203" s="17" t="n"/>
    </row>
    <row r="204" ht="17" customHeight="1">
      <c r="A204" s="17">
        <f>1+A203</f>
        <v/>
      </c>
      <c r="B204" s="13" t="inlineStr">
        <is>
          <t xml:space="preserve">البلاك ستارز </t>
        </is>
      </c>
      <c r="C204" s="13" t="inlineStr">
        <is>
          <t xml:space="preserve">فارس السهلي </t>
        </is>
      </c>
      <c r="D204" s="13" t="n">
        <v>550595695</v>
      </c>
      <c r="E204" s="13" t="inlineStr">
        <is>
          <t>لايوجد</t>
        </is>
      </c>
      <c r="F204" s="13" t="inlineStr">
        <is>
          <t>هواة</t>
        </is>
      </c>
      <c r="G204" s="13" t="inlineStr">
        <is>
          <t>المدينة المنورة</t>
        </is>
      </c>
      <c r="H204" s="13" t="inlineStr">
        <is>
          <t>المدينة المنورة</t>
        </is>
      </c>
      <c r="I204" s="17" t="inlineStr">
        <is>
          <t>المدينة المنورة</t>
        </is>
      </c>
      <c r="J204" s="13" t="n">
        <v>1</v>
      </c>
      <c r="K204" s="13" t="n">
        <v>1</v>
      </c>
      <c r="L204" s="13" t="n">
        <v>1</v>
      </c>
      <c r="M204" s="13" t="n">
        <v>1</v>
      </c>
      <c r="N204" s="13" t="n">
        <v>1</v>
      </c>
      <c r="O204" s="13" t="n">
        <v>1</v>
      </c>
      <c r="P204" s="13" t="n">
        <v>0</v>
      </c>
      <c r="Q20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4" s="13" t="n"/>
      <c r="S204" s="17" t="inlineStr">
        <is>
          <t>نعم</t>
        </is>
      </c>
    </row>
    <row r="205" ht="17" customHeight="1">
      <c r="A205" s="17">
        <f>1+A204</f>
        <v/>
      </c>
      <c r="B205" s="13" t="inlineStr">
        <is>
          <t>فريق أوتاد</t>
        </is>
      </c>
      <c r="C205" s="13" t="inlineStr">
        <is>
          <t>فيصل العطوي</t>
        </is>
      </c>
      <c r="D205" s="13" t="n">
        <v>534714440</v>
      </c>
      <c r="E205" s="13" t="inlineStr">
        <is>
          <t xml:space="preserve">لايوجد </t>
        </is>
      </c>
      <c r="F205" s="13" t="inlineStr">
        <is>
          <t>هواة</t>
        </is>
      </c>
      <c r="G205" s="13" t="inlineStr">
        <is>
          <t>الرياض</t>
        </is>
      </c>
      <c r="H205" s="13" t="inlineStr">
        <is>
          <t>الرياض</t>
        </is>
      </c>
      <c r="I205" s="17" t="inlineStr">
        <is>
          <t>الرياض</t>
        </is>
      </c>
      <c r="J205" s="13" t="n">
        <v>0</v>
      </c>
      <c r="K205" s="13" t="n">
        <v>0</v>
      </c>
      <c r="L205" s="13" t="n">
        <v>1</v>
      </c>
      <c r="M205" s="13" t="n">
        <v>0</v>
      </c>
      <c r="N205" s="13" t="n">
        <v>0</v>
      </c>
      <c r="O205" s="13" t="n">
        <v>0</v>
      </c>
      <c r="P205" s="13" t="n">
        <v>0</v>
      </c>
      <c r="Q20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5" s="13" t="inlineStr">
        <is>
          <t>لم يتم السداد</t>
        </is>
      </c>
      <c r="S205" s="17" t="inlineStr">
        <is>
          <t>نعم</t>
        </is>
      </c>
    </row>
    <row r="206" ht="17" customHeight="1">
      <c r="A206" s="17">
        <f>1+A205</f>
        <v/>
      </c>
      <c r="B206" s="13" t="inlineStr">
        <is>
          <t xml:space="preserve">نادي الجزيرة </t>
        </is>
      </c>
      <c r="C206" s="13" t="inlineStr">
        <is>
          <t xml:space="preserve">محمد الخراري </t>
        </is>
      </c>
      <c r="D206" s="13" t="n">
        <v>539030809</v>
      </c>
      <c r="E206" s="13" t="inlineStr">
        <is>
          <t xml:space="preserve">الجزيرة </t>
        </is>
      </c>
      <c r="F206" s="13" t="inlineStr">
        <is>
          <t>نادي</t>
        </is>
      </c>
      <c r="G206" s="13" t="inlineStr">
        <is>
          <t>الشرقية</t>
        </is>
      </c>
      <c r="H206" s="13" t="inlineStr">
        <is>
          <t>القطيف</t>
        </is>
      </c>
      <c r="I206" s="17" t="inlineStr">
        <is>
          <t>القطيف</t>
        </is>
      </c>
      <c r="J206" s="13" t="n">
        <v>1</v>
      </c>
      <c r="K206" s="13" t="n">
        <v>1</v>
      </c>
      <c r="L206" s="13" t="n">
        <v>1</v>
      </c>
      <c r="M206" s="13" t="n">
        <v>1</v>
      </c>
      <c r="N206" s="13" t="n">
        <v>0</v>
      </c>
      <c r="O206" s="13" t="n">
        <v>0</v>
      </c>
      <c r="P206" s="13" t="n">
        <v>0</v>
      </c>
      <c r="Q20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6" s="13" t="n"/>
      <c r="S206" s="17" t="n"/>
    </row>
    <row r="207" ht="17" customHeight="1">
      <c r="A207" s="17">
        <f>1+A206</f>
        <v/>
      </c>
      <c r="B207" s="13" t="inlineStr">
        <is>
          <t>السلام</t>
        </is>
      </c>
      <c r="C207" s="13" t="inlineStr">
        <is>
          <t>علي المزين</t>
        </is>
      </c>
      <c r="D207" s="13" t="n">
        <v>596326699</v>
      </c>
      <c r="E207" s="13" t="inlineStr">
        <is>
          <t>السلام</t>
        </is>
      </c>
      <c r="F207" s="13" t="inlineStr">
        <is>
          <t>نادي</t>
        </is>
      </c>
      <c r="G207" s="13" t="inlineStr">
        <is>
          <t>الشرقية</t>
        </is>
      </c>
      <c r="H207" s="13" t="inlineStr">
        <is>
          <t>القطيف</t>
        </is>
      </c>
      <c r="I207" s="17" t="inlineStr">
        <is>
          <t>القطيف</t>
        </is>
      </c>
      <c r="J207" s="13" t="n">
        <v>1</v>
      </c>
      <c r="K207" s="13" t="n">
        <v>1</v>
      </c>
      <c r="L207" s="13" t="n">
        <v>1</v>
      </c>
      <c r="M207" s="13" t="n">
        <v>1</v>
      </c>
      <c r="N207" s="13" t="n">
        <v>1</v>
      </c>
      <c r="O207" s="13" t="n">
        <v>1</v>
      </c>
      <c r="P207" s="13" t="n">
        <v>0</v>
      </c>
      <c r="Q20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7" s="13" t="n"/>
      <c r="S207" s="17" t="n"/>
    </row>
    <row r="208" ht="17" customHeight="1">
      <c r="A208" s="17">
        <f>1+A207</f>
        <v/>
      </c>
      <c r="B208" s="13" t="inlineStr">
        <is>
          <t>اكاديمية الفوارس</t>
        </is>
      </c>
      <c r="C208" s="13" t="inlineStr">
        <is>
          <t>حمزة البويدي</t>
        </is>
      </c>
      <c r="D208" s="13" t="n">
        <v>564975590</v>
      </c>
      <c r="E208" s="13" t="inlineStr">
        <is>
          <t>اكاديمية الفوارس</t>
        </is>
      </c>
      <c r="F208" s="13" t="inlineStr">
        <is>
          <t>أكاديمية</t>
        </is>
      </c>
      <c r="G208" s="13" t="inlineStr">
        <is>
          <t>الشرقية</t>
        </is>
      </c>
      <c r="H208" s="13" t="inlineStr">
        <is>
          <t>الأحساء</t>
        </is>
      </c>
      <c r="I208" s="17" t="inlineStr">
        <is>
          <t>الأحساء</t>
        </is>
      </c>
      <c r="J208" s="13" t="n">
        <v>0</v>
      </c>
      <c r="K208" s="13" t="n">
        <v>0</v>
      </c>
      <c r="L208" s="13" t="n">
        <v>0</v>
      </c>
      <c r="M208" s="13" t="n">
        <v>1</v>
      </c>
      <c r="N208" s="13" t="n">
        <v>1</v>
      </c>
      <c r="O208" s="13" t="n">
        <v>1</v>
      </c>
      <c r="P208" s="13" t="n">
        <v>1</v>
      </c>
      <c r="Q20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8" s="13" t="n"/>
      <c r="S208" s="17" t="n"/>
    </row>
    <row r="209" ht="17" customHeight="1">
      <c r="A209" s="17">
        <f>1+A208</f>
        <v/>
      </c>
      <c r="B209" s="13" t="inlineStr">
        <is>
          <t>جحا</t>
        </is>
      </c>
      <c r="C209" s="13" t="inlineStr">
        <is>
          <t>محمد كريري</t>
        </is>
      </c>
      <c r="D209" s="13" t="n">
        <v>565546688</v>
      </c>
      <c r="E209" s="13" t="inlineStr">
        <is>
          <t xml:space="preserve">لايوجد </t>
        </is>
      </c>
      <c r="F209" s="13" t="inlineStr">
        <is>
          <t>هواة</t>
        </is>
      </c>
      <c r="G209" s="13" t="inlineStr">
        <is>
          <t>جازان</t>
        </is>
      </c>
      <c r="H209" s="13" t="inlineStr">
        <is>
          <t>أحد المسارحة</t>
        </is>
      </c>
      <c r="I209" s="17" t="inlineStr">
        <is>
          <t>جازان</t>
        </is>
      </c>
      <c r="J209" s="13" t="n">
        <v>1</v>
      </c>
      <c r="K209" s="13" t="n">
        <v>1</v>
      </c>
      <c r="L209" s="13" t="n">
        <v>1</v>
      </c>
      <c r="M209" s="13" t="n">
        <v>1</v>
      </c>
      <c r="N209" s="13" t="n">
        <v>1</v>
      </c>
      <c r="O209" s="13" t="n">
        <v>1</v>
      </c>
      <c r="P209" s="13" t="n">
        <v>1</v>
      </c>
      <c r="Q20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09" s="13" t="n"/>
      <c r="S209" s="17" t="inlineStr">
        <is>
          <t>نعم</t>
        </is>
      </c>
    </row>
    <row r="210" ht="17" customHeight="1">
      <c r="A210" s="17">
        <f>1+A209</f>
        <v/>
      </c>
      <c r="B210" s="13" t="inlineStr">
        <is>
          <t>الازهر</t>
        </is>
      </c>
      <c r="C210" s="13" t="inlineStr">
        <is>
          <t xml:space="preserve">جعفر علي </t>
        </is>
      </c>
      <c r="D210" s="13" t="n">
        <v>577019226</v>
      </c>
      <c r="E210" s="13" t="inlineStr">
        <is>
          <t>الازهر</t>
        </is>
      </c>
      <c r="F210" s="13" t="inlineStr">
        <is>
          <t>نادي</t>
        </is>
      </c>
      <c r="G210" s="13" t="inlineStr">
        <is>
          <t>الشرقية</t>
        </is>
      </c>
      <c r="H210" s="13" t="inlineStr">
        <is>
          <t>القطيف</t>
        </is>
      </c>
      <c r="I210" s="17" t="inlineStr">
        <is>
          <t>القطيف</t>
        </is>
      </c>
      <c r="J210" s="13" t="n">
        <v>0</v>
      </c>
      <c r="K210" s="13" t="n">
        <v>0</v>
      </c>
      <c r="L210" s="13" t="n">
        <v>1</v>
      </c>
      <c r="M210" s="13" t="n">
        <v>1</v>
      </c>
      <c r="N210" s="13" t="n">
        <v>1</v>
      </c>
      <c r="O210" s="13" t="n">
        <v>1</v>
      </c>
      <c r="P210" s="13" t="n">
        <v>0</v>
      </c>
      <c r="Q21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0" s="13" t="n"/>
      <c r="S210" s="17" t="n"/>
    </row>
    <row r="211" ht="17" customHeight="1">
      <c r="A211" s="17">
        <f>1+A210</f>
        <v/>
      </c>
      <c r="B211" s="13" t="inlineStr">
        <is>
          <t>اكاديمية جازان</t>
        </is>
      </c>
      <c r="C211" s="13" t="inlineStr">
        <is>
          <t>محمد جمدي</t>
        </is>
      </c>
      <c r="D211" s="13" t="n">
        <v>534853878</v>
      </c>
      <c r="E211" s="13" t="inlineStr">
        <is>
          <t>الهدف الخامس</t>
        </is>
      </c>
      <c r="F211" s="13" t="inlineStr">
        <is>
          <t>أكاديمية</t>
        </is>
      </c>
      <c r="G211" s="13" t="inlineStr">
        <is>
          <t>جازان</t>
        </is>
      </c>
      <c r="H211" s="13" t="inlineStr">
        <is>
          <t>صامطة</t>
        </is>
      </c>
      <c r="I211" s="17" t="inlineStr">
        <is>
          <t>جازان</t>
        </is>
      </c>
      <c r="J211" s="13" t="n">
        <v>1</v>
      </c>
      <c r="K211" s="13" t="n">
        <v>0</v>
      </c>
      <c r="L211" s="13" t="n">
        <v>0</v>
      </c>
      <c r="M211" s="13" t="n">
        <v>0</v>
      </c>
      <c r="N211" s="13" t="n">
        <v>0</v>
      </c>
      <c r="O211" s="13" t="n">
        <v>0</v>
      </c>
      <c r="P211" s="13" t="n">
        <v>0</v>
      </c>
      <c r="Q21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1" s="13" t="n"/>
      <c r="S211" s="17" t="n"/>
    </row>
    <row r="212" ht="17" customHeight="1">
      <c r="A212" s="17">
        <f>1+A211</f>
        <v/>
      </c>
      <c r="B212" s="13" t="inlineStr">
        <is>
          <t xml:space="preserve">أبطال الروضة </t>
        </is>
      </c>
      <c r="C212" s="13" t="inlineStr">
        <is>
          <t>مقبل الشمري</t>
        </is>
      </c>
      <c r="D212" s="13" t="n">
        <v>557113120</v>
      </c>
      <c r="E212" s="13" t="inlineStr">
        <is>
          <t>الابطال</t>
        </is>
      </c>
      <c r="F212" s="13" t="inlineStr">
        <is>
          <t>أكاديمية</t>
        </is>
      </c>
      <c r="G212" s="13" t="inlineStr">
        <is>
          <t>الشرقية</t>
        </is>
      </c>
      <c r="H212" s="13" t="inlineStr">
        <is>
          <t>حفر الباطن</t>
        </is>
      </c>
      <c r="I212" s="17" t="inlineStr">
        <is>
          <t>حفر الباطن</t>
        </is>
      </c>
      <c r="J212" s="13" t="n">
        <v>1</v>
      </c>
      <c r="K212" s="13" t="n">
        <v>0</v>
      </c>
      <c r="L212" s="13" t="n">
        <v>1</v>
      </c>
      <c r="M212" s="13" t="n">
        <v>1</v>
      </c>
      <c r="N212" s="13" t="n">
        <v>0</v>
      </c>
      <c r="O212" s="13" t="n">
        <v>0</v>
      </c>
      <c r="P212" s="13" t="n">
        <v>0</v>
      </c>
      <c r="Q21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2" s="13" t="n"/>
      <c r="S212" s="17" t="n"/>
    </row>
    <row r="213" ht="17" customHeight="1">
      <c r="A213" s="17">
        <f>1+A212</f>
        <v/>
      </c>
      <c r="B213" s="13" t="inlineStr">
        <is>
          <t>صقور نجد</t>
        </is>
      </c>
      <c r="C213" s="13" t="inlineStr">
        <is>
          <t>فهد الحارثي</t>
        </is>
      </c>
      <c r="D213" s="13" t="n">
        <v>553875535</v>
      </c>
      <c r="E213" s="13" t="inlineStr">
        <is>
          <t>المطوع بارك</t>
        </is>
      </c>
      <c r="F213" s="13" t="inlineStr">
        <is>
          <t>أكاديمية</t>
        </is>
      </c>
      <c r="G213" s="13" t="inlineStr">
        <is>
          <t>الرياض</t>
        </is>
      </c>
      <c r="H213" s="13" t="inlineStr">
        <is>
          <t>الرياض</t>
        </is>
      </c>
      <c r="I213" s="17" t="inlineStr">
        <is>
          <t>الرياض</t>
        </is>
      </c>
      <c r="J213" s="13" t="n">
        <v>1</v>
      </c>
      <c r="K213" s="13" t="n">
        <v>1</v>
      </c>
      <c r="L213" s="13" t="n">
        <v>1</v>
      </c>
      <c r="M213" s="13" t="n">
        <v>1</v>
      </c>
      <c r="N213" s="13" t="n">
        <v>1</v>
      </c>
      <c r="O213" s="13" t="n">
        <v>1</v>
      </c>
      <c r="P213" s="13" t="n">
        <v>0</v>
      </c>
      <c r="Q21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3" s="13" t="n"/>
      <c r="S213" s="17" t="n"/>
    </row>
    <row r="214" ht="17" customHeight="1">
      <c r="A214" s="17">
        <f>1+A213</f>
        <v/>
      </c>
      <c r="B214" s="13" t="inlineStr">
        <is>
          <t>همة الفرسان</t>
        </is>
      </c>
      <c r="C214" s="13" t="inlineStr">
        <is>
          <t>حنان الوبر</t>
        </is>
      </c>
      <c r="D214" s="13" t="n">
        <v>540838710</v>
      </c>
      <c r="E214" s="13" t="inlineStr">
        <is>
          <t>لايوجد</t>
        </is>
      </c>
      <c r="F214" s="13" t="inlineStr">
        <is>
          <t>أكاديمية</t>
        </is>
      </c>
      <c r="G214" s="13" t="inlineStr">
        <is>
          <t>مكة المكرمة</t>
        </is>
      </c>
      <c r="H214" s="13" t="inlineStr">
        <is>
          <t>مكة المكرمة</t>
        </is>
      </c>
      <c r="I214" s="17" t="inlineStr">
        <is>
          <t>مكة المكرمة</t>
        </is>
      </c>
      <c r="J214" s="13" t="n">
        <v>1</v>
      </c>
      <c r="K214" s="13" t="n">
        <v>0</v>
      </c>
      <c r="L214" s="13" t="n">
        <v>1</v>
      </c>
      <c r="M214" s="13" t="n">
        <v>1</v>
      </c>
      <c r="N214" s="13" t="n">
        <v>1</v>
      </c>
      <c r="O214" s="13" t="n">
        <v>0</v>
      </c>
      <c r="P214" s="13" t="n">
        <v>0</v>
      </c>
      <c r="Q21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4" s="13" t="n"/>
      <c r="S214" s="17" t="n"/>
    </row>
    <row r="215" ht="17" customHeight="1">
      <c r="A215" s="17">
        <f>1+A214</f>
        <v/>
      </c>
      <c r="B215" s="13" t="inlineStr">
        <is>
          <t>ضمك</t>
        </is>
      </c>
      <c r="C215" s="13" t="inlineStr">
        <is>
          <t>عبدالاله عوير</t>
        </is>
      </c>
      <c r="D215" s="13" t="n">
        <v>595655939</v>
      </c>
      <c r="E215" s="13" t="inlineStr">
        <is>
          <t xml:space="preserve">ضمك بالخالدية </t>
        </is>
      </c>
      <c r="F215" s="13" t="inlineStr">
        <is>
          <t>نادي</t>
        </is>
      </c>
      <c r="G215" s="13" t="inlineStr">
        <is>
          <t>عسير</t>
        </is>
      </c>
      <c r="H215" s="13" t="inlineStr">
        <is>
          <t>خميس مشيط</t>
        </is>
      </c>
      <c r="I215" s="17" t="inlineStr">
        <is>
          <t>عسير</t>
        </is>
      </c>
      <c r="J215" s="13" t="n">
        <v>1</v>
      </c>
      <c r="K215" s="13" t="n">
        <v>1</v>
      </c>
      <c r="L215" s="13" t="n">
        <v>1</v>
      </c>
      <c r="M215" s="13" t="n">
        <v>1</v>
      </c>
      <c r="N215" s="13" t="n">
        <v>0</v>
      </c>
      <c r="O215" s="13" t="n">
        <v>0</v>
      </c>
      <c r="P215" s="13" t="n">
        <v>0</v>
      </c>
      <c r="Q21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5" s="13" t="n"/>
      <c r="S215" s="17" t="n"/>
    </row>
    <row r="216" ht="17" customHeight="1">
      <c r="A216" s="17">
        <f>1+A215</f>
        <v/>
      </c>
      <c r="B216" s="13" t="inlineStr">
        <is>
          <t xml:space="preserve">اكاديمية ليبرو </t>
        </is>
      </c>
      <c r="C216" s="13" t="inlineStr">
        <is>
          <t xml:space="preserve">قاسم الحقوي </t>
        </is>
      </c>
      <c r="D216" s="13" t="n">
        <v>530634750</v>
      </c>
      <c r="E216" s="13" t="inlineStr">
        <is>
          <t>الليث الابيض</t>
        </is>
      </c>
      <c r="F216" s="13" t="inlineStr">
        <is>
          <t>أكاديمية</t>
        </is>
      </c>
      <c r="G216" s="13" t="inlineStr">
        <is>
          <t>جازان</t>
        </is>
      </c>
      <c r="H216" s="13" t="inlineStr">
        <is>
          <t>صبيا</t>
        </is>
      </c>
      <c r="I216" s="17" t="inlineStr">
        <is>
          <t>جازان</t>
        </is>
      </c>
      <c r="J216" s="13" t="n">
        <v>1</v>
      </c>
      <c r="K216" s="13" t="n">
        <v>1</v>
      </c>
      <c r="L216" s="13" t="n">
        <v>1</v>
      </c>
      <c r="M216" s="13" t="n">
        <v>1</v>
      </c>
      <c r="N216" s="13" t="n">
        <v>0</v>
      </c>
      <c r="O216" s="13" t="n">
        <v>0</v>
      </c>
      <c r="P216" s="13" t="n">
        <v>0</v>
      </c>
      <c r="Q21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6" s="13" t="n"/>
      <c r="S216" s="17" t="n"/>
    </row>
    <row r="217" ht="17" customHeight="1">
      <c r="A217" s="17">
        <f>1+A216</f>
        <v/>
      </c>
      <c r="B217" s="13" t="inlineStr">
        <is>
          <t>الشعلة</t>
        </is>
      </c>
      <c r="C217" s="13" t="inlineStr">
        <is>
          <t xml:space="preserve">عبدالرحمن الهويمل </t>
        </is>
      </c>
      <c r="D217" s="13" t="n">
        <v>532876761</v>
      </c>
      <c r="E217" s="13" t="inlineStr">
        <is>
          <t xml:space="preserve">الشعلة </t>
        </is>
      </c>
      <c r="F217" s="13" t="inlineStr">
        <is>
          <t>نادي</t>
        </is>
      </c>
      <c r="G217" s="13" t="inlineStr">
        <is>
          <t>الرياض</t>
        </is>
      </c>
      <c r="H217" s="13" t="inlineStr">
        <is>
          <t>الخرج</t>
        </is>
      </c>
      <c r="I217" s="17" t="inlineStr">
        <is>
          <t>الخرج</t>
        </is>
      </c>
      <c r="J217" s="13" t="n">
        <v>1</v>
      </c>
      <c r="K217" s="13" t="n">
        <v>1</v>
      </c>
      <c r="L217" s="13" t="n">
        <v>1</v>
      </c>
      <c r="M217" s="13" t="n">
        <v>1</v>
      </c>
      <c r="N217" s="13" t="n">
        <v>0</v>
      </c>
      <c r="O217" s="13" t="n">
        <v>0</v>
      </c>
      <c r="P217" s="13" t="n">
        <v>0</v>
      </c>
      <c r="Q21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7" s="13" t="n"/>
      <c r="S217" s="17" t="n"/>
    </row>
    <row r="218" ht="17" customHeight="1">
      <c r="A218" s="17">
        <f>1+A217</f>
        <v/>
      </c>
      <c r="B218" s="13" t="inlineStr">
        <is>
          <t>الوحدة</t>
        </is>
      </c>
      <c r="C218" s="13" t="inlineStr">
        <is>
          <t>حازم اللحياني</t>
        </is>
      </c>
      <c r="D218" s="13" t="n">
        <v>555509685</v>
      </c>
      <c r="E218" s="13" t="inlineStr">
        <is>
          <t>مدينة الملك عبدالعزيز الرياضية</t>
        </is>
      </c>
      <c r="F218" s="13" t="inlineStr">
        <is>
          <t>نادي</t>
        </is>
      </c>
      <c r="G218" s="13" t="inlineStr">
        <is>
          <t>مكة المكرمة</t>
        </is>
      </c>
      <c r="H218" s="13" t="inlineStr">
        <is>
          <t>مكة المكرمة</t>
        </is>
      </c>
      <c r="I218" s="17" t="inlineStr">
        <is>
          <t>مكة المكرمة</t>
        </is>
      </c>
      <c r="J218" s="13" t="n">
        <v>1</v>
      </c>
      <c r="K218" s="13" t="n">
        <v>1</v>
      </c>
      <c r="L218" s="13" t="n">
        <v>1</v>
      </c>
      <c r="M218" s="13" t="n">
        <v>1</v>
      </c>
      <c r="N218" s="13" t="n">
        <v>1</v>
      </c>
      <c r="O218" s="13" t="n">
        <v>1</v>
      </c>
      <c r="P218" s="13" t="n">
        <v>1</v>
      </c>
      <c r="Q21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8" s="13" t="n"/>
      <c r="S218" s="17" t="n"/>
    </row>
    <row r="219" ht="17" customHeight="1">
      <c r="A219" s="17">
        <f>1+A218</f>
        <v/>
      </c>
      <c r="B219" s="13" t="inlineStr">
        <is>
          <t>شباب حاكمة ابي عريش</t>
        </is>
      </c>
      <c r="C219" s="13" t="inlineStr">
        <is>
          <t>ماجد ابوالغيث</t>
        </is>
      </c>
      <c r="D219" s="13" t="n">
        <v>560596607</v>
      </c>
      <c r="E219" s="13" t="inlineStr">
        <is>
          <t>لايوجد</t>
        </is>
      </c>
      <c r="F219" s="13" t="inlineStr">
        <is>
          <t>هواة</t>
        </is>
      </c>
      <c r="G219" s="13" t="inlineStr">
        <is>
          <t>جازان</t>
        </is>
      </c>
      <c r="H219" s="13" t="inlineStr">
        <is>
          <t>أبو عريش</t>
        </is>
      </c>
      <c r="I219" s="17" t="inlineStr">
        <is>
          <t>جازان</t>
        </is>
      </c>
      <c r="J219" s="13" t="n">
        <v>1</v>
      </c>
      <c r="K219" s="13" t="n">
        <v>1</v>
      </c>
      <c r="L219" s="13" t="n">
        <v>1</v>
      </c>
      <c r="M219" s="13" t="n">
        <v>1</v>
      </c>
      <c r="N219" s="13" t="n">
        <v>1</v>
      </c>
      <c r="O219" s="13" t="n">
        <v>1</v>
      </c>
      <c r="P219" s="13" t="n">
        <v>1</v>
      </c>
      <c r="Q21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19" s="13" t="n"/>
      <c r="S219" s="17" t="inlineStr">
        <is>
          <t>نعم</t>
        </is>
      </c>
    </row>
    <row r="220" ht="17" customHeight="1">
      <c r="A220" s="17">
        <f>1+A219</f>
        <v/>
      </c>
      <c r="B220" s="13" t="inlineStr">
        <is>
          <t>الدخيل</t>
        </is>
      </c>
      <c r="C220" s="13" t="inlineStr">
        <is>
          <t>حمود القبندي</t>
        </is>
      </c>
      <c r="D220" s="13" t="n">
        <v>552505347</v>
      </c>
      <c r="E220" s="13" t="inlineStr">
        <is>
          <t>لايوجد</t>
        </is>
      </c>
      <c r="F220" s="13" t="inlineStr">
        <is>
          <t>هواة</t>
        </is>
      </c>
      <c r="G220" s="13" t="inlineStr">
        <is>
          <t>مكة المكرمة</t>
        </is>
      </c>
      <c r="H220" s="13" t="inlineStr">
        <is>
          <t>جدة</t>
        </is>
      </c>
      <c r="I220" s="17" t="inlineStr">
        <is>
          <t>جدة</t>
        </is>
      </c>
      <c r="J220" s="13" t="n">
        <v>0</v>
      </c>
      <c r="K220" s="13" t="n">
        <v>1</v>
      </c>
      <c r="L220" s="13" t="n">
        <v>0</v>
      </c>
      <c r="M220" s="13" t="n">
        <v>0</v>
      </c>
      <c r="N220" s="13" t="n">
        <v>1</v>
      </c>
      <c r="O220" s="13" t="n">
        <v>0</v>
      </c>
      <c r="P220" s="13" t="n">
        <v>0</v>
      </c>
      <c r="Q22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0" s="13" t="n"/>
      <c r="S220" s="17" t="inlineStr">
        <is>
          <t>نعم</t>
        </is>
      </c>
    </row>
    <row r="221" ht="17" customHeight="1">
      <c r="A221" s="17">
        <f>1+A220</f>
        <v/>
      </c>
      <c r="B221" s="13" t="inlineStr">
        <is>
          <t>الجوه</t>
        </is>
      </c>
      <c r="C221" s="13" t="inlineStr">
        <is>
          <t>موسى خبراني</t>
        </is>
      </c>
      <c r="D221" s="45" t="n">
        <v>966533558443</v>
      </c>
      <c r="E221" s="13" t="inlineStr">
        <is>
          <t>لايوجد</t>
        </is>
      </c>
      <c r="F221" s="13" t="inlineStr">
        <is>
          <t>هواة</t>
        </is>
      </c>
      <c r="G221" s="13" t="inlineStr">
        <is>
          <t>جازان</t>
        </is>
      </c>
      <c r="H221" s="13" t="inlineStr">
        <is>
          <t>أبو عريش</t>
        </is>
      </c>
      <c r="I221" s="17" t="inlineStr">
        <is>
          <t>جازان</t>
        </is>
      </c>
      <c r="J221" s="13" t="n">
        <v>1</v>
      </c>
      <c r="K221" s="13" t="n">
        <v>1</v>
      </c>
      <c r="L221" s="13" t="n">
        <v>1</v>
      </c>
      <c r="M221" s="13" t="n">
        <v>1</v>
      </c>
      <c r="N221" s="13" t="n">
        <v>1</v>
      </c>
      <c r="O221" s="13" t="n">
        <v>1</v>
      </c>
      <c r="P221" s="13" t="n">
        <v>1</v>
      </c>
      <c r="Q22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1" s="13" t="n"/>
      <c r="S221" s="17" t="inlineStr">
        <is>
          <t>نعم</t>
        </is>
      </c>
    </row>
    <row r="222" ht="17" customHeight="1">
      <c r="A222" s="17">
        <f>1+A221</f>
        <v/>
      </c>
      <c r="B222" s="13" t="inlineStr">
        <is>
          <t xml:space="preserve">اكاديمية أف 1 </t>
        </is>
      </c>
      <c r="C222" s="13" t="inlineStr">
        <is>
          <t>مسفر المسعودي</t>
        </is>
      </c>
      <c r="D222" s="13" t="n">
        <v>555877209</v>
      </c>
      <c r="E222" s="13" t="inlineStr">
        <is>
          <t>لايوجد</t>
        </is>
      </c>
      <c r="F222" s="13" t="inlineStr">
        <is>
          <t>هواة</t>
        </is>
      </c>
      <c r="G222" s="13" t="inlineStr">
        <is>
          <t>مكة المكرمة</t>
        </is>
      </c>
      <c r="H222" s="13" t="inlineStr">
        <is>
          <t>مكة المكرمة</t>
        </is>
      </c>
      <c r="I222" s="17" t="inlineStr">
        <is>
          <t>مكة المكرمة</t>
        </is>
      </c>
      <c r="J222" s="13" t="n">
        <v>1</v>
      </c>
      <c r="K222" s="13" t="n">
        <v>1</v>
      </c>
      <c r="L222" s="13" t="n">
        <v>1</v>
      </c>
      <c r="M222" s="13" t="n">
        <v>1</v>
      </c>
      <c r="N222" s="13" t="n">
        <v>1</v>
      </c>
      <c r="O222" s="13" t="n">
        <v>1</v>
      </c>
      <c r="P222" s="13" t="n">
        <v>1</v>
      </c>
      <c r="Q22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2" s="13" t="n"/>
      <c r="S222" s="17" t="inlineStr">
        <is>
          <t>نعم</t>
        </is>
      </c>
    </row>
    <row r="223" ht="17" customHeight="1">
      <c r="A223" s="17">
        <f>1+A222</f>
        <v/>
      </c>
      <c r="B223" s="13" t="inlineStr">
        <is>
          <t>نمور تبوك</t>
        </is>
      </c>
      <c r="C223" s="13" t="inlineStr">
        <is>
          <t>سالم محبوب</t>
        </is>
      </c>
      <c r="D223" s="13" t="n">
        <v>533835900</v>
      </c>
      <c r="E223" s="13" t="inlineStr">
        <is>
          <t>لايوجد</t>
        </is>
      </c>
      <c r="F223" s="13" t="inlineStr">
        <is>
          <t>هواة</t>
        </is>
      </c>
      <c r="G223" s="13" t="inlineStr">
        <is>
          <t>تبوك</t>
        </is>
      </c>
      <c r="H223" s="13" t="inlineStr">
        <is>
          <t>تبوك</t>
        </is>
      </c>
      <c r="I223" s="17" t="inlineStr">
        <is>
          <t>تبوك</t>
        </is>
      </c>
      <c r="J223" s="13" t="n">
        <v>1</v>
      </c>
      <c r="K223" s="13" t="n">
        <v>1</v>
      </c>
      <c r="L223" s="13" t="n">
        <v>1</v>
      </c>
      <c r="M223" s="13" t="n">
        <v>1</v>
      </c>
      <c r="N223" s="13" t="n">
        <v>0</v>
      </c>
      <c r="O223" s="13" t="n">
        <v>0</v>
      </c>
      <c r="P223" s="13" t="n">
        <v>0</v>
      </c>
      <c r="Q22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3" s="13" t="n"/>
      <c r="S223" s="17" t="inlineStr">
        <is>
          <t>نعم</t>
        </is>
      </c>
    </row>
    <row r="224" ht="17" customHeight="1">
      <c r="A224" s="17">
        <f>1+A223</f>
        <v/>
      </c>
      <c r="B224" s="13" t="inlineStr">
        <is>
          <t>فريق منشبة</t>
        </is>
      </c>
      <c r="C224" s="13" t="inlineStr">
        <is>
          <t>هادي عتودي</t>
        </is>
      </c>
      <c r="D224" s="13" t="n">
        <v>545558184</v>
      </c>
      <c r="E224" s="13" t="inlineStr">
        <is>
          <t>لايوجد</t>
        </is>
      </c>
      <c r="F224" s="13" t="inlineStr">
        <is>
          <t>هواة</t>
        </is>
      </c>
      <c r="G224" s="13" t="inlineStr">
        <is>
          <t>جازان</t>
        </is>
      </c>
      <c r="H224" s="13" t="inlineStr">
        <is>
          <t>جيزان</t>
        </is>
      </c>
      <c r="I224" s="17" t="inlineStr">
        <is>
          <t>جازان</t>
        </is>
      </c>
      <c r="J224" s="13" t="n">
        <v>1</v>
      </c>
      <c r="K224" s="13" t="n">
        <v>1</v>
      </c>
      <c r="L224" s="13" t="n">
        <v>1</v>
      </c>
      <c r="M224" s="13" t="n">
        <v>1</v>
      </c>
      <c r="N224" s="13" t="n">
        <v>1</v>
      </c>
      <c r="O224" s="13" t="n">
        <v>1</v>
      </c>
      <c r="P224" s="13" t="n">
        <v>1</v>
      </c>
      <c r="Q22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4" s="13" t="n"/>
      <c r="S224" s="17" t="inlineStr">
        <is>
          <t>نعم</t>
        </is>
      </c>
    </row>
    <row r="225" ht="17" customHeight="1">
      <c r="A225" s="17">
        <f>1+A224</f>
        <v/>
      </c>
      <c r="B225" s="13" t="inlineStr">
        <is>
          <t>اكاديمية المواهب</t>
        </is>
      </c>
      <c r="C225" s="13" t="inlineStr">
        <is>
          <t>دهام علي الشمري</t>
        </is>
      </c>
      <c r="D225" s="13" t="n">
        <v>503392532</v>
      </c>
      <c r="E225" s="13" t="inlineStr">
        <is>
          <t>اكاديمية المواهب</t>
        </is>
      </c>
      <c r="F225" s="13" t="inlineStr">
        <is>
          <t>أكاديمية</t>
        </is>
      </c>
      <c r="G225" s="13" t="inlineStr">
        <is>
          <t>الجوف</t>
        </is>
      </c>
      <c r="H225" s="13" t="inlineStr">
        <is>
          <t>سكاكا</t>
        </is>
      </c>
      <c r="I225" s="17" t="inlineStr">
        <is>
          <t>الجوف</t>
        </is>
      </c>
      <c r="J225" s="13" t="n">
        <v>1</v>
      </c>
      <c r="K225" s="13" t="n">
        <v>1</v>
      </c>
      <c r="L225" s="13" t="n">
        <v>1</v>
      </c>
      <c r="M225" s="13" t="n">
        <v>1</v>
      </c>
      <c r="N225" s="13" t="n">
        <v>1</v>
      </c>
      <c r="O225" s="13" t="n">
        <v>1</v>
      </c>
      <c r="P225" s="13" t="n">
        <v>1</v>
      </c>
      <c r="Q22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5" s="13" t="n"/>
      <c r="S225" s="17" t="n"/>
    </row>
    <row r="226" ht="17" customHeight="1">
      <c r="A226" s="17">
        <f>1+A225</f>
        <v/>
      </c>
      <c r="B226" s="13" t="inlineStr">
        <is>
          <t xml:space="preserve">اكاديمية بلنسية </t>
        </is>
      </c>
      <c r="C226" s="13" t="inlineStr">
        <is>
          <t>عبد العزيز الرشيد</t>
        </is>
      </c>
      <c r="D226" s="13" t="n">
        <v>566841189</v>
      </c>
      <c r="E226" s="13" t="inlineStr">
        <is>
          <t>لايوجد</t>
        </is>
      </c>
      <c r="F226" s="13" t="inlineStr">
        <is>
          <t>أكاديمية</t>
        </is>
      </c>
      <c r="G226" s="13" t="inlineStr">
        <is>
          <t>القصيم</t>
        </is>
      </c>
      <c r="H226" s="13" t="inlineStr">
        <is>
          <t>الرس</t>
        </is>
      </c>
      <c r="I226" s="17" t="inlineStr">
        <is>
          <t>الرس</t>
        </is>
      </c>
      <c r="J226" s="13" t="n">
        <v>0</v>
      </c>
      <c r="K226" s="13" t="n">
        <v>1</v>
      </c>
      <c r="L226" s="13" t="n">
        <v>0</v>
      </c>
      <c r="M226" s="13" t="n">
        <v>1</v>
      </c>
      <c r="N226" s="13" t="n">
        <v>0</v>
      </c>
      <c r="O226" s="13" t="n">
        <v>0</v>
      </c>
      <c r="P226" s="13" t="n">
        <v>0</v>
      </c>
      <c r="Q22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6" s="13" t="n"/>
      <c r="S226" s="17" t="n"/>
    </row>
    <row r="227" ht="17" customHeight="1">
      <c r="A227" s="17">
        <f>1+A226</f>
        <v/>
      </c>
      <c r="B227" s="13" t="inlineStr">
        <is>
          <t>أحد</t>
        </is>
      </c>
      <c r="C227" s="13" t="inlineStr">
        <is>
          <t>عبدالعزيز حموده</t>
        </is>
      </c>
      <c r="D227" s="13" t="n">
        <v>561561564</v>
      </c>
      <c r="E227" s="13" t="inlineStr">
        <is>
          <t>أحد</t>
        </is>
      </c>
      <c r="F227" s="13" t="inlineStr">
        <is>
          <t>نادي</t>
        </is>
      </c>
      <c r="G227" s="13" t="inlineStr">
        <is>
          <t>المدينة المنورة</t>
        </is>
      </c>
      <c r="H227" s="13" t="inlineStr">
        <is>
          <t>المدينة المنورة</t>
        </is>
      </c>
      <c r="I227" s="17" t="inlineStr">
        <is>
          <t>المدينة المنورة</t>
        </is>
      </c>
      <c r="J227" s="13" t="n">
        <v>1</v>
      </c>
      <c r="K227" s="13" t="n">
        <v>1</v>
      </c>
      <c r="L227" s="13" t="n">
        <v>1</v>
      </c>
      <c r="M227" s="13" t="n">
        <v>1</v>
      </c>
      <c r="N227" s="13" t="n">
        <v>1</v>
      </c>
      <c r="O227" s="13" t="n">
        <v>1</v>
      </c>
      <c r="P227" s="13" t="n">
        <v>1</v>
      </c>
      <c r="Q22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7" s="13" t="n"/>
      <c r="S227" s="17" t="n"/>
    </row>
    <row r="228" ht="17" customHeight="1">
      <c r="A228" s="17">
        <f>1+A227</f>
        <v/>
      </c>
      <c r="B228" s="13" t="inlineStr">
        <is>
          <t>سميراء</t>
        </is>
      </c>
      <c r="C228" s="13" t="inlineStr">
        <is>
          <t>وجدان الجلعود</t>
        </is>
      </c>
      <c r="D228" s="13" t="n">
        <v>501814999</v>
      </c>
      <c r="E228" s="13" t="inlineStr">
        <is>
          <t>سميراء</t>
        </is>
      </c>
      <c r="F228" s="13" t="inlineStr">
        <is>
          <t>نادي</t>
        </is>
      </c>
      <c r="G228" s="13" t="inlineStr">
        <is>
          <t>حائل</t>
        </is>
      </c>
      <c r="H228" s="13" t="inlineStr">
        <is>
          <t>سميراء</t>
        </is>
      </c>
      <c r="I228" s="17" t="inlineStr">
        <is>
          <t>حائل</t>
        </is>
      </c>
      <c r="J228" s="13" t="n">
        <v>0</v>
      </c>
      <c r="K228" s="13" t="n">
        <v>0</v>
      </c>
      <c r="L228" s="13" t="n">
        <v>1</v>
      </c>
      <c r="M228" s="13" t="n">
        <v>1</v>
      </c>
      <c r="N228" s="13" t="n">
        <v>0</v>
      </c>
      <c r="O228" s="13" t="n">
        <v>0</v>
      </c>
      <c r="P228" s="13" t="n">
        <v>0</v>
      </c>
      <c r="Q22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8" s="13" t="n"/>
      <c r="S228" s="17" t="n"/>
    </row>
    <row r="229" ht="17" customHeight="1">
      <c r="A229" s="17">
        <f>1+A228</f>
        <v/>
      </c>
      <c r="B229" s="13" t="inlineStr">
        <is>
          <t>نجمة الهفوف</t>
        </is>
      </c>
      <c r="C229" s="13" t="inlineStr">
        <is>
          <t>مبارك العجمي</t>
        </is>
      </c>
      <c r="D229" s="13" t="n">
        <v>595077770</v>
      </c>
      <c r="E229" s="13" t="inlineStr">
        <is>
          <t>لايوجد</t>
        </is>
      </c>
      <c r="F229" s="13" t="inlineStr">
        <is>
          <t>أكاديمية</t>
        </is>
      </c>
      <c r="G229" s="13" t="inlineStr">
        <is>
          <t>الشرقية</t>
        </is>
      </c>
      <c r="H229" s="13" t="inlineStr">
        <is>
          <t>الأحساء</t>
        </is>
      </c>
      <c r="I229" s="17" t="inlineStr">
        <is>
          <t>الأحساء</t>
        </is>
      </c>
      <c r="J229" s="13" t="n">
        <v>1</v>
      </c>
      <c r="K229" s="13" t="n">
        <v>1</v>
      </c>
      <c r="L229" s="13" t="n">
        <v>1</v>
      </c>
      <c r="M229" s="13" t="n">
        <v>1</v>
      </c>
      <c r="N229" s="13" t="n">
        <v>1</v>
      </c>
      <c r="O229" s="13" t="n">
        <v>1</v>
      </c>
      <c r="P229" s="13" t="n">
        <v>1</v>
      </c>
      <c r="Q22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29" s="13" t="n"/>
      <c r="S229" s="17" t="n"/>
    </row>
    <row r="230" ht="17" customHeight="1">
      <c r="A230" s="17">
        <f>1+A229</f>
        <v/>
      </c>
      <c r="B230" s="13" t="inlineStr">
        <is>
          <t>فوارس البطالية</t>
        </is>
      </c>
      <c r="C230" s="13" t="inlineStr">
        <is>
          <t>حبيب الموسى</t>
        </is>
      </c>
      <c r="D230" s="13" t="n">
        <v>554496469</v>
      </c>
      <c r="E230" s="13" t="inlineStr">
        <is>
          <t>لايوجد</t>
        </is>
      </c>
      <c r="F230" s="13" t="inlineStr">
        <is>
          <t>هواة</t>
        </is>
      </c>
      <c r="G230" s="13" t="inlineStr">
        <is>
          <t>الشرقية</t>
        </is>
      </c>
      <c r="H230" s="13" t="inlineStr">
        <is>
          <t>الأحساء</t>
        </is>
      </c>
      <c r="I230" s="17" t="inlineStr">
        <is>
          <t>الأحساء</t>
        </is>
      </c>
      <c r="J230" s="13" t="n">
        <v>1</v>
      </c>
      <c r="K230" s="13" t="n">
        <v>1</v>
      </c>
      <c r="L230" s="13" t="n">
        <v>1</v>
      </c>
      <c r="M230" s="13" t="n">
        <v>1</v>
      </c>
      <c r="N230" s="13" t="n">
        <v>0</v>
      </c>
      <c r="O230" s="13" t="n">
        <v>0</v>
      </c>
      <c r="P230" s="13" t="n">
        <v>0</v>
      </c>
      <c r="Q23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0" s="13" t="n"/>
      <c r="S230" s="17" t="inlineStr">
        <is>
          <t>نعم</t>
        </is>
      </c>
    </row>
    <row r="231" ht="17" customHeight="1">
      <c r="A231" s="17">
        <f>1+A230</f>
        <v/>
      </c>
      <c r="B231" s="13" t="inlineStr">
        <is>
          <t>احلام العبادلة</t>
        </is>
      </c>
      <c r="C231" s="13" t="inlineStr">
        <is>
          <t>موسى عبدلي</t>
        </is>
      </c>
      <c r="D231" s="13" t="n">
        <v>506665943</v>
      </c>
      <c r="E231" s="13" t="inlineStr">
        <is>
          <t>لايوجد</t>
        </is>
      </c>
      <c r="F231" s="13" t="inlineStr">
        <is>
          <t>هواة</t>
        </is>
      </c>
      <c r="G231" s="13" t="inlineStr">
        <is>
          <t>جازان</t>
        </is>
      </c>
      <c r="H231" s="13" t="inlineStr">
        <is>
          <t>أبو عريش</t>
        </is>
      </c>
      <c r="I231" s="17" t="inlineStr">
        <is>
          <t>جازان</t>
        </is>
      </c>
      <c r="J231" s="13" t="n">
        <v>1</v>
      </c>
      <c r="K231" s="13" t="n">
        <v>1</v>
      </c>
      <c r="L231" s="13" t="n">
        <v>1</v>
      </c>
      <c r="M231" s="13" t="n">
        <v>1</v>
      </c>
      <c r="N231" s="13" t="n">
        <v>1</v>
      </c>
      <c r="O231" s="13" t="n">
        <v>1</v>
      </c>
      <c r="P231" s="13" t="n">
        <v>1</v>
      </c>
      <c r="Q23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1" s="13" t="n"/>
      <c r="S231" s="17" t="inlineStr">
        <is>
          <t>نعم</t>
        </is>
      </c>
    </row>
    <row r="232" ht="17" customHeight="1">
      <c r="A232" s="17">
        <f>1+A231</f>
        <v/>
      </c>
      <c r="B232" s="13" t="inlineStr">
        <is>
          <t>فريق الجزيرة بالعيون</t>
        </is>
      </c>
      <c r="C232" s="13" t="inlineStr">
        <is>
          <t>فهد السبيعي</t>
        </is>
      </c>
      <c r="D232" s="13" t="n">
        <v>542289441</v>
      </c>
      <c r="E232" s="13" t="inlineStr">
        <is>
          <t>لايوجد</t>
        </is>
      </c>
      <c r="F232" s="13" t="inlineStr">
        <is>
          <t>هواة</t>
        </is>
      </c>
      <c r="G232" s="13" t="inlineStr">
        <is>
          <t>الشرقية</t>
        </is>
      </c>
      <c r="H232" s="13" t="inlineStr">
        <is>
          <t>الأحساء</t>
        </is>
      </c>
      <c r="I232" s="17" t="inlineStr">
        <is>
          <t>الأحساء</t>
        </is>
      </c>
      <c r="J232" s="13" t="n">
        <v>1</v>
      </c>
      <c r="K232" s="13" t="n">
        <v>1</v>
      </c>
      <c r="L232" s="13" t="n">
        <v>1</v>
      </c>
      <c r="M232" s="13" t="n">
        <v>1</v>
      </c>
      <c r="N232" s="13" t="n">
        <v>1</v>
      </c>
      <c r="O232" s="13" t="n">
        <v>0</v>
      </c>
      <c r="P232" s="13" t="n">
        <v>0</v>
      </c>
      <c r="Q23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2" s="13" t="n"/>
      <c r="S232" s="17" t="inlineStr">
        <is>
          <t>نعم</t>
        </is>
      </c>
    </row>
    <row r="233" ht="17" customHeight="1">
      <c r="A233" s="17">
        <f>1+A232</f>
        <v/>
      </c>
      <c r="B233" s="13" t="inlineStr">
        <is>
          <t>شباب الفلحة</t>
        </is>
      </c>
      <c r="C233" s="13" t="inlineStr">
        <is>
          <t>حسن الفلاحي</t>
        </is>
      </c>
      <c r="D233" s="13" t="n">
        <v>544410105</v>
      </c>
      <c r="E233" s="13" t="inlineStr">
        <is>
          <t>لايوجد</t>
        </is>
      </c>
      <c r="F233" s="13" t="inlineStr">
        <is>
          <t>هواة</t>
        </is>
      </c>
      <c r="G233" s="13" t="inlineStr">
        <is>
          <t>مكة المكرمة</t>
        </is>
      </c>
      <c r="H233" s="13" t="inlineStr">
        <is>
          <t>القنفذة</t>
        </is>
      </c>
      <c r="I233" s="17" t="inlineStr">
        <is>
          <t>مكة المكرمة</t>
        </is>
      </c>
      <c r="J233" s="13" t="n">
        <v>1</v>
      </c>
      <c r="K233" s="13" t="n">
        <v>1</v>
      </c>
      <c r="L233" s="13" t="n">
        <v>1</v>
      </c>
      <c r="M233" s="13" t="n">
        <v>1</v>
      </c>
      <c r="N233" s="13" t="n">
        <v>0</v>
      </c>
      <c r="O233" s="13" t="n">
        <v>0</v>
      </c>
      <c r="P233" s="13" t="n">
        <v>0</v>
      </c>
      <c r="Q23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3" s="13" t="n"/>
      <c r="S233" s="17" t="inlineStr">
        <is>
          <t>نعم</t>
        </is>
      </c>
    </row>
    <row r="234" ht="17" customHeight="1">
      <c r="A234" s="17">
        <f>1+A233</f>
        <v/>
      </c>
      <c r="B234" s="13" t="inlineStr">
        <is>
          <t>اكاديمية الامبراطور تبوك</t>
        </is>
      </c>
      <c r="C234" s="13" t="inlineStr">
        <is>
          <t>علي عسيري</t>
        </is>
      </c>
      <c r="D234" s="13" t="n">
        <v>558706043</v>
      </c>
      <c r="E234" s="13" t="inlineStr">
        <is>
          <t>لايوجد</t>
        </is>
      </c>
      <c r="F234" s="13" t="inlineStr">
        <is>
          <t>هواة</t>
        </is>
      </c>
      <c r="G234" s="13" t="inlineStr">
        <is>
          <t>تبوك</t>
        </is>
      </c>
      <c r="H234" s="13" t="inlineStr">
        <is>
          <t>تبوك</t>
        </is>
      </c>
      <c r="I234" s="17" t="inlineStr">
        <is>
          <t>تبوك</t>
        </is>
      </c>
      <c r="J234" s="13" t="n">
        <v>1</v>
      </c>
      <c r="K234" s="13" t="n">
        <v>1</v>
      </c>
      <c r="L234" s="13" t="n">
        <v>1</v>
      </c>
      <c r="M234" s="13" t="n">
        <v>1</v>
      </c>
      <c r="N234" s="13" t="n">
        <v>0</v>
      </c>
      <c r="O234" s="13" t="n">
        <v>0</v>
      </c>
      <c r="P234" s="13" t="n">
        <v>0</v>
      </c>
      <c r="Q23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4" s="13" t="n"/>
      <c r="S234" s="17" t="inlineStr">
        <is>
          <t>نعم</t>
        </is>
      </c>
    </row>
    <row r="235" ht="17" customHeight="1">
      <c r="A235" s="17">
        <f>1+A234</f>
        <v/>
      </c>
      <c r="B235" s="13" t="inlineStr">
        <is>
          <t>اكاديمية الانجاز</t>
        </is>
      </c>
      <c r="C235" s="13" t="inlineStr">
        <is>
          <t>رياض دوشي</t>
        </is>
      </c>
      <c r="D235" s="13" t="n">
        <v>564157026</v>
      </c>
      <c r="E235" s="13" t="inlineStr">
        <is>
          <t>لايوجد</t>
        </is>
      </c>
      <c r="F235" s="13" t="inlineStr">
        <is>
          <t>هواة</t>
        </is>
      </c>
      <c r="G235" s="13" t="inlineStr">
        <is>
          <t>مكة المكرمة</t>
        </is>
      </c>
      <c r="H235" s="13" t="inlineStr">
        <is>
          <t>مكة المكرمة</t>
        </is>
      </c>
      <c r="I235" s="17" t="inlineStr">
        <is>
          <t>مكة المكرمة</t>
        </is>
      </c>
      <c r="J235" s="13" t="n">
        <v>1</v>
      </c>
      <c r="K235" s="13" t="n">
        <v>1</v>
      </c>
      <c r="L235" s="13" t="n">
        <v>1</v>
      </c>
      <c r="M235" s="13" t="n">
        <v>1</v>
      </c>
      <c r="N235" s="13" t="n">
        <v>0</v>
      </c>
      <c r="O235" s="13" t="n">
        <v>0</v>
      </c>
      <c r="P235" s="13" t="n">
        <v>0</v>
      </c>
      <c r="Q23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5" s="13" t="n"/>
      <c r="S235" s="17" t="inlineStr">
        <is>
          <t>نعم</t>
        </is>
      </c>
    </row>
    <row r="236" ht="17" customHeight="1">
      <c r="A236" s="17">
        <f>1+A235</f>
        <v/>
      </c>
      <c r="B236" s="13" t="inlineStr">
        <is>
          <t>سعودي34</t>
        </is>
      </c>
      <c r="C236" s="13" t="inlineStr">
        <is>
          <t>خالد الزهراني</t>
        </is>
      </c>
      <c r="D236" s="13" t="n">
        <v>504668018</v>
      </c>
      <c r="E236" s="13" t="inlineStr">
        <is>
          <t>لايوجد</t>
        </is>
      </c>
      <c r="F236" s="13" t="inlineStr">
        <is>
          <t>هواة</t>
        </is>
      </c>
      <c r="G236" s="13" t="inlineStr">
        <is>
          <t>مكة المكرمة</t>
        </is>
      </c>
      <c r="H236" s="13" t="inlineStr">
        <is>
          <t>جدة</t>
        </is>
      </c>
      <c r="I236" s="17" t="inlineStr">
        <is>
          <t>جدة</t>
        </is>
      </c>
      <c r="J236" s="13" t="n">
        <v>0</v>
      </c>
      <c r="K236" s="13" t="n">
        <v>0</v>
      </c>
      <c r="L236" s="13" t="n">
        <v>1</v>
      </c>
      <c r="M236" s="13" t="n">
        <v>1</v>
      </c>
      <c r="N236" s="13" t="n">
        <v>0</v>
      </c>
      <c r="O236" s="13" t="n">
        <v>0</v>
      </c>
      <c r="P236" s="13" t="n">
        <v>0</v>
      </c>
      <c r="Q23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6" s="13" t="n"/>
      <c r="S236" s="17" t="inlineStr">
        <is>
          <t>نعم</t>
        </is>
      </c>
    </row>
    <row r="237" ht="17" customHeight="1">
      <c r="A237" s="17">
        <f>1+A236</f>
        <v/>
      </c>
      <c r="B237" s="13" t="inlineStr">
        <is>
          <t>نسيم الحرازات</t>
        </is>
      </c>
      <c r="C237" s="13" t="inlineStr">
        <is>
          <t>عبدالعزيز السلمي</t>
        </is>
      </c>
      <c r="D237" s="13" t="n">
        <v>563131420</v>
      </c>
      <c r="E237" s="13" t="inlineStr">
        <is>
          <t>لايوجد</t>
        </is>
      </c>
      <c r="F237" s="13" t="inlineStr">
        <is>
          <t>هواة</t>
        </is>
      </c>
      <c r="G237" s="13" t="inlineStr">
        <is>
          <t>مكة المكرمة</t>
        </is>
      </c>
      <c r="H237" s="13" t="inlineStr">
        <is>
          <t>جدة</t>
        </is>
      </c>
      <c r="I237" s="17" t="inlineStr">
        <is>
          <t>جدة</t>
        </is>
      </c>
      <c r="J237" s="13" t="n">
        <v>1</v>
      </c>
      <c r="K237" s="13" t="n">
        <v>1</v>
      </c>
      <c r="L237" s="13" t="n">
        <v>1</v>
      </c>
      <c r="M237" s="13" t="n">
        <v>1</v>
      </c>
      <c r="N237" s="13" t="n">
        <v>1</v>
      </c>
      <c r="O237" s="13" t="n">
        <v>0</v>
      </c>
      <c r="P237" s="13" t="n">
        <v>0</v>
      </c>
      <c r="Q23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7" s="13" t="n"/>
      <c r="S237" s="17" t="inlineStr">
        <is>
          <t>نعم</t>
        </is>
      </c>
    </row>
    <row r="238" ht="17" customHeight="1">
      <c r="A238" s="17">
        <f>1+A237</f>
        <v/>
      </c>
      <c r="B238" s="13" t="inlineStr">
        <is>
          <t>المرصاد</t>
        </is>
      </c>
      <c r="C238" s="13" t="inlineStr">
        <is>
          <t>مصلح النجاري</t>
        </is>
      </c>
      <c r="D238" s="13" t="n">
        <v>567101667</v>
      </c>
      <c r="E238" s="13" t="inlineStr">
        <is>
          <t>لايوجد</t>
        </is>
      </c>
      <c r="F238" s="13" t="inlineStr">
        <is>
          <t>هواة</t>
        </is>
      </c>
      <c r="G238" s="13" t="inlineStr">
        <is>
          <t>مكة المكرمة</t>
        </is>
      </c>
      <c r="H238" s="13" t="inlineStr">
        <is>
          <t>جدة</t>
        </is>
      </c>
      <c r="I238" s="17" t="inlineStr">
        <is>
          <t>جدة</t>
        </is>
      </c>
      <c r="J238" s="13" t="n">
        <v>1</v>
      </c>
      <c r="K238" s="13" t="n">
        <v>0</v>
      </c>
      <c r="L238" s="13" t="n">
        <v>0</v>
      </c>
      <c r="M238" s="13" t="n">
        <v>0</v>
      </c>
      <c r="N238" s="13" t="n">
        <v>0</v>
      </c>
      <c r="O238" s="13" t="n">
        <v>0</v>
      </c>
      <c r="P238" s="13" t="n">
        <v>0</v>
      </c>
      <c r="Q23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8" s="13" t="n"/>
      <c r="S238" s="17" t="inlineStr">
        <is>
          <t>نعم</t>
        </is>
      </c>
    </row>
    <row r="239" ht="17" customHeight="1">
      <c r="A239" s="17">
        <f>1+A238</f>
        <v/>
      </c>
      <c r="B239" s="13" t="inlineStr">
        <is>
          <t>الاكاديمية البرتغالية</t>
        </is>
      </c>
      <c r="C239" s="13" t="inlineStr">
        <is>
          <t>خالد الزهراني</t>
        </is>
      </c>
      <c r="D239" s="13" t="n">
        <v>506779930</v>
      </c>
      <c r="E239" s="13" t="inlineStr">
        <is>
          <t>لايوجد</t>
        </is>
      </c>
      <c r="F239" s="13" t="inlineStr">
        <is>
          <t>هواة</t>
        </is>
      </c>
      <c r="G239" s="13" t="inlineStr">
        <is>
          <t>مكة المكرمة</t>
        </is>
      </c>
      <c r="H239" s="13" t="inlineStr">
        <is>
          <t>جدة</t>
        </is>
      </c>
      <c r="I239" s="17" t="inlineStr">
        <is>
          <t>جدة</t>
        </is>
      </c>
      <c r="J239" s="13" t="n">
        <v>1</v>
      </c>
      <c r="K239" s="13" t="n">
        <v>0</v>
      </c>
      <c r="L239" s="13" t="n">
        <v>1</v>
      </c>
      <c r="M239" s="13" t="n">
        <v>0</v>
      </c>
      <c r="N239" s="13" t="n">
        <v>0</v>
      </c>
      <c r="O239" s="13" t="n">
        <v>0</v>
      </c>
      <c r="P239" s="13" t="n">
        <v>0</v>
      </c>
      <c r="Q23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39" s="13" t="n"/>
      <c r="S239" s="17" t="inlineStr">
        <is>
          <t>نعم</t>
        </is>
      </c>
    </row>
    <row r="240" ht="17" customHeight="1">
      <c r="A240" s="17">
        <f>1+A239</f>
        <v/>
      </c>
      <c r="B240" s="13" t="inlineStr">
        <is>
          <t>جدة تالنتس</t>
        </is>
      </c>
      <c r="C240" s="13" t="inlineStr">
        <is>
          <t>ممدوح الثقفي</t>
        </is>
      </c>
      <c r="D240" s="13" t="n">
        <v>503626256</v>
      </c>
      <c r="E240" s="13" t="inlineStr">
        <is>
          <t>لايوجد</t>
        </is>
      </c>
      <c r="F240" s="13" t="inlineStr">
        <is>
          <t>هواة</t>
        </is>
      </c>
      <c r="G240" s="13" t="inlineStr">
        <is>
          <t>مكة المكرمة</t>
        </is>
      </c>
      <c r="H240" s="13" t="inlineStr">
        <is>
          <t>جدة</t>
        </is>
      </c>
      <c r="I240" s="17" t="inlineStr">
        <is>
          <t>جدة</t>
        </is>
      </c>
      <c r="J240" s="13" t="n">
        <v>1</v>
      </c>
      <c r="K240" s="13" t="n">
        <v>1</v>
      </c>
      <c r="L240" s="13" t="n">
        <v>1</v>
      </c>
      <c r="M240" s="13" t="n">
        <v>1</v>
      </c>
      <c r="N240" s="13" t="n">
        <v>1</v>
      </c>
      <c r="O240" s="13" t="n">
        <v>0</v>
      </c>
      <c r="P240" s="13" t="n">
        <v>0</v>
      </c>
      <c r="Q24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0" s="13" t="n"/>
      <c r="S240" s="17" t="inlineStr">
        <is>
          <t>نعم</t>
        </is>
      </c>
    </row>
    <row r="241" ht="17" customHeight="1">
      <c r="A241" s="17">
        <f>1+A240</f>
        <v/>
      </c>
      <c r="B241" s="13" t="inlineStr">
        <is>
          <t>فريق نادي الوسام الرياضي</t>
        </is>
      </c>
      <c r="C241" s="13" t="inlineStr">
        <is>
          <t>علي دغريري</t>
        </is>
      </c>
      <c r="D241" s="13" t="n">
        <v>568996668</v>
      </c>
      <c r="E241" s="13" t="inlineStr">
        <is>
          <t>لايوجد</t>
        </is>
      </c>
      <c r="F241" s="13" t="inlineStr">
        <is>
          <t>هواة</t>
        </is>
      </c>
      <c r="G241" s="13" t="inlineStr">
        <is>
          <t>مكة المكرمة</t>
        </is>
      </c>
      <c r="H241" s="13" t="inlineStr">
        <is>
          <t>جدة</t>
        </is>
      </c>
      <c r="I241" s="17" t="inlineStr">
        <is>
          <t>جدة</t>
        </is>
      </c>
      <c r="J241" s="13" t="n">
        <v>0</v>
      </c>
      <c r="K241" s="13" t="n">
        <v>0</v>
      </c>
      <c r="L241" s="13" t="n">
        <v>1</v>
      </c>
      <c r="M241" s="13" t="n">
        <v>0</v>
      </c>
      <c r="N241" s="13" t="n">
        <v>1</v>
      </c>
      <c r="O241" s="13" t="n">
        <v>0</v>
      </c>
      <c r="P241" s="13" t="n">
        <v>0</v>
      </c>
      <c r="Q24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1" s="13" t="n"/>
      <c r="S241" s="17" t="inlineStr">
        <is>
          <t>نعم</t>
        </is>
      </c>
    </row>
    <row r="242" ht="17" customHeight="1">
      <c r="A242" s="17">
        <f>1+A241</f>
        <v/>
      </c>
      <c r="B242" s="13" t="inlineStr">
        <is>
          <t>نجوم الوئام</t>
        </is>
      </c>
      <c r="C242" s="13" t="inlineStr">
        <is>
          <t>فهد الروقي</t>
        </is>
      </c>
      <c r="D242" s="13" t="n">
        <v>504546425</v>
      </c>
      <c r="E242" s="13" t="inlineStr">
        <is>
          <t>لايوجد</t>
        </is>
      </c>
      <c r="F242" s="13" t="inlineStr">
        <is>
          <t>هواة</t>
        </is>
      </c>
      <c r="G242" s="13" t="inlineStr">
        <is>
          <t>مكة المكرمة</t>
        </is>
      </c>
      <c r="H242" s="13" t="inlineStr">
        <is>
          <t>الطائف</t>
        </is>
      </c>
      <c r="I242" s="17" t="inlineStr">
        <is>
          <t>الطائف</t>
        </is>
      </c>
      <c r="J242" s="13" t="n">
        <v>1</v>
      </c>
      <c r="K242" s="13" t="n">
        <v>0</v>
      </c>
      <c r="L242" s="13" t="n">
        <v>0</v>
      </c>
      <c r="M242" s="13" t="n">
        <v>0</v>
      </c>
      <c r="N242" s="13" t="n">
        <v>0</v>
      </c>
      <c r="O242" s="13" t="n">
        <v>0</v>
      </c>
      <c r="P242" s="13" t="n">
        <v>0</v>
      </c>
      <c r="Q24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2" s="13" t="inlineStr">
        <is>
          <t>لم يتم السداد</t>
        </is>
      </c>
      <c r="S242" s="17" t="inlineStr">
        <is>
          <t>نعم</t>
        </is>
      </c>
    </row>
    <row r="243" ht="17" customHeight="1">
      <c r="A243" s="17">
        <f>1+A242</f>
        <v/>
      </c>
      <c r="B243" s="13" t="inlineStr">
        <is>
          <t>فالكونز الجبيل</t>
        </is>
      </c>
      <c r="C243" s="13" t="inlineStr">
        <is>
          <t>ماجد جبران</t>
        </is>
      </c>
      <c r="D243" s="13" t="n">
        <v>566688090</v>
      </c>
      <c r="E243" s="13" t="inlineStr">
        <is>
          <t>لايوجد</t>
        </is>
      </c>
      <c r="F243" s="13" t="inlineStr">
        <is>
          <t>هواة</t>
        </is>
      </c>
      <c r="G243" s="13" t="inlineStr">
        <is>
          <t>الشرقية</t>
        </is>
      </c>
      <c r="H243" s="13" t="inlineStr">
        <is>
          <t>الجبيل</t>
        </is>
      </c>
      <c r="I243" s="17" t="inlineStr">
        <is>
          <t>القطيف</t>
        </is>
      </c>
      <c r="J243" s="13" t="n">
        <v>1</v>
      </c>
      <c r="K243" s="13" t="n">
        <v>0</v>
      </c>
      <c r="L243" s="13" t="n">
        <v>1</v>
      </c>
      <c r="M243" s="13" t="n">
        <v>0</v>
      </c>
      <c r="N243" s="13" t="n">
        <v>0</v>
      </c>
      <c r="O243" s="13" t="n">
        <v>0</v>
      </c>
      <c r="P243" s="13" t="n">
        <v>0</v>
      </c>
      <c r="Q24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3" s="13" t="inlineStr">
        <is>
          <t>لم يتم السداد</t>
        </is>
      </c>
      <c r="S243" s="17" t="inlineStr">
        <is>
          <t>نعم</t>
        </is>
      </c>
    </row>
    <row r="244" ht="17" customHeight="1">
      <c r="A244" s="17">
        <f>1+A243</f>
        <v/>
      </c>
      <c r="B244" s="13" t="inlineStr">
        <is>
          <t>اكاديمية تكوين</t>
        </is>
      </c>
      <c r="C244" s="13" t="inlineStr">
        <is>
          <t>مازن الشهري</t>
        </is>
      </c>
      <c r="D244" s="13" t="n">
        <v>543722510</v>
      </c>
      <c r="E244" s="13" t="inlineStr">
        <is>
          <t>لايوجد</t>
        </is>
      </c>
      <c r="F244" s="13" t="inlineStr">
        <is>
          <t>أكاديمية</t>
        </is>
      </c>
      <c r="G244" s="13" t="inlineStr">
        <is>
          <t>الرياض</t>
        </is>
      </c>
      <c r="H244" s="13" t="inlineStr">
        <is>
          <t>الرياض</t>
        </is>
      </c>
      <c r="I244" s="17" t="inlineStr">
        <is>
          <t>الرياض</t>
        </is>
      </c>
      <c r="J244" s="13" t="n">
        <v>0</v>
      </c>
      <c r="K244" s="13" t="n">
        <v>0</v>
      </c>
      <c r="L244" s="13" t="n">
        <v>1</v>
      </c>
      <c r="M244" s="13" t="n">
        <v>0</v>
      </c>
      <c r="N244" s="13" t="n">
        <v>2</v>
      </c>
      <c r="O244" s="13" t="n">
        <v>0</v>
      </c>
      <c r="P244" s="13" t="n">
        <v>0</v>
      </c>
      <c r="Q24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4" s="13" t="n"/>
      <c r="S244" s="17" t="n"/>
    </row>
    <row r="245" ht="17" customHeight="1">
      <c r="A245" s="17">
        <f>1+A244</f>
        <v/>
      </c>
      <c r="B245" s="13" t="inlineStr">
        <is>
          <t>اكاديمية اجيال التفوق</t>
        </is>
      </c>
      <c r="C245" s="13" t="inlineStr">
        <is>
          <t xml:space="preserve">صالح محمد </t>
        </is>
      </c>
      <c r="D245" s="13" t="n">
        <v>544221446</v>
      </c>
      <c r="E245" s="13" t="inlineStr">
        <is>
          <t>فور غروث</t>
        </is>
      </c>
      <c r="F245" s="13" t="inlineStr">
        <is>
          <t>أكاديمية</t>
        </is>
      </c>
      <c r="G245" s="13" t="inlineStr">
        <is>
          <t>الشرقية</t>
        </is>
      </c>
      <c r="H245" s="13" t="inlineStr">
        <is>
          <t>الدمام</t>
        </is>
      </c>
      <c r="I245" s="17" t="inlineStr">
        <is>
          <t>الشرقية</t>
        </is>
      </c>
      <c r="J245" s="13" t="n">
        <v>0</v>
      </c>
      <c r="K245" s="13" t="n">
        <v>1</v>
      </c>
      <c r="L245" s="13" t="n">
        <v>2</v>
      </c>
      <c r="M245" s="13" t="n">
        <v>2</v>
      </c>
      <c r="N245" s="13" t="n">
        <v>2</v>
      </c>
      <c r="O245" s="13" t="n">
        <v>1</v>
      </c>
      <c r="P245" s="13" t="n">
        <v>1</v>
      </c>
      <c r="Q24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5" s="13" t="n"/>
      <c r="S245" s="17" t="n"/>
    </row>
    <row r="246" ht="17" customHeight="1">
      <c r="A246" s="17">
        <f>1+A245</f>
        <v/>
      </c>
      <c r="B246" s="19" t="inlineStr">
        <is>
          <t>نيكست تشامبيون</t>
        </is>
      </c>
      <c r="C246" s="19" t="inlineStr">
        <is>
          <t>فايز ال عدينان</t>
        </is>
      </c>
      <c r="D246" s="19" t="n">
        <v>599060959</v>
      </c>
      <c r="E246" s="19" t="inlineStr">
        <is>
          <t>لايوجد</t>
        </is>
      </c>
      <c r="F246" s="19" t="inlineStr">
        <is>
          <t>أكاديمية</t>
        </is>
      </c>
      <c r="G246" s="19" t="inlineStr">
        <is>
          <t>الشرقية</t>
        </is>
      </c>
      <c r="H246" s="19" t="inlineStr">
        <is>
          <t>الدمام</t>
        </is>
      </c>
      <c r="I246" s="20" t="inlineStr">
        <is>
          <t>الشرقية</t>
        </is>
      </c>
      <c r="J246" s="19" t="n">
        <v>1</v>
      </c>
      <c r="K246" s="19" t="n">
        <v>0</v>
      </c>
      <c r="L246" s="19" t="n">
        <v>0</v>
      </c>
      <c r="M246" s="19" t="n">
        <v>1</v>
      </c>
      <c r="N246" s="19" t="n">
        <v>1</v>
      </c>
      <c r="O246" s="19" t="n">
        <v>0</v>
      </c>
      <c r="P246" s="19" t="n">
        <v>0</v>
      </c>
      <c r="Q24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6" s="13" t="n"/>
      <c r="S246" s="17" t="n"/>
    </row>
    <row r="247" ht="17" customHeight="1">
      <c r="A247" s="17">
        <f>1+A246</f>
        <v/>
      </c>
      <c r="B247" s="13" t="inlineStr">
        <is>
          <t xml:space="preserve">اكاديمية اسيست </t>
        </is>
      </c>
      <c r="C247" s="13" t="inlineStr">
        <is>
          <t>عبدالرحمن الودعان</t>
        </is>
      </c>
      <c r="D247" s="13" t="n">
        <v>5663886663</v>
      </c>
      <c r="E247" s="13" t="inlineStr">
        <is>
          <t>ملاعب اسيست</t>
        </is>
      </c>
      <c r="F247" s="13" t="inlineStr">
        <is>
          <t>أكاديمية</t>
        </is>
      </c>
      <c r="G247" s="13" t="inlineStr">
        <is>
          <t>الرياض</t>
        </is>
      </c>
      <c r="H247" s="13" t="inlineStr">
        <is>
          <t>الرياض</t>
        </is>
      </c>
      <c r="I247" s="17" t="inlineStr">
        <is>
          <t>الرياض</t>
        </is>
      </c>
      <c r="J247" s="13" t="n">
        <v>1</v>
      </c>
      <c r="K247" s="13" t="n">
        <v>1</v>
      </c>
      <c r="L247" s="13" t="n">
        <v>1</v>
      </c>
      <c r="M247" s="13" t="n">
        <v>1</v>
      </c>
      <c r="N247" s="13" t="n">
        <v>1</v>
      </c>
      <c r="O247" s="13" t="n">
        <v>0</v>
      </c>
      <c r="P247" s="13" t="n">
        <v>0</v>
      </c>
      <c r="Q24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7" s="13" t="n"/>
      <c r="S247" s="17" t="n"/>
    </row>
    <row r="248" ht="17" customHeight="1">
      <c r="A248" s="17">
        <f>1+A247</f>
        <v/>
      </c>
      <c r="B248" s="13" t="inlineStr">
        <is>
          <t xml:space="preserve">اكاديمية نجوم الباحة </t>
        </is>
      </c>
      <c r="C248" s="13" t="inlineStr">
        <is>
          <t>عبداللطيفا الغامدي</t>
        </is>
      </c>
      <c r="D248" s="13" t="n">
        <v>555777170</v>
      </c>
      <c r="E248" s="13" t="inlineStr">
        <is>
          <t>مدينة الملك سعود الرياضية</t>
        </is>
      </c>
      <c r="F248" s="13" t="inlineStr">
        <is>
          <t>أكاديمية</t>
        </is>
      </c>
      <c r="G248" s="13" t="inlineStr">
        <is>
          <t>الباحة</t>
        </is>
      </c>
      <c r="H248" s="13" t="inlineStr">
        <is>
          <t>الباحة</t>
        </is>
      </c>
      <c r="I248" s="17" t="inlineStr">
        <is>
          <t>الباحة</t>
        </is>
      </c>
      <c r="J248" s="13" t="n">
        <v>1</v>
      </c>
      <c r="K248" s="13" t="n">
        <v>0</v>
      </c>
      <c r="L248" s="13" t="n">
        <v>1</v>
      </c>
      <c r="M248" s="13" t="n">
        <v>0</v>
      </c>
      <c r="N248" s="13" t="n">
        <v>0</v>
      </c>
      <c r="O248" s="13" t="n">
        <v>0</v>
      </c>
      <c r="P248" s="13" t="n">
        <v>0</v>
      </c>
      <c r="Q24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8" s="13" t="n"/>
      <c r="S248" s="17" t="n"/>
    </row>
    <row r="249" ht="17" customHeight="1">
      <c r="A249" s="17">
        <f>1+A248</f>
        <v/>
      </c>
      <c r="B249" s="13" t="inlineStr">
        <is>
          <t>اكاديمية ستورم</t>
        </is>
      </c>
      <c r="C249" s="13" t="inlineStr">
        <is>
          <t>غازي المقاطي</t>
        </is>
      </c>
      <c r="D249" s="13" t="n">
        <v>577007066</v>
      </c>
      <c r="E249" s="13" t="inlineStr">
        <is>
          <t>ملاعب اسيست</t>
        </is>
      </c>
      <c r="F249" s="13" t="inlineStr">
        <is>
          <t>أكاديمية</t>
        </is>
      </c>
      <c r="G249" s="13" t="inlineStr">
        <is>
          <t>الرياض</t>
        </is>
      </c>
      <c r="H249" s="13" t="inlineStr">
        <is>
          <t>الرياض</t>
        </is>
      </c>
      <c r="I249" s="17" t="inlineStr">
        <is>
          <t>الرياض</t>
        </is>
      </c>
      <c r="J249" s="13" t="n">
        <v>1</v>
      </c>
      <c r="K249" s="13" t="n">
        <v>1</v>
      </c>
      <c r="L249" s="13" t="n">
        <v>1</v>
      </c>
      <c r="M249" s="13" t="n">
        <v>1</v>
      </c>
      <c r="N249" s="13" t="n">
        <v>1</v>
      </c>
      <c r="O249" s="13" t="n">
        <v>1</v>
      </c>
      <c r="P249" s="13" t="n">
        <v>1</v>
      </c>
      <c r="Q24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49" s="13" t="n"/>
      <c r="S249" s="17" t="n"/>
    </row>
    <row r="250" ht="17" customHeight="1">
      <c r="A250" s="17">
        <f>1+A249</f>
        <v/>
      </c>
      <c r="B250" s="13" t="inlineStr">
        <is>
          <t>اكاديمية الفالي بارك</t>
        </is>
      </c>
      <c r="C250" s="13" t="inlineStr">
        <is>
          <t>مؤيد حسين</t>
        </is>
      </c>
      <c r="D250" s="13" t="n">
        <v>546049630</v>
      </c>
      <c r="E250" s="13" t="inlineStr">
        <is>
          <t>ملاعب الوادي</t>
        </is>
      </c>
      <c r="F250" s="13" t="inlineStr">
        <is>
          <t>أكاديمية</t>
        </is>
      </c>
      <c r="G250" s="13" t="inlineStr">
        <is>
          <t>المدينة المنورة</t>
        </is>
      </c>
      <c r="H250" s="13" t="inlineStr">
        <is>
          <t>المدينة المنورة</t>
        </is>
      </c>
      <c r="I250" s="17" t="inlineStr">
        <is>
          <t>المدينة المنورة</t>
        </is>
      </c>
      <c r="J250" s="13" t="n">
        <v>0</v>
      </c>
      <c r="K250" s="13" t="n">
        <v>1</v>
      </c>
      <c r="L250" s="13" t="n">
        <v>1</v>
      </c>
      <c r="M250" s="13" t="n">
        <v>1</v>
      </c>
      <c r="N250" s="13" t="n">
        <v>0</v>
      </c>
      <c r="O250" s="13" t="n">
        <v>0</v>
      </c>
      <c r="P250" s="13" t="n">
        <v>0</v>
      </c>
      <c r="Q25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0" s="13" t="n"/>
      <c r="S250" s="17" t="n"/>
    </row>
    <row r="251" ht="17" customHeight="1">
      <c r="A251" s="17">
        <f>1+A250</f>
        <v/>
      </c>
      <c r="B251" s="13" t="inlineStr">
        <is>
          <t>اكاديمية سمارت</t>
        </is>
      </c>
      <c r="C251" s="13" t="inlineStr">
        <is>
          <t xml:space="preserve">وديع الحربي </t>
        </is>
      </c>
      <c r="D251" s="13" t="n">
        <v>568068933</v>
      </c>
      <c r="E251" s="13" t="inlineStr">
        <is>
          <t>لايوجد</t>
        </is>
      </c>
      <c r="F251" s="13" t="inlineStr">
        <is>
          <t>أكاديمية</t>
        </is>
      </c>
      <c r="G251" s="13" t="inlineStr">
        <is>
          <t>مكة المكرمة</t>
        </is>
      </c>
      <c r="H251" s="13" t="inlineStr">
        <is>
          <t>جدة</t>
        </is>
      </c>
      <c r="I251" s="17" t="inlineStr">
        <is>
          <t>جدة</t>
        </is>
      </c>
      <c r="J251" s="13" t="n">
        <v>1</v>
      </c>
      <c r="K251" s="13" t="n">
        <v>0</v>
      </c>
      <c r="L251" s="13" t="n">
        <v>1</v>
      </c>
      <c r="M251" s="13" t="n">
        <v>1</v>
      </c>
      <c r="N251" s="13" t="n">
        <v>1</v>
      </c>
      <c r="O251" s="13" t="n">
        <v>0</v>
      </c>
      <c r="P251" s="13" t="n">
        <v>0</v>
      </c>
      <c r="Q25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1" s="13" t="n"/>
      <c r="S251" s="17" t="n"/>
    </row>
    <row r="252" ht="17" customHeight="1">
      <c r="A252" s="17">
        <f>1+A251</f>
        <v/>
      </c>
      <c r="B252" s="13" t="inlineStr">
        <is>
          <t>اكاديمية برشا</t>
        </is>
      </c>
      <c r="C252" s="13" t="inlineStr">
        <is>
          <t>محمد بتك</t>
        </is>
      </c>
      <c r="D252" s="13" t="n">
        <v>538639998</v>
      </c>
      <c r="E252" s="13" t="inlineStr">
        <is>
          <t>اكاديمية برشا</t>
        </is>
      </c>
      <c r="F252" s="13" t="inlineStr">
        <is>
          <t>أكاديمية</t>
        </is>
      </c>
      <c r="G252" s="13" t="inlineStr">
        <is>
          <t>الجوف</t>
        </is>
      </c>
      <c r="H252" s="13" t="inlineStr">
        <is>
          <t>سكاكا</t>
        </is>
      </c>
      <c r="I252" s="17" t="inlineStr">
        <is>
          <t>الجوف</t>
        </is>
      </c>
      <c r="J252" s="13" t="n">
        <v>0</v>
      </c>
      <c r="K252" s="13" t="n">
        <v>0</v>
      </c>
      <c r="L252" s="13" t="n">
        <v>0</v>
      </c>
      <c r="M252" s="13" t="n">
        <v>0</v>
      </c>
      <c r="N252" s="13" t="n">
        <v>1</v>
      </c>
      <c r="O252" s="13" t="n">
        <v>0</v>
      </c>
      <c r="P252" s="13" t="n">
        <v>0</v>
      </c>
      <c r="Q25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2" s="13" t="n"/>
      <c r="S252" s="17" t="n"/>
    </row>
    <row r="253" ht="17" customHeight="1">
      <c r="A253" s="17">
        <f>1+A252</f>
        <v/>
      </c>
      <c r="B253" s="13" t="inlineStr">
        <is>
          <t>اكاديمية مواهب الباحة</t>
        </is>
      </c>
      <c r="C253" s="13" t="inlineStr">
        <is>
          <t>عبدالله مسفر</t>
        </is>
      </c>
      <c r="D253" s="13" t="n">
        <v>555650943</v>
      </c>
      <c r="E253" s="13" t="inlineStr">
        <is>
          <t>لايوجد</t>
        </is>
      </c>
      <c r="F253" s="13" t="inlineStr">
        <is>
          <t>أكاديمية</t>
        </is>
      </c>
      <c r="G253" s="13" t="inlineStr">
        <is>
          <t>الباحة</t>
        </is>
      </c>
      <c r="H253" s="13" t="inlineStr">
        <is>
          <t>الباحة</t>
        </is>
      </c>
      <c r="I253" s="17" t="inlineStr">
        <is>
          <t>الباحة</t>
        </is>
      </c>
      <c r="J253" s="13" t="n">
        <v>1</v>
      </c>
      <c r="K253" s="13" t="n">
        <v>0</v>
      </c>
      <c r="L253" s="13" t="n">
        <v>1</v>
      </c>
      <c r="M253" s="13" t="n">
        <v>0</v>
      </c>
      <c r="N253" s="13" t="n">
        <v>1</v>
      </c>
      <c r="O253" s="13" t="n">
        <v>1</v>
      </c>
      <c r="P253" s="13" t="n">
        <v>0</v>
      </c>
      <c r="Q25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3" s="13" t="n"/>
      <c r="S253" s="17" t="n"/>
    </row>
    <row r="254" ht="17" customHeight="1">
      <c r="A254" s="17">
        <f>1+A253</f>
        <v/>
      </c>
      <c r="B254" s="13" t="inlineStr">
        <is>
          <t>اكاديمية التحدي</t>
        </is>
      </c>
      <c r="C254" s="13" t="inlineStr">
        <is>
          <t>مهند الحربي</t>
        </is>
      </c>
      <c r="D254" s="13" t="n">
        <v>594112494</v>
      </c>
      <c r="E254" s="13" t="inlineStr">
        <is>
          <t>لايوجد</t>
        </is>
      </c>
      <c r="F254" s="13" t="inlineStr">
        <is>
          <t>أكاديمية</t>
        </is>
      </c>
      <c r="G254" s="13" t="inlineStr">
        <is>
          <t>المدينة المنورة</t>
        </is>
      </c>
      <c r="H254" s="13" t="inlineStr">
        <is>
          <t>المدينة المنورة</t>
        </is>
      </c>
      <c r="I254" s="17" t="inlineStr">
        <is>
          <t>المدينة المنورة</t>
        </is>
      </c>
      <c r="J254" s="13" t="n">
        <v>0</v>
      </c>
      <c r="K254" s="13" t="n">
        <v>0</v>
      </c>
      <c r="L254" s="13" t="n">
        <v>1</v>
      </c>
      <c r="M254" s="13" t="n">
        <v>1</v>
      </c>
      <c r="N254" s="13" t="n">
        <v>1</v>
      </c>
      <c r="O254" s="13" t="n">
        <v>0</v>
      </c>
      <c r="P254" s="13" t="n">
        <v>0</v>
      </c>
      <c r="Q25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4" s="13" t="n"/>
      <c r="S254" s="17" t="n"/>
    </row>
    <row r="255" ht="17" customHeight="1">
      <c r="A255" s="17">
        <f>1+A254</f>
        <v/>
      </c>
      <c r="B255" s="13" t="inlineStr">
        <is>
          <t>الصحاري</t>
        </is>
      </c>
      <c r="C255" s="13" t="inlineStr">
        <is>
          <t>بخيت الدوسري</t>
        </is>
      </c>
      <c r="D255" s="13" t="n">
        <v>535221109</v>
      </c>
      <c r="E255" s="13" t="inlineStr">
        <is>
          <t>الصحاري</t>
        </is>
      </c>
      <c r="F255" s="13" t="inlineStr">
        <is>
          <t>نادي</t>
        </is>
      </c>
      <c r="G255" s="13" t="inlineStr">
        <is>
          <t>مكة المكرمة</t>
        </is>
      </c>
      <c r="H255" s="13" t="inlineStr">
        <is>
          <t>الطائف</t>
        </is>
      </c>
      <c r="I255" s="17" t="inlineStr">
        <is>
          <t>الطائف</t>
        </is>
      </c>
      <c r="J255" s="13" t="n">
        <v>1</v>
      </c>
      <c r="K255" s="13" t="n">
        <v>1</v>
      </c>
      <c r="L255" s="13" t="n">
        <v>1</v>
      </c>
      <c r="M255" s="13" t="n">
        <v>1</v>
      </c>
      <c r="N255" s="13" t="n">
        <v>1</v>
      </c>
      <c r="O255" s="13" t="n">
        <v>1</v>
      </c>
      <c r="P255" s="13" t="n">
        <v>1</v>
      </c>
      <c r="Q25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5" s="13" t="n"/>
      <c r="S255" s="17" t="n"/>
    </row>
    <row r="256" ht="17" customHeight="1">
      <c r="A256" s="17">
        <f>1+A255</f>
        <v/>
      </c>
      <c r="B256" s="13" t="inlineStr">
        <is>
          <t>جوهرة المستقبل</t>
        </is>
      </c>
      <c r="C256" s="13" t="inlineStr">
        <is>
          <t>مسعد الهمامي</t>
        </is>
      </c>
      <c r="D256" s="13" t="n">
        <v>53116128</v>
      </c>
      <c r="E256" s="13" t="inlineStr">
        <is>
          <t>جوهرة المستقبل</t>
        </is>
      </c>
      <c r="F256" s="13" t="inlineStr">
        <is>
          <t>أكاديمية</t>
        </is>
      </c>
      <c r="G256" s="13" t="inlineStr">
        <is>
          <t>نجران</t>
        </is>
      </c>
      <c r="H256" s="13" t="inlineStr">
        <is>
          <t>شرورة</t>
        </is>
      </c>
      <c r="I256" s="17" t="inlineStr">
        <is>
          <t>نجران</t>
        </is>
      </c>
      <c r="J256" s="13" t="n">
        <v>0</v>
      </c>
      <c r="K256" s="13" t="n">
        <v>0</v>
      </c>
      <c r="L256" s="13" t="n">
        <v>0</v>
      </c>
      <c r="M256" s="13" t="n">
        <v>0</v>
      </c>
      <c r="N256" s="13" t="n">
        <v>3</v>
      </c>
      <c r="O256" s="13" t="n">
        <v>3</v>
      </c>
      <c r="P256" s="13" t="n">
        <v>4</v>
      </c>
      <c r="Q25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6" s="13" t="n"/>
      <c r="S256" s="17" t="n"/>
    </row>
    <row r="257" ht="17" customHeight="1">
      <c r="A257" s="17">
        <f>1+A256</f>
        <v/>
      </c>
      <c r="B257" s="13" t="inlineStr">
        <is>
          <t xml:space="preserve">فالكون </t>
        </is>
      </c>
      <c r="C257" s="13" t="inlineStr">
        <is>
          <t>عبدالعزيز احمد</t>
        </is>
      </c>
      <c r="D257" s="13" t="n">
        <v>597800909</v>
      </c>
      <c r="E257" s="13" t="inlineStr">
        <is>
          <t>فالكون</t>
        </is>
      </c>
      <c r="F257" s="13" t="inlineStr">
        <is>
          <t>أكاديمية</t>
        </is>
      </c>
      <c r="G257" s="13" t="inlineStr">
        <is>
          <t>مكة المكرمة</t>
        </is>
      </c>
      <c r="H257" s="13" t="inlineStr">
        <is>
          <t>الطائف</t>
        </is>
      </c>
      <c r="I257" s="17" t="inlineStr">
        <is>
          <t>الطائف</t>
        </is>
      </c>
      <c r="J257" s="13" t="n">
        <v>1</v>
      </c>
      <c r="K257" s="13" t="n">
        <v>1</v>
      </c>
      <c r="L257" s="13" t="n">
        <v>1</v>
      </c>
      <c r="M257" s="13" t="n">
        <v>1</v>
      </c>
      <c r="N257" s="13" t="n">
        <v>1</v>
      </c>
      <c r="O257" s="13" t="n">
        <v>1</v>
      </c>
      <c r="P257" s="13" t="n">
        <v>1</v>
      </c>
      <c r="Q25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7" s="13" t="n"/>
      <c r="S257" s="17" t="n"/>
    </row>
    <row r="258" ht="17" customHeight="1">
      <c r="A258" s="17">
        <f>1+A257</f>
        <v/>
      </c>
      <c r="B258" s="13" t="inlineStr">
        <is>
          <t xml:space="preserve">جدة </t>
        </is>
      </c>
      <c r="C258" s="13" t="inlineStr">
        <is>
          <t>احمد الحمد</t>
        </is>
      </c>
      <c r="D258" s="13" t="n">
        <v>561100625</v>
      </c>
      <c r="E258" s="13" t="inlineStr">
        <is>
          <t>جدة</t>
        </is>
      </c>
      <c r="F258" s="13" t="inlineStr">
        <is>
          <t>نادي</t>
        </is>
      </c>
      <c r="G258" s="13" t="inlineStr">
        <is>
          <t>مكة المكرمة</t>
        </is>
      </c>
      <c r="H258" s="13" t="inlineStr">
        <is>
          <t>جدة</t>
        </is>
      </c>
      <c r="I258" s="17" t="inlineStr">
        <is>
          <t>جدة</t>
        </is>
      </c>
      <c r="J258" s="13" t="n">
        <v>1</v>
      </c>
      <c r="K258" s="13" t="n">
        <v>1</v>
      </c>
      <c r="L258" s="13" t="n">
        <v>1</v>
      </c>
      <c r="M258" s="13" t="n">
        <v>1</v>
      </c>
      <c r="N258" s="13" t="n">
        <v>0</v>
      </c>
      <c r="O258" s="13" t="n">
        <v>0</v>
      </c>
      <c r="P258" s="13" t="n">
        <v>0</v>
      </c>
      <c r="Q25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8" s="13" t="n"/>
      <c r="S258" s="17" t="n"/>
    </row>
    <row r="259" ht="17" customHeight="1">
      <c r="A259" s="17">
        <f>1+A258</f>
        <v/>
      </c>
      <c r="B259" s="13" t="inlineStr">
        <is>
          <t xml:space="preserve">خليج النوارية </t>
        </is>
      </c>
      <c r="C259" s="13" t="inlineStr">
        <is>
          <t>عيسى الجهني</t>
        </is>
      </c>
      <c r="D259" s="13" t="n">
        <v>565508854</v>
      </c>
      <c r="E259" s="13" t="inlineStr">
        <is>
          <t>لايوجد</t>
        </is>
      </c>
      <c r="F259" s="13" t="inlineStr">
        <is>
          <t>هواة</t>
        </is>
      </c>
      <c r="G259" s="13" t="inlineStr">
        <is>
          <t>مكة المكرمة</t>
        </is>
      </c>
      <c r="H259" s="13" t="inlineStr">
        <is>
          <t>مكة المكرمة</t>
        </is>
      </c>
      <c r="I259" s="17" t="inlineStr">
        <is>
          <t>مكة المكرمة</t>
        </is>
      </c>
      <c r="J259" s="13" t="n">
        <v>1</v>
      </c>
      <c r="K259" s="13" t="n">
        <v>1</v>
      </c>
      <c r="L259" s="13" t="n">
        <v>0</v>
      </c>
      <c r="M259" s="13" t="n">
        <v>0</v>
      </c>
      <c r="N259" s="13" t="n">
        <v>0</v>
      </c>
      <c r="O259" s="13" t="n">
        <v>0</v>
      </c>
      <c r="P259" s="13" t="n">
        <v>0</v>
      </c>
      <c r="Q25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59" s="13" t="n"/>
      <c r="S259" s="17" t="inlineStr">
        <is>
          <t>نعم</t>
        </is>
      </c>
    </row>
    <row r="260" ht="17" customHeight="1">
      <c r="A260" s="17">
        <f>1+A259</f>
        <v/>
      </c>
      <c r="B260" s="13" t="inlineStr">
        <is>
          <t>المركز</t>
        </is>
      </c>
      <c r="C260" s="13" t="inlineStr">
        <is>
          <t>عبدالكريم الموسى</t>
        </is>
      </c>
      <c r="D260" s="13" t="n">
        <v>566596503</v>
      </c>
      <c r="E260" s="13" t="inlineStr">
        <is>
          <t>لايوجد</t>
        </is>
      </c>
      <c r="F260" s="13" t="inlineStr">
        <is>
          <t>هواة</t>
        </is>
      </c>
      <c r="G260" s="13" t="inlineStr">
        <is>
          <t>الشرقية</t>
        </is>
      </c>
      <c r="H260" s="13" t="inlineStr">
        <is>
          <t>الأحساء</t>
        </is>
      </c>
      <c r="I260" s="17" t="inlineStr">
        <is>
          <t>الأحساء</t>
        </is>
      </c>
      <c r="J260" s="13" t="n">
        <v>0</v>
      </c>
      <c r="K260" s="13" t="n">
        <v>1</v>
      </c>
      <c r="L260" s="13" t="n">
        <v>0</v>
      </c>
      <c r="M260" s="13" t="n">
        <v>1</v>
      </c>
      <c r="N260" s="13" t="n">
        <v>0</v>
      </c>
      <c r="O260" s="13" t="n">
        <v>0</v>
      </c>
      <c r="P260" s="13" t="n">
        <v>0</v>
      </c>
      <c r="Q26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0" s="13" t="n"/>
      <c r="S260" s="17" t="inlineStr">
        <is>
          <t>نعم</t>
        </is>
      </c>
    </row>
    <row r="261" ht="17" customHeight="1">
      <c r="A261" s="17">
        <f>1+A260</f>
        <v/>
      </c>
      <c r="B261" s="13" t="inlineStr">
        <is>
          <t>النجم بالحويرس</t>
        </is>
      </c>
      <c r="C261" s="13" t="inlineStr">
        <is>
          <t>عبدالرحمن الشرقي</t>
        </is>
      </c>
      <c r="D261" s="13" t="n">
        <v>555606783</v>
      </c>
      <c r="E261" s="13" t="inlineStr">
        <is>
          <t>لايوجد</t>
        </is>
      </c>
      <c r="F261" s="13" t="inlineStr">
        <is>
          <t>هواة</t>
        </is>
      </c>
      <c r="G261" s="13" t="inlineStr">
        <is>
          <t>مكة المكرمة</t>
        </is>
      </c>
      <c r="H261" s="13" t="inlineStr">
        <is>
          <t>القنفذة</t>
        </is>
      </c>
      <c r="I261" s="17" t="inlineStr">
        <is>
          <t>مكة المكرمة</t>
        </is>
      </c>
      <c r="J261" s="13" t="n">
        <v>0</v>
      </c>
      <c r="K261" s="13" t="n">
        <v>1</v>
      </c>
      <c r="L261" s="13" t="n">
        <v>0</v>
      </c>
      <c r="M261" s="13" t="n">
        <v>1</v>
      </c>
      <c r="N261" s="13" t="n">
        <v>0</v>
      </c>
      <c r="O261" s="13" t="n">
        <v>0</v>
      </c>
      <c r="P261" s="13" t="n">
        <v>0</v>
      </c>
      <c r="Q26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1" s="13" t="n"/>
      <c r="S261" s="17" t="inlineStr">
        <is>
          <t>نعم</t>
        </is>
      </c>
    </row>
    <row r="262" ht="17" customHeight="1">
      <c r="A262" s="17">
        <f>1+A261</f>
        <v/>
      </c>
      <c r="B262" s="13" t="inlineStr">
        <is>
          <t xml:space="preserve">فريق الشهارين </t>
        </is>
      </c>
      <c r="C262" s="13" t="inlineStr">
        <is>
          <t>احمد حساني</t>
        </is>
      </c>
      <c r="D262" s="13" t="n">
        <v>556624077</v>
      </c>
      <c r="E262" s="13" t="inlineStr">
        <is>
          <t>لايوجد</t>
        </is>
      </c>
      <c r="F262" s="13" t="inlineStr">
        <is>
          <t>هواة</t>
        </is>
      </c>
      <c r="G262" s="13" t="inlineStr">
        <is>
          <t>الشرقية</t>
        </is>
      </c>
      <c r="H262" s="13" t="inlineStr">
        <is>
          <t>الأحساء</t>
        </is>
      </c>
      <c r="I262" s="17" t="inlineStr">
        <is>
          <t>الأحساء</t>
        </is>
      </c>
      <c r="J262" s="13" t="n">
        <v>1</v>
      </c>
      <c r="K262" s="13" t="n">
        <v>1</v>
      </c>
      <c r="L262" s="13" t="n">
        <v>1</v>
      </c>
      <c r="M262" s="13" t="n">
        <v>1</v>
      </c>
      <c r="N262" s="13" t="n">
        <v>1</v>
      </c>
      <c r="O262" s="13" t="n">
        <v>1</v>
      </c>
      <c r="P262" s="13" t="n">
        <v>1</v>
      </c>
      <c r="Q26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2" s="13" t="n"/>
      <c r="S262" s="17" t="inlineStr">
        <is>
          <t>نعم</t>
        </is>
      </c>
    </row>
    <row r="263" ht="17" customHeight="1">
      <c r="A263" s="17">
        <f>1+A262</f>
        <v/>
      </c>
      <c r="B263" s="13" t="inlineStr">
        <is>
          <t>اكادمية السهم</t>
        </is>
      </c>
      <c r="C263" s="13" t="inlineStr">
        <is>
          <t>يحي الزبيدي</t>
        </is>
      </c>
      <c r="D263" s="13" t="n">
        <v>503953922</v>
      </c>
      <c r="E263" s="13" t="inlineStr">
        <is>
          <t>لايوجد</t>
        </is>
      </c>
      <c r="F263" s="13" t="inlineStr">
        <is>
          <t>هواة</t>
        </is>
      </c>
      <c r="G263" s="13" t="inlineStr">
        <is>
          <t>مكة المكرمة</t>
        </is>
      </c>
      <c r="H263" s="13" t="inlineStr">
        <is>
          <t>القنفذة</t>
        </is>
      </c>
      <c r="I263" s="17" t="inlineStr">
        <is>
          <t>مكة المكرمة</t>
        </is>
      </c>
      <c r="J263" s="13" t="n">
        <v>1</v>
      </c>
      <c r="K263" s="13" t="n">
        <v>1</v>
      </c>
      <c r="L263" s="13" t="n">
        <v>1</v>
      </c>
      <c r="M263" s="13" t="n">
        <v>1</v>
      </c>
      <c r="N263" s="13" t="n">
        <v>0</v>
      </c>
      <c r="O263" s="13" t="n">
        <v>0</v>
      </c>
      <c r="P263" s="13" t="n">
        <v>0</v>
      </c>
      <c r="Q26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3" s="13" t="inlineStr">
        <is>
          <t>لم يتم السداد</t>
        </is>
      </c>
      <c r="S263" s="17" t="inlineStr">
        <is>
          <t>نعم</t>
        </is>
      </c>
    </row>
    <row r="264" ht="17" customHeight="1">
      <c r="A264" s="17">
        <f>1+A263</f>
        <v/>
      </c>
      <c r="B264" s="13" t="inlineStr">
        <is>
          <t>اكاديمية يونايتد</t>
        </is>
      </c>
      <c r="C264" s="13" t="inlineStr">
        <is>
          <t>عبدالرحمن علوان</t>
        </is>
      </c>
      <c r="D264" s="13" t="n">
        <v>504784874</v>
      </c>
      <c r="E264" s="13" t="inlineStr">
        <is>
          <t>لايوجد</t>
        </is>
      </c>
      <c r="F264" s="13" t="inlineStr">
        <is>
          <t>هواة</t>
        </is>
      </c>
      <c r="G264" s="13" t="inlineStr">
        <is>
          <t>عسير</t>
        </is>
      </c>
      <c r="H264" s="13" t="inlineStr">
        <is>
          <t>أبها</t>
        </is>
      </c>
      <c r="I264" s="17" t="inlineStr">
        <is>
          <t>عسير</t>
        </is>
      </c>
      <c r="J264" s="13" t="n">
        <v>1</v>
      </c>
      <c r="K264" s="13" t="n">
        <v>0</v>
      </c>
      <c r="L264" s="13" t="n">
        <v>0</v>
      </c>
      <c r="M264" s="13" t="n">
        <v>0</v>
      </c>
      <c r="N264" s="13" t="n">
        <v>0</v>
      </c>
      <c r="O264" s="13" t="n">
        <v>0</v>
      </c>
      <c r="P264" s="13" t="n">
        <v>0</v>
      </c>
      <c r="Q26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4" s="13" t="inlineStr">
        <is>
          <t>لم يتم السداد</t>
        </is>
      </c>
      <c r="S264" s="17" t="inlineStr">
        <is>
          <t>نعم</t>
        </is>
      </c>
    </row>
    <row r="265" ht="17" customHeight="1">
      <c r="A265" s="17">
        <f>1+A264</f>
        <v/>
      </c>
      <c r="B265" s="13" t="inlineStr">
        <is>
          <t xml:space="preserve">اكاديمية اس اف </t>
        </is>
      </c>
      <c r="C265" s="13" t="inlineStr">
        <is>
          <t xml:space="preserve">صالح الزهراني </t>
        </is>
      </c>
      <c r="D265" s="13" t="n">
        <v>538036567</v>
      </c>
      <c r="E265" s="13" t="inlineStr">
        <is>
          <t>لايوجد</t>
        </is>
      </c>
      <c r="F265" s="13" t="inlineStr">
        <is>
          <t>هواة</t>
        </is>
      </c>
      <c r="G265" s="13" t="inlineStr">
        <is>
          <t>الباحة</t>
        </is>
      </c>
      <c r="H265" s="13" t="inlineStr">
        <is>
          <t>الباحة</t>
        </is>
      </c>
      <c r="I265" s="17" t="inlineStr">
        <is>
          <t>الباحة</t>
        </is>
      </c>
      <c r="J265" s="13" t="n">
        <v>1</v>
      </c>
      <c r="K265" s="13" t="n">
        <v>1</v>
      </c>
      <c r="L265" s="13" t="n">
        <v>1</v>
      </c>
      <c r="M265" s="13" t="n">
        <v>0</v>
      </c>
      <c r="N265" s="13" t="n">
        <v>1</v>
      </c>
      <c r="O265" s="13" t="n">
        <v>1</v>
      </c>
      <c r="P265" s="13" t="n">
        <v>0</v>
      </c>
      <c r="Q26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5" s="13" t="n"/>
      <c r="S265" s="17" t="inlineStr">
        <is>
          <t>نعم</t>
        </is>
      </c>
    </row>
    <row r="266" ht="17" customHeight="1">
      <c r="A266" s="17">
        <f>1+A265</f>
        <v/>
      </c>
      <c r="B266" s="13" t="inlineStr">
        <is>
          <t>نجوم الثمانين</t>
        </is>
      </c>
      <c r="C266" s="13" t="inlineStr">
        <is>
          <t>حسن البدري</t>
        </is>
      </c>
      <c r="D266" s="13" t="n">
        <v>536013379</v>
      </c>
      <c r="E266" s="13" t="inlineStr">
        <is>
          <t>لايوجد</t>
        </is>
      </c>
      <c r="F266" s="13" t="inlineStr">
        <is>
          <t>هواة</t>
        </is>
      </c>
      <c r="G266" s="13" t="inlineStr">
        <is>
          <t>مكة المكرمة</t>
        </is>
      </c>
      <c r="H266" s="13" t="inlineStr">
        <is>
          <t>جدة</t>
        </is>
      </c>
      <c r="I266" s="17" t="inlineStr">
        <is>
          <t>جدة</t>
        </is>
      </c>
      <c r="J266" s="13" t="n">
        <v>1</v>
      </c>
      <c r="K266" s="13" t="n">
        <v>0</v>
      </c>
      <c r="L266" s="13" t="n">
        <v>1</v>
      </c>
      <c r="M266" s="13" t="n">
        <v>1</v>
      </c>
      <c r="N266" s="13" t="n">
        <v>1</v>
      </c>
      <c r="O266" s="13" t="n">
        <v>0</v>
      </c>
      <c r="P266" s="13" t="n">
        <v>0</v>
      </c>
      <c r="Q26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6" s="13" t="n"/>
      <c r="S266" s="17" t="inlineStr">
        <is>
          <t>نعم</t>
        </is>
      </c>
    </row>
    <row r="267" ht="17" customHeight="1">
      <c r="A267" s="17">
        <f>1+A266</f>
        <v/>
      </c>
      <c r="B267" s="13" t="inlineStr">
        <is>
          <t>نادي سان جدة</t>
        </is>
      </c>
      <c r="C267" s="13" t="inlineStr">
        <is>
          <t>وليد مرشد</t>
        </is>
      </c>
      <c r="D267" s="13" t="n">
        <v>567054833</v>
      </c>
      <c r="E267" s="13" t="inlineStr">
        <is>
          <t>لايوجد</t>
        </is>
      </c>
      <c r="F267" s="13" t="inlineStr">
        <is>
          <t>هواة</t>
        </is>
      </c>
      <c r="G267" s="13" t="inlineStr">
        <is>
          <t>مكة المكرمة</t>
        </is>
      </c>
      <c r="H267" s="13" t="inlineStr">
        <is>
          <t>جدة</t>
        </is>
      </c>
      <c r="I267" s="17" t="inlineStr">
        <is>
          <t>جدة</t>
        </is>
      </c>
      <c r="J267" s="13" t="n">
        <v>1</v>
      </c>
      <c r="K267" s="13" t="n">
        <v>1</v>
      </c>
      <c r="L267" s="13" t="n">
        <v>0</v>
      </c>
      <c r="M267" s="13" t="n">
        <v>0</v>
      </c>
      <c r="N267" s="13" t="n">
        <v>0</v>
      </c>
      <c r="O267" s="13" t="n">
        <v>0</v>
      </c>
      <c r="P267" s="13" t="n">
        <v>0</v>
      </c>
      <c r="Q26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7" s="13" t="n"/>
      <c r="S267" s="17" t="inlineStr">
        <is>
          <t>نعم</t>
        </is>
      </c>
    </row>
    <row r="268" ht="17" customHeight="1">
      <c r="A268" s="17">
        <f>1+A267</f>
        <v/>
      </c>
      <c r="B268" s="13" t="inlineStr">
        <is>
          <t>نادي بدي هيلث الرياضي</t>
        </is>
      </c>
      <c r="C268" s="13" t="inlineStr">
        <is>
          <t>ابتسام السعيد</t>
        </is>
      </c>
      <c r="D268" s="13" t="n">
        <v>554428181</v>
      </c>
      <c r="E268" s="13" t="inlineStr">
        <is>
          <t>بدي هيلث</t>
        </is>
      </c>
      <c r="F268" s="13" t="inlineStr">
        <is>
          <t>أكاديمية</t>
        </is>
      </c>
      <c r="G268" s="13" t="inlineStr">
        <is>
          <t>الرياض</t>
        </is>
      </c>
      <c r="H268" s="13" t="inlineStr">
        <is>
          <t>الخرج</t>
        </is>
      </c>
      <c r="I268" s="17" t="inlineStr">
        <is>
          <t>الخرج</t>
        </is>
      </c>
      <c r="J268" s="13" t="n">
        <v>1</v>
      </c>
      <c r="K268" s="13" t="n">
        <v>1</v>
      </c>
      <c r="L268" s="13" t="n">
        <v>1</v>
      </c>
      <c r="M268" s="13" t="n">
        <v>1</v>
      </c>
      <c r="N268" s="13" t="n">
        <v>0</v>
      </c>
      <c r="O268" s="13" t="n">
        <v>0</v>
      </c>
      <c r="P268" s="13" t="n">
        <v>0</v>
      </c>
      <c r="Q26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8" s="13" t="n"/>
      <c r="S268" s="17" t="inlineStr">
        <is>
          <t>نعم</t>
        </is>
      </c>
    </row>
    <row r="269" ht="17" customHeight="1">
      <c r="A269" s="17">
        <f>1+A268</f>
        <v/>
      </c>
      <c r="B269" s="13" t="inlineStr">
        <is>
          <t>اكاديمية وهب</t>
        </is>
      </c>
      <c r="C269" s="13" t="inlineStr">
        <is>
          <t>معتز حيدر</t>
        </is>
      </c>
      <c r="D269" s="13" t="n">
        <v>565280804</v>
      </c>
      <c r="E269" s="13" t="inlineStr">
        <is>
          <t>لايوجد</t>
        </is>
      </c>
      <c r="F269" s="13" t="inlineStr">
        <is>
          <t>هواة</t>
        </is>
      </c>
      <c r="G269" s="13" t="inlineStr">
        <is>
          <t>عسير</t>
        </is>
      </c>
      <c r="H269" s="13" t="inlineStr">
        <is>
          <t>أبها</t>
        </is>
      </c>
      <c r="I269" s="17" t="inlineStr">
        <is>
          <t>عسير</t>
        </is>
      </c>
      <c r="J269" s="13" t="n">
        <v>1</v>
      </c>
      <c r="K269" s="13" t="n">
        <v>1</v>
      </c>
      <c r="L269" s="13" t="n">
        <v>1</v>
      </c>
      <c r="M269" s="13" t="n">
        <v>0</v>
      </c>
      <c r="N269" s="13" t="n">
        <v>0</v>
      </c>
      <c r="O269" s="13" t="n">
        <v>0</v>
      </c>
      <c r="P269" s="13" t="n">
        <v>0</v>
      </c>
      <c r="Q26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69" s="13" t="n"/>
      <c r="S269" s="17" t="inlineStr">
        <is>
          <t>نعم</t>
        </is>
      </c>
    </row>
    <row r="270" ht="17" customHeight="1">
      <c r="A270" s="17">
        <f>1+A269</f>
        <v/>
      </c>
      <c r="B270" s="13" t="inlineStr">
        <is>
          <t>اكاديمية لحن</t>
        </is>
      </c>
      <c r="C270" s="13" t="inlineStr">
        <is>
          <t>عبدالجليل الهلال</t>
        </is>
      </c>
      <c r="D270" s="13" t="n">
        <v>556569288</v>
      </c>
      <c r="E270" s="13" t="inlineStr">
        <is>
          <t>ملاعب التحدي</t>
        </is>
      </c>
      <c r="F270" s="13" t="inlineStr">
        <is>
          <t>أكاديمية</t>
        </is>
      </c>
      <c r="G270" s="13" t="inlineStr">
        <is>
          <t>الشرقية</t>
        </is>
      </c>
      <c r="H270" s="13" t="inlineStr">
        <is>
          <t>الأحساء</t>
        </is>
      </c>
      <c r="I270" s="17" t="inlineStr">
        <is>
          <t>الأحساء</t>
        </is>
      </c>
      <c r="J270" s="13" t="n">
        <v>0</v>
      </c>
      <c r="K270" s="13" t="n">
        <v>0</v>
      </c>
      <c r="L270" s="13" t="n">
        <v>0</v>
      </c>
      <c r="M270" s="13" t="n">
        <v>1</v>
      </c>
      <c r="N270" s="13" t="n">
        <v>1</v>
      </c>
      <c r="O270" s="13" t="n">
        <v>1</v>
      </c>
      <c r="P270" s="13" t="n">
        <v>1</v>
      </c>
      <c r="Q27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0" s="13" t="n"/>
      <c r="S270" s="17" t="n"/>
    </row>
    <row r="271" ht="17" customHeight="1">
      <c r="A271" s="17">
        <f>1+A270</f>
        <v/>
      </c>
      <c r="B271" s="13" t="inlineStr">
        <is>
          <t>نادي الحفر</t>
        </is>
      </c>
      <c r="C271" s="13" t="inlineStr">
        <is>
          <t>علي الغليضاوي</t>
        </is>
      </c>
      <c r="D271" s="13" t="n">
        <v>599535557</v>
      </c>
      <c r="E271" s="13" t="inlineStr">
        <is>
          <t>لايوجد</t>
        </is>
      </c>
      <c r="F271" s="13" t="inlineStr">
        <is>
          <t>نادي</t>
        </is>
      </c>
      <c r="G271" s="13" t="inlineStr">
        <is>
          <t>الشرقية</t>
        </is>
      </c>
      <c r="H271" s="13" t="inlineStr">
        <is>
          <t>حفر الباطن</t>
        </is>
      </c>
      <c r="I271" s="17" t="inlineStr">
        <is>
          <t>حفر الباطن</t>
        </is>
      </c>
      <c r="J271" s="13" t="n">
        <v>1</v>
      </c>
      <c r="K271" s="13" t="n">
        <v>1</v>
      </c>
      <c r="L271" s="13" t="n">
        <v>1</v>
      </c>
      <c r="M271" s="13" t="n">
        <v>1</v>
      </c>
      <c r="N271" s="13" t="n">
        <v>1</v>
      </c>
      <c r="O271" s="13" t="n">
        <v>1</v>
      </c>
      <c r="P271" s="13" t="n">
        <v>1</v>
      </c>
      <c r="Q27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1" s="13" t="n"/>
      <c r="S271" s="17" t="n"/>
    </row>
    <row r="272" ht="17" customHeight="1">
      <c r="A272" s="17">
        <f>1+A271</f>
        <v/>
      </c>
      <c r="B272" s="13" t="inlineStr">
        <is>
          <t>العلا</t>
        </is>
      </c>
      <c r="C272" s="13" t="inlineStr">
        <is>
          <t>وليد معاذ</t>
        </is>
      </c>
      <c r="D272" s="13" t="n">
        <v>563466225</v>
      </c>
      <c r="E272" s="13" t="inlineStr">
        <is>
          <t>لايوجد</t>
        </is>
      </c>
      <c r="F272" s="13" t="inlineStr">
        <is>
          <t>نادي</t>
        </is>
      </c>
      <c r="G272" s="13" t="inlineStr">
        <is>
          <t>المدينة المنورة</t>
        </is>
      </c>
      <c r="H272" s="13" t="inlineStr">
        <is>
          <t>المدينة المنورة</t>
        </is>
      </c>
      <c r="I272" s="17" t="inlineStr">
        <is>
          <t>المدينة المنورة</t>
        </is>
      </c>
      <c r="J272" s="13" t="n">
        <v>1</v>
      </c>
      <c r="K272" s="13" t="n">
        <v>1</v>
      </c>
      <c r="L272" s="13" t="n">
        <v>2</v>
      </c>
      <c r="M272" s="13" t="n">
        <v>2</v>
      </c>
      <c r="N272" s="13" t="n">
        <v>3</v>
      </c>
      <c r="O272" s="13" t="n">
        <v>3</v>
      </c>
      <c r="P272" s="13" t="n">
        <v>0</v>
      </c>
      <c r="Q27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2" s="13" t="n"/>
      <c r="S272" s="17" t="n"/>
    </row>
    <row r="273" ht="17" customHeight="1">
      <c r="A273" s="17">
        <f>1+A272</f>
        <v/>
      </c>
      <c r="B273" s="13" t="inlineStr">
        <is>
          <t>نادي جبة</t>
        </is>
      </c>
      <c r="C273" s="13" t="inlineStr">
        <is>
          <t>فواز الشمري</t>
        </is>
      </c>
      <c r="D273" s="13" t="n">
        <v>555885092</v>
      </c>
      <c r="E273" s="13" t="inlineStr">
        <is>
          <t>لايوجد</t>
        </is>
      </c>
      <c r="F273" s="13" t="inlineStr">
        <is>
          <t>نادي</t>
        </is>
      </c>
      <c r="G273" s="13" t="inlineStr">
        <is>
          <t>حائل</t>
        </is>
      </c>
      <c r="H273" s="13" t="inlineStr">
        <is>
          <t>حائل</t>
        </is>
      </c>
      <c r="I273" s="17" t="inlineStr">
        <is>
          <t>حائل</t>
        </is>
      </c>
      <c r="J273" s="13" t="n">
        <v>1</v>
      </c>
      <c r="K273" s="13" t="n">
        <v>1</v>
      </c>
      <c r="L273" s="13" t="n">
        <v>1</v>
      </c>
      <c r="M273" s="13" t="n">
        <v>1</v>
      </c>
      <c r="N273" s="13" t="n">
        <v>1</v>
      </c>
      <c r="O273" s="13" t="n">
        <v>1</v>
      </c>
      <c r="P273" s="13" t="n">
        <v>1</v>
      </c>
      <c r="Q27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3" s="13" t="n"/>
      <c r="S273" s="17" t="n"/>
    </row>
    <row r="274" ht="17" customHeight="1">
      <c r="A274" s="17">
        <f>1+A273</f>
        <v/>
      </c>
      <c r="B274" s="13" t="inlineStr">
        <is>
          <t>اكاديمية حلم</t>
        </is>
      </c>
      <c r="C274" s="13" t="inlineStr">
        <is>
          <t xml:space="preserve">عمر الشاهين </t>
        </is>
      </c>
      <c r="D274" s="13" t="n">
        <v>547022351</v>
      </c>
      <c r="E274" s="13" t="inlineStr">
        <is>
          <t>لايوجد</t>
        </is>
      </c>
      <c r="F274" s="13" t="inlineStr">
        <is>
          <t>أكاديمية</t>
        </is>
      </c>
      <c r="G274" s="13" t="inlineStr">
        <is>
          <t>الشرقية</t>
        </is>
      </c>
      <c r="H274" s="13" t="inlineStr">
        <is>
          <t>الأحساء</t>
        </is>
      </c>
      <c r="I274" s="17" t="inlineStr">
        <is>
          <t>الأحساء</t>
        </is>
      </c>
      <c r="J274" s="13" t="n">
        <v>0</v>
      </c>
      <c r="K274" s="13" t="n">
        <v>1</v>
      </c>
      <c r="L274" s="13" t="n">
        <v>0</v>
      </c>
      <c r="M274" s="13" t="n">
        <v>1</v>
      </c>
      <c r="N274" s="13" t="n">
        <v>0</v>
      </c>
      <c r="O274" s="13" t="n">
        <v>0</v>
      </c>
      <c r="P274" s="13" t="n">
        <v>0</v>
      </c>
      <c r="Q27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4" s="13" t="n"/>
      <c r="S274" s="17" t="n"/>
    </row>
    <row r="275" ht="17" customHeight="1">
      <c r="A275" s="17">
        <f>1+A274</f>
        <v/>
      </c>
      <c r="B275" s="13" t="inlineStr">
        <is>
          <t>اكاديمية ستاليونز ايليت</t>
        </is>
      </c>
      <c r="C275" s="13" t="inlineStr">
        <is>
          <t>محمد الاسمري</t>
        </is>
      </c>
      <c r="D275" s="13" t="n">
        <v>583570124</v>
      </c>
      <c r="E275" s="13" t="inlineStr">
        <is>
          <t>ملاعب الشعلة</t>
        </is>
      </c>
      <c r="F275" s="13" t="inlineStr">
        <is>
          <t>أكاديمية</t>
        </is>
      </c>
      <c r="G275" s="13" t="inlineStr">
        <is>
          <t>الشرقية</t>
        </is>
      </c>
      <c r="H275" s="13" t="inlineStr">
        <is>
          <t>الدمام</t>
        </is>
      </c>
      <c r="I275" s="17" t="inlineStr">
        <is>
          <t>الشرقية</t>
        </is>
      </c>
      <c r="J275" s="13" t="n">
        <v>0</v>
      </c>
      <c r="K275" s="13" t="n">
        <v>1</v>
      </c>
      <c r="L275" s="13" t="n">
        <v>0</v>
      </c>
      <c r="M275" s="13" t="n">
        <v>0</v>
      </c>
      <c r="N275" s="13" t="n">
        <v>0</v>
      </c>
      <c r="O275" s="13" t="n">
        <v>0</v>
      </c>
      <c r="P275" s="13" t="n">
        <v>0</v>
      </c>
      <c r="Q27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5" s="13" t="n"/>
      <c r="S275" s="17" t="n"/>
    </row>
    <row r="276" ht="17" customHeight="1">
      <c r="A276" s="17">
        <f>1+A275</f>
        <v/>
      </c>
      <c r="B276" s="13" t="inlineStr">
        <is>
          <t xml:space="preserve">اكاديمية الجيل المحترف </t>
        </is>
      </c>
      <c r="C276" s="13" t="inlineStr">
        <is>
          <t>سعيد ال فرحان</t>
        </is>
      </c>
      <c r="D276" s="13" t="n">
        <v>550816188</v>
      </c>
      <c r="E276" s="13" t="inlineStr">
        <is>
          <t>ملاعب الديربي</t>
        </is>
      </c>
      <c r="F276" s="13" t="inlineStr">
        <is>
          <t>أكاديمية</t>
        </is>
      </c>
      <c r="G276" s="13" t="inlineStr">
        <is>
          <t>الرياض</t>
        </is>
      </c>
      <c r="H276" s="13" t="inlineStr">
        <is>
          <t>الرياض</t>
        </is>
      </c>
      <c r="I276" s="17" t="inlineStr">
        <is>
          <t>الرياض</t>
        </is>
      </c>
      <c r="J276" s="13" t="n">
        <v>0</v>
      </c>
      <c r="K276" s="13" t="n">
        <v>0</v>
      </c>
      <c r="L276" s="13" t="n">
        <v>0</v>
      </c>
      <c r="M276" s="13" t="n">
        <v>1</v>
      </c>
      <c r="N276" s="13" t="n">
        <v>0</v>
      </c>
      <c r="O276" s="13" t="n">
        <v>0</v>
      </c>
      <c r="P276" s="13" t="n">
        <v>0</v>
      </c>
      <c r="Q27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6" s="13" t="n"/>
      <c r="S276" s="17" t="n"/>
    </row>
    <row r="277" ht="17" customHeight="1">
      <c r="A277" s="17">
        <f>1+A276</f>
        <v/>
      </c>
      <c r="B277" s="13" t="inlineStr">
        <is>
          <t>نادي O15</t>
        </is>
      </c>
      <c r="C277" s="13" t="inlineStr">
        <is>
          <t xml:space="preserve">ماجد الشهري </t>
        </is>
      </c>
      <c r="D277" s="13" t="n">
        <v>544754090</v>
      </c>
      <c r="E277" s="13" t="inlineStr">
        <is>
          <t xml:space="preserve">يلو بارك </t>
        </is>
      </c>
      <c r="F277" s="13" t="inlineStr">
        <is>
          <t>نادي</t>
        </is>
      </c>
      <c r="G277" s="13" t="inlineStr">
        <is>
          <t>مكة المكرمة</t>
        </is>
      </c>
      <c r="H277" s="13" t="inlineStr">
        <is>
          <t>جدة</t>
        </is>
      </c>
      <c r="I277" s="17" t="inlineStr">
        <is>
          <t>جدة</t>
        </is>
      </c>
      <c r="J277" s="13" t="n">
        <v>1</v>
      </c>
      <c r="K277" s="13" t="n">
        <v>0</v>
      </c>
      <c r="L277" s="13" t="n">
        <v>1</v>
      </c>
      <c r="M277" s="13" t="n">
        <v>0</v>
      </c>
      <c r="N277" s="13" t="n">
        <v>0</v>
      </c>
      <c r="O277" s="13" t="n">
        <v>0</v>
      </c>
      <c r="P277" s="13" t="n">
        <v>0</v>
      </c>
      <c r="Q27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7" s="13" t="n"/>
      <c r="S277" s="17" t="n"/>
    </row>
    <row r="278" ht="17" customHeight="1">
      <c r="A278" s="17">
        <f>1+A277</f>
        <v/>
      </c>
      <c r="B278" s="13" t="inlineStr">
        <is>
          <t>ليجيندز</t>
        </is>
      </c>
      <c r="C278" s="13" t="inlineStr">
        <is>
          <t>احمد الكردي</t>
        </is>
      </c>
      <c r="D278" s="13" t="n">
        <v>532401741</v>
      </c>
      <c r="E278" s="13" t="inlineStr">
        <is>
          <t xml:space="preserve">ملاعب المونديال بالدرعية </t>
        </is>
      </c>
      <c r="F278" s="13" t="inlineStr">
        <is>
          <t>نادي</t>
        </is>
      </c>
      <c r="G278" s="13" t="inlineStr">
        <is>
          <t>الرياض</t>
        </is>
      </c>
      <c r="H278" s="13" t="inlineStr">
        <is>
          <t>الرياض</t>
        </is>
      </c>
      <c r="I278" s="17" t="inlineStr">
        <is>
          <t>الرياض</t>
        </is>
      </c>
      <c r="J278" s="13" t="n">
        <v>1</v>
      </c>
      <c r="K278" s="13" t="n">
        <v>1</v>
      </c>
      <c r="L278" s="13" t="n">
        <v>2</v>
      </c>
      <c r="M278" s="13" t="n">
        <v>2</v>
      </c>
      <c r="N278" s="13" t="n">
        <v>2</v>
      </c>
      <c r="O278" s="13" t="n">
        <v>1</v>
      </c>
      <c r="P278" s="13" t="n">
        <v>1</v>
      </c>
      <c r="Q27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8" s="13" t="n"/>
      <c r="S278" s="17" t="n"/>
    </row>
    <row r="279" ht="17" customHeight="1">
      <c r="A279" s="17">
        <f>1+A278</f>
        <v/>
      </c>
      <c r="B279" s="13" t="inlineStr">
        <is>
          <t>شباب طيبة</t>
        </is>
      </c>
      <c r="C279" s="13" t="inlineStr">
        <is>
          <t>عبدالله العلوي</t>
        </is>
      </c>
      <c r="D279" s="13" t="n">
        <v>542424232</v>
      </c>
      <c r="E279" s="13" t="inlineStr">
        <is>
          <t>لايوجد</t>
        </is>
      </c>
      <c r="F279" s="13" t="inlineStr">
        <is>
          <t>أكاديمية</t>
        </is>
      </c>
      <c r="G279" s="13" t="inlineStr">
        <is>
          <t>المدينة المنورة</t>
        </is>
      </c>
      <c r="H279" s="13" t="inlineStr">
        <is>
          <t>المدينة المنورة</t>
        </is>
      </c>
      <c r="I279" s="17" t="inlineStr">
        <is>
          <t>المدينة المنورة</t>
        </is>
      </c>
      <c r="J279" s="13" t="n">
        <v>1</v>
      </c>
      <c r="K279" s="13" t="n">
        <v>1</v>
      </c>
      <c r="L279" s="13" t="n">
        <v>1</v>
      </c>
      <c r="M279" s="13" t="n">
        <v>1</v>
      </c>
      <c r="N279" s="13" t="n">
        <v>1</v>
      </c>
      <c r="O279" s="13" t="n">
        <v>1</v>
      </c>
      <c r="P279" s="13" t="n">
        <v>0</v>
      </c>
      <c r="Q27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79" s="13" t="n"/>
      <c r="S279" s="17" t="n"/>
    </row>
    <row r="280" ht="17" customHeight="1">
      <c r="A280" s="17">
        <f>1+A279</f>
        <v/>
      </c>
      <c r="B280" s="13" t="inlineStr">
        <is>
          <t>غيوم الرياضية</t>
        </is>
      </c>
      <c r="C280" s="13" t="inlineStr">
        <is>
          <t>سعيد عسيري</t>
        </is>
      </c>
      <c r="D280" s="13" t="n">
        <v>568126667</v>
      </c>
      <c r="E280" s="13" t="inlineStr">
        <is>
          <t>المصيف</t>
        </is>
      </c>
      <c r="F280" s="13" t="inlineStr">
        <is>
          <t>أكاديمية</t>
        </is>
      </c>
      <c r="G280" s="13" t="inlineStr">
        <is>
          <t>عسير</t>
        </is>
      </c>
      <c r="H280" s="13" t="inlineStr">
        <is>
          <t>أبها</t>
        </is>
      </c>
      <c r="I280" s="17" t="inlineStr">
        <is>
          <t>عسير</t>
        </is>
      </c>
      <c r="J280" s="13" t="n">
        <v>1</v>
      </c>
      <c r="K280" s="13" t="n">
        <v>1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0" s="13" t="n"/>
      <c r="S280" s="17" t="n"/>
    </row>
    <row r="281" ht="17" customHeight="1">
      <c r="A281" s="17">
        <f>1+A280</f>
        <v/>
      </c>
      <c r="B281" s="13" t="inlineStr">
        <is>
          <t>واعي</t>
        </is>
      </c>
      <c r="C281" s="13" t="inlineStr">
        <is>
          <t>عبدالرحمن الحربي</t>
        </is>
      </c>
      <c r="D281" s="13" t="n">
        <v>531902966</v>
      </c>
      <c r="E281" s="13" t="inlineStr">
        <is>
          <t>لايوجد</t>
        </is>
      </c>
      <c r="F281" s="13" t="inlineStr">
        <is>
          <t>أكاديمية</t>
        </is>
      </c>
      <c r="G281" s="13" t="inlineStr">
        <is>
          <t>المدينة المنورة</t>
        </is>
      </c>
      <c r="H281" s="13" t="inlineStr">
        <is>
          <t>المدينة المنورة</t>
        </is>
      </c>
      <c r="I281" s="17" t="inlineStr">
        <is>
          <t>المدينة المنورة</t>
        </is>
      </c>
      <c r="J281" s="13" t="n">
        <v>1</v>
      </c>
      <c r="K281" s="13" t="n">
        <v>1</v>
      </c>
      <c r="L281" s="13" t="n">
        <v>1</v>
      </c>
      <c r="M281" s="13" t="n">
        <v>1</v>
      </c>
      <c r="N281" s="13" t="n">
        <v>1</v>
      </c>
      <c r="O281" s="13" t="n">
        <v>1</v>
      </c>
      <c r="P281" s="13" t="n">
        <v>1</v>
      </c>
      <c r="Q28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1" s="13" t="n"/>
      <c r="S281" s="17" t="n"/>
    </row>
    <row r="282" ht="17" customHeight="1">
      <c r="A282" s="17">
        <f>1+A281</f>
        <v/>
      </c>
      <c r="B282" s="13" t="inlineStr">
        <is>
          <t xml:space="preserve">الاوائل الرياضية </t>
        </is>
      </c>
      <c r="C282" s="13" t="inlineStr">
        <is>
          <t>عبدالعزيز العيد</t>
        </is>
      </c>
      <c r="D282" s="13" t="n">
        <v>550583221</v>
      </c>
      <c r="E282" s="13" t="inlineStr">
        <is>
          <t xml:space="preserve">ملاعب الاوائل </t>
        </is>
      </c>
      <c r="F282" s="13" t="inlineStr">
        <is>
          <t>أكاديمية</t>
        </is>
      </c>
      <c r="G282" s="13" t="inlineStr">
        <is>
          <t>الرياض</t>
        </is>
      </c>
      <c r="H282" s="13" t="inlineStr">
        <is>
          <t>الرياض</t>
        </is>
      </c>
      <c r="I282" s="17" t="inlineStr">
        <is>
          <t>الرياض</t>
        </is>
      </c>
      <c r="J282" s="13" t="n">
        <v>1</v>
      </c>
      <c r="K282" s="13" t="n">
        <v>0</v>
      </c>
      <c r="L282" s="13" t="n">
        <v>1</v>
      </c>
      <c r="M282" s="13" t="n">
        <v>1</v>
      </c>
      <c r="N282" s="13" t="n">
        <v>0</v>
      </c>
      <c r="O282" s="13" t="n">
        <v>0</v>
      </c>
      <c r="P282" s="13" t="n">
        <v>0</v>
      </c>
      <c r="Q28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2" s="13" t="n"/>
      <c r="S282" s="17" t="n"/>
    </row>
    <row r="283" ht="17" customHeight="1">
      <c r="A283" s="17">
        <f>1+A282</f>
        <v/>
      </c>
      <c r="B283" s="13" t="inlineStr">
        <is>
          <t>الباطن</t>
        </is>
      </c>
      <c r="C283" s="13" t="inlineStr">
        <is>
          <t xml:space="preserve">عبدالرحمن الدهمشي </t>
        </is>
      </c>
      <c r="D283" s="13" t="n">
        <v>558845514</v>
      </c>
      <c r="E283" s="13" t="inlineStr">
        <is>
          <t>لايوجد</t>
        </is>
      </c>
      <c r="F283" s="13" t="inlineStr">
        <is>
          <t>نادي</t>
        </is>
      </c>
      <c r="G283" s="13" t="inlineStr">
        <is>
          <t>الشرقية</t>
        </is>
      </c>
      <c r="H283" s="13" t="inlineStr">
        <is>
          <t>حفر الباطن</t>
        </is>
      </c>
      <c r="I283" s="17" t="inlineStr">
        <is>
          <t>حفر الباطن</t>
        </is>
      </c>
      <c r="J283" s="13" t="n">
        <v>1</v>
      </c>
      <c r="K283" s="13" t="n">
        <v>1</v>
      </c>
      <c r="L283" s="13" t="n">
        <v>1</v>
      </c>
      <c r="M283" s="13" t="n">
        <v>1</v>
      </c>
      <c r="N283" s="13" t="n">
        <v>1</v>
      </c>
      <c r="O283" s="13" t="n">
        <v>1</v>
      </c>
      <c r="P283" s="13" t="n">
        <v>1</v>
      </c>
      <c r="Q28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3" s="13" t="n"/>
      <c r="S283" s="17" t="n"/>
    </row>
    <row r="284" ht="17" customHeight="1">
      <c r="A284" s="17">
        <f>1+A283</f>
        <v/>
      </c>
      <c r="B284" s="13" t="inlineStr">
        <is>
          <t>النجوم المضيئة</t>
        </is>
      </c>
      <c r="C284" s="13" t="inlineStr">
        <is>
          <t>فتحي شعبان</t>
        </is>
      </c>
      <c r="D284" s="13" t="n">
        <v>545557550</v>
      </c>
      <c r="E284" s="13" t="inlineStr">
        <is>
          <t>الترجي</t>
        </is>
      </c>
      <c r="F284" s="13" t="inlineStr">
        <is>
          <t>أكاديمية</t>
        </is>
      </c>
      <c r="G284" s="13" t="inlineStr">
        <is>
          <t>الشرقية</t>
        </is>
      </c>
      <c r="H284" s="13" t="inlineStr">
        <is>
          <t>القطيف</t>
        </is>
      </c>
      <c r="I284" s="17" t="inlineStr">
        <is>
          <t>القطيف</t>
        </is>
      </c>
      <c r="J284" s="13" t="n">
        <v>1</v>
      </c>
      <c r="K284" s="13" t="n">
        <v>1</v>
      </c>
      <c r="L284" s="13" t="n">
        <v>1</v>
      </c>
      <c r="M284" s="13" t="n">
        <v>2</v>
      </c>
      <c r="N284" s="13" t="n">
        <v>2</v>
      </c>
      <c r="O284" s="13" t="n">
        <v>1</v>
      </c>
      <c r="P284" s="13" t="n">
        <v>1</v>
      </c>
      <c r="Q28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4" s="13" t="n"/>
      <c r="S284" s="17" t="n"/>
    </row>
    <row r="285" ht="17" customHeight="1">
      <c r="A285" s="17">
        <f>1+A284</f>
        <v/>
      </c>
      <c r="B285" s="13" t="inlineStr">
        <is>
          <t>نادي القلعة</t>
        </is>
      </c>
      <c r="C285" s="13" t="inlineStr">
        <is>
          <t>عبدالرحمن الزيدان</t>
        </is>
      </c>
      <c r="D285" s="13" t="n">
        <v>540734333</v>
      </c>
      <c r="E285" s="13" t="inlineStr">
        <is>
          <t>القلعة</t>
        </is>
      </c>
      <c r="F285" s="13" t="inlineStr">
        <is>
          <t>نادي</t>
        </is>
      </c>
      <c r="G285" s="13" t="inlineStr">
        <is>
          <t>الجوف</t>
        </is>
      </c>
      <c r="H285" s="13" t="inlineStr">
        <is>
          <t>سكاكا</t>
        </is>
      </c>
      <c r="I285" s="17" t="inlineStr">
        <is>
          <t>الجوف</t>
        </is>
      </c>
      <c r="J285" s="13" t="n">
        <v>1</v>
      </c>
      <c r="K285" s="13" t="n">
        <v>1</v>
      </c>
      <c r="L285" s="13" t="n">
        <v>1</v>
      </c>
      <c r="M285" s="13" t="n">
        <v>1</v>
      </c>
      <c r="N285" s="13" t="n">
        <v>1</v>
      </c>
      <c r="O285" s="13" t="n">
        <v>1</v>
      </c>
      <c r="P285" s="13" t="n">
        <v>1</v>
      </c>
      <c r="Q28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5" s="13" t="n"/>
      <c r="S285" s="17" t="n"/>
    </row>
    <row r="286" ht="17" customHeight="1">
      <c r="A286" s="17">
        <f>1+A285</f>
        <v/>
      </c>
      <c r="B286" s="13" t="inlineStr">
        <is>
          <t xml:space="preserve">النسور الذهبية </t>
        </is>
      </c>
      <c r="C286" s="13" t="inlineStr">
        <is>
          <t>تسنيم الصياد</t>
        </is>
      </c>
      <c r="D286" s="13" t="n">
        <v>532065924</v>
      </c>
      <c r="E286" s="13" t="inlineStr">
        <is>
          <t>قابوس</t>
        </is>
      </c>
      <c r="F286" s="13" t="inlineStr">
        <is>
          <t>أكاديمية</t>
        </is>
      </c>
      <c r="G286" s="13" t="inlineStr">
        <is>
          <t>الرياض</t>
        </is>
      </c>
      <c r="H286" s="13" t="inlineStr">
        <is>
          <t>الرياض</t>
        </is>
      </c>
      <c r="I286" s="17" t="inlineStr">
        <is>
          <t>الرياض</t>
        </is>
      </c>
      <c r="J286" s="13" t="n">
        <v>1</v>
      </c>
      <c r="K286" s="13" t="n">
        <v>1</v>
      </c>
      <c r="L286" s="13" t="n">
        <v>1</v>
      </c>
      <c r="M286" s="13" t="n">
        <v>1</v>
      </c>
      <c r="N286" s="13" t="n">
        <v>1</v>
      </c>
      <c r="O286" s="13" t="n">
        <v>1</v>
      </c>
      <c r="P286" s="13" t="n">
        <v>0</v>
      </c>
      <c r="Q28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6" s="13" t="n"/>
      <c r="S286" s="17" t="n"/>
    </row>
    <row r="287" ht="17" customHeight="1">
      <c r="A287" s="17">
        <f>1+A286</f>
        <v/>
      </c>
      <c r="B287" s="13" t="inlineStr">
        <is>
          <t>العروبة</t>
        </is>
      </c>
      <c r="C287" s="13" t="inlineStr">
        <is>
          <t>طارق الرويلي</t>
        </is>
      </c>
      <c r="D287" s="13" t="n">
        <v>5567033455</v>
      </c>
      <c r="E287" s="13" t="inlineStr">
        <is>
          <t>رديف العروبة</t>
        </is>
      </c>
      <c r="F287" s="13" t="inlineStr">
        <is>
          <t>نادي</t>
        </is>
      </c>
      <c r="G287" s="13" t="inlineStr">
        <is>
          <t>الجوف</t>
        </is>
      </c>
      <c r="H287" s="13" t="inlineStr">
        <is>
          <t>سكاكا</t>
        </is>
      </c>
      <c r="I287" s="17" t="inlineStr">
        <is>
          <t>الجوف</t>
        </is>
      </c>
      <c r="J287" s="13" t="n">
        <v>1</v>
      </c>
      <c r="K287" s="13" t="n">
        <v>1</v>
      </c>
      <c r="L287" s="13" t="n">
        <v>1</v>
      </c>
      <c r="M287" s="13" t="n">
        <v>1</v>
      </c>
      <c r="N287" s="13" t="n">
        <v>2</v>
      </c>
      <c r="O287" s="13" t="n">
        <v>2</v>
      </c>
      <c r="P287" s="13" t="n">
        <v>2</v>
      </c>
      <c r="Q28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7" s="13" t="n"/>
      <c r="S287" s="17" t="n"/>
    </row>
    <row r="288" ht="17" customHeight="1">
      <c r="A288" s="17">
        <f>1+A287</f>
        <v/>
      </c>
      <c r="B288" s="13" t="inlineStr">
        <is>
          <t>هيرو</t>
        </is>
      </c>
      <c r="C288" s="13" t="inlineStr">
        <is>
          <t>محمد السهلي</t>
        </is>
      </c>
      <c r="D288" s="13" t="n">
        <v>558082403</v>
      </c>
      <c r="E288" s="13" t="inlineStr">
        <is>
          <t>لايوجد</t>
        </is>
      </c>
      <c r="F288" s="13" t="inlineStr">
        <is>
          <t>أكاديمية</t>
        </is>
      </c>
      <c r="G288" s="13" t="inlineStr">
        <is>
          <t>الرياض</t>
        </is>
      </c>
      <c r="H288" s="13" t="inlineStr">
        <is>
          <t>الرياض</t>
        </is>
      </c>
      <c r="I288" s="17" t="inlineStr">
        <is>
          <t>الرياض</t>
        </is>
      </c>
      <c r="J288" s="13" t="n">
        <v>1</v>
      </c>
      <c r="K288" s="13" t="n">
        <v>0</v>
      </c>
      <c r="L288" s="13" t="n">
        <v>1</v>
      </c>
      <c r="M288" s="13" t="n">
        <v>0</v>
      </c>
      <c r="N288" s="13" t="n">
        <v>0</v>
      </c>
      <c r="O288" s="13" t="n">
        <v>0</v>
      </c>
      <c r="P288" s="13" t="n">
        <v>0</v>
      </c>
      <c r="Q28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8" s="13" t="n"/>
      <c r="S288" s="17" t="n"/>
    </row>
    <row r="289" ht="17" customHeight="1">
      <c r="A289" s="17">
        <f>1+A288</f>
        <v/>
      </c>
      <c r="B289" s="13" t="inlineStr">
        <is>
          <t>البشائر</t>
        </is>
      </c>
      <c r="C289" s="13" t="inlineStr">
        <is>
          <t>عبدالعزيز العلياني</t>
        </is>
      </c>
      <c r="D289" s="13" t="n">
        <v>597997702</v>
      </c>
      <c r="E289" s="13" t="inlineStr">
        <is>
          <t>نادي البشائر</t>
        </is>
      </c>
      <c r="F289" s="13" t="inlineStr">
        <is>
          <t>نادي</t>
        </is>
      </c>
      <c r="G289" s="13" t="inlineStr">
        <is>
          <t>عسير</t>
        </is>
      </c>
      <c r="H289" s="13" t="inlineStr">
        <is>
          <t>بلقرن</t>
        </is>
      </c>
      <c r="I289" s="17" t="inlineStr">
        <is>
          <t>عسير</t>
        </is>
      </c>
      <c r="J289" s="13" t="n">
        <v>0</v>
      </c>
      <c r="K289" s="13" t="n">
        <v>1</v>
      </c>
      <c r="L289" s="13" t="n">
        <v>0</v>
      </c>
      <c r="M289" s="13" t="n">
        <v>0</v>
      </c>
      <c r="N289" s="13" t="n">
        <v>2</v>
      </c>
      <c r="O289" s="13" t="n">
        <v>2</v>
      </c>
      <c r="P289" s="13" t="n">
        <v>0</v>
      </c>
      <c r="Q28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89" s="13" t="n"/>
      <c r="S289" s="17" t="n"/>
    </row>
    <row r="290" ht="17" customHeight="1">
      <c r="A290" s="17">
        <f>1+A289</f>
        <v/>
      </c>
      <c r="B290" s="13" t="inlineStr">
        <is>
          <t>الخليج</t>
        </is>
      </c>
      <c r="C290" s="13" t="inlineStr">
        <is>
          <t>علي المحسن</t>
        </is>
      </c>
      <c r="D290" s="13" t="n">
        <v>504949452</v>
      </c>
      <c r="E290" s="13" t="inlineStr">
        <is>
          <t>رديف الخليج</t>
        </is>
      </c>
      <c r="F290" s="13" t="inlineStr">
        <is>
          <t>نادي</t>
        </is>
      </c>
      <c r="G290" s="13" t="inlineStr">
        <is>
          <t>الشرقية</t>
        </is>
      </c>
      <c r="H290" s="13" t="inlineStr">
        <is>
          <t>سيهات</t>
        </is>
      </c>
      <c r="I290" s="17" t="inlineStr">
        <is>
          <t>الشرقية</t>
        </is>
      </c>
      <c r="J290" s="13" t="n">
        <v>1</v>
      </c>
      <c r="K290" s="13" t="n">
        <v>1</v>
      </c>
      <c r="L290" s="13" t="n">
        <v>1</v>
      </c>
      <c r="M290" s="13" t="n">
        <v>1</v>
      </c>
      <c r="N290" s="13" t="n">
        <v>1</v>
      </c>
      <c r="O290" s="13" t="n">
        <v>1</v>
      </c>
      <c r="P290" s="13" t="n">
        <v>1</v>
      </c>
      <c r="Q29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0" s="13" t="n"/>
      <c r="S290" s="17" t="n"/>
    </row>
    <row r="291" ht="17" customHeight="1">
      <c r="A291" s="17">
        <f>1+A290</f>
        <v/>
      </c>
      <c r="B291" s="13" t="inlineStr">
        <is>
          <t>مكة يارد</t>
        </is>
      </c>
      <c r="C291" s="13" t="inlineStr">
        <is>
          <t>محمد المسيدي</t>
        </is>
      </c>
      <c r="D291" s="13" t="n">
        <v>555655130</v>
      </c>
      <c r="E291" s="13" t="inlineStr">
        <is>
          <t>مكة يارد</t>
        </is>
      </c>
      <c r="F291" s="13" t="inlineStr">
        <is>
          <t>أكاديمية</t>
        </is>
      </c>
      <c r="G291" s="13" t="inlineStr">
        <is>
          <t>مكة المكرمة</t>
        </is>
      </c>
      <c r="H291" s="13" t="inlineStr">
        <is>
          <t>مكة المكرمة</t>
        </is>
      </c>
      <c r="I291" s="17" t="inlineStr">
        <is>
          <t>مكة المكرمة</t>
        </is>
      </c>
      <c r="J291" s="13" t="n">
        <v>0</v>
      </c>
      <c r="K291" s="13" t="n">
        <v>0</v>
      </c>
      <c r="L291" s="13" t="n">
        <v>1</v>
      </c>
      <c r="M291" s="13" t="n">
        <v>1</v>
      </c>
      <c r="N291" s="13" t="n">
        <v>1</v>
      </c>
      <c r="O291" s="13" t="n">
        <v>1</v>
      </c>
      <c r="P291" s="13" t="n">
        <v>0</v>
      </c>
      <c r="Q29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1" s="13" t="n"/>
      <c r="S291" s="17" t="n"/>
    </row>
    <row r="292" ht="17" customHeight="1">
      <c r="A292" s="17">
        <f>1+A291</f>
        <v/>
      </c>
      <c r="B292" s="13" t="inlineStr">
        <is>
          <t>سما</t>
        </is>
      </c>
      <c r="C292" s="13" t="inlineStr">
        <is>
          <t>احمد بالطيور</t>
        </is>
      </c>
      <c r="D292" s="13" t="n">
        <v>507003881</v>
      </c>
      <c r="E292" s="13" t="inlineStr">
        <is>
          <t>سما</t>
        </is>
      </c>
      <c r="F292" s="13" t="inlineStr">
        <is>
          <t>أكاديمية</t>
        </is>
      </c>
      <c r="G292" s="13" t="inlineStr">
        <is>
          <t>الشرقية</t>
        </is>
      </c>
      <c r="H292" s="13" t="inlineStr">
        <is>
          <t>الخبر</t>
        </is>
      </c>
      <c r="I292" s="17" t="inlineStr">
        <is>
          <t>الشرقية</t>
        </is>
      </c>
      <c r="J292" s="13" t="n">
        <v>1</v>
      </c>
      <c r="K292" s="13" t="n">
        <v>0</v>
      </c>
      <c r="L292" s="13" t="n">
        <v>1</v>
      </c>
      <c r="M292" s="13" t="n">
        <v>0</v>
      </c>
      <c r="N292" s="13" t="n">
        <v>1</v>
      </c>
      <c r="O292" s="13" t="n">
        <v>0</v>
      </c>
      <c r="P292" s="13" t="n">
        <v>0</v>
      </c>
      <c r="Q29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2" s="13" t="n"/>
      <c r="S292" s="17" t="n"/>
    </row>
    <row r="293" ht="17" customHeight="1">
      <c r="A293" s="17">
        <f>1+A292</f>
        <v/>
      </c>
      <c r="B293" s="13" t="inlineStr">
        <is>
          <t>وحدة عنيكر</t>
        </is>
      </c>
      <c r="C293" s="13" t="inlineStr">
        <is>
          <t>ابراهيم العمري</t>
        </is>
      </c>
      <c r="D293" s="13" t="n">
        <v>507931484</v>
      </c>
      <c r="E293" s="13" t="inlineStr">
        <is>
          <t>لايوجد</t>
        </is>
      </c>
      <c r="F293" s="13" t="inlineStr">
        <is>
          <t>هواة</t>
        </is>
      </c>
      <c r="G293" s="13" t="inlineStr">
        <is>
          <t>مكة المكرمة</t>
        </is>
      </c>
      <c r="H293" s="13" t="inlineStr">
        <is>
          <t>القنفذة</t>
        </is>
      </c>
      <c r="I293" s="17" t="inlineStr">
        <is>
          <t>مكة المكرمة</t>
        </is>
      </c>
      <c r="J293" s="13" t="n">
        <v>1</v>
      </c>
      <c r="K293" s="13" t="n">
        <v>1</v>
      </c>
      <c r="L293" s="13" t="n">
        <v>1</v>
      </c>
      <c r="M293" s="13" t="n">
        <v>1</v>
      </c>
      <c r="N293" s="13" t="n">
        <v>1</v>
      </c>
      <c r="O293" s="13" t="n">
        <v>0</v>
      </c>
      <c r="P293" s="13" t="n">
        <v>0</v>
      </c>
      <c r="Q29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3" s="13" t="n"/>
      <c r="S293" s="17" t="inlineStr">
        <is>
          <t>نعم</t>
        </is>
      </c>
    </row>
    <row r="294" ht="17" customHeight="1">
      <c r="A294" s="17">
        <f>1+A293</f>
        <v/>
      </c>
      <c r="B294" s="13" t="inlineStr">
        <is>
          <t>برشا الشطبة</t>
        </is>
      </c>
      <c r="C294" s="13" t="inlineStr">
        <is>
          <t>مشاري الوقداني</t>
        </is>
      </c>
      <c r="D294" s="13" t="n">
        <v>559655611</v>
      </c>
      <c r="E294" s="13" t="inlineStr">
        <is>
          <t>لايوجد</t>
        </is>
      </c>
      <c r="F294" s="13" t="inlineStr">
        <is>
          <t>هواة</t>
        </is>
      </c>
      <c r="G294" s="13" t="inlineStr">
        <is>
          <t>مكة المكرمة</t>
        </is>
      </c>
      <c r="H294" s="13" t="inlineStr">
        <is>
          <t>الطائف</t>
        </is>
      </c>
      <c r="I294" s="17" t="inlineStr">
        <is>
          <t>الطائف</t>
        </is>
      </c>
      <c r="J294" s="13" t="n">
        <v>1</v>
      </c>
      <c r="K294" s="13" t="n">
        <v>1</v>
      </c>
      <c r="L294" s="13" t="n">
        <v>1</v>
      </c>
      <c r="M294" s="13" t="n">
        <v>1</v>
      </c>
      <c r="N294" s="13" t="n">
        <v>1</v>
      </c>
      <c r="O294" s="13" t="n">
        <v>1</v>
      </c>
      <c r="P294" s="13" t="n">
        <v>1</v>
      </c>
      <c r="Q29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4" s="13" t="n"/>
      <c r="S294" s="17" t="inlineStr">
        <is>
          <t>نعم</t>
        </is>
      </c>
    </row>
    <row r="295" ht="17" customHeight="1">
      <c r="A295" s="17">
        <f>1+A294</f>
        <v/>
      </c>
      <c r="B295" s="13" t="inlineStr">
        <is>
          <t>صقور المحدود</t>
        </is>
      </c>
      <c r="C295" s="13" t="inlineStr">
        <is>
          <t>عبدالله الغزال</t>
        </is>
      </c>
      <c r="D295" s="13" t="n">
        <v>597384488</v>
      </c>
      <c r="E295" s="13" t="inlineStr">
        <is>
          <t>لايوجد</t>
        </is>
      </c>
      <c r="F295" s="13" t="inlineStr">
        <is>
          <t>هواة</t>
        </is>
      </c>
      <c r="G295" s="13" t="inlineStr">
        <is>
          <t>الشرقية</t>
        </is>
      </c>
      <c r="H295" s="13" t="inlineStr">
        <is>
          <t>الأحساء</t>
        </is>
      </c>
      <c r="I295" s="17" t="inlineStr">
        <is>
          <t>الأحساء</t>
        </is>
      </c>
      <c r="J295" s="13" t="n">
        <v>1</v>
      </c>
      <c r="K295" s="13" t="n">
        <v>1</v>
      </c>
      <c r="L295" s="13" t="n">
        <v>1</v>
      </c>
      <c r="M295" s="13" t="n">
        <v>1</v>
      </c>
      <c r="N295" s="13" t="n">
        <v>0</v>
      </c>
      <c r="O295" s="13" t="n">
        <v>0</v>
      </c>
      <c r="P295" s="13" t="n">
        <v>0</v>
      </c>
      <c r="Q29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5" s="13" t="n"/>
      <c r="S295" s="17" t="inlineStr">
        <is>
          <t>نعم</t>
        </is>
      </c>
    </row>
    <row r="296" ht="17" customHeight="1">
      <c r="A296" s="17">
        <f>1+A295</f>
        <v/>
      </c>
      <c r="B296" s="13" t="inlineStr">
        <is>
          <t>بي فايف</t>
        </is>
      </c>
      <c r="C296" s="13" t="inlineStr">
        <is>
          <t>تركي البلوي</t>
        </is>
      </c>
      <c r="D296" s="13" t="n">
        <v>500434447</v>
      </c>
      <c r="E296" s="13" t="inlineStr">
        <is>
          <t xml:space="preserve">لايوجد </t>
        </is>
      </c>
      <c r="F296" s="13" t="inlineStr">
        <is>
          <t>هواة</t>
        </is>
      </c>
      <c r="G296" s="13" t="inlineStr">
        <is>
          <t>مكة المكرمة</t>
        </is>
      </c>
      <c r="H296" s="13" t="inlineStr">
        <is>
          <t>جدة</t>
        </is>
      </c>
      <c r="I296" s="17" t="inlineStr">
        <is>
          <t>جدة</t>
        </is>
      </c>
      <c r="J296" s="13" t="n">
        <v>1</v>
      </c>
      <c r="K296" s="13" t="n">
        <v>1</v>
      </c>
      <c r="L296" s="13" t="n">
        <v>1</v>
      </c>
      <c r="M296" s="13" t="n">
        <v>1</v>
      </c>
      <c r="N296" s="13" t="n">
        <v>1</v>
      </c>
      <c r="O296" s="13" t="n">
        <v>1</v>
      </c>
      <c r="P296" s="13" t="n">
        <v>1</v>
      </c>
      <c r="Q29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6" s="13" t="n"/>
      <c r="S296" s="17" t="inlineStr">
        <is>
          <t>نعم</t>
        </is>
      </c>
    </row>
    <row r="297" ht="17" customHeight="1">
      <c r="A297" s="17">
        <f>1+A296</f>
        <v/>
      </c>
      <c r="B297" s="13" t="inlineStr">
        <is>
          <t>اكاديمية النوفاوي</t>
        </is>
      </c>
      <c r="C297" s="13" t="inlineStr">
        <is>
          <t>عبدالله نوفاوي</t>
        </is>
      </c>
      <c r="D297" s="13" t="n">
        <v>538211655</v>
      </c>
      <c r="E297" s="13" t="inlineStr">
        <is>
          <t>لايوجد</t>
        </is>
      </c>
      <c r="F297" s="13" t="inlineStr">
        <is>
          <t>هواة</t>
        </is>
      </c>
      <c r="G297" s="13" t="inlineStr">
        <is>
          <t>مكة المكرمة</t>
        </is>
      </c>
      <c r="H297" s="13" t="inlineStr">
        <is>
          <t>مكة المكرمة</t>
        </is>
      </c>
      <c r="I297" s="17" t="inlineStr">
        <is>
          <t>مكة المكرمة</t>
        </is>
      </c>
      <c r="J297" s="13" t="n">
        <v>0</v>
      </c>
      <c r="K297" s="13" t="n">
        <v>1</v>
      </c>
      <c r="L297" s="13" t="n">
        <v>1</v>
      </c>
      <c r="M297" s="13" t="n">
        <v>1</v>
      </c>
      <c r="N297" s="13" t="n">
        <v>1</v>
      </c>
      <c r="O297" s="13" t="n">
        <v>0</v>
      </c>
      <c r="P297" s="13" t="n">
        <v>0</v>
      </c>
      <c r="Q29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7" s="13" t="n"/>
      <c r="S297" s="17" t="inlineStr">
        <is>
          <t>نعم</t>
        </is>
      </c>
    </row>
    <row r="298" ht="17" customHeight="1">
      <c r="A298" s="17">
        <f>1+A297</f>
        <v/>
      </c>
      <c r="B298" s="13" t="inlineStr">
        <is>
          <t>فريق الوفاء بالمبرز</t>
        </is>
      </c>
      <c r="C298" s="13" t="inlineStr">
        <is>
          <t>حسن بوموزه</t>
        </is>
      </c>
      <c r="D298" s="13" t="n">
        <v>564462167</v>
      </c>
      <c r="E298" s="13" t="inlineStr">
        <is>
          <t>لايوجد</t>
        </is>
      </c>
      <c r="F298" s="13" t="inlineStr">
        <is>
          <t>هواة</t>
        </is>
      </c>
      <c r="G298" s="13" t="inlineStr">
        <is>
          <t>الشرقية</t>
        </is>
      </c>
      <c r="H298" s="13" t="inlineStr">
        <is>
          <t>الأحساء</t>
        </is>
      </c>
      <c r="I298" s="17" t="inlineStr">
        <is>
          <t>الأحساء</t>
        </is>
      </c>
      <c r="J298" s="13" t="n">
        <v>1</v>
      </c>
      <c r="K298" s="13" t="n">
        <v>1</v>
      </c>
      <c r="L298" s="13" t="n">
        <v>0</v>
      </c>
      <c r="M298" s="13" t="n">
        <v>0</v>
      </c>
      <c r="N298" s="13" t="n">
        <v>0</v>
      </c>
      <c r="O298" s="13" t="n">
        <v>0</v>
      </c>
      <c r="P298" s="13" t="n">
        <v>0</v>
      </c>
      <c r="Q29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8" s="13" t="n"/>
      <c r="S298" s="17" t="inlineStr">
        <is>
          <t>نعم</t>
        </is>
      </c>
    </row>
    <row r="299" ht="17" customHeight="1">
      <c r="A299" s="17">
        <f>1+A298</f>
        <v/>
      </c>
      <c r="B299" s="13" t="inlineStr">
        <is>
          <t>العطاء الرياضي</t>
        </is>
      </c>
      <c r="C299" s="13" t="inlineStr">
        <is>
          <t>عبدالعالي الحارثي</t>
        </is>
      </c>
      <c r="D299" s="13" t="n">
        <v>599290536</v>
      </c>
      <c r="E299" s="13" t="inlineStr">
        <is>
          <t>لايوجد</t>
        </is>
      </c>
      <c r="F299" s="13" t="inlineStr">
        <is>
          <t>هواة</t>
        </is>
      </c>
      <c r="G299" s="13" t="inlineStr">
        <is>
          <t>مكة المكرمة</t>
        </is>
      </c>
      <c r="H299" s="13" t="inlineStr">
        <is>
          <t>مكة المكرمة</t>
        </is>
      </c>
      <c r="I299" s="17" t="inlineStr">
        <is>
          <t>مكة المكرمة</t>
        </is>
      </c>
      <c r="J299" s="13" t="n">
        <v>1</v>
      </c>
      <c r="K299" s="13" t="n">
        <v>1</v>
      </c>
      <c r="L299" s="13" t="n">
        <v>1</v>
      </c>
      <c r="M299" s="13" t="n">
        <v>1</v>
      </c>
      <c r="N299" s="13" t="n">
        <v>1</v>
      </c>
      <c r="O299" s="13" t="n">
        <v>1</v>
      </c>
      <c r="P299" s="13" t="n">
        <v>1</v>
      </c>
      <c r="Q29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299" s="13" t="n"/>
      <c r="S299" s="17" t="inlineStr">
        <is>
          <t>نعم</t>
        </is>
      </c>
    </row>
    <row r="300" ht="17" customHeight="1">
      <c r="A300" s="17">
        <f>1+A299</f>
        <v/>
      </c>
      <c r="B300" s="13" t="inlineStr">
        <is>
          <t>صقور قامرة جازان</t>
        </is>
      </c>
      <c r="C300" s="13" t="inlineStr">
        <is>
          <t>علي مشرقي</t>
        </is>
      </c>
      <c r="D300" s="13" t="n">
        <v>506742965</v>
      </c>
      <c r="E300" s="13" t="inlineStr">
        <is>
          <t>لايوجد</t>
        </is>
      </c>
      <c r="F300" s="13" t="inlineStr">
        <is>
          <t>هواة</t>
        </is>
      </c>
      <c r="G300" s="13" t="inlineStr">
        <is>
          <t>جازان</t>
        </is>
      </c>
      <c r="H300" s="13" t="inlineStr">
        <is>
          <t>أبو عريش</t>
        </is>
      </c>
      <c r="I300" s="17" t="inlineStr">
        <is>
          <t>جازان</t>
        </is>
      </c>
      <c r="J300" s="13" t="n">
        <v>1</v>
      </c>
      <c r="K300" s="13" t="n">
        <v>1</v>
      </c>
      <c r="L300" s="13" t="n">
        <v>1</v>
      </c>
      <c r="M300" s="13" t="n">
        <v>1</v>
      </c>
      <c r="N300" s="13" t="n">
        <v>1</v>
      </c>
      <c r="O300" s="13" t="n">
        <v>1</v>
      </c>
      <c r="P300" s="13" t="n">
        <v>1</v>
      </c>
      <c r="Q30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0" s="13" t="n"/>
      <c r="S300" s="17" t="inlineStr">
        <is>
          <t>نعم</t>
        </is>
      </c>
    </row>
    <row r="301" ht="17" customHeight="1">
      <c r="A301" s="17">
        <f>1+A300</f>
        <v/>
      </c>
      <c r="B301" s="13" t="inlineStr">
        <is>
          <t>اكادمية الجوهرة المشعة</t>
        </is>
      </c>
      <c r="C301" s="13" t="inlineStr">
        <is>
          <t>ياسر هوساوي</t>
        </is>
      </c>
      <c r="D301" s="13" t="n">
        <v>563835800</v>
      </c>
      <c r="E301" s="13" t="inlineStr">
        <is>
          <t>لايوجد</t>
        </is>
      </c>
      <c r="F301" s="13" t="inlineStr">
        <is>
          <t>هواة</t>
        </is>
      </c>
      <c r="G301" s="13" t="inlineStr">
        <is>
          <t>مكة المكرمة</t>
        </is>
      </c>
      <c r="H301" s="13" t="inlineStr">
        <is>
          <t>مكة المكرمة</t>
        </is>
      </c>
      <c r="I301" s="17" t="inlineStr">
        <is>
          <t>مكة المكرمة</t>
        </is>
      </c>
      <c r="J301" s="13" t="n">
        <v>1</v>
      </c>
      <c r="K301" s="13" t="n">
        <v>1</v>
      </c>
      <c r="L301" s="13" t="n">
        <v>0</v>
      </c>
      <c r="M301" s="13" t="n">
        <v>0</v>
      </c>
      <c r="N301" s="13" t="n">
        <v>0</v>
      </c>
      <c r="O301" s="13" t="n">
        <v>0</v>
      </c>
      <c r="P301" s="13" t="n">
        <v>0</v>
      </c>
      <c r="Q30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1" s="13" t="n"/>
      <c r="S301" s="17" t="inlineStr">
        <is>
          <t>نعم</t>
        </is>
      </c>
    </row>
    <row r="302" ht="17" customHeight="1">
      <c r="A302" s="17">
        <f>1+A301</f>
        <v/>
      </c>
      <c r="B302" s="13" t="inlineStr">
        <is>
          <t>فريق تاج العدالة</t>
        </is>
      </c>
      <c r="C302" s="13" t="inlineStr">
        <is>
          <t>عبدالرحمن الصاعدي</t>
        </is>
      </c>
      <c r="D302" s="13" t="n">
        <v>590484805</v>
      </c>
      <c r="E302" s="13" t="inlineStr">
        <is>
          <t>لايوجد</t>
        </is>
      </c>
      <c r="F302" s="13" t="inlineStr">
        <is>
          <t>هواة</t>
        </is>
      </c>
      <c r="G302" s="13" t="inlineStr">
        <is>
          <t>المدينة المنورة</t>
        </is>
      </c>
      <c r="H302" s="13" t="inlineStr">
        <is>
          <t>المدينة المنورة</t>
        </is>
      </c>
      <c r="I302" s="17" t="inlineStr">
        <is>
          <t>المدينة المنورة</t>
        </is>
      </c>
      <c r="J302" s="13" t="n">
        <v>1</v>
      </c>
      <c r="K302" s="13" t="n">
        <v>0</v>
      </c>
      <c r="L302" s="13" t="n">
        <v>1</v>
      </c>
      <c r="M302" s="13" t="n">
        <v>1</v>
      </c>
      <c r="N302" s="13" t="n">
        <v>1</v>
      </c>
      <c r="O302" s="13" t="n">
        <v>1</v>
      </c>
      <c r="P302" s="13" t="n">
        <v>0</v>
      </c>
      <c r="Q30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2" s="13" t="n"/>
      <c r="S302" s="17" t="inlineStr">
        <is>
          <t>نعم</t>
        </is>
      </c>
    </row>
    <row r="303" ht="17" customHeight="1">
      <c r="A303" s="17">
        <f>1+A302</f>
        <v/>
      </c>
      <c r="B303" s="13" t="inlineStr">
        <is>
          <t>الهلال الشرقي</t>
        </is>
      </c>
      <c r="C303" s="13" t="inlineStr">
        <is>
          <t>علي الامير</t>
        </is>
      </c>
      <c r="D303" s="13" t="n">
        <v>554744021</v>
      </c>
      <c r="E303" s="13" t="inlineStr">
        <is>
          <t>لايوجد</t>
        </is>
      </c>
      <c r="F303" s="13" t="inlineStr">
        <is>
          <t>هواة</t>
        </is>
      </c>
      <c r="G303" s="13" t="inlineStr">
        <is>
          <t>جازان</t>
        </is>
      </c>
      <c r="H303" s="13" t="inlineStr">
        <is>
          <t>أبو عريش</t>
        </is>
      </c>
      <c r="I303" s="17" t="inlineStr">
        <is>
          <t>جازان</t>
        </is>
      </c>
      <c r="J303" s="13" t="n">
        <v>1</v>
      </c>
      <c r="K303" s="13" t="n">
        <v>1</v>
      </c>
      <c r="L303" s="13" t="n">
        <v>1</v>
      </c>
      <c r="M303" s="13" t="n">
        <v>1</v>
      </c>
      <c r="N303" s="13" t="n">
        <v>1</v>
      </c>
      <c r="O303" s="13" t="n">
        <v>1</v>
      </c>
      <c r="P303" s="13" t="n">
        <v>1</v>
      </c>
      <c r="Q30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3" s="13" t="n"/>
      <c r="S303" s="17" t="inlineStr">
        <is>
          <t>نعم</t>
        </is>
      </c>
    </row>
    <row r="304" ht="17" customHeight="1">
      <c r="A304" s="17">
        <f>1+A303</f>
        <v/>
      </c>
      <c r="B304" s="13" t="inlineStr">
        <is>
          <t>اكاديمية الليجا الرياضية</t>
        </is>
      </c>
      <c r="C304" s="13" t="inlineStr">
        <is>
          <t>انس الاركاني</t>
        </is>
      </c>
      <c r="D304" s="13" t="n">
        <v>501876319</v>
      </c>
      <c r="E304" s="13" t="inlineStr">
        <is>
          <t>لايوجد</t>
        </is>
      </c>
      <c r="F304" s="13" t="inlineStr">
        <is>
          <t>هواة</t>
        </is>
      </c>
      <c r="G304" s="13" t="inlineStr">
        <is>
          <t>المدينة المنورة</t>
        </is>
      </c>
      <c r="H304" s="13" t="inlineStr">
        <is>
          <t>المدينة المنورة</t>
        </is>
      </c>
      <c r="I304" s="17" t="inlineStr">
        <is>
          <t>المدينة المنورة</t>
        </is>
      </c>
      <c r="J304" s="13" t="n">
        <v>1</v>
      </c>
      <c r="K304" s="13" t="n">
        <v>1</v>
      </c>
      <c r="L304" s="13" t="n">
        <v>1</v>
      </c>
      <c r="M304" s="13" t="n">
        <v>1</v>
      </c>
      <c r="N304" s="13" t="n">
        <v>1</v>
      </c>
      <c r="O304" s="13" t="n">
        <v>1</v>
      </c>
      <c r="P304" s="13" t="n">
        <v>1</v>
      </c>
      <c r="Q30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4" s="13" t="n"/>
      <c r="S304" s="17" t="inlineStr">
        <is>
          <t>نعم</t>
        </is>
      </c>
    </row>
    <row r="305" ht="17" customHeight="1">
      <c r="A305" s="17">
        <f>1+A304</f>
        <v/>
      </c>
      <c r="B305" s="13" t="inlineStr">
        <is>
          <t>اكاديمية تندحة الرياضية</t>
        </is>
      </c>
      <c r="C305" s="13" t="inlineStr">
        <is>
          <t>عبدالله متعب</t>
        </is>
      </c>
      <c r="D305" s="13" t="n">
        <v>500644232</v>
      </c>
      <c r="E305" s="13" t="inlineStr">
        <is>
          <t>لايوجد</t>
        </is>
      </c>
      <c r="F305" s="13" t="inlineStr">
        <is>
          <t>هواة</t>
        </is>
      </c>
      <c r="G305" s="13" t="inlineStr">
        <is>
          <t>عسير</t>
        </is>
      </c>
      <c r="H305" s="13" t="inlineStr">
        <is>
          <t>خميس مشيط</t>
        </is>
      </c>
      <c r="I305" s="17" t="inlineStr">
        <is>
          <t>عسير</t>
        </is>
      </c>
      <c r="J305" s="13" t="n">
        <v>1</v>
      </c>
      <c r="K305" s="13" t="n">
        <v>1</v>
      </c>
      <c r="L305" s="13" t="n">
        <v>1</v>
      </c>
      <c r="M305" s="13" t="n">
        <v>1</v>
      </c>
      <c r="N305" s="13" t="n">
        <v>1</v>
      </c>
      <c r="O305" s="13" t="n">
        <v>0</v>
      </c>
      <c r="P305" s="13" t="n">
        <v>0</v>
      </c>
      <c r="Q30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5" s="13" t="n"/>
      <c r="S305" s="17" t="inlineStr">
        <is>
          <t>نعم</t>
        </is>
      </c>
    </row>
    <row r="306" ht="17" customHeight="1">
      <c r="A306" s="17">
        <f>1+A305</f>
        <v/>
      </c>
      <c r="B306" s="13" t="inlineStr">
        <is>
          <t>صفوة مواهب الجنوب</t>
        </is>
      </c>
      <c r="C306" s="13" t="inlineStr">
        <is>
          <t>الهيثم غزواني</t>
        </is>
      </c>
      <c r="D306" s="13" t="n">
        <v>504310712</v>
      </c>
      <c r="E306" s="13" t="inlineStr">
        <is>
          <t>لايوجد</t>
        </is>
      </c>
      <c r="F306" s="13" t="inlineStr">
        <is>
          <t>هواة</t>
        </is>
      </c>
      <c r="G306" s="13" t="inlineStr">
        <is>
          <t>عسير</t>
        </is>
      </c>
      <c r="H306" s="13" t="inlineStr">
        <is>
          <t>خميس مشيط</t>
        </is>
      </c>
      <c r="I306" s="17" t="inlineStr">
        <is>
          <t>عسير</t>
        </is>
      </c>
      <c r="J306" s="13" t="n">
        <v>1</v>
      </c>
      <c r="K306" s="13" t="n">
        <v>0</v>
      </c>
      <c r="L306" s="13" t="n">
        <v>1</v>
      </c>
      <c r="M306" s="13" t="n">
        <v>0</v>
      </c>
      <c r="N306" s="13" t="n">
        <v>1</v>
      </c>
      <c r="O306" s="13" t="n">
        <v>1</v>
      </c>
      <c r="P306" s="13" t="n">
        <v>0</v>
      </c>
      <c r="Q30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6" s="13" t="inlineStr">
        <is>
          <t>لم يتم السداد</t>
        </is>
      </c>
      <c r="S306" s="17" t="inlineStr">
        <is>
          <t>نعم</t>
        </is>
      </c>
    </row>
    <row r="307" ht="17" customHeight="1">
      <c r="A307" s="17">
        <f>1+A306</f>
        <v/>
      </c>
      <c r="B307" s="13" t="inlineStr">
        <is>
          <t>هواة تبوك</t>
        </is>
      </c>
      <c r="C307" s="13" t="inlineStr">
        <is>
          <t>خالد البلوي</t>
        </is>
      </c>
      <c r="D307" s="13" t="n">
        <v>551402129</v>
      </c>
      <c r="E307" s="13" t="inlineStr">
        <is>
          <t>لايوجد</t>
        </is>
      </c>
      <c r="F307" s="13" t="inlineStr">
        <is>
          <t>هواة</t>
        </is>
      </c>
      <c r="G307" s="13" t="inlineStr">
        <is>
          <t>تبوك</t>
        </is>
      </c>
      <c r="H307" s="13" t="inlineStr">
        <is>
          <t>تبوك</t>
        </is>
      </c>
      <c r="I307" s="17" t="inlineStr">
        <is>
          <t>تبوك</t>
        </is>
      </c>
      <c r="J307" s="13" t="n">
        <v>1</v>
      </c>
      <c r="K307" s="13" t="n">
        <v>0</v>
      </c>
      <c r="L307" s="13" t="n">
        <v>1</v>
      </c>
      <c r="M307" s="13" t="n">
        <v>0</v>
      </c>
      <c r="N307" s="13" t="n">
        <v>0</v>
      </c>
      <c r="O307" s="13" t="n">
        <v>0</v>
      </c>
      <c r="P307" s="13" t="n">
        <v>0</v>
      </c>
      <c r="Q30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7" s="13" t="inlineStr">
        <is>
          <t>لم يتم السداد</t>
        </is>
      </c>
      <c r="S307" s="17" t="inlineStr">
        <is>
          <t>نعم</t>
        </is>
      </c>
    </row>
    <row r="308" ht="17" customHeight="1">
      <c r="A308" s="17">
        <f>1+A307</f>
        <v/>
      </c>
      <c r="B308" s="13" t="inlineStr">
        <is>
          <t>الشباب</t>
        </is>
      </c>
      <c r="C308" s="13" t="inlineStr">
        <is>
          <t xml:space="preserve">عبدالعزيز المالك </t>
        </is>
      </c>
      <c r="D308" s="13" t="n">
        <v>550337788</v>
      </c>
      <c r="E308" s="13" t="inlineStr">
        <is>
          <t>يحدد لاحقا</t>
        </is>
      </c>
      <c r="F308" s="13" t="inlineStr">
        <is>
          <t>نادي</t>
        </is>
      </c>
      <c r="G308" s="13" t="inlineStr">
        <is>
          <t>الرياض</t>
        </is>
      </c>
      <c r="H308" s="13" t="inlineStr">
        <is>
          <t>الرياض</t>
        </is>
      </c>
      <c r="I308" s="17" t="inlineStr">
        <is>
          <t>الرياض</t>
        </is>
      </c>
      <c r="J308" s="13" t="n">
        <v>1</v>
      </c>
      <c r="K308" s="13" t="n">
        <v>1</v>
      </c>
      <c r="L308" s="13" t="n">
        <v>1</v>
      </c>
      <c r="M308" s="13" t="n">
        <v>1</v>
      </c>
      <c r="N308" s="13" t="n">
        <v>1</v>
      </c>
      <c r="O308" s="13" t="n">
        <v>1</v>
      </c>
      <c r="P308" s="13" t="n">
        <v>1</v>
      </c>
      <c r="Q30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8" s="13" t="n"/>
      <c r="S308" s="17" t="n"/>
    </row>
    <row r="309" ht="17" customHeight="1">
      <c r="A309" s="17">
        <f>1+A308</f>
        <v/>
      </c>
      <c r="B309" s="13" t="inlineStr">
        <is>
          <t>الفذ</t>
        </is>
      </c>
      <c r="C309" s="13" t="inlineStr">
        <is>
          <t xml:space="preserve">عبدالرحمن الجليفي </t>
        </is>
      </c>
      <c r="D309" s="13" t="n">
        <v>563914376</v>
      </c>
      <c r="E309" s="13" t="inlineStr">
        <is>
          <t>اسيست</t>
        </is>
      </c>
      <c r="F309" s="13" t="inlineStr">
        <is>
          <t>نادي</t>
        </is>
      </c>
      <c r="G309" s="13" t="inlineStr">
        <is>
          <t>الرياض</t>
        </is>
      </c>
      <c r="H309" s="13" t="inlineStr">
        <is>
          <t>الرياض</t>
        </is>
      </c>
      <c r="I309" s="17" t="inlineStr">
        <is>
          <t>الرياض</t>
        </is>
      </c>
      <c r="J309" s="13" t="n">
        <v>1</v>
      </c>
      <c r="K309" s="13" t="n">
        <v>1</v>
      </c>
      <c r="L309" s="13" t="n">
        <v>1</v>
      </c>
      <c r="M309" s="13" t="n">
        <v>1</v>
      </c>
      <c r="N309" s="13" t="n">
        <v>1</v>
      </c>
      <c r="O309" s="13" t="n">
        <v>1</v>
      </c>
      <c r="P309" s="13" t="n">
        <v>1</v>
      </c>
      <c r="Q30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09" s="13" t="n"/>
      <c r="S309" s="17" t="n"/>
    </row>
    <row r="310" ht="17" customHeight="1">
      <c r="A310" s="17">
        <f>1+A309</f>
        <v/>
      </c>
      <c r="B310" s="13" t="inlineStr">
        <is>
          <t>الابتسام</t>
        </is>
      </c>
      <c r="C310" s="13" t="inlineStr">
        <is>
          <t>محمد ال شبيب</t>
        </is>
      </c>
      <c r="D310" s="13" t="n">
        <v>535193060</v>
      </c>
      <c r="E310" s="13" t="inlineStr">
        <is>
          <t>الابتسام</t>
        </is>
      </c>
      <c r="F310" s="13" t="inlineStr">
        <is>
          <t>نادي</t>
        </is>
      </c>
      <c r="G310" s="13" t="inlineStr">
        <is>
          <t>الشرقية</t>
        </is>
      </c>
      <c r="H310" s="13" t="inlineStr">
        <is>
          <t>القطيف</t>
        </is>
      </c>
      <c r="I310" s="17" t="inlineStr">
        <is>
          <t>القطيف</t>
        </is>
      </c>
      <c r="J310" s="13" t="n">
        <v>1</v>
      </c>
      <c r="K310" s="13" t="n">
        <v>1</v>
      </c>
      <c r="L310" s="13" t="n">
        <v>1</v>
      </c>
      <c r="M310" s="13" t="n">
        <v>1</v>
      </c>
      <c r="N310" s="13" t="n">
        <v>0</v>
      </c>
      <c r="O310" s="13" t="n">
        <v>0</v>
      </c>
      <c r="P310" s="13" t="n">
        <v>0</v>
      </c>
      <c r="Q31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0" s="13" t="n"/>
      <c r="S310" s="17" t="n"/>
    </row>
    <row r="311" ht="17" customHeight="1">
      <c r="A311" s="17">
        <f>1+A310</f>
        <v/>
      </c>
      <c r="B311" s="19" t="inlineStr">
        <is>
          <t>اكاديمية التطور الاحترافي</t>
        </is>
      </c>
      <c r="C311" s="19" t="inlineStr">
        <is>
          <t xml:space="preserve">احمد الاسمري </t>
        </is>
      </c>
      <c r="D311" s="19" t="n">
        <v>565496560</v>
      </c>
      <c r="E311" s="19" t="inlineStr">
        <is>
          <t>نخبة الجوهرة</t>
        </is>
      </c>
      <c r="F311" s="19" t="inlineStr">
        <is>
          <t>أكاديمية</t>
        </is>
      </c>
      <c r="G311" s="19" t="inlineStr">
        <is>
          <t>مكة المكرمة</t>
        </is>
      </c>
      <c r="H311" s="19" t="inlineStr">
        <is>
          <t>جدة</t>
        </is>
      </c>
      <c r="I311" s="20" t="inlineStr">
        <is>
          <t>جدة</t>
        </is>
      </c>
      <c r="J311" s="19" t="n">
        <v>1</v>
      </c>
      <c r="K311" s="19" t="n">
        <v>0</v>
      </c>
      <c r="L311" s="19" t="n">
        <v>0</v>
      </c>
      <c r="M311" s="19" t="n">
        <v>0</v>
      </c>
      <c r="N311" s="19" t="n">
        <v>0</v>
      </c>
      <c r="O311" s="19" t="n">
        <v>0</v>
      </c>
      <c r="P311" s="19" t="n">
        <v>0</v>
      </c>
      <c r="Q31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1" s="13" t="n"/>
      <c r="S311" s="17" t="n"/>
    </row>
    <row r="312" ht="17" customHeight="1">
      <c r="A312" s="17">
        <f>1+A311</f>
        <v/>
      </c>
      <c r="B312" s="13" t="inlineStr">
        <is>
          <t xml:space="preserve">المدرسة الاسبانية </t>
        </is>
      </c>
      <c r="C312" s="13" t="inlineStr">
        <is>
          <t>نايف مهدي</t>
        </is>
      </c>
      <c r="D312" s="13" t="n">
        <v>565304647</v>
      </c>
      <c r="E312" s="13" t="inlineStr">
        <is>
          <t xml:space="preserve">المدرسة الاسبانية </t>
        </is>
      </c>
      <c r="F312" s="13" t="inlineStr">
        <is>
          <t>أكاديمية</t>
        </is>
      </c>
      <c r="G312" s="13" t="inlineStr">
        <is>
          <t>مكة المكرمة</t>
        </is>
      </c>
      <c r="H312" s="13" t="inlineStr">
        <is>
          <t>جدة</t>
        </is>
      </c>
      <c r="I312" s="17" t="inlineStr">
        <is>
          <t>جدة</t>
        </is>
      </c>
      <c r="J312" s="13" t="n">
        <v>0</v>
      </c>
      <c r="K312" s="13" t="n">
        <v>1</v>
      </c>
      <c r="L312" s="13" t="n">
        <v>1</v>
      </c>
      <c r="M312" s="13" t="n">
        <v>2</v>
      </c>
      <c r="N312" s="13" t="n">
        <v>2</v>
      </c>
      <c r="O312" s="13" t="n">
        <v>0</v>
      </c>
      <c r="P312" s="13" t="n">
        <v>0</v>
      </c>
      <c r="Q31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2" s="13" t="n"/>
      <c r="S312" s="17" t="n"/>
    </row>
    <row r="313" ht="17" customHeight="1">
      <c r="A313" s="17">
        <f>1+A312</f>
        <v/>
      </c>
      <c r="B313" s="13" t="inlineStr">
        <is>
          <t>عسفان</t>
        </is>
      </c>
      <c r="C313" s="13" t="inlineStr">
        <is>
          <t>محمد الزبيدي</t>
        </is>
      </c>
      <c r="D313" s="13" t="n">
        <v>542662114</v>
      </c>
      <c r="E313" s="13" t="inlineStr">
        <is>
          <t>ويمبلي</t>
        </is>
      </c>
      <c r="F313" s="13" t="inlineStr">
        <is>
          <t>أكاديمية</t>
        </is>
      </c>
      <c r="G313" s="13" t="inlineStr">
        <is>
          <t>مكة المكرمة</t>
        </is>
      </c>
      <c r="H313" s="13" t="inlineStr">
        <is>
          <t>جدة</t>
        </is>
      </c>
      <c r="I313" s="17" t="inlineStr">
        <is>
          <t>جدة</t>
        </is>
      </c>
      <c r="J313" s="13" t="n">
        <v>0</v>
      </c>
      <c r="K313" s="13" t="n">
        <v>0</v>
      </c>
      <c r="L313" s="13" t="n">
        <v>1</v>
      </c>
      <c r="M313" s="13" t="n">
        <v>1</v>
      </c>
      <c r="N313" s="13" t="n">
        <v>1</v>
      </c>
      <c r="O313" s="13" t="n">
        <v>0</v>
      </c>
      <c r="P313" s="13" t="n">
        <v>0</v>
      </c>
      <c r="Q31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3" s="13" t="n"/>
      <c r="S313" s="17" t="n"/>
    </row>
    <row r="314" ht="17" customHeight="1">
      <c r="A314" s="17">
        <f>1+A313</f>
        <v/>
      </c>
      <c r="B314" s="13" t="inlineStr">
        <is>
          <t>الفاو</t>
        </is>
      </c>
      <c r="C314" s="13" t="inlineStr">
        <is>
          <t xml:space="preserve">عبدالله الدوسري </t>
        </is>
      </c>
      <c r="D314" s="13" t="n">
        <v>530009764</v>
      </c>
      <c r="E314" s="13" t="inlineStr">
        <is>
          <t>لايوجد</t>
        </is>
      </c>
      <c r="F314" s="13" t="inlineStr">
        <is>
          <t>نادي</t>
        </is>
      </c>
      <c r="G314" s="13" t="inlineStr">
        <is>
          <t>الرياض</t>
        </is>
      </c>
      <c r="H314" s="13" t="inlineStr">
        <is>
          <t>الرياض</t>
        </is>
      </c>
      <c r="I314" s="17" t="inlineStr">
        <is>
          <t>الرياض</t>
        </is>
      </c>
      <c r="J314" s="13" t="n">
        <v>1</v>
      </c>
      <c r="K314" s="13" t="n">
        <v>1</v>
      </c>
      <c r="L314" s="13" t="n">
        <v>1</v>
      </c>
      <c r="M314" s="13" t="n">
        <v>1</v>
      </c>
      <c r="N314" s="13" t="n">
        <v>0</v>
      </c>
      <c r="O314" s="13" t="n">
        <v>0</v>
      </c>
      <c r="P314" s="13" t="n">
        <v>0</v>
      </c>
      <c r="Q31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4" s="13" t="n"/>
      <c r="S314" s="17" t="n"/>
    </row>
    <row r="315" ht="17" customHeight="1">
      <c r="A315" s="17">
        <f>1+A314</f>
        <v/>
      </c>
      <c r="B315" s="13" t="inlineStr">
        <is>
          <t>الكرة النارية</t>
        </is>
      </c>
      <c r="C315" s="13" t="inlineStr">
        <is>
          <t>ابتهاج مريعاني</t>
        </is>
      </c>
      <c r="D315" s="13" t="n">
        <v>552277531</v>
      </c>
      <c r="E315" s="13" t="inlineStr">
        <is>
          <t xml:space="preserve">الرؤية المحترفة </t>
        </is>
      </c>
      <c r="F315" s="13" t="inlineStr">
        <is>
          <t>أكاديمية</t>
        </is>
      </c>
      <c r="G315" s="13" t="inlineStr">
        <is>
          <t>مكة المكرمة</t>
        </is>
      </c>
      <c r="H315" s="13" t="inlineStr">
        <is>
          <t>مكة المكرمة</t>
        </is>
      </c>
      <c r="I315" s="17" t="inlineStr">
        <is>
          <t>مكة المكرمة</t>
        </is>
      </c>
      <c r="J315" s="13" t="n">
        <v>1</v>
      </c>
      <c r="K315" s="13" t="n">
        <v>1</v>
      </c>
      <c r="L315" s="13" t="n">
        <v>0</v>
      </c>
      <c r="M315" s="13" t="n">
        <v>0</v>
      </c>
      <c r="N315" s="13" t="n">
        <v>0</v>
      </c>
      <c r="O315" s="13" t="n">
        <v>0</v>
      </c>
      <c r="P315" s="13" t="n">
        <v>0</v>
      </c>
      <c r="Q31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5" s="13" t="n"/>
      <c r="S315" s="17" t="n"/>
    </row>
    <row r="316" ht="17" customHeight="1">
      <c r="A316" s="17">
        <f>1+A315</f>
        <v/>
      </c>
      <c r="B316" s="13" t="inlineStr">
        <is>
          <t>اتش اس سبورت</t>
        </is>
      </c>
      <c r="C316" s="13" t="inlineStr">
        <is>
          <t>حسن الصادق</t>
        </is>
      </c>
      <c r="D316" s="13" t="n">
        <v>54910039</v>
      </c>
      <c r="E316" s="13" t="inlineStr">
        <is>
          <t>اتش اس سبورت</t>
        </is>
      </c>
      <c r="F316" s="13" t="inlineStr">
        <is>
          <t>أكاديمية</t>
        </is>
      </c>
      <c r="G316" s="13" t="inlineStr">
        <is>
          <t>الشرقية</t>
        </is>
      </c>
      <c r="H316" s="13" t="inlineStr">
        <is>
          <t>القطيف</t>
        </is>
      </c>
      <c r="I316" s="17" t="inlineStr">
        <is>
          <t>القطيف</t>
        </is>
      </c>
      <c r="J316" s="13" t="n">
        <v>0</v>
      </c>
      <c r="K316" s="13" t="n">
        <v>0</v>
      </c>
      <c r="L316" s="13" t="n">
        <v>1</v>
      </c>
      <c r="M316" s="13" t="n">
        <v>1</v>
      </c>
      <c r="N316" s="13" t="n">
        <v>1</v>
      </c>
      <c r="O316" s="13" t="n">
        <v>1</v>
      </c>
      <c r="P316" s="13" t="n">
        <v>1</v>
      </c>
      <c r="Q31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6" s="13" t="n"/>
      <c r="S316" s="17" t="n"/>
    </row>
    <row r="317" ht="17" customHeight="1">
      <c r="A317" s="17">
        <f>1+A316</f>
        <v/>
      </c>
      <c r="B317" s="13" t="inlineStr">
        <is>
          <t>نخبة بالطايف</t>
        </is>
      </c>
      <c r="C317" s="13" t="inlineStr">
        <is>
          <t xml:space="preserve">سلطان البقمي </t>
        </is>
      </c>
      <c r="D317" s="13" t="n">
        <v>552427851</v>
      </c>
      <c r="E317" s="13" t="inlineStr">
        <is>
          <t>نخبة بالطايف</t>
        </is>
      </c>
      <c r="F317" s="13" t="inlineStr">
        <is>
          <t>أكاديمية</t>
        </is>
      </c>
      <c r="G317" s="13" t="inlineStr">
        <is>
          <t>مكة المكرمة</t>
        </is>
      </c>
      <c r="H317" s="13" t="inlineStr">
        <is>
          <t>الطائف</t>
        </is>
      </c>
      <c r="I317" s="17" t="inlineStr">
        <is>
          <t>الطائف</t>
        </is>
      </c>
      <c r="J317" s="13" t="n">
        <v>1</v>
      </c>
      <c r="K317" s="13" t="n">
        <v>1</v>
      </c>
      <c r="L317" s="13" t="n">
        <v>1</v>
      </c>
      <c r="M317" s="13" t="n">
        <v>1</v>
      </c>
      <c r="N317" s="13" t="n">
        <v>1</v>
      </c>
      <c r="O317" s="13" t="n">
        <v>1</v>
      </c>
      <c r="P317" s="13" t="n">
        <v>1</v>
      </c>
      <c r="Q31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7" s="13" t="n"/>
      <c r="S317" s="17" t="n"/>
    </row>
    <row r="318" ht="17" customHeight="1">
      <c r="A318" s="17">
        <f>1+A317</f>
        <v/>
      </c>
      <c r="B318" s="13" t="inlineStr">
        <is>
          <t>الولاء الرياضي</t>
        </is>
      </c>
      <c r="C318" s="13" t="inlineStr">
        <is>
          <t>ابراهيم النمر</t>
        </is>
      </c>
      <c r="D318" s="13" t="n">
        <v>540338999</v>
      </c>
      <c r="E318" s="13" t="inlineStr">
        <is>
          <t>لايوجد</t>
        </is>
      </c>
      <c r="F318" s="13" t="inlineStr">
        <is>
          <t>أكاديمية</t>
        </is>
      </c>
      <c r="G318" s="13" t="inlineStr">
        <is>
          <t>الشرقية</t>
        </is>
      </c>
      <c r="H318" s="13" t="inlineStr">
        <is>
          <t>القطيف</t>
        </is>
      </c>
      <c r="I318" s="17" t="inlineStr">
        <is>
          <t>القطيف</t>
        </is>
      </c>
      <c r="J318" s="13" t="n">
        <v>0</v>
      </c>
      <c r="K318" s="13" t="n">
        <v>0</v>
      </c>
      <c r="L318" s="13" t="n">
        <v>1</v>
      </c>
      <c r="M318" s="13" t="n">
        <v>0</v>
      </c>
      <c r="N318" s="13" t="n">
        <v>1</v>
      </c>
      <c r="O318" s="13" t="n">
        <v>1</v>
      </c>
      <c r="P318" s="13" t="n">
        <v>0</v>
      </c>
      <c r="Q31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8" s="13" t="n"/>
      <c r="S318" s="17" t="n"/>
    </row>
    <row r="319" ht="17" customHeight="1">
      <c r="A319" s="17">
        <f>1+A318</f>
        <v/>
      </c>
      <c r="B319" s="13" t="inlineStr">
        <is>
          <t>القادسية</t>
        </is>
      </c>
      <c r="C319" s="13" t="inlineStr">
        <is>
          <t>جيمس</t>
        </is>
      </c>
      <c r="D319" s="13" t="n">
        <v>558002770</v>
      </c>
      <c r="E319" s="13" t="inlineStr">
        <is>
          <t>رديف القادسية</t>
        </is>
      </c>
      <c r="F319" s="13" t="inlineStr">
        <is>
          <t>نادي</t>
        </is>
      </c>
      <c r="G319" s="13" t="inlineStr">
        <is>
          <t>الشرقية</t>
        </is>
      </c>
      <c r="H319" s="13" t="inlineStr">
        <is>
          <t>الخبر</t>
        </is>
      </c>
      <c r="I319" s="17" t="inlineStr">
        <is>
          <t>الشرقية</t>
        </is>
      </c>
      <c r="J319" s="13" t="n">
        <v>1</v>
      </c>
      <c r="K319" s="13" t="n">
        <v>1</v>
      </c>
      <c r="L319" s="13" t="n">
        <v>2</v>
      </c>
      <c r="M319" s="13" t="n">
        <v>2</v>
      </c>
      <c r="N319" s="13" t="n">
        <v>1</v>
      </c>
      <c r="O319" s="13" t="n">
        <v>0</v>
      </c>
      <c r="P319" s="13" t="n">
        <v>0</v>
      </c>
      <c r="Q31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19" s="13" t="n"/>
      <c r="S319" s="17" t="n"/>
    </row>
    <row r="320" ht="17" customHeight="1">
      <c r="A320" s="17">
        <f>1+A319</f>
        <v/>
      </c>
      <c r="B320" s="13" t="inlineStr">
        <is>
          <t>الصفا</t>
        </is>
      </c>
      <c r="C320" s="13" t="inlineStr">
        <is>
          <t>علي السادة</t>
        </is>
      </c>
      <c r="D320" s="13" t="n">
        <v>504986716</v>
      </c>
      <c r="E320" s="13" t="inlineStr">
        <is>
          <t xml:space="preserve">صفا العروبة </t>
        </is>
      </c>
      <c r="F320" s="13" t="inlineStr">
        <is>
          <t>نادي</t>
        </is>
      </c>
      <c r="G320" s="13" t="inlineStr">
        <is>
          <t>الشرقية</t>
        </is>
      </c>
      <c r="H320" s="13" t="inlineStr">
        <is>
          <t>القطيف</t>
        </is>
      </c>
      <c r="I320" s="17" t="inlineStr">
        <is>
          <t>القطيف</t>
        </is>
      </c>
      <c r="J320" s="13" t="n">
        <v>0</v>
      </c>
      <c r="K320" s="13" t="n">
        <v>0</v>
      </c>
      <c r="L320" s="13" t="n">
        <v>1</v>
      </c>
      <c r="M320" s="13" t="n">
        <v>1</v>
      </c>
      <c r="N320" s="13" t="n">
        <v>0</v>
      </c>
      <c r="O320" s="13" t="n">
        <v>0</v>
      </c>
      <c r="P320" s="13" t="n">
        <v>0</v>
      </c>
      <c r="Q32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0" s="13" t="n"/>
      <c r="S320" s="17" t="n"/>
    </row>
    <row r="321" ht="17" customHeight="1">
      <c r="A321" s="17">
        <f>1+A320</f>
        <v/>
      </c>
      <c r="B321" s="13" t="inlineStr">
        <is>
          <t>النصر</t>
        </is>
      </c>
      <c r="C321" s="13" t="inlineStr">
        <is>
          <t>خوسيه سيميدو</t>
        </is>
      </c>
      <c r="D321" s="13" t="n">
        <v>505110198</v>
      </c>
      <c r="E321" s="13" t="inlineStr">
        <is>
          <t>رديف النصر</t>
        </is>
      </c>
      <c r="F321" s="13" t="inlineStr">
        <is>
          <t>نادي</t>
        </is>
      </c>
      <c r="G321" s="13" t="inlineStr">
        <is>
          <t>الرياض</t>
        </is>
      </c>
      <c r="H321" s="13" t="inlineStr">
        <is>
          <t>الرياض</t>
        </is>
      </c>
      <c r="I321" s="17" t="inlineStr">
        <is>
          <t>الرياض</t>
        </is>
      </c>
      <c r="J321" s="13" t="n">
        <v>1</v>
      </c>
      <c r="K321" s="13" t="n">
        <v>1</v>
      </c>
      <c r="L321" s="13" t="n">
        <v>2</v>
      </c>
      <c r="M321" s="13" t="n">
        <v>2</v>
      </c>
      <c r="N321" s="13" t="n">
        <v>2</v>
      </c>
      <c r="O321" s="13" t="n">
        <v>2</v>
      </c>
      <c r="P321" s="13" t="n">
        <v>2</v>
      </c>
      <c r="Q32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1" s="13" t="n"/>
      <c r="S321" s="17" t="n"/>
    </row>
    <row r="322" ht="17" customHeight="1">
      <c r="A322" s="17">
        <f>1+A321</f>
        <v/>
      </c>
      <c r="B322" s="13" t="inlineStr">
        <is>
          <t>النور</t>
        </is>
      </c>
      <c r="C322" s="13" t="inlineStr">
        <is>
          <t>باسم ال صفوان</t>
        </is>
      </c>
      <c r="D322" s="13" t="n">
        <v>501133576</v>
      </c>
      <c r="E322" s="13" t="inlineStr">
        <is>
          <t>النور</t>
        </is>
      </c>
      <c r="F322" s="13" t="inlineStr">
        <is>
          <t>نادي</t>
        </is>
      </c>
      <c r="G322" s="13" t="inlineStr">
        <is>
          <t>الشرقية</t>
        </is>
      </c>
      <c r="H322" s="13" t="inlineStr">
        <is>
          <t>القطيف</t>
        </is>
      </c>
      <c r="I322" s="17" t="inlineStr">
        <is>
          <t>القطيف</t>
        </is>
      </c>
      <c r="J322" s="13" t="n">
        <v>1</v>
      </c>
      <c r="K322" s="13" t="n">
        <v>1</v>
      </c>
      <c r="L322" s="13" t="n">
        <v>1</v>
      </c>
      <c r="M322" s="13" t="n">
        <v>1</v>
      </c>
      <c r="N322" s="13" t="n">
        <v>1</v>
      </c>
      <c r="O322" s="13" t="n">
        <v>1</v>
      </c>
      <c r="P322" s="13" t="n">
        <v>1</v>
      </c>
      <c r="Q32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2" s="13" t="n"/>
      <c r="S322" s="17" t="n"/>
    </row>
    <row r="323" ht="17" customHeight="1">
      <c r="A323" s="17">
        <f>1+A322</f>
        <v/>
      </c>
      <c r="B323" s="13" t="inlineStr">
        <is>
          <t>المساعدية</t>
        </is>
      </c>
      <c r="C323" s="13" t="inlineStr">
        <is>
          <t>ضاري العماش</t>
        </is>
      </c>
      <c r="D323" s="13" t="n">
        <v>5477055324</v>
      </c>
      <c r="E323" s="13" t="inlineStr">
        <is>
          <t>مدينة الامير عبدالله بن عبدالعزيز</t>
        </is>
      </c>
      <c r="F323" s="13" t="inlineStr">
        <is>
          <t>أكاديمية</t>
        </is>
      </c>
      <c r="G323" s="13" t="inlineStr">
        <is>
          <t>الجوف</t>
        </is>
      </c>
      <c r="H323" s="13" t="inlineStr">
        <is>
          <t>سكاكا</t>
        </is>
      </c>
      <c r="I323" s="17" t="inlineStr">
        <is>
          <t>الجوف</t>
        </is>
      </c>
      <c r="J323" s="13" t="n">
        <v>1</v>
      </c>
      <c r="K323" s="13" t="n">
        <v>0</v>
      </c>
      <c r="L323" s="13" t="n">
        <v>0</v>
      </c>
      <c r="M323" s="13" t="n">
        <v>0</v>
      </c>
      <c r="N323" s="13" t="n">
        <v>0</v>
      </c>
      <c r="O323" s="13" t="n">
        <v>0</v>
      </c>
      <c r="P323" s="13" t="n">
        <v>0</v>
      </c>
      <c r="Q32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3" s="13" t="n"/>
      <c r="S323" s="17" t="n"/>
    </row>
    <row r="324" ht="17" customHeight="1">
      <c r="A324" s="17">
        <f>1+A323</f>
        <v/>
      </c>
      <c r="B324" s="13" t="inlineStr">
        <is>
          <t>نجوم الملاعب</t>
        </is>
      </c>
      <c r="C324" s="13" t="inlineStr">
        <is>
          <t>محمد الدلبحي</t>
        </is>
      </c>
      <c r="D324" s="13" t="n">
        <v>554010215</v>
      </c>
      <c r="E324" s="13" t="inlineStr">
        <is>
          <t>الامل والمستقبل</t>
        </is>
      </c>
      <c r="F324" s="13" t="inlineStr">
        <is>
          <t>نادي</t>
        </is>
      </c>
      <c r="G324" s="13" t="inlineStr">
        <is>
          <t>الرياض</t>
        </is>
      </c>
      <c r="H324" s="13" t="inlineStr">
        <is>
          <t>الرياض</t>
        </is>
      </c>
      <c r="I324" s="17" t="inlineStr">
        <is>
          <t>الرياض</t>
        </is>
      </c>
      <c r="J324" s="13" t="n">
        <v>0</v>
      </c>
      <c r="K324" s="13" t="n">
        <v>0</v>
      </c>
      <c r="L324" s="13" t="n">
        <v>1</v>
      </c>
      <c r="M324" s="13" t="n">
        <v>1</v>
      </c>
      <c r="N324" s="13" t="n">
        <v>1</v>
      </c>
      <c r="O324" s="13" t="n">
        <v>1</v>
      </c>
      <c r="P324" s="13" t="n">
        <v>1</v>
      </c>
      <c r="Q32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4" s="13" t="n"/>
      <c r="S324" s="17" t="n"/>
    </row>
    <row r="325" ht="17" customHeight="1">
      <c r="A325" s="17">
        <f>1+A324</f>
        <v/>
      </c>
      <c r="B325" s="13" t="inlineStr">
        <is>
          <t>مدريدستا</t>
        </is>
      </c>
      <c r="C325" s="13" t="inlineStr">
        <is>
          <t>يوسف النعيمي</t>
        </is>
      </c>
      <c r="D325" s="13" t="n">
        <v>543388053</v>
      </c>
      <c r="E325" s="13" t="inlineStr">
        <is>
          <t>لايوجد</t>
        </is>
      </c>
      <c r="F325" s="13" t="inlineStr">
        <is>
          <t>أكاديمية</t>
        </is>
      </c>
      <c r="G325" s="13" t="inlineStr">
        <is>
          <t>الشرقية</t>
        </is>
      </c>
      <c r="H325" s="13" t="inlineStr">
        <is>
          <t>الدمام</t>
        </is>
      </c>
      <c r="I325" s="17" t="inlineStr">
        <is>
          <t>الشرقية</t>
        </is>
      </c>
      <c r="J325" s="13" t="n">
        <v>0</v>
      </c>
      <c r="K325" s="13" t="n">
        <v>1</v>
      </c>
      <c r="L325" s="13" t="n">
        <v>1</v>
      </c>
      <c r="M325" s="13" t="n">
        <v>1</v>
      </c>
      <c r="N325" s="13" t="n">
        <v>1</v>
      </c>
      <c r="O325" s="13" t="n">
        <v>0</v>
      </c>
      <c r="P325" s="13" t="n">
        <v>0</v>
      </c>
      <c r="Q32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5" s="13" t="n"/>
      <c r="S325" s="17" t="n"/>
    </row>
    <row r="326" ht="17" customHeight="1">
      <c r="A326" s="17">
        <f>1+A325</f>
        <v/>
      </c>
      <c r="B326" s="13" t="inlineStr">
        <is>
          <t>الثقبة</t>
        </is>
      </c>
      <c r="C326" s="13" t="inlineStr">
        <is>
          <t>خالد الصياح</t>
        </is>
      </c>
      <c r="D326" s="13" t="n">
        <v>545980220</v>
      </c>
      <c r="E326" s="13" t="inlineStr">
        <is>
          <t>لايوجد</t>
        </is>
      </c>
      <c r="F326" s="13" t="inlineStr">
        <is>
          <t>نادي</t>
        </is>
      </c>
      <c r="G326" s="13" t="inlineStr">
        <is>
          <t>الشرقية</t>
        </is>
      </c>
      <c r="H326" s="13" t="inlineStr">
        <is>
          <t>الخبر</t>
        </is>
      </c>
      <c r="I326" s="17" t="inlineStr">
        <is>
          <t>الشرقية</t>
        </is>
      </c>
      <c r="J326" s="13" t="n">
        <v>1</v>
      </c>
      <c r="K326" s="13" t="n">
        <v>1</v>
      </c>
      <c r="L326" s="13" t="n">
        <v>1</v>
      </c>
      <c r="M326" s="13" t="n">
        <v>1</v>
      </c>
      <c r="N326" s="13" t="n">
        <v>1</v>
      </c>
      <c r="O326" s="13" t="n">
        <v>1</v>
      </c>
      <c r="P326" s="13" t="n">
        <v>1</v>
      </c>
      <c r="Q32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6" s="13" t="n"/>
      <c r="S326" s="17" t="n"/>
    </row>
    <row r="327" ht="17" customHeight="1">
      <c r="A327" s="17">
        <f>1+A326</f>
        <v/>
      </c>
      <c r="B327" s="13" t="inlineStr">
        <is>
          <t>اتحاد العزم</t>
        </is>
      </c>
      <c r="C327" s="13" t="inlineStr">
        <is>
          <t>احمد الحاجي</t>
        </is>
      </c>
      <c r="D327" s="13" t="n">
        <v>567767171</v>
      </c>
      <c r="E327" s="13" t="inlineStr">
        <is>
          <t>فوارس التويثير</t>
        </is>
      </c>
      <c r="F327" s="13" t="inlineStr">
        <is>
          <t>أكاديمية</t>
        </is>
      </c>
      <c r="G327" s="13" t="inlineStr">
        <is>
          <t>الشرقية</t>
        </is>
      </c>
      <c r="H327" s="13" t="inlineStr">
        <is>
          <t>الأحساء</t>
        </is>
      </c>
      <c r="I327" s="17" t="inlineStr">
        <is>
          <t>الأحساء</t>
        </is>
      </c>
      <c r="J327" s="13" t="n">
        <v>1</v>
      </c>
      <c r="K327" s="13" t="n">
        <v>0</v>
      </c>
      <c r="L327" s="13" t="n">
        <v>1</v>
      </c>
      <c r="M327" s="13" t="n">
        <v>0</v>
      </c>
      <c r="N327" s="13" t="n">
        <v>1</v>
      </c>
      <c r="O327" s="13" t="n">
        <v>1</v>
      </c>
      <c r="P327" s="13" t="n">
        <v>1</v>
      </c>
      <c r="Q32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7" s="13" t="n"/>
      <c r="S327" s="17" t="n"/>
    </row>
    <row r="328" ht="17" customHeight="1">
      <c r="A328" s="17">
        <f>1+A327</f>
        <v/>
      </c>
      <c r="B328" s="13" t="inlineStr">
        <is>
          <t>اكاديمية بلو باور جدة</t>
        </is>
      </c>
      <c r="C328" s="13" t="inlineStr">
        <is>
          <t xml:space="preserve">علي الحسيني </t>
        </is>
      </c>
      <c r="D328" s="13" t="n">
        <v>599376684</v>
      </c>
      <c r="E328" s="13" t="inlineStr">
        <is>
          <t xml:space="preserve">لايوجد </t>
        </is>
      </c>
      <c r="F328" s="13" t="inlineStr">
        <is>
          <t>هواة</t>
        </is>
      </c>
      <c r="G328" s="13" t="inlineStr">
        <is>
          <t>مكة المكرمة</t>
        </is>
      </c>
      <c r="H328" s="13" t="inlineStr">
        <is>
          <t>جدة</t>
        </is>
      </c>
      <c r="I328" s="17" t="inlineStr">
        <is>
          <t>جدة</t>
        </is>
      </c>
      <c r="J328" s="13" t="n">
        <v>0</v>
      </c>
      <c r="K328" s="13" t="n">
        <v>1</v>
      </c>
      <c r="L328" s="13" t="n">
        <v>1</v>
      </c>
      <c r="M328" s="13" t="n">
        <v>1</v>
      </c>
      <c r="N328" s="13" t="n">
        <v>1</v>
      </c>
      <c r="O328" s="13" t="n">
        <v>1</v>
      </c>
      <c r="P328" s="13" t="n">
        <v>1</v>
      </c>
      <c r="Q32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8" s="13" t="n"/>
      <c r="S328" s="17" t="inlineStr">
        <is>
          <t>نعم</t>
        </is>
      </c>
    </row>
    <row r="329" ht="17" customHeight="1">
      <c r="A329" s="17">
        <f>1+A328</f>
        <v/>
      </c>
      <c r="B329" s="13" t="inlineStr">
        <is>
          <t>المملكة</t>
        </is>
      </c>
      <c r="C329" s="13" t="inlineStr">
        <is>
          <t>احمد علي</t>
        </is>
      </c>
      <c r="D329" s="13" t="n">
        <v>542704065</v>
      </c>
      <c r="E329" s="13" t="inlineStr">
        <is>
          <t>لايوجد</t>
        </is>
      </c>
      <c r="F329" s="13" t="inlineStr">
        <is>
          <t>أكاديمية</t>
        </is>
      </c>
      <c r="G329" s="13" t="inlineStr">
        <is>
          <t>مكة المكرمة</t>
        </is>
      </c>
      <c r="H329" s="13" t="inlineStr">
        <is>
          <t>مكة المكرمة</t>
        </is>
      </c>
      <c r="I329" s="17" t="inlineStr">
        <is>
          <t>مكة المكرمة</t>
        </is>
      </c>
      <c r="J329" s="13" t="n">
        <v>0</v>
      </c>
      <c r="K329" s="13" t="n">
        <v>1</v>
      </c>
      <c r="L329" s="13" t="n">
        <v>0</v>
      </c>
      <c r="M329" s="13" t="n">
        <v>0</v>
      </c>
      <c r="N329" s="13" t="n">
        <v>0</v>
      </c>
      <c r="O329" s="13" t="n">
        <v>0</v>
      </c>
      <c r="P329" s="13" t="n">
        <v>0</v>
      </c>
      <c r="Q32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29" s="13" t="n"/>
      <c r="S329" s="17" t="n"/>
    </row>
    <row r="330" ht="17" customHeight="1">
      <c r="A330" s="17">
        <f>1+A329</f>
        <v/>
      </c>
      <c r="B330" s="13" t="inlineStr">
        <is>
          <t>إي إس زد الطائف</t>
        </is>
      </c>
      <c r="C330" s="13" t="inlineStr">
        <is>
          <t>عبدالله الزهراني</t>
        </is>
      </c>
      <c r="D330" s="13" t="n">
        <v>550088733</v>
      </c>
      <c r="E330" s="13" t="inlineStr">
        <is>
          <t>لايوجد</t>
        </is>
      </c>
      <c r="F330" s="13" t="inlineStr">
        <is>
          <t>هواة</t>
        </is>
      </c>
      <c r="G330" s="13" t="inlineStr">
        <is>
          <t>مكة المكرمة</t>
        </is>
      </c>
      <c r="H330" s="13" t="inlineStr">
        <is>
          <t>الطائف</t>
        </is>
      </c>
      <c r="I330" s="17" t="inlineStr">
        <is>
          <t>الطائف</t>
        </is>
      </c>
      <c r="J330" s="13" t="n">
        <v>1</v>
      </c>
      <c r="K330" s="13" t="n">
        <v>1</v>
      </c>
      <c r="L330" s="13" t="n">
        <v>0</v>
      </c>
      <c r="M330" s="13" t="n">
        <v>1</v>
      </c>
      <c r="N330" s="13" t="n">
        <v>0</v>
      </c>
      <c r="O330" s="13" t="n">
        <v>0</v>
      </c>
      <c r="P330" s="13" t="n">
        <v>0</v>
      </c>
      <c r="Q33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0" s="13" t="n"/>
      <c r="S330" s="17" t="inlineStr">
        <is>
          <t>نعم</t>
        </is>
      </c>
    </row>
    <row r="331" ht="17" customHeight="1">
      <c r="A331" s="17">
        <f>1+A330</f>
        <v/>
      </c>
      <c r="B331" s="13" t="inlineStr">
        <is>
          <t>فريق البعد</t>
        </is>
      </c>
      <c r="C331" s="13" t="inlineStr">
        <is>
          <t>عمر باعيسى</t>
        </is>
      </c>
      <c r="D331" s="13" t="n">
        <v>503600005</v>
      </c>
      <c r="E331" s="13" t="inlineStr">
        <is>
          <t>لايوجد</t>
        </is>
      </c>
      <c r="F331" s="13" t="inlineStr">
        <is>
          <t>هواة</t>
        </is>
      </c>
      <c r="G331" s="13" t="inlineStr">
        <is>
          <t>مكة المكرمة</t>
        </is>
      </c>
      <c r="H331" s="13" t="inlineStr">
        <is>
          <t>جدة</t>
        </is>
      </c>
      <c r="I331" s="17" t="inlineStr">
        <is>
          <t>جدة</t>
        </is>
      </c>
      <c r="J331" s="13" t="n">
        <v>1</v>
      </c>
      <c r="K331" s="13" t="n">
        <v>1</v>
      </c>
      <c r="L331" s="13" t="n">
        <v>1</v>
      </c>
      <c r="M331" s="13" t="n">
        <v>0</v>
      </c>
      <c r="N331" s="13" t="n">
        <v>0</v>
      </c>
      <c r="O331" s="13" t="n">
        <v>0</v>
      </c>
      <c r="P331" s="13" t="n">
        <v>0</v>
      </c>
      <c r="Q33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1" s="13" t="n"/>
      <c r="S331" s="17" t="inlineStr">
        <is>
          <t>نعم</t>
        </is>
      </c>
    </row>
    <row r="332" ht="17" customHeight="1">
      <c r="A332" s="17">
        <f>1+A331</f>
        <v/>
      </c>
      <c r="B332" s="13" t="inlineStr">
        <is>
          <t>زد ام سي القنفذة</t>
        </is>
      </c>
      <c r="C332" s="13" t="inlineStr">
        <is>
          <t>محمد الزبيدي</t>
        </is>
      </c>
      <c r="D332" s="13" t="n">
        <v>569003720</v>
      </c>
      <c r="E332" s="13" t="inlineStr">
        <is>
          <t>لايوجد</t>
        </is>
      </c>
      <c r="F332" s="13" t="inlineStr">
        <is>
          <t>هواة</t>
        </is>
      </c>
      <c r="G332" s="13" t="inlineStr">
        <is>
          <t>مكة المكرمة</t>
        </is>
      </c>
      <c r="H332" s="13" t="inlineStr">
        <is>
          <t>القنفذة</t>
        </is>
      </c>
      <c r="I332" s="17" t="inlineStr">
        <is>
          <t>مكة المكرمة</t>
        </is>
      </c>
      <c r="J332" s="13" t="n">
        <v>1</v>
      </c>
      <c r="K332" s="13" t="n">
        <v>1</v>
      </c>
      <c r="L332" s="13" t="n">
        <v>1</v>
      </c>
      <c r="M332" s="13" t="n">
        <v>1</v>
      </c>
      <c r="N332" s="13" t="n">
        <v>1</v>
      </c>
      <c r="O332" s="13" t="n">
        <v>0</v>
      </c>
      <c r="P332" s="13" t="n">
        <v>0</v>
      </c>
      <c r="Q33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2" s="13" t="n"/>
      <c r="S332" s="17" t="inlineStr">
        <is>
          <t>نعم</t>
        </is>
      </c>
    </row>
    <row r="333" ht="17" customHeight="1">
      <c r="A333" s="17">
        <f>1+A332</f>
        <v/>
      </c>
      <c r="B333" s="13" t="inlineStr">
        <is>
          <t>حزم الخفجي</t>
        </is>
      </c>
      <c r="C333" s="13" t="inlineStr">
        <is>
          <t>بدر بالحارث</t>
        </is>
      </c>
      <c r="D333" s="13" t="n">
        <v>544001660</v>
      </c>
      <c r="E333" s="13" t="inlineStr">
        <is>
          <t>لايوجد</t>
        </is>
      </c>
      <c r="F333" s="13" t="inlineStr">
        <is>
          <t>هواة</t>
        </is>
      </c>
      <c r="G333" s="13" t="inlineStr">
        <is>
          <t>الشرقية</t>
        </is>
      </c>
      <c r="H333" s="13" t="inlineStr">
        <is>
          <t>الخفجي</t>
        </is>
      </c>
      <c r="I333" s="17" t="inlineStr">
        <is>
          <t>حفر الباطن</t>
        </is>
      </c>
      <c r="J333" s="13" t="n">
        <v>1</v>
      </c>
      <c r="K333" s="13" t="n">
        <v>1</v>
      </c>
      <c r="L333" s="13" t="n">
        <v>1</v>
      </c>
      <c r="M333" s="13" t="n">
        <v>1</v>
      </c>
      <c r="N333" s="13" t="n">
        <v>1</v>
      </c>
      <c r="O333" s="13" t="n">
        <v>1</v>
      </c>
      <c r="P333" s="13" t="n">
        <v>1</v>
      </c>
      <c r="Q33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3" s="13" t="inlineStr">
        <is>
          <t>لم يتم السداد</t>
        </is>
      </c>
      <c r="S333" s="17" t="inlineStr">
        <is>
          <t>نعم</t>
        </is>
      </c>
    </row>
    <row r="334" ht="17" customHeight="1">
      <c r="A334" s="17">
        <f>1+A333</f>
        <v/>
      </c>
      <c r="B334" s="13" t="inlineStr">
        <is>
          <t>زعيم الخفجي</t>
        </is>
      </c>
      <c r="C334" s="13" t="inlineStr">
        <is>
          <t>حاتم العازمي</t>
        </is>
      </c>
      <c r="D334" s="45" t="n">
        <v>966550168174</v>
      </c>
      <c r="E334" s="13" t="inlineStr">
        <is>
          <t>لايوجد</t>
        </is>
      </c>
      <c r="F334" s="13" t="inlineStr">
        <is>
          <t>هواة</t>
        </is>
      </c>
      <c r="G334" s="13" t="inlineStr">
        <is>
          <t>الشرقية</t>
        </is>
      </c>
      <c r="H334" s="13" t="inlineStr">
        <is>
          <t>الخفجي</t>
        </is>
      </c>
      <c r="I334" s="17" t="inlineStr">
        <is>
          <t>حفر الباطن</t>
        </is>
      </c>
      <c r="J334" s="13" t="n">
        <v>1</v>
      </c>
      <c r="K334" s="13" t="n">
        <v>1</v>
      </c>
      <c r="L334" s="13" t="n">
        <v>1</v>
      </c>
      <c r="M334" s="13" t="n">
        <v>1</v>
      </c>
      <c r="N334" s="13" t="n">
        <v>1</v>
      </c>
      <c r="O334" s="13" t="n">
        <v>1</v>
      </c>
      <c r="P334" s="13" t="n">
        <v>1</v>
      </c>
      <c r="Q33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4" s="13" t="inlineStr">
        <is>
          <t>لم يتم السداد</t>
        </is>
      </c>
      <c r="S334" s="17" t="inlineStr">
        <is>
          <t>نعم</t>
        </is>
      </c>
    </row>
    <row r="335" ht="17" customHeight="1">
      <c r="A335" s="17">
        <f>1+A334</f>
        <v/>
      </c>
      <c r="B335" s="13" t="inlineStr">
        <is>
          <t>نابولي الخفجي</t>
        </is>
      </c>
      <c r="C335" s="13" t="inlineStr">
        <is>
          <t>شعلان الشمري</t>
        </is>
      </c>
      <c r="D335" s="13" t="n">
        <v>533978378</v>
      </c>
      <c r="E335" s="13" t="inlineStr">
        <is>
          <t>لايوجد</t>
        </is>
      </c>
      <c r="F335" s="13" t="inlineStr">
        <is>
          <t>هواة</t>
        </is>
      </c>
      <c r="G335" s="13" t="inlineStr">
        <is>
          <t>الشرقية</t>
        </is>
      </c>
      <c r="H335" s="13" t="inlineStr">
        <is>
          <t>الخفجي</t>
        </is>
      </c>
      <c r="I335" s="17" t="inlineStr">
        <is>
          <t>حفر الباطن</t>
        </is>
      </c>
      <c r="J335" s="13" t="n">
        <v>1</v>
      </c>
      <c r="K335" s="13" t="n">
        <v>1</v>
      </c>
      <c r="L335" s="13" t="n">
        <v>1</v>
      </c>
      <c r="M335" s="13" t="n">
        <v>1</v>
      </c>
      <c r="N335" s="13" t="n">
        <v>1</v>
      </c>
      <c r="O335" s="13" t="n">
        <v>1</v>
      </c>
      <c r="P335" s="13" t="n">
        <v>1</v>
      </c>
      <c r="Q33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5" s="13" t="inlineStr">
        <is>
          <t>لم يتم السداد</t>
        </is>
      </c>
      <c r="S335" s="17" t="inlineStr">
        <is>
          <t>نعم</t>
        </is>
      </c>
    </row>
    <row r="336" ht="17" customHeight="1">
      <c r="A336" s="17">
        <f>1+A335</f>
        <v/>
      </c>
      <c r="B336" s="13" t="inlineStr">
        <is>
          <t>زعيم الجنوب</t>
        </is>
      </c>
      <c r="C336" s="13" t="inlineStr">
        <is>
          <t>عادل مشهور</t>
        </is>
      </c>
      <c r="D336" s="13" t="n">
        <v>561143088</v>
      </c>
      <c r="E336" s="13" t="inlineStr">
        <is>
          <t>لايوجد</t>
        </is>
      </c>
      <c r="F336" s="13" t="inlineStr">
        <is>
          <t>هواة</t>
        </is>
      </c>
      <c r="G336" s="13" t="inlineStr">
        <is>
          <t>عسير</t>
        </is>
      </c>
      <c r="H336" s="13" t="inlineStr">
        <is>
          <t>أبها</t>
        </is>
      </c>
      <c r="I336" s="17" t="inlineStr">
        <is>
          <t>عسير</t>
        </is>
      </c>
      <c r="J336" s="13" t="n">
        <v>1</v>
      </c>
      <c r="K336" s="13" t="n">
        <v>1</v>
      </c>
      <c r="L336" s="13" t="n">
        <v>1</v>
      </c>
      <c r="M336" s="13" t="n">
        <v>1</v>
      </c>
      <c r="N336" s="13" t="n">
        <v>1</v>
      </c>
      <c r="O336" s="13" t="n">
        <v>1</v>
      </c>
      <c r="P336" s="13" t="n">
        <v>0</v>
      </c>
      <c r="Q33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6" s="13" t="n"/>
      <c r="S336" s="17" t="inlineStr">
        <is>
          <t>نعم</t>
        </is>
      </c>
    </row>
    <row r="337" ht="17" customHeight="1">
      <c r="A337" s="17">
        <f>1+A336</f>
        <v/>
      </c>
      <c r="B337" s="13" t="inlineStr">
        <is>
          <t>ميلان الخفجي</t>
        </is>
      </c>
      <c r="C337" s="13" t="inlineStr">
        <is>
          <t>محمد السبيغي</t>
        </is>
      </c>
      <c r="D337" s="13" t="n">
        <v>549138832</v>
      </c>
      <c r="E337" s="13" t="inlineStr">
        <is>
          <t>لايوجد</t>
        </is>
      </c>
      <c r="F337" s="13" t="inlineStr">
        <is>
          <t>هواة</t>
        </is>
      </c>
      <c r="G337" s="13" t="inlineStr">
        <is>
          <t>الشرقية</t>
        </is>
      </c>
      <c r="H337" s="13" t="inlineStr">
        <is>
          <t>الخفجي</t>
        </is>
      </c>
      <c r="I337" s="17" t="inlineStr">
        <is>
          <t>حفر الباطن</t>
        </is>
      </c>
      <c r="J337" s="13" t="n">
        <v>1</v>
      </c>
      <c r="K337" s="13" t="n">
        <v>1</v>
      </c>
      <c r="L337" s="13" t="n">
        <v>1</v>
      </c>
      <c r="M337" s="13" t="n">
        <v>1</v>
      </c>
      <c r="N337" s="13" t="n">
        <v>1</v>
      </c>
      <c r="O337" s="13" t="n">
        <v>1</v>
      </c>
      <c r="P337" s="13" t="n">
        <v>1</v>
      </c>
      <c r="Q33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7" s="13" t="n"/>
      <c r="S337" s="17" t="inlineStr">
        <is>
          <t>نعم</t>
        </is>
      </c>
    </row>
    <row r="338" ht="17" customHeight="1">
      <c r="A338" s="17">
        <f>1+A337</f>
        <v/>
      </c>
      <c r="B338" s="13" t="inlineStr">
        <is>
          <t>اكاديمية تايقرز</t>
        </is>
      </c>
      <c r="C338" s="13" t="inlineStr">
        <is>
          <t>عبدالفتاح الهوساوي</t>
        </is>
      </c>
      <c r="D338" s="13" t="n">
        <v>582787375</v>
      </c>
      <c r="E338" s="13" t="inlineStr">
        <is>
          <t>لايوجد</t>
        </is>
      </c>
      <c r="F338" s="13" t="inlineStr">
        <is>
          <t>هواة</t>
        </is>
      </c>
      <c r="G338" s="13" t="inlineStr">
        <is>
          <t>القصيم</t>
        </is>
      </c>
      <c r="H338" s="13" t="inlineStr">
        <is>
          <t>بريدة</t>
        </is>
      </c>
      <c r="I338" s="17" t="inlineStr">
        <is>
          <t>القصيم</t>
        </is>
      </c>
      <c r="J338" s="13" t="n">
        <v>1</v>
      </c>
      <c r="K338" s="13" t="n">
        <v>0</v>
      </c>
      <c r="L338" s="13" t="n">
        <v>1</v>
      </c>
      <c r="M338" s="13" t="n">
        <v>1</v>
      </c>
      <c r="N338" s="13" t="n">
        <v>1</v>
      </c>
      <c r="O338" s="13" t="n">
        <v>0</v>
      </c>
      <c r="P338" s="13" t="n">
        <v>0</v>
      </c>
      <c r="Q33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8" s="13" t="n"/>
      <c r="S338" s="17" t="inlineStr">
        <is>
          <t>نعم</t>
        </is>
      </c>
    </row>
    <row r="339" ht="17" customHeight="1">
      <c r="A339" s="17">
        <f>1+A338</f>
        <v/>
      </c>
      <c r="B339" s="13" t="inlineStr">
        <is>
          <t>اكاديمية سمارت تبوك</t>
        </is>
      </c>
      <c r="C339" s="13" t="inlineStr">
        <is>
          <t>يحيى مجرشي</t>
        </is>
      </c>
      <c r="D339" s="13" t="n">
        <v>565137072</v>
      </c>
      <c r="E339" s="13" t="inlineStr">
        <is>
          <t>لايوجد</t>
        </is>
      </c>
      <c r="F339" s="13" t="inlineStr">
        <is>
          <t>هواة</t>
        </is>
      </c>
      <c r="G339" s="13" t="inlineStr">
        <is>
          <t>تبوك</t>
        </is>
      </c>
      <c r="H339" s="13" t="inlineStr">
        <is>
          <t>تبوك</t>
        </is>
      </c>
      <c r="I339" s="17" t="inlineStr">
        <is>
          <t>تبوك</t>
        </is>
      </c>
      <c r="J339" s="13" t="n">
        <v>1</v>
      </c>
      <c r="K339" s="13" t="n">
        <v>1</v>
      </c>
      <c r="L339" s="13" t="n">
        <v>1</v>
      </c>
      <c r="M339" s="13" t="n">
        <v>1</v>
      </c>
      <c r="N339" s="13" t="n">
        <v>0</v>
      </c>
      <c r="O339" s="13" t="n">
        <v>0</v>
      </c>
      <c r="P339" s="13" t="n">
        <v>0</v>
      </c>
      <c r="Q33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39" s="13" t="n"/>
      <c r="S339" s="17" t="inlineStr">
        <is>
          <t>نعم</t>
        </is>
      </c>
    </row>
    <row r="340" ht="17" customHeight="1">
      <c r="A340" s="17">
        <f>1+A339</f>
        <v/>
      </c>
      <c r="B340" s="13" t="inlineStr">
        <is>
          <t xml:space="preserve">اكاديمية مجد والعلياء الرياضية </t>
        </is>
      </c>
      <c r="C340" s="13" t="inlineStr">
        <is>
          <t>محمد الثبيتي</t>
        </is>
      </c>
      <c r="D340" s="13" t="n">
        <v>555904024</v>
      </c>
      <c r="E340" s="13" t="inlineStr">
        <is>
          <t>لايوجد</t>
        </is>
      </c>
      <c r="F340" s="13" t="inlineStr">
        <is>
          <t>هواة</t>
        </is>
      </c>
      <c r="G340" s="13" t="inlineStr">
        <is>
          <t>مكة المكرمة</t>
        </is>
      </c>
      <c r="H340" s="13" t="inlineStr">
        <is>
          <t>مكة المكرمة</t>
        </is>
      </c>
      <c r="I340" s="17" t="inlineStr">
        <is>
          <t>مكة المكرمة</t>
        </is>
      </c>
      <c r="J340" s="13" t="n">
        <v>0</v>
      </c>
      <c r="K340" s="13" t="n">
        <v>0</v>
      </c>
      <c r="L340" s="13" t="n">
        <v>1</v>
      </c>
      <c r="M340" s="13" t="n">
        <v>0</v>
      </c>
      <c r="N340" s="13" t="n">
        <v>1</v>
      </c>
      <c r="O340" s="13" t="n">
        <v>1</v>
      </c>
      <c r="P340" s="13" t="n">
        <v>0</v>
      </c>
      <c r="Q34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0" s="13" t="n"/>
      <c r="S340" s="17" t="inlineStr">
        <is>
          <t>نعم</t>
        </is>
      </c>
    </row>
    <row r="341" ht="17" customHeight="1">
      <c r="A341" s="17">
        <f>1+A340</f>
        <v/>
      </c>
      <c r="B341" s="13" t="inlineStr">
        <is>
          <t>جدة فالكونز</t>
        </is>
      </c>
      <c r="C341" s="13" t="inlineStr">
        <is>
          <t>اسامة معروف</t>
        </is>
      </c>
      <c r="D341" s="13" t="n">
        <v>547736671</v>
      </c>
      <c r="E341" s="13" t="inlineStr">
        <is>
          <t>لايوجد</t>
        </is>
      </c>
      <c r="F341" s="13" t="inlineStr">
        <is>
          <t>هواة</t>
        </is>
      </c>
      <c r="G341" s="13" t="inlineStr">
        <is>
          <t>مكة المكرمة</t>
        </is>
      </c>
      <c r="H341" s="13" t="inlineStr">
        <is>
          <t>جدة</t>
        </is>
      </c>
      <c r="I341" s="17" t="inlineStr">
        <is>
          <t>جدة</t>
        </is>
      </c>
      <c r="J341" s="13" t="n">
        <v>0</v>
      </c>
      <c r="K341" s="13" t="n">
        <v>0</v>
      </c>
      <c r="L341" s="13" t="n">
        <v>0</v>
      </c>
      <c r="M341" s="13" t="n">
        <v>1</v>
      </c>
      <c r="N341" s="13" t="n">
        <v>0</v>
      </c>
      <c r="O341" s="13" t="n">
        <v>0</v>
      </c>
      <c r="P341" s="13" t="n">
        <v>0</v>
      </c>
      <c r="Q34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1" s="13" t="n"/>
      <c r="S341" s="17" t="inlineStr">
        <is>
          <t>نعم</t>
        </is>
      </c>
    </row>
    <row r="342" ht="17" customHeight="1">
      <c r="A342" s="17">
        <f>1+A341</f>
        <v/>
      </c>
      <c r="B342" s="13" t="inlineStr">
        <is>
          <t>نخبة الصمان</t>
        </is>
      </c>
      <c r="C342" s="13" t="inlineStr">
        <is>
          <t>بدر الراشد</t>
        </is>
      </c>
      <c r="D342" s="13" t="n">
        <v>507297758</v>
      </c>
      <c r="E342" s="13" t="inlineStr">
        <is>
          <t>لايوجد</t>
        </is>
      </c>
      <c r="F342" s="13" t="inlineStr">
        <is>
          <t>هواة</t>
        </is>
      </c>
      <c r="G342" s="13" t="inlineStr">
        <is>
          <t>الشرقية</t>
        </is>
      </c>
      <c r="H342" s="13" t="inlineStr">
        <is>
          <t>مركز الرفيعة</t>
        </is>
      </c>
      <c r="I342" s="17" t="inlineStr">
        <is>
          <t>حفر الباطن</t>
        </is>
      </c>
      <c r="J342" s="13" t="n">
        <v>1</v>
      </c>
      <c r="K342" s="13" t="n">
        <v>1</v>
      </c>
      <c r="L342" s="13" t="n">
        <v>1</v>
      </c>
      <c r="M342" s="13" t="n">
        <v>1</v>
      </c>
      <c r="N342" s="13" t="n">
        <v>1</v>
      </c>
      <c r="O342" s="13" t="n">
        <v>1</v>
      </c>
      <c r="P342" s="13" t="n">
        <v>1</v>
      </c>
      <c r="Q34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2" s="13" t="inlineStr">
        <is>
          <t>لم يتم السداد</t>
        </is>
      </c>
      <c r="S342" s="17" t="inlineStr">
        <is>
          <t>نعم</t>
        </is>
      </c>
    </row>
    <row r="343" ht="17" customHeight="1">
      <c r="A343" s="17">
        <f>1+A342</f>
        <v/>
      </c>
      <c r="B343" s="13" t="inlineStr">
        <is>
          <t>النخبوي</t>
        </is>
      </c>
      <c r="C343" s="13" t="inlineStr">
        <is>
          <t>فيصل الراشد</t>
        </is>
      </c>
      <c r="D343" s="13" t="n">
        <v>537196952</v>
      </c>
      <c r="E343" s="13" t="inlineStr">
        <is>
          <t>لايوجد</t>
        </is>
      </c>
      <c r="F343" s="13" t="inlineStr">
        <is>
          <t>هواة</t>
        </is>
      </c>
      <c r="G343" s="13" t="inlineStr">
        <is>
          <t>الشرقية</t>
        </is>
      </c>
      <c r="H343" s="13" t="inlineStr">
        <is>
          <t>مركز الرفيعة</t>
        </is>
      </c>
      <c r="I343" s="17" t="inlineStr">
        <is>
          <t>حفر الباطن</t>
        </is>
      </c>
      <c r="J343" s="13" t="n">
        <v>1</v>
      </c>
      <c r="K343" s="13" t="n">
        <v>1</v>
      </c>
      <c r="L343" s="13" t="n">
        <v>1</v>
      </c>
      <c r="M343" s="13" t="n">
        <v>1</v>
      </c>
      <c r="N343" s="13" t="n">
        <v>1</v>
      </c>
      <c r="O343" s="13" t="n">
        <v>1</v>
      </c>
      <c r="P343" s="13" t="n">
        <v>1</v>
      </c>
      <c r="Q34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3" s="13" t="n"/>
      <c r="S343" s="17" t="inlineStr">
        <is>
          <t>نعم</t>
        </is>
      </c>
    </row>
    <row r="344" ht="17" customHeight="1">
      <c r="A344" s="17">
        <f>1+A343</f>
        <v/>
      </c>
      <c r="B344" s="13" t="inlineStr">
        <is>
          <t>اتحاد البساتين</t>
        </is>
      </c>
      <c r="C344" s="13" t="inlineStr">
        <is>
          <t>حسن النزلاوي</t>
        </is>
      </c>
      <c r="D344" s="13" t="n">
        <v>560821080</v>
      </c>
      <c r="E344" s="13" t="inlineStr">
        <is>
          <t>لايوجد</t>
        </is>
      </c>
      <c r="F344" s="13" t="inlineStr">
        <is>
          <t>هواة</t>
        </is>
      </c>
      <c r="G344" s="13" t="inlineStr">
        <is>
          <t>مكة المكرمة</t>
        </is>
      </c>
      <c r="H344" s="13" t="inlineStr">
        <is>
          <t>جدة</t>
        </is>
      </c>
      <c r="I344" s="17" t="inlineStr">
        <is>
          <t>جدة</t>
        </is>
      </c>
      <c r="J344" s="13" t="n">
        <v>0</v>
      </c>
      <c r="K344" s="13" t="n">
        <v>1</v>
      </c>
      <c r="L344" s="13" t="n">
        <v>0</v>
      </c>
      <c r="M344" s="13" t="n">
        <v>0</v>
      </c>
      <c r="N344" s="13" t="n">
        <v>0</v>
      </c>
      <c r="O344" s="13" t="n">
        <v>0</v>
      </c>
      <c r="P344" s="13" t="n">
        <v>0</v>
      </c>
      <c r="Q34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4" s="13" t="inlineStr">
        <is>
          <t>لم يتم السداد</t>
        </is>
      </c>
      <c r="S344" s="17" t="inlineStr">
        <is>
          <t>نعم</t>
        </is>
      </c>
    </row>
    <row r="345" ht="17" customHeight="1">
      <c r="A345" s="17">
        <f>1+A344</f>
        <v/>
      </c>
      <c r="B345" s="13" t="inlineStr">
        <is>
          <t>فريق عالم المنجزون</t>
        </is>
      </c>
      <c r="C345" s="13" t="inlineStr">
        <is>
          <t>سحر الحمادي</t>
        </is>
      </c>
      <c r="D345" s="13" t="n">
        <v>504394394</v>
      </c>
      <c r="E345" s="13" t="inlineStr">
        <is>
          <t>لايوجد</t>
        </is>
      </c>
      <c r="F345" s="13" t="inlineStr">
        <is>
          <t>أكاديمية</t>
        </is>
      </c>
      <c r="G345" s="13" t="inlineStr">
        <is>
          <t>الرياض</t>
        </is>
      </c>
      <c r="H345" s="13" t="inlineStr">
        <is>
          <t>الرياض</t>
        </is>
      </c>
      <c r="I345" s="17" t="inlineStr">
        <is>
          <t>الرياض</t>
        </is>
      </c>
      <c r="J345" s="13" t="n">
        <v>1</v>
      </c>
      <c r="K345" s="13" t="n">
        <v>1</v>
      </c>
      <c r="L345" s="13" t="n">
        <v>0</v>
      </c>
      <c r="M345" s="13" t="n">
        <v>1</v>
      </c>
      <c r="N345" s="13" t="n">
        <v>1</v>
      </c>
      <c r="O345" s="13" t="n">
        <v>1</v>
      </c>
      <c r="P345" s="13" t="n">
        <v>0</v>
      </c>
      <c r="Q34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5" s="13" t="n"/>
      <c r="S345" s="17" t="n"/>
    </row>
    <row r="346" ht="17" customHeight="1">
      <c r="A346" s="17">
        <f>1+A345</f>
        <v/>
      </c>
      <c r="B346" s="13" t="inlineStr">
        <is>
          <t>اجيال اللهابه</t>
        </is>
      </c>
      <c r="C346" s="13" t="inlineStr">
        <is>
          <t>احمد العزيزي</t>
        </is>
      </c>
      <c r="D346" s="13" t="n">
        <v>568762556</v>
      </c>
      <c r="E346" s="13" t="inlineStr">
        <is>
          <t>لايوجد</t>
        </is>
      </c>
      <c r="F346" s="13" t="inlineStr">
        <is>
          <t>هواة</t>
        </is>
      </c>
      <c r="G346" s="13" t="inlineStr">
        <is>
          <t>الشرقية</t>
        </is>
      </c>
      <c r="H346" s="13" t="inlineStr">
        <is>
          <t>مركز الرفيعة</t>
        </is>
      </c>
      <c r="I346" s="17" t="inlineStr">
        <is>
          <t>حفر الباطن</t>
        </is>
      </c>
      <c r="J346" s="13" t="n">
        <v>1</v>
      </c>
      <c r="K346" s="13" t="n">
        <v>1</v>
      </c>
      <c r="L346" s="13" t="n">
        <v>1</v>
      </c>
      <c r="M346" s="13" t="n">
        <v>1</v>
      </c>
      <c r="N346" s="13" t="n">
        <v>1</v>
      </c>
      <c r="O346" s="13" t="n">
        <v>1</v>
      </c>
      <c r="P346" s="13" t="n">
        <v>1</v>
      </c>
      <c r="Q34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6" s="13" t="inlineStr">
        <is>
          <t>لم يتم السداد</t>
        </is>
      </c>
      <c r="S346" s="17" t="inlineStr">
        <is>
          <t>نعم</t>
        </is>
      </c>
    </row>
    <row r="347" ht="17" customHeight="1">
      <c r="A347" s="17">
        <f>1+A346</f>
        <v/>
      </c>
      <c r="B347" s="13" t="inlineStr">
        <is>
          <t>اكاديمية التدريب الفردي</t>
        </is>
      </c>
      <c r="C347" s="13" t="inlineStr">
        <is>
          <t>ماهر الهلماني</t>
        </is>
      </c>
      <c r="D347" s="13" t="n">
        <v>565424252</v>
      </c>
      <c r="E347" s="13" t="inlineStr">
        <is>
          <t>لايوجد</t>
        </is>
      </c>
      <c r="F347" s="13" t="inlineStr">
        <is>
          <t>أكاديمية</t>
        </is>
      </c>
      <c r="G347" s="13" t="inlineStr">
        <is>
          <t>مكة المكرمة</t>
        </is>
      </c>
      <c r="H347" s="13" t="inlineStr">
        <is>
          <t>الليث</t>
        </is>
      </c>
      <c r="I347" s="17" t="inlineStr">
        <is>
          <t>مكة المكرمة</t>
        </is>
      </c>
      <c r="J347" s="13" t="n">
        <v>0</v>
      </c>
      <c r="K347" s="13" t="n">
        <v>0</v>
      </c>
      <c r="L347" s="13" t="n">
        <v>1</v>
      </c>
      <c r="M347" s="13" t="n">
        <v>1</v>
      </c>
      <c r="N347" s="13" t="n">
        <v>0</v>
      </c>
      <c r="O347" s="13" t="n">
        <v>0</v>
      </c>
      <c r="P347" s="13" t="n">
        <v>0</v>
      </c>
      <c r="Q34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7" s="13" t="n"/>
      <c r="S347" s="17" t="n"/>
    </row>
    <row r="348" ht="17" customHeight="1">
      <c r="A348" s="17">
        <f>1+A347</f>
        <v/>
      </c>
      <c r="B348" s="13" t="inlineStr">
        <is>
          <t>اف اي في 7</t>
        </is>
      </c>
      <c r="C348" s="13" t="inlineStr">
        <is>
          <t>شيخ زهير</t>
        </is>
      </c>
      <c r="D348" s="13" t="n">
        <v>547040000</v>
      </c>
      <c r="E348" s="13" t="inlineStr">
        <is>
          <t>ملعب فيجن 7</t>
        </is>
      </c>
      <c r="F348" s="13" t="inlineStr">
        <is>
          <t>أكاديمية</t>
        </is>
      </c>
      <c r="G348" s="13" t="inlineStr">
        <is>
          <t>الشرقية</t>
        </is>
      </c>
      <c r="H348" s="13" t="inlineStr">
        <is>
          <t>القطيف</t>
        </is>
      </c>
      <c r="I348" s="17" t="inlineStr">
        <is>
          <t>القطيف</t>
        </is>
      </c>
      <c r="J348" s="13" t="n">
        <v>1</v>
      </c>
      <c r="K348" s="13" t="n">
        <v>0</v>
      </c>
      <c r="L348" s="13" t="n">
        <v>1</v>
      </c>
      <c r="M348" s="13" t="n">
        <v>0</v>
      </c>
      <c r="N348" s="13" t="n">
        <v>1</v>
      </c>
      <c r="O348" s="13" t="n">
        <v>0</v>
      </c>
      <c r="P348" s="13" t="n">
        <v>0</v>
      </c>
      <c r="Q34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8" s="13" t="n"/>
      <c r="S348" s="17" t="n"/>
    </row>
    <row r="349" ht="17" customHeight="1">
      <c r="A349" s="17">
        <f>1+A348</f>
        <v/>
      </c>
      <c r="B349" s="13" t="inlineStr">
        <is>
          <t xml:space="preserve">الفاو </t>
        </is>
      </c>
      <c r="C349" s="13" t="inlineStr">
        <is>
          <t xml:space="preserve">عبدالله الدوسري </t>
        </is>
      </c>
      <c r="D349" s="13" t="n">
        <v>597112333</v>
      </c>
      <c r="E349" s="13" t="inlineStr">
        <is>
          <t>لايوجد</t>
        </is>
      </c>
      <c r="F349" s="13" t="inlineStr">
        <is>
          <t>نادي</t>
        </is>
      </c>
      <c r="G349" s="13" t="inlineStr">
        <is>
          <t>الرياض</t>
        </is>
      </c>
      <c r="H349" s="13" t="inlineStr">
        <is>
          <t>الرياض</t>
        </is>
      </c>
      <c r="I349" s="17" t="inlineStr">
        <is>
          <t>الرياض</t>
        </is>
      </c>
      <c r="J349" s="13" t="n">
        <v>1</v>
      </c>
      <c r="K349" s="13" t="n">
        <v>1</v>
      </c>
      <c r="L349" s="13" t="n">
        <v>1</v>
      </c>
      <c r="M349" s="13" t="n">
        <v>1</v>
      </c>
      <c r="N349" s="13" t="n">
        <v>0</v>
      </c>
      <c r="O349" s="13" t="n">
        <v>0</v>
      </c>
      <c r="P349" s="13" t="n">
        <v>0</v>
      </c>
      <c r="Q34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49" s="13" t="n"/>
      <c r="S349" s="17" t="n"/>
    </row>
    <row r="350" ht="17" customHeight="1">
      <c r="A350" s="17">
        <f>1+A349</f>
        <v/>
      </c>
      <c r="B350" s="13" t="inlineStr">
        <is>
          <t>القيصومة</t>
        </is>
      </c>
      <c r="C350" s="13" t="inlineStr">
        <is>
          <t>فهد الظفيري</t>
        </is>
      </c>
      <c r="D350" s="13" t="n">
        <v>507471670</v>
      </c>
      <c r="E350" s="13" t="inlineStr">
        <is>
          <t>اكاديمية الهدف</t>
        </is>
      </c>
      <c r="F350" s="13" t="inlineStr">
        <is>
          <t>نادي</t>
        </is>
      </c>
      <c r="G350" s="13" t="inlineStr">
        <is>
          <t>الشرقية</t>
        </is>
      </c>
      <c r="H350" s="13" t="inlineStr">
        <is>
          <t>حفر الباطن</t>
        </is>
      </c>
      <c r="I350" s="17" t="inlineStr">
        <is>
          <t>حفر الباطن</t>
        </is>
      </c>
      <c r="J350" s="13" t="n">
        <v>1</v>
      </c>
      <c r="K350" s="13" t="n">
        <v>1</v>
      </c>
      <c r="L350" s="13" t="n">
        <v>1</v>
      </c>
      <c r="M350" s="13" t="n">
        <v>1</v>
      </c>
      <c r="N350" s="13" t="n">
        <v>1</v>
      </c>
      <c r="O350" s="13" t="n">
        <v>1</v>
      </c>
      <c r="P350" s="13" t="n">
        <v>1</v>
      </c>
      <c r="Q35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0" s="13" t="n"/>
      <c r="S350" s="17" t="n"/>
    </row>
    <row r="351" ht="17" customHeight="1">
      <c r="A351" s="17">
        <f>1+A350</f>
        <v/>
      </c>
      <c r="B351" s="13" t="inlineStr">
        <is>
          <t>اف ستة عشر العالمية</t>
        </is>
      </c>
      <c r="C351" s="13" t="inlineStr">
        <is>
          <t>جراح الظفيري</t>
        </is>
      </c>
      <c r="D351" s="13" t="inlineStr">
        <is>
          <t xml:space="preserve">لايوجد </t>
        </is>
      </c>
      <c r="E351" s="13" t="inlineStr">
        <is>
          <t>ريال مدريد</t>
        </is>
      </c>
      <c r="F351" s="13" t="inlineStr">
        <is>
          <t>أكاديمية</t>
        </is>
      </c>
      <c r="G351" s="13" t="inlineStr">
        <is>
          <t>الشرقية</t>
        </is>
      </c>
      <c r="H351" s="13" t="inlineStr">
        <is>
          <t>حفر الباطن</t>
        </is>
      </c>
      <c r="I351" s="17" t="inlineStr">
        <is>
          <t>حفر الباطن</t>
        </is>
      </c>
      <c r="J351" s="13" t="n">
        <v>1</v>
      </c>
      <c r="K351" s="13" t="n">
        <v>1</v>
      </c>
      <c r="L351" s="13" t="n">
        <v>1</v>
      </c>
      <c r="M351" s="13" t="n">
        <v>2</v>
      </c>
      <c r="N351" s="13" t="n">
        <v>1</v>
      </c>
      <c r="O351" s="13" t="n">
        <v>1</v>
      </c>
      <c r="P351" s="13" t="n">
        <v>1</v>
      </c>
      <c r="Q35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1" s="13" t="n"/>
      <c r="S351" s="17" t="n"/>
    </row>
    <row r="352" ht="17" customHeight="1">
      <c r="A352" s="17">
        <f>1+A351</f>
        <v/>
      </c>
      <c r="B352" s="13" t="inlineStr">
        <is>
          <t>مواهب اسباير</t>
        </is>
      </c>
      <c r="C352" s="13" t="inlineStr">
        <is>
          <t>احمد الشمري</t>
        </is>
      </c>
      <c r="D352" s="13" t="n">
        <v>536889581</v>
      </c>
      <c r="E352" s="13" t="inlineStr">
        <is>
          <t>اكاديمية الهدف</t>
        </is>
      </c>
      <c r="F352" s="13" t="inlineStr">
        <is>
          <t>أكاديمية</t>
        </is>
      </c>
      <c r="G352" s="13" t="inlineStr">
        <is>
          <t>الشرقية</t>
        </is>
      </c>
      <c r="H352" s="13" t="inlineStr">
        <is>
          <t>حفر الباطن</t>
        </is>
      </c>
      <c r="I352" s="17" t="inlineStr">
        <is>
          <t>حفر الباطن</t>
        </is>
      </c>
      <c r="J352" s="13" t="n">
        <v>1</v>
      </c>
      <c r="K352" s="13" t="n">
        <v>1</v>
      </c>
      <c r="L352" s="13" t="n">
        <v>1</v>
      </c>
      <c r="M352" s="13" t="n">
        <v>1</v>
      </c>
      <c r="N352" s="13" t="n">
        <v>1</v>
      </c>
      <c r="O352" s="13" t="n">
        <v>1</v>
      </c>
      <c r="P352" s="13" t="n">
        <v>1</v>
      </c>
      <c r="Q35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2" s="13" t="n"/>
      <c r="S352" s="17" t="n"/>
    </row>
    <row r="353" ht="17" customHeight="1">
      <c r="A353" s="17">
        <f>1+A352</f>
        <v/>
      </c>
      <c r="B353" s="13" t="inlineStr">
        <is>
          <t>العلمين</t>
        </is>
      </c>
      <c r="C353" s="13" t="inlineStr">
        <is>
          <t>خالد العنزي</t>
        </is>
      </c>
      <c r="D353" s="13" t="n">
        <v>556026669</v>
      </c>
      <c r="E353" s="13" t="inlineStr">
        <is>
          <t>العلمين</t>
        </is>
      </c>
      <c r="F353" s="13" t="inlineStr">
        <is>
          <t>نادي</t>
        </is>
      </c>
      <c r="G353" s="13" t="inlineStr">
        <is>
          <t>الشرقية</t>
        </is>
      </c>
      <c r="H353" s="13" t="inlineStr">
        <is>
          <t>الخفجي</t>
        </is>
      </c>
      <c r="I353" s="17" t="inlineStr">
        <is>
          <t>حفر الباطن</t>
        </is>
      </c>
      <c r="J353" s="13" t="n">
        <v>1</v>
      </c>
      <c r="K353" s="13" t="n">
        <v>1</v>
      </c>
      <c r="L353" s="13" t="n">
        <v>1</v>
      </c>
      <c r="M353" s="13" t="n">
        <v>1</v>
      </c>
      <c r="N353" s="13" t="n">
        <v>1</v>
      </c>
      <c r="O353" s="13" t="n">
        <v>1</v>
      </c>
      <c r="P353" s="13" t="n">
        <v>1</v>
      </c>
      <c r="Q35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3" s="13" t="n"/>
      <c r="S353" s="17" t="n"/>
    </row>
    <row r="354" ht="17" customHeight="1">
      <c r="A354" s="17">
        <f>1+A353</f>
        <v/>
      </c>
      <c r="B354" s="13" t="inlineStr">
        <is>
          <t>مواهب السد</t>
        </is>
      </c>
      <c r="C354" s="13" t="inlineStr">
        <is>
          <t>نايف العنزي</t>
        </is>
      </c>
      <c r="D354" s="13" t="n">
        <v>565307877</v>
      </c>
      <c r="E354" s="13" t="inlineStr">
        <is>
          <t>لايوجد</t>
        </is>
      </c>
      <c r="F354" s="13" t="inlineStr">
        <is>
          <t>أكاديمية</t>
        </is>
      </c>
      <c r="G354" s="13" t="inlineStr">
        <is>
          <t>الشرقية</t>
        </is>
      </c>
      <c r="H354" s="13" t="inlineStr">
        <is>
          <t>حفر الباطن</t>
        </is>
      </c>
      <c r="I354" s="17" t="inlineStr">
        <is>
          <t>حفر الباطن</t>
        </is>
      </c>
      <c r="J354" s="13" t="n">
        <v>1</v>
      </c>
      <c r="K354" s="13" t="n">
        <v>1</v>
      </c>
      <c r="L354" s="13" t="n">
        <v>1</v>
      </c>
      <c r="M354" s="13" t="n">
        <v>1</v>
      </c>
      <c r="N354" s="13" t="n">
        <v>1</v>
      </c>
      <c r="O354" s="13" t="n">
        <v>1</v>
      </c>
      <c r="P354" s="13" t="n">
        <v>1</v>
      </c>
      <c r="Q35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4" s="13" t="n"/>
      <c r="S354" s="17" t="n"/>
    </row>
    <row r="355" ht="17" customHeight="1">
      <c r="A355" s="17">
        <f>1+A354</f>
        <v/>
      </c>
      <c r="B355" s="13" t="inlineStr">
        <is>
          <t xml:space="preserve"> المدرسة الماسية</t>
        </is>
      </c>
      <c r="C355" s="13" t="inlineStr">
        <is>
          <t>عبدالله الهندي</t>
        </is>
      </c>
      <c r="D355" s="13" t="n">
        <v>506002551</v>
      </c>
      <c r="E355" s="13" t="inlineStr">
        <is>
          <t>لايوجد</t>
        </is>
      </c>
      <c r="F355" s="13" t="inlineStr">
        <is>
          <t>أكاديمية</t>
        </is>
      </c>
      <c r="G355" s="13" t="inlineStr">
        <is>
          <t>مكة المكرمة</t>
        </is>
      </c>
      <c r="H355" s="13" t="inlineStr">
        <is>
          <t>جدة</t>
        </is>
      </c>
      <c r="I355" s="17" t="inlineStr">
        <is>
          <t>جدة</t>
        </is>
      </c>
      <c r="J355" s="13" t="n">
        <v>1</v>
      </c>
      <c r="K355" s="13" t="n">
        <v>0</v>
      </c>
      <c r="L355" s="13" t="n">
        <v>1</v>
      </c>
      <c r="M355" s="13" t="n">
        <v>0</v>
      </c>
      <c r="N355" s="13" t="n">
        <v>0</v>
      </c>
      <c r="O355" s="13" t="n">
        <v>0</v>
      </c>
      <c r="P355" s="13" t="n">
        <v>0</v>
      </c>
      <c r="Q35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5" s="13" t="n"/>
      <c r="S355" s="17" t="n"/>
    </row>
    <row r="356" ht="17" customHeight="1">
      <c r="A356" s="17">
        <f>1+A355</f>
        <v/>
      </c>
      <c r="B356" s="13" t="inlineStr">
        <is>
          <t>الهدف الخامس</t>
        </is>
      </c>
      <c r="C356" s="13" t="inlineStr">
        <is>
          <t>احمد محنشي</t>
        </is>
      </c>
      <c r="D356" s="13" t="n">
        <v>555903262</v>
      </c>
      <c r="E356" s="13" t="inlineStr">
        <is>
          <t>الهدف الخامس</t>
        </is>
      </c>
      <c r="F356" s="13" t="inlineStr">
        <is>
          <t>أكاديمية</t>
        </is>
      </c>
      <c r="G356" s="13" t="inlineStr">
        <is>
          <t>جازان</t>
        </is>
      </c>
      <c r="H356" s="13" t="inlineStr">
        <is>
          <t>صامطة</t>
        </is>
      </c>
      <c r="I356" s="17" t="inlineStr">
        <is>
          <t>جازان</t>
        </is>
      </c>
      <c r="J356" s="13" t="n">
        <v>0</v>
      </c>
      <c r="K356" s="13" t="n">
        <v>1</v>
      </c>
      <c r="L356" s="13" t="n">
        <v>1</v>
      </c>
      <c r="M356" s="13" t="n">
        <v>1</v>
      </c>
      <c r="N356" s="13" t="n">
        <v>1</v>
      </c>
      <c r="O356" s="13" t="n">
        <v>1</v>
      </c>
      <c r="P356" s="13" t="n">
        <v>0</v>
      </c>
      <c r="Q35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6" s="13" t="n"/>
      <c r="S356" s="17" t="n"/>
    </row>
    <row r="357" ht="17" customHeight="1">
      <c r="A357" s="17">
        <f>1+A356</f>
        <v/>
      </c>
      <c r="B357" s="13" t="inlineStr">
        <is>
          <t>نجوم الخفجي</t>
        </is>
      </c>
      <c r="C357" s="13" t="inlineStr">
        <is>
          <t>عبدالعزيز المطيري</t>
        </is>
      </c>
      <c r="D357" s="13" t="n">
        <v>505444309</v>
      </c>
      <c r="E357" s="13" t="inlineStr">
        <is>
          <t>لايوجد</t>
        </is>
      </c>
      <c r="F357" s="13" t="inlineStr">
        <is>
          <t>هواة</t>
        </is>
      </c>
      <c r="G357" s="13" t="inlineStr">
        <is>
          <t>الشرقية</t>
        </is>
      </c>
      <c r="H357" s="13" t="inlineStr">
        <is>
          <t>الخفجي</t>
        </is>
      </c>
      <c r="I357" s="17" t="inlineStr">
        <is>
          <t>حفر الباطن</t>
        </is>
      </c>
      <c r="J357" s="13" t="n">
        <v>0</v>
      </c>
      <c r="K357" s="13" t="n">
        <v>1</v>
      </c>
      <c r="L357" s="13" t="n">
        <v>1</v>
      </c>
      <c r="M357" s="13" t="n">
        <v>1</v>
      </c>
      <c r="N357" s="13" t="n">
        <v>1</v>
      </c>
      <c r="O357" s="13" t="n">
        <v>0</v>
      </c>
      <c r="P357" s="13" t="n">
        <v>0</v>
      </c>
      <c r="Q35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7" s="13" t="n"/>
      <c r="S357" s="17" t="inlineStr">
        <is>
          <t>نعم</t>
        </is>
      </c>
    </row>
    <row r="358" ht="17" customHeight="1">
      <c r="A358" s="17">
        <f>1+A357</f>
        <v/>
      </c>
      <c r="B358" s="13" t="inlineStr">
        <is>
          <t>نيتربول</t>
        </is>
      </c>
      <c r="C358" s="13" t="inlineStr">
        <is>
          <t>ريان حدادي</t>
        </is>
      </c>
      <c r="D358" s="13" t="n">
        <v>550488359</v>
      </c>
      <c r="E358" s="13" t="inlineStr">
        <is>
          <t>لايوجد</t>
        </is>
      </c>
      <c r="F358" s="13" t="inlineStr">
        <is>
          <t>أكاديمية</t>
        </is>
      </c>
      <c r="G358" s="13" t="inlineStr">
        <is>
          <t>الشرقية</t>
        </is>
      </c>
      <c r="H358" s="13" t="inlineStr">
        <is>
          <t>الخفجي</t>
        </is>
      </c>
      <c r="I358" s="17" t="inlineStr">
        <is>
          <t>حفر الباطن</t>
        </is>
      </c>
      <c r="J358" s="13" t="n">
        <v>1</v>
      </c>
      <c r="K358" s="13" t="n">
        <v>0</v>
      </c>
      <c r="L358" s="13" t="n">
        <v>0</v>
      </c>
      <c r="M358" s="13" t="n">
        <v>1</v>
      </c>
      <c r="N358" s="13" t="n">
        <v>0</v>
      </c>
      <c r="O358" s="13" t="n">
        <v>0</v>
      </c>
      <c r="P358" s="13" t="n">
        <v>0</v>
      </c>
      <c r="Q35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8" s="13" t="inlineStr">
        <is>
          <t>لم يتم السداد</t>
        </is>
      </c>
      <c r="S358" s="17" t="inlineStr">
        <is>
          <t>نعم</t>
        </is>
      </c>
    </row>
    <row r="359" ht="17" customHeight="1">
      <c r="A359" s="17">
        <f>1+A358</f>
        <v/>
      </c>
      <c r="B359" s="17" t="inlineStr">
        <is>
          <t>سهم الخفجي</t>
        </is>
      </c>
      <c r="C359" s="13" t="inlineStr">
        <is>
          <t xml:space="preserve">حمد القحطاني </t>
        </is>
      </c>
      <c r="D359" s="13" t="n">
        <v>503966482</v>
      </c>
      <c r="E359" s="13" t="inlineStr">
        <is>
          <t>لايوجد</t>
        </is>
      </c>
      <c r="F359" s="13" t="inlineStr">
        <is>
          <t>هواة</t>
        </is>
      </c>
      <c r="G359" s="13" t="inlineStr">
        <is>
          <t>الشرقية</t>
        </is>
      </c>
      <c r="H359" s="13" t="inlineStr">
        <is>
          <t>الخفجي</t>
        </is>
      </c>
      <c r="I359" s="17" t="inlineStr">
        <is>
          <t>حفر الباطن</t>
        </is>
      </c>
      <c r="J359" s="13" t="n">
        <v>1</v>
      </c>
      <c r="K359" s="13" t="n">
        <v>1</v>
      </c>
      <c r="L359" s="13" t="n">
        <v>1</v>
      </c>
      <c r="M359" s="13" t="n">
        <v>1</v>
      </c>
      <c r="N359" s="13" t="n">
        <v>1</v>
      </c>
      <c r="O359" s="13" t="n">
        <v>1</v>
      </c>
      <c r="P359" s="13" t="n">
        <v>1</v>
      </c>
      <c r="Q35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59" s="13" t="n"/>
      <c r="S359" s="17" t="inlineStr">
        <is>
          <t>نعم</t>
        </is>
      </c>
    </row>
    <row r="360" ht="17" customHeight="1">
      <c r="A360" s="17">
        <f>1+A359</f>
        <v/>
      </c>
      <c r="B360" s="13" t="inlineStr">
        <is>
          <t>نجوم الرفاع</t>
        </is>
      </c>
      <c r="C360" s="13" t="inlineStr">
        <is>
          <t>عبدالله المحلسي</t>
        </is>
      </c>
      <c r="D360" s="13" t="n">
        <v>550099994</v>
      </c>
      <c r="E360" s="13" t="inlineStr">
        <is>
          <t>لايوجد</t>
        </is>
      </c>
      <c r="F360" s="13" t="inlineStr">
        <is>
          <t>هواة</t>
        </is>
      </c>
      <c r="G360" s="13" t="inlineStr">
        <is>
          <t>الشرقية</t>
        </is>
      </c>
      <c r="H360" s="13" t="inlineStr">
        <is>
          <t>مركز الرفيعة</t>
        </is>
      </c>
      <c r="I360" s="17" t="inlineStr">
        <is>
          <t>حفر الباطن</t>
        </is>
      </c>
      <c r="J360" s="13" t="n">
        <v>1</v>
      </c>
      <c r="K360" s="13" t="n">
        <v>1</v>
      </c>
      <c r="L360" s="13" t="n">
        <v>1</v>
      </c>
      <c r="M360" s="13" t="n">
        <v>1</v>
      </c>
      <c r="N360" s="13" t="n">
        <v>1</v>
      </c>
      <c r="O360" s="13" t="n">
        <v>1</v>
      </c>
      <c r="P360" s="13" t="n">
        <v>1</v>
      </c>
      <c r="Q36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0" s="13" t="inlineStr">
        <is>
          <t>لم يتم السداد</t>
        </is>
      </c>
      <c r="S360" s="17" t="inlineStr">
        <is>
          <t>نعم</t>
        </is>
      </c>
    </row>
    <row r="361" ht="17" customHeight="1">
      <c r="A361" s="17">
        <f>1+A360</f>
        <v/>
      </c>
      <c r="B361" s="13" t="inlineStr">
        <is>
          <t>اكادميه ميلانو</t>
        </is>
      </c>
      <c r="C361" s="13" t="inlineStr">
        <is>
          <t>احمد عسيري</t>
        </is>
      </c>
      <c r="D361" s="13" t="n">
        <v>554207419</v>
      </c>
      <c r="E361" s="13" t="inlineStr">
        <is>
          <t>لايوجد</t>
        </is>
      </c>
      <c r="F361" s="13" t="inlineStr">
        <is>
          <t>هواة</t>
        </is>
      </c>
      <c r="G361" s="13" t="inlineStr">
        <is>
          <t>الرياض</t>
        </is>
      </c>
      <c r="H361" s="13" t="inlineStr">
        <is>
          <t>الرياض</t>
        </is>
      </c>
      <c r="I361" s="17" t="inlineStr">
        <is>
          <t>الرياض</t>
        </is>
      </c>
      <c r="J361" s="13" t="n">
        <v>0</v>
      </c>
      <c r="K361" s="13" t="n">
        <v>1</v>
      </c>
      <c r="L361" s="13" t="n">
        <v>1</v>
      </c>
      <c r="M361" s="13" t="n">
        <v>1</v>
      </c>
      <c r="N361" s="13" t="n">
        <v>1</v>
      </c>
      <c r="O361" s="13" t="n">
        <v>1</v>
      </c>
      <c r="P361" s="13" t="n">
        <v>1</v>
      </c>
      <c r="Q36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1" s="13" t="inlineStr">
        <is>
          <t>لم يتم السداد</t>
        </is>
      </c>
      <c r="S361" s="17" t="inlineStr">
        <is>
          <t>نعم</t>
        </is>
      </c>
    </row>
    <row r="362" ht="17" customHeight="1">
      <c r="A362" s="17">
        <f>1+A361</f>
        <v/>
      </c>
      <c r="B362" s="13" t="inlineStr">
        <is>
          <t>مواهب الشيحية</t>
        </is>
      </c>
      <c r="C362" s="13" t="inlineStr">
        <is>
          <t>احمد الصعب</t>
        </is>
      </c>
      <c r="D362" s="13" t="n">
        <v>537430892</v>
      </c>
      <c r="E362" s="13" t="inlineStr">
        <is>
          <t>لايوجد</t>
        </is>
      </c>
      <c r="F362" s="13" t="inlineStr">
        <is>
          <t>هواة</t>
        </is>
      </c>
      <c r="G362" s="13" t="inlineStr">
        <is>
          <t>الشرقية</t>
        </is>
      </c>
      <c r="H362" s="13" t="inlineStr">
        <is>
          <t>مركز الرفيعة</t>
        </is>
      </c>
      <c r="I362" s="17" t="inlineStr">
        <is>
          <t>حفر الباطن</t>
        </is>
      </c>
      <c r="J362" s="13" t="n">
        <v>1</v>
      </c>
      <c r="K362" s="13" t="n">
        <v>1</v>
      </c>
      <c r="L362" s="13" t="n">
        <v>1</v>
      </c>
      <c r="M362" s="13" t="n">
        <v>1</v>
      </c>
      <c r="N362" s="13" t="n">
        <v>1</v>
      </c>
      <c r="O362" s="13" t="n">
        <v>1</v>
      </c>
      <c r="P362" s="13" t="n">
        <v>1</v>
      </c>
      <c r="Q36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2" s="13" t="inlineStr">
        <is>
          <t>لم يتم السداد</t>
        </is>
      </c>
      <c r="S362" s="17" t="inlineStr">
        <is>
          <t>نعم</t>
        </is>
      </c>
    </row>
    <row r="363" ht="17" customHeight="1">
      <c r="A363" s="17">
        <f>1+A362</f>
        <v/>
      </c>
      <c r="B363" s="13" t="inlineStr">
        <is>
          <t>القمه مركز الرفيعة</t>
        </is>
      </c>
      <c r="C363" s="13" t="inlineStr">
        <is>
          <t>حامد الخالدي</t>
        </is>
      </c>
      <c r="D363" s="13" t="n">
        <v>555959521</v>
      </c>
      <c r="E363" s="13" t="inlineStr">
        <is>
          <t>لايوجد</t>
        </is>
      </c>
      <c r="F363" s="13" t="inlineStr">
        <is>
          <t>هواة</t>
        </is>
      </c>
      <c r="G363" s="13" t="inlineStr">
        <is>
          <t>الشرقية</t>
        </is>
      </c>
      <c r="H363" s="13" t="inlineStr">
        <is>
          <t>مركز الرفيعة</t>
        </is>
      </c>
      <c r="I363" s="17" t="inlineStr">
        <is>
          <t>حفر الباطن</t>
        </is>
      </c>
      <c r="J363" s="13" t="n">
        <v>0</v>
      </c>
      <c r="K363" s="13" t="n">
        <v>0</v>
      </c>
      <c r="L363" s="13" t="n">
        <v>0</v>
      </c>
      <c r="M363" s="13" t="n">
        <v>1</v>
      </c>
      <c r="N363" s="13" t="n">
        <v>0</v>
      </c>
      <c r="O363" s="13" t="n">
        <v>0</v>
      </c>
      <c r="P363" s="13" t="n">
        <v>0</v>
      </c>
      <c r="Q36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3" s="13" t="inlineStr">
        <is>
          <t>لم يتم السداد</t>
        </is>
      </c>
      <c r="S363" s="17" t="inlineStr">
        <is>
          <t>نعم</t>
        </is>
      </c>
    </row>
    <row r="364" ht="17" customHeight="1">
      <c r="A364" s="17">
        <f>1+A363</f>
        <v/>
      </c>
      <c r="B364" s="13" t="inlineStr">
        <is>
          <t>هجر</t>
        </is>
      </c>
      <c r="C364" s="13" t="inlineStr">
        <is>
          <t>سامي القنيان</t>
        </is>
      </c>
      <c r="D364" s="13" t="n">
        <v>505922615</v>
      </c>
      <c r="E364" s="13" t="inlineStr">
        <is>
          <t>الرديف الصناعي لنادي هجر</t>
        </is>
      </c>
      <c r="F364" s="13" t="inlineStr">
        <is>
          <t>نادي</t>
        </is>
      </c>
      <c r="G364" s="13" t="inlineStr">
        <is>
          <t>الشرقية</t>
        </is>
      </c>
      <c r="H364" s="13" t="inlineStr">
        <is>
          <t>الأحساء</t>
        </is>
      </c>
      <c r="I364" s="17" t="inlineStr">
        <is>
          <t>الأحساء</t>
        </is>
      </c>
      <c r="J364" s="13" t="n">
        <v>1</v>
      </c>
      <c r="K364" s="13" t="n">
        <v>1</v>
      </c>
      <c r="L364" s="13" t="n">
        <v>1</v>
      </c>
      <c r="M364" s="13" t="n">
        <v>1</v>
      </c>
      <c r="N364" s="13" t="n">
        <v>1</v>
      </c>
      <c r="O364" s="13" t="n">
        <v>1</v>
      </c>
      <c r="P364" s="13" t="n">
        <v>1</v>
      </c>
      <c r="Q36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4" s="13" t="n"/>
      <c r="S364" s="17" t="n"/>
    </row>
    <row r="365" ht="17" customHeight="1">
      <c r="A365" s="17">
        <f>1+A364</f>
        <v/>
      </c>
      <c r="B365" s="13" t="inlineStr">
        <is>
          <t>فيد</t>
        </is>
      </c>
      <c r="C365" s="13" t="inlineStr">
        <is>
          <t>تركي الفريخ</t>
        </is>
      </c>
      <c r="D365" s="13" t="n">
        <v>509296662</v>
      </c>
      <c r="E365" s="13" t="inlineStr">
        <is>
          <t>لايوجد</t>
        </is>
      </c>
      <c r="F365" s="13" t="inlineStr">
        <is>
          <t>نادي</t>
        </is>
      </c>
      <c r="G365" s="13" t="inlineStr">
        <is>
          <t>حائل</t>
        </is>
      </c>
      <c r="H365" s="13" t="inlineStr">
        <is>
          <t>حائل</t>
        </is>
      </c>
      <c r="I365" s="17" t="inlineStr">
        <is>
          <t>حائل</t>
        </is>
      </c>
      <c r="J365" s="13" t="n">
        <v>1</v>
      </c>
      <c r="K365" s="13" t="n">
        <v>1</v>
      </c>
      <c r="L365" s="13" t="n">
        <v>2</v>
      </c>
      <c r="M365" s="13" t="n">
        <v>2</v>
      </c>
      <c r="N365" s="13" t="n">
        <v>2</v>
      </c>
      <c r="O365" s="13" t="n">
        <v>1</v>
      </c>
      <c r="P365" s="13" t="n">
        <v>1</v>
      </c>
      <c r="Q36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5" s="13" t="n"/>
      <c r="S365" s="17" t="n"/>
    </row>
    <row r="366" ht="17" customHeight="1">
      <c r="A366" s="17">
        <f>1+A365</f>
        <v/>
      </c>
      <c r="B366" s="13" t="inlineStr">
        <is>
          <t>الكاسر</t>
        </is>
      </c>
      <c r="C366" s="13" t="inlineStr">
        <is>
          <t>فايد البلوي</t>
        </is>
      </c>
      <c r="D366" s="13" t="n">
        <v>594888118</v>
      </c>
      <c r="E366" s="13" t="inlineStr">
        <is>
          <t>المدينة الرياضية بتبوك</t>
        </is>
      </c>
      <c r="F366" s="13" t="inlineStr">
        <is>
          <t>أكاديمية</t>
        </is>
      </c>
      <c r="G366" s="13" t="inlineStr">
        <is>
          <t>تبوك</t>
        </is>
      </c>
      <c r="H366" s="13" t="inlineStr">
        <is>
          <t>تبوك</t>
        </is>
      </c>
      <c r="I366" s="17" t="inlineStr">
        <is>
          <t>تبوك</t>
        </is>
      </c>
      <c r="J366" s="13" t="n">
        <v>1</v>
      </c>
      <c r="K366" s="13" t="n">
        <v>1</v>
      </c>
      <c r="L366" s="13" t="n">
        <v>1</v>
      </c>
      <c r="M366" s="13" t="n">
        <v>2</v>
      </c>
      <c r="N366" s="13" t="n">
        <v>0</v>
      </c>
      <c r="O366" s="13" t="n">
        <v>0</v>
      </c>
      <c r="P366" s="13" t="n">
        <v>0</v>
      </c>
      <c r="Q36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6" s="13" t="n"/>
      <c r="S366" s="17" t="n"/>
    </row>
    <row r="367" ht="17" customHeight="1">
      <c r="A367" s="17">
        <f>1+A366</f>
        <v/>
      </c>
      <c r="B367" s="13" t="inlineStr">
        <is>
          <t>العيون</t>
        </is>
      </c>
      <c r="C367" s="13" t="inlineStr">
        <is>
          <t>عبدالاله أحمد</t>
        </is>
      </c>
      <c r="D367" s="13" t="n">
        <v>530195258</v>
      </c>
      <c r="E367" s="13" t="inlineStr">
        <is>
          <t>العيون</t>
        </is>
      </c>
      <c r="F367" s="13" t="inlineStr">
        <is>
          <t>نادي</t>
        </is>
      </c>
      <c r="G367" s="13" t="inlineStr">
        <is>
          <t>الشرقية</t>
        </is>
      </c>
      <c r="H367" s="13" t="inlineStr">
        <is>
          <t>الأحساء</t>
        </is>
      </c>
      <c r="I367" s="17" t="inlineStr">
        <is>
          <t>الأحساء</t>
        </is>
      </c>
      <c r="J367" s="13" t="n">
        <v>0</v>
      </c>
      <c r="K367" s="13" t="n">
        <v>1</v>
      </c>
      <c r="L367" s="13" t="n">
        <v>1</v>
      </c>
      <c r="M367" s="13" t="n">
        <v>1</v>
      </c>
      <c r="N367" s="13" t="n">
        <v>1</v>
      </c>
      <c r="O367" s="13" t="n">
        <v>1</v>
      </c>
      <c r="P367" s="13" t="n">
        <v>1</v>
      </c>
      <c r="Q36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7" s="13" t="n"/>
      <c r="S367" s="17" t="n"/>
    </row>
    <row r="368" ht="17" customHeight="1">
      <c r="A368" s="17">
        <f>1+A367</f>
        <v/>
      </c>
      <c r="B368" s="13" t="inlineStr">
        <is>
          <t xml:space="preserve">اشبيلية المدينة الرياضي </t>
        </is>
      </c>
      <c r="C368" s="13" t="inlineStr">
        <is>
          <t>عماد عابد</t>
        </is>
      </c>
      <c r="D368" s="13" t="n">
        <v>590598914</v>
      </c>
      <c r="E368" s="13" t="inlineStr">
        <is>
          <t>لايوجد</t>
        </is>
      </c>
      <c r="F368" s="13" t="inlineStr">
        <is>
          <t>أكاديمية</t>
        </is>
      </c>
      <c r="G368" s="13" t="inlineStr">
        <is>
          <t>المدينة المنورة</t>
        </is>
      </c>
      <c r="H368" s="13" t="inlineStr">
        <is>
          <t>المدينة المنورة</t>
        </is>
      </c>
      <c r="I368" s="17" t="inlineStr">
        <is>
          <t>المدينة المنورة</t>
        </is>
      </c>
      <c r="J368" s="13" t="n">
        <v>0</v>
      </c>
      <c r="K368" s="13" t="n">
        <v>0</v>
      </c>
      <c r="L368" s="13" t="n">
        <v>1</v>
      </c>
      <c r="M368" s="13" t="n">
        <v>0</v>
      </c>
      <c r="N368" s="13" t="n">
        <v>1</v>
      </c>
      <c r="O368" s="13" t="n">
        <v>0</v>
      </c>
      <c r="P368" s="13" t="n">
        <v>0</v>
      </c>
      <c r="Q36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8" s="13" t="n"/>
      <c r="S368" s="17" t="n"/>
    </row>
    <row r="369" ht="17" customHeight="1">
      <c r="A369" s="17">
        <f>1+A368</f>
        <v/>
      </c>
      <c r="B369" s="89" t="inlineStr">
        <is>
          <t>اكاديمية الحزام</t>
        </is>
      </c>
      <c r="C369" s="13" t="inlineStr">
        <is>
          <t>فضل عبدالرحمن</t>
        </is>
      </c>
      <c r="D369" s="13" t="n">
        <v>510277653</v>
      </c>
      <c r="E369" s="13" t="inlineStr">
        <is>
          <t>لايوجد</t>
        </is>
      </c>
      <c r="F369" s="13" t="inlineStr">
        <is>
          <t>هواة</t>
        </is>
      </c>
      <c r="G369" s="13" t="inlineStr">
        <is>
          <t>المدينة المنورة</t>
        </is>
      </c>
      <c r="H369" s="13" t="inlineStr">
        <is>
          <t>المدينة المنورة</t>
        </is>
      </c>
      <c r="I369" s="17" t="inlineStr">
        <is>
          <t>المدينة المنورة</t>
        </is>
      </c>
      <c r="J369" s="13" t="n">
        <v>0</v>
      </c>
      <c r="K369" s="13" t="n">
        <v>1</v>
      </c>
      <c r="L369" s="13" t="n">
        <v>1</v>
      </c>
      <c r="M369" s="13" t="n">
        <v>0</v>
      </c>
      <c r="N369" s="13" t="n">
        <v>0</v>
      </c>
      <c r="O369" s="13" t="n">
        <v>0</v>
      </c>
      <c r="P369" s="13" t="n">
        <v>0</v>
      </c>
      <c r="Q36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69" s="13" t="n"/>
      <c r="S369" s="17" t="n"/>
    </row>
    <row r="370" ht="17" customHeight="1">
      <c r="A370" s="17">
        <f>1+A369</f>
        <v/>
      </c>
      <c r="B370" s="19" t="inlineStr">
        <is>
          <t xml:space="preserve">اكاديمية سهيل </t>
        </is>
      </c>
      <c r="C370" s="19" t="inlineStr">
        <is>
          <t>علي ال رشه</t>
        </is>
      </c>
      <c r="D370" s="19" t="n">
        <v>5000415106</v>
      </c>
      <c r="E370" s="19" t="inlineStr">
        <is>
          <t>نجران الرديف</t>
        </is>
      </c>
      <c r="F370" s="19" t="inlineStr">
        <is>
          <t>أكاديمية</t>
        </is>
      </c>
      <c r="G370" s="19" t="inlineStr">
        <is>
          <t>نجران</t>
        </is>
      </c>
      <c r="H370" s="19" t="inlineStr">
        <is>
          <t>نجران</t>
        </is>
      </c>
      <c r="I370" s="20" t="inlineStr">
        <is>
          <t>نجران</t>
        </is>
      </c>
      <c r="J370" s="19" t="n">
        <v>1</v>
      </c>
      <c r="K370" s="19" t="n">
        <v>1</v>
      </c>
      <c r="L370" s="19" t="n">
        <v>2</v>
      </c>
      <c r="M370" s="19" t="n">
        <v>0</v>
      </c>
      <c r="N370" s="19" t="n">
        <v>0</v>
      </c>
      <c r="O370" s="19" t="n">
        <v>0</v>
      </c>
      <c r="P370" s="19" t="n">
        <v>0</v>
      </c>
      <c r="Q37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0" s="13" t="n"/>
      <c r="S370" s="17" t="n"/>
    </row>
    <row r="371" ht="17" customHeight="1">
      <c r="A371" s="17">
        <f>1+A370</f>
        <v/>
      </c>
      <c r="B371" s="13" t="inlineStr">
        <is>
          <t>اكاديمية التحدي جدة</t>
        </is>
      </c>
      <c r="C371" s="13" t="inlineStr">
        <is>
          <t>عبدالله البقمي</t>
        </is>
      </c>
      <c r="D371" s="13" t="n">
        <v>552660308</v>
      </c>
      <c r="E371" s="13" t="inlineStr">
        <is>
          <t xml:space="preserve">لايوجد </t>
        </is>
      </c>
      <c r="F371" s="13" t="inlineStr">
        <is>
          <t>هواة</t>
        </is>
      </c>
      <c r="G371" s="13" t="inlineStr">
        <is>
          <t>مكة المكرمة</t>
        </is>
      </c>
      <c r="H371" s="13" t="inlineStr">
        <is>
          <t>جدة</t>
        </is>
      </c>
      <c r="I371" s="17" t="inlineStr">
        <is>
          <t>جدة</t>
        </is>
      </c>
      <c r="J371" s="13" t="n">
        <v>1</v>
      </c>
      <c r="K371" s="13" t="n">
        <v>1</v>
      </c>
      <c r="L371" s="13" t="n">
        <v>1</v>
      </c>
      <c r="M371" s="13" t="n">
        <v>1</v>
      </c>
      <c r="N371" s="13" t="n">
        <v>1</v>
      </c>
      <c r="O371" s="13" t="n">
        <v>1</v>
      </c>
      <c r="P371" s="13" t="n">
        <v>1</v>
      </c>
      <c r="Q37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1" s="13" t="n"/>
      <c r="S371" s="17" t="inlineStr">
        <is>
          <t>نعم</t>
        </is>
      </c>
    </row>
    <row r="372" ht="17" customHeight="1">
      <c r="A372" s="17">
        <f>1+A371</f>
        <v/>
      </c>
      <c r="B372" s="13" t="inlineStr">
        <is>
          <t>شعلة الباحة</t>
        </is>
      </c>
      <c r="C372" s="13" t="inlineStr">
        <is>
          <t xml:space="preserve">صالح العمري </t>
        </is>
      </c>
      <c r="D372" s="13" t="n">
        <v>504762940</v>
      </c>
      <c r="E372" s="13" t="inlineStr">
        <is>
          <t>لايوجد</t>
        </is>
      </c>
      <c r="F372" s="13" t="inlineStr">
        <is>
          <t>هواة</t>
        </is>
      </c>
      <c r="G372" s="13" t="inlineStr">
        <is>
          <t>الباحة</t>
        </is>
      </c>
      <c r="H372" s="13" t="inlineStr">
        <is>
          <t>الباحة</t>
        </is>
      </c>
      <c r="I372" s="17" t="inlineStr">
        <is>
          <t>الباحة</t>
        </is>
      </c>
      <c r="J372" s="13" t="n">
        <v>0</v>
      </c>
      <c r="K372" s="13" t="n">
        <v>1</v>
      </c>
      <c r="L372" s="13" t="n">
        <v>0</v>
      </c>
      <c r="M372" s="13" t="n">
        <v>0</v>
      </c>
      <c r="N372" s="13" t="n">
        <v>1</v>
      </c>
      <c r="O372" s="13" t="n">
        <v>0</v>
      </c>
      <c r="P372" s="13" t="n">
        <v>0</v>
      </c>
      <c r="Q37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2" s="13" t="n"/>
      <c r="S372" s="17" t="inlineStr">
        <is>
          <t>نعم</t>
        </is>
      </c>
    </row>
    <row r="373" ht="17" customHeight="1">
      <c r="A373" s="17">
        <f>1+A372</f>
        <v/>
      </c>
      <c r="B373" s="13" t="inlineStr">
        <is>
          <t>اكاديمية أبناء</t>
        </is>
      </c>
      <c r="C373" s="13" t="inlineStr">
        <is>
          <t>محمد المنصور</t>
        </is>
      </c>
      <c r="D373" s="13" t="n">
        <v>556036072</v>
      </c>
      <c r="E373" s="13" t="inlineStr">
        <is>
          <t>لايوجد</t>
        </is>
      </c>
      <c r="F373" s="13" t="inlineStr">
        <is>
          <t>هواة</t>
        </is>
      </c>
      <c r="G373" s="13" t="inlineStr">
        <is>
          <t>القصيم</t>
        </is>
      </c>
      <c r="H373" s="13" t="inlineStr">
        <is>
          <t>بريدة</t>
        </is>
      </c>
      <c r="I373" s="17" t="inlineStr">
        <is>
          <t>القصيم</t>
        </is>
      </c>
      <c r="J373" s="13" t="n">
        <v>1</v>
      </c>
      <c r="K373" s="13" t="n">
        <v>1</v>
      </c>
      <c r="L373" s="13" t="n">
        <v>1</v>
      </c>
      <c r="M373" s="13" t="n">
        <v>1</v>
      </c>
      <c r="N373" s="13" t="n">
        <v>1</v>
      </c>
      <c r="O373" s="13" t="n">
        <v>0</v>
      </c>
      <c r="P373" s="13" t="n">
        <v>0</v>
      </c>
      <c r="Q37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3" s="13" t="n"/>
      <c r="S373" s="17" t="inlineStr">
        <is>
          <t>نعم</t>
        </is>
      </c>
    </row>
    <row r="374" ht="17" customHeight="1">
      <c r="A374" s="17">
        <f>1+A373</f>
        <v/>
      </c>
      <c r="B374" s="13" t="inlineStr">
        <is>
          <t xml:space="preserve">صفوة جيم </t>
        </is>
      </c>
      <c r="C374" s="13" t="inlineStr">
        <is>
          <t>عبدالعزيز عسيري</t>
        </is>
      </c>
      <c r="D374" s="13" t="n">
        <v>966553978161</v>
      </c>
      <c r="E374" s="13" t="inlineStr">
        <is>
          <t>لايوجد</t>
        </is>
      </c>
      <c r="F374" s="13" t="inlineStr">
        <is>
          <t>هواة</t>
        </is>
      </c>
      <c r="G374" s="13" t="inlineStr">
        <is>
          <t>الرياض</t>
        </is>
      </c>
      <c r="H374" s="13" t="inlineStr">
        <is>
          <t>الخرج</t>
        </is>
      </c>
      <c r="I374" s="17" t="inlineStr">
        <is>
          <t>الخرج</t>
        </is>
      </c>
      <c r="J374" s="13" t="n">
        <v>0</v>
      </c>
      <c r="K374" s="13" t="n">
        <v>0</v>
      </c>
      <c r="L374" s="13" t="n">
        <v>1</v>
      </c>
      <c r="M374" s="13" t="n">
        <v>0</v>
      </c>
      <c r="N374" s="13" t="n">
        <v>1</v>
      </c>
      <c r="O374" s="13" t="n">
        <v>0</v>
      </c>
      <c r="P374" s="13" t="n">
        <v>0</v>
      </c>
      <c r="Q37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4" s="13" t="inlineStr">
        <is>
          <t>لم يتم السداد</t>
        </is>
      </c>
      <c r="S374" s="17" t="inlineStr">
        <is>
          <t>نعم</t>
        </is>
      </c>
    </row>
    <row r="375" ht="17" customHeight="1">
      <c r="A375" s="17">
        <f>1+A374</f>
        <v/>
      </c>
      <c r="B375" s="13" t="inlineStr">
        <is>
          <t>اكاديمية اليمامة</t>
        </is>
      </c>
      <c r="C375" s="13" t="inlineStr">
        <is>
          <t>عادل الحربي</t>
        </is>
      </c>
      <c r="D375" s="13" t="n">
        <v>559909929</v>
      </c>
      <c r="E375" s="13" t="inlineStr">
        <is>
          <t>لايوجد</t>
        </is>
      </c>
      <c r="F375" s="13" t="inlineStr">
        <is>
          <t>هواة</t>
        </is>
      </c>
      <c r="G375" s="13" t="inlineStr">
        <is>
          <t>الرياض</t>
        </is>
      </c>
      <c r="H375" s="13" t="inlineStr">
        <is>
          <t>الخرج</t>
        </is>
      </c>
      <c r="I375" s="17" t="inlineStr">
        <is>
          <t>الخرج</t>
        </is>
      </c>
      <c r="J375" s="13" t="n">
        <v>0</v>
      </c>
      <c r="K375" s="13" t="n">
        <v>1</v>
      </c>
      <c r="L375" s="13" t="n">
        <v>1</v>
      </c>
      <c r="M375" s="13" t="n">
        <v>0</v>
      </c>
      <c r="N375" s="13" t="n">
        <v>0</v>
      </c>
      <c r="O375" s="13" t="n">
        <v>0</v>
      </c>
      <c r="P375" s="13" t="n">
        <v>0</v>
      </c>
      <c r="Q37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5" s="13" t="inlineStr">
        <is>
          <t>لم يتم السداد</t>
        </is>
      </c>
      <c r="S375" s="17" t="inlineStr">
        <is>
          <t>نعم</t>
        </is>
      </c>
    </row>
    <row r="376" ht="17" customHeight="1">
      <c r="A376" s="17">
        <f>1+A375</f>
        <v/>
      </c>
      <c r="B376" s="13" t="inlineStr">
        <is>
          <t>سدرة</t>
        </is>
      </c>
      <c r="C376" s="13" t="inlineStr">
        <is>
          <t>مازن عوير</t>
        </is>
      </c>
      <c r="D376" s="13" t="n">
        <v>500934380</v>
      </c>
      <c r="E376" s="13" t="inlineStr">
        <is>
          <t>لايوجد</t>
        </is>
      </c>
      <c r="F376" s="13" t="inlineStr">
        <is>
          <t>هواة</t>
        </is>
      </c>
      <c r="G376" s="13" t="inlineStr">
        <is>
          <t>الرياض</t>
        </is>
      </c>
      <c r="H376" s="13" t="inlineStr">
        <is>
          <t>الرياض</t>
        </is>
      </c>
      <c r="I376" s="17" t="inlineStr">
        <is>
          <t>الرياض</t>
        </is>
      </c>
      <c r="J376" s="13" t="n">
        <v>1</v>
      </c>
      <c r="K376" s="13" t="n">
        <v>1</v>
      </c>
      <c r="L376" s="13" t="n">
        <v>1</v>
      </c>
      <c r="M376" s="13" t="n">
        <v>1</v>
      </c>
      <c r="N376" s="13" t="n">
        <v>1</v>
      </c>
      <c r="O376" s="13" t="n">
        <v>0</v>
      </c>
      <c r="P376" s="13" t="n">
        <v>0</v>
      </c>
      <c r="Q37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6" s="13" t="inlineStr">
        <is>
          <t>لم يتم السداد</t>
        </is>
      </c>
      <c r="S376" s="17" t="inlineStr">
        <is>
          <t>نعم</t>
        </is>
      </c>
    </row>
    <row r="377" ht="17" customHeight="1">
      <c r="A377" s="17">
        <f>1+A376</f>
        <v/>
      </c>
      <c r="B377" s="13" t="inlineStr">
        <is>
          <t>اكاديمية سلمى</t>
        </is>
      </c>
      <c r="C377" s="13" t="inlineStr">
        <is>
          <t xml:space="preserve">سعود الشمري </t>
        </is>
      </c>
      <c r="D377" s="13" t="n">
        <v>533340460</v>
      </c>
      <c r="E377" s="13" t="inlineStr">
        <is>
          <t xml:space="preserve">بلدية شنان </t>
        </is>
      </c>
      <c r="F377" s="13" t="inlineStr">
        <is>
          <t>أكاديمية</t>
        </is>
      </c>
      <c r="G377" s="13" t="inlineStr">
        <is>
          <t>حائل</t>
        </is>
      </c>
      <c r="H377" s="13" t="inlineStr">
        <is>
          <t>حائل</t>
        </is>
      </c>
      <c r="I377" s="17" t="inlineStr">
        <is>
          <t>حائل</t>
        </is>
      </c>
      <c r="J377" s="13" t="n">
        <v>0</v>
      </c>
      <c r="K377" s="13" t="n">
        <v>1</v>
      </c>
      <c r="L377" s="13" t="n">
        <v>1</v>
      </c>
      <c r="M377" s="13" t="n">
        <v>1</v>
      </c>
      <c r="N377" s="13" t="n">
        <v>1</v>
      </c>
      <c r="O377" s="13" t="n">
        <v>1</v>
      </c>
      <c r="P377" s="13" t="n">
        <v>0</v>
      </c>
      <c r="Q37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7" s="13" t="n"/>
      <c r="S377" s="17" t="n"/>
    </row>
    <row r="378" ht="17" customHeight="1">
      <c r="A378" s="17">
        <f>1+A377</f>
        <v/>
      </c>
      <c r="B378" s="13" t="inlineStr">
        <is>
          <t>العالم الرياضية</t>
        </is>
      </c>
      <c r="C378" s="13" t="inlineStr">
        <is>
          <t>بدر السيد</t>
        </is>
      </c>
      <c r="D378" s="13" t="n">
        <v>508472424</v>
      </c>
      <c r="E378" s="13" t="inlineStr">
        <is>
          <t>انتراكاديمي</t>
        </is>
      </c>
      <c r="F378" s="13" t="inlineStr">
        <is>
          <t>أكاديمية</t>
        </is>
      </c>
      <c r="G378" s="13" t="inlineStr">
        <is>
          <t>مكة المكرمة</t>
        </is>
      </c>
      <c r="H378" s="13" t="inlineStr">
        <is>
          <t>جدة</t>
        </is>
      </c>
      <c r="I378" s="17" t="inlineStr">
        <is>
          <t>جدة</t>
        </is>
      </c>
      <c r="J378" s="13" t="n">
        <v>0</v>
      </c>
      <c r="K378" s="13" t="n">
        <v>0</v>
      </c>
      <c r="L378" s="13" t="n">
        <v>0</v>
      </c>
      <c r="M378" s="13" t="n">
        <v>1</v>
      </c>
      <c r="N378" s="13" t="n">
        <v>1</v>
      </c>
      <c r="O378" s="13" t="n">
        <v>1</v>
      </c>
      <c r="P378" s="13" t="n">
        <v>1</v>
      </c>
      <c r="Q37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8" s="13" t="n"/>
      <c r="S378" s="17" t="n"/>
    </row>
    <row r="379" ht="17" customHeight="1">
      <c r="A379" s="17">
        <f>1+A378</f>
        <v/>
      </c>
      <c r="B379" s="13" t="inlineStr">
        <is>
          <t xml:space="preserve">أجيال الابطال الرياضية - مكة المكرمة </t>
        </is>
      </c>
      <c r="C379" s="13" t="inlineStr">
        <is>
          <t>عبدالله عبده</t>
        </is>
      </c>
      <c r="D379" s="13" t="n">
        <v>508111233</v>
      </c>
      <c r="E379" s="13" t="inlineStr">
        <is>
          <t>لايوجد</t>
        </is>
      </c>
      <c r="F379" s="13" t="inlineStr">
        <is>
          <t>هواة</t>
        </is>
      </c>
      <c r="G379" s="13" t="inlineStr">
        <is>
          <t>مكة المكرمة</t>
        </is>
      </c>
      <c r="H379" s="13" t="inlineStr">
        <is>
          <t>مكة المكرمة</t>
        </is>
      </c>
      <c r="I379" s="17" t="inlineStr">
        <is>
          <t>مكة المكرمة</t>
        </is>
      </c>
      <c r="J379" s="13" t="n">
        <v>1</v>
      </c>
      <c r="K379" s="13" t="n">
        <v>1</v>
      </c>
      <c r="L379" s="13" t="n">
        <v>1</v>
      </c>
      <c r="M379" s="13" t="n">
        <v>1</v>
      </c>
      <c r="N379" s="13" t="n">
        <v>1</v>
      </c>
      <c r="O379" s="13" t="n">
        <v>1</v>
      </c>
      <c r="P379" s="13" t="n">
        <v>1</v>
      </c>
      <c r="Q37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79" s="13" t="inlineStr">
        <is>
          <t>لم يتم السداد</t>
        </is>
      </c>
      <c r="S379" s="17" t="inlineStr">
        <is>
          <t>نعم</t>
        </is>
      </c>
    </row>
    <row r="380" ht="17" customHeight="1">
      <c r="A380" s="17">
        <f>1+A379</f>
        <v/>
      </c>
      <c r="B380" s="13" t="inlineStr">
        <is>
          <t>اكاديمية الظهران</t>
        </is>
      </c>
      <c r="C380" s="13" t="inlineStr">
        <is>
          <t xml:space="preserve">حسين القحطاني </t>
        </is>
      </c>
      <c r="D380" s="13" t="n">
        <v>504999934</v>
      </c>
      <c r="E380" s="13" t="inlineStr">
        <is>
          <t>اوفسايد ارينا</t>
        </is>
      </c>
      <c r="F380" s="13" t="inlineStr">
        <is>
          <t>أكاديمية</t>
        </is>
      </c>
      <c r="G380" s="13" t="inlineStr">
        <is>
          <t>الشرقية</t>
        </is>
      </c>
      <c r="H380" s="13" t="inlineStr">
        <is>
          <t>الظهران</t>
        </is>
      </c>
      <c r="I380" s="17" t="inlineStr">
        <is>
          <t>الشرقية</t>
        </is>
      </c>
      <c r="J380" s="13" t="n">
        <v>1</v>
      </c>
      <c r="K380" s="13" t="n">
        <v>1</v>
      </c>
      <c r="L380" s="13" t="n">
        <v>2</v>
      </c>
      <c r="M380" s="13" t="n">
        <v>2</v>
      </c>
      <c r="N380" s="13" t="n">
        <v>2</v>
      </c>
      <c r="O380" s="13" t="n">
        <v>1</v>
      </c>
      <c r="P380" s="13" t="n">
        <v>0</v>
      </c>
      <c r="Q38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0" s="13" t="n"/>
      <c r="S380" s="17" t="n"/>
    </row>
    <row r="381" ht="17" customHeight="1">
      <c r="A381" s="17">
        <f>1+A380</f>
        <v/>
      </c>
      <c r="B381" s="13" t="inlineStr">
        <is>
          <t>اكاديمية قول</t>
        </is>
      </c>
      <c r="C381" s="13" t="inlineStr">
        <is>
          <t>بسام الدوسري</t>
        </is>
      </c>
      <c r="D381" s="13" t="n">
        <v>500013431</v>
      </c>
      <c r="E381" s="13" t="inlineStr">
        <is>
          <t>ملاعب Z7</t>
        </is>
      </c>
      <c r="F381" s="13" t="inlineStr">
        <is>
          <t>أكاديمية</t>
        </is>
      </c>
      <c r="G381" s="13" t="inlineStr">
        <is>
          <t>الشرقية</t>
        </is>
      </c>
      <c r="H381" s="13" t="inlineStr">
        <is>
          <t>الدمام</t>
        </is>
      </c>
      <c r="I381" s="17" t="inlineStr">
        <is>
          <t>الشرقية</t>
        </is>
      </c>
      <c r="J381" s="13" t="n">
        <v>0</v>
      </c>
      <c r="K381" s="13" t="n">
        <v>0</v>
      </c>
      <c r="L381" s="13" t="n">
        <v>1</v>
      </c>
      <c r="M381" s="13" t="n">
        <v>1</v>
      </c>
      <c r="N381" s="13" t="n">
        <v>1</v>
      </c>
      <c r="O381" s="13" t="n">
        <v>0</v>
      </c>
      <c r="P381" s="13" t="n">
        <v>0</v>
      </c>
      <c r="Q38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1" s="13" t="n"/>
      <c r="S381" s="17" t="n"/>
    </row>
    <row r="382" ht="17" customHeight="1">
      <c r="A382" s="17">
        <f>1+A381</f>
        <v/>
      </c>
      <c r="B382" s="19" t="inlineStr">
        <is>
          <t>اكاديمية مروم الشرق</t>
        </is>
      </c>
      <c r="C382" s="19" t="inlineStr">
        <is>
          <t>محمد فرج</t>
        </is>
      </c>
      <c r="D382" s="19" t="n">
        <v>565808256</v>
      </c>
      <c r="E382" s="19" t="inlineStr">
        <is>
          <t>لايوجد</t>
        </is>
      </c>
      <c r="F382" s="19" t="inlineStr">
        <is>
          <t>أكاديمية</t>
        </is>
      </c>
      <c r="G382" s="19" t="inlineStr">
        <is>
          <t>الشرقية</t>
        </is>
      </c>
      <c r="H382" s="19" t="inlineStr">
        <is>
          <t>الدمام</t>
        </is>
      </c>
      <c r="I382" s="20" t="inlineStr">
        <is>
          <t>الشرقية</t>
        </is>
      </c>
      <c r="J382" s="19" t="n">
        <v>0</v>
      </c>
      <c r="K382" s="19" t="n">
        <v>1</v>
      </c>
      <c r="L382" s="19" t="n">
        <v>1</v>
      </c>
      <c r="M382" s="19" t="n">
        <v>2</v>
      </c>
      <c r="N382" s="19" t="n">
        <v>2</v>
      </c>
      <c r="O382" s="19" t="n">
        <v>1</v>
      </c>
      <c r="P382" s="19" t="n">
        <v>0</v>
      </c>
      <c r="Q38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2" s="13" t="n"/>
      <c r="S382" s="17" t="n"/>
    </row>
    <row r="383" ht="17" customHeight="1">
      <c r="A383" s="17">
        <f>1+A382</f>
        <v/>
      </c>
      <c r="B383" s="19" t="inlineStr">
        <is>
          <t>الهلال</t>
        </is>
      </c>
      <c r="C383" s="19" t="inlineStr">
        <is>
          <t xml:space="preserve">استيفيه </t>
        </is>
      </c>
      <c r="D383" s="19" t="n">
        <v>505211304</v>
      </c>
      <c r="E383" s="19" t="inlineStr">
        <is>
          <t>رديف الهلال 1</t>
        </is>
      </c>
      <c r="F383" s="19" t="inlineStr">
        <is>
          <t>نادي</t>
        </is>
      </c>
      <c r="G383" s="19" t="inlineStr">
        <is>
          <t>الرياض</t>
        </is>
      </c>
      <c r="H383" s="19" t="inlineStr">
        <is>
          <t>الرياض</t>
        </is>
      </c>
      <c r="I383" s="20" t="inlineStr">
        <is>
          <t>الرياض</t>
        </is>
      </c>
      <c r="J383" s="19" t="n">
        <v>1</v>
      </c>
      <c r="K383" s="19" t="n">
        <v>1</v>
      </c>
      <c r="L383" s="19" t="n">
        <v>1</v>
      </c>
      <c r="M383" s="19" t="n">
        <v>1</v>
      </c>
      <c r="N383" s="19" t="n">
        <v>1</v>
      </c>
      <c r="O383" s="19" t="n">
        <v>1</v>
      </c>
      <c r="P383" s="19" t="n">
        <v>1</v>
      </c>
      <c r="Q38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3" s="13" t="n"/>
      <c r="S383" s="17" t="n"/>
    </row>
    <row r="384" ht="17" customHeight="1">
      <c r="A384" s="17">
        <f>1+A383</f>
        <v/>
      </c>
      <c r="B384" s="13" t="inlineStr">
        <is>
          <t xml:space="preserve">سامبا الوتد </t>
        </is>
      </c>
      <c r="C384" s="13" t="inlineStr">
        <is>
          <t>علي دغريري</t>
        </is>
      </c>
      <c r="D384" s="13" t="n">
        <v>501837781</v>
      </c>
      <c r="E384" s="13" t="inlineStr">
        <is>
          <t>لايوجد</t>
        </is>
      </c>
      <c r="F384" s="13" t="inlineStr">
        <is>
          <t>هواة</t>
        </is>
      </c>
      <c r="G384" s="13" t="inlineStr">
        <is>
          <t>جازان</t>
        </is>
      </c>
      <c r="H384" s="13" t="inlineStr">
        <is>
          <t>صامطة</t>
        </is>
      </c>
      <c r="I384" s="17" t="inlineStr">
        <is>
          <t>جازان</t>
        </is>
      </c>
      <c r="J384" s="13" t="n">
        <v>1</v>
      </c>
      <c r="K384" s="13" t="n">
        <v>1</v>
      </c>
      <c r="L384" s="13" t="n">
        <v>1</v>
      </c>
      <c r="M384" s="13" t="n">
        <v>1</v>
      </c>
      <c r="N384" s="13" t="n">
        <v>1</v>
      </c>
      <c r="O384" s="13" t="n">
        <v>1</v>
      </c>
      <c r="P384" s="13" t="n">
        <v>1</v>
      </c>
      <c r="Q38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4" s="13" t="n"/>
      <c r="S384" s="17" t="inlineStr">
        <is>
          <t>نعم</t>
        </is>
      </c>
    </row>
    <row r="385" ht="17" customHeight="1">
      <c r="A385" s="17">
        <f>1+A384</f>
        <v/>
      </c>
      <c r="B385" s="13" t="inlineStr">
        <is>
          <t>الرشيد بحفر الباطن</t>
        </is>
      </c>
      <c r="C385" s="13" t="inlineStr">
        <is>
          <t>طالب الظفيري</t>
        </is>
      </c>
      <c r="D385" s="13" t="n">
        <v>500382553</v>
      </c>
      <c r="E385" s="13" t="inlineStr">
        <is>
          <t>لايوجد</t>
        </is>
      </c>
      <c r="F385" s="13" t="inlineStr">
        <is>
          <t>هواة</t>
        </is>
      </c>
      <c r="G385" s="13" t="inlineStr">
        <is>
          <t>الشرقية</t>
        </is>
      </c>
      <c r="H385" s="13" t="inlineStr">
        <is>
          <t>حفر الباطن</t>
        </is>
      </c>
      <c r="I385" s="17" t="inlineStr">
        <is>
          <t>حفر الباطن</t>
        </is>
      </c>
      <c r="J385" s="13" t="n">
        <v>1</v>
      </c>
      <c r="K385" s="13" t="n">
        <v>0</v>
      </c>
      <c r="L385" s="13" t="n">
        <v>1</v>
      </c>
      <c r="M385" s="13" t="n">
        <v>1</v>
      </c>
      <c r="N385" s="13" t="n">
        <v>1</v>
      </c>
      <c r="O385" s="13" t="n">
        <v>0</v>
      </c>
      <c r="P385" s="13" t="n">
        <v>0</v>
      </c>
      <c r="Q38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5" s="13" t="n"/>
      <c r="S385" s="17" t="inlineStr">
        <is>
          <t>نعم</t>
        </is>
      </c>
    </row>
    <row r="386" ht="17" customHeight="1">
      <c r="A386" s="17">
        <f>1+A385</f>
        <v/>
      </c>
      <c r="B386" s="13" t="inlineStr">
        <is>
          <t>أبو حجر</t>
        </is>
      </c>
      <c r="C386" s="13" t="inlineStr">
        <is>
          <t>حمود طالب</t>
        </is>
      </c>
      <c r="D386" s="45" t="n">
        <v>966559927397</v>
      </c>
      <c r="E386" s="13" t="inlineStr">
        <is>
          <t>لايوجد</t>
        </is>
      </c>
      <c r="F386" s="13" t="inlineStr">
        <is>
          <t>هواة</t>
        </is>
      </c>
      <c r="G386" s="13" t="inlineStr">
        <is>
          <t>جازان</t>
        </is>
      </c>
      <c r="H386" s="13" t="inlineStr">
        <is>
          <t>صامطة</t>
        </is>
      </c>
      <c r="I386" s="17" t="inlineStr">
        <is>
          <t>جازان</t>
        </is>
      </c>
      <c r="J386" s="13" t="n">
        <v>1</v>
      </c>
      <c r="K386" s="13" t="n">
        <v>1</v>
      </c>
      <c r="L386" s="13" t="n">
        <v>1</v>
      </c>
      <c r="M386" s="13" t="n">
        <v>1</v>
      </c>
      <c r="N386" s="13" t="n">
        <v>1</v>
      </c>
      <c r="O386" s="13" t="n">
        <v>1</v>
      </c>
      <c r="P386" s="13" t="n">
        <v>1</v>
      </c>
      <c r="Q38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6" s="13" t="n"/>
      <c r="S386" s="17" t="inlineStr">
        <is>
          <t>نعم</t>
        </is>
      </c>
    </row>
    <row r="387" ht="17" customHeight="1">
      <c r="A387" s="17">
        <f>1+A386</f>
        <v/>
      </c>
      <c r="B387" s="13" t="inlineStr">
        <is>
          <t>صقور الرفيعة</t>
        </is>
      </c>
      <c r="C387" s="13" t="inlineStr">
        <is>
          <t>سلمان الحريص</t>
        </is>
      </c>
      <c r="D387" s="13" t="n">
        <v>500272712</v>
      </c>
      <c r="E387" s="13" t="inlineStr">
        <is>
          <t>لايوجد</t>
        </is>
      </c>
      <c r="F387" s="13" t="inlineStr">
        <is>
          <t>هواة</t>
        </is>
      </c>
      <c r="G387" s="13" t="inlineStr">
        <is>
          <t>الشرقية</t>
        </is>
      </c>
      <c r="H387" s="13" t="inlineStr">
        <is>
          <t>مركز الرفيعة</t>
        </is>
      </c>
      <c r="I387" s="17" t="inlineStr">
        <is>
          <t>حفر الباطن</t>
        </is>
      </c>
      <c r="J387" s="13" t="n">
        <v>1</v>
      </c>
      <c r="K387" s="13" t="n">
        <v>1</v>
      </c>
      <c r="L387" s="13" t="n">
        <v>1</v>
      </c>
      <c r="M387" s="13" t="n">
        <v>1</v>
      </c>
      <c r="N387" s="13" t="n">
        <v>1</v>
      </c>
      <c r="O387" s="13" t="n">
        <v>1</v>
      </c>
      <c r="P387" s="13" t="n">
        <v>1</v>
      </c>
      <c r="Q38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7" s="13" t="inlineStr">
        <is>
          <t>لم يتم السداد</t>
        </is>
      </c>
      <c r="S387" s="17" t="inlineStr">
        <is>
          <t>نعم</t>
        </is>
      </c>
    </row>
    <row r="388" ht="17" customHeight="1">
      <c r="A388" s="17">
        <f>1+A387</f>
        <v/>
      </c>
      <c r="B388" s="13" t="inlineStr">
        <is>
          <t>أبيكس</t>
        </is>
      </c>
      <c r="C388" s="13" t="inlineStr">
        <is>
          <t>وائل سرور</t>
        </is>
      </c>
      <c r="D388" s="13" t="n">
        <v>504914919</v>
      </c>
      <c r="E388" s="13" t="inlineStr">
        <is>
          <t>مدارس الرياض نجد</t>
        </is>
      </c>
      <c r="F388" s="13" t="inlineStr">
        <is>
          <t>أكاديمية</t>
        </is>
      </c>
      <c r="G388" s="13" t="inlineStr">
        <is>
          <t>الرياض</t>
        </is>
      </c>
      <c r="H388" s="13" t="inlineStr">
        <is>
          <t>الرياض</t>
        </is>
      </c>
      <c r="I388" s="17" t="inlineStr">
        <is>
          <t>الرياض</t>
        </is>
      </c>
      <c r="J388" s="13" t="n">
        <v>0</v>
      </c>
      <c r="K388" s="13" t="n">
        <v>0</v>
      </c>
      <c r="L388" s="13" t="n">
        <v>1</v>
      </c>
      <c r="M388" s="13" t="n">
        <v>1</v>
      </c>
      <c r="N388" s="13" t="n">
        <v>1</v>
      </c>
      <c r="O388" s="13" t="n">
        <v>0</v>
      </c>
      <c r="P388" s="13" t="n">
        <v>0</v>
      </c>
      <c r="Q38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8" s="13" t="n"/>
      <c r="S388" s="17" t="n"/>
    </row>
    <row r="389" ht="17" customHeight="1">
      <c r="A389" s="17">
        <f>1+A388</f>
        <v/>
      </c>
      <c r="B389" s="13" t="inlineStr">
        <is>
          <t>وايت نايتس</t>
        </is>
      </c>
      <c r="C389" s="13" t="inlineStr">
        <is>
          <t xml:space="preserve">محمد الوقاد </t>
        </is>
      </c>
      <c r="D389" s="13" t="n">
        <v>543377678</v>
      </c>
      <c r="E389" s="13" t="inlineStr">
        <is>
          <t>مدارس الرياض نجد</t>
        </is>
      </c>
      <c r="F389" s="13" t="inlineStr">
        <is>
          <t>أكاديمية</t>
        </is>
      </c>
      <c r="G389" s="13" t="inlineStr">
        <is>
          <t>الرياض</t>
        </is>
      </c>
      <c r="H389" s="13" t="inlineStr">
        <is>
          <t>الرياض</t>
        </is>
      </c>
      <c r="I389" s="17" t="inlineStr">
        <is>
          <t>الرياض</t>
        </is>
      </c>
      <c r="J389" s="13" t="n">
        <v>1</v>
      </c>
      <c r="K389" s="13" t="n">
        <v>0</v>
      </c>
      <c r="L389" s="13" t="n">
        <v>1</v>
      </c>
      <c r="M389" s="13" t="n">
        <v>1</v>
      </c>
      <c r="N389" s="13" t="n">
        <v>1</v>
      </c>
      <c r="O389" s="13" t="n">
        <v>0</v>
      </c>
      <c r="P389" s="13" t="n">
        <v>0</v>
      </c>
      <c r="Q38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89" s="13" t="n"/>
      <c r="S389" s="17" t="n"/>
    </row>
    <row r="390" ht="17" customHeight="1">
      <c r="A390" s="17">
        <f>1+A389</f>
        <v/>
      </c>
      <c r="B390" s="13" t="inlineStr">
        <is>
          <t>النهج السعودي</t>
        </is>
      </c>
      <c r="C390" s="13" t="inlineStr">
        <is>
          <t>ماجد الغامدي</t>
        </is>
      </c>
      <c r="D390" s="13" t="n">
        <v>565235999</v>
      </c>
      <c r="E390" s="13" t="inlineStr">
        <is>
          <t>لايوجد</t>
        </is>
      </c>
      <c r="F390" s="13" t="inlineStr">
        <is>
          <t>أكاديمية</t>
        </is>
      </c>
      <c r="G390" s="13" t="inlineStr">
        <is>
          <t>الرياض</t>
        </is>
      </c>
      <c r="H390" s="13" t="inlineStr">
        <is>
          <t>الرياض</t>
        </is>
      </c>
      <c r="I390" s="17" t="inlineStr">
        <is>
          <t>الرياض</t>
        </is>
      </c>
      <c r="J390" s="13" t="n">
        <v>1</v>
      </c>
      <c r="K390" s="13" t="n">
        <v>1</v>
      </c>
      <c r="L390" s="13" t="n">
        <v>1</v>
      </c>
      <c r="M390" s="13" t="n">
        <v>1</v>
      </c>
      <c r="N390" s="13" t="n">
        <v>1</v>
      </c>
      <c r="O390" s="13" t="n">
        <v>1</v>
      </c>
      <c r="P390" s="13" t="n">
        <v>1</v>
      </c>
      <c r="Q39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0" s="13" t="n"/>
      <c r="S390" s="17" t="n"/>
    </row>
    <row r="391" ht="17" customHeight="1">
      <c r="A391" s="17">
        <f>1+A390</f>
        <v/>
      </c>
      <c r="B391" s="13" t="inlineStr">
        <is>
          <t>تكتيك</t>
        </is>
      </c>
      <c r="C391" s="13" t="inlineStr">
        <is>
          <t>ثامر الدحيلان</t>
        </is>
      </c>
      <c r="D391" s="13" t="n">
        <v>541238112</v>
      </c>
      <c r="E391" s="13" t="inlineStr">
        <is>
          <t>تكتيك</t>
        </is>
      </c>
      <c r="F391" s="13" t="inlineStr">
        <is>
          <t>أكاديمية</t>
        </is>
      </c>
      <c r="G391" s="13" t="inlineStr">
        <is>
          <t>حائل</t>
        </is>
      </c>
      <c r="H391" s="13" t="inlineStr">
        <is>
          <t>حائل</t>
        </is>
      </c>
      <c r="I391" s="17" t="inlineStr">
        <is>
          <t>حائل</t>
        </is>
      </c>
      <c r="J391" s="13" t="n">
        <v>1</v>
      </c>
      <c r="K391" s="13" t="n">
        <v>1</v>
      </c>
      <c r="L391" s="13" t="n">
        <v>1</v>
      </c>
      <c r="M391" s="13" t="n">
        <v>1</v>
      </c>
      <c r="N391" s="13" t="n">
        <v>1</v>
      </c>
      <c r="O391" s="13" t="n">
        <v>1</v>
      </c>
      <c r="P391" s="13" t="n">
        <v>1</v>
      </c>
      <c r="Q39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1" s="13" t="n"/>
      <c r="S391" s="17" t="n"/>
    </row>
    <row r="392" ht="17" customHeight="1">
      <c r="A392" s="17">
        <f>1+A391</f>
        <v/>
      </c>
      <c r="B392" s="13" t="inlineStr">
        <is>
          <t>المنصورة</t>
        </is>
      </c>
      <c r="C392" s="13" t="inlineStr">
        <is>
          <t xml:space="preserve">أمين الحويكم </t>
        </is>
      </c>
      <c r="D392" s="13" t="n">
        <v>567572313</v>
      </c>
      <c r="E392" s="13" t="inlineStr">
        <is>
          <t>لايوجد</t>
        </is>
      </c>
      <c r="F392" s="13" t="inlineStr">
        <is>
          <t>أكاديمية</t>
        </is>
      </c>
      <c r="G392" s="13" t="inlineStr">
        <is>
          <t>الشرقية</t>
        </is>
      </c>
      <c r="H392" s="13" t="inlineStr">
        <is>
          <t>الأحساء</t>
        </is>
      </c>
      <c r="I392" s="17" t="inlineStr">
        <is>
          <t>الأحساء</t>
        </is>
      </c>
      <c r="J392" s="13" t="n">
        <v>0</v>
      </c>
      <c r="K392" s="13" t="n">
        <v>0</v>
      </c>
      <c r="L392" s="13" t="n">
        <v>1</v>
      </c>
      <c r="M392" s="13" t="n">
        <v>1</v>
      </c>
      <c r="N392" s="13" t="n">
        <v>0</v>
      </c>
      <c r="O392" s="13" t="n">
        <v>0</v>
      </c>
      <c r="P392" s="13" t="n">
        <v>0</v>
      </c>
      <c r="Q39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2" s="13" t="n"/>
      <c r="S392" s="17" t="n"/>
    </row>
    <row r="393" ht="17" customHeight="1">
      <c r="A393" s="17">
        <f>1+A392</f>
        <v/>
      </c>
      <c r="B393" s="19" t="inlineStr">
        <is>
          <t xml:space="preserve">السرعة الفعالة </t>
        </is>
      </c>
      <c r="C393" s="19" t="inlineStr">
        <is>
          <t>صالح الحربي</t>
        </is>
      </c>
      <c r="D393" s="19" t="n">
        <v>555959435</v>
      </c>
      <c r="E393" s="19" t="inlineStr">
        <is>
          <t>بلدية قبة</t>
        </is>
      </c>
      <c r="F393" s="19" t="inlineStr">
        <is>
          <t>أكاديمية</t>
        </is>
      </c>
      <c r="G393" s="19" t="inlineStr">
        <is>
          <t>القصيم</t>
        </is>
      </c>
      <c r="H393" s="19" t="inlineStr">
        <is>
          <t>بريدة</t>
        </is>
      </c>
      <c r="I393" s="20" t="inlineStr">
        <is>
          <t>القصيم</t>
        </is>
      </c>
      <c r="J393" s="19" t="n">
        <v>0</v>
      </c>
      <c r="K393" s="19" t="n">
        <v>0</v>
      </c>
      <c r="L393" s="19" t="n">
        <v>0</v>
      </c>
      <c r="M393" s="19" t="n">
        <v>1</v>
      </c>
      <c r="N393" s="19" t="n">
        <v>1</v>
      </c>
      <c r="O393" s="19" t="n">
        <v>0</v>
      </c>
      <c r="P393" s="19" t="n">
        <v>0</v>
      </c>
      <c r="Q39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3" s="13" t="n"/>
      <c r="S393" s="17" t="n"/>
    </row>
    <row r="394" ht="17" customHeight="1">
      <c r="A394" s="17">
        <f>1+A393</f>
        <v/>
      </c>
      <c r="B394" s="13" t="inlineStr">
        <is>
          <t xml:space="preserve">مجد القنفذة </t>
        </is>
      </c>
      <c r="C394" s="13" t="inlineStr">
        <is>
          <t>عبدالمجيد العتيبي</t>
        </is>
      </c>
      <c r="D394" s="13" t="n">
        <v>554010215</v>
      </c>
      <c r="E394" s="13" t="inlineStr">
        <is>
          <t>الامل والمستقبل</t>
        </is>
      </c>
      <c r="F394" s="13" t="inlineStr">
        <is>
          <t>نادي</t>
        </is>
      </c>
      <c r="G394" s="13" t="inlineStr">
        <is>
          <t>الرياض</t>
        </is>
      </c>
      <c r="H394" s="13" t="inlineStr">
        <is>
          <t>الرياض</t>
        </is>
      </c>
      <c r="I394" s="17" t="inlineStr">
        <is>
          <t>الرياض</t>
        </is>
      </c>
      <c r="J394" s="13" t="n">
        <v>0</v>
      </c>
      <c r="K394" s="13" t="n">
        <v>0</v>
      </c>
      <c r="L394" s="13" t="n">
        <v>1</v>
      </c>
      <c r="M394" s="13" t="n">
        <v>1</v>
      </c>
      <c r="N394" s="13" t="n">
        <v>1</v>
      </c>
      <c r="O394" s="13" t="n">
        <v>1</v>
      </c>
      <c r="P394" s="13" t="n">
        <v>1</v>
      </c>
      <c r="Q39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4" s="13" t="n"/>
      <c r="S394" s="17" t="n"/>
    </row>
    <row r="395" ht="17" customHeight="1">
      <c r="A395" s="17">
        <f>1+A394</f>
        <v/>
      </c>
      <c r="B395" s="13" t="inlineStr">
        <is>
          <t>اكاديمية البلوز</t>
        </is>
      </c>
      <c r="C395" s="13" t="inlineStr">
        <is>
          <t xml:space="preserve">طلال الجميلي </t>
        </is>
      </c>
      <c r="D395" s="13" t="n">
        <v>550201036</v>
      </c>
      <c r="E395" s="13" t="inlineStr">
        <is>
          <t>ريال مدريد</t>
        </is>
      </c>
      <c r="F395" s="13" t="inlineStr">
        <is>
          <t>أكاديمية</t>
        </is>
      </c>
      <c r="G395" s="13" t="inlineStr">
        <is>
          <t>الشرقية</t>
        </is>
      </c>
      <c r="H395" s="13" t="inlineStr">
        <is>
          <t>حفر الباطن</t>
        </is>
      </c>
      <c r="I395" s="17" t="inlineStr">
        <is>
          <t>حفر الباطن</t>
        </is>
      </c>
      <c r="J395" s="13" t="n">
        <v>0</v>
      </c>
      <c r="K395" s="13" t="n">
        <v>0</v>
      </c>
      <c r="L395" s="13" t="n">
        <v>1</v>
      </c>
      <c r="M395" s="13" t="n">
        <v>1</v>
      </c>
      <c r="N395" s="13" t="n">
        <v>1</v>
      </c>
      <c r="O395" s="13" t="n">
        <v>0</v>
      </c>
      <c r="P395" s="13" t="n">
        <v>0</v>
      </c>
      <c r="Q39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5" s="13" t="n"/>
      <c r="S395" s="17" t="n"/>
    </row>
    <row r="396" ht="17" customHeight="1">
      <c r="A396" s="17">
        <f>1+A395</f>
        <v/>
      </c>
      <c r="B396" s="89" t="inlineStr">
        <is>
          <t xml:space="preserve">اكاديمية المملكة </t>
        </is>
      </c>
      <c r="C396" s="13" t="inlineStr">
        <is>
          <t>ضاري الشمري</t>
        </is>
      </c>
      <c r="D396" s="13" t="n">
        <v>56222705</v>
      </c>
      <c r="E396" s="13" t="inlineStr">
        <is>
          <t>الهدف</t>
        </is>
      </c>
      <c r="F396" s="13" t="inlineStr">
        <is>
          <t>أكاديمية</t>
        </is>
      </c>
      <c r="G396" s="13" t="inlineStr">
        <is>
          <t>الشرقية</t>
        </is>
      </c>
      <c r="H396" s="13" t="inlineStr">
        <is>
          <t>حفر الباطن</t>
        </is>
      </c>
      <c r="I396" s="17" t="inlineStr">
        <is>
          <t>حفر الباطن</t>
        </is>
      </c>
      <c r="J396" s="13" t="n">
        <v>1</v>
      </c>
      <c r="K396" s="13" t="n">
        <v>1</v>
      </c>
      <c r="L396" s="13" t="n">
        <v>1</v>
      </c>
      <c r="M396" s="13" t="n">
        <v>1</v>
      </c>
      <c r="N396" s="13" t="n">
        <v>1</v>
      </c>
      <c r="O396" s="13" t="n">
        <v>1</v>
      </c>
      <c r="P396" s="13" t="n">
        <v>1</v>
      </c>
      <c r="Q39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6" s="13" t="n"/>
      <c r="S396" s="17" t="n"/>
    </row>
    <row r="397" ht="17" customHeight="1">
      <c r="A397" s="17">
        <f>1+A396</f>
        <v/>
      </c>
      <c r="B397" s="13" t="inlineStr">
        <is>
          <t>جول اكاديمي</t>
        </is>
      </c>
      <c r="C397" s="13" t="inlineStr">
        <is>
          <t>نهي لطيفة</t>
        </is>
      </c>
      <c r="D397" s="13" t="n">
        <v>546120662</v>
      </c>
      <c r="E397" s="13" t="inlineStr">
        <is>
          <t>لايوجد</t>
        </is>
      </c>
      <c r="F397" s="13" t="inlineStr">
        <is>
          <t>هواة</t>
        </is>
      </c>
      <c r="G397" s="13" t="inlineStr">
        <is>
          <t>مكة المكرمة</t>
        </is>
      </c>
      <c r="H397" s="13" t="inlineStr">
        <is>
          <t>جدة</t>
        </is>
      </c>
      <c r="I397" s="17" t="inlineStr">
        <is>
          <t>جدة</t>
        </is>
      </c>
      <c r="J397" s="13" t="n">
        <v>0</v>
      </c>
      <c r="K397" s="13" t="n">
        <v>0</v>
      </c>
      <c r="L397" s="13" t="n">
        <v>1</v>
      </c>
      <c r="M397" s="13" t="n">
        <v>1</v>
      </c>
      <c r="N397" s="13" t="n">
        <v>1</v>
      </c>
      <c r="O397" s="13" t="n">
        <v>1</v>
      </c>
      <c r="P397" s="13" t="n">
        <v>0</v>
      </c>
      <c r="Q39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7" s="13" t="n"/>
      <c r="S397" s="17" t="inlineStr">
        <is>
          <t>نعم</t>
        </is>
      </c>
    </row>
    <row r="398" ht="17" customHeight="1">
      <c r="A398" s="17">
        <f>1+A397</f>
        <v/>
      </c>
      <c r="B398" s="13" t="inlineStr">
        <is>
          <t>رضوي</t>
        </is>
      </c>
      <c r="C398" s="13" t="inlineStr">
        <is>
          <t>علي الصبحي</t>
        </is>
      </c>
      <c r="D398" s="13" t="n">
        <v>505363243</v>
      </c>
      <c r="E398" s="13" t="inlineStr">
        <is>
          <t>رضوي</t>
        </is>
      </c>
      <c r="F398" s="13" t="inlineStr">
        <is>
          <t>نادي</t>
        </is>
      </c>
      <c r="G398" s="13" t="inlineStr">
        <is>
          <t>المدينة المنورة</t>
        </is>
      </c>
      <c r="H398" s="13" t="inlineStr">
        <is>
          <t>ينبع</t>
        </is>
      </c>
      <c r="I398" s="17" t="inlineStr">
        <is>
          <t>المدينة المنورة</t>
        </is>
      </c>
      <c r="J398" s="13" t="n">
        <v>0</v>
      </c>
      <c r="K398" s="13" t="n">
        <v>0</v>
      </c>
      <c r="L398" s="13" t="n">
        <v>2</v>
      </c>
      <c r="M398" s="13" t="n">
        <v>0</v>
      </c>
      <c r="N398" s="13" t="n">
        <v>0</v>
      </c>
      <c r="O398" s="13" t="n">
        <v>0</v>
      </c>
      <c r="P398" s="13" t="n">
        <v>0</v>
      </c>
      <c r="Q39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8" s="13" t="n"/>
      <c r="S398" s="17" t="n"/>
    </row>
    <row r="399" ht="17" customHeight="1">
      <c r="A399" s="17">
        <f>1+A398</f>
        <v/>
      </c>
      <c r="B399" s="13" t="inlineStr">
        <is>
          <t>عصر الاحتراف</t>
        </is>
      </c>
      <c r="C399" s="13" t="inlineStr">
        <is>
          <t>حمزه هوساوي</t>
        </is>
      </c>
      <c r="D399" s="13" t="n">
        <v>553645396</v>
      </c>
      <c r="E399" s="13" t="inlineStr">
        <is>
          <t>لايوجد</t>
        </is>
      </c>
      <c r="F399" s="13" t="inlineStr">
        <is>
          <t>هواة</t>
        </is>
      </c>
      <c r="G399" s="13" t="inlineStr">
        <is>
          <t>مكة المكرمة</t>
        </is>
      </c>
      <c r="H399" s="13" t="inlineStr">
        <is>
          <t>مكة المكرمة</t>
        </is>
      </c>
      <c r="I399" s="17" t="inlineStr">
        <is>
          <t>مكة المكرمة</t>
        </is>
      </c>
      <c r="J399" s="13" t="n">
        <v>1</v>
      </c>
      <c r="K399" s="13" t="n">
        <v>1</v>
      </c>
      <c r="L399" s="13" t="n">
        <v>1</v>
      </c>
      <c r="M399" s="13" t="n">
        <v>1</v>
      </c>
      <c r="N399" s="13" t="n">
        <v>1</v>
      </c>
      <c r="O399" s="13" t="n">
        <v>1</v>
      </c>
      <c r="P399" s="13" t="n">
        <v>1</v>
      </c>
      <c r="Q39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399" s="13" t="n"/>
      <c r="S399" s="17" t="inlineStr">
        <is>
          <t>نعم</t>
        </is>
      </c>
    </row>
    <row r="400" ht="17" customHeight="1">
      <c r="A400" s="17">
        <f>1+A399</f>
        <v/>
      </c>
      <c r="B400" s="13" t="inlineStr">
        <is>
          <t>اكاديمية الرواد بالطائف</t>
        </is>
      </c>
      <c r="C400" s="13" t="inlineStr">
        <is>
          <t>طاهر العتيبي</t>
        </is>
      </c>
      <c r="D400" s="13" t="n">
        <v>599599549</v>
      </c>
      <c r="E400" s="13" t="inlineStr">
        <is>
          <t>لايوجد</t>
        </is>
      </c>
      <c r="F400" s="13" t="inlineStr">
        <is>
          <t>هواة</t>
        </is>
      </c>
      <c r="G400" s="13" t="inlineStr">
        <is>
          <t>مكة المكرمة</t>
        </is>
      </c>
      <c r="H400" s="13" t="inlineStr">
        <is>
          <t>الطائف</t>
        </is>
      </c>
      <c r="I400" s="17" t="inlineStr">
        <is>
          <t>الطائف</t>
        </is>
      </c>
      <c r="J400" s="13" t="n">
        <v>1</v>
      </c>
      <c r="K400" s="13" t="n">
        <v>1</v>
      </c>
      <c r="L400" s="13" t="n">
        <v>1</v>
      </c>
      <c r="M400" s="13" t="n">
        <v>1</v>
      </c>
      <c r="N400" s="13" t="n">
        <v>1</v>
      </c>
      <c r="O400" s="13" t="n">
        <v>1</v>
      </c>
      <c r="P400" s="13" t="n">
        <v>1</v>
      </c>
      <c r="Q40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0" s="13" t="n"/>
      <c r="S400" s="17" t="inlineStr">
        <is>
          <t>نعم</t>
        </is>
      </c>
    </row>
    <row r="401" ht="17" customHeight="1">
      <c r="A401" s="17">
        <f>1+A400</f>
        <v/>
      </c>
      <c r="B401" s="13" t="inlineStr">
        <is>
          <t>نكست جول</t>
        </is>
      </c>
      <c r="C401" s="13" t="inlineStr">
        <is>
          <t>عبدالله الاحمدي</t>
        </is>
      </c>
      <c r="D401" s="13" t="n">
        <v>532492333</v>
      </c>
      <c r="E401" s="13" t="inlineStr">
        <is>
          <t>لايوجد</t>
        </is>
      </c>
      <c r="F401" s="13" t="inlineStr">
        <is>
          <t>هواة</t>
        </is>
      </c>
      <c r="G401" s="13" t="inlineStr">
        <is>
          <t>المدينة المنورة</t>
        </is>
      </c>
      <c r="H401" s="13" t="inlineStr">
        <is>
          <t>المدينة المنورة</t>
        </is>
      </c>
      <c r="I401" s="17" t="inlineStr">
        <is>
          <t>المدينة المنورة</t>
        </is>
      </c>
      <c r="J401" s="13" t="n">
        <v>1</v>
      </c>
      <c r="K401" s="13" t="n">
        <v>0</v>
      </c>
      <c r="L401" s="13" t="n">
        <v>1</v>
      </c>
      <c r="M401" s="13" t="n">
        <v>1</v>
      </c>
      <c r="N401" s="13" t="n">
        <v>1</v>
      </c>
      <c r="O401" s="13" t="n">
        <v>0</v>
      </c>
      <c r="P401" s="13" t="n">
        <v>0</v>
      </c>
      <c r="Q40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1" s="13" t="n"/>
      <c r="S401" s="17" t="inlineStr">
        <is>
          <t>نعم</t>
        </is>
      </c>
    </row>
    <row r="402" ht="17" customHeight="1">
      <c r="A402" s="17">
        <f>1+A401</f>
        <v/>
      </c>
      <c r="B402" s="13" t="inlineStr">
        <is>
          <t>اشبال الحديبية</t>
        </is>
      </c>
      <c r="C402" s="13" t="inlineStr">
        <is>
          <t>عيد الرشيدي</t>
        </is>
      </c>
      <c r="D402" s="13" t="n">
        <v>502812500</v>
      </c>
      <c r="E402" s="13" t="inlineStr">
        <is>
          <t>لايوجد</t>
        </is>
      </c>
      <c r="F402" s="13" t="inlineStr">
        <is>
          <t>هواة</t>
        </is>
      </c>
      <c r="G402" s="13" t="inlineStr">
        <is>
          <t>الشرقية</t>
        </is>
      </c>
      <c r="H402" s="13" t="inlineStr">
        <is>
          <t>الخفجي</t>
        </is>
      </c>
      <c r="I402" s="17" t="inlineStr">
        <is>
          <t>حفر الباطن</t>
        </is>
      </c>
      <c r="J402" s="13" t="n">
        <v>0</v>
      </c>
      <c r="K402" s="13" t="n">
        <v>1</v>
      </c>
      <c r="L402" s="13" t="n">
        <v>1</v>
      </c>
      <c r="M402" s="13" t="n">
        <v>1</v>
      </c>
      <c r="N402" s="13" t="n">
        <v>0</v>
      </c>
      <c r="O402" s="13" t="n">
        <v>0</v>
      </c>
      <c r="P402" s="13" t="n">
        <v>0</v>
      </c>
      <c r="Q40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2" s="13" t="inlineStr">
        <is>
          <t>لم يتم السداد</t>
        </is>
      </c>
      <c r="S402" s="17" t="inlineStr">
        <is>
          <t>نعم</t>
        </is>
      </c>
    </row>
    <row r="403" ht="17" customHeight="1">
      <c r="A403" s="17">
        <f>1+A402</f>
        <v/>
      </c>
      <c r="B403" s="19" t="inlineStr">
        <is>
          <t>أشبال سهما</t>
        </is>
      </c>
      <c r="C403" s="19" t="inlineStr">
        <is>
          <t>ضاري الركاد</t>
        </is>
      </c>
      <c r="D403" s="19" t="n">
        <v>558849399</v>
      </c>
      <c r="E403" s="19" t="inlineStr">
        <is>
          <t>لايوجد</t>
        </is>
      </c>
      <c r="F403" s="19" t="inlineStr">
        <is>
          <t>هواة</t>
        </is>
      </c>
      <c r="G403" s="19" t="inlineStr">
        <is>
          <t>حائل</t>
        </is>
      </c>
      <c r="H403" s="19" t="inlineStr">
        <is>
          <t>حائل</t>
        </is>
      </c>
      <c r="I403" s="20" t="inlineStr">
        <is>
          <t>حائل</t>
        </is>
      </c>
      <c r="J403" s="19" t="n">
        <v>0</v>
      </c>
      <c r="K403" s="19" t="n">
        <v>0</v>
      </c>
      <c r="L403" s="19" t="n">
        <v>1</v>
      </c>
      <c r="M403" s="19" t="n">
        <v>1</v>
      </c>
      <c r="N403" s="19" t="n">
        <v>1</v>
      </c>
      <c r="O403" s="19" t="n">
        <v>0</v>
      </c>
      <c r="P403" s="19" t="n">
        <v>0</v>
      </c>
      <c r="Q40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3" s="13" t="n"/>
      <c r="S403" s="17" t="inlineStr">
        <is>
          <t>نعم</t>
        </is>
      </c>
    </row>
    <row r="404" ht="17" customHeight="1">
      <c r="A404" s="17">
        <f>1+A403</f>
        <v/>
      </c>
      <c r="B404" s="13" t="inlineStr">
        <is>
          <t xml:space="preserve">فريق الخليج بأبو عريش </t>
        </is>
      </c>
      <c r="C404" s="13" t="inlineStr">
        <is>
          <t>حسن قاضي</t>
        </is>
      </c>
      <c r="D404" s="13" t="n">
        <v>566588539</v>
      </c>
      <c r="E404" s="13" t="inlineStr">
        <is>
          <t>لايوجد</t>
        </is>
      </c>
      <c r="F404" s="13" t="inlineStr">
        <is>
          <t>هواة</t>
        </is>
      </c>
      <c r="G404" s="13" t="inlineStr">
        <is>
          <t>جازان</t>
        </is>
      </c>
      <c r="H404" s="13" t="inlineStr">
        <is>
          <t>أبو عريش</t>
        </is>
      </c>
      <c r="I404" s="17" t="inlineStr">
        <is>
          <t>جازان</t>
        </is>
      </c>
      <c r="J404" s="13" t="n">
        <v>1</v>
      </c>
      <c r="K404" s="13" t="n">
        <v>1</v>
      </c>
      <c r="L404" s="13" t="n">
        <v>1</v>
      </c>
      <c r="M404" s="13" t="n">
        <v>1</v>
      </c>
      <c r="N404" s="13" t="n">
        <v>1</v>
      </c>
      <c r="O404" s="13" t="n">
        <v>1</v>
      </c>
      <c r="P404" s="13" t="n">
        <v>1</v>
      </c>
      <c r="Q40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4" s="13" t="n"/>
      <c r="S404" s="17" t="inlineStr">
        <is>
          <t>نعم</t>
        </is>
      </c>
    </row>
    <row r="405" ht="17" customHeight="1">
      <c r="A405" s="17">
        <f>1+A404</f>
        <v/>
      </c>
      <c r="B405" s="13" t="inlineStr">
        <is>
          <t>الوصل بحفر الباطن</t>
        </is>
      </c>
      <c r="C405" s="13" t="inlineStr">
        <is>
          <t>علي الغليضاوي</t>
        </is>
      </c>
      <c r="D405" s="13" t="n">
        <v>538837440</v>
      </c>
      <c r="E405" s="13" t="inlineStr">
        <is>
          <t>لايوجد</t>
        </is>
      </c>
      <c r="F405" s="13" t="inlineStr">
        <is>
          <t>هواة</t>
        </is>
      </c>
      <c r="G405" s="13" t="inlineStr">
        <is>
          <t>الشرقية</t>
        </is>
      </c>
      <c r="H405" s="13" t="inlineStr">
        <is>
          <t>حفر الباطن</t>
        </is>
      </c>
      <c r="I405" s="17" t="inlineStr">
        <is>
          <t>حفر الباطن</t>
        </is>
      </c>
      <c r="J405" s="13" t="n">
        <v>0</v>
      </c>
      <c r="K405" s="13" t="n">
        <v>1</v>
      </c>
      <c r="L405" s="13" t="n">
        <v>1</v>
      </c>
      <c r="M405" s="13" t="n">
        <v>1</v>
      </c>
      <c r="N405" s="13" t="n">
        <v>1</v>
      </c>
      <c r="O405" s="13" t="n">
        <v>1</v>
      </c>
      <c r="P405" s="13" t="n">
        <v>1</v>
      </c>
      <c r="Q40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5" s="13" t="n"/>
      <c r="S405" s="17" t="inlineStr">
        <is>
          <t>نعم</t>
        </is>
      </c>
    </row>
    <row r="406" ht="17" customHeight="1">
      <c r="A406" s="17">
        <f>1+A405</f>
        <v/>
      </c>
      <c r="B406" s="13" t="inlineStr">
        <is>
          <t>البيان</t>
        </is>
      </c>
      <c r="C406" s="13" t="inlineStr">
        <is>
          <t>صادق الجريدان</t>
        </is>
      </c>
      <c r="D406" s="13" t="n">
        <v>508600181</v>
      </c>
      <c r="E406" s="13" t="inlineStr">
        <is>
          <t>لايوجد</t>
        </is>
      </c>
      <c r="F406" s="13" t="inlineStr">
        <is>
          <t>هواة</t>
        </is>
      </c>
      <c r="G406" s="13" t="inlineStr">
        <is>
          <t>الشرقية</t>
        </is>
      </c>
      <c r="H406" s="13" t="inlineStr">
        <is>
          <t>الأحساء</t>
        </is>
      </c>
      <c r="I406" s="17" t="inlineStr">
        <is>
          <t>الأحساء</t>
        </is>
      </c>
      <c r="J406" s="13" t="n">
        <v>1</v>
      </c>
      <c r="K406" s="13" t="n">
        <v>1</v>
      </c>
      <c r="L406" s="13" t="n">
        <v>0</v>
      </c>
      <c r="M406" s="13" t="n">
        <v>0</v>
      </c>
      <c r="N406" s="13" t="n">
        <v>0</v>
      </c>
      <c r="O406" s="13" t="n">
        <v>0</v>
      </c>
      <c r="P406" s="13" t="n">
        <v>0</v>
      </c>
      <c r="Q40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6" s="13" t="n"/>
      <c r="S406" s="17" t="inlineStr">
        <is>
          <t>نعم</t>
        </is>
      </c>
    </row>
    <row r="407" ht="17" customHeight="1">
      <c r="A407" s="17">
        <f>1+A406</f>
        <v/>
      </c>
      <c r="B407" s="13" t="inlineStr">
        <is>
          <t>شباب ابو القعايد</t>
        </is>
      </c>
      <c r="C407" s="13" t="inlineStr">
        <is>
          <t>عبدالله احمد</t>
        </is>
      </c>
      <c r="D407" s="13" t="n">
        <v>555682395</v>
      </c>
      <c r="E407" s="13" t="inlineStr">
        <is>
          <t>لايوجد</t>
        </is>
      </c>
      <c r="F407" s="13" t="inlineStr">
        <is>
          <t>هواة</t>
        </is>
      </c>
      <c r="G407" s="13" t="inlineStr">
        <is>
          <t>جازان</t>
        </is>
      </c>
      <c r="H407" s="13" t="inlineStr">
        <is>
          <t>صبيا</t>
        </is>
      </c>
      <c r="I407" s="17" t="inlineStr">
        <is>
          <t>جازان</t>
        </is>
      </c>
      <c r="J407" s="13" t="n">
        <v>1</v>
      </c>
      <c r="K407" s="13" t="n">
        <v>1</v>
      </c>
      <c r="L407" s="13" t="n">
        <v>1</v>
      </c>
      <c r="M407" s="13" t="n">
        <v>1</v>
      </c>
      <c r="N407" s="13" t="n">
        <v>1</v>
      </c>
      <c r="O407" s="13" t="n">
        <v>1</v>
      </c>
      <c r="P407" s="13" t="n">
        <v>1</v>
      </c>
      <c r="Q40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7" s="13" t="n"/>
      <c r="S407" s="17" t="inlineStr">
        <is>
          <t>نعم</t>
        </is>
      </c>
    </row>
    <row r="408" ht="17" customHeight="1">
      <c r="A408" s="17">
        <f>1+A407</f>
        <v/>
      </c>
      <c r="B408" s="13" t="inlineStr">
        <is>
          <t>فريق العقيد</t>
        </is>
      </c>
      <c r="C408" s="13" t="inlineStr">
        <is>
          <t>رامي الرشيدي</t>
        </is>
      </c>
      <c r="D408" s="13" t="n">
        <v>535352410</v>
      </c>
      <c r="E408" s="13" t="inlineStr">
        <is>
          <t>لايوجد</t>
        </is>
      </c>
      <c r="F408" s="13" t="inlineStr">
        <is>
          <t>هواة</t>
        </is>
      </c>
      <c r="G408" s="13" t="inlineStr">
        <is>
          <t>المدينة المنورة</t>
        </is>
      </c>
      <c r="H408" s="13" t="inlineStr">
        <is>
          <t>المدينة المنورة</t>
        </is>
      </c>
      <c r="I408" s="17" t="inlineStr">
        <is>
          <t>المدينة المنورة</t>
        </is>
      </c>
      <c r="J408" s="13" t="n">
        <v>1</v>
      </c>
      <c r="K408" s="13" t="n">
        <v>0</v>
      </c>
      <c r="L408" s="13" t="n">
        <v>1</v>
      </c>
      <c r="M408" s="13" t="n">
        <v>0</v>
      </c>
      <c r="N408" s="13" t="n">
        <v>0</v>
      </c>
      <c r="O408" s="13" t="n">
        <v>0</v>
      </c>
      <c r="P408" s="13" t="n">
        <v>0</v>
      </c>
      <c r="Q40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8" s="13" t="n"/>
      <c r="S408" s="17" t="inlineStr">
        <is>
          <t>نعم</t>
        </is>
      </c>
    </row>
    <row r="409" ht="17" customHeight="1">
      <c r="A409" s="17">
        <f>1+A408</f>
        <v/>
      </c>
      <c r="B409" s="13" t="inlineStr">
        <is>
          <t>التابلين حفر الباطن</t>
        </is>
      </c>
      <c r="C409" s="13" t="inlineStr">
        <is>
          <t>تركي الشمري</t>
        </is>
      </c>
      <c r="D409" s="13" t="n">
        <v>540200055</v>
      </c>
      <c r="E409" s="13" t="inlineStr">
        <is>
          <t>لايوجد</t>
        </is>
      </c>
      <c r="F409" s="13" t="inlineStr">
        <is>
          <t>هواة</t>
        </is>
      </c>
      <c r="G409" s="13" t="inlineStr">
        <is>
          <t>الشرقية</t>
        </is>
      </c>
      <c r="H409" s="13" t="inlineStr">
        <is>
          <t>حفر الباطن</t>
        </is>
      </c>
      <c r="I409" s="17" t="inlineStr">
        <is>
          <t>حفر الباطن</t>
        </is>
      </c>
      <c r="J409" s="13" t="n">
        <v>1</v>
      </c>
      <c r="K409" s="13" t="n">
        <v>1</v>
      </c>
      <c r="L409" s="13" t="n">
        <v>1</v>
      </c>
      <c r="M409" s="13" t="n">
        <v>1</v>
      </c>
      <c r="N409" s="13" t="n">
        <v>1</v>
      </c>
      <c r="O409" s="13" t="n">
        <v>1</v>
      </c>
      <c r="P409" s="13" t="n">
        <v>1</v>
      </c>
      <c r="Q40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09" s="13" t="n"/>
      <c r="S409" s="17" t="inlineStr">
        <is>
          <t>نعم</t>
        </is>
      </c>
    </row>
    <row r="410" ht="17" customHeight="1">
      <c r="A410" s="17">
        <f>1+A409</f>
        <v/>
      </c>
      <c r="B410" s="13" t="inlineStr">
        <is>
          <t>الاختيار</t>
        </is>
      </c>
      <c r="C410" s="13" t="inlineStr">
        <is>
          <t>محمد المطيري</t>
        </is>
      </c>
      <c r="D410" s="13" t="n">
        <v>508280880</v>
      </c>
      <c r="E410" s="13" t="inlineStr">
        <is>
          <t>لايوجد</t>
        </is>
      </c>
      <c r="F410" s="13" t="inlineStr">
        <is>
          <t>هواة</t>
        </is>
      </c>
      <c r="G410" s="13" t="inlineStr">
        <is>
          <t>الشرقية</t>
        </is>
      </c>
      <c r="H410" s="13" t="inlineStr">
        <is>
          <t>حفر الباطن</t>
        </is>
      </c>
      <c r="I410" s="17" t="inlineStr">
        <is>
          <t>حفر الباطن</t>
        </is>
      </c>
      <c r="J410" s="13" t="n">
        <v>1</v>
      </c>
      <c r="K410" s="13" t="n">
        <v>1</v>
      </c>
      <c r="L410" s="13" t="n">
        <v>1</v>
      </c>
      <c r="M410" s="13" t="n">
        <v>1</v>
      </c>
      <c r="N410" s="13" t="n">
        <v>1</v>
      </c>
      <c r="O410" s="13" t="n">
        <v>1</v>
      </c>
      <c r="P410" s="13" t="n">
        <v>1</v>
      </c>
      <c r="Q41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0" s="13" t="n"/>
      <c r="S410" s="17" t="inlineStr">
        <is>
          <t>نعم</t>
        </is>
      </c>
    </row>
    <row r="411" ht="17" customHeight="1">
      <c r="A411" s="17">
        <f>1+A410</f>
        <v/>
      </c>
      <c r="B411" s="13" t="inlineStr">
        <is>
          <t>فريق اكاديمية الحفر</t>
        </is>
      </c>
      <c r="C411" s="13" t="inlineStr">
        <is>
          <t>محمد الشلاحي</t>
        </is>
      </c>
      <c r="D411" s="45" t="n">
        <v>966504334945</v>
      </c>
      <c r="E411" s="13" t="inlineStr">
        <is>
          <t>لايوجد</t>
        </is>
      </c>
      <c r="F411" s="13" t="inlineStr">
        <is>
          <t>هواة</t>
        </is>
      </c>
      <c r="G411" s="13" t="inlineStr">
        <is>
          <t>الشرقية</t>
        </is>
      </c>
      <c r="H411" s="13" t="inlineStr">
        <is>
          <t>حفر الباطن</t>
        </is>
      </c>
      <c r="I411" s="17" t="inlineStr">
        <is>
          <t>حفر الباطن</t>
        </is>
      </c>
      <c r="J411" s="13" t="n">
        <v>1</v>
      </c>
      <c r="K411" s="13" t="n">
        <v>1</v>
      </c>
      <c r="L411" s="13" t="n">
        <v>1</v>
      </c>
      <c r="M411" s="13" t="n">
        <v>1</v>
      </c>
      <c r="N411" s="13" t="n">
        <v>1</v>
      </c>
      <c r="O411" s="13" t="n">
        <v>1</v>
      </c>
      <c r="P411" s="13" t="n">
        <v>1</v>
      </c>
      <c r="Q41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1" s="13" t="n"/>
      <c r="S411" s="17" t="inlineStr">
        <is>
          <t>نعم</t>
        </is>
      </c>
    </row>
    <row r="412" ht="17" customHeight="1">
      <c r="A412" s="17">
        <f>1+A411</f>
        <v/>
      </c>
      <c r="B412" s="13" t="inlineStr">
        <is>
          <t>الامجاد ضمد</t>
        </is>
      </c>
      <c r="C412" s="13" t="inlineStr">
        <is>
          <t>رياض غاشم</t>
        </is>
      </c>
      <c r="D412" s="13" t="n">
        <v>500656983</v>
      </c>
      <c r="E412" s="13" t="inlineStr">
        <is>
          <t>لايوجد</t>
        </is>
      </c>
      <c r="F412" s="13" t="inlineStr">
        <is>
          <t>هواة</t>
        </is>
      </c>
      <c r="G412" s="13" t="inlineStr">
        <is>
          <t>جازان</t>
        </is>
      </c>
      <c r="H412" s="13" t="inlineStr">
        <is>
          <t>صبيا</t>
        </is>
      </c>
      <c r="I412" s="17" t="inlineStr">
        <is>
          <t>جازان</t>
        </is>
      </c>
      <c r="J412" s="13" t="n">
        <v>1</v>
      </c>
      <c r="K412" s="13" t="n">
        <v>1</v>
      </c>
      <c r="L412" s="13" t="n">
        <v>1</v>
      </c>
      <c r="M412" s="13" t="n">
        <v>1</v>
      </c>
      <c r="N412" s="13" t="n">
        <v>1</v>
      </c>
      <c r="O412" s="13" t="n">
        <v>1</v>
      </c>
      <c r="P412" s="13" t="n">
        <v>1</v>
      </c>
      <c r="Q41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2" s="13" t="n"/>
      <c r="S412" s="17" t="inlineStr">
        <is>
          <t>نعم</t>
        </is>
      </c>
    </row>
    <row r="413" ht="17" customHeight="1">
      <c r="A413" s="17">
        <f>1+A412</f>
        <v/>
      </c>
      <c r="B413" s="13" t="inlineStr">
        <is>
          <t>اكاديمية نجوم الدعيثة</t>
        </is>
      </c>
      <c r="C413" s="13" t="inlineStr">
        <is>
          <t>محمد الريتعي</t>
        </is>
      </c>
      <c r="D413" s="13" t="n">
        <v>562007170</v>
      </c>
      <c r="E413" s="13" t="inlineStr">
        <is>
          <t>لايوجد</t>
        </is>
      </c>
      <c r="F413" s="13" t="inlineStr">
        <is>
          <t>هواة</t>
        </is>
      </c>
      <c r="G413" s="13" t="inlineStr">
        <is>
          <t>المدينة المنورة</t>
        </is>
      </c>
      <c r="H413" s="13" t="inlineStr">
        <is>
          <t>المدينة المنورة</t>
        </is>
      </c>
      <c r="I413" s="17" t="inlineStr">
        <is>
          <t>المدينة المنورة</t>
        </is>
      </c>
      <c r="J413" s="13" t="n">
        <v>1</v>
      </c>
      <c r="K413" s="13" t="n">
        <v>0</v>
      </c>
      <c r="L413" s="13" t="n">
        <v>1</v>
      </c>
      <c r="M413" s="13" t="n">
        <v>1</v>
      </c>
      <c r="N413" s="13" t="n">
        <v>1</v>
      </c>
      <c r="O413" s="13" t="n">
        <v>1</v>
      </c>
      <c r="P413" s="13" t="n">
        <v>1</v>
      </c>
      <c r="Q41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3" s="13" t="n"/>
      <c r="S413" s="17" t="inlineStr">
        <is>
          <t>نعم</t>
        </is>
      </c>
    </row>
    <row r="414" ht="17" customHeight="1">
      <c r="A414" s="17">
        <f>1+A413</f>
        <v/>
      </c>
      <c r="B414" s="13" t="inlineStr">
        <is>
          <t>شباب السعيره</t>
        </is>
      </c>
      <c r="C414" s="13" t="inlineStr">
        <is>
          <t xml:space="preserve">ناصر الصهيبي </t>
        </is>
      </c>
      <c r="D414" s="13" t="n">
        <v>532448481</v>
      </c>
      <c r="E414" s="13" t="inlineStr">
        <is>
          <t>لايوجد</t>
        </is>
      </c>
      <c r="F414" s="13" t="inlineStr">
        <is>
          <t>هواة</t>
        </is>
      </c>
      <c r="G414" s="13" t="inlineStr">
        <is>
          <t>الشرقية</t>
        </is>
      </c>
      <c r="H414" s="13" t="inlineStr">
        <is>
          <t>مركز الرفيعة</t>
        </is>
      </c>
      <c r="I414" s="17" t="inlineStr">
        <is>
          <t>حفر الباطن</t>
        </is>
      </c>
      <c r="J414" s="13" t="n">
        <v>1</v>
      </c>
      <c r="K414" s="13" t="n">
        <v>1</v>
      </c>
      <c r="L414" s="13" t="n">
        <v>1</v>
      </c>
      <c r="M414" s="13" t="n">
        <v>1</v>
      </c>
      <c r="N414" s="13" t="n">
        <v>0</v>
      </c>
      <c r="O414" s="13" t="n">
        <v>0</v>
      </c>
      <c r="P414" s="13" t="n">
        <v>0</v>
      </c>
      <c r="Q41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4" s="13" t="inlineStr">
        <is>
          <t>لم يتم السداد</t>
        </is>
      </c>
      <c r="S414" s="17" t="inlineStr">
        <is>
          <t>نعم</t>
        </is>
      </c>
    </row>
    <row r="415" ht="17" customHeight="1">
      <c r="A415" s="17">
        <f>1+A414</f>
        <v/>
      </c>
      <c r="B415" s="13" t="inlineStr">
        <is>
          <t xml:space="preserve">نادي السد </t>
        </is>
      </c>
      <c r="C415" s="13" t="inlineStr">
        <is>
          <t>رعد العيسى</t>
        </is>
      </c>
      <c r="D415" s="13" t="n">
        <v>551194432</v>
      </c>
      <c r="E415" s="13" t="inlineStr">
        <is>
          <t>لايوجد</t>
        </is>
      </c>
      <c r="F415" s="13" t="inlineStr">
        <is>
          <t>نادي</t>
        </is>
      </c>
      <c r="G415" s="13" t="inlineStr">
        <is>
          <t>الرياض</t>
        </is>
      </c>
      <c r="H415" s="13" t="inlineStr">
        <is>
          <t>الخرج</t>
        </is>
      </c>
      <c r="I415" s="17" t="inlineStr">
        <is>
          <t>الخرج</t>
        </is>
      </c>
      <c r="J415" s="13" t="n">
        <v>0</v>
      </c>
      <c r="K415" s="13" t="n">
        <v>0</v>
      </c>
      <c r="L415" s="13" t="n">
        <v>1</v>
      </c>
      <c r="M415" s="13" t="n">
        <v>0</v>
      </c>
      <c r="N415" s="13" t="n">
        <v>0</v>
      </c>
      <c r="O415" s="13" t="n">
        <v>0</v>
      </c>
      <c r="P415" s="13" t="n">
        <v>0</v>
      </c>
      <c r="Q41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5" s="13" t="n"/>
      <c r="S415" s="17" t="n"/>
    </row>
    <row r="416" ht="17" customHeight="1">
      <c r="A416" s="17">
        <f>1+A415</f>
        <v/>
      </c>
      <c r="B416" s="13" t="inlineStr">
        <is>
          <t>اكاديمية الكرة الراقية</t>
        </is>
      </c>
      <c r="C416" s="13" t="inlineStr">
        <is>
          <t>محمود يعقوب</t>
        </is>
      </c>
      <c r="D416" s="13" t="n">
        <v>557139480</v>
      </c>
      <c r="E416" s="13" t="inlineStr">
        <is>
          <t>لايوجد</t>
        </is>
      </c>
      <c r="F416" s="13" t="inlineStr">
        <is>
          <t>هواة</t>
        </is>
      </c>
      <c r="G416" s="13" t="inlineStr">
        <is>
          <t>مكة المكرمة</t>
        </is>
      </c>
      <c r="H416" s="13" t="inlineStr">
        <is>
          <t>مكة المكرمة</t>
        </is>
      </c>
      <c r="I416" s="17" t="inlineStr">
        <is>
          <t>مكة المكرمة</t>
        </is>
      </c>
      <c r="J416" s="13" t="n">
        <v>1</v>
      </c>
      <c r="K416" s="13" t="n">
        <v>1</v>
      </c>
      <c r="L416" s="13" t="n">
        <v>1</v>
      </c>
      <c r="M416" s="13" t="n">
        <v>1</v>
      </c>
      <c r="N416" s="13" t="n">
        <v>1</v>
      </c>
      <c r="O416" s="13" t="n">
        <v>1</v>
      </c>
      <c r="P416" s="13" t="n">
        <v>1</v>
      </c>
      <c r="Q41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6" s="13" t="inlineStr">
        <is>
          <t>لم يتم السداد</t>
        </is>
      </c>
      <c r="S416" s="17" t="inlineStr">
        <is>
          <t>نعم</t>
        </is>
      </c>
    </row>
    <row r="417" ht="17" customHeight="1">
      <c r="A417" s="17">
        <f>1+A416</f>
        <v/>
      </c>
      <c r="B417" s="13" t="inlineStr">
        <is>
          <t>الجرد</t>
        </is>
      </c>
      <c r="C417" s="13" t="inlineStr">
        <is>
          <t>احمد الشاردي</t>
        </is>
      </c>
      <c r="D417" s="13" t="n">
        <v>505969269</v>
      </c>
      <c r="E417" s="13" t="inlineStr">
        <is>
          <t>لايوجد</t>
        </is>
      </c>
      <c r="F417" s="13" t="inlineStr">
        <is>
          <t>هواة</t>
        </is>
      </c>
      <c r="G417" s="13" t="inlineStr">
        <is>
          <t>مكة المكرمة</t>
        </is>
      </c>
      <c r="H417" s="13" t="inlineStr">
        <is>
          <t>القنفذة</t>
        </is>
      </c>
      <c r="I417" s="17" t="inlineStr">
        <is>
          <t>مكة المكرمة</t>
        </is>
      </c>
      <c r="J417" s="13" t="n">
        <v>1</v>
      </c>
      <c r="K417" s="13" t="n">
        <v>0</v>
      </c>
      <c r="L417" s="13" t="n">
        <v>0</v>
      </c>
      <c r="M417" s="13" t="n">
        <v>1</v>
      </c>
      <c r="N417" s="13" t="n">
        <v>0</v>
      </c>
      <c r="O417" s="13" t="n">
        <v>0</v>
      </c>
      <c r="P417" s="13" t="n">
        <v>0</v>
      </c>
      <c r="Q41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7" s="13" t="n"/>
      <c r="S417" s="17" t="inlineStr">
        <is>
          <t>نعم</t>
        </is>
      </c>
    </row>
    <row r="418" ht="17" customHeight="1">
      <c r="A418" s="17">
        <f>1+A417</f>
        <v/>
      </c>
      <c r="B418" s="13" t="inlineStr">
        <is>
          <t>R20</t>
        </is>
      </c>
      <c r="C418" s="13" t="inlineStr">
        <is>
          <t>محمد الشراري</t>
        </is>
      </c>
      <c r="D418" s="13" t="n">
        <v>551814665</v>
      </c>
      <c r="E418" s="13" t="inlineStr">
        <is>
          <t>R20</t>
        </is>
      </c>
      <c r="F418" s="13" t="inlineStr">
        <is>
          <t>أكاديمية</t>
        </is>
      </c>
      <c r="G418" s="13" t="inlineStr">
        <is>
          <t>الجوف</t>
        </is>
      </c>
      <c r="H418" s="13" t="inlineStr">
        <is>
          <t>طبرجل</t>
        </is>
      </c>
      <c r="I418" s="17" t="inlineStr">
        <is>
          <t>الجوف</t>
        </is>
      </c>
      <c r="J418" s="13" t="n">
        <v>1</v>
      </c>
      <c r="K418" s="13" t="n">
        <v>0</v>
      </c>
      <c r="L418" s="13" t="n">
        <v>1</v>
      </c>
      <c r="M418" s="13" t="n">
        <v>0</v>
      </c>
      <c r="N418" s="13" t="n">
        <v>1</v>
      </c>
      <c r="O418" s="13" t="n">
        <v>1</v>
      </c>
      <c r="P418" s="13" t="n">
        <v>1</v>
      </c>
      <c r="Q41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8" s="13" t="n"/>
      <c r="S418" s="17" t="n"/>
    </row>
    <row r="419" ht="17" customHeight="1">
      <c r="A419" s="17">
        <f>1+A418</f>
        <v/>
      </c>
      <c r="B419" s="13" t="inlineStr">
        <is>
          <t>طبرجل</t>
        </is>
      </c>
      <c r="C419" s="13" t="inlineStr">
        <is>
          <t>فايز الشراري</t>
        </is>
      </c>
      <c r="D419" s="13" t="n">
        <v>502942088</v>
      </c>
      <c r="E419" s="13" t="inlineStr">
        <is>
          <t>طبرجل</t>
        </is>
      </c>
      <c r="F419" s="13" t="inlineStr">
        <is>
          <t>نادي</t>
        </is>
      </c>
      <c r="G419" s="13" t="inlineStr">
        <is>
          <t>الجوف</t>
        </is>
      </c>
      <c r="H419" s="13" t="inlineStr">
        <is>
          <t>طبرجل</t>
        </is>
      </c>
      <c r="I419" s="17" t="inlineStr">
        <is>
          <t>الجوف</t>
        </is>
      </c>
      <c r="J419" s="13" t="n">
        <v>1</v>
      </c>
      <c r="K419" s="13" t="n">
        <v>0</v>
      </c>
      <c r="L419" s="13" t="n">
        <v>1</v>
      </c>
      <c r="M419" s="13" t="n">
        <v>0</v>
      </c>
      <c r="N419" s="13" t="n">
        <v>1</v>
      </c>
      <c r="O419" s="13" t="n">
        <v>1</v>
      </c>
      <c r="P419" s="13" t="n">
        <v>1</v>
      </c>
      <c r="Q41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19" s="13" t="n"/>
      <c r="S419" s="17" t="n"/>
    </row>
    <row r="420" ht="17" customHeight="1">
      <c r="A420" s="17">
        <f>1+A419</f>
        <v/>
      </c>
      <c r="B420" s="19" t="inlineStr">
        <is>
          <t xml:space="preserve">صناع الابطال </t>
        </is>
      </c>
      <c r="C420" s="19" t="inlineStr">
        <is>
          <t>حنان الشهري</t>
        </is>
      </c>
      <c r="D420" s="19" t="n">
        <v>510588304</v>
      </c>
      <c r="E420" s="19" t="inlineStr">
        <is>
          <t xml:space="preserve">الجوهرة بالحسينية </t>
        </is>
      </c>
      <c r="F420" s="19" t="inlineStr">
        <is>
          <t>أكاديمية</t>
        </is>
      </c>
      <c r="G420" s="19" t="inlineStr">
        <is>
          <t>مكة المكرمة</t>
        </is>
      </c>
      <c r="H420" s="19" t="inlineStr">
        <is>
          <t>مكة المكرمة</t>
        </is>
      </c>
      <c r="I420" s="20" t="inlineStr">
        <is>
          <t>مكة المكرمة</t>
        </is>
      </c>
      <c r="J420" s="19" t="n">
        <v>1</v>
      </c>
      <c r="K420" s="19" t="n">
        <v>0</v>
      </c>
      <c r="L420" s="19" t="n">
        <v>1</v>
      </c>
      <c r="M420" s="19" t="n">
        <v>1</v>
      </c>
      <c r="N420" s="19" t="n">
        <v>0</v>
      </c>
      <c r="O420" s="19" t="n">
        <v>0</v>
      </c>
      <c r="P420" s="19" t="n">
        <v>0</v>
      </c>
      <c r="Q42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0" s="13" t="n"/>
      <c r="S420" s="17" t="n"/>
    </row>
    <row r="421" ht="17" customHeight="1">
      <c r="A421" s="17">
        <f>1+A420</f>
        <v/>
      </c>
      <c r="B421" s="13" t="inlineStr">
        <is>
          <t>شمال الوادي</t>
        </is>
      </c>
      <c r="C421" s="13" t="inlineStr">
        <is>
          <t>مريم هليل</t>
        </is>
      </c>
      <c r="D421" s="13" t="n">
        <v>500050182</v>
      </c>
      <c r="E421" s="13" t="inlineStr">
        <is>
          <t>لايوجد</t>
        </is>
      </c>
      <c r="F421" s="13" t="inlineStr">
        <is>
          <t>أكاديمية</t>
        </is>
      </c>
      <c r="G421" s="13" t="inlineStr">
        <is>
          <t>الجوف</t>
        </is>
      </c>
      <c r="H421" s="13" t="inlineStr">
        <is>
          <t>طبرجل</t>
        </is>
      </c>
      <c r="I421" s="17" t="inlineStr">
        <is>
          <t>الجوف</t>
        </is>
      </c>
      <c r="J421" s="13" t="n">
        <v>1</v>
      </c>
      <c r="K421" s="13" t="n">
        <v>0</v>
      </c>
      <c r="L421" s="13" t="n">
        <v>1</v>
      </c>
      <c r="M421" s="13" t="n">
        <v>0</v>
      </c>
      <c r="N421" s="13" t="n">
        <v>2</v>
      </c>
      <c r="O421" s="13" t="n">
        <v>2</v>
      </c>
      <c r="P421" s="13" t="n">
        <v>2</v>
      </c>
      <c r="Q42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1" s="13" t="n"/>
      <c r="S421" s="17" t="n"/>
    </row>
    <row r="422" ht="17" customHeight="1">
      <c r="A422" s="17">
        <f>1+A421</f>
        <v/>
      </c>
      <c r="B422" s="13" t="inlineStr">
        <is>
          <t xml:space="preserve">نجم الجيل الرياضية </t>
        </is>
      </c>
      <c r="C422" s="13" t="inlineStr">
        <is>
          <t>وائل الزهراني</t>
        </is>
      </c>
      <c r="D422" s="13" t="n">
        <v>548118069</v>
      </c>
      <c r="E422" s="13" t="inlineStr">
        <is>
          <t>متوسطة ابن الاثير</t>
        </is>
      </c>
      <c r="F422" s="13" t="inlineStr">
        <is>
          <t>أكاديمية</t>
        </is>
      </c>
      <c r="G422" s="13" t="inlineStr">
        <is>
          <t>المدينة المنورة</t>
        </is>
      </c>
      <c r="H422" s="13" t="inlineStr">
        <is>
          <t>ينبع</t>
        </is>
      </c>
      <c r="I422" s="17" t="inlineStr">
        <is>
          <t>المدينة المنورة</t>
        </is>
      </c>
      <c r="J422" s="13" t="n">
        <v>0</v>
      </c>
      <c r="K422" s="13" t="n">
        <v>0</v>
      </c>
      <c r="L422" s="13" t="n">
        <v>2</v>
      </c>
      <c r="M422" s="13" t="n">
        <v>0</v>
      </c>
      <c r="N422" s="13" t="n">
        <v>0</v>
      </c>
      <c r="O422" s="13" t="n">
        <v>0</v>
      </c>
      <c r="P422" s="13" t="n">
        <v>0</v>
      </c>
      <c r="Q42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2" s="13" t="n"/>
      <c r="S422" s="17" t="n"/>
    </row>
    <row r="423" ht="17" customHeight="1">
      <c r="A423" s="17">
        <f>1+A422</f>
        <v/>
      </c>
      <c r="B423" s="13" t="inlineStr">
        <is>
          <t>سمبدوريا المسارحة</t>
        </is>
      </c>
      <c r="C423" s="13" t="inlineStr">
        <is>
          <t>علي فقيهي</t>
        </is>
      </c>
      <c r="D423" s="13" t="n">
        <v>595433336</v>
      </c>
      <c r="E423" s="13" t="inlineStr">
        <is>
          <t>لايوجد</t>
        </is>
      </c>
      <c r="F423" s="13" t="inlineStr">
        <is>
          <t>هواة</t>
        </is>
      </c>
      <c r="G423" s="13" t="inlineStr">
        <is>
          <t>جازان</t>
        </is>
      </c>
      <c r="H423" s="13" t="inlineStr">
        <is>
          <t>أحد المسارحة</t>
        </is>
      </c>
      <c r="I423" s="17" t="inlineStr">
        <is>
          <t>جازان</t>
        </is>
      </c>
      <c r="J423" s="13" t="n">
        <v>0</v>
      </c>
      <c r="K423" s="13" t="n">
        <v>1</v>
      </c>
      <c r="L423" s="13" t="n">
        <v>1</v>
      </c>
      <c r="M423" s="13" t="n">
        <v>1</v>
      </c>
      <c r="N423" s="13" t="n">
        <v>1</v>
      </c>
      <c r="O423" s="13" t="n">
        <v>1</v>
      </c>
      <c r="P423" s="13" t="n">
        <v>1</v>
      </c>
      <c r="Q42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3" s="13" t="n"/>
      <c r="S423" s="17" t="inlineStr">
        <is>
          <t>نعم</t>
        </is>
      </c>
    </row>
    <row r="424" ht="17" customHeight="1">
      <c r="A424" s="17">
        <f>1+A423</f>
        <v/>
      </c>
      <c r="B424" s="13" t="inlineStr">
        <is>
          <t xml:space="preserve">مدرسة الشرق الاهلية </t>
        </is>
      </c>
      <c r="C424" s="13" t="inlineStr">
        <is>
          <t>عامر العنزي</t>
        </is>
      </c>
      <c r="D424" s="13" t="n">
        <v>551139946</v>
      </c>
      <c r="E424" s="13" t="inlineStr">
        <is>
          <t>لايوجد</t>
        </is>
      </c>
      <c r="F424" s="13" t="inlineStr">
        <is>
          <t>هواة</t>
        </is>
      </c>
      <c r="G424" s="13" t="inlineStr">
        <is>
          <t>الشرقية</t>
        </is>
      </c>
      <c r="H424" s="13" t="inlineStr">
        <is>
          <t>الخفجي</t>
        </is>
      </c>
      <c r="I424" s="17" t="inlineStr">
        <is>
          <t>حفر الباطن</t>
        </is>
      </c>
      <c r="J424" s="13" t="n">
        <v>1</v>
      </c>
      <c r="K424" s="13" t="n">
        <v>1</v>
      </c>
      <c r="L424" s="13" t="n">
        <v>1</v>
      </c>
      <c r="M424" s="13" t="n">
        <v>1</v>
      </c>
      <c r="N424" s="13" t="n">
        <v>1</v>
      </c>
      <c r="O424" s="13" t="n">
        <v>1</v>
      </c>
      <c r="P424" s="13" t="n">
        <v>0</v>
      </c>
      <c r="Q42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4" s="13" t="inlineStr">
        <is>
          <t>لم يتم السداد</t>
        </is>
      </c>
      <c r="S424" s="17" t="inlineStr">
        <is>
          <t>نعم</t>
        </is>
      </c>
    </row>
    <row r="425" ht="17" customHeight="1">
      <c r="A425" s="17">
        <f>1+A424</f>
        <v/>
      </c>
      <c r="B425" s="13" t="inlineStr">
        <is>
          <t>نادي السهام</t>
        </is>
      </c>
      <c r="C425" s="13" t="inlineStr">
        <is>
          <t>عادل البارقي</t>
        </is>
      </c>
      <c r="D425" s="13" t="n">
        <v>556121614</v>
      </c>
      <c r="E425" s="13" t="inlineStr">
        <is>
          <t>لايوجد</t>
        </is>
      </c>
      <c r="F425" s="13" t="inlineStr">
        <is>
          <t>هواة</t>
        </is>
      </c>
      <c r="G425" s="13" t="inlineStr">
        <is>
          <t>نجران</t>
        </is>
      </c>
      <c r="H425" s="13" t="inlineStr">
        <is>
          <t>شرورة</t>
        </is>
      </c>
      <c r="I425" s="17" t="inlineStr">
        <is>
          <t>نجران</t>
        </is>
      </c>
      <c r="J425" s="13" t="n">
        <v>0</v>
      </c>
      <c r="K425" s="13" t="n">
        <v>0</v>
      </c>
      <c r="L425" s="13" t="n">
        <v>0</v>
      </c>
      <c r="M425" s="13" t="n">
        <v>0</v>
      </c>
      <c r="N425" s="13" t="n">
        <v>1</v>
      </c>
      <c r="O425" s="13" t="n">
        <v>1</v>
      </c>
      <c r="P425" s="13" t="n">
        <v>1</v>
      </c>
      <c r="Q42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5" s="13" t="inlineStr">
        <is>
          <t>لم يتم السداد</t>
        </is>
      </c>
      <c r="S425" s="17" t="inlineStr">
        <is>
          <t>نعم</t>
        </is>
      </c>
    </row>
    <row r="426" ht="17" customHeight="1">
      <c r="A426" s="17">
        <f>1+A425</f>
        <v/>
      </c>
      <c r="B426" s="13" t="inlineStr">
        <is>
          <t>اولمبي الحزم</t>
        </is>
      </c>
      <c r="C426" s="13" t="inlineStr">
        <is>
          <t>محمد احمد</t>
        </is>
      </c>
      <c r="D426" s="13" t="n">
        <v>504693401</v>
      </c>
      <c r="E426" s="13" t="inlineStr">
        <is>
          <t>لايوجد</t>
        </is>
      </c>
      <c r="F426" s="13" t="inlineStr">
        <is>
          <t>هواة</t>
        </is>
      </c>
      <c r="G426" s="13" t="inlineStr">
        <is>
          <t>الشرقية</t>
        </is>
      </c>
      <c r="H426" s="13" t="inlineStr">
        <is>
          <t>الخفجي</t>
        </is>
      </c>
      <c r="I426" s="17" t="inlineStr">
        <is>
          <t>حفر الباطن</t>
        </is>
      </c>
      <c r="J426" s="13" t="n">
        <v>1</v>
      </c>
      <c r="K426" s="13" t="n">
        <v>1</v>
      </c>
      <c r="L426" s="13" t="n">
        <v>1</v>
      </c>
      <c r="M426" s="13" t="n">
        <v>1</v>
      </c>
      <c r="N426" s="13" t="n">
        <v>1</v>
      </c>
      <c r="O426" s="13" t="n">
        <v>1</v>
      </c>
      <c r="P426" s="13" t="n">
        <v>1</v>
      </c>
      <c r="Q42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6" s="13" t="inlineStr">
        <is>
          <t>لم يتم السداد</t>
        </is>
      </c>
      <c r="S426" s="17" t="inlineStr">
        <is>
          <t>نعم</t>
        </is>
      </c>
    </row>
    <row r="427" ht="17" customHeight="1">
      <c r="A427" s="17">
        <f>1+A426</f>
        <v/>
      </c>
      <c r="B427" s="13" t="inlineStr">
        <is>
          <t>اكاديمية نجم الفرق</t>
        </is>
      </c>
      <c r="C427" s="13" t="inlineStr">
        <is>
          <t>سعود الكشي</t>
        </is>
      </c>
      <c r="D427" s="13" t="n">
        <v>580808777</v>
      </c>
      <c r="E427" s="13" t="inlineStr">
        <is>
          <t>لايوجد</t>
        </is>
      </c>
      <c r="F427" s="13" t="inlineStr">
        <is>
          <t>أكاديمية</t>
        </is>
      </c>
      <c r="G427" s="13" t="inlineStr">
        <is>
          <t>مكة المكرمة</t>
        </is>
      </c>
      <c r="H427" s="13" t="inlineStr">
        <is>
          <t>الطائف</t>
        </is>
      </c>
      <c r="I427" s="17" t="inlineStr">
        <is>
          <t>الطائف</t>
        </is>
      </c>
      <c r="J427" s="13" t="n">
        <v>1</v>
      </c>
      <c r="K427" s="13" t="n">
        <v>0</v>
      </c>
      <c r="L427" s="13" t="n">
        <v>1</v>
      </c>
      <c r="M427" s="13" t="n">
        <v>0</v>
      </c>
      <c r="N427" s="13" t="n">
        <v>1</v>
      </c>
      <c r="O427" s="13" t="n">
        <v>1</v>
      </c>
      <c r="P427" s="13" t="n">
        <v>1</v>
      </c>
      <c r="Q42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7" s="13" t="n"/>
      <c r="S427" s="17" t="n"/>
    </row>
    <row r="428" ht="17" customHeight="1">
      <c r="A428" s="17">
        <f>1+A427</f>
        <v/>
      </c>
      <c r="B428" s="13" t="inlineStr">
        <is>
          <t>اكاديمية النجم</t>
        </is>
      </c>
      <c r="C428" s="13" t="inlineStr">
        <is>
          <t>عبدالله الزبيدي</t>
        </is>
      </c>
      <c r="D428" s="13" t="n">
        <v>541640179</v>
      </c>
      <c r="E428" s="13" t="inlineStr">
        <is>
          <t>لايوجد</t>
        </is>
      </c>
      <c r="F428" s="13" t="inlineStr">
        <is>
          <t>أكاديمية</t>
        </is>
      </c>
      <c r="G428" s="13" t="inlineStr">
        <is>
          <t>الشرقية</t>
        </is>
      </c>
      <c r="H428" s="13" t="inlineStr">
        <is>
          <t>حفر الباطن</t>
        </is>
      </c>
      <c r="I428" s="17" t="inlineStr">
        <is>
          <t>حفر الباطن</t>
        </is>
      </c>
      <c r="J428" s="13" t="n">
        <v>1</v>
      </c>
      <c r="K428" s="13" t="n">
        <v>1</v>
      </c>
      <c r="L428" s="13" t="n">
        <v>1</v>
      </c>
      <c r="M428" s="13" t="n">
        <v>1</v>
      </c>
      <c r="N428" s="13" t="n">
        <v>1</v>
      </c>
      <c r="O428" s="13" t="n">
        <v>1</v>
      </c>
      <c r="P428" s="13" t="n">
        <v>1</v>
      </c>
      <c r="Q42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8" s="13" t="n"/>
      <c r="S428" s="17" t="n"/>
    </row>
    <row r="429" ht="17" customHeight="1">
      <c r="A429" s="17">
        <f>1+A428</f>
        <v/>
      </c>
      <c r="B429" s="19" t="inlineStr">
        <is>
          <t>شبه الجزيرة</t>
        </is>
      </c>
      <c r="C429" s="19" t="inlineStr">
        <is>
          <t>مهند فهمي</t>
        </is>
      </c>
      <c r="D429" s="19" t="n">
        <v>556744455</v>
      </c>
      <c r="E429" s="19" t="inlineStr">
        <is>
          <t>لايوجد</t>
        </is>
      </c>
      <c r="F429" s="19" t="inlineStr">
        <is>
          <t>أكاديمية</t>
        </is>
      </c>
      <c r="G429" s="19" t="inlineStr">
        <is>
          <t>الشرقية</t>
        </is>
      </c>
      <c r="H429" s="19" t="inlineStr">
        <is>
          <t>الخبر</t>
        </is>
      </c>
      <c r="I429" s="20" t="inlineStr">
        <is>
          <t>الشرقية</t>
        </is>
      </c>
      <c r="J429" s="19" t="n">
        <v>0</v>
      </c>
      <c r="K429" s="19" t="n">
        <v>0</v>
      </c>
      <c r="L429" s="19" t="n">
        <v>1</v>
      </c>
      <c r="M429" s="19" t="n">
        <v>1</v>
      </c>
      <c r="N429" s="19" t="n">
        <v>1</v>
      </c>
      <c r="O429" s="19" t="n">
        <v>1</v>
      </c>
      <c r="P429" s="19" t="n">
        <v>0</v>
      </c>
      <c r="Q42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29" s="13" t="n"/>
      <c r="S429" s="17" t="n"/>
    </row>
    <row r="430" ht="17" customHeight="1">
      <c r="A430" s="17">
        <f>1+A429</f>
        <v/>
      </c>
      <c r="B430" s="13" t="inlineStr">
        <is>
          <t xml:space="preserve">ستار ون </t>
        </is>
      </c>
      <c r="C430" s="13" t="inlineStr">
        <is>
          <t>حاتم حلوى</t>
        </is>
      </c>
      <c r="D430" s="13" t="n">
        <v>501762272</v>
      </c>
      <c r="E430" s="13" t="inlineStr">
        <is>
          <t>ستار ون</t>
        </is>
      </c>
      <c r="F430" s="13" t="inlineStr">
        <is>
          <t>أكاديمية</t>
        </is>
      </c>
      <c r="G430" s="13" t="inlineStr">
        <is>
          <t>جازان</t>
        </is>
      </c>
      <c r="H430" s="13" t="inlineStr">
        <is>
          <t>جيزان</t>
        </is>
      </c>
      <c r="I430" s="17" t="inlineStr">
        <is>
          <t>جازان</t>
        </is>
      </c>
      <c r="J430" s="13" t="n">
        <v>1</v>
      </c>
      <c r="K430" s="13" t="n">
        <v>0</v>
      </c>
      <c r="L430" s="13" t="n">
        <v>1</v>
      </c>
      <c r="M430" s="13" t="n">
        <v>1</v>
      </c>
      <c r="N430" s="13" t="n">
        <v>1</v>
      </c>
      <c r="O430" s="13" t="n">
        <v>1</v>
      </c>
      <c r="P430" s="13" t="n">
        <v>1</v>
      </c>
      <c r="Q43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0" s="13" t="n"/>
      <c r="S430" s="17" t="n"/>
    </row>
    <row r="431" ht="17" customHeight="1">
      <c r="A431" s="17">
        <f>1+A430</f>
        <v/>
      </c>
      <c r="B431" s="13" t="inlineStr">
        <is>
          <t>القريات</t>
        </is>
      </c>
      <c r="C431" s="13" t="inlineStr">
        <is>
          <t>سلطان القباني</t>
        </is>
      </c>
      <c r="D431" s="13" t="n">
        <v>504970089</v>
      </c>
      <c r="E431" s="13" t="inlineStr">
        <is>
          <t>بلدية القريات</t>
        </is>
      </c>
      <c r="F431" s="13" t="inlineStr">
        <is>
          <t>نادي</t>
        </is>
      </c>
      <c r="G431" s="13" t="inlineStr">
        <is>
          <t>الجوف</t>
        </is>
      </c>
      <c r="H431" s="13" t="inlineStr">
        <is>
          <t>القريات</t>
        </is>
      </c>
      <c r="I431" s="17" t="inlineStr">
        <is>
          <t>الجوف</t>
        </is>
      </c>
      <c r="J431" s="13" t="n">
        <v>1</v>
      </c>
      <c r="K431" s="13" t="n">
        <v>1</v>
      </c>
      <c r="L431" s="13" t="n">
        <v>1</v>
      </c>
      <c r="M431" s="13" t="n">
        <v>1</v>
      </c>
      <c r="N431" s="13" t="n">
        <v>2</v>
      </c>
      <c r="O431" s="13" t="n">
        <v>2</v>
      </c>
      <c r="P431" s="13" t="n">
        <v>2</v>
      </c>
      <c r="Q43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1" s="13" t="n"/>
      <c r="S431" s="17" t="n"/>
    </row>
    <row r="432" ht="17" customHeight="1">
      <c r="A432" s="17">
        <f>1+A431</f>
        <v/>
      </c>
      <c r="B432" s="13" t="inlineStr">
        <is>
          <t>نحن النجوم</t>
        </is>
      </c>
      <c r="C432" s="13" t="inlineStr">
        <is>
          <t>عبدالله العبسي</t>
        </is>
      </c>
      <c r="D432" s="13" t="n">
        <v>502802292</v>
      </c>
      <c r="E432" s="13" t="inlineStr">
        <is>
          <t>لايوجد</t>
        </is>
      </c>
      <c r="F432" s="13" t="inlineStr">
        <is>
          <t>هواة</t>
        </is>
      </c>
      <c r="G432" s="13" t="inlineStr">
        <is>
          <t>مكة المكرمة</t>
        </is>
      </c>
      <c r="H432" s="13" t="inlineStr">
        <is>
          <t>مكة المكرمة</t>
        </is>
      </c>
      <c r="I432" s="17" t="inlineStr">
        <is>
          <t>مكة المكرمة</t>
        </is>
      </c>
      <c r="J432" s="13" t="n">
        <v>1</v>
      </c>
      <c r="K432" s="13" t="n">
        <v>1</v>
      </c>
      <c r="L432" s="13" t="n">
        <v>1</v>
      </c>
      <c r="M432" s="13" t="n">
        <v>1</v>
      </c>
      <c r="N432" s="13" t="n">
        <v>1</v>
      </c>
      <c r="O432" s="13" t="n">
        <v>1</v>
      </c>
      <c r="P432" s="13" t="n">
        <v>0</v>
      </c>
      <c r="Q43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2" s="13" t="n"/>
      <c r="S432" s="17" t="inlineStr">
        <is>
          <t>نعم</t>
        </is>
      </c>
    </row>
    <row r="433" ht="17" customHeight="1">
      <c r="A433" s="17">
        <f>1+A432</f>
        <v/>
      </c>
      <c r="B433" s="13" t="inlineStr">
        <is>
          <t>اكاديمية مستقبل حائل</t>
        </is>
      </c>
      <c r="C433" s="13" t="inlineStr">
        <is>
          <t>فهيد الفريحان</t>
        </is>
      </c>
      <c r="D433" s="45" t="n">
        <v>966502788332</v>
      </c>
      <c r="E433" s="13" t="inlineStr">
        <is>
          <t>لايوجد</t>
        </is>
      </c>
      <c r="F433" s="13" t="inlineStr">
        <is>
          <t>هواة</t>
        </is>
      </c>
      <c r="G433" s="13" t="inlineStr">
        <is>
          <t>حائل</t>
        </is>
      </c>
      <c r="H433" s="13" t="inlineStr">
        <is>
          <t>حائل</t>
        </is>
      </c>
      <c r="I433" s="17" t="inlineStr">
        <is>
          <t>حائل</t>
        </is>
      </c>
      <c r="J433" s="13" t="n">
        <v>0</v>
      </c>
      <c r="K433" s="13" t="n">
        <v>0</v>
      </c>
      <c r="L433" s="13" t="n">
        <v>0</v>
      </c>
      <c r="M433" s="13" t="n">
        <v>1</v>
      </c>
      <c r="N433" s="13" t="n">
        <v>0</v>
      </c>
      <c r="O433" s="13" t="n">
        <v>0</v>
      </c>
      <c r="P433" s="13" t="n">
        <v>0</v>
      </c>
      <c r="Q43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3" s="13" t="n"/>
      <c r="S433" s="17" t="inlineStr">
        <is>
          <t>نعم</t>
        </is>
      </c>
    </row>
    <row r="434" ht="17" customHeight="1">
      <c r="A434" s="17">
        <f>1+A433</f>
        <v/>
      </c>
      <c r="B434" s="13" t="inlineStr">
        <is>
          <t>اكاديمية نيوكاسل</t>
        </is>
      </c>
      <c r="C434" s="13" t="inlineStr">
        <is>
          <t>عبدالمجيد الشمري</t>
        </is>
      </c>
      <c r="D434" s="13" t="n">
        <v>559592858</v>
      </c>
      <c r="E434" s="13" t="inlineStr">
        <is>
          <t>لايوجد</t>
        </is>
      </c>
      <c r="F434" s="13" t="inlineStr">
        <is>
          <t>هواة</t>
        </is>
      </c>
      <c r="G434" s="13" t="inlineStr">
        <is>
          <t>حائل</t>
        </is>
      </c>
      <c r="H434" s="13" t="inlineStr">
        <is>
          <t>حائل</t>
        </is>
      </c>
      <c r="I434" s="17" t="inlineStr">
        <is>
          <t>حائل</t>
        </is>
      </c>
      <c r="J434" s="13" t="n">
        <v>0</v>
      </c>
      <c r="K434" s="13" t="n">
        <v>0</v>
      </c>
      <c r="L434" s="13" t="n">
        <v>1</v>
      </c>
      <c r="M434" s="13" t="n">
        <v>0</v>
      </c>
      <c r="N434" s="13" t="n">
        <v>1</v>
      </c>
      <c r="O434" s="13" t="n">
        <v>0</v>
      </c>
      <c r="P434" s="13" t="n">
        <v>0</v>
      </c>
      <c r="Q43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4" s="13" t="n"/>
      <c r="S434" s="17" t="inlineStr">
        <is>
          <t>نعم</t>
        </is>
      </c>
    </row>
    <row r="435" ht="17" customHeight="1">
      <c r="A435" s="17">
        <f>1+A434</f>
        <v/>
      </c>
      <c r="B435" s="13" t="inlineStr">
        <is>
          <t>الصفا الاهلية</t>
        </is>
      </c>
      <c r="C435" s="13" t="inlineStr">
        <is>
          <t>محمود زعبل</t>
        </is>
      </c>
      <c r="D435" s="13" t="n">
        <v>552859619</v>
      </c>
      <c r="E435" s="13" t="inlineStr">
        <is>
          <t>لايوجد</t>
        </is>
      </c>
      <c r="F435" s="13" t="inlineStr">
        <is>
          <t>هواة</t>
        </is>
      </c>
      <c r="G435" s="13" t="inlineStr">
        <is>
          <t>الرياض</t>
        </is>
      </c>
      <c r="H435" s="13" t="inlineStr">
        <is>
          <t>الرياض</t>
        </is>
      </c>
      <c r="I435" s="17" t="inlineStr">
        <is>
          <t>الرياض</t>
        </is>
      </c>
      <c r="J435" s="13" t="n">
        <v>1</v>
      </c>
      <c r="K435" s="13" t="n">
        <v>0</v>
      </c>
      <c r="L435" s="13" t="n">
        <v>0</v>
      </c>
      <c r="M435" s="13" t="n">
        <v>0</v>
      </c>
      <c r="N435" s="13" t="n">
        <v>0</v>
      </c>
      <c r="O435" s="13" t="n">
        <v>0</v>
      </c>
      <c r="P435" s="13" t="n">
        <v>0</v>
      </c>
      <c r="Q43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5" s="13" t="inlineStr">
        <is>
          <t>لم يتم السداد</t>
        </is>
      </c>
      <c r="S435" s="17" t="inlineStr">
        <is>
          <t>نعم</t>
        </is>
      </c>
    </row>
    <row r="436" ht="17" customHeight="1">
      <c r="A436" s="17">
        <f>1+A435</f>
        <v/>
      </c>
      <c r="B436" s="13" t="inlineStr">
        <is>
          <t>القانرز</t>
        </is>
      </c>
      <c r="C436" s="13" t="inlineStr">
        <is>
          <t>مبارك العازمي</t>
        </is>
      </c>
      <c r="D436" s="13" t="n">
        <v>530222214</v>
      </c>
      <c r="E436" s="13" t="inlineStr">
        <is>
          <t>لايوجد</t>
        </is>
      </c>
      <c r="F436" s="13" t="inlineStr">
        <is>
          <t>هواة</t>
        </is>
      </c>
      <c r="G436" s="13" t="inlineStr">
        <is>
          <t>الشرقية</t>
        </is>
      </c>
      <c r="H436" s="13" t="inlineStr">
        <is>
          <t>الخفجي</t>
        </is>
      </c>
      <c r="I436" s="17" t="inlineStr">
        <is>
          <t>حفر الباطن</t>
        </is>
      </c>
      <c r="J436" s="13" t="n">
        <v>1</v>
      </c>
      <c r="K436" s="13" t="n">
        <v>1</v>
      </c>
      <c r="L436" s="13" t="n">
        <v>1</v>
      </c>
      <c r="M436" s="13" t="n">
        <v>1</v>
      </c>
      <c r="N436" s="13" t="n">
        <v>1</v>
      </c>
      <c r="O436" s="13" t="n">
        <v>1</v>
      </c>
      <c r="P436" s="13" t="n">
        <v>1</v>
      </c>
      <c r="Q43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6" s="13" t="inlineStr">
        <is>
          <t>لم يتم السداد</t>
        </is>
      </c>
      <c r="S436" s="17" t="inlineStr">
        <is>
          <t>نعم</t>
        </is>
      </c>
    </row>
    <row r="437" ht="17" customHeight="1">
      <c r="A437" s="17">
        <f>1+A436</f>
        <v/>
      </c>
      <c r="B437" s="13" t="inlineStr">
        <is>
          <t>معقل المواهب</t>
        </is>
      </c>
      <c r="C437" s="13" t="inlineStr">
        <is>
          <t>خالد السلامة</t>
        </is>
      </c>
      <c r="D437" s="13" t="n">
        <v>536954214</v>
      </c>
      <c r="E437" s="13" t="inlineStr">
        <is>
          <t>لايوجد</t>
        </is>
      </c>
      <c r="F437" s="13" t="inlineStr">
        <is>
          <t>هواة</t>
        </is>
      </c>
      <c r="G437" s="13" t="inlineStr">
        <is>
          <t>القصيم</t>
        </is>
      </c>
      <c r="H437" s="13" t="inlineStr">
        <is>
          <t>الرس</t>
        </is>
      </c>
      <c r="I437" s="17" t="inlineStr">
        <is>
          <t>الرس</t>
        </is>
      </c>
      <c r="J437" s="13" t="n">
        <v>0</v>
      </c>
      <c r="K437" s="13" t="n">
        <v>0</v>
      </c>
      <c r="L437" s="13" t="n">
        <v>0</v>
      </c>
      <c r="M437" s="13" t="n">
        <v>1</v>
      </c>
      <c r="N437" s="13" t="n">
        <v>1</v>
      </c>
      <c r="O437" s="13" t="n">
        <v>0</v>
      </c>
      <c r="P437" s="13" t="n">
        <v>0</v>
      </c>
      <c r="Q43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7" s="13" t="n"/>
      <c r="S437" s="17" t="inlineStr">
        <is>
          <t>نعم</t>
        </is>
      </c>
    </row>
    <row r="438" ht="17" customHeight="1">
      <c r="A438" s="17">
        <f>1+A437</f>
        <v/>
      </c>
      <c r="B438" s="13" t="inlineStr">
        <is>
          <t>مدرسة اجيال الخفجي</t>
        </is>
      </c>
      <c r="C438" s="13" t="inlineStr">
        <is>
          <t>محمد حسن</t>
        </is>
      </c>
      <c r="D438" s="13" t="n">
        <v>503615994</v>
      </c>
      <c r="E438" s="13" t="inlineStr">
        <is>
          <t>لايوجد</t>
        </is>
      </c>
      <c r="F438" s="13" t="inlineStr">
        <is>
          <t>هواة</t>
        </is>
      </c>
      <c r="G438" s="13" t="inlineStr">
        <is>
          <t>الشرقية</t>
        </is>
      </c>
      <c r="H438" s="13" t="inlineStr">
        <is>
          <t>الخفجي</t>
        </is>
      </c>
      <c r="I438" s="17" t="inlineStr">
        <is>
          <t>حفر الباطن</t>
        </is>
      </c>
      <c r="J438" s="13" t="n">
        <v>1</v>
      </c>
      <c r="K438" s="13" t="n">
        <v>1</v>
      </c>
      <c r="L438" s="13" t="n">
        <v>1</v>
      </c>
      <c r="M438" s="13" t="n">
        <v>1</v>
      </c>
      <c r="N438" s="13" t="n">
        <v>1</v>
      </c>
      <c r="O438" s="13" t="n">
        <v>1</v>
      </c>
      <c r="P438" s="13" t="n">
        <v>1</v>
      </c>
      <c r="Q43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8" s="13" t="inlineStr">
        <is>
          <t>لم يتم السداد</t>
        </is>
      </c>
      <c r="S438" s="17" t="inlineStr">
        <is>
          <t>نعم</t>
        </is>
      </c>
    </row>
    <row r="439" ht="17" customHeight="1">
      <c r="A439" s="17">
        <f>1+A438</f>
        <v/>
      </c>
      <c r="B439" s="13" t="inlineStr">
        <is>
          <t>اكاديمية الرجاء</t>
        </is>
      </c>
      <c r="C439" s="13" t="inlineStr">
        <is>
          <t>عبدالله الجبار</t>
        </is>
      </c>
      <c r="D439" s="13" t="n">
        <v>565272165</v>
      </c>
      <c r="E439" s="13" t="inlineStr">
        <is>
          <t>لايوجد</t>
        </is>
      </c>
      <c r="F439" s="13" t="inlineStr">
        <is>
          <t>هواة</t>
        </is>
      </c>
      <c r="G439" s="13" t="inlineStr">
        <is>
          <t>عسير</t>
        </is>
      </c>
      <c r="H439" s="13" t="inlineStr">
        <is>
          <t>أبها</t>
        </is>
      </c>
      <c r="I439" s="17" t="inlineStr">
        <is>
          <t>عسير</t>
        </is>
      </c>
      <c r="J439" s="13" t="n">
        <v>1</v>
      </c>
      <c r="K439" s="13" t="n">
        <v>0</v>
      </c>
      <c r="L439" s="13" t="n">
        <v>1</v>
      </c>
      <c r="M439" s="13" t="n">
        <v>1</v>
      </c>
      <c r="N439" s="13" t="n">
        <v>0</v>
      </c>
      <c r="O439" s="13" t="n">
        <v>0</v>
      </c>
      <c r="P439" s="13" t="n">
        <v>0</v>
      </c>
      <c r="Q43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39" s="13" t="inlineStr">
        <is>
          <t>لم يتم السداد</t>
        </is>
      </c>
      <c r="S439" s="17" t="inlineStr">
        <is>
          <t>نعم</t>
        </is>
      </c>
    </row>
    <row r="440" ht="17" customHeight="1">
      <c r="A440" s="17">
        <f>1+A439</f>
        <v/>
      </c>
      <c r="B440" s="13" t="inlineStr">
        <is>
          <t>مدارس رواد الخليج</t>
        </is>
      </c>
      <c r="C440" s="13" t="inlineStr">
        <is>
          <t>صالح السهيمي</t>
        </is>
      </c>
      <c r="D440" s="13" t="n">
        <v>566303733</v>
      </c>
      <c r="E440" s="13" t="inlineStr">
        <is>
          <t>لايوجد</t>
        </is>
      </c>
      <c r="F440" s="13" t="inlineStr">
        <is>
          <t>هواة</t>
        </is>
      </c>
      <c r="G440" s="13" t="inlineStr">
        <is>
          <t>مكة المكرمة</t>
        </is>
      </c>
      <c r="H440" s="13" t="inlineStr">
        <is>
          <t>جدة</t>
        </is>
      </c>
      <c r="I440" s="17" t="inlineStr">
        <is>
          <t>جدة</t>
        </is>
      </c>
      <c r="J440" s="13" t="n">
        <v>1</v>
      </c>
      <c r="K440" s="13" t="n">
        <v>1</v>
      </c>
      <c r="L440" s="13" t="n">
        <v>1</v>
      </c>
      <c r="M440" s="13" t="n">
        <v>1</v>
      </c>
      <c r="N440" s="13" t="n">
        <v>0</v>
      </c>
      <c r="O440" s="13" t="n">
        <v>0</v>
      </c>
      <c r="P440" s="13" t="n">
        <v>0</v>
      </c>
      <c r="Q44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0" s="13" t="inlineStr">
        <is>
          <t>لم يتم السداد</t>
        </is>
      </c>
      <c r="S440" s="17" t="inlineStr">
        <is>
          <t>نعم</t>
        </is>
      </c>
    </row>
    <row r="441" ht="17" customHeight="1">
      <c r="A441" s="17">
        <f>1+A440</f>
        <v/>
      </c>
      <c r="B441" s="13" t="inlineStr">
        <is>
          <t>فريق المنارات</t>
        </is>
      </c>
      <c r="C441" s="13" t="inlineStr">
        <is>
          <t>محمود شحاته</t>
        </is>
      </c>
      <c r="D441" s="13" t="n">
        <v>532803584</v>
      </c>
      <c r="E441" s="13" t="inlineStr">
        <is>
          <t>لايوجد</t>
        </is>
      </c>
      <c r="F441" s="13" t="inlineStr">
        <is>
          <t>هواة</t>
        </is>
      </c>
      <c r="G441" s="13" t="inlineStr">
        <is>
          <t>مكة المكرمة</t>
        </is>
      </c>
      <c r="H441" s="13" t="inlineStr">
        <is>
          <t>جدة</t>
        </is>
      </c>
      <c r="I441" s="17" t="inlineStr">
        <is>
          <t>جدة</t>
        </is>
      </c>
      <c r="J441" s="13" t="n">
        <v>0</v>
      </c>
      <c r="K441" s="13" t="n">
        <v>0</v>
      </c>
      <c r="L441" s="13" t="n">
        <v>1</v>
      </c>
      <c r="M441" s="13" t="n">
        <v>1</v>
      </c>
      <c r="N441" s="13" t="n">
        <v>1</v>
      </c>
      <c r="O441" s="13" t="n">
        <v>1</v>
      </c>
      <c r="P441" s="13" t="n">
        <v>0</v>
      </c>
      <c r="Q44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1" s="13" t="n"/>
      <c r="S441" s="17" t="inlineStr">
        <is>
          <t>نعم</t>
        </is>
      </c>
    </row>
    <row r="442" ht="17" customHeight="1">
      <c r="A442" s="17">
        <f>1+A441</f>
        <v/>
      </c>
      <c r="B442" s="13" t="inlineStr">
        <is>
          <t>مدارس الاندلس الاهلية</t>
        </is>
      </c>
      <c r="C442" s="13" t="inlineStr">
        <is>
          <t>صالح الحارثي</t>
        </is>
      </c>
      <c r="D442" s="13" t="n">
        <v>537807689</v>
      </c>
      <c r="E442" s="13" t="inlineStr">
        <is>
          <t>لايوجد</t>
        </is>
      </c>
      <c r="F442" s="13" t="inlineStr">
        <is>
          <t>هواة</t>
        </is>
      </c>
      <c r="G442" s="13" t="inlineStr">
        <is>
          <t>مكة المكرمة</t>
        </is>
      </c>
      <c r="H442" s="13" t="inlineStr">
        <is>
          <t>جدة</t>
        </is>
      </c>
      <c r="I442" s="17" t="inlineStr">
        <is>
          <t>جدة</t>
        </is>
      </c>
      <c r="J442" s="13" t="n">
        <v>1</v>
      </c>
      <c r="K442" s="13" t="n">
        <v>1</v>
      </c>
      <c r="L442" s="13" t="n">
        <v>1</v>
      </c>
      <c r="M442" s="13" t="n">
        <v>1</v>
      </c>
      <c r="N442" s="13" t="n">
        <v>1</v>
      </c>
      <c r="O442" s="13" t="n">
        <v>0</v>
      </c>
      <c r="P442" s="13" t="n">
        <v>0</v>
      </c>
      <c r="Q44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2" s="13" t="inlineStr">
        <is>
          <t>لم يتم السداد</t>
        </is>
      </c>
      <c r="S442" s="17" t="inlineStr">
        <is>
          <t>نعم</t>
        </is>
      </c>
    </row>
    <row r="443" ht="17" customHeight="1">
      <c r="A443" s="17">
        <f>1+A442</f>
        <v/>
      </c>
      <c r="B443" s="13" t="inlineStr">
        <is>
          <t>اكاديمية ناين ون</t>
        </is>
      </c>
      <c r="C443" s="13" t="inlineStr">
        <is>
          <t>فهد الجهني</t>
        </is>
      </c>
      <c r="D443" s="13" t="n">
        <v>568868897</v>
      </c>
      <c r="E443" s="13" t="inlineStr">
        <is>
          <t>لايوجد</t>
        </is>
      </c>
      <c r="F443" s="13" t="inlineStr">
        <is>
          <t>هواة</t>
        </is>
      </c>
      <c r="G443" s="13" t="inlineStr">
        <is>
          <t>المدينة المنورة</t>
        </is>
      </c>
      <c r="H443" s="13" t="inlineStr">
        <is>
          <t>ينبع</t>
        </is>
      </c>
      <c r="I443" s="17" t="inlineStr">
        <is>
          <t>المدينة المنورة</t>
        </is>
      </c>
      <c r="J443" s="13" t="n">
        <v>0</v>
      </c>
      <c r="K443" s="13" t="n">
        <v>0</v>
      </c>
      <c r="L443" s="13" t="n">
        <v>1</v>
      </c>
      <c r="M443" s="13" t="n">
        <v>0</v>
      </c>
      <c r="N443" s="13" t="n">
        <v>0</v>
      </c>
      <c r="O443" s="13" t="n">
        <v>0</v>
      </c>
      <c r="P443" s="13" t="n">
        <v>0</v>
      </c>
      <c r="Q44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3" s="13" t="inlineStr">
        <is>
          <t>لم يتم السداد</t>
        </is>
      </c>
      <c r="S443" s="17" t="inlineStr">
        <is>
          <t>نعم</t>
        </is>
      </c>
    </row>
    <row r="444" ht="17" customHeight="1">
      <c r="A444" s="17">
        <f>1+A443</f>
        <v/>
      </c>
      <c r="B444" s="13" t="inlineStr">
        <is>
          <t>نادي دايموند الرياضي</t>
        </is>
      </c>
      <c r="C444" s="13" t="inlineStr">
        <is>
          <t>احمد زيدان</t>
        </is>
      </c>
      <c r="D444" s="13" t="n">
        <v>540994265</v>
      </c>
      <c r="E444" s="13" t="inlineStr">
        <is>
          <t>لايوجد</t>
        </is>
      </c>
      <c r="F444" s="13" t="inlineStr">
        <is>
          <t>هواة</t>
        </is>
      </c>
      <c r="G444" s="13" t="inlineStr">
        <is>
          <t>عسير</t>
        </is>
      </c>
      <c r="H444" s="13" t="inlineStr">
        <is>
          <t>أبها</t>
        </is>
      </c>
      <c r="I444" s="17" t="inlineStr">
        <is>
          <t>عسير</t>
        </is>
      </c>
      <c r="J444" s="13" t="n">
        <v>1</v>
      </c>
      <c r="K444" s="13" t="n">
        <v>0</v>
      </c>
      <c r="L444" s="13" t="n">
        <v>1</v>
      </c>
      <c r="M444" s="13" t="n">
        <v>0</v>
      </c>
      <c r="N444" s="13" t="n">
        <v>0</v>
      </c>
      <c r="O444" s="13" t="n">
        <v>0</v>
      </c>
      <c r="P444" s="13" t="n">
        <v>0</v>
      </c>
      <c r="Q44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4" s="13" t="n"/>
      <c r="S444" s="17" t="inlineStr">
        <is>
          <t>نعم</t>
        </is>
      </c>
    </row>
    <row r="445" ht="17" customHeight="1">
      <c r="A445" s="17">
        <f>1+A444</f>
        <v/>
      </c>
      <c r="B445" s="13" t="inlineStr">
        <is>
          <t>دار الفرسان</t>
        </is>
      </c>
      <c r="C445" s="13" t="inlineStr">
        <is>
          <t>باسل السيد</t>
        </is>
      </c>
      <c r="D445" s="13" t="n">
        <v>508232025</v>
      </c>
      <c r="E445" s="13" t="inlineStr">
        <is>
          <t>لايوجد</t>
        </is>
      </c>
      <c r="F445" s="13" t="inlineStr">
        <is>
          <t>هواة</t>
        </is>
      </c>
      <c r="G445" s="13" t="inlineStr">
        <is>
          <t>مكة المكرمة</t>
        </is>
      </c>
      <c r="H445" s="13" t="inlineStr">
        <is>
          <t>جدة</t>
        </is>
      </c>
      <c r="I445" s="17" t="inlineStr">
        <is>
          <t>جدة</t>
        </is>
      </c>
      <c r="J445" s="13" t="n">
        <v>1</v>
      </c>
      <c r="K445" s="13" t="n">
        <v>1</v>
      </c>
      <c r="L445" s="13" t="n">
        <v>1</v>
      </c>
      <c r="M445" s="13" t="n">
        <v>1</v>
      </c>
      <c r="N445" s="13" t="n">
        <v>1</v>
      </c>
      <c r="O445" s="13" t="n">
        <v>0</v>
      </c>
      <c r="P445" s="13" t="n">
        <v>0</v>
      </c>
      <c r="Q44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5" s="13" t="inlineStr">
        <is>
          <t>لم يتم السداد</t>
        </is>
      </c>
      <c r="S445" s="17" t="inlineStr">
        <is>
          <t>نعم</t>
        </is>
      </c>
    </row>
    <row r="446" ht="17" customHeight="1">
      <c r="A446" s="17">
        <f>1+A445</f>
        <v/>
      </c>
      <c r="B446" s="13" t="inlineStr">
        <is>
          <t>سبورت اكس</t>
        </is>
      </c>
      <c r="C446" s="13" t="inlineStr">
        <is>
          <t>ماجد الرقاص</t>
        </is>
      </c>
      <c r="D446" s="13" t="n">
        <v>536036668</v>
      </c>
      <c r="E446" s="13" t="inlineStr">
        <is>
          <t>سبورت اكس</t>
        </is>
      </c>
      <c r="F446" s="13" t="inlineStr">
        <is>
          <t>أكاديمية</t>
        </is>
      </c>
      <c r="G446" s="13" t="inlineStr">
        <is>
          <t>الرياض</t>
        </is>
      </c>
      <c r="H446" s="13" t="inlineStr">
        <is>
          <t>الخرج</t>
        </is>
      </c>
      <c r="I446" s="17" t="inlineStr">
        <is>
          <t>الخرج</t>
        </is>
      </c>
      <c r="J446" s="13" t="n">
        <v>1</v>
      </c>
      <c r="K446" s="13" t="n">
        <v>0</v>
      </c>
      <c r="L446" s="13" t="n">
        <v>1</v>
      </c>
      <c r="M446" s="13" t="n">
        <v>1</v>
      </c>
      <c r="N446" s="13" t="n">
        <v>0</v>
      </c>
      <c r="O446" s="13" t="n">
        <v>0</v>
      </c>
      <c r="P446" s="13" t="n">
        <v>0</v>
      </c>
      <c r="Q44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6" s="13" t="n"/>
      <c r="S446" s="17" t="n"/>
    </row>
    <row r="447" ht="17" customHeight="1">
      <c r="A447" s="17">
        <f>1+A446</f>
        <v/>
      </c>
      <c r="B447" s="13" t="inlineStr">
        <is>
          <t>نادي الشرق</t>
        </is>
      </c>
      <c r="C447" s="13" t="inlineStr">
        <is>
          <t>محمد العويرضي</t>
        </is>
      </c>
      <c r="D447" s="13" t="n">
        <v>508166619</v>
      </c>
      <c r="E447" s="13" t="inlineStr">
        <is>
          <t>الشرق</t>
        </is>
      </c>
      <c r="F447" s="13" t="inlineStr">
        <is>
          <t>نادي</t>
        </is>
      </c>
      <c r="G447" s="13" t="inlineStr">
        <is>
          <t>الرياض</t>
        </is>
      </c>
      <c r="H447" s="13" t="inlineStr">
        <is>
          <t>الدلم</t>
        </is>
      </c>
      <c r="I447" s="17" t="inlineStr">
        <is>
          <t>الخرج</t>
        </is>
      </c>
      <c r="J447" s="13" t="n">
        <v>1</v>
      </c>
      <c r="K447" s="13" t="n">
        <v>1</v>
      </c>
      <c r="L447" s="13" t="n">
        <v>1</v>
      </c>
      <c r="M447" s="13" t="n">
        <v>1</v>
      </c>
      <c r="N447" s="13" t="n">
        <v>0</v>
      </c>
      <c r="O447" s="13" t="n">
        <v>0</v>
      </c>
      <c r="P447" s="13" t="n">
        <v>0</v>
      </c>
      <c r="Q44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7" s="13" t="n"/>
      <c r="S447" s="17" t="n"/>
    </row>
    <row r="448" ht="17" customHeight="1">
      <c r="A448" s="17">
        <f>1+A447</f>
        <v/>
      </c>
      <c r="B448" s="13" t="inlineStr">
        <is>
          <t>اكاديمية اربع وعشرين الرياضية</t>
        </is>
      </c>
      <c r="C448" s="13" t="inlineStr">
        <is>
          <t>مشاري الحربي</t>
        </is>
      </c>
      <c r="D448" s="13" t="n">
        <v>508226132</v>
      </c>
      <c r="E448" s="13" t="inlineStr">
        <is>
          <t>لايوجد</t>
        </is>
      </c>
      <c r="F448" s="13" t="inlineStr">
        <is>
          <t>هواة</t>
        </is>
      </c>
      <c r="G448" s="13" t="inlineStr">
        <is>
          <t>القصيم</t>
        </is>
      </c>
      <c r="H448" s="13" t="inlineStr">
        <is>
          <t>رياض الخبراء</t>
        </is>
      </c>
      <c r="I448" s="17" t="inlineStr">
        <is>
          <t>الرس</t>
        </is>
      </c>
      <c r="J448" s="13" t="n">
        <v>1</v>
      </c>
      <c r="K448" s="13" t="n">
        <v>0</v>
      </c>
      <c r="L448" s="13" t="n">
        <v>1</v>
      </c>
      <c r="M448" s="13" t="n">
        <v>1</v>
      </c>
      <c r="N448" s="13" t="n">
        <v>1</v>
      </c>
      <c r="O448" s="13" t="n">
        <v>0</v>
      </c>
      <c r="P448" s="13" t="n">
        <v>0</v>
      </c>
      <c r="Q44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8" s="13" t="n"/>
      <c r="S448" s="17" t="inlineStr">
        <is>
          <t>نعم</t>
        </is>
      </c>
    </row>
    <row r="449" ht="17" customHeight="1">
      <c r="A449" s="17">
        <f>1+A448</f>
        <v/>
      </c>
      <c r="B449" s="13" t="inlineStr">
        <is>
          <t>مدارس البيان الاهلية المتوسطة</t>
        </is>
      </c>
      <c r="C449" s="13" t="inlineStr">
        <is>
          <t>ايهاب احمد</t>
        </is>
      </c>
      <c r="D449" s="13" t="n">
        <v>541492601</v>
      </c>
      <c r="E449" s="13" t="inlineStr">
        <is>
          <t>لايوجد</t>
        </is>
      </c>
      <c r="F449" s="13" t="inlineStr">
        <is>
          <t>هواة</t>
        </is>
      </c>
      <c r="G449" s="13" t="inlineStr">
        <is>
          <t>الرياض</t>
        </is>
      </c>
      <c r="H449" s="13" t="inlineStr">
        <is>
          <t>الرياض</t>
        </is>
      </c>
      <c r="I449" s="17" t="inlineStr">
        <is>
          <t>الرياض</t>
        </is>
      </c>
      <c r="J449" s="13" t="n">
        <v>1</v>
      </c>
      <c r="K449" s="13" t="n">
        <v>0</v>
      </c>
      <c r="L449" s="13" t="n">
        <v>1</v>
      </c>
      <c r="M449" s="13" t="n">
        <v>0</v>
      </c>
      <c r="N449" s="13" t="n">
        <v>0</v>
      </c>
      <c r="O449" s="13" t="n">
        <v>0</v>
      </c>
      <c r="P449" s="13" t="n">
        <v>0</v>
      </c>
      <c r="Q44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49" s="13" t="inlineStr">
        <is>
          <t>لم يتم السداد</t>
        </is>
      </c>
      <c r="S449" s="17" t="inlineStr">
        <is>
          <t>نعم</t>
        </is>
      </c>
    </row>
    <row r="450" ht="17" customHeight="1">
      <c r="A450" s="17">
        <f>1+A449</f>
        <v/>
      </c>
      <c r="B450" s="13" t="inlineStr">
        <is>
          <t>الفرسان</t>
        </is>
      </c>
      <c r="C450" s="13" t="inlineStr">
        <is>
          <t>خالد العنزي</t>
        </is>
      </c>
      <c r="D450" s="13" t="n">
        <v>547073054</v>
      </c>
      <c r="E450" s="13" t="inlineStr">
        <is>
          <t>لايوجد</t>
        </is>
      </c>
      <c r="F450" s="13" t="inlineStr">
        <is>
          <t>هواة</t>
        </is>
      </c>
      <c r="G450" s="13" t="inlineStr">
        <is>
          <t>الشرقية</t>
        </is>
      </c>
      <c r="H450" s="13" t="inlineStr">
        <is>
          <t>الخفجي</t>
        </is>
      </c>
      <c r="I450" s="17" t="inlineStr">
        <is>
          <t>حفر الباطن</t>
        </is>
      </c>
      <c r="J450" s="13" t="n">
        <v>1</v>
      </c>
      <c r="K450" s="13" t="n">
        <v>1</v>
      </c>
      <c r="L450" s="13" t="n">
        <v>1</v>
      </c>
      <c r="M450" s="13" t="n">
        <v>1</v>
      </c>
      <c r="N450" s="13" t="n">
        <v>1</v>
      </c>
      <c r="O450" s="13" t="n">
        <v>1</v>
      </c>
      <c r="P450" s="13" t="n">
        <v>1</v>
      </c>
      <c r="Q45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0" s="13" t="inlineStr">
        <is>
          <t>لم يتم السداد</t>
        </is>
      </c>
      <c r="S450" s="17" t="inlineStr">
        <is>
          <t>نعم</t>
        </is>
      </c>
    </row>
    <row r="451" ht="17" customHeight="1">
      <c r="A451" s="17">
        <f>1+A450</f>
        <v/>
      </c>
      <c r="B451" s="13" t="inlineStr">
        <is>
          <t>اكاديمية X5</t>
        </is>
      </c>
      <c r="C451" s="13" t="inlineStr">
        <is>
          <t>عطية الدعبلي</t>
        </is>
      </c>
      <c r="D451" s="13" t="n">
        <v>552260069</v>
      </c>
      <c r="E451" s="13" t="inlineStr">
        <is>
          <t>فيد</t>
        </is>
      </c>
      <c r="F451" s="13" t="inlineStr">
        <is>
          <t>هواة</t>
        </is>
      </c>
      <c r="G451" s="13" t="inlineStr">
        <is>
          <t>مكة المكرمة</t>
        </is>
      </c>
      <c r="H451" s="13" t="inlineStr">
        <is>
          <t>القنفذة</t>
        </is>
      </c>
      <c r="I451" s="17" t="inlineStr">
        <is>
          <t>مكة المكرمة</t>
        </is>
      </c>
      <c r="J451" s="13" t="n">
        <v>0</v>
      </c>
      <c r="K451" s="13" t="n">
        <v>1</v>
      </c>
      <c r="L451" s="13" t="n">
        <v>0</v>
      </c>
      <c r="M451" s="13" t="n">
        <v>1</v>
      </c>
      <c r="N451" s="13" t="n">
        <v>1</v>
      </c>
      <c r="O451" s="13" t="n">
        <v>0</v>
      </c>
      <c r="P451" s="13" t="n">
        <v>0</v>
      </c>
      <c r="Q45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1" s="13" t="n"/>
      <c r="S451" s="17" t="inlineStr">
        <is>
          <t>نعم</t>
        </is>
      </c>
    </row>
    <row r="452" ht="17" customHeight="1">
      <c r="A452" s="17">
        <f>1+A451</f>
        <v/>
      </c>
      <c r="B452" s="13" t="inlineStr">
        <is>
          <t>مجمع الامير سلطان الابتدائي</t>
        </is>
      </c>
      <c r="C452" s="13" t="inlineStr">
        <is>
          <t>ماهرشهاب</t>
        </is>
      </c>
      <c r="D452" s="13" t="n">
        <v>541687679</v>
      </c>
      <c r="E452" s="13" t="inlineStr">
        <is>
          <t>لايوجد</t>
        </is>
      </c>
      <c r="F452" s="13" t="inlineStr">
        <is>
          <t>هواة</t>
        </is>
      </c>
      <c r="G452" s="13" t="inlineStr">
        <is>
          <t>مكة المكرمة</t>
        </is>
      </c>
      <c r="H452" s="13" t="inlineStr">
        <is>
          <t>جدة</t>
        </is>
      </c>
      <c r="I452" s="17" t="inlineStr">
        <is>
          <t>جدة</t>
        </is>
      </c>
      <c r="J452" s="13" t="n">
        <v>0</v>
      </c>
      <c r="K452" s="13" t="n">
        <v>0</v>
      </c>
      <c r="L452" s="13" t="n">
        <v>0</v>
      </c>
      <c r="M452" s="13" t="n">
        <v>1</v>
      </c>
      <c r="N452" s="13" t="n">
        <v>0</v>
      </c>
      <c r="O452" s="13" t="n">
        <v>0</v>
      </c>
      <c r="P452" s="13" t="n">
        <v>0</v>
      </c>
      <c r="Q45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2" s="13" t="inlineStr">
        <is>
          <t>لم يتم السداد</t>
        </is>
      </c>
      <c r="S452" s="17" t="inlineStr">
        <is>
          <t>نعم</t>
        </is>
      </c>
    </row>
    <row r="453" ht="17" customHeight="1">
      <c r="A453" s="17">
        <f>1+A452</f>
        <v/>
      </c>
      <c r="B453" s="13" t="inlineStr">
        <is>
          <t>اكاديمية المستقبل</t>
        </is>
      </c>
      <c r="C453" s="13" t="inlineStr">
        <is>
          <t>محمود البلوي</t>
        </is>
      </c>
      <c r="D453" s="13" t="n">
        <v>544442203</v>
      </c>
      <c r="E453" s="13" t="inlineStr">
        <is>
          <t>لايوجد</t>
        </is>
      </c>
      <c r="F453" s="13" t="inlineStr">
        <is>
          <t>هواة</t>
        </is>
      </c>
      <c r="G453" s="13" t="inlineStr">
        <is>
          <t>الجوف</t>
        </is>
      </c>
      <c r="H453" s="13" t="inlineStr">
        <is>
          <t>القريات</t>
        </is>
      </c>
      <c r="I453" s="17" t="inlineStr">
        <is>
          <t>الجوف</t>
        </is>
      </c>
      <c r="J453" s="13" t="n">
        <v>0</v>
      </c>
      <c r="K453" s="13" t="n">
        <v>1</v>
      </c>
      <c r="L453" s="13" t="n">
        <v>0</v>
      </c>
      <c r="M453" s="13" t="n">
        <v>0</v>
      </c>
      <c r="N453" s="13" t="n">
        <v>0</v>
      </c>
      <c r="O453" s="13" t="n">
        <v>1</v>
      </c>
      <c r="P453" s="13" t="n">
        <v>0</v>
      </c>
      <c r="Q45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3" s="13" t="inlineStr">
        <is>
          <t>لم يتم السداد</t>
        </is>
      </c>
      <c r="S453" s="17" t="inlineStr">
        <is>
          <t>نعم</t>
        </is>
      </c>
    </row>
    <row r="454" ht="17" customHeight="1">
      <c r="A454" s="17">
        <f>1+A453</f>
        <v/>
      </c>
      <c r="B454" s="13" t="inlineStr">
        <is>
          <t>مدرسة المجد</t>
        </is>
      </c>
      <c r="C454" s="13" t="inlineStr">
        <is>
          <t>زياد المالكي</t>
        </is>
      </c>
      <c r="D454" s="13" t="n">
        <v>536021446</v>
      </c>
      <c r="E454" s="13" t="inlineStr">
        <is>
          <t>لايوجد</t>
        </is>
      </c>
      <c r="F454" s="13" t="inlineStr">
        <is>
          <t>هواة</t>
        </is>
      </c>
      <c r="G454" s="13" t="inlineStr">
        <is>
          <t>مكة المكرمة</t>
        </is>
      </c>
      <c r="H454" s="13" t="inlineStr">
        <is>
          <t>جدة</t>
        </is>
      </c>
      <c r="I454" s="17" t="inlineStr">
        <is>
          <t>جدة</t>
        </is>
      </c>
      <c r="J454" s="13" t="n">
        <v>0</v>
      </c>
      <c r="K454" s="13" t="n">
        <v>1</v>
      </c>
      <c r="L454" s="13" t="n">
        <v>1</v>
      </c>
      <c r="M454" s="13" t="n">
        <v>1</v>
      </c>
      <c r="N454" s="13" t="n">
        <v>1</v>
      </c>
      <c r="O454" s="13" t="n">
        <v>0</v>
      </c>
      <c r="P454" s="13" t="n">
        <v>0</v>
      </c>
      <c r="Q45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4" s="13" t="inlineStr">
        <is>
          <t>لم يتم السداد</t>
        </is>
      </c>
      <c r="S454" s="17" t="inlineStr">
        <is>
          <t>نعم</t>
        </is>
      </c>
    </row>
    <row r="455" ht="17" customHeight="1">
      <c r="A455" s="17">
        <f>1+A454</f>
        <v/>
      </c>
      <c r="B455" s="13" t="inlineStr">
        <is>
          <t>ريال اسبانيول</t>
        </is>
      </c>
      <c r="C455" s="13" t="inlineStr">
        <is>
          <t>بدر القاسمي</t>
        </is>
      </c>
      <c r="D455" s="13" t="n">
        <v>533184248</v>
      </c>
      <c r="E455" s="13" t="inlineStr">
        <is>
          <t>لايوجد</t>
        </is>
      </c>
      <c r="F455" s="13" t="inlineStr">
        <is>
          <t>هواة</t>
        </is>
      </c>
      <c r="G455" s="13" t="inlineStr">
        <is>
          <t>الرياض</t>
        </is>
      </c>
      <c r="H455" s="13" t="inlineStr">
        <is>
          <t>الرياض</t>
        </is>
      </c>
      <c r="I455" s="17" t="inlineStr">
        <is>
          <t>الرياض</t>
        </is>
      </c>
      <c r="J455" s="13" t="n">
        <v>0</v>
      </c>
      <c r="K455" s="13" t="n">
        <v>0</v>
      </c>
      <c r="L455" s="13" t="n">
        <v>0</v>
      </c>
      <c r="M455" s="13" t="n">
        <v>0</v>
      </c>
      <c r="N455" s="13" t="n">
        <v>1</v>
      </c>
      <c r="O455" s="13" t="n">
        <v>0</v>
      </c>
      <c r="P455" s="13" t="n">
        <v>1</v>
      </c>
      <c r="Q45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5" s="13" t="inlineStr">
        <is>
          <t>لم يتم السداد</t>
        </is>
      </c>
      <c r="S455" s="17" t="inlineStr">
        <is>
          <t>نعم</t>
        </is>
      </c>
    </row>
    <row r="456" ht="17" customHeight="1">
      <c r="A456" s="17">
        <f>1+A455</f>
        <v/>
      </c>
      <c r="B456" s="13" t="inlineStr">
        <is>
          <t>نادي الحزم الرياضي</t>
        </is>
      </c>
      <c r="C456" s="13" t="inlineStr">
        <is>
          <t>فهد العايد</t>
        </is>
      </c>
      <c r="D456" s="13" t="n">
        <v>504889829</v>
      </c>
      <c r="E456" s="13" t="inlineStr">
        <is>
          <t>الحزم</t>
        </is>
      </c>
      <c r="F456" s="13" t="inlineStr">
        <is>
          <t>نادي</t>
        </is>
      </c>
      <c r="G456" s="13" t="inlineStr">
        <is>
          <t>القصيم</t>
        </is>
      </c>
      <c r="H456" s="13" t="inlineStr">
        <is>
          <t>الرس</t>
        </is>
      </c>
      <c r="I456" s="17" t="inlineStr">
        <is>
          <t>الرس</t>
        </is>
      </c>
      <c r="J456" s="13" t="n">
        <v>1</v>
      </c>
      <c r="K456" s="13" t="n">
        <v>1</v>
      </c>
      <c r="L456" s="13" t="n">
        <v>1</v>
      </c>
      <c r="M456" s="13" t="n">
        <v>0</v>
      </c>
      <c r="N456" s="13" t="n">
        <v>0</v>
      </c>
      <c r="O456" s="13" t="n">
        <v>0</v>
      </c>
      <c r="P456" s="13" t="n">
        <v>0</v>
      </c>
      <c r="Q45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6" s="13" t="n"/>
      <c r="S456" s="17" t="n"/>
    </row>
    <row r="457" ht="17" customHeight="1">
      <c r="A457" s="17">
        <f>1+A456</f>
        <v/>
      </c>
      <c r="B457" s="19" t="inlineStr">
        <is>
          <t>اكاديمية البندر</t>
        </is>
      </c>
      <c r="C457" s="19" t="inlineStr">
        <is>
          <t>نايف الشراري</t>
        </is>
      </c>
      <c r="D457" s="19" t="n">
        <v>533113487</v>
      </c>
      <c r="E457" s="19" t="inlineStr">
        <is>
          <t>اكاديمية البندر</t>
        </is>
      </c>
      <c r="F457" s="19" t="inlineStr">
        <is>
          <t>أكاديمية</t>
        </is>
      </c>
      <c r="G457" s="19" t="inlineStr">
        <is>
          <t>الجوف</t>
        </is>
      </c>
      <c r="H457" s="19" t="inlineStr">
        <is>
          <t>طبرجل</t>
        </is>
      </c>
      <c r="I457" s="20" t="inlineStr">
        <is>
          <t>الجوف</t>
        </is>
      </c>
      <c r="J457" s="19" t="n">
        <v>1</v>
      </c>
      <c r="K457" s="19" t="n">
        <v>0</v>
      </c>
      <c r="L457" s="19" t="n">
        <v>1</v>
      </c>
      <c r="M457" s="19" t="n">
        <v>0</v>
      </c>
      <c r="N457" s="19" t="n">
        <v>1</v>
      </c>
      <c r="O457" s="19" t="n">
        <v>1</v>
      </c>
      <c r="P457" s="19" t="n">
        <v>1</v>
      </c>
      <c r="Q45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7" s="13" t="n"/>
      <c r="S457" s="17" t="n"/>
    </row>
    <row r="458" ht="17" customHeight="1">
      <c r="A458" s="17">
        <f>1+A457</f>
        <v/>
      </c>
      <c r="B458" s="13" t="inlineStr">
        <is>
          <t>نادي العربي</t>
        </is>
      </c>
      <c r="C458" s="13" t="inlineStr">
        <is>
          <t>صلاح المطيري</t>
        </is>
      </c>
      <c r="D458" s="13" t="n">
        <v>553620932</v>
      </c>
      <c r="E458" s="13" t="inlineStr">
        <is>
          <t>العربي</t>
        </is>
      </c>
      <c r="F458" s="13" t="inlineStr">
        <is>
          <t>نادي</t>
        </is>
      </c>
      <c r="G458" s="13" t="inlineStr">
        <is>
          <t>القصيم</t>
        </is>
      </c>
      <c r="H458" s="13" t="inlineStr">
        <is>
          <t>عنيزة</t>
        </is>
      </c>
      <c r="I458" s="17" t="inlineStr">
        <is>
          <t>القصيم</t>
        </is>
      </c>
      <c r="J458" s="13" t="n">
        <v>1</v>
      </c>
      <c r="K458" s="13" t="n">
        <v>1</v>
      </c>
      <c r="L458" s="13" t="n">
        <v>1</v>
      </c>
      <c r="M458" s="13" t="n">
        <v>1</v>
      </c>
      <c r="N458" s="13" t="n">
        <v>1</v>
      </c>
      <c r="O458" s="13" t="n">
        <v>1</v>
      </c>
      <c r="P458" s="13" t="n">
        <v>0</v>
      </c>
      <c r="Q45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8" s="13" t="n"/>
      <c r="S458" s="17" t="n"/>
    </row>
    <row r="459" ht="17" customHeight="1">
      <c r="A459" s="17">
        <f>1+A458</f>
        <v/>
      </c>
      <c r="B459" s="13" t="inlineStr">
        <is>
          <t>اكاديمية البشائر الاولى الرياضية</t>
        </is>
      </c>
      <c r="C459" s="13" t="inlineStr">
        <is>
          <t>حسن الحلافي</t>
        </is>
      </c>
      <c r="D459" s="13" t="n">
        <v>504752740</v>
      </c>
      <c r="E459" s="13" t="inlineStr">
        <is>
          <t>مدينة الملك سعود الرياضية</t>
        </is>
      </c>
      <c r="F459" s="13" t="inlineStr">
        <is>
          <t>أكاديمية</t>
        </is>
      </c>
      <c r="G459" s="13" t="inlineStr">
        <is>
          <t>الباحة</t>
        </is>
      </c>
      <c r="H459" s="13" t="inlineStr">
        <is>
          <t>الباحة</t>
        </is>
      </c>
      <c r="I459" s="17" t="inlineStr">
        <is>
          <t>الباحة</t>
        </is>
      </c>
      <c r="J459" s="13" t="n">
        <v>0</v>
      </c>
      <c r="K459" s="13" t="n">
        <v>0</v>
      </c>
      <c r="L459" s="13" t="n">
        <v>1</v>
      </c>
      <c r="M459" s="13" t="n">
        <v>0</v>
      </c>
      <c r="N459" s="13" t="n">
        <v>0</v>
      </c>
      <c r="O459" s="13" t="n">
        <v>0</v>
      </c>
      <c r="P459" s="13" t="n">
        <v>0</v>
      </c>
      <c r="Q45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59" s="13" t="n"/>
      <c r="S459" s="17" t="n"/>
    </row>
    <row r="460" ht="17" customHeight="1">
      <c r="A460" s="17">
        <f>1+A459</f>
        <v/>
      </c>
      <c r="B460" s="13" t="inlineStr">
        <is>
          <t>اشبيلية بارك الرياضية</t>
        </is>
      </c>
      <c r="C460" s="13" t="inlineStr">
        <is>
          <t>بندر الكويكبي</t>
        </is>
      </c>
      <c r="D460" s="13" t="n">
        <v>504868820</v>
      </c>
      <c r="E460" s="13" t="inlineStr">
        <is>
          <t>اشبيلية بارك</t>
        </is>
      </c>
      <c r="F460" s="13" t="inlineStr">
        <is>
          <t>أكاديمية</t>
        </is>
      </c>
      <c r="G460" s="13" t="inlineStr">
        <is>
          <t>الجوف</t>
        </is>
      </c>
      <c r="H460" s="13" t="inlineStr">
        <is>
          <t>القريات</t>
        </is>
      </c>
      <c r="I460" s="17" t="inlineStr">
        <is>
          <t>الجوف</t>
        </is>
      </c>
      <c r="J460" s="13" t="n">
        <v>1</v>
      </c>
      <c r="K460" s="13" t="n">
        <v>1</v>
      </c>
      <c r="L460" s="13" t="n">
        <v>2</v>
      </c>
      <c r="M460" s="13" t="n">
        <v>2</v>
      </c>
      <c r="N460" s="13" t="n">
        <v>2</v>
      </c>
      <c r="O460" s="13" t="n">
        <v>2</v>
      </c>
      <c r="P460" s="13" t="n">
        <v>2</v>
      </c>
      <c r="Q46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0" s="13" t="n"/>
      <c r="S460" s="17" t="n"/>
    </row>
    <row r="461" ht="17" customHeight="1">
      <c r="A461" s="17">
        <f>1+A460</f>
        <v/>
      </c>
      <c r="B461" s="13" t="inlineStr">
        <is>
          <t>اكاديمية اوليمبك</t>
        </is>
      </c>
      <c r="C461" s="13" t="inlineStr">
        <is>
          <t>محمد محمود</t>
        </is>
      </c>
      <c r="D461" s="13" t="n">
        <v>542405055</v>
      </c>
      <c r="E461" s="13" t="inlineStr">
        <is>
          <t>لايوجد</t>
        </is>
      </c>
      <c r="F461" s="13" t="inlineStr">
        <is>
          <t>أكاديمية</t>
        </is>
      </c>
      <c r="G461" s="13" t="inlineStr">
        <is>
          <t>الرياض</t>
        </is>
      </c>
      <c r="H461" s="13" t="inlineStr">
        <is>
          <t>الرياض</t>
        </is>
      </c>
      <c r="I461" s="17" t="inlineStr">
        <is>
          <t>الرياض</t>
        </is>
      </c>
      <c r="J461" s="13" t="n">
        <v>0</v>
      </c>
      <c r="K461" s="13" t="n">
        <v>0</v>
      </c>
      <c r="L461" s="13" t="n">
        <v>1</v>
      </c>
      <c r="M461" s="13" t="n">
        <v>1</v>
      </c>
      <c r="N461" s="13" t="n">
        <v>1</v>
      </c>
      <c r="O461" s="13" t="n">
        <v>1</v>
      </c>
      <c r="P461" s="13" t="n">
        <v>1</v>
      </c>
      <c r="Q46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1" s="13" t="n"/>
      <c r="S461" s="17" t="n"/>
    </row>
    <row r="462" ht="17" customHeight="1">
      <c r="A462" s="17">
        <f>1+A461</f>
        <v/>
      </c>
      <c r="B462" s="13" t="inlineStr">
        <is>
          <t>اكاديمية بلانكوس</t>
        </is>
      </c>
      <c r="C462" s="13" t="inlineStr">
        <is>
          <t>علاء الجزار</t>
        </is>
      </c>
      <c r="D462" s="13" t="n">
        <v>561282015</v>
      </c>
      <c r="E462" s="13" t="inlineStr">
        <is>
          <t xml:space="preserve">مدارس الرياض </t>
        </is>
      </c>
      <c r="F462" s="13" t="inlineStr">
        <is>
          <t>أكاديمية</t>
        </is>
      </c>
      <c r="G462" s="13" t="inlineStr">
        <is>
          <t>الرياض</t>
        </is>
      </c>
      <c r="H462" s="13" t="inlineStr">
        <is>
          <t>الرياض</t>
        </is>
      </c>
      <c r="I462" s="17" t="inlineStr">
        <is>
          <t>الرياض</t>
        </is>
      </c>
      <c r="J462" s="13" t="n">
        <v>1</v>
      </c>
      <c r="K462" s="13" t="n">
        <v>1</v>
      </c>
      <c r="L462" s="13" t="n">
        <v>1</v>
      </c>
      <c r="M462" s="13" t="n">
        <v>1</v>
      </c>
      <c r="N462" s="13" t="n">
        <v>0</v>
      </c>
      <c r="O462" s="13" t="n">
        <v>0</v>
      </c>
      <c r="P462" s="13" t="n">
        <v>0</v>
      </c>
      <c r="Q46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2" s="13" t="n"/>
      <c r="S462" s="17" t="n"/>
    </row>
    <row r="463" ht="17" customHeight="1">
      <c r="A463" s="17">
        <f>1+A462</f>
        <v/>
      </c>
      <c r="B463" s="13" t="inlineStr">
        <is>
          <t>الوداد الشرقي</t>
        </is>
      </c>
      <c r="C463" s="13" t="inlineStr">
        <is>
          <t>صالح راشد</t>
        </is>
      </c>
      <c r="D463" s="13" t="n">
        <v>569598774</v>
      </c>
      <c r="E463" s="13" t="inlineStr">
        <is>
          <t xml:space="preserve">نجران </t>
        </is>
      </c>
      <c r="F463" s="13" t="inlineStr">
        <is>
          <t>أكاديمية</t>
        </is>
      </c>
      <c r="G463" s="13" t="inlineStr">
        <is>
          <t>نجران</t>
        </is>
      </c>
      <c r="H463" s="13" t="inlineStr">
        <is>
          <t>نجران</t>
        </is>
      </c>
      <c r="I463" s="17" t="inlineStr">
        <is>
          <t>نجران</t>
        </is>
      </c>
      <c r="J463" s="13" t="n">
        <v>1</v>
      </c>
      <c r="K463" s="13" t="n">
        <v>1</v>
      </c>
      <c r="L463" s="13" t="n">
        <v>1</v>
      </c>
      <c r="M463" s="13" t="n">
        <v>0</v>
      </c>
      <c r="N463" s="13" t="n">
        <v>0</v>
      </c>
      <c r="O463" s="13" t="n">
        <v>0</v>
      </c>
      <c r="P463" s="13" t="n">
        <v>0</v>
      </c>
      <c r="Q46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3" s="13" t="n"/>
      <c r="S463" s="17" t="n"/>
    </row>
    <row r="464" ht="17" customHeight="1">
      <c r="A464" s="17">
        <f>1+A463</f>
        <v/>
      </c>
      <c r="B464" s="13" t="inlineStr">
        <is>
          <t xml:space="preserve"> اكاديمية مواهب بيشة</t>
        </is>
      </c>
      <c r="C464" s="13" t="inlineStr">
        <is>
          <t>مشعل الاكلبي</t>
        </is>
      </c>
      <c r="D464" s="13" t="n">
        <v>555778937</v>
      </c>
      <c r="E464" s="13" t="inlineStr">
        <is>
          <t>بيشة</t>
        </is>
      </c>
      <c r="F464" s="13" t="inlineStr">
        <is>
          <t>أكاديمية</t>
        </is>
      </c>
      <c r="G464" s="13" t="inlineStr">
        <is>
          <t>الباحة</t>
        </is>
      </c>
      <c r="H464" s="13" t="inlineStr">
        <is>
          <t>الباحة</t>
        </is>
      </c>
      <c r="I464" s="17" t="inlineStr">
        <is>
          <t>الباحة</t>
        </is>
      </c>
      <c r="J464" s="13" t="n">
        <v>1</v>
      </c>
      <c r="K464" s="13" t="n">
        <v>0</v>
      </c>
      <c r="L464" s="13" t="n">
        <v>0</v>
      </c>
      <c r="M464" s="13" t="n">
        <v>0</v>
      </c>
      <c r="N464" s="13" t="n">
        <v>0</v>
      </c>
      <c r="O464" s="13" t="n">
        <v>1</v>
      </c>
      <c r="P464" s="13" t="n">
        <v>0</v>
      </c>
      <c r="Q46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4" s="13" t="n"/>
      <c r="S464" s="17" t="n"/>
    </row>
    <row r="465" ht="17" customHeight="1">
      <c r="A465" s="17">
        <f>1+A464</f>
        <v/>
      </c>
      <c r="B465" s="13" t="inlineStr">
        <is>
          <t>اكاديمية قمم وقمم</t>
        </is>
      </c>
      <c r="C465" s="13" t="inlineStr">
        <is>
          <t>ثامر الشرفي</t>
        </is>
      </c>
      <c r="D465" s="13" t="n">
        <v>505610842</v>
      </c>
      <c r="E465" s="13" t="inlineStr">
        <is>
          <t>مدارس الساحل</t>
        </is>
      </c>
      <c r="F465" s="13" t="inlineStr">
        <is>
          <t>أكاديمية</t>
        </is>
      </c>
      <c r="G465" s="13" t="inlineStr">
        <is>
          <t>مكة المكرمة</t>
        </is>
      </c>
      <c r="H465" s="13" t="inlineStr">
        <is>
          <t>جدة</t>
        </is>
      </c>
      <c r="I465" s="17" t="inlineStr">
        <is>
          <t>جدة</t>
        </is>
      </c>
      <c r="J465" s="13" t="n">
        <v>0</v>
      </c>
      <c r="K465" s="13" t="n">
        <v>0</v>
      </c>
      <c r="L465" s="13" t="n">
        <v>0</v>
      </c>
      <c r="M465" s="13" t="n">
        <v>1</v>
      </c>
      <c r="N465" s="13" t="n">
        <v>0</v>
      </c>
      <c r="O465" s="13" t="n">
        <v>0</v>
      </c>
      <c r="P465" s="13" t="n">
        <v>0</v>
      </c>
      <c r="Q46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5" s="13" t="n"/>
      <c r="S465" s="17" t="n"/>
    </row>
    <row r="466" ht="17" customHeight="1">
      <c r="A466" s="17">
        <f>1+A465</f>
        <v/>
      </c>
      <c r="B466" s="13" t="inlineStr">
        <is>
          <t>اكاديمية الزعيم</t>
        </is>
      </c>
      <c r="C466" s="13" t="inlineStr">
        <is>
          <t>الحسين شاجري</t>
        </is>
      </c>
      <c r="D466" s="13" t="n">
        <v>504579158</v>
      </c>
      <c r="E466" s="13" t="inlineStr">
        <is>
          <t>الزعيم</t>
        </is>
      </c>
      <c r="F466" s="13" t="inlineStr">
        <is>
          <t>أكاديمية</t>
        </is>
      </c>
      <c r="G466" s="13" t="inlineStr">
        <is>
          <t>جازان</t>
        </is>
      </c>
      <c r="H466" s="13" t="inlineStr">
        <is>
          <t>جيزان</t>
        </is>
      </c>
      <c r="I466" s="17" t="inlineStr">
        <is>
          <t>جازان</t>
        </is>
      </c>
      <c r="J466" s="13" t="n">
        <v>1</v>
      </c>
      <c r="K466" s="13" t="n">
        <v>0</v>
      </c>
      <c r="L466" s="13" t="n">
        <v>1</v>
      </c>
      <c r="M466" s="13" t="n">
        <v>0</v>
      </c>
      <c r="N466" s="13" t="n">
        <v>1</v>
      </c>
      <c r="O466" s="13" t="n">
        <v>0</v>
      </c>
      <c r="P466" s="13" t="n">
        <v>1</v>
      </c>
      <c r="Q46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6" s="13" t="n"/>
      <c r="S466" s="17" t="n"/>
    </row>
    <row r="467" ht="17" customHeight="1">
      <c r="A467" s="17">
        <f>1+A466</f>
        <v/>
      </c>
      <c r="B467" s="13" t="inlineStr">
        <is>
          <t>اكاديمية بناء الانسان الريايضية</t>
        </is>
      </c>
      <c r="C467" s="13" t="inlineStr">
        <is>
          <t>ثامرسليمان</t>
        </is>
      </c>
      <c r="D467" s="13" t="n">
        <v>555534971</v>
      </c>
      <c r="E467" s="13" t="inlineStr">
        <is>
          <t>لايوجد</t>
        </is>
      </c>
      <c r="F467" s="13" t="inlineStr">
        <is>
          <t>أكاديمية</t>
        </is>
      </c>
      <c r="G467" s="13" t="inlineStr">
        <is>
          <t>مكة المكرمة</t>
        </is>
      </c>
      <c r="H467" s="13" t="inlineStr">
        <is>
          <t>مكة المكرمة</t>
        </is>
      </c>
      <c r="I467" s="17" t="inlineStr">
        <is>
          <t>مكة المكرمة</t>
        </is>
      </c>
      <c r="J467" s="13" t="n">
        <v>1</v>
      </c>
      <c r="K467" s="13" t="n">
        <v>1</v>
      </c>
      <c r="L467" s="13" t="n">
        <v>2</v>
      </c>
      <c r="M467" s="13" t="n">
        <v>2</v>
      </c>
      <c r="N467" s="13" t="n">
        <v>3</v>
      </c>
      <c r="O467" s="13" t="n">
        <v>1</v>
      </c>
      <c r="P467" s="13" t="n">
        <v>0</v>
      </c>
      <c r="Q46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7" s="13" t="n"/>
      <c r="S467" s="17" t="n"/>
    </row>
    <row r="468" ht="17" customHeight="1">
      <c r="A468" s="17">
        <f>1+A467</f>
        <v/>
      </c>
      <c r="B468" s="13" t="inlineStr">
        <is>
          <t>اكاديمية النخبة الرياضية</t>
        </is>
      </c>
      <c r="C468" s="13" t="inlineStr">
        <is>
          <t>علي بوشليبي</t>
        </is>
      </c>
      <c r="D468" s="13" t="inlineStr">
        <is>
          <t>لايوجد</t>
        </is>
      </c>
      <c r="E468" s="13" t="inlineStr">
        <is>
          <t>لايوجد</t>
        </is>
      </c>
      <c r="F468" s="13" t="inlineStr">
        <is>
          <t>أكاديمية</t>
        </is>
      </c>
      <c r="G468" s="13" t="inlineStr">
        <is>
          <t>الشرقية</t>
        </is>
      </c>
      <c r="H468" s="13" t="inlineStr">
        <is>
          <t>الخبر</t>
        </is>
      </c>
      <c r="I468" s="17" t="inlineStr">
        <is>
          <t>الشرقية</t>
        </is>
      </c>
      <c r="J468" s="13" t="n">
        <v>1</v>
      </c>
      <c r="K468" s="13" t="n">
        <v>0</v>
      </c>
      <c r="L468" s="13" t="n">
        <v>0</v>
      </c>
      <c r="M468" s="13" t="n">
        <v>0</v>
      </c>
      <c r="N468" s="13" t="n">
        <v>1</v>
      </c>
      <c r="O468" s="13" t="n">
        <v>1</v>
      </c>
      <c r="P468" s="13" t="n">
        <v>0</v>
      </c>
      <c r="Q46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8" s="13" t="n"/>
      <c r="S468" s="17" t="n"/>
    </row>
    <row r="469" ht="17" customHeight="1">
      <c r="A469" s="17">
        <f>1+A468</f>
        <v/>
      </c>
      <c r="B469" s="13" t="inlineStr">
        <is>
          <t>براعم الموهوبين</t>
        </is>
      </c>
      <c r="C469" s="13" t="inlineStr">
        <is>
          <t>عيسى المشيخي</t>
        </is>
      </c>
      <c r="D469" s="13" t="n">
        <v>591329999</v>
      </c>
      <c r="E469" s="13" t="inlineStr">
        <is>
          <t>لايوجد</t>
        </is>
      </c>
      <c r="F469" s="13" t="inlineStr">
        <is>
          <t>أكاديمية</t>
        </is>
      </c>
      <c r="G469" s="13" t="inlineStr">
        <is>
          <t>عسير</t>
        </is>
      </c>
      <c r="H469" s="13" t="inlineStr">
        <is>
          <t>أبها</t>
        </is>
      </c>
      <c r="I469" s="17" t="inlineStr">
        <is>
          <t>عسير</t>
        </is>
      </c>
      <c r="J469" s="13" t="n">
        <v>1</v>
      </c>
      <c r="K469" s="13" t="n">
        <v>1</v>
      </c>
      <c r="L469" s="13" t="n">
        <v>1</v>
      </c>
      <c r="M469" s="13" t="n">
        <v>1</v>
      </c>
      <c r="N469" s="13" t="n">
        <v>1</v>
      </c>
      <c r="O469" s="13" t="n">
        <v>1</v>
      </c>
      <c r="P469" s="13" t="n">
        <v>0</v>
      </c>
      <c r="Q46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69" s="13" t="n"/>
      <c r="S469" s="17" t="n"/>
    </row>
    <row r="470" ht="17" customHeight="1">
      <c r="A470" s="17">
        <f>1+A469</f>
        <v/>
      </c>
      <c r="B470" s="13" t="inlineStr">
        <is>
          <t>شباب الحرمين</t>
        </is>
      </c>
      <c r="C470" s="13" t="inlineStr">
        <is>
          <t>علي العنبري</t>
        </is>
      </c>
      <c r="D470" s="13" t="n">
        <v>501124060</v>
      </c>
      <c r="E470" s="13" t="inlineStr">
        <is>
          <t>لايوجد</t>
        </is>
      </c>
      <c r="F470" s="13" t="inlineStr">
        <is>
          <t>هواة</t>
        </is>
      </c>
      <c r="G470" s="13" t="inlineStr">
        <is>
          <t>مكة المكرمة</t>
        </is>
      </c>
      <c r="H470" s="13" t="inlineStr">
        <is>
          <t>الطائف</t>
        </is>
      </c>
      <c r="I470" s="17" t="inlineStr">
        <is>
          <t>الطائف</t>
        </is>
      </c>
      <c r="J470" s="13" t="n">
        <v>1</v>
      </c>
      <c r="K470" s="13" t="n">
        <v>1</v>
      </c>
      <c r="L470" s="13" t="n">
        <v>1</v>
      </c>
      <c r="M470" s="13" t="n">
        <v>1</v>
      </c>
      <c r="N470" s="13" t="n">
        <v>0</v>
      </c>
      <c r="O470" s="13" t="n">
        <v>0</v>
      </c>
      <c r="P470" s="13" t="n">
        <v>0</v>
      </c>
      <c r="Q47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0" s="13" t="n"/>
      <c r="S470" s="17" t="inlineStr">
        <is>
          <t>نعم</t>
        </is>
      </c>
    </row>
    <row r="471" ht="17" customHeight="1">
      <c r="A471" s="17">
        <f>1+A470</f>
        <v/>
      </c>
      <c r="B471" s="13" t="inlineStr">
        <is>
          <t>نادي الهجرة</t>
        </is>
      </c>
      <c r="C471" s="13" t="inlineStr">
        <is>
          <t>عبدالعزيز دبلول</t>
        </is>
      </c>
      <c r="D471" s="13" t="n">
        <v>555522569</v>
      </c>
      <c r="E471" s="13" t="inlineStr">
        <is>
          <t>لايوجد</t>
        </is>
      </c>
      <c r="F471" s="13" t="inlineStr">
        <is>
          <t>هواة</t>
        </is>
      </c>
      <c r="G471" s="13" t="inlineStr">
        <is>
          <t>مكة المكرمة</t>
        </is>
      </c>
      <c r="H471" s="13" t="inlineStr">
        <is>
          <t>مكة المكرمة</t>
        </is>
      </c>
      <c r="I471" s="17" t="inlineStr">
        <is>
          <t>مكة المكرمة</t>
        </is>
      </c>
      <c r="J471" s="13" t="n">
        <v>0</v>
      </c>
      <c r="K471" s="13" t="n">
        <v>1</v>
      </c>
      <c r="L471" s="13" t="n">
        <v>1</v>
      </c>
      <c r="M471" s="13" t="n">
        <v>1</v>
      </c>
      <c r="N471" s="13" t="n">
        <v>1</v>
      </c>
      <c r="O471" s="13" t="n">
        <v>0</v>
      </c>
      <c r="P471" s="13" t="n">
        <v>0</v>
      </c>
      <c r="Q47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1" s="13" t="n"/>
      <c r="S471" s="17" t="inlineStr">
        <is>
          <t>نعم</t>
        </is>
      </c>
    </row>
    <row r="472" ht="17" customHeight="1">
      <c r="A472" s="17">
        <f>1+A471</f>
        <v/>
      </c>
      <c r="B472" s="13" t="inlineStr">
        <is>
          <t>برشلونة دريم تيم</t>
        </is>
      </c>
      <c r="C472" s="13" t="inlineStr">
        <is>
          <t>وارد القرني</t>
        </is>
      </c>
      <c r="D472" s="13" t="n">
        <v>549768166</v>
      </c>
      <c r="E472" s="13" t="inlineStr">
        <is>
          <t>لايوجد</t>
        </is>
      </c>
      <c r="F472" s="13" t="inlineStr">
        <is>
          <t>هواة</t>
        </is>
      </c>
      <c r="G472" s="13" t="inlineStr">
        <is>
          <t>مكة المكرمة</t>
        </is>
      </c>
      <c r="H472" s="13" t="inlineStr">
        <is>
          <t>جدة</t>
        </is>
      </c>
      <c r="I472" s="17" t="inlineStr">
        <is>
          <t>جدة</t>
        </is>
      </c>
      <c r="J472" s="13" t="n">
        <v>1</v>
      </c>
      <c r="K472" s="13" t="n">
        <v>0</v>
      </c>
      <c r="L472" s="13" t="n">
        <v>1</v>
      </c>
      <c r="M472" s="13" t="n">
        <v>0</v>
      </c>
      <c r="N472" s="13" t="n">
        <v>0</v>
      </c>
      <c r="O472" s="13" t="n">
        <v>0</v>
      </c>
      <c r="P472" s="13" t="n">
        <v>0</v>
      </c>
      <c r="Q47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2" s="13" t="n"/>
      <c r="S472" s="17" t="inlineStr">
        <is>
          <t>نعم</t>
        </is>
      </c>
    </row>
    <row r="473" ht="17" customHeight="1">
      <c r="A473" s="17">
        <f>1+A472</f>
        <v/>
      </c>
      <c r="B473" s="13" t="inlineStr">
        <is>
          <t>المتحد بالجوف</t>
        </is>
      </c>
      <c r="C473" s="13" t="inlineStr">
        <is>
          <t>عبدالسلام الشراري</t>
        </is>
      </c>
      <c r="D473" s="13" t="n">
        <v>538522959</v>
      </c>
      <c r="E473" s="13" t="inlineStr">
        <is>
          <t>لايوجد</t>
        </is>
      </c>
      <c r="F473" s="13" t="inlineStr">
        <is>
          <t>هواة</t>
        </is>
      </c>
      <c r="G473" s="13" t="inlineStr">
        <is>
          <t>الجوف</t>
        </is>
      </c>
      <c r="H473" s="13" t="inlineStr">
        <is>
          <t>سكاكا</t>
        </is>
      </c>
      <c r="I473" s="17" t="inlineStr">
        <is>
          <t>الجوف</t>
        </is>
      </c>
      <c r="J473" s="13" t="n">
        <v>1</v>
      </c>
      <c r="K473" s="13" t="n">
        <v>1</v>
      </c>
      <c r="L473" s="13" t="n">
        <v>1</v>
      </c>
      <c r="M473" s="13" t="n">
        <v>1</v>
      </c>
      <c r="N473" s="13" t="n">
        <v>1</v>
      </c>
      <c r="O473" s="13" t="n">
        <v>1</v>
      </c>
      <c r="P473" s="13" t="n">
        <v>1</v>
      </c>
      <c r="Q47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3" s="13" t="n"/>
      <c r="S473" s="17" t="inlineStr">
        <is>
          <t>نعم</t>
        </is>
      </c>
    </row>
    <row r="474" ht="17" customHeight="1">
      <c r="A474" s="17">
        <f>1+A473</f>
        <v/>
      </c>
      <c r="B474" s="13" t="inlineStr">
        <is>
          <t>اكاديمية القمة هواة</t>
        </is>
      </c>
      <c r="C474" s="13" t="inlineStr">
        <is>
          <t>عبدالله الصاعدي</t>
        </is>
      </c>
      <c r="D474" s="13" t="n">
        <v>544424648</v>
      </c>
      <c r="E474" s="13" t="inlineStr">
        <is>
          <t>لايوجد</t>
        </is>
      </c>
      <c r="F474" s="13" t="inlineStr">
        <is>
          <t>هواة</t>
        </is>
      </c>
      <c r="G474" s="13" t="inlineStr">
        <is>
          <t>مكة المكرمة</t>
        </is>
      </c>
      <c r="H474" s="13" t="inlineStr">
        <is>
          <t>مكة المكرمة</t>
        </is>
      </c>
      <c r="I474" s="17" t="inlineStr">
        <is>
          <t>مكة المكرمة</t>
        </is>
      </c>
      <c r="J474" s="13" t="n">
        <v>1</v>
      </c>
      <c r="K474" s="13" t="n">
        <v>1</v>
      </c>
      <c r="L474" s="13" t="n">
        <v>1</v>
      </c>
      <c r="M474" s="13" t="n">
        <v>1</v>
      </c>
      <c r="N474" s="13" t="n">
        <v>1</v>
      </c>
      <c r="O474" s="13" t="n">
        <v>1</v>
      </c>
      <c r="P474" s="13" t="n">
        <v>0</v>
      </c>
      <c r="Q47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4" s="13" t="n"/>
      <c r="S474" s="17" t="inlineStr">
        <is>
          <t>نعم</t>
        </is>
      </c>
    </row>
    <row r="475" ht="17" customHeight="1">
      <c r="A475" s="17">
        <f>1+A474</f>
        <v/>
      </c>
      <c r="B475" s="13" t="inlineStr">
        <is>
          <t>باتي قول</t>
        </is>
      </c>
      <c r="C475" s="13" t="inlineStr">
        <is>
          <t>مرزوق الفهادي</t>
        </is>
      </c>
      <c r="D475" s="13" t="n">
        <v>532879553</v>
      </c>
      <c r="E475" s="13" t="inlineStr">
        <is>
          <t>لايوجد</t>
        </is>
      </c>
      <c r="F475" s="13" t="inlineStr">
        <is>
          <t>هواة</t>
        </is>
      </c>
      <c r="G475" s="13" t="inlineStr">
        <is>
          <t>الرياض</t>
        </is>
      </c>
      <c r="H475" s="13" t="inlineStr">
        <is>
          <t>الخرج</t>
        </is>
      </c>
      <c r="I475" s="17" t="inlineStr">
        <is>
          <t>الخرج</t>
        </is>
      </c>
      <c r="J475" s="13" t="n">
        <v>0</v>
      </c>
      <c r="K475" s="13" t="n">
        <v>0</v>
      </c>
      <c r="L475" s="13" t="n">
        <v>1</v>
      </c>
      <c r="M475" s="13" t="n">
        <v>1</v>
      </c>
      <c r="N475" s="13" t="n">
        <v>0</v>
      </c>
      <c r="O475" s="13" t="n">
        <v>0</v>
      </c>
      <c r="P475" s="13" t="n">
        <v>0</v>
      </c>
      <c r="Q47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5" s="13" t="inlineStr">
        <is>
          <t>لم يتم السداد</t>
        </is>
      </c>
      <c r="S475" s="17" t="inlineStr">
        <is>
          <t>نعم</t>
        </is>
      </c>
    </row>
    <row r="476" ht="17" customHeight="1">
      <c r="A476" s="17">
        <f>1+A475</f>
        <v/>
      </c>
      <c r="B476" s="13" t="inlineStr">
        <is>
          <t>نادي مدارس الفرسان الرياضي</t>
        </is>
      </c>
      <c r="C476" s="13" t="inlineStr">
        <is>
          <t xml:space="preserve">محمد باموسى </t>
        </is>
      </c>
      <c r="D476" s="13" t="n">
        <v>562741666</v>
      </c>
      <c r="E476" s="13" t="inlineStr">
        <is>
          <t>لايوجد</t>
        </is>
      </c>
      <c r="F476" s="13" t="inlineStr">
        <is>
          <t>هواة</t>
        </is>
      </c>
      <c r="G476" s="13" t="inlineStr">
        <is>
          <t>مكة المكرمة</t>
        </is>
      </c>
      <c r="H476" s="13" t="inlineStr">
        <is>
          <t>مكة المكرمة</t>
        </is>
      </c>
      <c r="I476" s="17" t="inlineStr">
        <is>
          <t>مكة المكرمة</t>
        </is>
      </c>
      <c r="J476" s="13" t="n">
        <v>0</v>
      </c>
      <c r="K476" s="13" t="n">
        <v>0</v>
      </c>
      <c r="L476" s="13" t="n">
        <v>0</v>
      </c>
      <c r="M476" s="13" t="n">
        <v>0</v>
      </c>
      <c r="N476" s="13" t="n">
        <v>1</v>
      </c>
      <c r="O476" s="13" t="n">
        <v>1</v>
      </c>
      <c r="P476" s="13" t="n">
        <v>1</v>
      </c>
      <c r="Q47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6" s="13" t="inlineStr">
        <is>
          <t>لم يتم السداد</t>
        </is>
      </c>
      <c r="S476" s="17" t="inlineStr">
        <is>
          <t>نعم</t>
        </is>
      </c>
    </row>
    <row r="477" ht="17" customHeight="1">
      <c r="A477" s="17">
        <f>1+A476</f>
        <v/>
      </c>
      <c r="B477" s="13" t="inlineStr">
        <is>
          <t>PARIS SAINT GERMAIN ACADEMY SAUDI ARABIA</t>
        </is>
      </c>
      <c r="C477" s="13" t="inlineStr">
        <is>
          <t>PHANUEL</t>
        </is>
      </c>
      <c r="D477" s="13" t="n">
        <v>546008890</v>
      </c>
      <c r="E477" s="13" t="inlineStr">
        <is>
          <t>لايوجد</t>
        </is>
      </c>
      <c r="F477" s="13" t="inlineStr">
        <is>
          <t>هواة</t>
        </is>
      </c>
      <c r="G477" s="13" t="inlineStr">
        <is>
          <t>الرياض</t>
        </is>
      </c>
      <c r="H477" s="13" t="inlineStr">
        <is>
          <t>الرياض</t>
        </is>
      </c>
      <c r="I477" s="17" t="inlineStr">
        <is>
          <t>الرياض</t>
        </is>
      </c>
      <c r="J477" s="13" t="n">
        <v>1</v>
      </c>
      <c r="K477" s="13" t="n">
        <v>0</v>
      </c>
      <c r="L477" s="13" t="n">
        <v>1</v>
      </c>
      <c r="M477" s="13" t="n">
        <v>1</v>
      </c>
      <c r="N477" s="13" t="n">
        <v>1</v>
      </c>
      <c r="O477" s="13" t="n">
        <v>1</v>
      </c>
      <c r="P477" s="13" t="n">
        <v>0</v>
      </c>
      <c r="Q47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7" s="13" t="inlineStr">
        <is>
          <t>لم يتم السداد</t>
        </is>
      </c>
      <c r="S477" s="17" t="inlineStr">
        <is>
          <t>نعم</t>
        </is>
      </c>
    </row>
    <row r="478" ht="17" customHeight="1">
      <c r="A478" s="17">
        <f>1+A477</f>
        <v/>
      </c>
      <c r="B478" s="13" t="inlineStr">
        <is>
          <t>الجواهر</t>
        </is>
      </c>
      <c r="C478" s="13" t="inlineStr">
        <is>
          <t>عبيدالله الحربي</t>
        </is>
      </c>
      <c r="D478" s="13" t="n">
        <v>550968877</v>
      </c>
      <c r="E478" s="13" t="inlineStr">
        <is>
          <t>لايوجد</t>
        </is>
      </c>
      <c r="F478" s="13" t="inlineStr">
        <is>
          <t>هواة</t>
        </is>
      </c>
      <c r="G478" s="13" t="inlineStr">
        <is>
          <t>القصيم</t>
        </is>
      </c>
      <c r="H478" s="13" t="inlineStr">
        <is>
          <t>البكيرية</t>
        </is>
      </c>
      <c r="I478" s="17" t="inlineStr">
        <is>
          <t>الرس</t>
        </is>
      </c>
      <c r="J478" s="13" t="n">
        <v>0</v>
      </c>
      <c r="K478" s="13" t="n">
        <v>0</v>
      </c>
      <c r="L478" s="13" t="n">
        <v>0</v>
      </c>
      <c r="M478" s="13" t="n">
        <v>1</v>
      </c>
      <c r="N478" s="13" t="n">
        <v>1</v>
      </c>
      <c r="O478" s="13" t="n">
        <v>0</v>
      </c>
      <c r="P478" s="13" t="n">
        <v>0</v>
      </c>
      <c r="Q47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8" s="13" t="n"/>
      <c r="S478" s="17" t="inlineStr">
        <is>
          <t>نعم</t>
        </is>
      </c>
    </row>
    <row r="479" ht="17" customHeight="1">
      <c r="A479" s="17">
        <f>1+A478</f>
        <v/>
      </c>
      <c r="B479" s="13" t="inlineStr">
        <is>
          <t>GOAL FIT</t>
        </is>
      </c>
      <c r="C479" s="13" t="inlineStr">
        <is>
          <t>محمد سرحان</t>
        </is>
      </c>
      <c r="D479" s="13" t="n">
        <v>502858386</v>
      </c>
      <c r="E479" s="13" t="inlineStr">
        <is>
          <t>لايوجد</t>
        </is>
      </c>
      <c r="F479" s="13" t="inlineStr">
        <is>
          <t>هواة</t>
        </is>
      </c>
      <c r="G479" s="13" t="inlineStr">
        <is>
          <t>الرياض</t>
        </is>
      </c>
      <c r="H479" s="13" t="inlineStr">
        <is>
          <t>الرياض</t>
        </is>
      </c>
      <c r="I479" s="17" t="inlineStr">
        <is>
          <t>الرياض</t>
        </is>
      </c>
      <c r="J479" s="13" t="n">
        <v>1</v>
      </c>
      <c r="K479" s="13" t="n">
        <v>0</v>
      </c>
      <c r="L479" s="13" t="n">
        <v>1</v>
      </c>
      <c r="M479" s="13" t="n">
        <v>0</v>
      </c>
      <c r="N479" s="13" t="n">
        <v>0</v>
      </c>
      <c r="O479" s="13" t="n">
        <v>0</v>
      </c>
      <c r="P479" s="13" t="n">
        <v>0</v>
      </c>
      <c r="Q47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79" s="13" t="n"/>
      <c r="S479" s="17" t="inlineStr">
        <is>
          <t>نعم</t>
        </is>
      </c>
    </row>
    <row r="480" ht="17" customHeight="1">
      <c r="A480" s="17">
        <f>1+A479</f>
        <v/>
      </c>
      <c r="B480" s="13" t="inlineStr">
        <is>
          <t>السنابل</t>
        </is>
      </c>
      <c r="C480" s="13" t="inlineStr">
        <is>
          <t>احمد الزهراني</t>
        </is>
      </c>
      <c r="D480" s="13" t="n">
        <v>501288843</v>
      </c>
      <c r="E480" s="13" t="inlineStr">
        <is>
          <t>لايوجد</t>
        </is>
      </c>
      <c r="F480" s="13" t="inlineStr">
        <is>
          <t>هواة</t>
        </is>
      </c>
      <c r="G480" s="13" t="inlineStr">
        <is>
          <t>مكة المكرمة</t>
        </is>
      </c>
      <c r="H480" s="13" t="inlineStr">
        <is>
          <t>جدة</t>
        </is>
      </c>
      <c r="I480" s="17" t="inlineStr">
        <is>
          <t>جدة</t>
        </is>
      </c>
      <c r="J480" s="13" t="n">
        <v>1</v>
      </c>
      <c r="K480" s="13" t="n">
        <v>1</v>
      </c>
      <c r="L480" s="13" t="n">
        <v>1</v>
      </c>
      <c r="M480" s="13" t="n">
        <v>1</v>
      </c>
      <c r="N480" s="13" t="n">
        <v>1</v>
      </c>
      <c r="O480" s="13" t="n">
        <v>1</v>
      </c>
      <c r="P480" s="13" t="n">
        <v>1</v>
      </c>
      <c r="Q48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0" s="13" t="n"/>
      <c r="S480" s="17" t="inlineStr">
        <is>
          <t>نعم</t>
        </is>
      </c>
    </row>
    <row r="481" ht="17" customHeight="1">
      <c r="A481" s="17">
        <f>1+A480</f>
        <v/>
      </c>
      <c r="B481" s="13" t="inlineStr">
        <is>
          <t>نخبة طبرجل</t>
        </is>
      </c>
      <c r="C481" s="13" t="inlineStr">
        <is>
          <t>عزيز الشراري</t>
        </is>
      </c>
      <c r="D481" s="13" t="n">
        <v>559985767</v>
      </c>
      <c r="E481" s="13" t="inlineStr">
        <is>
          <t>لايوجد</t>
        </is>
      </c>
      <c r="F481" s="13" t="inlineStr">
        <is>
          <t>أكاديمية</t>
        </is>
      </c>
      <c r="G481" s="13" t="inlineStr">
        <is>
          <t>الجوف</t>
        </is>
      </c>
      <c r="H481" s="13" t="inlineStr">
        <is>
          <t>طبرجل</t>
        </is>
      </c>
      <c r="I481" s="17" t="inlineStr">
        <is>
          <t>الجوف</t>
        </is>
      </c>
      <c r="J481" s="13" t="n">
        <v>1</v>
      </c>
      <c r="K481" s="13" t="n">
        <v>0</v>
      </c>
      <c r="L481" s="13" t="n">
        <v>1</v>
      </c>
      <c r="M481" s="13" t="n">
        <v>0</v>
      </c>
      <c r="N481" s="13" t="n">
        <v>1</v>
      </c>
      <c r="O481" s="13" t="n">
        <v>0</v>
      </c>
      <c r="P481" s="13" t="n">
        <v>0</v>
      </c>
      <c r="Q48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1" s="13" t="n"/>
      <c r="S481" s="17" t="n"/>
    </row>
    <row r="482" ht="17" customHeight="1">
      <c r="A482" s="17">
        <f>1+A481</f>
        <v/>
      </c>
      <c r="B482" s="13" t="inlineStr">
        <is>
          <t>افاق الخفجي</t>
        </is>
      </c>
      <c r="C482" s="13" t="inlineStr">
        <is>
          <t>فيصل الشهري</t>
        </is>
      </c>
      <c r="D482" s="13" t="n">
        <v>564239612</v>
      </c>
      <c r="E482" s="13" t="inlineStr">
        <is>
          <t>لايوجد</t>
        </is>
      </c>
      <c r="F482" s="13" t="inlineStr">
        <is>
          <t>هواة</t>
        </is>
      </c>
      <c r="G482" s="13" t="inlineStr">
        <is>
          <t>الشرقية</t>
        </is>
      </c>
      <c r="H482" s="13" t="inlineStr">
        <is>
          <t>الخفجي</t>
        </is>
      </c>
      <c r="I482" s="17" t="inlineStr">
        <is>
          <t>حفر الباطن</t>
        </is>
      </c>
      <c r="J482" s="13" t="n">
        <v>1</v>
      </c>
      <c r="K482" s="13" t="n">
        <v>1</v>
      </c>
      <c r="L482" s="13" t="n">
        <v>1</v>
      </c>
      <c r="M482" s="13" t="n">
        <v>1</v>
      </c>
      <c r="N482" s="13" t="n">
        <v>1</v>
      </c>
      <c r="O482" s="13" t="n">
        <v>1</v>
      </c>
      <c r="P482" s="13" t="n">
        <v>1</v>
      </c>
      <c r="Q48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2" s="13" t="inlineStr">
        <is>
          <t>لم يتم السداد</t>
        </is>
      </c>
      <c r="S482" s="17" t="inlineStr">
        <is>
          <t>نعم</t>
        </is>
      </c>
    </row>
    <row r="483" ht="17" customHeight="1">
      <c r="A483" s="17">
        <f>1+A482</f>
        <v/>
      </c>
      <c r="B483" s="13" t="inlineStr">
        <is>
          <t>Future 2</t>
        </is>
      </c>
      <c r="C483" s="13" t="inlineStr">
        <is>
          <t>محمود العوضي</t>
        </is>
      </c>
      <c r="D483" s="13" t="n">
        <v>581528784</v>
      </c>
      <c r="E483" s="13" t="inlineStr">
        <is>
          <t>لايوجد</t>
        </is>
      </c>
      <c r="F483" s="13" t="inlineStr">
        <is>
          <t>هواة</t>
        </is>
      </c>
      <c r="G483" s="13" t="inlineStr">
        <is>
          <t>الرياض</t>
        </is>
      </c>
      <c r="H483" s="13" t="inlineStr">
        <is>
          <t>الدوادمي</t>
        </is>
      </c>
      <c r="I483" s="17" t="inlineStr">
        <is>
          <t>الدوادمي</t>
        </is>
      </c>
      <c r="J483" s="13" t="n">
        <v>0</v>
      </c>
      <c r="K483" s="13" t="n">
        <v>0</v>
      </c>
      <c r="L483" s="13" t="n">
        <v>0</v>
      </c>
      <c r="M483" s="13" t="n">
        <v>0</v>
      </c>
      <c r="N483" s="13" t="n">
        <v>1</v>
      </c>
      <c r="O483" s="13" t="n">
        <v>0</v>
      </c>
      <c r="P483" s="13" t="n">
        <v>0</v>
      </c>
      <c r="Q48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3" s="13" t="inlineStr">
        <is>
          <t>لم يتم السداد</t>
        </is>
      </c>
      <c r="S483" s="17" t="inlineStr">
        <is>
          <t>نعم</t>
        </is>
      </c>
    </row>
    <row r="484" ht="17" customHeight="1">
      <c r="A484" s="17">
        <f>1+A483</f>
        <v/>
      </c>
      <c r="B484" s="13" t="inlineStr">
        <is>
          <t>يزن ابراهيم محمد العبداللطيف</t>
        </is>
      </c>
      <c r="C484" s="13" t="inlineStr">
        <is>
          <t>يزن ابراهيم محمد العبداللطيف</t>
        </is>
      </c>
      <c r="D484" s="13" t="n">
        <v>503484081</v>
      </c>
      <c r="E484" s="13" t="inlineStr">
        <is>
          <t>لايوجد</t>
        </is>
      </c>
      <c r="F484" s="13" t="inlineStr">
        <is>
          <t>هواة</t>
        </is>
      </c>
      <c r="G484" s="13" t="inlineStr">
        <is>
          <t>الرياض</t>
        </is>
      </c>
      <c r="H484" s="13" t="inlineStr">
        <is>
          <t>الدوادمي</t>
        </is>
      </c>
      <c r="I484" s="17" t="inlineStr">
        <is>
          <t>الدوادمي</t>
        </is>
      </c>
      <c r="J484" s="13" t="n">
        <v>0</v>
      </c>
      <c r="K484" s="13" t="n">
        <v>0</v>
      </c>
      <c r="L484" s="13" t="n">
        <v>0</v>
      </c>
      <c r="M484" s="13" t="n">
        <v>0</v>
      </c>
      <c r="N484" s="13" t="n">
        <v>1</v>
      </c>
      <c r="O484" s="13" t="n">
        <v>0</v>
      </c>
      <c r="P484" s="13" t="n">
        <v>0</v>
      </c>
      <c r="Q48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4" s="13" t="inlineStr">
        <is>
          <t>لم يتم السداد</t>
        </is>
      </c>
      <c r="S484" s="17" t="inlineStr">
        <is>
          <t>نعم</t>
        </is>
      </c>
    </row>
    <row r="485" ht="17" customHeight="1">
      <c r="A485" s="17">
        <f>1+A484</f>
        <v/>
      </c>
      <c r="B485" s="13" t="inlineStr">
        <is>
          <t>اكاديمية K1 الرياضية</t>
        </is>
      </c>
      <c r="C485" s="13" t="inlineStr">
        <is>
          <t>خالد الصبحي</t>
        </is>
      </c>
      <c r="D485" s="13" t="n">
        <v>533551753</v>
      </c>
      <c r="E485" s="13" t="inlineStr">
        <is>
          <t>لايوجد</t>
        </is>
      </c>
      <c r="F485" s="13" t="inlineStr">
        <is>
          <t>أكاديمية</t>
        </is>
      </c>
      <c r="G485" s="13" t="inlineStr">
        <is>
          <t>المدينة المنورة</t>
        </is>
      </c>
      <c r="H485" s="13" t="inlineStr">
        <is>
          <t>ينبع</t>
        </is>
      </c>
      <c r="I485" s="17" t="inlineStr">
        <is>
          <t>المدينة المنورة</t>
        </is>
      </c>
      <c r="J485" s="13" t="n">
        <v>0</v>
      </c>
      <c r="K485" s="13" t="n">
        <v>0</v>
      </c>
      <c r="L485" s="13" t="n">
        <v>1</v>
      </c>
      <c r="M485" s="13" t="n">
        <v>0</v>
      </c>
      <c r="N485" s="13" t="n">
        <v>0</v>
      </c>
      <c r="O485" s="13" t="n">
        <v>0</v>
      </c>
      <c r="P485" s="13" t="n">
        <v>0</v>
      </c>
      <c r="Q48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5" s="13" t="n"/>
      <c r="S485" s="17" t="n"/>
    </row>
    <row r="486" ht="17" customHeight="1">
      <c r="A486" s="17">
        <f>1+A485</f>
        <v/>
      </c>
      <c r="B486" s="13" t="inlineStr">
        <is>
          <t>طويق جدة</t>
        </is>
      </c>
      <c r="C486" s="13" t="inlineStr">
        <is>
          <t>احمد الشطيري</t>
        </is>
      </c>
      <c r="D486" s="13" t="n">
        <v>568141561</v>
      </c>
      <c r="E486" s="13" t="inlineStr">
        <is>
          <t>لايوجد</t>
        </is>
      </c>
      <c r="F486" s="13" t="inlineStr">
        <is>
          <t>هواة</t>
        </is>
      </c>
      <c r="G486" s="13" t="inlineStr">
        <is>
          <t>مكة المكرمة</t>
        </is>
      </c>
      <c r="H486" s="13" t="inlineStr">
        <is>
          <t>جدة</t>
        </is>
      </c>
      <c r="I486" s="17" t="inlineStr">
        <is>
          <t>جدة</t>
        </is>
      </c>
      <c r="J486" s="13" t="n">
        <v>0</v>
      </c>
      <c r="K486" s="13" t="n">
        <v>1</v>
      </c>
      <c r="L486" s="13" t="n">
        <v>0</v>
      </c>
      <c r="M486" s="13" t="n">
        <v>0</v>
      </c>
      <c r="N486" s="13" t="n">
        <v>0</v>
      </c>
      <c r="O486" s="13" t="n">
        <v>0</v>
      </c>
      <c r="P486" s="13" t="n">
        <v>0</v>
      </c>
      <c r="Q48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6" s="13" t="inlineStr">
        <is>
          <t>لم يتم السداد</t>
        </is>
      </c>
      <c r="S486" s="17" t="inlineStr">
        <is>
          <t>نعم</t>
        </is>
      </c>
    </row>
    <row r="487" ht="17" customHeight="1">
      <c r="A487" s="17">
        <f>1+A486</f>
        <v/>
      </c>
      <c r="B487" s="13" t="inlineStr">
        <is>
          <t>مجد العلوم</t>
        </is>
      </c>
      <c r="C487" s="13" t="inlineStr">
        <is>
          <t>صقر الخيال</t>
        </is>
      </c>
      <c r="D487" s="13" t="n">
        <v>558559145</v>
      </c>
      <c r="E487" s="13" t="inlineStr">
        <is>
          <t>لايوجد</t>
        </is>
      </c>
      <c r="F487" s="13" t="inlineStr">
        <is>
          <t>أكاديمية</t>
        </is>
      </c>
      <c r="G487" s="13" t="inlineStr">
        <is>
          <t>الجوف</t>
        </is>
      </c>
      <c r="H487" s="13" t="inlineStr">
        <is>
          <t>القريات</t>
        </is>
      </c>
      <c r="I487" s="17" t="inlineStr">
        <is>
          <t>الجوف</t>
        </is>
      </c>
      <c r="J487" s="13" t="n">
        <v>1</v>
      </c>
      <c r="K487" s="13" t="n">
        <v>0</v>
      </c>
      <c r="L487" s="13" t="n">
        <v>0</v>
      </c>
      <c r="M487" s="13" t="n">
        <v>0</v>
      </c>
      <c r="N487" s="13" t="n">
        <v>0</v>
      </c>
      <c r="O487" s="13" t="n">
        <v>0</v>
      </c>
      <c r="P487" s="13" t="n">
        <v>0</v>
      </c>
      <c r="Q48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7" s="13" t="n"/>
      <c r="S487" s="17" t="n"/>
    </row>
    <row r="488" ht="17" customHeight="1">
      <c r="A488" s="17">
        <f>1+A487</f>
        <v/>
      </c>
      <c r="B488" s="13" t="inlineStr">
        <is>
          <t>نجوم الثغر</t>
        </is>
      </c>
      <c r="C488" s="13" t="inlineStr">
        <is>
          <t>عبدالرحمن المالكي</t>
        </is>
      </c>
      <c r="D488" s="13" t="n">
        <v>544117724</v>
      </c>
      <c r="E488" s="13" t="inlineStr">
        <is>
          <t>لايوجد</t>
        </is>
      </c>
      <c r="F488" s="13" t="inlineStr">
        <is>
          <t>هواة</t>
        </is>
      </c>
      <c r="G488" s="13" t="inlineStr">
        <is>
          <t>مكة المكرمة</t>
        </is>
      </c>
      <c r="H488" s="13" t="inlineStr">
        <is>
          <t>جدة</t>
        </is>
      </c>
      <c r="I488" s="17" t="inlineStr">
        <is>
          <t>جدة</t>
        </is>
      </c>
      <c r="J488" s="13" t="n">
        <v>1</v>
      </c>
      <c r="K488" s="13" t="n">
        <v>0</v>
      </c>
      <c r="L488" s="13" t="n">
        <v>0</v>
      </c>
      <c r="M488" s="13" t="n">
        <v>0</v>
      </c>
      <c r="N488" s="13" t="n">
        <v>0</v>
      </c>
      <c r="O488" s="13" t="n">
        <v>0</v>
      </c>
      <c r="P488" s="13" t="n">
        <v>0</v>
      </c>
      <c r="Q48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8" s="13" t="inlineStr">
        <is>
          <t>لم يتم السداد</t>
        </is>
      </c>
      <c r="S488" s="17" t="inlineStr">
        <is>
          <t>نعم</t>
        </is>
      </c>
    </row>
    <row r="489" ht="17" customHeight="1">
      <c r="A489" s="17">
        <f>1+A488</f>
        <v/>
      </c>
      <c r="B489" s="13" t="inlineStr">
        <is>
          <t>اكاديمية الكأس الرياضية</t>
        </is>
      </c>
      <c r="C489" s="13" t="inlineStr">
        <is>
          <t>محمد القحطاني</t>
        </is>
      </c>
      <c r="D489" s="13" t="n">
        <v>555158059</v>
      </c>
      <c r="E489" s="13" t="inlineStr">
        <is>
          <t>اكاديمية الكأس الرياضية</t>
        </is>
      </c>
      <c r="F489" s="13" t="inlineStr">
        <is>
          <t>أكاديمية</t>
        </is>
      </c>
      <c r="G489" s="13" t="inlineStr">
        <is>
          <t>الرياض</t>
        </is>
      </c>
      <c r="H489" s="13" t="inlineStr">
        <is>
          <t>الخرج</t>
        </is>
      </c>
      <c r="I489" s="17" t="inlineStr">
        <is>
          <t>الخرج</t>
        </is>
      </c>
      <c r="J489" s="13" t="n">
        <v>1</v>
      </c>
      <c r="K489" s="13" t="n">
        <v>1</v>
      </c>
      <c r="L489" s="13" t="n">
        <v>2</v>
      </c>
      <c r="M489" s="13" t="n">
        <v>2</v>
      </c>
      <c r="N489" s="13" t="n">
        <v>3</v>
      </c>
      <c r="O489" s="13" t="n">
        <v>0</v>
      </c>
      <c r="P489" s="13" t="n">
        <v>0</v>
      </c>
      <c r="Q48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89" s="13" t="n"/>
      <c r="S489" s="17" t="n"/>
    </row>
    <row r="490" ht="17" customHeight="1">
      <c r="A490" s="17">
        <f>1+A489</f>
        <v/>
      </c>
      <c r="B490" s="13" t="inlineStr">
        <is>
          <t xml:space="preserve"> اكاديمية تلال ابها</t>
        </is>
      </c>
      <c r="C490" s="13" t="inlineStr">
        <is>
          <t>علي العماري</t>
        </is>
      </c>
      <c r="D490" s="13" t="n">
        <v>562221401</v>
      </c>
      <c r="E490" s="13" t="inlineStr">
        <is>
          <t>ملعب العين</t>
        </is>
      </c>
      <c r="F490" s="13" t="inlineStr">
        <is>
          <t>أكاديمية</t>
        </is>
      </c>
      <c r="G490" s="13" t="inlineStr">
        <is>
          <t>عسير</t>
        </is>
      </c>
      <c r="H490" s="13" t="inlineStr">
        <is>
          <t>أبها</t>
        </is>
      </c>
      <c r="I490" s="17" t="inlineStr">
        <is>
          <t>عسير</t>
        </is>
      </c>
      <c r="J490" s="13" t="n">
        <v>0</v>
      </c>
      <c r="K490" s="13" t="n">
        <v>0</v>
      </c>
      <c r="L490" s="13" t="n">
        <v>2</v>
      </c>
      <c r="M490" s="13" t="n">
        <v>0</v>
      </c>
      <c r="N490" s="13" t="n">
        <v>2</v>
      </c>
      <c r="O490" s="13" t="n">
        <v>0</v>
      </c>
      <c r="P490" s="13" t="n">
        <v>0</v>
      </c>
      <c r="Q49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0" s="13" t="n"/>
      <c r="S490" s="17" t="n"/>
    </row>
    <row r="491" ht="17" customHeight="1">
      <c r="A491" s="17">
        <f>1+A490</f>
        <v/>
      </c>
      <c r="B491" s="13" t="inlineStr">
        <is>
          <t>اكاديمية ايليت</t>
        </is>
      </c>
      <c r="C491" s="13" t="inlineStr">
        <is>
          <t>عبدالكريم البذالي</t>
        </is>
      </c>
      <c r="D491" s="13" t="n">
        <v>531406987</v>
      </c>
      <c r="E491" s="13" t="inlineStr">
        <is>
          <t>اكاديمية الهدف</t>
        </is>
      </c>
      <c r="F491" s="13" t="inlineStr">
        <is>
          <t>أكاديمية</t>
        </is>
      </c>
      <c r="G491" s="13" t="inlineStr">
        <is>
          <t>الشرقية</t>
        </is>
      </c>
      <c r="H491" s="13" t="inlineStr">
        <is>
          <t>حفر الباطن</t>
        </is>
      </c>
      <c r="I491" s="17" t="inlineStr">
        <is>
          <t>حفر الباطن</t>
        </is>
      </c>
      <c r="J491" s="13" t="n">
        <v>1</v>
      </c>
      <c r="K491" s="13" t="n">
        <v>0</v>
      </c>
      <c r="L491" s="13" t="n">
        <v>1</v>
      </c>
      <c r="M491" s="13" t="n">
        <v>0</v>
      </c>
      <c r="N491" s="13" t="n">
        <v>1</v>
      </c>
      <c r="O491" s="13" t="n">
        <v>1</v>
      </c>
      <c r="P491" s="13" t="n">
        <v>0</v>
      </c>
      <c r="Q49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1" s="13" t="n"/>
      <c r="S491" s="17" t="n"/>
    </row>
    <row r="492" ht="17" customHeight="1">
      <c r="A492" s="17">
        <f>1+A491</f>
        <v/>
      </c>
      <c r="B492" s="13" t="inlineStr">
        <is>
          <t>اكاديمة شرق الباطن</t>
        </is>
      </c>
      <c r="C492" s="13" t="inlineStr">
        <is>
          <t>عبدالله محمد</t>
        </is>
      </c>
      <c r="D492" s="13" t="n">
        <v>552084652</v>
      </c>
      <c r="E492" s="13" t="inlineStr">
        <is>
          <t>اكاديمية الهدف</t>
        </is>
      </c>
      <c r="F492" s="13" t="inlineStr">
        <is>
          <t>أكاديمية</t>
        </is>
      </c>
      <c r="G492" s="13" t="inlineStr">
        <is>
          <t>الشرقية</t>
        </is>
      </c>
      <c r="H492" s="13" t="inlineStr">
        <is>
          <t>حفر الباطن</t>
        </is>
      </c>
      <c r="I492" s="17" t="inlineStr">
        <is>
          <t>حفر الباطن</t>
        </is>
      </c>
      <c r="J492" s="13" t="n">
        <v>1</v>
      </c>
      <c r="K492" s="13" t="n">
        <v>1</v>
      </c>
      <c r="L492" s="13" t="n">
        <v>1</v>
      </c>
      <c r="M492" s="13" t="n">
        <v>1</v>
      </c>
      <c r="N492" s="13" t="n">
        <v>0</v>
      </c>
      <c r="O492" s="13" t="n">
        <v>0</v>
      </c>
      <c r="P492" s="13" t="n">
        <v>0</v>
      </c>
      <c r="Q49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2" s="13" t="n"/>
      <c r="S492" s="17" t="n"/>
    </row>
    <row r="493" ht="17" customHeight="1">
      <c r="A493" s="17">
        <f>1+A492</f>
        <v/>
      </c>
      <c r="B493" s="17" t="inlineStr">
        <is>
          <t xml:space="preserve">اكاديمية السارية للمواهب </t>
        </is>
      </c>
      <c r="C493" s="13" t="inlineStr">
        <is>
          <t>مضحي الشمري</t>
        </is>
      </c>
      <c r="D493" s="13" t="n">
        <v>555940906</v>
      </c>
      <c r="E493" s="13" t="inlineStr">
        <is>
          <t>اكاديمية الهدف</t>
        </is>
      </c>
      <c r="F493" s="13" t="inlineStr">
        <is>
          <t>أكاديمية</t>
        </is>
      </c>
      <c r="G493" s="13" t="inlineStr">
        <is>
          <t>الشرقية</t>
        </is>
      </c>
      <c r="H493" s="13" t="inlineStr">
        <is>
          <t>حفر الباطن</t>
        </is>
      </c>
      <c r="I493" s="17" t="inlineStr">
        <is>
          <t>حفر الباطن</t>
        </is>
      </c>
      <c r="J493" s="13" t="n">
        <v>1</v>
      </c>
      <c r="K493" s="13" t="n">
        <v>1</v>
      </c>
      <c r="L493" s="13" t="n">
        <v>1</v>
      </c>
      <c r="M493" s="13" t="n">
        <v>1</v>
      </c>
      <c r="N493" s="13" t="n">
        <v>1</v>
      </c>
      <c r="O493" s="13" t="n">
        <v>1</v>
      </c>
      <c r="P493" s="13" t="n">
        <v>1</v>
      </c>
      <c r="Q49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3" s="13" t="n"/>
      <c r="S493" s="17" t="n"/>
    </row>
    <row r="494" ht="17" customHeight="1">
      <c r="A494" s="17">
        <f>1+A493</f>
        <v/>
      </c>
      <c r="B494" s="89" t="inlineStr">
        <is>
          <t>العنابي الماسي</t>
        </is>
      </c>
      <c r="C494" s="13" t="inlineStr">
        <is>
          <t>صالح التميمي</t>
        </is>
      </c>
      <c r="D494" s="13" t="n">
        <v>568663336</v>
      </c>
      <c r="E494" s="13" t="inlineStr">
        <is>
          <t>لايوجد</t>
        </is>
      </c>
      <c r="F494" s="13" t="inlineStr">
        <is>
          <t>هواة</t>
        </is>
      </c>
      <c r="G494" s="13" t="inlineStr">
        <is>
          <t>حائل</t>
        </is>
      </c>
      <c r="H494" s="13" t="inlineStr">
        <is>
          <t>حائل</t>
        </is>
      </c>
      <c r="I494" s="17" t="inlineStr">
        <is>
          <t>حائل</t>
        </is>
      </c>
      <c r="J494" s="13" t="n">
        <v>0</v>
      </c>
      <c r="K494" s="13" t="n">
        <v>1</v>
      </c>
      <c r="L494" s="13" t="n">
        <v>0</v>
      </c>
      <c r="M494" s="13" t="n">
        <v>0</v>
      </c>
      <c r="N494" s="13" t="n">
        <v>0</v>
      </c>
      <c r="O494" s="13" t="n">
        <v>0</v>
      </c>
      <c r="P494" s="13" t="n">
        <v>0</v>
      </c>
      <c r="Q49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4" s="13" t="n"/>
      <c r="S494" s="17" t="n"/>
    </row>
    <row r="495" ht="17" customHeight="1">
      <c r="A495" s="17">
        <f>1+A494</f>
        <v/>
      </c>
      <c r="B495" s="13" t="inlineStr">
        <is>
          <t>البجادية</t>
        </is>
      </c>
      <c r="C495" s="13" t="inlineStr">
        <is>
          <t>عبدالله العتيبي</t>
        </is>
      </c>
      <c r="D495" s="13" t="n">
        <v>554721854</v>
      </c>
      <c r="E495" s="13" t="inlineStr">
        <is>
          <t>البجادية</t>
        </is>
      </c>
      <c r="F495" s="13" t="inlineStr">
        <is>
          <t>نادي</t>
        </is>
      </c>
      <c r="G495" s="13" t="inlineStr">
        <is>
          <t>الرياض</t>
        </is>
      </c>
      <c r="H495" s="13" t="inlineStr">
        <is>
          <t>الدوادمي</t>
        </is>
      </c>
      <c r="I495" s="17" t="inlineStr">
        <is>
          <t>الدوادمي</t>
        </is>
      </c>
      <c r="J495" s="13" t="n">
        <v>0</v>
      </c>
      <c r="K495" s="13" t="n">
        <v>0</v>
      </c>
      <c r="L495" s="13" t="n">
        <v>0</v>
      </c>
      <c r="M495" s="13" t="n">
        <v>0</v>
      </c>
      <c r="N495" s="13" t="n">
        <v>3</v>
      </c>
      <c r="O495" s="13" t="n">
        <v>0</v>
      </c>
      <c r="P495" s="13" t="n">
        <v>0</v>
      </c>
      <c r="Q49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5" s="13" t="n"/>
      <c r="S495" s="17" t="n"/>
    </row>
    <row r="496" ht="17" customHeight="1">
      <c r="A496" s="17">
        <f>1+A495</f>
        <v/>
      </c>
      <c r="B496" s="13" t="inlineStr">
        <is>
          <t>الرائد</t>
        </is>
      </c>
      <c r="C496" s="13" t="inlineStr">
        <is>
          <t>عبدالعزيز الرشود</t>
        </is>
      </c>
      <c r="D496" s="13" t="n">
        <v>555179600</v>
      </c>
      <c r="E496" s="13" t="inlineStr">
        <is>
          <t>رديف الرائد</t>
        </is>
      </c>
      <c r="F496" s="13" t="inlineStr">
        <is>
          <t>نادي</t>
        </is>
      </c>
      <c r="G496" s="13" t="inlineStr">
        <is>
          <t>القصيم</t>
        </is>
      </c>
      <c r="H496" s="13" t="inlineStr">
        <is>
          <t>بريدة</t>
        </is>
      </c>
      <c r="I496" s="17" t="inlineStr">
        <is>
          <t>القصيم</t>
        </is>
      </c>
      <c r="J496" s="13" t="n">
        <v>1</v>
      </c>
      <c r="K496" s="13" t="n">
        <v>0</v>
      </c>
      <c r="L496" s="13" t="n">
        <v>0</v>
      </c>
      <c r="M496" s="13" t="n">
        <v>0</v>
      </c>
      <c r="N496" s="13" t="n">
        <v>0</v>
      </c>
      <c r="O496" s="13" t="n">
        <v>0</v>
      </c>
      <c r="P496" s="13" t="n">
        <v>0</v>
      </c>
      <c r="Q49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6" s="13" t="n"/>
      <c r="S496" s="17" t="n"/>
    </row>
    <row r="497" ht="17" customHeight="1">
      <c r="A497" s="17">
        <f>1+A496</f>
        <v/>
      </c>
      <c r="B497" s="13" t="inlineStr">
        <is>
          <t>افاق الهداية</t>
        </is>
      </c>
      <c r="C497" s="13" t="inlineStr">
        <is>
          <t>انس العمري</t>
        </is>
      </c>
      <c r="D497" s="13" t="n">
        <v>542989356</v>
      </c>
      <c r="E497" s="13" t="inlineStr">
        <is>
          <t>لايوجد</t>
        </is>
      </c>
      <c r="F497" s="13" t="inlineStr">
        <is>
          <t>هواة</t>
        </is>
      </c>
      <c r="G497" s="13" t="inlineStr">
        <is>
          <t>مكة المكرمة</t>
        </is>
      </c>
      <c r="H497" s="13" t="inlineStr">
        <is>
          <t>جدة</t>
        </is>
      </c>
      <c r="I497" s="17" t="inlineStr">
        <is>
          <t>جدة</t>
        </is>
      </c>
      <c r="J497" s="13" t="n">
        <v>1</v>
      </c>
      <c r="K497" s="13" t="n">
        <v>0</v>
      </c>
      <c r="L497" s="13" t="n">
        <v>1</v>
      </c>
      <c r="M497" s="13" t="n">
        <v>0</v>
      </c>
      <c r="N497" s="13" t="n">
        <v>0</v>
      </c>
      <c r="O497" s="13" t="n">
        <v>0</v>
      </c>
      <c r="P497" s="13" t="n">
        <v>0</v>
      </c>
      <c r="Q49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7" s="13" t="inlineStr">
        <is>
          <t>لم يتم السداد</t>
        </is>
      </c>
      <c r="S497" s="17" t="inlineStr">
        <is>
          <t>نعم</t>
        </is>
      </c>
    </row>
    <row r="498" ht="17" customHeight="1">
      <c r="A498" s="17">
        <f>1+A497</f>
        <v/>
      </c>
      <c r="B498" s="13" t="inlineStr">
        <is>
          <t>متوسطة الامام ورش</t>
        </is>
      </c>
      <c r="C498" s="13" t="inlineStr">
        <is>
          <t>عبدالله المرعي</t>
        </is>
      </c>
      <c r="D498" s="13" t="n">
        <v>557622333</v>
      </c>
      <c r="E498" s="13" t="inlineStr">
        <is>
          <t>لايوجد</t>
        </is>
      </c>
      <c r="F498" s="13" t="inlineStr">
        <is>
          <t>هواة</t>
        </is>
      </c>
      <c r="G498" s="13" t="inlineStr">
        <is>
          <t>مكة المكرمة</t>
        </is>
      </c>
      <c r="H498" s="13" t="inlineStr">
        <is>
          <t>جدة</t>
        </is>
      </c>
      <c r="I498" s="17" t="inlineStr">
        <is>
          <t>جدة</t>
        </is>
      </c>
      <c r="J498" s="13" t="n">
        <v>1</v>
      </c>
      <c r="K498" s="13" t="n">
        <v>0</v>
      </c>
      <c r="L498" s="13" t="n">
        <v>0</v>
      </c>
      <c r="M498" s="13" t="n">
        <v>0</v>
      </c>
      <c r="N498" s="13" t="n">
        <v>0</v>
      </c>
      <c r="O498" s="13" t="n">
        <v>0</v>
      </c>
      <c r="P498" s="13" t="n">
        <v>0</v>
      </c>
      <c r="Q49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8" s="13" t="inlineStr">
        <is>
          <t>لم يتم السداد</t>
        </is>
      </c>
      <c r="S498" s="17" t="inlineStr">
        <is>
          <t>نعم</t>
        </is>
      </c>
    </row>
    <row r="499" ht="17" customHeight="1">
      <c r="A499" s="17">
        <f>1+A498</f>
        <v/>
      </c>
      <c r="B499" s="13" t="inlineStr">
        <is>
          <t>درة الشرق العالمية</t>
        </is>
      </c>
      <c r="C499" s="13" t="inlineStr">
        <is>
          <t>محمد عقلان</t>
        </is>
      </c>
      <c r="D499" s="13" t="n">
        <v>566255337</v>
      </c>
      <c r="E499" s="13" t="inlineStr">
        <is>
          <t>لايوجد</t>
        </is>
      </c>
      <c r="F499" s="13" t="inlineStr">
        <is>
          <t>هواة</t>
        </is>
      </c>
      <c r="G499" s="13" t="inlineStr">
        <is>
          <t>مكة المكرمة</t>
        </is>
      </c>
      <c r="H499" s="13" t="inlineStr">
        <is>
          <t>جدة</t>
        </is>
      </c>
      <c r="I499" s="17" t="inlineStr">
        <is>
          <t>جدة</t>
        </is>
      </c>
      <c r="J499" s="13" t="n">
        <v>1</v>
      </c>
      <c r="K499" s="13" t="n">
        <v>1</v>
      </c>
      <c r="L499" s="13" t="n">
        <v>1</v>
      </c>
      <c r="M499" s="13" t="n">
        <v>0</v>
      </c>
      <c r="N499" s="13" t="n">
        <v>0</v>
      </c>
      <c r="O499" s="13" t="n">
        <v>0</v>
      </c>
      <c r="P499" s="13" t="n">
        <v>0</v>
      </c>
      <c r="Q49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499" s="13" t="inlineStr">
        <is>
          <t>لم يتم السداد</t>
        </is>
      </c>
      <c r="S499" s="17" t="inlineStr">
        <is>
          <t>نعم</t>
        </is>
      </c>
    </row>
    <row r="500" ht="17" customHeight="1">
      <c r="A500" s="17">
        <f>1+A499</f>
        <v/>
      </c>
      <c r="B500" s="13" t="inlineStr">
        <is>
          <t>اكاديمية جدة سيتي</t>
        </is>
      </c>
      <c r="C500" s="13" t="inlineStr">
        <is>
          <t>فراس ياسين</t>
        </is>
      </c>
      <c r="D500" s="13" t="n">
        <v>597245895</v>
      </c>
      <c r="E500" s="13" t="inlineStr">
        <is>
          <t>لايوجد</t>
        </is>
      </c>
      <c r="F500" s="13" t="inlineStr">
        <is>
          <t>هواة</t>
        </is>
      </c>
      <c r="G500" s="13" t="inlineStr">
        <is>
          <t>مكة المكرمة</t>
        </is>
      </c>
      <c r="H500" s="13" t="inlineStr">
        <is>
          <t>جدة</t>
        </is>
      </c>
      <c r="I500" s="17" t="inlineStr">
        <is>
          <t>جدة</t>
        </is>
      </c>
      <c r="J500" s="13" t="n">
        <v>0</v>
      </c>
      <c r="K500" s="13" t="n">
        <v>0</v>
      </c>
      <c r="L500" s="13" t="n">
        <v>1</v>
      </c>
      <c r="M500" s="13" t="n">
        <v>1</v>
      </c>
      <c r="N500" s="13" t="n">
        <v>1</v>
      </c>
      <c r="O500" s="13" t="n">
        <v>1</v>
      </c>
      <c r="P500" s="13" t="n">
        <v>1</v>
      </c>
      <c r="Q50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0" s="13" t="n"/>
      <c r="S500" s="17" t="inlineStr">
        <is>
          <t>نعم</t>
        </is>
      </c>
    </row>
    <row r="501" ht="17" customHeight="1">
      <c r="A501" s="17">
        <f>1+A500</f>
        <v/>
      </c>
      <c r="B501" s="13" t="inlineStr">
        <is>
          <t>الساحل</t>
        </is>
      </c>
      <c r="C501" s="13" t="inlineStr">
        <is>
          <t>سلطان الخالدي</t>
        </is>
      </c>
      <c r="D501" s="13" t="n">
        <v>538099970</v>
      </c>
      <c r="E501" s="13" t="inlineStr">
        <is>
          <t>الساحل</t>
        </is>
      </c>
      <c r="F501" s="13" t="inlineStr">
        <is>
          <t>نادي</t>
        </is>
      </c>
      <c r="G501" s="13" t="inlineStr">
        <is>
          <t>الشرقية</t>
        </is>
      </c>
      <c r="H501" s="13" t="inlineStr">
        <is>
          <t>سيهات</t>
        </is>
      </c>
      <c r="I501" s="17" t="inlineStr">
        <is>
          <t>الشرقية</t>
        </is>
      </c>
      <c r="J501" s="13" t="n">
        <v>1</v>
      </c>
      <c r="K501" s="13" t="n">
        <v>0</v>
      </c>
      <c r="L501" s="13" t="n">
        <v>0</v>
      </c>
      <c r="M501" s="13" t="n">
        <v>0</v>
      </c>
      <c r="N501" s="13" t="n">
        <v>1</v>
      </c>
      <c r="O501" s="13" t="n">
        <v>0</v>
      </c>
      <c r="P501" s="13" t="n">
        <v>0</v>
      </c>
      <c r="Q50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1" s="13" t="n"/>
      <c r="S501" s="17" t="n"/>
    </row>
    <row r="502" ht="17" customHeight="1">
      <c r="A502" s="17">
        <f>1+A501</f>
        <v/>
      </c>
      <c r="B502" s="19" t="inlineStr">
        <is>
          <t>التقدم</t>
        </is>
      </c>
      <c r="C502" s="19" t="inlineStr">
        <is>
          <t>عوض المطيري</t>
        </is>
      </c>
      <c r="D502" s="19" t="n">
        <v>5541051717</v>
      </c>
      <c r="E502" s="19" t="inlineStr">
        <is>
          <t>التقدم</t>
        </is>
      </c>
      <c r="F502" s="19" t="inlineStr">
        <is>
          <t>نادي</t>
        </is>
      </c>
      <c r="G502" s="19" t="inlineStr">
        <is>
          <t>القصيم</t>
        </is>
      </c>
      <c r="H502" s="19" t="inlineStr">
        <is>
          <t>المذنب</t>
        </is>
      </c>
      <c r="I502" s="20" t="inlineStr">
        <is>
          <t>القصيم</t>
        </is>
      </c>
      <c r="J502" s="19" t="n">
        <v>1</v>
      </c>
      <c r="K502" s="19" t="n">
        <v>1</v>
      </c>
      <c r="L502" s="19" t="n">
        <v>1</v>
      </c>
      <c r="M502" s="19" t="n">
        <v>1</v>
      </c>
      <c r="N502" s="19" t="n">
        <v>1</v>
      </c>
      <c r="O502" s="19" t="n">
        <v>1</v>
      </c>
      <c r="P502" s="19" t="n">
        <v>0</v>
      </c>
      <c r="Q50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2" s="13" t="n"/>
      <c r="S502" s="17" t="n"/>
    </row>
    <row r="503" ht="17" customHeight="1">
      <c r="A503" s="17">
        <f>1+A502</f>
        <v/>
      </c>
      <c r="B503" s="13" t="inlineStr">
        <is>
          <t>نخبة رواد القمة</t>
        </is>
      </c>
      <c r="C503" s="13" t="inlineStr">
        <is>
          <t>البراء ال عون</t>
        </is>
      </c>
      <c r="D503" s="13" t="n">
        <v>568666872</v>
      </c>
      <c r="E503" s="13" t="inlineStr">
        <is>
          <t>المحالة</t>
        </is>
      </c>
      <c r="F503" s="13" t="inlineStr">
        <is>
          <t>أكاديمية</t>
        </is>
      </c>
      <c r="G503" s="13" t="inlineStr">
        <is>
          <t>عسير</t>
        </is>
      </c>
      <c r="H503" s="13" t="inlineStr">
        <is>
          <t>أبها</t>
        </is>
      </c>
      <c r="I503" s="17" t="inlineStr">
        <is>
          <t>عسير</t>
        </is>
      </c>
      <c r="J503" s="13" t="n">
        <v>1</v>
      </c>
      <c r="K503" s="13" t="n">
        <v>0</v>
      </c>
      <c r="L503" s="13" t="n">
        <v>1</v>
      </c>
      <c r="M503" s="13" t="n">
        <v>1</v>
      </c>
      <c r="N503" s="13" t="n">
        <v>1</v>
      </c>
      <c r="O503" s="13" t="n">
        <v>1</v>
      </c>
      <c r="P503" s="13" t="n">
        <v>0</v>
      </c>
      <c r="Q50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3" s="13" t="n"/>
      <c r="S503" s="17" t="n"/>
    </row>
    <row r="504" ht="17" customHeight="1">
      <c r="A504" s="17">
        <f>1+A503</f>
        <v/>
      </c>
      <c r="B504" s="13" t="inlineStr">
        <is>
          <t>القرينتا اكاديمي</t>
        </is>
      </c>
      <c r="C504" s="13" t="inlineStr">
        <is>
          <t>عبدالكريم عسيري</t>
        </is>
      </c>
      <c r="D504" s="13" t="n">
        <v>556677569</v>
      </c>
      <c r="E504" s="13" t="inlineStr">
        <is>
          <t>لايوجد</t>
        </is>
      </c>
      <c r="F504" s="13" t="inlineStr">
        <is>
          <t>أكاديمية</t>
        </is>
      </c>
      <c r="G504" s="13" t="inlineStr">
        <is>
          <t>مكة المكرمة</t>
        </is>
      </c>
      <c r="H504" s="13" t="inlineStr">
        <is>
          <t>جدة</t>
        </is>
      </c>
      <c r="I504" s="17" t="inlineStr">
        <is>
          <t>جدة</t>
        </is>
      </c>
      <c r="J504" s="13" t="n">
        <v>1</v>
      </c>
      <c r="K504" s="13" t="n">
        <v>0</v>
      </c>
      <c r="L504" s="13" t="n">
        <v>1</v>
      </c>
      <c r="M504" s="13" t="n">
        <v>1</v>
      </c>
      <c r="N504" s="13" t="n">
        <v>1</v>
      </c>
      <c r="O504" s="13" t="n">
        <v>0</v>
      </c>
      <c r="P504" s="13" t="n">
        <v>0</v>
      </c>
      <c r="Q50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4" s="13" t="n"/>
      <c r="S504" s="17" t="n"/>
    </row>
    <row r="505" ht="17" customHeight="1">
      <c r="A505" s="17">
        <f>1+A504</f>
        <v/>
      </c>
      <c r="B505" s="13" t="inlineStr">
        <is>
          <t>القنفذة</t>
        </is>
      </c>
      <c r="C505" s="13" t="inlineStr">
        <is>
          <t>احمد العبدلي</t>
        </is>
      </c>
      <c r="D505" s="13" t="n">
        <v>569631916</v>
      </c>
      <c r="E505" s="13" t="inlineStr">
        <is>
          <t>لايوجد</t>
        </is>
      </c>
      <c r="F505" s="13" t="inlineStr">
        <is>
          <t>نادي</t>
        </is>
      </c>
      <c r="G505" s="13" t="inlineStr">
        <is>
          <t>مكة المكرمة</t>
        </is>
      </c>
      <c r="H505" s="13" t="inlineStr">
        <is>
          <t>القنفذة</t>
        </is>
      </c>
      <c r="I505" s="17" t="inlineStr">
        <is>
          <t>مكة المكرمة</t>
        </is>
      </c>
      <c r="J505" s="13" t="n">
        <v>1</v>
      </c>
      <c r="K505" s="13" t="n">
        <v>1</v>
      </c>
      <c r="L505" s="13" t="n">
        <v>1</v>
      </c>
      <c r="M505" s="13" t="n">
        <v>1</v>
      </c>
      <c r="N505" s="13" t="n">
        <v>1</v>
      </c>
      <c r="O505" s="13" t="n">
        <v>0</v>
      </c>
      <c r="P505" s="13" t="n">
        <v>0</v>
      </c>
      <c r="Q50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5" s="13" t="n"/>
      <c r="S505" s="17" t="n"/>
    </row>
    <row r="506" ht="17" customHeight="1">
      <c r="A506" s="17">
        <f>1+A505</f>
        <v/>
      </c>
      <c r="B506" s="13" t="inlineStr">
        <is>
          <t>المجرة</t>
        </is>
      </c>
      <c r="C506" s="13" t="inlineStr">
        <is>
          <t>طارق شوشة</t>
        </is>
      </c>
      <c r="D506" s="13" t="n">
        <v>565448323</v>
      </c>
      <c r="E506" s="13" t="inlineStr">
        <is>
          <t>لايوجد</t>
        </is>
      </c>
      <c r="F506" s="13" t="inlineStr">
        <is>
          <t>نادي</t>
        </is>
      </c>
      <c r="G506" s="13" t="inlineStr">
        <is>
          <t>مكة المكرمة</t>
        </is>
      </c>
      <c r="H506" s="13" t="inlineStr">
        <is>
          <t>مكة المكرمة</t>
        </is>
      </c>
      <c r="I506" s="17" t="inlineStr">
        <is>
          <t>مكة المكرمة</t>
        </is>
      </c>
      <c r="J506" s="13" t="n">
        <v>1</v>
      </c>
      <c r="K506" s="13" t="n">
        <v>1</v>
      </c>
      <c r="L506" s="13" t="n">
        <v>1</v>
      </c>
      <c r="M506" s="13" t="n">
        <v>1</v>
      </c>
      <c r="N506" s="13" t="n">
        <v>1</v>
      </c>
      <c r="O506" s="13" t="n">
        <v>1</v>
      </c>
      <c r="P506" s="13" t="n">
        <v>1</v>
      </c>
      <c r="Q50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6" s="13" t="n"/>
      <c r="S506" s="17" t="n"/>
    </row>
    <row r="507" ht="17" customHeight="1">
      <c r="A507" s="17">
        <f>1+A506</f>
        <v/>
      </c>
      <c r="B507" s="13" t="inlineStr">
        <is>
          <t>اكاديمية باليرمو</t>
        </is>
      </c>
      <c r="C507" s="13" t="inlineStr">
        <is>
          <t xml:space="preserve">وجدي بو سعيد </t>
        </is>
      </c>
      <c r="D507" s="13" t="n">
        <v>561661355</v>
      </c>
      <c r="E507" s="13" t="inlineStr">
        <is>
          <t>لايوجد</t>
        </is>
      </c>
      <c r="F507" s="13" t="inlineStr">
        <is>
          <t>أكاديمية</t>
        </is>
      </c>
      <c r="G507" s="13" t="inlineStr">
        <is>
          <t>المدينة المنورة</t>
        </is>
      </c>
      <c r="H507" s="13" t="inlineStr">
        <is>
          <t>المدينة المنورة</t>
        </is>
      </c>
      <c r="I507" s="17" t="inlineStr">
        <is>
          <t>المدينة المنورة</t>
        </is>
      </c>
      <c r="J507" s="13" t="n">
        <v>0</v>
      </c>
      <c r="K507" s="13" t="n">
        <v>0</v>
      </c>
      <c r="L507" s="13" t="n">
        <v>1</v>
      </c>
      <c r="M507" s="13" t="n">
        <v>0</v>
      </c>
      <c r="N507" s="13" t="n">
        <v>2</v>
      </c>
      <c r="O507" s="13" t="n">
        <v>0</v>
      </c>
      <c r="P507" s="13" t="n">
        <v>0</v>
      </c>
      <c r="Q50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7" s="13" t="n"/>
      <c r="S507" s="17" t="n"/>
    </row>
    <row r="508" ht="17" customHeight="1">
      <c r="A508" s="17">
        <f>1+A507</f>
        <v/>
      </c>
      <c r="B508" s="89" t="inlineStr">
        <is>
          <t xml:space="preserve">مستقبل النخبة </t>
        </is>
      </c>
      <c r="C508" s="13" t="inlineStr">
        <is>
          <t>اباذر ساتر</t>
        </is>
      </c>
      <c r="D508" s="13" t="n">
        <v>557392775</v>
      </c>
      <c r="E508" s="13" t="inlineStr">
        <is>
          <t>بيكهام</t>
        </is>
      </c>
      <c r="F508" s="13" t="inlineStr">
        <is>
          <t>هواة</t>
        </is>
      </c>
      <c r="G508" s="13" t="inlineStr">
        <is>
          <t>حائل</t>
        </is>
      </c>
      <c r="H508" s="13" t="inlineStr">
        <is>
          <t>حائل</t>
        </is>
      </c>
      <c r="I508" s="17" t="inlineStr">
        <is>
          <t>حائل</t>
        </is>
      </c>
      <c r="J508" s="13" t="n">
        <v>1</v>
      </c>
      <c r="K508" s="13" t="n">
        <v>0</v>
      </c>
      <c r="L508" s="13" t="n">
        <v>0</v>
      </c>
      <c r="M508" s="13" t="n">
        <v>1</v>
      </c>
      <c r="N508" s="13" t="n">
        <v>1</v>
      </c>
      <c r="O508" s="13" t="n">
        <v>0</v>
      </c>
      <c r="P508" s="13" t="n">
        <v>0</v>
      </c>
      <c r="Q50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8" s="13" t="n"/>
      <c r="S508" s="17" t="n"/>
    </row>
    <row r="509" ht="17" customHeight="1">
      <c r="A509" s="17">
        <f>1+A508</f>
        <v/>
      </c>
      <c r="B509" s="13" t="inlineStr">
        <is>
          <t>المحور ستة</t>
        </is>
      </c>
      <c r="C509" s="13" t="inlineStr">
        <is>
          <t>محمود فتحي</t>
        </is>
      </c>
      <c r="D509" s="13" t="n">
        <v>592659249</v>
      </c>
      <c r="E509" s="13" t="inlineStr">
        <is>
          <t>حديقة الامراء</t>
        </is>
      </c>
      <c r="F509" s="13" t="inlineStr">
        <is>
          <t>أكاديمية</t>
        </is>
      </c>
      <c r="G509" s="13" t="inlineStr">
        <is>
          <t>مكة المكرمة</t>
        </is>
      </c>
      <c r="H509" s="13" t="inlineStr">
        <is>
          <t>مكة المكرمة</t>
        </is>
      </c>
      <c r="I509" s="17" t="inlineStr">
        <is>
          <t>مكة المكرمة</t>
        </is>
      </c>
      <c r="J509" s="13" t="n">
        <v>0</v>
      </c>
      <c r="K509" s="13" t="n">
        <v>1</v>
      </c>
      <c r="L509" s="13" t="n">
        <v>0</v>
      </c>
      <c r="M509" s="13" t="n">
        <v>1</v>
      </c>
      <c r="N509" s="13" t="n">
        <v>1</v>
      </c>
      <c r="O509" s="13" t="n">
        <v>0</v>
      </c>
      <c r="P509" s="13" t="n">
        <v>0</v>
      </c>
      <c r="Q50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09" s="13" t="n"/>
      <c r="S509" s="17" t="n"/>
    </row>
    <row r="510" ht="17" customHeight="1">
      <c r="A510" s="17">
        <f>1+A509</f>
        <v/>
      </c>
      <c r="B510" s="13" t="inlineStr">
        <is>
          <t>اكاديمية او اس الرياضية</t>
        </is>
      </c>
      <c r="C510" s="13" t="inlineStr">
        <is>
          <t>اسامة الشهري</t>
        </is>
      </c>
      <c r="D510" s="13" t="n">
        <v>533981792</v>
      </c>
      <c r="E510" s="13" t="inlineStr">
        <is>
          <t>او اس</t>
        </is>
      </c>
      <c r="F510" s="13" t="inlineStr">
        <is>
          <t>أكاديمية</t>
        </is>
      </c>
      <c r="G510" s="13" t="inlineStr">
        <is>
          <t>عسير</t>
        </is>
      </c>
      <c r="H510" s="13" t="inlineStr">
        <is>
          <t>أبها</t>
        </is>
      </c>
      <c r="I510" s="17" t="inlineStr">
        <is>
          <t>عسير</t>
        </is>
      </c>
      <c r="J510" s="13" t="n">
        <v>1</v>
      </c>
      <c r="K510" s="13" t="n">
        <v>0</v>
      </c>
      <c r="L510" s="13" t="n">
        <v>1</v>
      </c>
      <c r="M510" s="13" t="n">
        <v>0</v>
      </c>
      <c r="N510" s="13" t="n">
        <v>1</v>
      </c>
      <c r="O510" s="13" t="n">
        <v>1</v>
      </c>
      <c r="P510" s="13" t="n">
        <v>0</v>
      </c>
      <c r="Q51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0" s="13" t="n"/>
      <c r="S510" s="17" t="n"/>
    </row>
    <row r="511" ht="17" customHeight="1">
      <c r="A511" s="17">
        <f>1+A510</f>
        <v/>
      </c>
      <c r="B511" s="13" t="inlineStr">
        <is>
          <t>نادي الروضة</t>
        </is>
      </c>
      <c r="C511" s="13" t="inlineStr">
        <is>
          <t>عيسى الحصار</t>
        </is>
      </c>
      <c r="D511" s="13" t="n">
        <v>501792948</v>
      </c>
      <c r="E511" s="13" t="inlineStr">
        <is>
          <t>الروضة</t>
        </is>
      </c>
      <c r="F511" s="13" t="inlineStr">
        <is>
          <t>نادي</t>
        </is>
      </c>
      <c r="G511" s="13" t="inlineStr">
        <is>
          <t>الشرقية</t>
        </is>
      </c>
      <c r="H511" s="13" t="inlineStr">
        <is>
          <t>الأحساء</t>
        </is>
      </c>
      <c r="I511" s="17" t="inlineStr">
        <is>
          <t>الأحساء</t>
        </is>
      </c>
      <c r="J511" s="13" t="n">
        <v>1</v>
      </c>
      <c r="K511" s="13" t="n">
        <v>1</v>
      </c>
      <c r="L511" s="13" t="n">
        <v>1</v>
      </c>
      <c r="M511" s="13" t="n">
        <v>1</v>
      </c>
      <c r="N511" s="13" t="n">
        <v>1</v>
      </c>
      <c r="O511" s="13" t="n">
        <v>1</v>
      </c>
      <c r="P511" s="13" t="n">
        <v>1</v>
      </c>
      <c r="Q51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1" s="13" t="n"/>
      <c r="S511" s="17" t="n"/>
    </row>
    <row r="512" ht="17" customHeight="1">
      <c r="A512" s="17">
        <f>1+A511</f>
        <v/>
      </c>
      <c r="B512" s="13" t="inlineStr">
        <is>
          <t>الحجاز</t>
        </is>
      </c>
      <c r="C512" s="13" t="inlineStr">
        <is>
          <t>وائل الغامدي</t>
        </is>
      </c>
      <c r="D512" s="13" t="n">
        <v>530747557</v>
      </c>
      <c r="E512" s="13" t="inlineStr">
        <is>
          <t>مدينة الملك سعود الرياضية</t>
        </is>
      </c>
      <c r="F512" s="13" t="inlineStr">
        <is>
          <t>نادي</t>
        </is>
      </c>
      <c r="G512" s="13" t="inlineStr">
        <is>
          <t>الباحة</t>
        </is>
      </c>
      <c r="H512" s="13" t="inlineStr">
        <is>
          <t>الباحة</t>
        </is>
      </c>
      <c r="I512" s="17" t="inlineStr">
        <is>
          <t>الباحة</t>
        </is>
      </c>
      <c r="J512" s="13" t="n">
        <v>1</v>
      </c>
      <c r="K512" s="13" t="n">
        <v>1</v>
      </c>
      <c r="L512" s="13" t="n">
        <v>0</v>
      </c>
      <c r="M512" s="13" t="n">
        <v>0</v>
      </c>
      <c r="N512" s="13" t="n">
        <v>0</v>
      </c>
      <c r="O512" s="13" t="n">
        <v>0</v>
      </c>
      <c r="P512" s="13" t="n">
        <v>0</v>
      </c>
      <c r="Q51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2" s="13" t="n"/>
      <c r="S512" s="17" t="n"/>
    </row>
    <row r="513" ht="17" customHeight="1">
      <c r="A513" s="17">
        <f>1+A512</f>
        <v/>
      </c>
      <c r="B513" s="13" t="inlineStr">
        <is>
          <t>هواة احلام الريان</t>
        </is>
      </c>
      <c r="C513" s="13" t="inlineStr">
        <is>
          <t>حسن قيراط</t>
        </is>
      </c>
      <c r="D513" s="13" t="n">
        <v>500221665</v>
      </c>
      <c r="E513" s="13" t="inlineStr">
        <is>
          <t>لايوجد</t>
        </is>
      </c>
      <c r="F513" s="13" t="inlineStr">
        <is>
          <t>هواة</t>
        </is>
      </c>
      <c r="G513" s="13" t="inlineStr">
        <is>
          <t>جازان</t>
        </is>
      </c>
      <c r="H513" s="13" t="inlineStr">
        <is>
          <t>أبو عريش</t>
        </is>
      </c>
      <c r="I513" s="17" t="inlineStr">
        <is>
          <t>جازان</t>
        </is>
      </c>
      <c r="J513" s="13" t="n">
        <v>1</v>
      </c>
      <c r="K513" s="13" t="n">
        <v>1</v>
      </c>
      <c r="L513" s="13" t="n">
        <v>1</v>
      </c>
      <c r="M513" s="13" t="n">
        <v>1</v>
      </c>
      <c r="N513" s="13" t="n">
        <v>1</v>
      </c>
      <c r="O513" s="13" t="n">
        <v>1</v>
      </c>
      <c r="P513" s="13" t="n">
        <v>0</v>
      </c>
      <c r="Q51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3" s="13" t="n"/>
      <c r="S513" s="17" t="inlineStr">
        <is>
          <t>نعم</t>
        </is>
      </c>
    </row>
    <row r="514" ht="17" customHeight="1">
      <c r="A514" s="17">
        <f>1+A513</f>
        <v/>
      </c>
      <c r="B514" s="13" t="inlineStr">
        <is>
          <t>الردع</t>
        </is>
      </c>
      <c r="C514" s="13" t="inlineStr">
        <is>
          <t>احمد الدغمي</t>
        </is>
      </c>
      <c r="D514" s="13" t="n">
        <v>508035154</v>
      </c>
      <c r="E514" s="13" t="inlineStr">
        <is>
          <t>لايوجد</t>
        </is>
      </c>
      <c r="F514" s="13" t="inlineStr">
        <is>
          <t>هواة</t>
        </is>
      </c>
      <c r="G514" s="13" t="inlineStr">
        <is>
          <t>الجوف</t>
        </is>
      </c>
      <c r="H514" s="13" t="inlineStr">
        <is>
          <t>سكاكا</t>
        </is>
      </c>
      <c r="I514" s="17" t="inlineStr">
        <is>
          <t>الجوف</t>
        </is>
      </c>
      <c r="J514" s="13" t="n">
        <v>1</v>
      </c>
      <c r="K514" s="13" t="n">
        <v>1</v>
      </c>
      <c r="L514" s="13" t="n">
        <v>1</v>
      </c>
      <c r="M514" s="13" t="n">
        <v>1</v>
      </c>
      <c r="N514" s="13" t="n">
        <v>1</v>
      </c>
      <c r="O514" s="13" t="n">
        <v>1</v>
      </c>
      <c r="P514" s="13" t="n">
        <v>1</v>
      </c>
      <c r="Q51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4" s="13" t="n"/>
      <c r="S514" s="17" t="inlineStr">
        <is>
          <t>نعم</t>
        </is>
      </c>
    </row>
    <row r="515" ht="17" customHeight="1">
      <c r="A515" s="17">
        <f>1+A514</f>
        <v/>
      </c>
      <c r="B515" s="13" t="inlineStr">
        <is>
          <t>اكاديمية وولفز</t>
        </is>
      </c>
      <c r="C515" s="13" t="inlineStr">
        <is>
          <t>ابراهيم الكاف</t>
        </is>
      </c>
      <c r="D515" s="13" t="n">
        <v>597244931</v>
      </c>
      <c r="E515" s="13" t="inlineStr">
        <is>
          <t>لايوجد</t>
        </is>
      </c>
      <c r="F515" s="13" t="inlineStr">
        <is>
          <t>هواة</t>
        </is>
      </c>
      <c r="G515" s="13" t="inlineStr">
        <is>
          <t>مكة المكرمة</t>
        </is>
      </c>
      <c r="H515" s="13" t="inlineStr">
        <is>
          <t>جدة</t>
        </is>
      </c>
      <c r="I515" s="17" t="inlineStr">
        <is>
          <t>جدة</t>
        </is>
      </c>
      <c r="J515" s="13" t="n">
        <v>0</v>
      </c>
      <c r="K515" s="13" t="n">
        <v>0</v>
      </c>
      <c r="L515" s="13" t="n">
        <v>1</v>
      </c>
      <c r="M515" s="13" t="n">
        <v>1</v>
      </c>
      <c r="N515" s="13" t="n">
        <v>1</v>
      </c>
      <c r="O515" s="13" t="n">
        <v>1</v>
      </c>
      <c r="P515" s="13" t="n">
        <v>0</v>
      </c>
      <c r="Q51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5" s="13" t="n"/>
      <c r="S515" s="17" t="inlineStr">
        <is>
          <t>نعم</t>
        </is>
      </c>
    </row>
    <row r="516" ht="17" customHeight="1">
      <c r="A516" s="17">
        <f>1+A515</f>
        <v/>
      </c>
      <c r="B516" s="13" t="inlineStr">
        <is>
          <t>نادي بثرة</t>
        </is>
      </c>
      <c r="C516" s="13" t="inlineStr">
        <is>
          <t>احمد المالكي</t>
        </is>
      </c>
      <c r="D516" s="13" t="n">
        <v>599934734</v>
      </c>
      <c r="E516" s="13" t="inlineStr">
        <is>
          <t>لايوجد</t>
        </is>
      </c>
      <c r="F516" s="13" t="inlineStr">
        <is>
          <t>هواة</t>
        </is>
      </c>
      <c r="G516" s="13" t="inlineStr">
        <is>
          <t>الباحة</t>
        </is>
      </c>
      <c r="H516" s="13" t="inlineStr">
        <is>
          <t>الباحة</t>
        </is>
      </c>
      <c r="I516" s="17" t="inlineStr">
        <is>
          <t>الباحة</t>
        </is>
      </c>
      <c r="J516" s="13" t="n">
        <v>0</v>
      </c>
      <c r="K516" s="13" t="n">
        <v>0</v>
      </c>
      <c r="L516" s="13" t="n">
        <v>1</v>
      </c>
      <c r="M516" s="13" t="n">
        <v>0</v>
      </c>
      <c r="N516" s="13" t="n">
        <v>0</v>
      </c>
      <c r="O516" s="13" t="n">
        <v>0</v>
      </c>
      <c r="P516" s="13" t="n">
        <v>0</v>
      </c>
      <c r="Q51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6" s="13" t="n"/>
      <c r="S516" s="17" t="inlineStr">
        <is>
          <t>نعم</t>
        </is>
      </c>
    </row>
    <row r="517" ht="17" customHeight="1">
      <c r="A517" s="17">
        <f>1+A516</f>
        <v/>
      </c>
      <c r="B517" s="13" t="inlineStr">
        <is>
          <t>اكاديمية ميامي</t>
        </is>
      </c>
      <c r="C517" s="13" t="inlineStr">
        <is>
          <t>ابراهيم المشي</t>
        </is>
      </c>
      <c r="D517" s="13" t="n">
        <v>565600045</v>
      </c>
      <c r="E517" s="13" t="inlineStr">
        <is>
          <t>لايوجد</t>
        </is>
      </c>
      <c r="F517" s="13" t="inlineStr">
        <is>
          <t>هواة</t>
        </is>
      </c>
      <c r="G517" s="13" t="inlineStr">
        <is>
          <t>مكة المكرمة</t>
        </is>
      </c>
      <c r="H517" s="13" t="inlineStr">
        <is>
          <t>جدة</t>
        </is>
      </c>
      <c r="I517" s="17" t="inlineStr">
        <is>
          <t>جدة</t>
        </is>
      </c>
      <c r="J517" s="13" t="n">
        <v>1</v>
      </c>
      <c r="K517" s="13" t="n">
        <v>0</v>
      </c>
      <c r="L517" s="13" t="n">
        <v>0</v>
      </c>
      <c r="M517" s="13" t="n">
        <v>0</v>
      </c>
      <c r="N517" s="13" t="n">
        <v>0</v>
      </c>
      <c r="O517" s="13" t="n">
        <v>0</v>
      </c>
      <c r="P517" s="13" t="n">
        <v>0</v>
      </c>
      <c r="Q51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7" s="13" t="n"/>
      <c r="S517" s="17" t="inlineStr">
        <is>
          <t>نعم</t>
        </is>
      </c>
    </row>
    <row r="518" ht="17" customHeight="1">
      <c r="A518" s="17">
        <f>1+A517</f>
        <v/>
      </c>
      <c r="B518" s="13" t="inlineStr">
        <is>
          <t xml:space="preserve">سروات الخفجي </t>
        </is>
      </c>
      <c r="C518" s="13" t="inlineStr">
        <is>
          <t>صلاح المطيري</t>
        </is>
      </c>
      <c r="D518" s="13" t="n">
        <v>593113366</v>
      </c>
      <c r="E518" s="13" t="inlineStr">
        <is>
          <t>لايوجد</t>
        </is>
      </c>
      <c r="F518" s="13" t="inlineStr">
        <is>
          <t>هواة</t>
        </is>
      </c>
      <c r="G518" s="13" t="inlineStr">
        <is>
          <t>الشرقية</t>
        </is>
      </c>
      <c r="H518" s="13" t="inlineStr">
        <is>
          <t>الخفجي</t>
        </is>
      </c>
      <c r="I518" s="17" t="inlineStr">
        <is>
          <t>حفر الباطن</t>
        </is>
      </c>
      <c r="J518" s="13" t="n">
        <v>1</v>
      </c>
      <c r="K518" s="13" t="n">
        <v>1</v>
      </c>
      <c r="L518" s="13" t="n">
        <v>0</v>
      </c>
      <c r="M518" s="13" t="n">
        <v>0</v>
      </c>
      <c r="N518" s="13" t="n">
        <v>0</v>
      </c>
      <c r="O518" s="13" t="n">
        <v>0</v>
      </c>
      <c r="P518" s="13" t="n">
        <v>0</v>
      </c>
      <c r="Q51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8" s="13" t="inlineStr">
        <is>
          <t>لم يتم السداد</t>
        </is>
      </c>
      <c r="S518" s="17" t="inlineStr">
        <is>
          <t>نعم</t>
        </is>
      </c>
    </row>
    <row r="519" ht="17" customHeight="1">
      <c r="A519" s="17">
        <f>1+A518</f>
        <v/>
      </c>
      <c r="B519" s="13" t="inlineStr">
        <is>
          <t>اكاديمية صقل المواهب</t>
        </is>
      </c>
      <c r="C519" s="13" t="inlineStr">
        <is>
          <t>عبدالعزيز الفقيه</t>
        </is>
      </c>
      <c r="D519" s="13" t="n">
        <v>599751431</v>
      </c>
      <c r="E519" s="13" t="inlineStr">
        <is>
          <t>لايوجد</t>
        </is>
      </c>
      <c r="F519" s="13" t="inlineStr">
        <is>
          <t>هواة</t>
        </is>
      </c>
      <c r="G519" s="13" t="inlineStr">
        <is>
          <t>الباحة</t>
        </is>
      </c>
      <c r="H519" s="13" t="inlineStr">
        <is>
          <t>الباحة</t>
        </is>
      </c>
      <c r="I519" s="17" t="inlineStr">
        <is>
          <t>الباحة</t>
        </is>
      </c>
      <c r="J519" s="13" t="n">
        <v>0</v>
      </c>
      <c r="K519" s="13" t="n">
        <v>0</v>
      </c>
      <c r="L519" s="13" t="n">
        <v>0</v>
      </c>
      <c r="M519" s="13" t="n">
        <v>0</v>
      </c>
      <c r="N519" s="13" t="n">
        <v>0</v>
      </c>
      <c r="O519" s="13" t="n">
        <v>1</v>
      </c>
      <c r="P519" s="13" t="n">
        <v>0</v>
      </c>
      <c r="Q51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19" s="13" t="inlineStr">
        <is>
          <t>لم يتم السداد</t>
        </is>
      </c>
      <c r="S519" s="17" t="inlineStr">
        <is>
          <t>نعم</t>
        </is>
      </c>
    </row>
    <row r="520" ht="17" customHeight="1">
      <c r="A520" s="17">
        <f>1+A519</f>
        <v/>
      </c>
      <c r="B520" s="13" t="inlineStr">
        <is>
          <t>الاخضر</t>
        </is>
      </c>
      <c r="C520" s="13" t="inlineStr">
        <is>
          <t>صالح القعس</t>
        </is>
      </c>
      <c r="D520" s="13" t="n">
        <v>509494619</v>
      </c>
      <c r="E520" s="13" t="inlineStr">
        <is>
          <t>لايوجد</t>
        </is>
      </c>
      <c r="F520" s="13" t="inlineStr">
        <is>
          <t>هواة</t>
        </is>
      </c>
      <c r="G520" s="13" t="inlineStr">
        <is>
          <t>الجوف</t>
        </is>
      </c>
      <c r="H520" s="13" t="inlineStr">
        <is>
          <t>سكاكا</t>
        </is>
      </c>
      <c r="I520" s="17" t="inlineStr">
        <is>
          <t>الجوف</t>
        </is>
      </c>
      <c r="J520" s="13" t="n">
        <v>0</v>
      </c>
      <c r="K520" s="13" t="n">
        <v>0</v>
      </c>
      <c r="L520" s="13" t="n">
        <v>0</v>
      </c>
      <c r="M520" s="13" t="n">
        <v>0</v>
      </c>
      <c r="N520" s="13" t="n">
        <v>1</v>
      </c>
      <c r="O520" s="13" t="n">
        <v>0</v>
      </c>
      <c r="P520" s="13" t="n">
        <v>0</v>
      </c>
      <c r="Q52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0" s="13" t="inlineStr">
        <is>
          <t>لم يتم السداد</t>
        </is>
      </c>
      <c r="S520" s="17" t="inlineStr">
        <is>
          <t>نعم</t>
        </is>
      </c>
    </row>
    <row r="521" ht="17" customHeight="1">
      <c r="A521" s="17">
        <f>1+A520</f>
        <v/>
      </c>
      <c r="B521" s="13" t="inlineStr">
        <is>
          <t>صبيا ستارز</t>
        </is>
      </c>
      <c r="C521" s="13" t="inlineStr">
        <is>
          <t>عبدالفتاح سلطان</t>
        </is>
      </c>
      <c r="D521" s="13" t="n">
        <v>565543847</v>
      </c>
      <c r="E521" s="13" t="inlineStr">
        <is>
          <t>اكاديمية صبيا</t>
        </is>
      </c>
      <c r="F521" s="13" t="inlineStr">
        <is>
          <t>أكاديمية</t>
        </is>
      </c>
      <c r="G521" s="13" t="inlineStr">
        <is>
          <t>جازان</t>
        </is>
      </c>
      <c r="H521" s="13" t="inlineStr">
        <is>
          <t>صبيا</t>
        </is>
      </c>
      <c r="I521" s="17" t="inlineStr">
        <is>
          <t>جازان</t>
        </is>
      </c>
      <c r="J521" s="13" t="n">
        <v>1</v>
      </c>
      <c r="K521" s="13" t="n">
        <v>0</v>
      </c>
      <c r="L521" s="13" t="n">
        <v>0</v>
      </c>
      <c r="M521" s="13" t="n">
        <v>0</v>
      </c>
      <c r="N521" s="13" t="n">
        <v>0</v>
      </c>
      <c r="O521" s="13" t="n">
        <v>0</v>
      </c>
      <c r="P521" s="13" t="n">
        <v>0</v>
      </c>
      <c r="Q52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1" s="13" t="n"/>
      <c r="S521" s="17" t="n"/>
    </row>
    <row r="522" ht="17" customHeight="1">
      <c r="A522" s="17">
        <f>1+A521</f>
        <v/>
      </c>
      <c r="B522" s="13" t="inlineStr">
        <is>
          <t xml:space="preserve">قرية العليا </t>
        </is>
      </c>
      <c r="C522" s="13" t="inlineStr">
        <is>
          <t>خالد المطيري</t>
        </is>
      </c>
      <c r="D522" s="13" t="n">
        <v>505908348</v>
      </c>
      <c r="E522" s="13" t="inlineStr">
        <is>
          <t>قرية العليا</t>
        </is>
      </c>
      <c r="F522" s="13" t="inlineStr">
        <is>
          <t>أكاديمية</t>
        </is>
      </c>
      <c r="G522" s="13" t="inlineStr">
        <is>
          <t>الشرقية</t>
        </is>
      </c>
      <c r="H522" s="13" t="inlineStr">
        <is>
          <t>مركز الرفيعة</t>
        </is>
      </c>
      <c r="I522" s="17" t="inlineStr">
        <is>
          <t>حفر الباطن</t>
        </is>
      </c>
      <c r="J522" s="13" t="n">
        <v>1</v>
      </c>
      <c r="K522" s="13" t="n">
        <v>1</v>
      </c>
      <c r="L522" s="13" t="n">
        <v>1</v>
      </c>
      <c r="M522" s="13" t="n">
        <v>1</v>
      </c>
      <c r="N522" s="13" t="n">
        <v>1</v>
      </c>
      <c r="O522" s="13" t="n">
        <v>1</v>
      </c>
      <c r="P522" s="13" t="n">
        <v>1</v>
      </c>
      <c r="Q52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2" s="13" t="n"/>
      <c r="S522" s="17" t="n"/>
    </row>
    <row r="523" ht="17" customHeight="1">
      <c r="A523" s="17">
        <f>1+A522</f>
        <v/>
      </c>
      <c r="B523" s="13" t="inlineStr">
        <is>
          <t>البلد</t>
        </is>
      </c>
      <c r="C523" s="13" t="inlineStr">
        <is>
          <t>فيصل الحديثي</t>
        </is>
      </c>
      <c r="D523" s="13" t="n">
        <v>53288872</v>
      </c>
      <c r="E523" s="13" t="inlineStr">
        <is>
          <t>البسمة</t>
        </is>
      </c>
      <c r="F523" s="13" t="inlineStr">
        <is>
          <t>نادي</t>
        </is>
      </c>
      <c r="G523" s="13" t="inlineStr">
        <is>
          <t>مكة المكرمة</t>
        </is>
      </c>
      <c r="H523" s="13" t="inlineStr">
        <is>
          <t>جدة</t>
        </is>
      </c>
      <c r="I523" s="17" t="inlineStr">
        <is>
          <t>جدة</t>
        </is>
      </c>
      <c r="J523" s="13" t="n">
        <v>1</v>
      </c>
      <c r="K523" s="13" t="n">
        <v>1</v>
      </c>
      <c r="L523" s="13" t="n">
        <v>2</v>
      </c>
      <c r="M523" s="13" t="n">
        <v>1</v>
      </c>
      <c r="N523" s="13" t="n">
        <v>1</v>
      </c>
      <c r="O523" s="13" t="n">
        <v>1</v>
      </c>
      <c r="P523" s="13" t="n">
        <v>0</v>
      </c>
      <c r="Q52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3" s="13" t="n"/>
      <c r="S523" s="17" t="n"/>
    </row>
    <row r="524" ht="17" customHeight="1">
      <c r="A524" s="17">
        <f>1+A523</f>
        <v/>
      </c>
      <c r="B524" s="13" t="inlineStr">
        <is>
          <t>صقور الجبيل</t>
        </is>
      </c>
      <c r="C524" s="19" t="inlineStr">
        <is>
          <t>خالد البنعلي</t>
        </is>
      </c>
      <c r="D524" s="19" t="n">
        <v>590552023</v>
      </c>
      <c r="E524" s="19" t="inlineStr">
        <is>
          <t>لايوجد</t>
        </is>
      </c>
      <c r="F524" s="19" t="inlineStr">
        <is>
          <t>أكاديمية</t>
        </is>
      </c>
      <c r="G524" s="19" t="inlineStr">
        <is>
          <t>الشرقية</t>
        </is>
      </c>
      <c r="H524" s="19" t="inlineStr">
        <is>
          <t>الجبيل</t>
        </is>
      </c>
      <c r="I524" s="20" t="inlineStr">
        <is>
          <t>القطيف</t>
        </is>
      </c>
      <c r="J524" s="19" t="n">
        <v>0</v>
      </c>
      <c r="K524" s="19" t="n">
        <v>0</v>
      </c>
      <c r="L524" s="19" t="n">
        <v>0</v>
      </c>
      <c r="M524" s="19" t="n">
        <v>1</v>
      </c>
      <c r="N524" s="19" t="n">
        <v>1</v>
      </c>
      <c r="O524" s="19" t="n">
        <v>0</v>
      </c>
      <c r="P524" s="19" t="n">
        <v>0</v>
      </c>
      <c r="Q52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4" s="13" t="n"/>
      <c r="S524" s="17" t="n"/>
    </row>
    <row r="525" ht="17" customHeight="1">
      <c r="A525" s="17">
        <f>1+A524</f>
        <v/>
      </c>
      <c r="B525" s="13" t="inlineStr">
        <is>
          <t>اكاديمية دايموند</t>
        </is>
      </c>
      <c r="C525" s="13" t="inlineStr">
        <is>
          <t>قشيم القحطاني</t>
        </is>
      </c>
      <c r="D525" s="13" t="n">
        <v>548559478</v>
      </c>
      <c r="E525" s="13" t="inlineStr">
        <is>
          <t>لايوجد</t>
        </is>
      </c>
      <c r="F525" s="13" t="inlineStr">
        <is>
          <t>أكاديمية</t>
        </is>
      </c>
      <c r="G525" s="13" t="inlineStr">
        <is>
          <t>الرياض</t>
        </is>
      </c>
      <c r="H525" s="13" t="inlineStr">
        <is>
          <t>الرياض</t>
        </is>
      </c>
      <c r="I525" s="17" t="inlineStr">
        <is>
          <t>الرياض</t>
        </is>
      </c>
      <c r="J525" s="13" t="n">
        <v>0</v>
      </c>
      <c r="K525" s="13" t="n">
        <v>1</v>
      </c>
      <c r="L525" s="13" t="n">
        <v>1</v>
      </c>
      <c r="M525" s="13" t="n">
        <v>2</v>
      </c>
      <c r="N525" s="13" t="n">
        <v>1</v>
      </c>
      <c r="O525" s="13" t="n">
        <v>1</v>
      </c>
      <c r="P525" s="13" t="n">
        <v>0</v>
      </c>
      <c r="Q52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5" s="13" t="n"/>
      <c r="S525" s="17" t="n"/>
    </row>
    <row r="526" ht="17" customHeight="1">
      <c r="A526" s="17">
        <f>1+A525</f>
        <v/>
      </c>
      <c r="B526" s="13" t="inlineStr">
        <is>
          <t>اكاديمية ون كيك</t>
        </is>
      </c>
      <c r="C526" s="13" t="inlineStr">
        <is>
          <t>مبارك الدوسري</t>
        </is>
      </c>
      <c r="D526" s="13" t="n">
        <v>570754589</v>
      </c>
      <c r="E526" s="13" t="inlineStr">
        <is>
          <t>هاترك استيديو</t>
        </is>
      </c>
      <c r="F526" s="13" t="inlineStr">
        <is>
          <t>أكاديمية</t>
        </is>
      </c>
      <c r="G526" s="13" t="inlineStr">
        <is>
          <t>الشرقية</t>
        </is>
      </c>
      <c r="H526" s="13" t="inlineStr">
        <is>
          <t>الأحساء</t>
        </is>
      </c>
      <c r="I526" s="17" t="inlineStr">
        <is>
          <t>الأحساء</t>
        </is>
      </c>
      <c r="J526" s="13" t="n">
        <v>0</v>
      </c>
      <c r="K526" s="13" t="n">
        <v>1</v>
      </c>
      <c r="L526" s="13" t="n">
        <v>1</v>
      </c>
      <c r="M526" s="13" t="n">
        <v>1</v>
      </c>
      <c r="N526" s="13" t="n">
        <v>0</v>
      </c>
      <c r="O526" s="13" t="n">
        <v>0</v>
      </c>
      <c r="P526" s="13" t="n">
        <v>0</v>
      </c>
      <c r="Q52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6" s="13" t="n"/>
      <c r="S526" s="17" t="n"/>
    </row>
    <row r="527" ht="17" customHeight="1">
      <c r="A527" s="17">
        <f>1+A526</f>
        <v/>
      </c>
      <c r="B527" s="13" t="inlineStr">
        <is>
          <t>ساحة التحدي</t>
        </is>
      </c>
      <c r="C527" s="13" t="inlineStr">
        <is>
          <t>جلال باصم</t>
        </is>
      </c>
      <c r="D527" s="13" t="n">
        <v>540225494</v>
      </c>
      <c r="E527" s="13" t="inlineStr">
        <is>
          <t>ساحة التحدي</t>
        </is>
      </c>
      <c r="F527" s="13" t="inlineStr">
        <is>
          <t>أكاديمية</t>
        </is>
      </c>
      <c r="G527" s="13" t="inlineStr">
        <is>
          <t>مكة المكرمة</t>
        </is>
      </c>
      <c r="H527" s="13" t="inlineStr">
        <is>
          <t>جدة</t>
        </is>
      </c>
      <c r="I527" s="17" t="inlineStr">
        <is>
          <t>جدة</t>
        </is>
      </c>
      <c r="J527" s="13" t="n">
        <v>1</v>
      </c>
      <c r="K527" s="13" t="n">
        <v>1</v>
      </c>
      <c r="L527" s="13" t="n">
        <v>1</v>
      </c>
      <c r="M527" s="13" t="n">
        <v>2</v>
      </c>
      <c r="N527" s="13" t="n">
        <v>1</v>
      </c>
      <c r="O527" s="13" t="n">
        <v>2</v>
      </c>
      <c r="P527" s="13" t="n">
        <v>1</v>
      </c>
      <c r="Q52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7" s="13" t="n"/>
      <c r="S527" s="17" t="n"/>
    </row>
    <row r="528" ht="17" customHeight="1">
      <c r="A528" s="17">
        <f>1+A527</f>
        <v/>
      </c>
      <c r="B528" s="13" t="inlineStr">
        <is>
          <t xml:space="preserve">وفاق الجنوب </t>
        </is>
      </c>
      <c r="C528" s="13" t="inlineStr">
        <is>
          <t>سميرة غالب</t>
        </is>
      </c>
      <c r="D528" s="13" t="n">
        <v>571105755</v>
      </c>
      <c r="E528" s="13" t="inlineStr">
        <is>
          <t>ضمد</t>
        </is>
      </c>
      <c r="F528" s="13" t="inlineStr">
        <is>
          <t>أكاديمية</t>
        </is>
      </c>
      <c r="G528" s="13" t="inlineStr">
        <is>
          <t>جازان</t>
        </is>
      </c>
      <c r="H528" s="13" t="inlineStr">
        <is>
          <t>ضمد</t>
        </is>
      </c>
      <c r="I528" s="17" t="inlineStr">
        <is>
          <t>جازان</t>
        </is>
      </c>
      <c r="J528" s="13" t="n">
        <v>1</v>
      </c>
      <c r="K528" s="13" t="n">
        <v>1</v>
      </c>
      <c r="L528" s="13" t="n">
        <v>1</v>
      </c>
      <c r="M528" s="13" t="n">
        <v>2</v>
      </c>
      <c r="N528" s="13" t="n">
        <v>2</v>
      </c>
      <c r="O528" s="13" t="n">
        <v>2</v>
      </c>
      <c r="P528" s="13" t="n">
        <v>1</v>
      </c>
      <c r="Q52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8" s="13" t="n"/>
      <c r="S528" s="17" t="n"/>
    </row>
    <row r="529" ht="17" customHeight="1">
      <c r="A529" s="17">
        <f>1+A528</f>
        <v/>
      </c>
      <c r="B529" s="13" t="inlineStr">
        <is>
          <t>اكاديمية رايت</t>
        </is>
      </c>
      <c r="C529" s="13" t="inlineStr">
        <is>
          <t>الحسن الشمراني</t>
        </is>
      </c>
      <c r="D529" s="13" t="n">
        <v>569590541</v>
      </c>
      <c r="E529" s="13" t="inlineStr">
        <is>
          <t>ملاعب رايت</t>
        </is>
      </c>
      <c r="F529" s="13" t="inlineStr">
        <is>
          <t>أكاديمية</t>
        </is>
      </c>
      <c r="G529" s="13" t="inlineStr">
        <is>
          <t>الشرقية</t>
        </is>
      </c>
      <c r="H529" s="13" t="inlineStr">
        <is>
          <t>الدمام</t>
        </is>
      </c>
      <c r="I529" s="17" t="inlineStr">
        <is>
          <t>الشرقية</t>
        </is>
      </c>
      <c r="J529" s="13" t="n">
        <v>0</v>
      </c>
      <c r="K529" s="13" t="n">
        <v>0</v>
      </c>
      <c r="L529" s="13" t="n">
        <v>1</v>
      </c>
      <c r="M529" s="13" t="n">
        <v>1</v>
      </c>
      <c r="N529" s="13" t="n">
        <v>2</v>
      </c>
      <c r="O529" s="13" t="n">
        <v>2</v>
      </c>
      <c r="P529" s="13" t="n">
        <v>2</v>
      </c>
      <c r="Q52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29" s="13" t="n"/>
      <c r="S529" s="17" t="n"/>
    </row>
    <row r="530" ht="17" customHeight="1">
      <c r="A530" s="17">
        <f>1+A529</f>
        <v/>
      </c>
      <c r="B530" s="13" t="inlineStr">
        <is>
          <t xml:space="preserve">نادي البدائع </t>
        </is>
      </c>
      <c r="C530" s="13" t="inlineStr">
        <is>
          <t>رائد العضيب</t>
        </is>
      </c>
      <c r="D530" s="13" t="n">
        <v>503648889</v>
      </c>
      <c r="E530" s="13" t="inlineStr">
        <is>
          <t>البدائع</t>
        </is>
      </c>
      <c r="F530" s="13" t="inlineStr">
        <is>
          <t>نادي</t>
        </is>
      </c>
      <c r="G530" s="13" t="inlineStr">
        <is>
          <t>القصيم</t>
        </is>
      </c>
      <c r="H530" s="13" t="inlineStr">
        <is>
          <t>البدائع</t>
        </is>
      </c>
      <c r="I530" s="17" t="inlineStr">
        <is>
          <t>الرس</t>
        </is>
      </c>
      <c r="J530" s="13" t="n">
        <v>1</v>
      </c>
      <c r="K530" s="13" t="n">
        <v>1</v>
      </c>
      <c r="L530" s="13" t="n">
        <v>1</v>
      </c>
      <c r="M530" s="13" t="n">
        <v>1</v>
      </c>
      <c r="N530" s="13" t="n">
        <v>1</v>
      </c>
      <c r="O530" s="13" t="n">
        <v>0</v>
      </c>
      <c r="P530" s="13" t="n">
        <v>0</v>
      </c>
      <c r="Q53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0" s="13" t="n"/>
      <c r="S530" s="17" t="n"/>
    </row>
    <row r="531" ht="17" customHeight="1">
      <c r="A531" s="17">
        <f>1+A530</f>
        <v/>
      </c>
      <c r="B531" s="90" t="inlineStr">
        <is>
          <t>فوكس</t>
        </is>
      </c>
      <c r="C531" s="19" t="inlineStr">
        <is>
          <t>محمد الشلوي</t>
        </is>
      </c>
      <c r="D531" s="19" t="n">
        <v>538369326</v>
      </c>
      <c r="E531" s="19" t="inlineStr">
        <is>
          <t>اليورو</t>
        </is>
      </c>
      <c r="F531" s="19" t="inlineStr">
        <is>
          <t>أكاديمية</t>
        </is>
      </c>
      <c r="G531" s="19" t="inlineStr">
        <is>
          <t>الشرقية</t>
        </is>
      </c>
      <c r="H531" s="19" t="inlineStr">
        <is>
          <t>الأحساء</t>
        </is>
      </c>
      <c r="I531" s="20" t="inlineStr">
        <is>
          <t>الأحساء</t>
        </is>
      </c>
      <c r="J531" s="19" t="n">
        <v>0</v>
      </c>
      <c r="K531" s="19" t="n">
        <v>0</v>
      </c>
      <c r="L531" s="19" t="n">
        <v>0</v>
      </c>
      <c r="M531" s="19" t="n">
        <v>1</v>
      </c>
      <c r="N531" s="19" t="n">
        <v>1</v>
      </c>
      <c r="O531" s="19" t="n">
        <v>1</v>
      </c>
      <c r="P531" s="19" t="n">
        <v>1</v>
      </c>
      <c r="Q53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1" s="13" t="n"/>
      <c r="S531" s="17" t="n"/>
    </row>
    <row r="532" ht="17" customHeight="1">
      <c r="A532" s="17">
        <f>1+A531</f>
        <v/>
      </c>
      <c r="B532" s="13" t="inlineStr">
        <is>
          <t>القنفذة</t>
        </is>
      </c>
      <c r="C532" s="13" t="inlineStr">
        <is>
          <t>احمد العبدلي</t>
        </is>
      </c>
      <c r="D532" s="13" t="n">
        <v>569631916</v>
      </c>
      <c r="E532" s="13" t="inlineStr">
        <is>
          <t>لايوجد</t>
        </is>
      </c>
      <c r="F532" s="13" t="inlineStr">
        <is>
          <t>نادي</t>
        </is>
      </c>
      <c r="G532" s="13" t="inlineStr">
        <is>
          <t>مكة المكرمة</t>
        </is>
      </c>
      <c r="H532" s="13" t="inlineStr">
        <is>
          <t>مكة المكرمة</t>
        </is>
      </c>
      <c r="I532" s="17" t="inlineStr">
        <is>
          <t>مكة المكرمة</t>
        </is>
      </c>
      <c r="J532" s="13" t="n">
        <v>0</v>
      </c>
      <c r="K532" s="13" t="n">
        <v>0</v>
      </c>
      <c r="L532" s="13" t="n">
        <v>0</v>
      </c>
      <c r="M532" s="13" t="n">
        <v>0</v>
      </c>
      <c r="N532" s="13" t="n">
        <v>0</v>
      </c>
      <c r="O532" s="13" t="n">
        <v>1</v>
      </c>
      <c r="P532" s="13" t="n">
        <v>1</v>
      </c>
      <c r="Q53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2" s="13" t="n"/>
      <c r="S532" s="17" t="n"/>
    </row>
    <row r="533" ht="17" customHeight="1">
      <c r="A533" s="17">
        <f>1+A532</f>
        <v/>
      </c>
      <c r="B533" s="89" t="inlineStr">
        <is>
          <t>اكاديمية موهبه اجيال المنصورة</t>
        </is>
      </c>
      <c r="C533" s="13" t="inlineStr">
        <is>
          <t>محمد الصومعي</t>
        </is>
      </c>
      <c r="D533" s="13" t="n">
        <v>550931464</v>
      </c>
      <c r="E533" s="13" t="inlineStr">
        <is>
          <t xml:space="preserve">نجران </t>
        </is>
      </c>
      <c r="F533" s="13" t="inlineStr">
        <is>
          <t>أكاديمية</t>
        </is>
      </c>
      <c r="G533" s="13" t="inlineStr">
        <is>
          <t>نجران</t>
        </is>
      </c>
      <c r="H533" s="13" t="inlineStr">
        <is>
          <t>نجران</t>
        </is>
      </c>
      <c r="I533" s="17" t="inlineStr">
        <is>
          <t>نجران</t>
        </is>
      </c>
      <c r="J533" s="13" t="n">
        <v>0</v>
      </c>
      <c r="K533" s="13" t="n">
        <v>1</v>
      </c>
      <c r="L533" s="13" t="n">
        <v>1</v>
      </c>
      <c r="M533" s="13" t="n">
        <v>0</v>
      </c>
      <c r="N533" s="13" t="n">
        <v>0</v>
      </c>
      <c r="O533" s="13" t="n">
        <v>0</v>
      </c>
      <c r="P533" s="13" t="n">
        <v>0</v>
      </c>
      <c r="Q53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3" s="13" t="n"/>
      <c r="S533" s="17" t="n"/>
    </row>
    <row r="534" ht="17" customHeight="1">
      <c r="A534" s="17">
        <f>1+A533</f>
        <v/>
      </c>
      <c r="B534" s="13" t="inlineStr">
        <is>
          <t xml:space="preserve">موهبة الاجيال </t>
        </is>
      </c>
      <c r="C534" s="13" t="inlineStr">
        <is>
          <t>محمد الصومعي</t>
        </is>
      </c>
      <c r="D534" s="13" t="n">
        <v>550931464</v>
      </c>
      <c r="E534" s="13" t="inlineStr">
        <is>
          <t xml:space="preserve">نجران </t>
        </is>
      </c>
      <c r="F534" s="13" t="inlineStr">
        <is>
          <t>أكاديمية</t>
        </is>
      </c>
      <c r="G534" s="13" t="inlineStr">
        <is>
          <t>نجران</t>
        </is>
      </c>
      <c r="H534" s="13" t="inlineStr">
        <is>
          <t>نجران</t>
        </is>
      </c>
      <c r="I534" s="17" t="inlineStr">
        <is>
          <t>نجران</t>
        </is>
      </c>
      <c r="J534" s="13" t="n">
        <v>0</v>
      </c>
      <c r="K534" s="13" t="n">
        <v>1</v>
      </c>
      <c r="L534" s="13" t="n">
        <v>1</v>
      </c>
      <c r="M534" s="13" t="n">
        <v>0</v>
      </c>
      <c r="N534" s="13" t="n">
        <v>0</v>
      </c>
      <c r="O534" s="13" t="n">
        <v>0</v>
      </c>
      <c r="P534" s="13" t="n">
        <v>0</v>
      </c>
      <c r="Q53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4" s="13" t="n"/>
      <c r="S534" s="17" t="n"/>
    </row>
    <row r="535" ht="17" customHeight="1">
      <c r="A535" s="17">
        <f>1+A534</f>
        <v/>
      </c>
      <c r="B535" s="19" t="inlineStr">
        <is>
          <t xml:space="preserve">رواد الكرة </t>
        </is>
      </c>
      <c r="C535" s="19" t="inlineStr">
        <is>
          <t>حمد ال منصور</t>
        </is>
      </c>
      <c r="D535" s="19" t="n">
        <v>503655134</v>
      </c>
      <c r="E535" s="19" t="inlineStr">
        <is>
          <t xml:space="preserve">نجران </t>
        </is>
      </c>
      <c r="F535" s="19" t="inlineStr">
        <is>
          <t>أكاديمية</t>
        </is>
      </c>
      <c r="G535" s="19" t="inlineStr">
        <is>
          <t>نجران</t>
        </is>
      </c>
      <c r="H535" s="19" t="inlineStr">
        <is>
          <t>نجران</t>
        </is>
      </c>
      <c r="I535" s="20" t="inlineStr">
        <is>
          <t>نجران</t>
        </is>
      </c>
      <c r="J535" s="19" t="n">
        <v>0</v>
      </c>
      <c r="K535" s="19" t="n">
        <v>1</v>
      </c>
      <c r="L535" s="19" t="n">
        <v>1</v>
      </c>
      <c r="M535" s="19" t="n">
        <v>0</v>
      </c>
      <c r="N535" s="19" t="n">
        <v>0</v>
      </c>
      <c r="O535" s="19" t="n">
        <v>0</v>
      </c>
      <c r="P535" s="19" t="n">
        <v>0</v>
      </c>
      <c r="Q53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5" s="13" t="n"/>
      <c r="S535" s="17" t="n"/>
    </row>
    <row r="536" ht="17" customHeight="1">
      <c r="A536" s="17">
        <f>1+A535</f>
        <v/>
      </c>
      <c r="B536" s="19" t="inlineStr">
        <is>
          <t>الشنانة</t>
        </is>
      </c>
      <c r="C536" s="19" t="inlineStr">
        <is>
          <t>بشارة الدسوقي</t>
        </is>
      </c>
      <c r="D536" s="19" t="n">
        <v>531246862</v>
      </c>
      <c r="E536" s="19" t="inlineStr">
        <is>
          <t>TO34</t>
        </is>
      </c>
      <c r="F536" s="19" t="inlineStr">
        <is>
          <t>أكاديمية</t>
        </is>
      </c>
      <c r="G536" s="19" t="inlineStr">
        <is>
          <t>القصيم</t>
        </is>
      </c>
      <c r="H536" s="19" t="inlineStr">
        <is>
          <t>بريدة</t>
        </is>
      </c>
      <c r="I536" s="20" t="inlineStr">
        <is>
          <t>القصيم</t>
        </is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0</v>
      </c>
      <c r="O536" s="19" t="n">
        <v>1</v>
      </c>
      <c r="P536" s="19" t="n">
        <v>0</v>
      </c>
      <c r="Q53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6" s="13" t="n"/>
      <c r="S536" s="17" t="n"/>
    </row>
    <row r="537" ht="17" customHeight="1">
      <c r="A537" s="17">
        <f>1+A536</f>
        <v/>
      </c>
      <c r="B537" s="19" t="inlineStr">
        <is>
          <t>PARIS SAINT GERMAIN ACADEMY SAUDI ARABIA</t>
        </is>
      </c>
      <c r="C537" s="19" t="inlineStr">
        <is>
          <t>مليانو</t>
        </is>
      </c>
      <c r="D537" s="19" t="n">
        <v>546008890</v>
      </c>
      <c r="E537" s="19" t="inlineStr">
        <is>
          <t>لايوجد</t>
        </is>
      </c>
      <c r="F537" s="19" t="inlineStr">
        <is>
          <t>هواة</t>
        </is>
      </c>
      <c r="G537" s="19" t="inlineStr">
        <is>
          <t>مكة المكرمة</t>
        </is>
      </c>
      <c r="H537" s="19" t="inlineStr">
        <is>
          <t>جدة</t>
        </is>
      </c>
      <c r="I537" s="20" t="inlineStr">
        <is>
          <t>جدة</t>
        </is>
      </c>
      <c r="J537" s="19" t="n">
        <v>0</v>
      </c>
      <c r="K537" s="19" t="n">
        <v>0</v>
      </c>
      <c r="L537" s="19" t="n">
        <v>0</v>
      </c>
      <c r="M537" s="19" t="n">
        <v>1</v>
      </c>
      <c r="N537" s="19" t="n">
        <v>1</v>
      </c>
      <c r="O537" s="19" t="n">
        <v>1</v>
      </c>
      <c r="P537" s="19" t="n">
        <v>1</v>
      </c>
      <c r="Q53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7" s="19" t="inlineStr">
        <is>
          <t>لم يتم السداد</t>
        </is>
      </c>
      <c r="S537" s="17" t="inlineStr">
        <is>
          <t>نعم</t>
        </is>
      </c>
    </row>
    <row r="538" ht="17" customHeight="1">
      <c r="A538" s="17">
        <f>1+A537</f>
        <v/>
      </c>
      <c r="B538" s="13" t="inlineStr">
        <is>
          <t xml:space="preserve">العدالة </t>
        </is>
      </c>
      <c r="C538" s="13" t="inlineStr">
        <is>
          <t>فوزي الحافظ</t>
        </is>
      </c>
      <c r="D538" s="13" t="n">
        <v>567864155</v>
      </c>
      <c r="E538" s="13" t="inlineStr">
        <is>
          <t>المدينة الرياضية بالاحساء</t>
        </is>
      </c>
      <c r="F538" s="13" t="inlineStr">
        <is>
          <t>نادي</t>
        </is>
      </c>
      <c r="G538" s="13" t="inlineStr">
        <is>
          <t>الشرقية</t>
        </is>
      </c>
      <c r="H538" s="13" t="inlineStr">
        <is>
          <t>الأحساء</t>
        </is>
      </c>
      <c r="I538" s="17" t="inlineStr">
        <is>
          <t>الأحساء</t>
        </is>
      </c>
      <c r="J538" s="13" t="n">
        <v>1</v>
      </c>
      <c r="K538" s="13" t="n">
        <v>1</v>
      </c>
      <c r="L538" s="13" t="n">
        <v>1</v>
      </c>
      <c r="M538" s="13" t="n">
        <v>1</v>
      </c>
      <c r="N538" s="13" t="n">
        <v>1</v>
      </c>
      <c r="O538" s="13" t="n">
        <v>0</v>
      </c>
      <c r="P538" s="13" t="n">
        <v>0</v>
      </c>
      <c r="Q53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8" s="13" t="n"/>
      <c r="S538" s="17" t="n"/>
    </row>
    <row r="539" ht="17" customHeight="1">
      <c r="A539" s="17">
        <f>1+A538</f>
        <v/>
      </c>
      <c r="B539" s="13" t="inlineStr">
        <is>
          <t>مدارس الجامعة</t>
        </is>
      </c>
      <c r="C539" s="13" t="inlineStr">
        <is>
          <t>بدر الجريوي</t>
        </is>
      </c>
      <c r="D539" s="13" t="n">
        <v>543353363</v>
      </c>
      <c r="E539" s="13" t="inlineStr">
        <is>
          <t>لايوجد</t>
        </is>
      </c>
      <c r="F539" s="13" t="inlineStr">
        <is>
          <t>هواة</t>
        </is>
      </c>
      <c r="G539" s="13" t="inlineStr">
        <is>
          <t>الرياض</t>
        </is>
      </c>
      <c r="H539" s="13" t="inlineStr">
        <is>
          <t>الخرج</t>
        </is>
      </c>
      <c r="I539" s="17" t="inlineStr">
        <is>
          <t>الخرج</t>
        </is>
      </c>
      <c r="J539" s="13" t="n">
        <v>1</v>
      </c>
      <c r="K539" s="13" t="n">
        <v>1</v>
      </c>
      <c r="L539" s="13" t="n">
        <v>1</v>
      </c>
      <c r="M539" s="13" t="n">
        <v>1</v>
      </c>
      <c r="N539" s="13" t="n">
        <v>0</v>
      </c>
      <c r="O539" s="13" t="n">
        <v>0</v>
      </c>
      <c r="P539" s="13" t="n">
        <v>0</v>
      </c>
      <c r="Q53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39" s="13" t="n"/>
      <c r="S539" s="17" t="inlineStr">
        <is>
          <t>نعم</t>
        </is>
      </c>
    </row>
    <row r="540" ht="17" customHeight="1">
      <c r="A540" s="17">
        <f>1+A539</f>
        <v/>
      </c>
      <c r="B540" s="13" t="inlineStr">
        <is>
          <t>صانع الاهداف</t>
        </is>
      </c>
      <c r="C540" s="13" t="inlineStr">
        <is>
          <t>منيرة التركي</t>
        </is>
      </c>
      <c r="D540" s="13" t="n">
        <v>556164446</v>
      </c>
      <c r="E540" s="13" t="inlineStr">
        <is>
          <t>لايوجد</t>
        </is>
      </c>
      <c r="F540" s="13" t="inlineStr">
        <is>
          <t>هواة</t>
        </is>
      </c>
      <c r="G540" s="13" t="inlineStr">
        <is>
          <t>القصيم</t>
        </is>
      </c>
      <c r="H540" s="13" t="inlineStr">
        <is>
          <t>بريدة</t>
        </is>
      </c>
      <c r="I540" s="17" t="inlineStr">
        <is>
          <t>القصيم</t>
        </is>
      </c>
      <c r="J540" s="13" t="n">
        <v>1</v>
      </c>
      <c r="K540" s="13" t="n">
        <v>1</v>
      </c>
      <c r="L540" s="13" t="n">
        <v>0</v>
      </c>
      <c r="M540" s="13" t="n">
        <v>1</v>
      </c>
      <c r="N540" s="13" t="n">
        <v>0</v>
      </c>
      <c r="O540" s="13" t="n">
        <v>0</v>
      </c>
      <c r="P540" s="13" t="n">
        <v>0</v>
      </c>
      <c r="Q54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0" s="13" t="n"/>
      <c r="S540" s="17" t="inlineStr">
        <is>
          <t>نعم</t>
        </is>
      </c>
    </row>
    <row r="541" ht="17" customHeight="1">
      <c r="A541" s="17">
        <f>1+A540</f>
        <v/>
      </c>
      <c r="B541" s="19" t="inlineStr">
        <is>
          <t>احتراف المؤسس</t>
        </is>
      </c>
      <c r="C541" s="19" t="inlineStr">
        <is>
          <t>عثمان فلاته</t>
        </is>
      </c>
      <c r="D541" s="19" t="n">
        <v>581397864</v>
      </c>
      <c r="E541" s="19" t="inlineStr">
        <is>
          <t>لايوجد</t>
        </is>
      </c>
      <c r="F541" s="19" t="inlineStr">
        <is>
          <t>هواة</t>
        </is>
      </c>
      <c r="G541" s="19" t="inlineStr">
        <is>
          <t>مكة المكرمة</t>
        </is>
      </c>
      <c r="H541" s="19" t="inlineStr">
        <is>
          <t>جدة</t>
        </is>
      </c>
      <c r="I541" s="20" t="inlineStr">
        <is>
          <t>جدة</t>
        </is>
      </c>
      <c r="J541" s="19" t="n">
        <v>0</v>
      </c>
      <c r="K541" s="19" t="n">
        <v>0</v>
      </c>
      <c r="L541" s="19" t="n">
        <v>1</v>
      </c>
      <c r="M541" s="19" t="n">
        <v>0</v>
      </c>
      <c r="N541" s="19" t="n">
        <v>0</v>
      </c>
      <c r="O541" s="19" t="n">
        <v>0</v>
      </c>
      <c r="P541" s="19" t="n">
        <v>0</v>
      </c>
      <c r="Q54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1" s="19" t="n"/>
      <c r="S541" s="17" t="inlineStr">
        <is>
          <t>نعم</t>
        </is>
      </c>
    </row>
    <row r="542" ht="17" customHeight="1">
      <c r="A542" s="17">
        <f>1+A541</f>
        <v/>
      </c>
      <c r="B542" s="13" t="inlineStr">
        <is>
          <t>اكاديمية السوبر الرياضية</t>
        </is>
      </c>
      <c r="C542" s="13" t="inlineStr">
        <is>
          <t>عمر الدوسري</t>
        </is>
      </c>
      <c r="D542" s="13" t="n">
        <v>544108885</v>
      </c>
      <c r="E542" s="13" t="inlineStr">
        <is>
          <t>اكاديمية السوبر</t>
        </is>
      </c>
      <c r="F542" s="13" t="inlineStr">
        <is>
          <t>أكاديمية</t>
        </is>
      </c>
      <c r="G542" s="13" t="inlineStr">
        <is>
          <t>الشرقية</t>
        </is>
      </c>
      <c r="H542" s="13" t="inlineStr">
        <is>
          <t>الدمام</t>
        </is>
      </c>
      <c r="I542" s="17" t="inlineStr">
        <is>
          <t>الشرقية</t>
        </is>
      </c>
      <c r="J542" s="13" t="n">
        <v>0</v>
      </c>
      <c r="K542" s="13" t="n">
        <v>0</v>
      </c>
      <c r="L542" s="13" t="n">
        <v>1</v>
      </c>
      <c r="M542" s="13" t="n">
        <v>0</v>
      </c>
      <c r="N542" s="13" t="n">
        <v>1</v>
      </c>
      <c r="O542" s="13" t="n">
        <v>0</v>
      </c>
      <c r="P542" s="13" t="n">
        <v>0</v>
      </c>
      <c r="Q54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2" s="13" t="n"/>
      <c r="S542" s="17" t="n"/>
    </row>
    <row r="543" ht="17" customHeight="1">
      <c r="A543" s="17">
        <f>1+A542</f>
        <v/>
      </c>
      <c r="B543" s="19" t="inlineStr">
        <is>
          <t>نادي الاتحاد السعودي</t>
        </is>
      </c>
      <c r="C543" s="19" t="inlineStr">
        <is>
          <t>دومينجوز</t>
        </is>
      </c>
      <c r="D543" s="19" t="n">
        <v>58000226</v>
      </c>
      <c r="E543" s="19" t="inlineStr">
        <is>
          <t>رديف الاتحاد</t>
        </is>
      </c>
      <c r="F543" s="19" t="inlineStr">
        <is>
          <t>نادي</t>
        </is>
      </c>
      <c r="G543" s="19" t="inlineStr">
        <is>
          <t>مكة المكرمة</t>
        </is>
      </c>
      <c r="H543" s="19" t="inlineStr">
        <is>
          <t>جدة</t>
        </is>
      </c>
      <c r="I543" s="20" t="inlineStr">
        <is>
          <t>جدة</t>
        </is>
      </c>
      <c r="J543" s="19" t="n">
        <v>1</v>
      </c>
      <c r="K543" s="19" t="n">
        <v>1</v>
      </c>
      <c r="L543" s="19" t="n">
        <v>2</v>
      </c>
      <c r="M543" s="19" t="n">
        <v>2</v>
      </c>
      <c r="N543" s="19" t="n">
        <v>2</v>
      </c>
      <c r="O543" s="19" t="n">
        <v>2</v>
      </c>
      <c r="P543" s="19" t="n">
        <v>1</v>
      </c>
      <c r="Q543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3" s="19" t="n"/>
      <c r="S543" s="17" t="n"/>
    </row>
    <row r="544" ht="17" customHeight="1">
      <c r="A544" s="17">
        <f>1+A543</f>
        <v/>
      </c>
      <c r="B544" s="13" t="inlineStr">
        <is>
          <t>مدرسة نادي الاتحاد -فرع الصحافة</t>
        </is>
      </c>
      <c r="C544" s="13" t="inlineStr">
        <is>
          <t>طلال الجهني</t>
        </is>
      </c>
      <c r="D544" s="13" t="n">
        <v>598072282</v>
      </c>
      <c r="E544" s="13" t="inlineStr">
        <is>
          <t>الاتحاد الصناعي</t>
        </is>
      </c>
      <c r="F544" s="13" t="inlineStr">
        <is>
          <t>أكاديمية</t>
        </is>
      </c>
      <c r="G544" s="13" t="inlineStr">
        <is>
          <t>مكة المكرمة</t>
        </is>
      </c>
      <c r="H544" s="13" t="inlineStr">
        <is>
          <t>جدة</t>
        </is>
      </c>
      <c r="I544" s="17" t="inlineStr">
        <is>
          <t>جدة</t>
        </is>
      </c>
      <c r="J544" s="13" t="n">
        <v>0</v>
      </c>
      <c r="K544" s="13" t="n">
        <v>0</v>
      </c>
      <c r="L544" s="13" t="n">
        <v>2</v>
      </c>
      <c r="M544" s="13" t="n">
        <v>2</v>
      </c>
      <c r="N544" s="13" t="n">
        <v>2</v>
      </c>
      <c r="O544" s="13" t="n">
        <v>1</v>
      </c>
      <c r="P544" s="13" t="n">
        <v>0</v>
      </c>
      <c r="Q544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4" s="13" t="n"/>
      <c r="S544" s="17" t="n"/>
    </row>
    <row r="545" ht="17" customHeight="1">
      <c r="A545" s="17">
        <f>1+A544</f>
        <v/>
      </c>
      <c r="B545" s="13" t="inlineStr">
        <is>
          <t>اكاديمية السامبا - جدة</t>
        </is>
      </c>
      <c r="C545" s="13" t="inlineStr">
        <is>
          <t>سعيد الفرحان</t>
        </is>
      </c>
      <c r="D545" s="13" t="n">
        <v>562726442</v>
      </c>
      <c r="E545" s="13" t="inlineStr">
        <is>
          <t>لايوجد</t>
        </is>
      </c>
      <c r="F545" s="13" t="inlineStr">
        <is>
          <t>هواة</t>
        </is>
      </c>
      <c r="G545" s="13" t="inlineStr">
        <is>
          <t>مكة المكرمة</t>
        </is>
      </c>
      <c r="H545" s="13" t="inlineStr">
        <is>
          <t>جدة</t>
        </is>
      </c>
      <c r="I545" s="17" t="inlineStr">
        <is>
          <t>جدة</t>
        </is>
      </c>
      <c r="J545" s="13" t="n">
        <v>0</v>
      </c>
      <c r="K545" s="13" t="n">
        <v>0</v>
      </c>
      <c r="L545" s="13" t="n">
        <v>1</v>
      </c>
      <c r="M545" s="13" t="n">
        <v>0</v>
      </c>
      <c r="N545" s="13" t="n">
        <v>0</v>
      </c>
      <c r="O545" s="13" t="n">
        <v>0</v>
      </c>
      <c r="P545" s="13" t="n">
        <v>0</v>
      </c>
      <c r="Q545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5" s="13" t="n"/>
      <c r="S545" s="17" t="inlineStr">
        <is>
          <t>نعم</t>
        </is>
      </c>
    </row>
    <row r="546" ht="17" customHeight="1">
      <c r="A546" s="17">
        <f>1+A545</f>
        <v/>
      </c>
      <c r="B546" s="13" t="inlineStr">
        <is>
          <t>فريق هلال العيون</t>
        </is>
      </c>
      <c r="C546" s="13" t="inlineStr">
        <is>
          <t>سعد العساف</t>
        </is>
      </c>
      <c r="D546" s="13" t="n">
        <v>558444547</v>
      </c>
      <c r="E546" s="13" t="inlineStr">
        <is>
          <t>لايوجد</t>
        </is>
      </c>
      <c r="F546" s="13" t="inlineStr">
        <is>
          <t>هواة</t>
        </is>
      </c>
      <c r="G546" s="13" t="inlineStr">
        <is>
          <t>الشرقية</t>
        </is>
      </c>
      <c r="H546" s="13" t="inlineStr">
        <is>
          <t>الأحساء</t>
        </is>
      </c>
      <c r="I546" s="17" t="inlineStr">
        <is>
          <t>الأحساء</t>
        </is>
      </c>
      <c r="J546" s="13" t="n">
        <v>1</v>
      </c>
      <c r="K546" s="13" t="n">
        <v>1</v>
      </c>
      <c r="L546" s="13" t="n">
        <v>1</v>
      </c>
      <c r="M546" s="13" t="n">
        <v>1</v>
      </c>
      <c r="N546" s="13" t="n">
        <v>1</v>
      </c>
      <c r="O546" s="13" t="n">
        <v>1</v>
      </c>
      <c r="P546" s="13" t="n">
        <v>1</v>
      </c>
      <c r="Q546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6" s="13" t="n"/>
      <c r="S546" s="17" t="inlineStr">
        <is>
          <t>نعم</t>
        </is>
      </c>
    </row>
    <row r="547" ht="17" customHeight="1">
      <c r="A547" s="17">
        <f>1+A546</f>
        <v/>
      </c>
      <c r="B547" s="13" t="inlineStr">
        <is>
          <t>نجوم صامطة</t>
        </is>
      </c>
      <c r="C547" s="13" t="inlineStr">
        <is>
          <t>تيام مكرمي</t>
        </is>
      </c>
      <c r="D547" s="13" t="n">
        <v>539471161</v>
      </c>
      <c r="E547" s="13" t="inlineStr">
        <is>
          <t>لايوجد</t>
        </is>
      </c>
      <c r="F547" s="13" t="inlineStr">
        <is>
          <t>هواة</t>
        </is>
      </c>
      <c r="G547" s="13" t="inlineStr">
        <is>
          <t>جازان</t>
        </is>
      </c>
      <c r="H547" s="13" t="inlineStr">
        <is>
          <t>صامطة</t>
        </is>
      </c>
      <c r="I547" s="17" t="inlineStr">
        <is>
          <t>جازان</t>
        </is>
      </c>
      <c r="J547" s="13" t="n">
        <v>1</v>
      </c>
      <c r="K547" s="13" t="n">
        <v>1</v>
      </c>
      <c r="L547" s="13" t="n">
        <v>1</v>
      </c>
      <c r="M547" s="13" t="n">
        <v>1</v>
      </c>
      <c r="N547" s="13" t="n">
        <v>1</v>
      </c>
      <c r="O547" s="13" t="n">
        <v>1</v>
      </c>
      <c r="P547" s="13" t="n">
        <v>1</v>
      </c>
      <c r="Q547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7" s="13" t="n"/>
      <c r="S547" s="17" t="inlineStr">
        <is>
          <t>نعم</t>
        </is>
      </c>
    </row>
    <row r="548" ht="17" customHeight="1">
      <c r="A548" s="17">
        <f>1+A547</f>
        <v/>
      </c>
      <c r="B548" s="19" t="inlineStr">
        <is>
          <t>ودان</t>
        </is>
      </c>
      <c r="C548" s="19" t="inlineStr">
        <is>
          <t>نايف اليوبي</t>
        </is>
      </c>
      <c r="D548" s="19" t="n">
        <v>554896564</v>
      </c>
      <c r="E548" s="19" t="inlineStr">
        <is>
          <t>لايوجد</t>
        </is>
      </c>
      <c r="F548" s="19" t="inlineStr">
        <is>
          <t>هواة</t>
        </is>
      </c>
      <c r="G548" s="19" t="inlineStr">
        <is>
          <t>مكة المكرمة</t>
        </is>
      </c>
      <c r="H548" s="19" t="inlineStr">
        <is>
          <t>جدة</t>
        </is>
      </c>
      <c r="I548" s="20" t="inlineStr">
        <is>
          <t>جدة</t>
        </is>
      </c>
      <c r="J548" s="19" t="n">
        <v>0</v>
      </c>
      <c r="K548" s="19" t="n">
        <v>1</v>
      </c>
      <c r="L548" s="19" t="n">
        <v>1</v>
      </c>
      <c r="M548" s="19" t="n">
        <v>0</v>
      </c>
      <c r="N548" s="19" t="n">
        <v>0</v>
      </c>
      <c r="O548" s="19" t="n">
        <v>0</v>
      </c>
      <c r="P548" s="19" t="n">
        <v>0</v>
      </c>
      <c r="Q548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8" s="19" t="n"/>
      <c r="S548" s="17" t="inlineStr">
        <is>
          <t>نعم</t>
        </is>
      </c>
    </row>
    <row r="549" ht="17" customHeight="1">
      <c r="A549" s="17">
        <f>1+A548</f>
        <v/>
      </c>
      <c r="B549" s="19" t="inlineStr">
        <is>
          <t>ابها</t>
        </is>
      </c>
      <c r="C549" s="19" t="inlineStr">
        <is>
          <t>عبدالرحمن ال عجيم</t>
        </is>
      </c>
      <c r="D549" s="19" t="n">
        <v>556059588</v>
      </c>
      <c r="E549" s="19" t="inlineStr">
        <is>
          <t>ابها</t>
        </is>
      </c>
      <c r="F549" s="19" t="inlineStr">
        <is>
          <t>نادي</t>
        </is>
      </c>
      <c r="G549" s="19" t="inlineStr">
        <is>
          <t>عسير</t>
        </is>
      </c>
      <c r="H549" s="19" t="inlineStr">
        <is>
          <t>أبها</t>
        </is>
      </c>
      <c r="I549" s="20" t="inlineStr">
        <is>
          <t>عسير</t>
        </is>
      </c>
      <c r="J549" s="19" t="n">
        <v>1</v>
      </c>
      <c r="K549" s="19" t="n">
        <v>1</v>
      </c>
      <c r="L549" s="19" t="n">
        <v>0</v>
      </c>
      <c r="M549" s="19" t="n">
        <v>0</v>
      </c>
      <c r="N549" s="19" t="n">
        <v>0</v>
      </c>
      <c r="O549" s="19" t="n">
        <v>0</v>
      </c>
      <c r="P549" s="19" t="n">
        <v>0</v>
      </c>
      <c r="Q549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49" s="19" t="n"/>
      <c r="S549" s="17" t="n"/>
    </row>
    <row r="550" ht="17" customHeight="1">
      <c r="A550" s="17">
        <f>1+A549</f>
        <v/>
      </c>
      <c r="B550" s="13" t="inlineStr">
        <is>
          <t>اف 10 شقة</t>
        </is>
      </c>
      <c r="C550" s="13" t="inlineStr">
        <is>
          <t xml:space="preserve">محسن العنزي </t>
        </is>
      </c>
      <c r="D550" s="13" t="n">
        <v>547972702</v>
      </c>
      <c r="E550" s="13" t="inlineStr">
        <is>
          <t>لايوجد</t>
        </is>
      </c>
      <c r="F550" s="13" t="inlineStr">
        <is>
          <t>هواة</t>
        </is>
      </c>
      <c r="G550" s="13" t="inlineStr">
        <is>
          <t>القصيم</t>
        </is>
      </c>
      <c r="H550" s="13" t="inlineStr">
        <is>
          <t>بريدة</t>
        </is>
      </c>
      <c r="I550" s="17" t="inlineStr">
        <is>
          <t>القصيم</t>
        </is>
      </c>
      <c r="J550" s="13" t="n">
        <v>1</v>
      </c>
      <c r="K550" s="13" t="n">
        <v>1</v>
      </c>
      <c r="L550" s="13" t="n">
        <v>2</v>
      </c>
      <c r="M550" s="13" t="n">
        <v>2</v>
      </c>
      <c r="N550" s="13" t="n">
        <v>2</v>
      </c>
      <c r="O550" s="13" t="n">
        <v>2</v>
      </c>
      <c r="P550" s="13" t="n">
        <v>0</v>
      </c>
      <c r="Q550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0" s="19" t="n"/>
      <c r="S550" s="17" t="inlineStr">
        <is>
          <t>نعم</t>
        </is>
      </c>
    </row>
    <row r="551" ht="17" customHeight="1">
      <c r="A551" s="17">
        <f>1+A550</f>
        <v/>
      </c>
      <c r="B551" s="19" t="inlineStr">
        <is>
          <t>البجادية</t>
        </is>
      </c>
      <c r="C551" s="19" t="inlineStr">
        <is>
          <t>عبدالله العتيبي</t>
        </is>
      </c>
      <c r="D551" s="19" t="n">
        <v>554721854</v>
      </c>
      <c r="E551" s="19" t="inlineStr">
        <is>
          <t>البجادية</t>
        </is>
      </c>
      <c r="F551" s="19" t="inlineStr">
        <is>
          <t>نادي</t>
        </is>
      </c>
      <c r="G551" s="19" t="inlineStr">
        <is>
          <t>الرياض</t>
        </is>
      </c>
      <c r="H551" s="19" t="inlineStr">
        <is>
          <t>الرياض</t>
        </is>
      </c>
      <c r="I551" s="20" t="inlineStr">
        <is>
          <t>الرياض</t>
        </is>
      </c>
      <c r="J551" s="19" t="n">
        <v>1</v>
      </c>
      <c r="K551" s="19" t="n">
        <v>1</v>
      </c>
      <c r="L551" s="19" t="n">
        <v>1</v>
      </c>
      <c r="M551" s="19" t="n">
        <v>1</v>
      </c>
      <c r="N551" s="19" t="n">
        <v>0</v>
      </c>
      <c r="O551" s="19" t="n">
        <v>1</v>
      </c>
      <c r="P551" s="19" t="n">
        <v>0</v>
      </c>
      <c r="Q551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1" s="62" t="n"/>
      <c r="S551" s="17" t="n"/>
    </row>
    <row r="552" ht="17" customHeight="1">
      <c r="A552" s="17">
        <f>1+A551</f>
        <v/>
      </c>
      <c r="B552" s="13" t="inlineStr">
        <is>
          <t>اكاديمية وهب  الكرة</t>
        </is>
      </c>
      <c r="C552" s="13" t="inlineStr">
        <is>
          <t xml:space="preserve">سعود المقاطي </t>
        </is>
      </c>
      <c r="D552" s="13" t="n">
        <v>550193726</v>
      </c>
      <c r="E552" s="13" t="inlineStr">
        <is>
          <t>هاتريك</t>
        </is>
      </c>
      <c r="F552" s="13" t="inlineStr">
        <is>
          <t>أكاديمية</t>
        </is>
      </c>
      <c r="G552" s="13" t="inlineStr">
        <is>
          <t>الشرقية</t>
        </is>
      </c>
      <c r="H552" s="13" t="inlineStr">
        <is>
          <t>الأحساء</t>
        </is>
      </c>
      <c r="I552" s="17" t="inlineStr">
        <is>
          <t>الأحساء</t>
        </is>
      </c>
      <c r="J552" s="13" t="n">
        <v>0</v>
      </c>
      <c r="K552" s="13" t="n">
        <v>0</v>
      </c>
      <c r="L552" s="13" t="n">
        <v>1</v>
      </c>
      <c r="M552" s="13" t="n">
        <v>0</v>
      </c>
      <c r="N552" s="13" t="n">
        <v>1</v>
      </c>
      <c r="O552" s="13" t="n">
        <v>0</v>
      </c>
      <c r="P552" s="13" t="n">
        <v>0</v>
      </c>
      <c r="Q552" s="46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2" s="62" t="n"/>
      <c r="S552" s="17" t="n"/>
    </row>
    <row r="553" ht="17" customHeight="1">
      <c r="A553" s="17">
        <f>1+A552</f>
        <v/>
      </c>
      <c r="B553" s="13" t="inlineStr">
        <is>
          <t>اشبال الساحل</t>
        </is>
      </c>
      <c r="C553" s="13" t="inlineStr">
        <is>
          <t>كريم المالكي</t>
        </is>
      </c>
      <c r="D553" s="13" t="n">
        <v>500001601</v>
      </c>
      <c r="E553" s="19" t="inlineStr">
        <is>
          <t>لايوجد</t>
        </is>
      </c>
      <c r="F553" s="19" t="inlineStr">
        <is>
          <t>أكاديمية</t>
        </is>
      </c>
      <c r="G553" s="19" t="inlineStr">
        <is>
          <t>مكة المكرمة</t>
        </is>
      </c>
      <c r="H553" s="19" t="inlineStr">
        <is>
          <t>جدة</t>
        </is>
      </c>
      <c r="I553" s="20" t="inlineStr">
        <is>
          <t>جدة</t>
        </is>
      </c>
      <c r="J553" s="19" t="n">
        <v>0</v>
      </c>
      <c r="K553" s="19" t="n">
        <v>1</v>
      </c>
      <c r="L553" s="19" t="n">
        <v>0</v>
      </c>
      <c r="M553" s="19" t="n">
        <v>1</v>
      </c>
      <c r="N553" s="19" t="n">
        <v>1</v>
      </c>
      <c r="O553" s="19" t="n">
        <v>0</v>
      </c>
      <c r="P553" s="19" t="n">
        <v>0</v>
      </c>
      <c r="Q553" s="62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3" s="62" t="n"/>
      <c r="S553" s="17" t="n"/>
    </row>
    <row r="554" ht="17" customHeight="1">
      <c r="A554" s="17">
        <f>1+A553</f>
        <v/>
      </c>
      <c r="B554" s="19" t="inlineStr">
        <is>
          <t>شركة نادي الزلفي</t>
        </is>
      </c>
      <c r="C554" s="19" t="inlineStr">
        <is>
          <t>عبدالرحمن الحركان</t>
        </is>
      </c>
      <c r="D554" s="19" t="n">
        <v>538245442</v>
      </c>
      <c r="E554" s="19" t="inlineStr">
        <is>
          <t>الزلفي</t>
        </is>
      </c>
      <c r="F554" s="19" t="inlineStr">
        <is>
          <t>نادي</t>
        </is>
      </c>
      <c r="G554" s="19" t="inlineStr">
        <is>
          <t>القصيم</t>
        </is>
      </c>
      <c r="H554" s="19" t="inlineStr">
        <is>
          <t>بريدة</t>
        </is>
      </c>
      <c r="I554" s="20" t="inlineStr">
        <is>
          <t>القصيم</t>
        </is>
      </c>
      <c r="J554" s="19" t="n">
        <v>0</v>
      </c>
      <c r="K554" s="19" t="n">
        <v>0</v>
      </c>
      <c r="L554" s="19" t="n">
        <v>0</v>
      </c>
      <c r="M554" s="19" t="n">
        <v>1</v>
      </c>
      <c r="N554" s="19" t="n">
        <v>1</v>
      </c>
      <c r="O554" s="19" t="n">
        <v>0</v>
      </c>
      <c r="P554" s="19" t="n">
        <v>0</v>
      </c>
      <c r="Q554" s="62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4" s="62" t="n"/>
      <c r="S554" s="17" t="n"/>
    </row>
    <row r="555" ht="17" customHeight="1">
      <c r="A555" s="17">
        <f>1+A554</f>
        <v/>
      </c>
      <c r="B555" s="19" t="inlineStr">
        <is>
          <t>اكاديمية ان زد</t>
        </is>
      </c>
      <c r="C555" s="19" t="inlineStr">
        <is>
          <t>مالك النزاوي</t>
        </is>
      </c>
      <c r="D555" s="19" t="n">
        <v>562676205</v>
      </c>
      <c r="E555" s="19" t="inlineStr">
        <is>
          <t>NZ</t>
        </is>
      </c>
      <c r="F555" s="19" t="inlineStr">
        <is>
          <t>أكاديمية</t>
        </is>
      </c>
      <c r="G555" s="19" t="inlineStr">
        <is>
          <t>مكة المكرمة</t>
        </is>
      </c>
      <c r="H555" s="19" t="inlineStr">
        <is>
          <t>جدة</t>
        </is>
      </c>
      <c r="I555" s="20" t="inlineStr">
        <is>
          <t>جدة</t>
        </is>
      </c>
      <c r="J555" s="19" t="n">
        <v>0</v>
      </c>
      <c r="K555" s="19" t="n">
        <v>1</v>
      </c>
      <c r="L555" s="19" t="n">
        <v>1</v>
      </c>
      <c r="M555" s="19" t="n">
        <v>1</v>
      </c>
      <c r="N555" s="19" t="n">
        <v>0</v>
      </c>
      <c r="O555" s="19" t="n">
        <v>0</v>
      </c>
      <c r="P555" s="19" t="n">
        <v>0</v>
      </c>
      <c r="Q555" s="19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5" s="19" t="n"/>
      <c r="S555" s="17" t="n"/>
    </row>
    <row r="556" ht="17" customHeight="1">
      <c r="A556" s="17">
        <f>1+A555</f>
        <v/>
      </c>
      <c r="B556" s="13" t="inlineStr">
        <is>
          <t>زمن الاحتراف</t>
        </is>
      </c>
      <c r="C556" s="13" t="inlineStr">
        <is>
          <t>سامي السبعي</t>
        </is>
      </c>
      <c r="D556" s="13" t="inlineStr">
        <is>
          <t>542111252</t>
        </is>
      </c>
      <c r="E556" s="13" t="inlineStr">
        <is>
          <t>لايوجد</t>
        </is>
      </c>
      <c r="F556" s="13" t="inlineStr">
        <is>
          <t>هواة</t>
        </is>
      </c>
      <c r="G556" s="13" t="inlineStr">
        <is>
          <t>جازان</t>
        </is>
      </c>
      <c r="H556" s="13" t="inlineStr">
        <is>
          <t>صبيا</t>
        </is>
      </c>
      <c r="I556" s="17" t="inlineStr">
        <is>
          <t>جازان</t>
        </is>
      </c>
      <c r="J556" s="13" t="n">
        <v>0</v>
      </c>
      <c r="K556" s="13" t="n">
        <v>0</v>
      </c>
      <c r="L556" s="13" t="n">
        <v>1</v>
      </c>
      <c r="M556" s="13" t="n">
        <v>0</v>
      </c>
      <c r="N556" s="13" t="n">
        <v>1</v>
      </c>
      <c r="O556" s="13" t="n">
        <v>0</v>
      </c>
      <c r="P556" s="13" t="n">
        <v>0</v>
      </c>
      <c r="Q556" s="19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6" s="62" t="n"/>
      <c r="S556" s="17" t="inlineStr">
        <is>
          <t>نعم</t>
        </is>
      </c>
    </row>
    <row r="557" ht="17" customHeight="1">
      <c r="A557" s="17">
        <f>1+A556</f>
        <v/>
      </c>
      <c r="B557" s="89" t="inlineStr">
        <is>
          <t>مستقبل المتقدمة</t>
        </is>
      </c>
      <c r="C557" s="13" t="inlineStr">
        <is>
          <t>عبدالرحمن الجهني</t>
        </is>
      </c>
      <c r="D557" s="13" t="n">
        <v>583815162</v>
      </c>
      <c r="E557" s="13" t="inlineStr">
        <is>
          <t>لايوجد</t>
        </is>
      </c>
      <c r="F557" s="13" t="inlineStr">
        <is>
          <t xml:space="preserve">أكاديمية </t>
        </is>
      </c>
      <c r="G557" s="13" t="inlineStr">
        <is>
          <t>المدينة المنورة</t>
        </is>
      </c>
      <c r="H557" s="13" t="inlineStr">
        <is>
          <t>المدينة المنورة</t>
        </is>
      </c>
      <c r="I557" s="17" t="inlineStr">
        <is>
          <t>المدينة المنورة</t>
        </is>
      </c>
      <c r="J557" s="13" t="n">
        <v>0</v>
      </c>
      <c r="K557" s="13" t="n">
        <v>0</v>
      </c>
      <c r="L557" s="13" t="n">
        <v>1</v>
      </c>
      <c r="M557" s="13" t="n">
        <v>1</v>
      </c>
      <c r="N557" s="13" t="n">
        <v>1</v>
      </c>
      <c r="O557" s="13" t="n">
        <v>0</v>
      </c>
      <c r="P557" s="13" t="n">
        <v>0</v>
      </c>
      <c r="Q557" s="62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7" s="62" t="n"/>
      <c r="S557" s="80" t="n"/>
    </row>
    <row r="558" ht="17" customHeight="1">
      <c r="A558" s="17">
        <f>1+A557</f>
        <v/>
      </c>
      <c r="B558" s="19" t="inlineStr">
        <is>
          <t>اكاديمية التحدي - مكة</t>
        </is>
      </c>
      <c r="C558" s="19" t="inlineStr">
        <is>
          <t>حسن هوساوي</t>
        </is>
      </c>
      <c r="D558" s="19" t="n">
        <v>54843335</v>
      </c>
      <c r="E558" s="19" t="inlineStr">
        <is>
          <t>لايوجد</t>
        </is>
      </c>
      <c r="F558" s="19" t="inlineStr">
        <is>
          <t>هواة</t>
        </is>
      </c>
      <c r="G558" s="19" t="inlineStr">
        <is>
          <t>مكة المكرمة</t>
        </is>
      </c>
      <c r="H558" s="19" t="inlineStr">
        <is>
          <t>مكة المكرمة</t>
        </is>
      </c>
      <c r="I558" s="20" t="inlineStr">
        <is>
          <t>مكة المكرمة</t>
        </is>
      </c>
      <c r="J558" s="19" t="n">
        <v>1</v>
      </c>
      <c r="K558" s="19" t="n">
        <v>1</v>
      </c>
      <c r="L558" s="19" t="n">
        <v>1</v>
      </c>
      <c r="M558" s="19" t="n">
        <v>1</v>
      </c>
      <c r="N558" s="19" t="n">
        <v>1</v>
      </c>
      <c r="O558" s="19" t="n">
        <v>1</v>
      </c>
      <c r="P558" s="19" t="n">
        <v>1</v>
      </c>
      <c r="Q558" s="19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8" s="62" t="n"/>
      <c r="S558" s="19" t="inlineStr">
        <is>
          <t>نعم</t>
        </is>
      </c>
    </row>
    <row r="559" ht="17" customHeight="1">
      <c r="A559" s="17">
        <f>1+A558</f>
        <v/>
      </c>
      <c r="B559" s="19" t="inlineStr">
        <is>
          <t>باليرمو</t>
        </is>
      </c>
      <c r="C559" s="19" t="inlineStr">
        <is>
          <t xml:space="preserve">وجدي بو سعيد </t>
        </is>
      </c>
      <c r="D559" t="inlineStr">
        <is>
          <t xml:space="preserve">0591635325 </t>
        </is>
      </c>
      <c r="E559" s="19" t="inlineStr">
        <is>
          <t>لايوجد</t>
        </is>
      </c>
      <c r="F559" s="19" t="inlineStr">
        <is>
          <t>هواة</t>
        </is>
      </c>
      <c r="G559" s="19" t="inlineStr">
        <is>
          <t>المدينة المنورة</t>
        </is>
      </c>
      <c r="H559" s="19" t="inlineStr">
        <is>
          <t>المدينة المنورة</t>
        </is>
      </c>
      <c r="I559" s="20" t="inlineStr">
        <is>
          <t>المدينة المنورة</t>
        </is>
      </c>
      <c r="J559" s="19" t="n">
        <v>0</v>
      </c>
      <c r="K559" s="19" t="n">
        <v>0</v>
      </c>
      <c r="L559" s="19" t="n">
        <v>1</v>
      </c>
      <c r="M559" s="19" t="n">
        <v>0</v>
      </c>
      <c r="N559" s="19" t="n">
        <v>2</v>
      </c>
      <c r="O559" s="19" t="n">
        <v>0</v>
      </c>
      <c r="P559" s="19" t="n">
        <v>0</v>
      </c>
      <c r="Q559" s="19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59" s="62" t="n"/>
      <c r="S559" s="19" t="n"/>
    </row>
    <row r="560" ht="17" customHeight="1">
      <c r="A560" s="17">
        <f>1+A559</f>
        <v/>
      </c>
      <c r="B560" s="19" t="inlineStr">
        <is>
          <t>مستقبل المتقدمة</t>
        </is>
      </c>
      <c r="C560" s="19" t="inlineStr">
        <is>
          <t>عبدالرحمن الجهني</t>
        </is>
      </c>
      <c r="D560" s="19" t="n">
        <v>583815162</v>
      </c>
      <c r="E560" s="19" t="inlineStr">
        <is>
          <t>لايوجد</t>
        </is>
      </c>
      <c r="F560" s="19" t="inlineStr">
        <is>
          <t>أكاديمية</t>
        </is>
      </c>
      <c r="G560" s="19" t="inlineStr">
        <is>
          <t>المدينة المنورة</t>
        </is>
      </c>
      <c r="H560" s="19" t="inlineStr">
        <is>
          <t>المدينة المنورة</t>
        </is>
      </c>
      <c r="I560" s="20" t="inlineStr">
        <is>
          <t>المدينة المنورة</t>
        </is>
      </c>
      <c r="J560" s="19" t="n">
        <v>0</v>
      </c>
      <c r="K560" s="19" t="n">
        <v>0</v>
      </c>
      <c r="L560" s="19" t="n">
        <v>1</v>
      </c>
      <c r="M560" s="19" t="n">
        <v>1</v>
      </c>
      <c r="N560" s="19" t="n">
        <v>1</v>
      </c>
      <c r="O560" s="19" t="n">
        <v>0</v>
      </c>
      <c r="P560" s="19" t="n">
        <v>0</v>
      </c>
      <c r="Q560" s="19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60" s="62" t="n"/>
      <c r="S560" s="19" t="n"/>
    </row>
    <row r="561" ht="17" customHeight="1">
      <c r="A561" s="17">
        <f>1+A560</f>
        <v/>
      </c>
      <c r="B561" s="19" t="inlineStr">
        <is>
          <t>صقور الجبيل</t>
        </is>
      </c>
      <c r="C561" s="19" t="inlineStr">
        <is>
          <t>خالد البنعلي</t>
        </is>
      </c>
      <c r="D561" s="19" t="n">
        <v>590552023</v>
      </c>
      <c r="E561" s="19" t="inlineStr">
        <is>
          <t>لايوجد</t>
        </is>
      </c>
      <c r="F561" s="19" t="inlineStr">
        <is>
          <t>أكاديمية</t>
        </is>
      </c>
      <c r="G561" s="19" t="inlineStr">
        <is>
          <t>الشرقية</t>
        </is>
      </c>
      <c r="H561" s="19" t="inlineStr">
        <is>
          <t>الجبيل</t>
        </is>
      </c>
      <c r="I561" s="20" t="inlineStr">
        <is>
          <t>القطيف</t>
        </is>
      </c>
      <c r="J561" s="19" t="n">
        <v>0</v>
      </c>
      <c r="K561" s="19" t="n">
        <v>0</v>
      </c>
      <c r="L561" s="19" t="n">
        <v>0</v>
      </c>
      <c r="M561" s="19" t="n">
        <v>1</v>
      </c>
      <c r="N561" s="19" t="n">
        <v>1</v>
      </c>
      <c r="O561" s="19" t="n">
        <v>0</v>
      </c>
      <c r="P561" s="19" t="n">
        <v>0</v>
      </c>
      <c r="Q561" s="19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61" s="62" t="n"/>
      <c r="S561" s="19" t="n"/>
    </row>
    <row r="562" ht="17" customHeight="1">
      <c r="A562" s="17">
        <f>1+A561</f>
        <v/>
      </c>
      <c r="B562" s="90" t="inlineStr">
        <is>
          <t>اكاديمية E9</t>
        </is>
      </c>
      <c r="C562" s="19" t="inlineStr">
        <is>
          <t>محمد اسعد الفيفي</t>
        </is>
      </c>
      <c r="D562" s="19" t="n">
        <v>599811747</v>
      </c>
      <c r="E562" s="19" t="inlineStr">
        <is>
          <t>لايوجد</t>
        </is>
      </c>
      <c r="F562" s="19" t="inlineStr">
        <is>
          <t>أكاديمية</t>
        </is>
      </c>
      <c r="G562" s="19" t="inlineStr">
        <is>
          <t>تبوك</t>
        </is>
      </c>
      <c r="H562" s="19" t="inlineStr">
        <is>
          <t>تبوك</t>
        </is>
      </c>
      <c r="I562" s="20" t="inlineStr">
        <is>
          <t>تبوك</t>
        </is>
      </c>
      <c r="J562" s="19" t="n">
        <v>0</v>
      </c>
      <c r="K562" s="19" t="n">
        <v>1</v>
      </c>
      <c r="L562" s="19" t="n">
        <v>2</v>
      </c>
      <c r="M562" s="19" t="n">
        <v>2</v>
      </c>
      <c r="N562" s="19" t="n">
        <v>0</v>
      </c>
      <c r="O562" s="19" t="n">
        <v>0</v>
      </c>
      <c r="P562" s="19" t="n">
        <v>0</v>
      </c>
      <c r="Q562" s="19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62" s="62" t="n"/>
      <c r="S562" s="19" t="n"/>
    </row>
    <row r="563" ht="17" customHeight="1">
      <c r="A563" s="17">
        <f>1+A562</f>
        <v/>
      </c>
      <c r="B563" s="19" t="inlineStr">
        <is>
          <t>اكاديمية موهبه اجيال المنصورة</t>
        </is>
      </c>
      <c r="C563" s="19" t="inlineStr">
        <is>
          <t>محمد الصومعي</t>
        </is>
      </c>
      <c r="D563" s="19" t="n">
        <v>550931464</v>
      </c>
      <c r="E563" s="19" t="inlineStr">
        <is>
          <t xml:space="preserve">نجران </t>
        </is>
      </c>
      <c r="F563" s="19" t="inlineStr">
        <is>
          <t>أكاديمية</t>
        </is>
      </c>
      <c r="G563" s="19" t="inlineStr">
        <is>
          <t>نجران</t>
        </is>
      </c>
      <c r="H563" s="19" t="inlineStr">
        <is>
          <t>نجران</t>
        </is>
      </c>
      <c r="I563" s="20" t="inlineStr">
        <is>
          <t>نجران</t>
        </is>
      </c>
      <c r="J563" s="19" t="n">
        <v>0</v>
      </c>
      <c r="K563" s="19" t="n">
        <v>1</v>
      </c>
      <c r="L563" s="19" t="n">
        <v>1</v>
      </c>
      <c r="M563" s="19" t="n">
        <v>0</v>
      </c>
      <c r="N563" s="19" t="n">
        <v>0</v>
      </c>
      <c r="O563" s="19" t="n">
        <v>0</v>
      </c>
      <c r="P563" s="19" t="n">
        <v>0</v>
      </c>
      <c r="Q563" s="62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63" s="62" t="n"/>
      <c r="S563" s="62" t="n"/>
    </row>
    <row r="564" ht="17" customHeight="1">
      <c r="A564" s="17">
        <f>1+A563</f>
        <v/>
      </c>
      <c r="B564" s="19" t="inlineStr">
        <is>
          <t xml:space="preserve">اكاديمية براعم المستقبل </t>
        </is>
      </c>
      <c r="C564" s="19" t="inlineStr">
        <is>
          <t>عمر العمودي</t>
        </is>
      </c>
      <c r="D564" s="19" t="n">
        <v>539407772</v>
      </c>
      <c r="E564" s="19" t="inlineStr">
        <is>
          <t>لايوجد</t>
        </is>
      </c>
      <c r="F564" s="19" t="inlineStr">
        <is>
          <t>أكاديمية</t>
        </is>
      </c>
      <c r="G564" s="19" t="inlineStr">
        <is>
          <t>الشرقية</t>
        </is>
      </c>
      <c r="H564" s="19" t="inlineStr">
        <is>
          <t>الخبر</t>
        </is>
      </c>
      <c r="I564" s="20" t="inlineStr">
        <is>
          <t>الشرقية</t>
        </is>
      </c>
      <c r="J564" s="19" t="n">
        <v>0</v>
      </c>
      <c r="K564" s="19" t="n">
        <v>0</v>
      </c>
      <c r="L564" s="19" t="n">
        <v>0</v>
      </c>
      <c r="M564" s="19" t="n">
        <v>0</v>
      </c>
      <c r="N564" s="19" t="n">
        <v>1</v>
      </c>
      <c r="O564" s="19" t="n">
        <v>1</v>
      </c>
      <c r="P564" s="19" t="n">
        <v>0</v>
      </c>
      <c r="Q564" s="19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64" s="62" t="n"/>
      <c r="S564" s="19" t="n"/>
    </row>
    <row r="565" ht="17" customHeight="1">
      <c r="A565" s="17">
        <f>1+A564</f>
        <v/>
      </c>
      <c r="B565" s="19" t="inlineStr">
        <is>
          <t>اشبال الساحل</t>
        </is>
      </c>
      <c r="C565" s="19" t="inlineStr">
        <is>
          <t>كريم المالكي</t>
        </is>
      </c>
      <c r="D565" s="19" t="n">
        <v>500001601</v>
      </c>
      <c r="E565" s="19" t="inlineStr">
        <is>
          <t>لايوجد</t>
        </is>
      </c>
      <c r="F565" s="19" t="inlineStr">
        <is>
          <t>أكاديمية</t>
        </is>
      </c>
      <c r="G565" s="19" t="inlineStr">
        <is>
          <t>مكة المكرمة</t>
        </is>
      </c>
      <c r="H565" s="19" t="inlineStr">
        <is>
          <t>جدة</t>
        </is>
      </c>
      <c r="I565" s="20" t="inlineStr">
        <is>
          <t>جدة</t>
        </is>
      </c>
      <c r="J565" s="19" t="n">
        <v>0</v>
      </c>
      <c r="K565" s="19" t="n">
        <v>1</v>
      </c>
      <c r="L565" s="19" t="n">
        <v>0</v>
      </c>
      <c r="M565" s="19" t="n">
        <v>1</v>
      </c>
      <c r="N565" s="19" t="n">
        <v>1</v>
      </c>
      <c r="O565" s="19" t="n">
        <v>1</v>
      </c>
      <c r="P565" s="19" t="n">
        <v>0</v>
      </c>
      <c r="Q565" s="19">
        <f>IF(SUM([1]!التسجيل[[#This Row],[المشاركة تحت 14]],[1]!التسجيل[[#This Row],[المشاركة تحت 13]],[1]!التسجيل[[#This Row],[المشاركة تحت 12]],[1]!التسجيل[[#This Row],[المشاركة تحت 11]],[1]!التسجيل[[#This Row],[المشاركة تحت 9]],[1]!التسجيل[[#This Row],[المشاركة تحت 7 ]],[1]!التسجيل[[#This Row],[المشاركة تحت 5]])=0,"لا يوجد تسجيل",IF((([1]!التسجيل[[#This Row],[المشاركة تحت 14]]&gt;=1)*(COUNTIFS([1]!تفاصيل_الفرق[الفئة العمرية],"تحت 14",[1]!تفاصيل_الفرق[مدينة منظفة],TRIM([1]!التسجيل[[#This Row],[المدينة]]),[1]!تفاصيل_الفرق[مجموعة مكتملة],1)&gt;0))+(([1]!التسجيل[[#This Row],[المشاركة تحت 13]]&gt;=1)*(COUNTIFS([1]!تفاصيل_الفرق[الفئة العمرية],"تحت 13",[1]!تفاصيل_الفرق[مدينة منظفة],TRIM([1]!التسجيل[[#This Row],[المدينة]]),[1]!تفاصيل_الفرق[مجموعة مكتملة],1)&gt;0))+(([1]!التسجيل[[#This Row],[المشاركة تحت 12]]&gt;=1)*(COUNTIFS([1]!تفاصيل_الفرق[الفئة العمرية],"تحت 12",[1]!تفاصيل_الفرق[مدينة منظفة],TRIM([1]!التسجيل[[#This Row],[المدينة]]),[1]!تفاصيل_الفرق[مجموعة مكتملة],1)&gt;0))+(([1]!التسجيل[[#This Row],[المشاركة تحت 11]]&gt;=1)*(COUNTIFS([1]!تفاصيل_الفرق[الفئة العمرية],"تحت 11",[1]!تفاصيل_الفرق[مدينة منظفة],TRIM([1]!التسجيل[[#This Row],[المدينة]]),[1]!تفاصيل_الفرق[مجموعة مكتملة],1)&gt;0))+(([1]!التسجيل[[#This Row],[المشاركة تحت 9]]&gt;=1)*(COUNTIFS([1]!تفاصيل_الفرق[الفئة العمرية],"تحت 9",[1]!تفاصيل_الفرق[مدينة منظفة],TRIM([1]!التسجيل[[#This Row],[المدينة]]),[1]!تفاصيل_الفرق[مجموعة مكتملة],1)&gt;0))+(([1]!التسجيل[[#This Row],[المشاركة تحت 7 ]]&gt;=1)*(COUNTIFS([1]!تفاصيل_الفرق[الفئة العمرية],"تحت 7",[1]!تفاصيل_الفرق[مدينة منظفة],TRIM([1]!التسجيل[[#This Row],[المدينة]]),[1]!تفاصيل_الفرق[مجموعة مكتملة],1)&gt;0))+(([1]!التسجيل[[#This Row],[المشاركة تحت 5]]&gt;=1)*(COUNTIFS([1]!تفاصيل_الفرق[الفئة العمرية],"تحت 5",[1]!تفاصيل_الفرق[مدينة منظفة],TRIM([1]!التسجيل[[#This Row],[المدينة]]),[1]!تفاصيل_الفرق[مجموعة مكتملة],1)&gt;0))=0,"نعم","لا"))</f>
        <v/>
      </c>
      <c r="R565" s="62" t="n"/>
      <c r="S565" s="19" t="n"/>
    </row>
    <row r="566">
      <c r="B566" t="n">
        <v>513</v>
      </c>
      <c r="C566" t="inlineStr">
        <is>
          <t>باريس الجوف</t>
        </is>
      </c>
      <c r="D566" t="inlineStr">
        <is>
          <t>سعد الشراري</t>
        </is>
      </c>
      <c r="E566" t="n">
        <v>533292767</v>
      </c>
      <c r="F566" t="inlineStr">
        <is>
          <t>لايوجد</t>
        </is>
      </c>
      <c r="G566" t="inlineStr">
        <is>
          <t>هواة</t>
        </is>
      </c>
      <c r="H566" t="inlineStr">
        <is>
          <t>الجوف</t>
        </is>
      </c>
      <c r="I566" t="inlineStr">
        <is>
          <t>القريات</t>
        </is>
      </c>
      <c r="J566" t="inlineStr">
        <is>
          <t>الجوف</t>
        </is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inlineStr">
        <is>
          <t>لا</t>
        </is>
      </c>
      <c r="T566" t="inlineStr">
        <is>
          <t>نعم</t>
        </is>
      </c>
    </row>
  </sheetData>
  <dataValidations count="2">
    <dataValidation sqref="H3:H10 H12:H189 H191:H382 H538:H550 H552:H555 H557:H560 H562 H564:H4773" showDropDown="0" showInputMessage="0" showErrorMessage="1" allowBlank="1" errorTitle="مدينة جديدة" error="هذه المدينة غير موجودة في القائمة. اختر (نعم) لإضافتها، وستظهر تلقائياً في القائمة." type="list" errorStyle="warning">
      <formula1>قائمة_المدن</formula1>
    </dataValidation>
    <dataValidation sqref="F3:F565" showDropDown="0" showInputMessage="1" showErrorMessage="1" allowBlank="1" type="list">
      <formula1>"نادي,أكاديمية,هواة"</formula1>
    </dataValidation>
  </dataValidations>
  <printOptions horizontalCentered="1"/>
  <pageMargins left="0.7086614173228347" right="0.7086614173228347" top="0.7480314960629921" bottom="0.7480314960629921" header="0.3149606299212598" footer="0.3149606299212598"/>
  <pageSetup orientation="portrait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245"/>
  <sheetViews>
    <sheetView rightToLeft="1" topLeftCell="D227" workbookViewId="0">
      <selection activeCell="B1" sqref="B1:I245"/>
    </sheetView>
  </sheetViews>
  <sheetFormatPr baseColWidth="8" defaultRowHeight="14.5"/>
  <cols>
    <col width="5.7265625" customWidth="1" min="1" max="1"/>
    <col width="11" customWidth="1" min="2" max="2"/>
    <col width="16.36328125" customWidth="1" min="3" max="3"/>
    <col width="46.90625" bestFit="1" customWidth="1" min="4" max="4"/>
    <col width="23.54296875" bestFit="1" customWidth="1" min="5" max="5"/>
    <col width="15.26953125" bestFit="1" customWidth="1" min="6" max="6"/>
    <col width="25.7265625" customWidth="1" min="7" max="7"/>
    <col width="15.1796875" customWidth="1" min="8" max="8"/>
    <col width="13.7265625" bestFit="1" customWidth="1" min="9" max="9"/>
    <col width="12.08984375" bestFit="1" customWidth="1" min="10" max="10"/>
  </cols>
  <sheetData>
    <row r="1" ht="18.5" customHeight="1">
      <c r="B1" s="88" t="inlineStr">
        <is>
          <t>ENTRY ID</t>
        </is>
      </c>
      <c r="C1" s="88" t="inlineStr">
        <is>
          <t>اسم الفريق</t>
        </is>
      </c>
      <c r="D1" s="88" t="inlineStr">
        <is>
          <t xml:space="preserve">الاسم </t>
        </is>
      </c>
      <c r="E1" s="88" t="inlineStr">
        <is>
          <t>رقم الجوال</t>
        </is>
      </c>
      <c r="F1" s="88" t="inlineStr">
        <is>
          <t>اسم الملعب</t>
        </is>
      </c>
      <c r="G1" s="88" t="inlineStr">
        <is>
          <t>الصفة</t>
        </is>
      </c>
      <c r="H1" s="88" t="inlineStr">
        <is>
          <t>المنطقة</t>
        </is>
      </c>
      <c r="I1" s="88" t="inlineStr">
        <is>
          <t>المدينة المنورة</t>
        </is>
      </c>
    </row>
    <row r="2" ht="17" customHeight="1">
      <c r="B2" s="80" t="n">
        <v>1</v>
      </c>
      <c r="C2" s="80" t="inlineStr">
        <is>
          <t xml:space="preserve">m 1 </t>
        </is>
      </c>
      <c r="D2" s="80" t="inlineStr">
        <is>
          <t xml:space="preserve">موسى علي جمعة </t>
        </is>
      </c>
      <c r="E2" s="80" t="n">
        <v>510301850</v>
      </c>
      <c r="F2" s="80" t="inlineStr">
        <is>
          <t>لايوجد</t>
        </is>
      </c>
      <c r="G2" s="80" t="inlineStr">
        <is>
          <t>هواة</t>
        </is>
      </c>
      <c r="H2" s="80" t="inlineStr">
        <is>
          <t>المدينة المنورة</t>
        </is>
      </c>
      <c r="I2" s="80" t="inlineStr">
        <is>
          <t>المدينة المنورة</t>
        </is>
      </c>
    </row>
    <row r="3" ht="17" customHeight="1">
      <c r="B3" s="17" t="n">
        <v>2</v>
      </c>
      <c r="C3" s="17" t="inlineStr">
        <is>
          <t xml:space="preserve">اوتو مكة </t>
        </is>
      </c>
      <c r="D3" s="17" t="inlineStr">
        <is>
          <t>عمار عبدالله محمد</t>
        </is>
      </c>
      <c r="E3" s="17" t="n">
        <v>540782434</v>
      </c>
      <c r="F3" s="17" t="inlineStr">
        <is>
          <t>لايوجد</t>
        </is>
      </c>
      <c r="G3" s="17" t="inlineStr">
        <is>
          <t>هواة</t>
        </is>
      </c>
      <c r="H3" s="17" t="inlineStr">
        <is>
          <t>مكة المكرمة</t>
        </is>
      </c>
      <c r="I3" s="17" t="inlineStr">
        <is>
          <t>مكة المكرمة</t>
        </is>
      </c>
    </row>
    <row r="4" ht="17" customHeight="1">
      <c r="B4" s="80" t="n">
        <v>3</v>
      </c>
      <c r="C4" s="80" t="inlineStr">
        <is>
          <t xml:space="preserve">الامام يعقوب </t>
        </is>
      </c>
      <c r="D4" s="80" t="inlineStr">
        <is>
          <t>بدر قالط المطيري</t>
        </is>
      </c>
      <c r="E4" s="80" t="n">
        <v>560071810</v>
      </c>
      <c r="F4" s="80" t="inlineStr">
        <is>
          <t xml:space="preserve">لايوجد </t>
        </is>
      </c>
      <c r="G4" s="80" t="inlineStr">
        <is>
          <t>هواة</t>
        </is>
      </c>
      <c r="H4" s="80" t="inlineStr">
        <is>
          <t>المدينة المنورة</t>
        </is>
      </c>
      <c r="I4" s="80" t="inlineStr">
        <is>
          <t>المدينة المنورة</t>
        </is>
      </c>
    </row>
    <row r="5" ht="17" customHeight="1">
      <c r="B5" s="17" t="n">
        <v>4</v>
      </c>
      <c r="C5" s="17" t="inlineStr">
        <is>
          <t xml:space="preserve">الغد </t>
        </is>
      </c>
      <c r="D5" s="17" t="inlineStr">
        <is>
          <t>عبدالعزيز عطية عشوي</t>
        </is>
      </c>
      <c r="E5" s="17" t="n">
        <v>537560942</v>
      </c>
      <c r="F5" s="17" t="inlineStr">
        <is>
          <t>لايوجد</t>
        </is>
      </c>
      <c r="G5" s="17" t="inlineStr">
        <is>
          <t>هواة</t>
        </is>
      </c>
      <c r="H5" s="17" t="inlineStr">
        <is>
          <t>الرياض</t>
        </is>
      </c>
      <c r="I5" s="17" t="inlineStr">
        <is>
          <t>الرياض</t>
        </is>
      </c>
    </row>
    <row r="6" ht="17" customHeight="1">
      <c r="B6" s="80" t="n">
        <v>5</v>
      </c>
      <c r="C6" s="80" t="inlineStr">
        <is>
          <t xml:space="preserve">جسر النجوم </t>
        </is>
      </c>
      <c r="D6" s="80" t="inlineStr">
        <is>
          <t>سعود السعود</t>
        </is>
      </c>
      <c r="E6" s="80" t="n">
        <v>558122658</v>
      </c>
      <c r="F6" s="80" t="inlineStr">
        <is>
          <t xml:space="preserve">لايوجد </t>
        </is>
      </c>
      <c r="G6" s="80" t="inlineStr">
        <is>
          <t>هواة</t>
        </is>
      </c>
      <c r="H6" s="80" t="inlineStr">
        <is>
          <t>الرياض</t>
        </is>
      </c>
      <c r="I6" s="80" t="inlineStr">
        <is>
          <t>الرياض</t>
        </is>
      </c>
    </row>
    <row r="7" ht="17" customHeight="1">
      <c r="B7" s="17" t="n">
        <v>6</v>
      </c>
      <c r="C7" s="17" t="inlineStr">
        <is>
          <t xml:space="preserve">فيفا املج </t>
        </is>
      </c>
      <c r="D7" s="17" t="inlineStr">
        <is>
          <t xml:space="preserve">رضا علي الجهني </t>
        </is>
      </c>
      <c r="E7" s="17" t="n">
        <v>566580588</v>
      </c>
      <c r="F7" s="17" t="inlineStr">
        <is>
          <t>لايوجد</t>
        </is>
      </c>
      <c r="G7" s="17" t="inlineStr">
        <is>
          <t>هواة</t>
        </is>
      </c>
      <c r="H7" s="17" t="inlineStr">
        <is>
          <t>تبوك</t>
        </is>
      </c>
      <c r="I7" s="17" t="inlineStr">
        <is>
          <t>أملج</t>
        </is>
      </c>
    </row>
    <row r="8" ht="17" customHeight="1">
      <c r="B8" s="80" t="n">
        <v>7</v>
      </c>
      <c r="C8" s="80" t="inlineStr">
        <is>
          <t xml:space="preserve">أحلام الريان </t>
        </is>
      </c>
      <c r="D8" s="80" t="inlineStr">
        <is>
          <t xml:space="preserve">حسن محمد </t>
        </is>
      </c>
      <c r="E8" s="80" t="n">
        <v>545585613</v>
      </c>
      <c r="F8" s="80" t="inlineStr">
        <is>
          <t xml:space="preserve">لايوجد </t>
        </is>
      </c>
      <c r="G8" s="80" t="inlineStr">
        <is>
          <t>هواة</t>
        </is>
      </c>
      <c r="H8" s="80" t="inlineStr">
        <is>
          <t>جازان</t>
        </is>
      </c>
      <c r="I8" s="80" t="inlineStr">
        <is>
          <t>أحد المسارحة</t>
        </is>
      </c>
    </row>
    <row r="9" ht="17" customHeight="1">
      <c r="B9" s="17" t="n">
        <v>8</v>
      </c>
      <c r="C9" s="17" t="inlineStr">
        <is>
          <t>شعلة الهفوف</t>
        </is>
      </c>
      <c r="D9" s="17" t="inlineStr">
        <is>
          <t>بدر السعيد</t>
        </is>
      </c>
      <c r="E9" s="17" t="n">
        <v>567232330</v>
      </c>
      <c r="F9" s="17" t="inlineStr">
        <is>
          <t xml:space="preserve">لايوجد </t>
        </is>
      </c>
      <c r="G9" s="17" t="inlineStr">
        <is>
          <t>هواة</t>
        </is>
      </c>
      <c r="H9" s="17" t="inlineStr">
        <is>
          <t>الشرقية</t>
        </is>
      </c>
      <c r="I9" s="17" t="inlineStr">
        <is>
          <t>الأحساء</t>
        </is>
      </c>
    </row>
    <row r="10" ht="17" customHeight="1">
      <c r="B10" s="80" t="n">
        <v>9</v>
      </c>
      <c r="C10" s="80" t="inlineStr">
        <is>
          <t xml:space="preserve">نجوم الاحساء </t>
        </is>
      </c>
      <c r="D10" s="80" t="inlineStr">
        <is>
          <t xml:space="preserve">عبدالاله العيسى </t>
        </is>
      </c>
      <c r="E10" s="80" t="n">
        <v>504855301</v>
      </c>
      <c r="F10" s="80" t="inlineStr">
        <is>
          <t xml:space="preserve">لايوجد </t>
        </is>
      </c>
      <c r="G10" s="80" t="inlineStr">
        <is>
          <t>هواة</t>
        </is>
      </c>
      <c r="H10" s="80" t="inlineStr">
        <is>
          <t>الشرقية</t>
        </is>
      </c>
      <c r="I10" s="80" t="inlineStr">
        <is>
          <t>الأحساء</t>
        </is>
      </c>
    </row>
    <row r="11" ht="17" customHeight="1">
      <c r="B11" s="17" t="n">
        <v>10</v>
      </c>
      <c r="C11" s="17" t="inlineStr">
        <is>
          <t>الوطن الاحساء</t>
        </is>
      </c>
      <c r="D11" s="17" t="inlineStr">
        <is>
          <t xml:space="preserve">عبدالعزيز السلمان </t>
        </is>
      </c>
      <c r="E11" s="17" t="n">
        <v>505929798</v>
      </c>
      <c r="F11" s="17" t="inlineStr">
        <is>
          <t xml:space="preserve">لايوجد </t>
        </is>
      </c>
      <c r="G11" s="17" t="inlineStr">
        <is>
          <t>هواة</t>
        </is>
      </c>
      <c r="H11" s="17" t="inlineStr">
        <is>
          <t>الشرقية</t>
        </is>
      </c>
      <c r="I11" s="17" t="inlineStr">
        <is>
          <t>الأحساء</t>
        </is>
      </c>
    </row>
    <row r="12" ht="17" customHeight="1">
      <c r="B12" s="80" t="n">
        <v>11</v>
      </c>
      <c r="C12" s="80" t="inlineStr">
        <is>
          <t xml:space="preserve">الطليعة </t>
        </is>
      </c>
      <c r="D12" s="80" t="inlineStr">
        <is>
          <t xml:space="preserve">علي الفرج  </t>
        </is>
      </c>
      <c r="E12" s="80" t="n">
        <v>540795210</v>
      </c>
      <c r="F12" s="80" t="inlineStr">
        <is>
          <t>لايوجد</t>
        </is>
      </c>
      <c r="G12" s="80" t="inlineStr">
        <is>
          <t>هواة</t>
        </is>
      </c>
      <c r="H12" s="80" t="inlineStr">
        <is>
          <t>الشرقية</t>
        </is>
      </c>
      <c r="I12" s="80" t="inlineStr">
        <is>
          <t>الأحساء</t>
        </is>
      </c>
    </row>
    <row r="13" ht="17" customHeight="1">
      <c r="B13" s="17" t="n">
        <v>12</v>
      </c>
      <c r="C13" s="17" t="inlineStr">
        <is>
          <t xml:space="preserve">الضحى </t>
        </is>
      </c>
      <c r="D13" s="17" t="inlineStr">
        <is>
          <t xml:space="preserve">محمد العبيدان </t>
        </is>
      </c>
      <c r="E13" s="17" t="n">
        <v>544474405</v>
      </c>
      <c r="F13" s="17" t="inlineStr">
        <is>
          <t>لايوجد</t>
        </is>
      </c>
      <c r="G13" s="17" t="inlineStr">
        <is>
          <t>هواة</t>
        </is>
      </c>
      <c r="H13" s="17" t="inlineStr">
        <is>
          <t>الشرقية</t>
        </is>
      </c>
      <c r="I13" s="17" t="inlineStr">
        <is>
          <t>الأحساء</t>
        </is>
      </c>
    </row>
    <row r="14" ht="17" customHeight="1">
      <c r="B14" s="80" t="n">
        <v>13</v>
      </c>
      <c r="C14" s="80" t="inlineStr">
        <is>
          <t xml:space="preserve">مواهب رماح </t>
        </is>
      </c>
      <c r="D14" s="80" t="inlineStr">
        <is>
          <t xml:space="preserve">ناصر جحيان </t>
        </is>
      </c>
      <c r="E14" s="80" t="n">
        <v>503118340</v>
      </c>
      <c r="F14" s="80" t="inlineStr">
        <is>
          <t xml:space="preserve">لايوجد </t>
        </is>
      </c>
      <c r="G14" s="80" t="inlineStr">
        <is>
          <t>هواة</t>
        </is>
      </c>
      <c r="H14" s="80" t="inlineStr">
        <is>
          <t>الرياض</t>
        </is>
      </c>
      <c r="I14" s="80" t="inlineStr">
        <is>
          <t>الرياض</t>
        </is>
      </c>
    </row>
    <row r="15" ht="17" customHeight="1">
      <c r="B15" s="17" t="n">
        <v>14</v>
      </c>
      <c r="C15" s="17" t="inlineStr">
        <is>
          <t>العاصمة البيضاء</t>
        </is>
      </c>
      <c r="D15" s="17" t="inlineStr">
        <is>
          <t xml:space="preserve">نايف الحساني </t>
        </is>
      </c>
      <c r="E15" s="17" t="n">
        <v>555519604</v>
      </c>
      <c r="F15" s="17" t="inlineStr">
        <is>
          <t>لايوجد</t>
        </is>
      </c>
      <c r="G15" s="17" t="inlineStr">
        <is>
          <t>هواة</t>
        </is>
      </c>
      <c r="H15" s="17" t="inlineStr">
        <is>
          <t>مكة المكرمة</t>
        </is>
      </c>
      <c r="I15" s="17" t="inlineStr">
        <is>
          <t>مكة المكرمة</t>
        </is>
      </c>
    </row>
    <row r="16" ht="17" customHeight="1">
      <c r="B16" s="80" t="n">
        <v>15</v>
      </c>
      <c r="C16" s="80" t="inlineStr">
        <is>
          <t xml:space="preserve">انوار الفضول </t>
        </is>
      </c>
      <c r="D16" s="80" t="inlineStr">
        <is>
          <t>ناجي العبدالرضا</t>
        </is>
      </c>
      <c r="E16" s="80" t="n">
        <v>504921358</v>
      </c>
      <c r="F16" s="80" t="inlineStr">
        <is>
          <t>لايوجد</t>
        </is>
      </c>
      <c r="G16" s="80" t="inlineStr">
        <is>
          <t>هواة</t>
        </is>
      </c>
      <c r="H16" s="80" t="inlineStr">
        <is>
          <t>الشرقية</t>
        </is>
      </c>
      <c r="I16" s="80" t="inlineStr">
        <is>
          <t>الأحساء</t>
        </is>
      </c>
    </row>
    <row r="17" ht="17" customHeight="1">
      <c r="B17" s="17" t="n">
        <v>16</v>
      </c>
      <c r="C17" s="17" t="inlineStr">
        <is>
          <t xml:space="preserve">الكواسر </t>
        </is>
      </c>
      <c r="D17" s="17" t="inlineStr">
        <is>
          <t xml:space="preserve">منصور العطية </t>
        </is>
      </c>
      <c r="E17" s="17" t="n">
        <v>506924761</v>
      </c>
      <c r="F17" s="17" t="inlineStr">
        <is>
          <t xml:space="preserve">لايوجد </t>
        </is>
      </c>
      <c r="G17" s="17" t="inlineStr">
        <is>
          <t>هواة</t>
        </is>
      </c>
      <c r="H17" s="17" t="inlineStr">
        <is>
          <t>الشرقية</t>
        </is>
      </c>
      <c r="I17" s="17" t="inlineStr">
        <is>
          <t>الأحساء</t>
        </is>
      </c>
    </row>
    <row r="18" ht="17" customHeight="1">
      <c r="B18" s="80" t="n">
        <v>17</v>
      </c>
      <c r="C18" s="80" t="inlineStr">
        <is>
          <t xml:space="preserve">ريف جواثا </t>
        </is>
      </c>
      <c r="D18" s="80" t="inlineStr">
        <is>
          <t xml:space="preserve">لافي المرفوعي </t>
        </is>
      </c>
      <c r="E18" s="80" t="n">
        <v>555903375</v>
      </c>
      <c r="F18" s="80" t="inlineStr">
        <is>
          <t xml:space="preserve">لايوجد </t>
        </is>
      </c>
      <c r="G18" s="80" t="inlineStr">
        <is>
          <t>هواة</t>
        </is>
      </c>
      <c r="H18" s="80" t="inlineStr">
        <is>
          <t>الشرقية</t>
        </is>
      </c>
      <c r="I18" s="80" t="inlineStr">
        <is>
          <t>الأحساء</t>
        </is>
      </c>
    </row>
    <row r="19" ht="17" customHeight="1">
      <c r="B19" s="17" t="n">
        <v>18</v>
      </c>
      <c r="C19" s="17" t="inlineStr">
        <is>
          <t xml:space="preserve">ون فاير </t>
        </is>
      </c>
      <c r="D19" s="17" t="inlineStr">
        <is>
          <t xml:space="preserve">يوسف المطيري </t>
        </is>
      </c>
      <c r="E19" s="17" t="n">
        <v>565503931</v>
      </c>
      <c r="F19" s="17" t="inlineStr">
        <is>
          <t xml:space="preserve">لايوجد </t>
        </is>
      </c>
      <c r="G19" s="17" t="inlineStr">
        <is>
          <t>هواة</t>
        </is>
      </c>
      <c r="H19" s="17" t="inlineStr">
        <is>
          <t>الرياض</t>
        </is>
      </c>
      <c r="I19" s="17" t="inlineStr">
        <is>
          <t>الرياض</t>
        </is>
      </c>
    </row>
    <row r="20" ht="17" customHeight="1">
      <c r="B20" s="80" t="n">
        <v>19</v>
      </c>
      <c r="C20" s="80" t="inlineStr">
        <is>
          <t xml:space="preserve">الوسام </t>
        </is>
      </c>
      <c r="D20" s="80" t="inlineStr">
        <is>
          <t>يحيي علي علي</t>
        </is>
      </c>
      <c r="E20" s="82" t="inlineStr">
        <is>
          <t>966506745595</t>
        </is>
      </c>
      <c r="F20" s="80" t="inlineStr">
        <is>
          <t>لايوجد</t>
        </is>
      </c>
      <c r="G20" s="80" t="inlineStr">
        <is>
          <t>هواة</t>
        </is>
      </c>
      <c r="H20" s="80" t="inlineStr">
        <is>
          <t>جازان</t>
        </is>
      </c>
      <c r="I20" s="80" t="inlineStr">
        <is>
          <t>أحد المسارحة</t>
        </is>
      </c>
    </row>
    <row r="21" ht="17" customHeight="1">
      <c r="B21" s="17" t="n">
        <v>20</v>
      </c>
      <c r="C21" s="17" t="inlineStr">
        <is>
          <t xml:space="preserve">خليج الطرف </t>
        </is>
      </c>
      <c r="D21" s="17" t="inlineStr">
        <is>
          <t>محمد حسين الفرحان</t>
        </is>
      </c>
      <c r="E21" s="44" t="inlineStr">
        <is>
          <t>966546003311</t>
        </is>
      </c>
      <c r="F21" s="17" t="inlineStr">
        <is>
          <t xml:space="preserve">لايوجد </t>
        </is>
      </c>
      <c r="G21" s="17" t="inlineStr">
        <is>
          <t>هواة</t>
        </is>
      </c>
      <c r="H21" s="17" t="inlineStr">
        <is>
          <t>الشرقية</t>
        </is>
      </c>
      <c r="I21" s="17" t="inlineStr">
        <is>
          <t>الأحساء</t>
        </is>
      </c>
    </row>
    <row r="22" ht="17" customHeight="1">
      <c r="B22" s="80" t="n">
        <v>21</v>
      </c>
      <c r="C22" s="80" t="inlineStr">
        <is>
          <t xml:space="preserve">الوحوش </t>
        </is>
      </c>
      <c r="D22" s="80" t="inlineStr">
        <is>
          <t>أحمد يحيى عثمان مغفوري</t>
        </is>
      </c>
      <c r="E22" s="80" t="inlineStr">
        <is>
          <t>966534241659</t>
        </is>
      </c>
      <c r="F22" s="80" t="inlineStr">
        <is>
          <t xml:space="preserve">لايوجد </t>
        </is>
      </c>
      <c r="G22" s="80" t="inlineStr">
        <is>
          <t>هواة</t>
        </is>
      </c>
      <c r="H22" s="80" t="inlineStr">
        <is>
          <t>جازان</t>
        </is>
      </c>
      <c r="I22" s="80" t="inlineStr">
        <is>
          <t>أحد المسارحة</t>
        </is>
      </c>
    </row>
    <row r="23" ht="17" customHeight="1">
      <c r="B23" s="17" t="n">
        <v>22</v>
      </c>
      <c r="C23" s="17" t="inlineStr">
        <is>
          <t>النور بالبطالية</t>
        </is>
      </c>
      <c r="D23" s="17" t="inlineStr">
        <is>
          <t xml:space="preserve">حسن محمد </t>
        </is>
      </c>
      <c r="E23" s="17" t="n">
        <v>559469682</v>
      </c>
      <c r="F23" s="17" t="inlineStr">
        <is>
          <t xml:space="preserve">لايوجد </t>
        </is>
      </c>
      <c r="G23" s="17" t="inlineStr">
        <is>
          <t>هواة</t>
        </is>
      </c>
      <c r="H23" s="17" t="inlineStr">
        <is>
          <t>الشرقية</t>
        </is>
      </c>
      <c r="I23" s="17" t="inlineStr">
        <is>
          <t>الأحساء</t>
        </is>
      </c>
    </row>
    <row r="24" ht="17" customHeight="1">
      <c r="B24" s="80" t="n">
        <v>23</v>
      </c>
      <c r="C24" s="80" t="inlineStr">
        <is>
          <t>سحار</t>
        </is>
      </c>
      <c r="D24" s="80" t="inlineStr">
        <is>
          <t>سلطان سلمان حسين سحاري</t>
        </is>
      </c>
      <c r="E24" s="80" t="inlineStr">
        <is>
          <t>966557635989</t>
        </is>
      </c>
      <c r="F24" s="80" t="inlineStr">
        <is>
          <t xml:space="preserve">لايوجد </t>
        </is>
      </c>
      <c r="G24" s="80" t="inlineStr">
        <is>
          <t>هواة</t>
        </is>
      </c>
      <c r="H24" s="80" t="inlineStr">
        <is>
          <t>جازان</t>
        </is>
      </c>
      <c r="I24" s="80" t="inlineStr">
        <is>
          <t>جيزان</t>
        </is>
      </c>
    </row>
    <row r="25" ht="17" customHeight="1">
      <c r="B25" s="17" t="n">
        <v>24</v>
      </c>
      <c r="C25" s="17" t="inlineStr">
        <is>
          <t xml:space="preserve">تعاون الشعفولية </t>
        </is>
      </c>
      <c r="D25" s="17" t="inlineStr">
        <is>
          <t>سامي عبده علي كليبي</t>
        </is>
      </c>
      <c r="E25" s="17" t="inlineStr">
        <is>
          <t>966537506528</t>
        </is>
      </c>
      <c r="F25" s="17" t="inlineStr">
        <is>
          <t xml:space="preserve">لايوجد </t>
        </is>
      </c>
      <c r="G25" s="17" t="inlineStr">
        <is>
          <t>هواة</t>
        </is>
      </c>
      <c r="H25" s="17" t="inlineStr">
        <is>
          <t>جازان</t>
        </is>
      </c>
      <c r="I25" s="17" t="inlineStr">
        <is>
          <t>أحد المسارحة</t>
        </is>
      </c>
    </row>
    <row r="26" ht="17" customHeight="1">
      <c r="B26" s="80" t="n">
        <v>25</v>
      </c>
      <c r="C26" s="80" t="inlineStr">
        <is>
          <t>برذرتيم</t>
        </is>
      </c>
      <c r="D26" s="80" t="inlineStr">
        <is>
          <t>صالح خليفة صالح المزيعل</t>
        </is>
      </c>
      <c r="E26" s="82" t="inlineStr">
        <is>
          <t>966508657775</t>
        </is>
      </c>
      <c r="F26" s="80" t="inlineStr">
        <is>
          <t>لايوجد</t>
        </is>
      </c>
      <c r="G26" s="80" t="inlineStr">
        <is>
          <t>هواة</t>
        </is>
      </c>
      <c r="H26" s="80" t="inlineStr">
        <is>
          <t>الشرقية</t>
        </is>
      </c>
      <c r="I26" s="80" t="inlineStr">
        <is>
          <t>الأحساء</t>
        </is>
      </c>
    </row>
    <row r="27" ht="17" customHeight="1">
      <c r="B27" s="17" t="n">
        <v>26</v>
      </c>
      <c r="C27" s="17" t="inlineStr">
        <is>
          <t>السويديه</t>
        </is>
      </c>
      <c r="D27" s="17" t="inlineStr">
        <is>
          <t>احمد محمد عبدالله كليبي</t>
        </is>
      </c>
      <c r="E27" s="17" t="inlineStr">
        <is>
          <t>966534565885</t>
        </is>
      </c>
      <c r="F27" s="17" t="inlineStr">
        <is>
          <t xml:space="preserve">لايوجد </t>
        </is>
      </c>
      <c r="G27" s="17" t="inlineStr">
        <is>
          <t>هواة</t>
        </is>
      </c>
      <c r="H27" s="17" t="inlineStr">
        <is>
          <t>جازان</t>
        </is>
      </c>
      <c r="I27" s="17" t="inlineStr">
        <is>
          <t>أحد المسارحة</t>
        </is>
      </c>
    </row>
    <row r="28" ht="17" customHeight="1">
      <c r="B28" s="80" t="n">
        <v>27</v>
      </c>
      <c r="C28" s="80" t="inlineStr">
        <is>
          <t xml:space="preserve">الرابية </t>
        </is>
      </c>
      <c r="D28" s="80" t="inlineStr">
        <is>
          <t>امين الحنابي</t>
        </is>
      </c>
      <c r="E28" s="82" t="inlineStr">
        <is>
          <t>966551745791</t>
        </is>
      </c>
      <c r="F28" s="80" t="inlineStr">
        <is>
          <t xml:space="preserve">لايوجد </t>
        </is>
      </c>
      <c r="G28" s="80" t="inlineStr">
        <is>
          <t>هواة</t>
        </is>
      </c>
      <c r="H28" s="80" t="inlineStr">
        <is>
          <t>الشرقية</t>
        </is>
      </c>
      <c r="I28" s="80" t="inlineStr">
        <is>
          <t>الأحساء</t>
        </is>
      </c>
    </row>
    <row r="29" ht="17" customHeight="1">
      <c r="B29" s="17" t="n">
        <v>28</v>
      </c>
      <c r="C29" s="17" t="inlineStr">
        <is>
          <t>الجاردن</t>
        </is>
      </c>
      <c r="D29" s="17" t="inlineStr">
        <is>
          <t>انس محمد  احمد  مظفر</t>
        </is>
      </c>
      <c r="E29" s="17" t="inlineStr">
        <is>
          <t>966561909044</t>
        </is>
      </c>
      <c r="F29" s="17" t="inlineStr">
        <is>
          <t xml:space="preserve">لايوجد </t>
        </is>
      </c>
      <c r="G29" s="17" t="inlineStr">
        <is>
          <t>هواة</t>
        </is>
      </c>
      <c r="H29" s="17" t="inlineStr">
        <is>
          <t>جازان</t>
        </is>
      </c>
      <c r="I29" s="17" t="inlineStr">
        <is>
          <t>جيزان</t>
        </is>
      </c>
    </row>
    <row r="30" ht="17" customHeight="1">
      <c r="B30" s="80" t="n">
        <v>29</v>
      </c>
      <c r="C30" s="80" t="inlineStr">
        <is>
          <t>احلام النورس</t>
        </is>
      </c>
      <c r="D30" s="80" t="inlineStr">
        <is>
          <t>عوض يحيى كعكوم حومان</t>
        </is>
      </c>
      <c r="E30" s="80" t="inlineStr">
        <is>
          <t>966508284215</t>
        </is>
      </c>
      <c r="F30" s="80" t="inlineStr">
        <is>
          <t xml:space="preserve">لايوجد </t>
        </is>
      </c>
      <c r="G30" s="80" t="inlineStr">
        <is>
          <t>هواة</t>
        </is>
      </c>
      <c r="H30" s="80" t="inlineStr">
        <is>
          <t>جازان</t>
        </is>
      </c>
      <c r="I30" s="80" t="inlineStr">
        <is>
          <t>أحد المسارحة</t>
        </is>
      </c>
    </row>
    <row r="31" ht="17" customHeight="1">
      <c r="B31" s="17" t="n">
        <v>30</v>
      </c>
      <c r="C31" s="17" t="inlineStr">
        <is>
          <t xml:space="preserve">أمجاد الخشابية </t>
        </is>
      </c>
      <c r="D31" s="17" t="inlineStr">
        <is>
          <t>علي هادي هادي مسملي</t>
        </is>
      </c>
      <c r="E31" s="17" t="inlineStr">
        <is>
          <t>966507799054</t>
        </is>
      </c>
      <c r="F31" s="17" t="inlineStr">
        <is>
          <t xml:space="preserve">لايوجد </t>
        </is>
      </c>
      <c r="G31" s="17" t="inlineStr">
        <is>
          <t>هواة</t>
        </is>
      </c>
      <c r="H31" s="17" t="inlineStr">
        <is>
          <t>جازان</t>
        </is>
      </c>
      <c r="I31" s="17" t="inlineStr">
        <is>
          <t>أبو عريش</t>
        </is>
      </c>
    </row>
    <row r="32" ht="17" customHeight="1">
      <c r="B32" s="80" t="n">
        <v>31</v>
      </c>
      <c r="C32" s="80" t="inlineStr">
        <is>
          <t xml:space="preserve">أجيال الفيصل </t>
        </is>
      </c>
      <c r="D32" s="80" t="inlineStr">
        <is>
          <t>طاهر أحمد حسين الزارعي</t>
        </is>
      </c>
      <c r="E32" s="80" t="inlineStr">
        <is>
          <t>966555977647</t>
        </is>
      </c>
      <c r="F32" s="80" t="inlineStr">
        <is>
          <t>لايوجد</t>
        </is>
      </c>
      <c r="G32" s="80" t="inlineStr">
        <is>
          <t>هواة</t>
        </is>
      </c>
      <c r="H32" s="80" t="inlineStr">
        <is>
          <t>الشرقية</t>
        </is>
      </c>
      <c r="I32" s="80" t="inlineStr">
        <is>
          <t>الأحساء</t>
        </is>
      </c>
    </row>
    <row r="33" ht="17" customHeight="1">
      <c r="B33" s="17" t="n">
        <v>32</v>
      </c>
      <c r="C33" s="17" t="inlineStr">
        <is>
          <t>تورنيدو</t>
        </is>
      </c>
      <c r="D33" s="17" t="inlineStr">
        <is>
          <t>عبدالرحمن راجي القثامي</t>
        </is>
      </c>
      <c r="E33" s="17" t="n">
        <v>503041496</v>
      </c>
      <c r="F33" s="17" t="inlineStr">
        <is>
          <t>لايوجد</t>
        </is>
      </c>
      <c r="G33" s="17" t="inlineStr">
        <is>
          <t>هواة</t>
        </is>
      </c>
      <c r="H33" s="17" t="inlineStr">
        <is>
          <t>مكة المكرمة</t>
        </is>
      </c>
      <c r="I33" s="17" t="inlineStr">
        <is>
          <t>الطائف</t>
        </is>
      </c>
    </row>
    <row r="34" ht="17" customHeight="1">
      <c r="B34" s="80" t="n">
        <v>33</v>
      </c>
      <c r="C34" s="80" t="inlineStr">
        <is>
          <t>جميما</t>
        </is>
      </c>
      <c r="D34" s="80" t="inlineStr">
        <is>
          <t>ابراهيم حمود هديس</t>
        </is>
      </c>
      <c r="E34" s="80" t="n">
        <v>507575082</v>
      </c>
      <c r="F34" s="80" t="inlineStr">
        <is>
          <t xml:space="preserve">لايوجد </t>
        </is>
      </c>
      <c r="G34" s="80" t="inlineStr">
        <is>
          <t>هواة</t>
        </is>
      </c>
      <c r="H34" s="80" t="inlineStr">
        <is>
          <t>جازان</t>
        </is>
      </c>
      <c r="I34" s="80" t="inlineStr">
        <is>
          <t>صبيا</t>
        </is>
      </c>
    </row>
    <row r="35" ht="17" customHeight="1">
      <c r="B35" s="17" t="n">
        <v>34</v>
      </c>
      <c r="C35" s="17" t="inlineStr">
        <is>
          <t xml:space="preserve">المحمدية </t>
        </is>
      </c>
      <c r="D35" s="17" t="inlineStr">
        <is>
          <t>ابراهيم سالم حيسي</t>
        </is>
      </c>
      <c r="E35" s="17" t="n">
        <v>590059965</v>
      </c>
      <c r="F35" s="17" t="inlineStr">
        <is>
          <t xml:space="preserve">لايوجد </t>
        </is>
      </c>
      <c r="G35" s="17" t="inlineStr">
        <is>
          <t>هواة</t>
        </is>
      </c>
      <c r="H35" s="17" t="inlineStr">
        <is>
          <t>جازان</t>
        </is>
      </c>
      <c r="I35" s="17" t="inlineStr">
        <is>
          <t>صبيا</t>
        </is>
      </c>
    </row>
    <row r="36" ht="17" customHeight="1">
      <c r="B36" s="80" t="n">
        <v>35</v>
      </c>
      <c r="C36" s="80" t="inlineStr">
        <is>
          <t>الشاطئ</t>
        </is>
      </c>
      <c r="D36" s="80" t="inlineStr">
        <is>
          <t xml:space="preserve">ابراهيم يحيى عيشة </t>
        </is>
      </c>
      <c r="E36" s="80" t="n">
        <v>504403817</v>
      </c>
      <c r="F36" s="80" t="inlineStr">
        <is>
          <t xml:space="preserve">لايوجد </t>
        </is>
      </c>
      <c r="G36" s="80" t="inlineStr">
        <is>
          <t>هواة</t>
        </is>
      </c>
      <c r="H36" s="80" t="inlineStr">
        <is>
          <t>جازان</t>
        </is>
      </c>
      <c r="I36" s="80" t="inlineStr">
        <is>
          <t>صبيا</t>
        </is>
      </c>
    </row>
    <row r="37" ht="17" customHeight="1">
      <c r="B37" s="17" t="n">
        <v>36</v>
      </c>
      <c r="C37" s="17" t="inlineStr">
        <is>
          <t xml:space="preserve">العروبة بجخيرة </t>
        </is>
      </c>
      <c r="D37" s="17" t="inlineStr">
        <is>
          <t xml:space="preserve">العابد ابراهيم الذروي </t>
        </is>
      </c>
      <c r="E37" s="17" t="n">
        <v>507766299</v>
      </c>
      <c r="F37" s="17" t="inlineStr">
        <is>
          <t xml:space="preserve">لايوجد </t>
        </is>
      </c>
      <c r="G37" s="17" t="inlineStr">
        <is>
          <t>هواة</t>
        </is>
      </c>
      <c r="H37" s="17" t="inlineStr">
        <is>
          <t>جازان</t>
        </is>
      </c>
      <c r="I37" s="17" t="inlineStr">
        <is>
          <t>صبيا</t>
        </is>
      </c>
    </row>
    <row r="38" ht="17" customHeight="1">
      <c r="B38" s="80" t="n">
        <v>37</v>
      </c>
      <c r="C38" s="80" t="inlineStr">
        <is>
          <t xml:space="preserve">العدايا </t>
        </is>
      </c>
      <c r="D38" s="80" t="inlineStr">
        <is>
          <t xml:space="preserve">سعود ابو الفضائل </t>
        </is>
      </c>
      <c r="E38" s="80" t="n">
        <v>506786649</v>
      </c>
      <c r="F38" s="80" t="inlineStr">
        <is>
          <t xml:space="preserve">لايوجد </t>
        </is>
      </c>
      <c r="G38" s="80" t="inlineStr">
        <is>
          <t>هواة</t>
        </is>
      </c>
      <c r="H38" s="80" t="inlineStr">
        <is>
          <t>جازان</t>
        </is>
      </c>
      <c r="I38" s="80" t="inlineStr">
        <is>
          <t>جيزان</t>
        </is>
      </c>
    </row>
    <row r="39" ht="17" customHeight="1">
      <c r="B39" s="17" t="n">
        <v>38</v>
      </c>
      <c r="C39" s="17" t="inlineStr">
        <is>
          <t xml:space="preserve">نجوم النخبة </t>
        </is>
      </c>
      <c r="D39" s="17" t="inlineStr">
        <is>
          <t xml:space="preserve">عادل عويض العتيبي </t>
        </is>
      </c>
      <c r="E39" s="17" t="n">
        <v>558947547</v>
      </c>
      <c r="F39" s="17" t="inlineStr">
        <is>
          <t xml:space="preserve">لايوجد </t>
        </is>
      </c>
      <c r="G39" s="17" t="inlineStr">
        <is>
          <t>هواة</t>
        </is>
      </c>
      <c r="H39" s="17" t="inlineStr">
        <is>
          <t>مكة المكرمة</t>
        </is>
      </c>
      <c r="I39" s="17" t="inlineStr">
        <is>
          <t>الطائف</t>
        </is>
      </c>
    </row>
    <row r="40" ht="17" customHeight="1">
      <c r="B40" s="80" t="n">
        <v>39</v>
      </c>
      <c r="C40" s="80" t="inlineStr">
        <is>
          <t xml:space="preserve">إتحاد صامطة </t>
        </is>
      </c>
      <c r="D40" s="80" t="inlineStr">
        <is>
          <t xml:space="preserve">عبدالله ابراهيم مدخلي </t>
        </is>
      </c>
      <c r="E40" s="80" t="n">
        <v>551351433</v>
      </c>
      <c r="F40" s="80" t="inlineStr">
        <is>
          <t xml:space="preserve">لايوجد </t>
        </is>
      </c>
      <c r="G40" s="80" t="inlineStr">
        <is>
          <t>هواة</t>
        </is>
      </c>
      <c r="H40" s="80" t="inlineStr">
        <is>
          <t>جازان</t>
        </is>
      </c>
      <c r="I40" s="80" t="inlineStr">
        <is>
          <t>صامطة</t>
        </is>
      </c>
    </row>
    <row r="41" ht="17" customHeight="1">
      <c r="B41" s="17" t="n">
        <v>40</v>
      </c>
      <c r="C41" s="17" t="inlineStr">
        <is>
          <t>التضامن</t>
        </is>
      </c>
      <c r="D41" s="17" t="inlineStr">
        <is>
          <t xml:space="preserve">علي ابراهيم خلوفه </t>
        </is>
      </c>
      <c r="E41" s="17" t="n">
        <v>507826500</v>
      </c>
      <c r="F41" s="17" t="inlineStr">
        <is>
          <t xml:space="preserve">لايوجد </t>
        </is>
      </c>
      <c r="G41" s="17" t="inlineStr">
        <is>
          <t>هواة</t>
        </is>
      </c>
      <c r="H41" s="17" t="inlineStr">
        <is>
          <t>جازان</t>
        </is>
      </c>
      <c r="I41" s="17" t="inlineStr">
        <is>
          <t>صامطة</t>
        </is>
      </c>
    </row>
    <row r="42" ht="17" customHeight="1">
      <c r="B42" s="80" t="n">
        <v>41</v>
      </c>
      <c r="C42" s="80" t="inlineStr">
        <is>
          <t>النمور</t>
        </is>
      </c>
      <c r="D42" s="80" t="inlineStr">
        <is>
          <t>علي توفيق الجاسم</t>
        </is>
      </c>
      <c r="E42" s="80" t="n">
        <v>563244400</v>
      </c>
      <c r="F42" s="80" t="inlineStr">
        <is>
          <t xml:space="preserve">لايوجد </t>
        </is>
      </c>
      <c r="G42" s="80" t="inlineStr">
        <is>
          <t>هواة</t>
        </is>
      </c>
      <c r="H42" s="80" t="inlineStr">
        <is>
          <t>الشرقية</t>
        </is>
      </c>
      <c r="I42" s="80" t="inlineStr">
        <is>
          <t>الأحساء</t>
        </is>
      </c>
    </row>
    <row r="43" ht="17" customHeight="1">
      <c r="B43" s="17" t="n">
        <v>42</v>
      </c>
      <c r="C43" s="17" t="inlineStr">
        <is>
          <t>القاضي</t>
        </is>
      </c>
      <c r="D43" s="17" t="inlineStr">
        <is>
          <t xml:space="preserve">خليل حسين سالم </t>
        </is>
      </c>
      <c r="E43" s="17" t="n">
        <v>535320370</v>
      </c>
      <c r="F43" s="17" t="inlineStr">
        <is>
          <t xml:space="preserve">لايوجد </t>
        </is>
      </c>
      <c r="G43" s="17" t="inlineStr">
        <is>
          <t>هواة</t>
        </is>
      </c>
      <c r="H43" s="17" t="inlineStr">
        <is>
          <t>جازان</t>
        </is>
      </c>
      <c r="I43" s="17" t="inlineStr">
        <is>
          <t>صبيا</t>
        </is>
      </c>
    </row>
    <row r="44" ht="17" customHeight="1">
      <c r="B44" s="80" t="n">
        <v>43</v>
      </c>
      <c r="C44" s="80" t="inlineStr">
        <is>
          <t xml:space="preserve">النورس بالرميلة </t>
        </is>
      </c>
      <c r="D44" s="80" t="inlineStr">
        <is>
          <t xml:space="preserve">علي الحساوي </t>
        </is>
      </c>
      <c r="E44" s="80" t="n">
        <v>562574033</v>
      </c>
      <c r="F44" s="80" t="inlineStr">
        <is>
          <t>لايوجد</t>
        </is>
      </c>
      <c r="G44" s="80" t="inlineStr">
        <is>
          <t>هواة</t>
        </is>
      </c>
      <c r="H44" s="80" t="inlineStr">
        <is>
          <t>الشرقية</t>
        </is>
      </c>
      <c r="I44" s="80" t="inlineStr">
        <is>
          <t>الأحساء</t>
        </is>
      </c>
    </row>
    <row r="45" ht="17" customHeight="1">
      <c r="B45" s="17" t="n">
        <v>44</v>
      </c>
      <c r="C45" s="17" t="inlineStr">
        <is>
          <t>النجوم بجازان</t>
        </is>
      </c>
      <c r="D45" s="17" t="inlineStr">
        <is>
          <t>محمد سالم الودعاني</t>
        </is>
      </c>
      <c r="E45" s="17" t="n">
        <v>507572755</v>
      </c>
      <c r="F45" s="17" t="inlineStr">
        <is>
          <t>لايوجد</t>
        </is>
      </c>
      <c r="G45" s="17" t="inlineStr">
        <is>
          <t>هواة</t>
        </is>
      </c>
      <c r="H45" s="17" t="inlineStr">
        <is>
          <t>جازان</t>
        </is>
      </c>
      <c r="I45" s="17" t="inlineStr">
        <is>
          <t>جيزان</t>
        </is>
      </c>
    </row>
    <row r="46" ht="17" customHeight="1">
      <c r="B46" s="80" t="n">
        <v>45</v>
      </c>
      <c r="C46" s="80" t="inlineStr">
        <is>
          <t xml:space="preserve">تعاون ديحمة </t>
        </is>
      </c>
      <c r="D46" s="80" t="inlineStr">
        <is>
          <t xml:space="preserve">مساعد شوك </t>
        </is>
      </c>
      <c r="E46" s="80" t="n">
        <v>505923229</v>
      </c>
      <c r="F46" s="80" t="inlineStr">
        <is>
          <t xml:space="preserve">لايوجد </t>
        </is>
      </c>
      <c r="G46" s="80" t="inlineStr">
        <is>
          <t>هواة</t>
        </is>
      </c>
      <c r="H46" s="80" t="inlineStr">
        <is>
          <t>جازان</t>
        </is>
      </c>
      <c r="I46" s="80" t="inlineStr">
        <is>
          <t>صامطة</t>
        </is>
      </c>
    </row>
    <row r="47" ht="17" customHeight="1">
      <c r="B47" s="17" t="n">
        <v>46</v>
      </c>
      <c r="C47" s="17" t="inlineStr">
        <is>
          <t>الجزيرة بالحسيني</t>
        </is>
      </c>
      <c r="D47" s="17" t="inlineStr">
        <is>
          <t>مصطفى الحازمي</t>
        </is>
      </c>
      <c r="E47" s="17" t="n">
        <v>500588768</v>
      </c>
      <c r="F47" s="17" t="inlineStr">
        <is>
          <t xml:space="preserve">لايوجد </t>
        </is>
      </c>
      <c r="G47" s="17" t="inlineStr">
        <is>
          <t>هواة</t>
        </is>
      </c>
      <c r="H47" s="17" t="inlineStr">
        <is>
          <t>جازان</t>
        </is>
      </c>
      <c r="I47" s="17" t="inlineStr">
        <is>
          <t>صبيا</t>
        </is>
      </c>
    </row>
    <row r="48" ht="17" customHeight="1">
      <c r="B48" s="80" t="n">
        <v>47</v>
      </c>
      <c r="C48" s="80" t="inlineStr">
        <is>
          <t xml:space="preserve">ون تو </t>
        </is>
      </c>
      <c r="D48" s="80" t="inlineStr">
        <is>
          <t>احمد الوشمي</t>
        </is>
      </c>
      <c r="E48" s="80" t="n">
        <v>503980009</v>
      </c>
      <c r="F48" s="80" t="inlineStr">
        <is>
          <t xml:space="preserve">لايوجد </t>
        </is>
      </c>
      <c r="G48" s="80" t="inlineStr">
        <is>
          <t>هواة</t>
        </is>
      </c>
      <c r="H48" s="80" t="inlineStr">
        <is>
          <t>القصيم</t>
        </is>
      </c>
      <c r="I48" s="80" t="inlineStr">
        <is>
          <t>بريدة</t>
        </is>
      </c>
    </row>
    <row r="49" ht="17" customHeight="1">
      <c r="B49" s="17" t="n">
        <v>48</v>
      </c>
      <c r="C49" s="17" t="inlineStr">
        <is>
          <t xml:space="preserve">السالمية </t>
        </is>
      </c>
      <c r="D49" s="17" t="inlineStr">
        <is>
          <t>حيدر هادي</t>
        </is>
      </c>
      <c r="E49" s="17" t="n">
        <v>501738972</v>
      </c>
      <c r="F49" s="17" t="inlineStr">
        <is>
          <t xml:space="preserve">لايوجد </t>
        </is>
      </c>
      <c r="G49" s="17" t="inlineStr">
        <is>
          <t>هواة</t>
        </is>
      </c>
      <c r="H49" s="17" t="inlineStr">
        <is>
          <t>جازان</t>
        </is>
      </c>
      <c r="I49" s="17" t="inlineStr">
        <is>
          <t>صبيا</t>
        </is>
      </c>
    </row>
    <row r="50" ht="17" customHeight="1">
      <c r="B50" s="80" t="n">
        <v>49</v>
      </c>
      <c r="C50" s="80" t="inlineStr">
        <is>
          <t>نجوم الروحاء</t>
        </is>
      </c>
      <c r="D50" s="80" t="inlineStr">
        <is>
          <t>زكريا هوساوي</t>
        </is>
      </c>
      <c r="E50" s="80" t="n">
        <v>506562141</v>
      </c>
      <c r="F50" s="80" t="inlineStr">
        <is>
          <t xml:space="preserve">لايوجد </t>
        </is>
      </c>
      <c r="G50" s="80" t="inlineStr">
        <is>
          <t>هواة</t>
        </is>
      </c>
      <c r="H50" s="80" t="inlineStr">
        <is>
          <t>مكة المكرمة</t>
        </is>
      </c>
      <c r="I50" s="80" t="inlineStr">
        <is>
          <t>مكة المكرمة</t>
        </is>
      </c>
    </row>
    <row r="51" ht="17" customHeight="1">
      <c r="B51" s="17" t="n">
        <v>50</v>
      </c>
      <c r="C51" s="17" t="inlineStr">
        <is>
          <t>سانتوس جيزان</t>
        </is>
      </c>
      <c r="D51" s="17" t="inlineStr">
        <is>
          <t>عبدالعزيز الحمدي</t>
        </is>
      </c>
      <c r="E51" s="17" t="n">
        <v>533252040</v>
      </c>
      <c r="F51" s="17" t="inlineStr">
        <is>
          <t xml:space="preserve">لايوجد </t>
        </is>
      </c>
      <c r="G51" s="17" t="inlineStr">
        <is>
          <t>هواة</t>
        </is>
      </c>
      <c r="H51" s="17" t="inlineStr">
        <is>
          <t>جازان</t>
        </is>
      </c>
      <c r="I51" s="17" t="inlineStr">
        <is>
          <t>جيزان</t>
        </is>
      </c>
    </row>
    <row r="52" ht="17" customHeight="1">
      <c r="B52" s="80" t="n">
        <v>51</v>
      </c>
      <c r="C52" s="80" t="inlineStr">
        <is>
          <t>صقور الوادي</t>
        </is>
      </c>
      <c r="D52" s="80" t="inlineStr">
        <is>
          <t>عبدالله غبيري</t>
        </is>
      </c>
      <c r="E52" s="80" t="n">
        <v>509764227</v>
      </c>
      <c r="F52" s="80" t="inlineStr">
        <is>
          <t>لايوجد</t>
        </is>
      </c>
      <c r="G52" s="80" t="inlineStr">
        <is>
          <t>هواة</t>
        </is>
      </c>
      <c r="H52" s="80" t="inlineStr">
        <is>
          <t>جازان</t>
        </is>
      </c>
      <c r="I52" s="80" t="inlineStr">
        <is>
          <t>جيزان</t>
        </is>
      </c>
    </row>
    <row r="53" ht="17" customHeight="1">
      <c r="B53" s="17" t="n">
        <v>52</v>
      </c>
      <c r="C53" s="17" t="inlineStr">
        <is>
          <t xml:space="preserve">الصمود </t>
        </is>
      </c>
      <c r="D53" s="17" t="inlineStr">
        <is>
          <t>عبدالله غروي</t>
        </is>
      </c>
      <c r="E53" s="79" t="n">
        <v>966536699596</v>
      </c>
      <c r="F53" s="17" t="inlineStr">
        <is>
          <t>لايوجد</t>
        </is>
      </c>
      <c r="G53" s="17" t="inlineStr">
        <is>
          <t>هواة</t>
        </is>
      </c>
      <c r="H53" s="17" t="inlineStr">
        <is>
          <t>جازان</t>
        </is>
      </c>
      <c r="I53" s="17" t="inlineStr">
        <is>
          <t>صبيا</t>
        </is>
      </c>
    </row>
    <row r="54" ht="17" customHeight="1">
      <c r="B54" s="80" t="n">
        <v>53</v>
      </c>
      <c r="C54" s="80" t="inlineStr">
        <is>
          <t xml:space="preserve">تعاون الطرشية </t>
        </is>
      </c>
      <c r="D54" s="80" t="inlineStr">
        <is>
          <t xml:space="preserve">ماجد خيرات </t>
        </is>
      </c>
      <c r="E54" s="80" t="n">
        <v>550404704</v>
      </c>
      <c r="F54" s="80" t="inlineStr">
        <is>
          <t xml:space="preserve">لايوجد </t>
        </is>
      </c>
      <c r="G54" s="80" t="inlineStr">
        <is>
          <t>هواة</t>
        </is>
      </c>
      <c r="H54" s="80" t="inlineStr">
        <is>
          <t>جازان</t>
        </is>
      </c>
      <c r="I54" s="80" t="inlineStr">
        <is>
          <t>صامطة</t>
        </is>
      </c>
    </row>
    <row r="55" ht="17" customHeight="1">
      <c r="B55" s="17" t="n">
        <v>54</v>
      </c>
      <c r="C55" s="17" t="inlineStr">
        <is>
          <t xml:space="preserve">زين المباركة </t>
        </is>
      </c>
      <c r="D55" s="17" t="inlineStr">
        <is>
          <t xml:space="preserve">يحيى عواف </t>
        </is>
      </c>
      <c r="E55" s="17" t="n">
        <v>534933757</v>
      </c>
      <c r="F55" s="17" t="inlineStr">
        <is>
          <t xml:space="preserve">لايوجد </t>
        </is>
      </c>
      <c r="G55" s="17" t="inlineStr">
        <is>
          <t>هواة</t>
        </is>
      </c>
      <c r="H55" s="17" t="inlineStr">
        <is>
          <t>جازان</t>
        </is>
      </c>
      <c r="I55" s="17" t="inlineStr">
        <is>
          <t>صامطة</t>
        </is>
      </c>
    </row>
    <row r="56" ht="17" customHeight="1">
      <c r="B56" s="80" t="n">
        <v>55</v>
      </c>
      <c r="C56" s="80" t="inlineStr">
        <is>
          <t xml:space="preserve">فريق بحلي </t>
        </is>
      </c>
      <c r="D56" s="80" t="inlineStr">
        <is>
          <t>مصلح الزبيدي</t>
        </is>
      </c>
      <c r="E56" s="80" t="n">
        <v>560056156</v>
      </c>
      <c r="F56" s="80" t="inlineStr">
        <is>
          <t xml:space="preserve">لايوجد </t>
        </is>
      </c>
      <c r="G56" s="80" t="inlineStr">
        <is>
          <t>هواة</t>
        </is>
      </c>
      <c r="H56" s="80" t="inlineStr">
        <is>
          <t>مكة المكرمة</t>
        </is>
      </c>
      <c r="I56" s="80" t="inlineStr">
        <is>
          <t>القنفذة</t>
        </is>
      </c>
    </row>
    <row r="57" ht="17" customHeight="1">
      <c r="B57" s="17" t="n">
        <v>56</v>
      </c>
      <c r="C57" s="17" t="inlineStr">
        <is>
          <t>جريبة</t>
        </is>
      </c>
      <c r="D57" s="17" t="inlineStr">
        <is>
          <t>محمد قميري</t>
        </is>
      </c>
      <c r="E57" s="17" t="n">
        <v>504577997</v>
      </c>
      <c r="F57" s="17" t="inlineStr">
        <is>
          <t>لايوجد</t>
        </is>
      </c>
      <c r="G57" s="17" t="inlineStr">
        <is>
          <t>هواة</t>
        </is>
      </c>
      <c r="H57" s="17" t="inlineStr">
        <is>
          <t>جازان</t>
        </is>
      </c>
      <c r="I57" s="17" t="inlineStr">
        <is>
          <t>صبيا</t>
        </is>
      </c>
    </row>
    <row r="58" ht="17" customHeight="1">
      <c r="B58" s="80" t="n">
        <v>57</v>
      </c>
      <c r="C58" s="80" t="inlineStr">
        <is>
          <t>ثلاثا يبه</t>
        </is>
      </c>
      <c r="D58" s="80" t="inlineStr">
        <is>
          <t>احمد المقعدي</t>
        </is>
      </c>
      <c r="E58" s="83" t="n">
        <v>966506522952</v>
      </c>
      <c r="F58" s="80" t="inlineStr">
        <is>
          <t>لايوجد</t>
        </is>
      </c>
      <c r="G58" s="80" t="inlineStr">
        <is>
          <t>هواة</t>
        </is>
      </c>
      <c r="H58" s="80" t="inlineStr">
        <is>
          <t>مكة المكرمة</t>
        </is>
      </c>
      <c r="I58" s="80" t="inlineStr">
        <is>
          <t>القنفذة</t>
        </is>
      </c>
    </row>
    <row r="59" ht="17" customHeight="1">
      <c r="B59" s="17" t="n">
        <v>58</v>
      </c>
      <c r="C59" s="17" t="inlineStr">
        <is>
          <t xml:space="preserve">اتحاد دوقة </t>
        </is>
      </c>
      <c r="D59" s="17" t="inlineStr">
        <is>
          <t>احمد الحرازي</t>
        </is>
      </c>
      <c r="E59" s="17" t="n">
        <v>555531479</v>
      </c>
      <c r="F59" s="17" t="inlineStr">
        <is>
          <t>لايوجد</t>
        </is>
      </c>
      <c r="G59" s="17" t="inlineStr">
        <is>
          <t>هواة</t>
        </is>
      </c>
      <c r="H59" s="17" t="inlineStr">
        <is>
          <t>مكة المكرمة</t>
        </is>
      </c>
      <c r="I59" s="17" t="inlineStr">
        <is>
          <t>القنفذة</t>
        </is>
      </c>
    </row>
    <row r="60" ht="17" customHeight="1">
      <c r="B60" s="80" t="n">
        <v>59</v>
      </c>
      <c r="C60" s="80" t="inlineStr">
        <is>
          <t>اكاديمة السامبا</t>
        </is>
      </c>
      <c r="D60" s="80" t="inlineStr">
        <is>
          <t>ماجد الحارثي</t>
        </is>
      </c>
      <c r="E60" s="80" t="n">
        <v>543040905</v>
      </c>
      <c r="F60" s="80" t="inlineStr">
        <is>
          <t xml:space="preserve">لايوجد </t>
        </is>
      </c>
      <c r="G60" s="80" t="inlineStr">
        <is>
          <t>هواة</t>
        </is>
      </c>
      <c r="H60" s="80" t="inlineStr">
        <is>
          <t>مكة المكرمة</t>
        </is>
      </c>
      <c r="I60" s="80" t="inlineStr">
        <is>
          <t>الطائف</t>
        </is>
      </c>
    </row>
    <row r="61" ht="17" customHeight="1">
      <c r="B61" s="17" t="n">
        <v>60</v>
      </c>
      <c r="C61" s="17" t="inlineStr">
        <is>
          <t>اكاديمية الدلم</t>
        </is>
      </c>
      <c r="D61" s="17" t="inlineStr">
        <is>
          <t>عبدالله المحسن</t>
        </is>
      </c>
      <c r="E61" s="17" t="n">
        <v>555106645</v>
      </c>
      <c r="F61" s="17" t="inlineStr">
        <is>
          <t>الانفيلد</t>
        </is>
      </c>
      <c r="G61" s="17" t="inlineStr">
        <is>
          <t>هواة</t>
        </is>
      </c>
      <c r="H61" s="17" t="inlineStr">
        <is>
          <t>الرياض</t>
        </is>
      </c>
      <c r="I61" s="17" t="inlineStr">
        <is>
          <t>الدلم</t>
        </is>
      </c>
    </row>
    <row r="62" ht="17" customHeight="1">
      <c r="B62" s="80" t="n">
        <v>61</v>
      </c>
      <c r="C62" s="80" t="inlineStr">
        <is>
          <t xml:space="preserve">اكاديمية ليوث الخالدية </t>
        </is>
      </c>
      <c r="D62" s="80" t="inlineStr">
        <is>
          <t>عادل شهاب</t>
        </is>
      </c>
      <c r="E62" s="80" t="n">
        <v>592080007</v>
      </c>
      <c r="F62" s="80" t="inlineStr">
        <is>
          <t xml:space="preserve">لايوجد </t>
        </is>
      </c>
      <c r="G62" s="80" t="inlineStr">
        <is>
          <t>هواة</t>
        </is>
      </c>
      <c r="H62" s="80" t="inlineStr">
        <is>
          <t>الرياض</t>
        </is>
      </c>
      <c r="I62" s="80" t="inlineStr">
        <is>
          <t>الرياض</t>
        </is>
      </c>
    </row>
    <row r="63" ht="17" customHeight="1">
      <c r="B63" s="17" t="n">
        <v>62</v>
      </c>
      <c r="C63" s="13" t="inlineStr">
        <is>
          <t>الجوهرية</t>
        </is>
      </c>
      <c r="D63" s="13" t="inlineStr">
        <is>
          <t>عبدالعزيزالياسين</t>
        </is>
      </c>
      <c r="E63" s="13" t="n">
        <v>560404898</v>
      </c>
      <c r="F63" s="13" t="inlineStr">
        <is>
          <t>لايوجد</t>
        </is>
      </c>
      <c r="G63" s="13" t="inlineStr">
        <is>
          <t>هواة</t>
        </is>
      </c>
      <c r="H63" s="13" t="inlineStr">
        <is>
          <t>الشرقية</t>
        </is>
      </c>
      <c r="I63" s="13" t="inlineStr">
        <is>
          <t>الأحساء</t>
        </is>
      </c>
    </row>
    <row r="64" ht="17" customHeight="1">
      <c r="B64" s="80" t="n">
        <v>63</v>
      </c>
      <c r="C64" s="84" t="inlineStr">
        <is>
          <t>البرك</t>
        </is>
      </c>
      <c r="D64" s="84" t="inlineStr">
        <is>
          <t>عبدالخالق الغبيشي</t>
        </is>
      </c>
      <c r="E64" s="84" t="n">
        <v>556613563</v>
      </c>
      <c r="F64" s="84" t="inlineStr">
        <is>
          <t>لايوجد</t>
        </is>
      </c>
      <c r="G64" s="84" t="inlineStr">
        <is>
          <t>هواة</t>
        </is>
      </c>
      <c r="H64" s="84" t="inlineStr">
        <is>
          <t>مكة المكرمة</t>
        </is>
      </c>
      <c r="I64" s="84" t="inlineStr">
        <is>
          <t>القنفذة</t>
        </is>
      </c>
    </row>
    <row r="65" ht="17" customHeight="1">
      <c r="B65" s="17" t="n">
        <v>64</v>
      </c>
      <c r="C65" s="13" t="inlineStr">
        <is>
          <t>الطموح</t>
        </is>
      </c>
      <c r="D65" s="13" t="inlineStr">
        <is>
          <t>احمد المنتشري</t>
        </is>
      </c>
      <c r="E65" s="13" t="n">
        <v>550424299</v>
      </c>
      <c r="F65" s="13" t="inlineStr">
        <is>
          <t>لايوجد</t>
        </is>
      </c>
      <c r="G65" s="13" t="inlineStr">
        <is>
          <t>هواة</t>
        </is>
      </c>
      <c r="H65" s="13" t="inlineStr">
        <is>
          <t>مكة المكرمة</t>
        </is>
      </c>
      <c r="I65" s="13" t="inlineStr">
        <is>
          <t>الطائف</t>
        </is>
      </c>
    </row>
    <row r="66" ht="17" customHeight="1">
      <c r="B66" s="80" t="n">
        <v>65</v>
      </c>
      <c r="C66" s="84" t="inlineStr">
        <is>
          <t>اكاديمية عز تن</t>
        </is>
      </c>
      <c r="D66" s="84" t="inlineStr">
        <is>
          <t>احمد الرفيدي</t>
        </is>
      </c>
      <c r="E66" s="84" t="n">
        <v>554268528</v>
      </c>
      <c r="F66" s="84" t="inlineStr">
        <is>
          <t>لايوجد</t>
        </is>
      </c>
      <c r="G66" s="84" t="inlineStr">
        <is>
          <t>هواة</t>
        </is>
      </c>
      <c r="H66" s="84" t="inlineStr">
        <is>
          <t>مكة المكرمة</t>
        </is>
      </c>
      <c r="I66" s="84" t="inlineStr">
        <is>
          <t>القنفذة</t>
        </is>
      </c>
    </row>
    <row r="67" ht="17" customHeight="1">
      <c r="B67" s="17" t="n">
        <v>66</v>
      </c>
      <c r="C67" s="13" t="inlineStr">
        <is>
          <t>اكاديمية بيتيس تبوك</t>
        </is>
      </c>
      <c r="D67" s="13" t="inlineStr">
        <is>
          <t>عبدالرحمن العنزي</t>
        </is>
      </c>
      <c r="E67" s="13" t="n">
        <v>500265545</v>
      </c>
      <c r="F67" s="13" t="inlineStr">
        <is>
          <t>لايوجد</t>
        </is>
      </c>
      <c r="G67" s="13" t="inlineStr">
        <is>
          <t>هواة</t>
        </is>
      </c>
      <c r="H67" s="13" t="inlineStr">
        <is>
          <t>تبوك</t>
        </is>
      </c>
      <c r="I67" s="13" t="inlineStr">
        <is>
          <t>تبوك</t>
        </is>
      </c>
    </row>
    <row r="68" ht="17" customHeight="1">
      <c r="B68" s="80" t="n">
        <v>67</v>
      </c>
      <c r="C68" s="84" t="inlineStr">
        <is>
          <t>البداية الاولمبية</t>
        </is>
      </c>
      <c r="D68" s="84" t="inlineStr">
        <is>
          <t>هاني الخزاعي</t>
        </is>
      </c>
      <c r="E68" s="84" t="n">
        <v>509245807</v>
      </c>
      <c r="F68" s="84" t="inlineStr">
        <is>
          <t>لايوجد</t>
        </is>
      </c>
      <c r="G68" s="84" t="inlineStr">
        <is>
          <t>هواة</t>
        </is>
      </c>
      <c r="H68" s="84" t="inlineStr">
        <is>
          <t>مكة المكرمة</t>
        </is>
      </c>
      <c r="I68" s="84" t="inlineStr">
        <is>
          <t>مكة المكرمة</t>
        </is>
      </c>
    </row>
    <row r="69" ht="17" customHeight="1">
      <c r="B69" s="17" t="n">
        <v>68</v>
      </c>
      <c r="C69" s="13" t="inlineStr">
        <is>
          <t>الكوماندوز</t>
        </is>
      </c>
      <c r="D69" s="13" t="inlineStr">
        <is>
          <t>عبدالرحمن الحارثي</t>
        </is>
      </c>
      <c r="E69" s="13" t="n">
        <v>571133686</v>
      </c>
      <c r="F69" s="13" t="inlineStr">
        <is>
          <t>لايوجد</t>
        </is>
      </c>
      <c r="G69" s="13" t="inlineStr">
        <is>
          <t>هواة</t>
        </is>
      </c>
      <c r="H69" s="13" t="inlineStr">
        <is>
          <t>مكة المكرمة</t>
        </is>
      </c>
      <c r="I69" s="13" t="inlineStr">
        <is>
          <t>الطائف</t>
        </is>
      </c>
    </row>
    <row r="70" ht="17" customHeight="1">
      <c r="B70" s="80" t="n">
        <v>69</v>
      </c>
      <c r="C70" s="84" t="inlineStr">
        <is>
          <t>اكاديمية موهبة نعجان</t>
        </is>
      </c>
      <c r="D70" s="84" t="inlineStr">
        <is>
          <t>ابراهيم المنيف</t>
        </is>
      </c>
      <c r="E70" s="84" t="n">
        <v>555299927</v>
      </c>
      <c r="F70" s="84" t="inlineStr">
        <is>
          <t>لايوجد</t>
        </is>
      </c>
      <c r="G70" s="84" t="inlineStr">
        <is>
          <t>هواة</t>
        </is>
      </c>
      <c r="H70" s="84" t="inlineStr">
        <is>
          <t>الرياض</t>
        </is>
      </c>
      <c r="I70" s="84" t="inlineStr">
        <is>
          <t>الخرج</t>
        </is>
      </c>
    </row>
    <row r="71" ht="17" customHeight="1">
      <c r="B71" s="17" t="n">
        <v>70</v>
      </c>
      <c r="C71" s="13" t="inlineStr">
        <is>
          <t>الكواكب ابو عريش</t>
        </is>
      </c>
      <c r="D71" s="13" t="inlineStr">
        <is>
          <t xml:space="preserve">مححمد الحسن </t>
        </is>
      </c>
      <c r="E71" s="45" t="n">
        <v>966550772778</v>
      </c>
      <c r="F71" s="13" t="inlineStr">
        <is>
          <t xml:space="preserve">لايوجد </t>
        </is>
      </c>
      <c r="G71" s="13" t="inlineStr">
        <is>
          <t>هواة</t>
        </is>
      </c>
      <c r="H71" s="13" t="inlineStr">
        <is>
          <t>جازان</t>
        </is>
      </c>
      <c r="I71" s="13" t="inlineStr">
        <is>
          <t>أبو عريش</t>
        </is>
      </c>
    </row>
    <row r="72" ht="17" customHeight="1">
      <c r="B72" s="80" t="n">
        <v>71</v>
      </c>
      <c r="C72" s="84" t="inlineStr">
        <is>
          <t>شباب الوادي</t>
        </is>
      </c>
      <c r="D72" s="84" t="inlineStr">
        <is>
          <t>عبيد العتيبي</t>
        </is>
      </c>
      <c r="E72" s="84" t="n">
        <v>544421129</v>
      </c>
      <c r="F72" s="84" t="inlineStr">
        <is>
          <t xml:space="preserve">لايوجد </t>
        </is>
      </c>
      <c r="G72" s="84" t="inlineStr">
        <is>
          <t>هواة</t>
        </is>
      </c>
      <c r="H72" s="84" t="inlineStr">
        <is>
          <t>مكة المكرمة</t>
        </is>
      </c>
      <c r="I72" s="84" t="inlineStr">
        <is>
          <t>مكة المكرمة</t>
        </is>
      </c>
    </row>
    <row r="73" ht="17" customHeight="1">
      <c r="B73" s="17" t="n">
        <v>72</v>
      </c>
      <c r="C73" s="13" t="inlineStr">
        <is>
          <t>ساحل الوحلة</t>
        </is>
      </c>
      <c r="D73" s="13" t="inlineStr">
        <is>
          <t>حسن حكمي</t>
        </is>
      </c>
      <c r="E73" s="13" t="n">
        <v>531831837</v>
      </c>
      <c r="F73" s="13" t="inlineStr">
        <is>
          <t xml:space="preserve">لايوجد </t>
        </is>
      </c>
      <c r="G73" s="13" t="inlineStr">
        <is>
          <t>هواة</t>
        </is>
      </c>
      <c r="H73" s="13" t="inlineStr">
        <is>
          <t>جازان</t>
        </is>
      </c>
      <c r="I73" s="13" t="inlineStr">
        <is>
          <t>أحد المسارحة</t>
        </is>
      </c>
    </row>
    <row r="74" ht="17" customHeight="1">
      <c r="B74" s="80" t="n">
        <v>73</v>
      </c>
      <c r="C74" s="84" t="inlineStr">
        <is>
          <t>مستقبل الخضراء</t>
        </is>
      </c>
      <c r="D74" s="84" t="inlineStr">
        <is>
          <t>حيدر السالم</t>
        </is>
      </c>
      <c r="E74" s="84" t="n">
        <v>535189141</v>
      </c>
      <c r="F74" s="84" t="inlineStr">
        <is>
          <t xml:space="preserve">لايوجد </t>
        </is>
      </c>
      <c r="G74" s="84" t="inlineStr">
        <is>
          <t>هواة</t>
        </is>
      </c>
      <c r="H74" s="84" t="inlineStr">
        <is>
          <t>جازان</t>
        </is>
      </c>
      <c r="I74" s="84" t="inlineStr">
        <is>
          <t>أبو عريش</t>
        </is>
      </c>
    </row>
    <row r="75" ht="17" customHeight="1">
      <c r="B75" s="17" t="n">
        <v>74</v>
      </c>
      <c r="C75" s="17" t="inlineStr">
        <is>
          <t>اكاديمية الجوهره</t>
        </is>
      </c>
      <c r="D75" s="17" t="inlineStr">
        <is>
          <t xml:space="preserve"> هندي زايد الحارثي</t>
        </is>
      </c>
      <c r="E75" s="17" t="n">
        <v>555721800</v>
      </c>
      <c r="F75" s="17" t="inlineStr">
        <is>
          <t xml:space="preserve">لايوجد </t>
        </is>
      </c>
      <c r="G75" s="17" t="inlineStr">
        <is>
          <t>هواة</t>
        </is>
      </c>
      <c r="H75" s="17" t="inlineStr">
        <is>
          <t>مكة المكرمة</t>
        </is>
      </c>
      <c r="I75" s="17" t="inlineStr">
        <is>
          <t>الطائف</t>
        </is>
      </c>
    </row>
    <row r="76" ht="17" customHeight="1">
      <c r="B76" s="80" t="n">
        <v>75</v>
      </c>
      <c r="C76" s="84" t="inlineStr">
        <is>
          <t>سر النجوم</t>
        </is>
      </c>
      <c r="D76" s="84" t="inlineStr">
        <is>
          <t>اصيل العامري</t>
        </is>
      </c>
      <c r="E76" s="84" t="n">
        <v>564490015</v>
      </c>
      <c r="F76" s="84" t="inlineStr">
        <is>
          <t xml:space="preserve">لايوجد </t>
        </is>
      </c>
      <c r="G76" s="84" t="inlineStr">
        <is>
          <t>هواة</t>
        </is>
      </c>
      <c r="H76" s="84" t="inlineStr">
        <is>
          <t>مكة المكرمة</t>
        </is>
      </c>
      <c r="I76" s="84" t="inlineStr">
        <is>
          <t>الطائف</t>
        </is>
      </c>
    </row>
    <row r="77" ht="17" customHeight="1">
      <c r="B77" s="17" t="n">
        <v>76</v>
      </c>
      <c r="C77" s="13" t="inlineStr">
        <is>
          <t>اكاديمية المنصور</t>
        </is>
      </c>
      <c r="D77" s="13" t="inlineStr">
        <is>
          <t>احمد العتيبي</t>
        </is>
      </c>
      <c r="E77" s="13" t="n">
        <v>595147684</v>
      </c>
      <c r="F77" s="13" t="inlineStr">
        <is>
          <t xml:space="preserve">لايوجد </t>
        </is>
      </c>
      <c r="G77" s="13" t="inlineStr">
        <is>
          <t>هواة</t>
        </is>
      </c>
      <c r="H77" s="13" t="inlineStr">
        <is>
          <t>مكة المكرمة</t>
        </is>
      </c>
      <c r="I77" s="13" t="inlineStr">
        <is>
          <t>الجموم</t>
        </is>
      </c>
    </row>
    <row r="78" ht="17" customHeight="1">
      <c r="B78" s="80" t="n">
        <v>77</v>
      </c>
      <c r="C78" s="80" t="inlineStr">
        <is>
          <t xml:space="preserve">اكاديمية الترجي جدة </t>
        </is>
      </c>
      <c r="D78" s="80" t="inlineStr">
        <is>
          <t>ماجد الجهني</t>
        </is>
      </c>
      <c r="E78" s="80" t="n">
        <v>508878096</v>
      </c>
      <c r="F78" s="80" t="inlineStr">
        <is>
          <t>لايوجد</t>
        </is>
      </c>
      <c r="G78" s="80" t="inlineStr">
        <is>
          <t>هواة</t>
        </is>
      </c>
      <c r="H78" s="80" t="inlineStr">
        <is>
          <t>مكة المكرمة</t>
        </is>
      </c>
      <c r="I78" s="80" t="inlineStr">
        <is>
          <t>جدة</t>
        </is>
      </c>
    </row>
    <row r="79" ht="17" customHeight="1">
      <c r="B79" s="17" t="n">
        <v>78</v>
      </c>
      <c r="C79" s="13" t="inlineStr">
        <is>
          <t>وولف</t>
        </is>
      </c>
      <c r="D79" s="13" t="inlineStr">
        <is>
          <t>وليد الشراري</t>
        </is>
      </c>
      <c r="E79" s="13" t="n">
        <v>504662488</v>
      </c>
      <c r="F79" s="13" t="inlineStr">
        <is>
          <t>لايوجد</t>
        </is>
      </c>
      <c r="G79" s="13" t="inlineStr">
        <is>
          <t>هواة</t>
        </is>
      </c>
      <c r="H79" s="13" t="inlineStr">
        <is>
          <t>الجوف</t>
        </is>
      </c>
      <c r="I79" s="13" t="inlineStr">
        <is>
          <t>القريات</t>
        </is>
      </c>
    </row>
    <row r="80" ht="17" customHeight="1">
      <c r="B80" s="80" t="n">
        <v>79</v>
      </c>
      <c r="C80" s="84" t="inlineStr">
        <is>
          <t xml:space="preserve">البلاك ستارز </t>
        </is>
      </c>
      <c r="D80" s="84" t="inlineStr">
        <is>
          <t xml:space="preserve">فارس السهلي </t>
        </is>
      </c>
      <c r="E80" s="84" t="n">
        <v>550595695</v>
      </c>
      <c r="F80" s="84" t="inlineStr">
        <is>
          <t>لايوجد</t>
        </is>
      </c>
      <c r="G80" s="84" t="inlineStr">
        <is>
          <t>هواة</t>
        </is>
      </c>
      <c r="H80" s="84" t="inlineStr">
        <is>
          <t>المدينة المنورة</t>
        </is>
      </c>
      <c r="I80" s="84" t="inlineStr">
        <is>
          <t>المدينة المنورة</t>
        </is>
      </c>
    </row>
    <row r="81" ht="17" customHeight="1">
      <c r="B81" s="17" t="n">
        <v>80</v>
      </c>
      <c r="C81" s="13" t="inlineStr">
        <is>
          <t>فريق أوتاد</t>
        </is>
      </c>
      <c r="D81" s="13" t="inlineStr">
        <is>
          <t>فيصل العطوي</t>
        </is>
      </c>
      <c r="E81" s="13" t="n">
        <v>534714440</v>
      </c>
      <c r="F81" s="13" t="inlineStr">
        <is>
          <t xml:space="preserve">لايوجد </t>
        </is>
      </c>
      <c r="G81" s="13" t="inlineStr">
        <is>
          <t>هواة</t>
        </is>
      </c>
      <c r="H81" s="13" t="inlineStr">
        <is>
          <t>الرياض</t>
        </is>
      </c>
      <c r="I81" s="13" t="inlineStr">
        <is>
          <t>الرياض</t>
        </is>
      </c>
    </row>
    <row r="82" ht="17" customHeight="1">
      <c r="B82" s="80" t="n">
        <v>81</v>
      </c>
      <c r="C82" s="84" t="inlineStr">
        <is>
          <t>جحا</t>
        </is>
      </c>
      <c r="D82" s="84" t="inlineStr">
        <is>
          <t>محمد كريري</t>
        </is>
      </c>
      <c r="E82" s="84" t="n">
        <v>565546688</v>
      </c>
      <c r="F82" s="84" t="inlineStr">
        <is>
          <t xml:space="preserve">لايوجد </t>
        </is>
      </c>
      <c r="G82" s="84" t="inlineStr">
        <is>
          <t>هواة</t>
        </is>
      </c>
      <c r="H82" s="84" t="inlineStr">
        <is>
          <t>جازان</t>
        </is>
      </c>
      <c r="I82" s="84" t="inlineStr">
        <is>
          <t>أحد المسارحة</t>
        </is>
      </c>
    </row>
    <row r="83" ht="17" customHeight="1">
      <c r="B83" s="17" t="n">
        <v>82</v>
      </c>
      <c r="C83" s="13" t="inlineStr">
        <is>
          <t>شباب حاكمة ابي عريش</t>
        </is>
      </c>
      <c r="D83" s="13" t="inlineStr">
        <is>
          <t>ماجد ابوالغيث</t>
        </is>
      </c>
      <c r="E83" s="13" t="n">
        <v>560596607</v>
      </c>
      <c r="F83" s="13" t="inlineStr">
        <is>
          <t>لايوجد</t>
        </is>
      </c>
      <c r="G83" s="13" t="inlineStr">
        <is>
          <t>هواة</t>
        </is>
      </c>
      <c r="H83" s="13" t="inlineStr">
        <is>
          <t>جازان</t>
        </is>
      </c>
      <c r="I83" s="13" t="inlineStr">
        <is>
          <t>أبو عريش</t>
        </is>
      </c>
    </row>
    <row r="84" ht="17" customHeight="1">
      <c r="B84" s="80" t="n">
        <v>83</v>
      </c>
      <c r="C84" s="84" t="inlineStr">
        <is>
          <t>الدخيل</t>
        </is>
      </c>
      <c r="D84" s="84" t="inlineStr">
        <is>
          <t>حمود القبندي</t>
        </is>
      </c>
      <c r="E84" s="84" t="n">
        <v>552505347</v>
      </c>
      <c r="F84" s="84" t="inlineStr">
        <is>
          <t>لايوجد</t>
        </is>
      </c>
      <c r="G84" s="84" t="inlineStr">
        <is>
          <t>هواة</t>
        </is>
      </c>
      <c r="H84" s="84" t="inlineStr">
        <is>
          <t>مكة المكرمة</t>
        </is>
      </c>
      <c r="I84" s="84" t="inlineStr">
        <is>
          <t>جدة</t>
        </is>
      </c>
    </row>
    <row r="85" ht="17" customHeight="1">
      <c r="B85" s="17" t="n">
        <v>84</v>
      </c>
      <c r="C85" s="13" t="inlineStr">
        <is>
          <t>الجوه</t>
        </is>
      </c>
      <c r="D85" s="13" t="inlineStr">
        <is>
          <t>موسى خبراني</t>
        </is>
      </c>
      <c r="E85" s="45" t="n">
        <v>966533558443</v>
      </c>
      <c r="F85" s="13" t="inlineStr">
        <is>
          <t>لايوجد</t>
        </is>
      </c>
      <c r="G85" s="13" t="inlineStr">
        <is>
          <t>هواة</t>
        </is>
      </c>
      <c r="H85" s="13" t="inlineStr">
        <is>
          <t>جازان</t>
        </is>
      </c>
      <c r="I85" s="13" t="inlineStr">
        <is>
          <t>أبو عريش</t>
        </is>
      </c>
    </row>
    <row r="86" ht="17" customHeight="1">
      <c r="B86" s="80" t="n">
        <v>85</v>
      </c>
      <c r="C86" s="84" t="inlineStr">
        <is>
          <t xml:space="preserve">اكاديمية أف 1 </t>
        </is>
      </c>
      <c r="D86" s="84" t="inlineStr">
        <is>
          <t>مسفر المسعودي</t>
        </is>
      </c>
      <c r="E86" s="84" t="n">
        <v>555877209</v>
      </c>
      <c r="F86" s="84" t="inlineStr">
        <is>
          <t>لايوجد</t>
        </is>
      </c>
      <c r="G86" s="84" t="inlineStr">
        <is>
          <t>هواة</t>
        </is>
      </c>
      <c r="H86" s="84" t="inlineStr">
        <is>
          <t>مكة المكرمة</t>
        </is>
      </c>
      <c r="I86" s="84" t="inlineStr">
        <is>
          <t>مكة المكرمة</t>
        </is>
      </c>
    </row>
    <row r="87" ht="17" customHeight="1">
      <c r="B87" s="17" t="n">
        <v>86</v>
      </c>
      <c r="C87" s="13" t="inlineStr">
        <is>
          <t>نمور تبوك</t>
        </is>
      </c>
      <c r="D87" s="13" t="inlineStr">
        <is>
          <t>سالم محبوب</t>
        </is>
      </c>
      <c r="E87" s="13" t="n">
        <v>533835900</v>
      </c>
      <c r="F87" s="13" t="inlineStr">
        <is>
          <t>لايوجد</t>
        </is>
      </c>
      <c r="G87" s="13" t="inlineStr">
        <is>
          <t>هواة</t>
        </is>
      </c>
      <c r="H87" s="13" t="inlineStr">
        <is>
          <t>تبوك</t>
        </is>
      </c>
      <c r="I87" s="13" t="inlineStr">
        <is>
          <t>تبوك</t>
        </is>
      </c>
    </row>
    <row r="88" ht="17" customHeight="1">
      <c r="B88" s="80" t="n">
        <v>87</v>
      </c>
      <c r="C88" s="84" t="inlineStr">
        <is>
          <t>فريق منشبة</t>
        </is>
      </c>
      <c r="D88" s="84" t="inlineStr">
        <is>
          <t>هادي عتودي</t>
        </is>
      </c>
      <c r="E88" s="84" t="n">
        <v>545558184</v>
      </c>
      <c r="F88" s="84" t="inlineStr">
        <is>
          <t>لايوجد</t>
        </is>
      </c>
      <c r="G88" s="84" t="inlineStr">
        <is>
          <t>هواة</t>
        </is>
      </c>
      <c r="H88" s="84" t="inlineStr">
        <is>
          <t>جازان</t>
        </is>
      </c>
      <c r="I88" s="84" t="inlineStr">
        <is>
          <t>جيزان</t>
        </is>
      </c>
    </row>
    <row r="89" ht="17" customHeight="1">
      <c r="B89" s="17" t="n">
        <v>88</v>
      </c>
      <c r="C89" s="13" t="inlineStr">
        <is>
          <t>فوارس البطالية</t>
        </is>
      </c>
      <c r="D89" s="13" t="inlineStr">
        <is>
          <t>حبيب الموسى</t>
        </is>
      </c>
      <c r="E89" s="13" t="n">
        <v>554496469</v>
      </c>
      <c r="F89" s="13" t="inlineStr">
        <is>
          <t>لايوجد</t>
        </is>
      </c>
      <c r="G89" s="13" t="inlineStr">
        <is>
          <t>هواة</t>
        </is>
      </c>
      <c r="H89" s="13" t="inlineStr">
        <is>
          <t>الشرقية</t>
        </is>
      </c>
      <c r="I89" s="13" t="inlineStr">
        <is>
          <t>الأحساء</t>
        </is>
      </c>
    </row>
    <row r="90" ht="17" customHeight="1">
      <c r="B90" s="80" t="n">
        <v>89</v>
      </c>
      <c r="C90" s="84" t="inlineStr">
        <is>
          <t>احلام العبادلة</t>
        </is>
      </c>
      <c r="D90" s="84" t="inlineStr">
        <is>
          <t>موسى عبدلي</t>
        </is>
      </c>
      <c r="E90" s="84" t="n">
        <v>506665943</v>
      </c>
      <c r="F90" s="84" t="inlineStr">
        <is>
          <t>لايوجد</t>
        </is>
      </c>
      <c r="G90" s="84" t="inlineStr">
        <is>
          <t>هواة</t>
        </is>
      </c>
      <c r="H90" s="84" t="inlineStr">
        <is>
          <t>جازان</t>
        </is>
      </c>
      <c r="I90" s="84" t="inlineStr">
        <is>
          <t>أبو عريش</t>
        </is>
      </c>
    </row>
    <row r="91" ht="17" customHeight="1">
      <c r="B91" s="17" t="n">
        <v>90</v>
      </c>
      <c r="C91" s="13" t="inlineStr">
        <is>
          <t>فريق الجزيرة بالعيون</t>
        </is>
      </c>
      <c r="D91" s="13" t="inlineStr">
        <is>
          <t>فهد السبيعي</t>
        </is>
      </c>
      <c r="E91" s="13" t="n">
        <v>542289441</v>
      </c>
      <c r="F91" s="13" t="inlineStr">
        <is>
          <t>لايوجد</t>
        </is>
      </c>
      <c r="G91" s="13" t="inlineStr">
        <is>
          <t>هواة</t>
        </is>
      </c>
      <c r="H91" s="13" t="inlineStr">
        <is>
          <t>الشرقية</t>
        </is>
      </c>
      <c r="I91" s="13" t="inlineStr">
        <is>
          <t>الأحساء</t>
        </is>
      </c>
    </row>
    <row r="92" ht="17" customHeight="1">
      <c r="B92" s="80" t="n">
        <v>91</v>
      </c>
      <c r="C92" s="84" t="inlineStr">
        <is>
          <t>شباب الفلحة</t>
        </is>
      </c>
      <c r="D92" s="84" t="inlineStr">
        <is>
          <t>حسن الفلاحي</t>
        </is>
      </c>
      <c r="E92" s="84" t="n">
        <v>544410105</v>
      </c>
      <c r="F92" s="84" t="inlineStr">
        <is>
          <t>لايوجد</t>
        </is>
      </c>
      <c r="G92" s="84" t="inlineStr">
        <is>
          <t>هواة</t>
        </is>
      </c>
      <c r="H92" s="84" t="inlineStr">
        <is>
          <t>مكة المكرمة</t>
        </is>
      </c>
      <c r="I92" s="84" t="inlineStr">
        <is>
          <t>القنفذة</t>
        </is>
      </c>
    </row>
    <row r="93" ht="17" customHeight="1">
      <c r="B93" s="17" t="n">
        <v>92</v>
      </c>
      <c r="C93" s="13" t="inlineStr">
        <is>
          <t>اكاديمية الامبراطور تبوك</t>
        </is>
      </c>
      <c r="D93" s="13" t="inlineStr">
        <is>
          <t>علي عسيري</t>
        </is>
      </c>
      <c r="E93" s="13" t="n">
        <v>558706043</v>
      </c>
      <c r="F93" s="13" t="inlineStr">
        <is>
          <t>لايوجد</t>
        </is>
      </c>
      <c r="G93" s="13" t="inlineStr">
        <is>
          <t>هواة</t>
        </is>
      </c>
      <c r="H93" s="13" t="inlineStr">
        <is>
          <t>تبوك</t>
        </is>
      </c>
      <c r="I93" s="13" t="inlineStr">
        <is>
          <t>تبوك</t>
        </is>
      </c>
    </row>
    <row r="94" ht="17" customHeight="1">
      <c r="B94" s="80" t="n">
        <v>93</v>
      </c>
      <c r="C94" s="84" t="inlineStr">
        <is>
          <t>اكاديمية الانجاز</t>
        </is>
      </c>
      <c r="D94" s="84" t="inlineStr">
        <is>
          <t>رياض دوشي</t>
        </is>
      </c>
      <c r="E94" s="84" t="n">
        <v>564157026</v>
      </c>
      <c r="F94" s="84" t="inlineStr">
        <is>
          <t>لايوجد</t>
        </is>
      </c>
      <c r="G94" s="84" t="inlineStr">
        <is>
          <t>هواة</t>
        </is>
      </c>
      <c r="H94" s="84" t="inlineStr">
        <is>
          <t>مكة المكرمة</t>
        </is>
      </c>
      <c r="I94" s="84" t="inlineStr">
        <is>
          <t>مكة المكرمة</t>
        </is>
      </c>
    </row>
    <row r="95" ht="17" customHeight="1">
      <c r="B95" s="17" t="n">
        <v>94</v>
      </c>
      <c r="C95" s="13" t="inlineStr">
        <is>
          <t>سعودي34</t>
        </is>
      </c>
      <c r="D95" s="13" t="inlineStr">
        <is>
          <t>خالد الزهراني</t>
        </is>
      </c>
      <c r="E95" s="13" t="n">
        <v>504668018</v>
      </c>
      <c r="F95" s="13" t="inlineStr">
        <is>
          <t>لايوجد</t>
        </is>
      </c>
      <c r="G95" s="13" t="inlineStr">
        <is>
          <t>هواة</t>
        </is>
      </c>
      <c r="H95" s="13" t="inlineStr">
        <is>
          <t>مكة المكرمة</t>
        </is>
      </c>
      <c r="I95" s="13" t="inlineStr">
        <is>
          <t>جدة</t>
        </is>
      </c>
    </row>
    <row r="96" ht="17" customHeight="1">
      <c r="B96" s="80" t="n">
        <v>95</v>
      </c>
      <c r="C96" s="84" t="inlineStr">
        <is>
          <t>نسيم الحرازات</t>
        </is>
      </c>
      <c r="D96" s="84" t="inlineStr">
        <is>
          <t>عبدالعزيز السلمي</t>
        </is>
      </c>
      <c r="E96" s="84" t="n">
        <v>563131420</v>
      </c>
      <c r="F96" s="84" t="inlineStr">
        <is>
          <t>لايوجد</t>
        </is>
      </c>
      <c r="G96" s="84" t="inlineStr">
        <is>
          <t>هواة</t>
        </is>
      </c>
      <c r="H96" s="84" t="inlineStr">
        <is>
          <t>مكة المكرمة</t>
        </is>
      </c>
      <c r="I96" s="84" t="inlineStr">
        <is>
          <t>جدة</t>
        </is>
      </c>
    </row>
    <row r="97" ht="17" customHeight="1">
      <c r="B97" s="17" t="n">
        <v>96</v>
      </c>
      <c r="C97" s="13" t="inlineStr">
        <is>
          <t>المرصاد</t>
        </is>
      </c>
      <c r="D97" s="13" t="inlineStr">
        <is>
          <t>مصلح النجاري</t>
        </is>
      </c>
      <c r="E97" s="13" t="n">
        <v>567101667</v>
      </c>
      <c r="F97" s="13" t="inlineStr">
        <is>
          <t>لايوجد</t>
        </is>
      </c>
      <c r="G97" s="13" t="inlineStr">
        <is>
          <t>هواة</t>
        </is>
      </c>
      <c r="H97" s="13" t="inlineStr">
        <is>
          <t>مكة المكرمة</t>
        </is>
      </c>
      <c r="I97" s="13" t="inlineStr">
        <is>
          <t>جدة</t>
        </is>
      </c>
    </row>
    <row r="98" ht="17" customHeight="1">
      <c r="B98" s="80" t="n">
        <v>97</v>
      </c>
      <c r="C98" s="84" t="inlineStr">
        <is>
          <t>الاكاديمية البرتغالية</t>
        </is>
      </c>
      <c r="D98" s="84" t="inlineStr">
        <is>
          <t>خالد الزهراني</t>
        </is>
      </c>
      <c r="E98" s="84" t="n">
        <v>506779930</v>
      </c>
      <c r="F98" s="84" t="inlineStr">
        <is>
          <t>لايوجد</t>
        </is>
      </c>
      <c r="G98" s="84" t="inlineStr">
        <is>
          <t>هواة</t>
        </is>
      </c>
      <c r="H98" s="84" t="inlineStr">
        <is>
          <t>مكة المكرمة</t>
        </is>
      </c>
      <c r="I98" s="84" t="inlineStr">
        <is>
          <t>جدة</t>
        </is>
      </c>
    </row>
    <row r="99" ht="17" customHeight="1">
      <c r="B99" s="17" t="n">
        <v>98</v>
      </c>
      <c r="C99" s="13" t="inlineStr">
        <is>
          <t>جدة تالنتس</t>
        </is>
      </c>
      <c r="D99" s="13" t="inlineStr">
        <is>
          <t>ممدوح الثقفي</t>
        </is>
      </c>
      <c r="E99" s="13" t="n">
        <v>503626256</v>
      </c>
      <c r="F99" s="13" t="inlineStr">
        <is>
          <t>لايوجد</t>
        </is>
      </c>
      <c r="G99" s="13" t="inlineStr">
        <is>
          <t>هواة</t>
        </is>
      </c>
      <c r="H99" s="13" t="inlineStr">
        <is>
          <t>مكة المكرمة</t>
        </is>
      </c>
      <c r="I99" s="13" t="inlineStr">
        <is>
          <t>جدة</t>
        </is>
      </c>
    </row>
    <row r="100" ht="17" customHeight="1">
      <c r="B100" s="80" t="n">
        <v>99</v>
      </c>
      <c r="C100" s="84" t="inlineStr">
        <is>
          <t>فريق نادي الوسام الرياضي</t>
        </is>
      </c>
      <c r="D100" s="84" t="inlineStr">
        <is>
          <t>علي دغريري</t>
        </is>
      </c>
      <c r="E100" s="84" t="n">
        <v>568996668</v>
      </c>
      <c r="F100" s="84" t="inlineStr">
        <is>
          <t>لايوجد</t>
        </is>
      </c>
      <c r="G100" s="84" t="inlineStr">
        <is>
          <t>هواة</t>
        </is>
      </c>
      <c r="H100" s="84" t="inlineStr">
        <is>
          <t>مكة المكرمة</t>
        </is>
      </c>
      <c r="I100" s="84" t="inlineStr">
        <is>
          <t>جدة</t>
        </is>
      </c>
    </row>
    <row r="101" ht="17" customHeight="1">
      <c r="B101" s="17" t="n">
        <v>100</v>
      </c>
      <c r="C101" s="13" t="inlineStr">
        <is>
          <t>نجوم الوئام</t>
        </is>
      </c>
      <c r="D101" s="13" t="inlineStr">
        <is>
          <t>فهد الروقي</t>
        </is>
      </c>
      <c r="E101" s="13" t="n">
        <v>504546425</v>
      </c>
      <c r="F101" s="13" t="inlineStr">
        <is>
          <t>لايوجد</t>
        </is>
      </c>
      <c r="G101" s="13" t="inlineStr">
        <is>
          <t>هواة</t>
        </is>
      </c>
      <c r="H101" s="13" t="inlineStr">
        <is>
          <t>مكة المكرمة</t>
        </is>
      </c>
      <c r="I101" s="13" t="inlineStr">
        <is>
          <t>الطائف</t>
        </is>
      </c>
    </row>
    <row r="102" ht="17" customHeight="1">
      <c r="B102" s="80" t="n">
        <v>101</v>
      </c>
      <c r="C102" s="84" t="inlineStr">
        <is>
          <t>فالكونز الجبيل</t>
        </is>
      </c>
      <c r="D102" s="84" t="inlineStr">
        <is>
          <t>ماجد جبران</t>
        </is>
      </c>
      <c r="E102" s="84" t="n">
        <v>566688090</v>
      </c>
      <c r="F102" s="84" t="inlineStr">
        <is>
          <t>لايوجد</t>
        </is>
      </c>
      <c r="G102" s="84" t="inlineStr">
        <is>
          <t>هواة</t>
        </is>
      </c>
      <c r="H102" s="84" t="inlineStr">
        <is>
          <t>الشرقية</t>
        </is>
      </c>
      <c r="I102" s="84" t="inlineStr">
        <is>
          <t>الجبيل</t>
        </is>
      </c>
    </row>
    <row r="103" ht="17" customHeight="1">
      <c r="B103" s="17" t="n">
        <v>102</v>
      </c>
      <c r="C103" s="13" t="inlineStr">
        <is>
          <t xml:space="preserve">خليج النوارية </t>
        </is>
      </c>
      <c r="D103" s="13" t="inlineStr">
        <is>
          <t>عيسى الجهني</t>
        </is>
      </c>
      <c r="E103" s="13" t="n">
        <v>565508854</v>
      </c>
      <c r="F103" s="13" t="inlineStr">
        <is>
          <t>لايوجد</t>
        </is>
      </c>
      <c r="G103" s="13" t="inlineStr">
        <is>
          <t>هواة</t>
        </is>
      </c>
      <c r="H103" s="13" t="inlineStr">
        <is>
          <t>مكة المكرمة</t>
        </is>
      </c>
      <c r="I103" s="13" t="inlineStr">
        <is>
          <t>مكة المكرمة</t>
        </is>
      </c>
    </row>
    <row r="104" ht="17" customHeight="1">
      <c r="B104" s="80" t="n">
        <v>103</v>
      </c>
      <c r="C104" s="84" t="inlineStr">
        <is>
          <t>المركز</t>
        </is>
      </c>
      <c r="D104" s="84" t="inlineStr">
        <is>
          <t>عبدالكريم الموسى</t>
        </is>
      </c>
      <c r="E104" s="84" t="n">
        <v>566596503</v>
      </c>
      <c r="F104" s="84" t="inlineStr">
        <is>
          <t>لايوجد</t>
        </is>
      </c>
      <c r="G104" s="84" t="inlineStr">
        <is>
          <t>هواة</t>
        </is>
      </c>
      <c r="H104" s="84" t="inlineStr">
        <is>
          <t>الشرقية</t>
        </is>
      </c>
      <c r="I104" s="84" t="inlineStr">
        <is>
          <t>الأحساء</t>
        </is>
      </c>
    </row>
    <row r="105" ht="17" customHeight="1">
      <c r="B105" s="17" t="n">
        <v>104</v>
      </c>
      <c r="C105" s="13" t="inlineStr">
        <is>
          <t>النجم بالحويرس</t>
        </is>
      </c>
      <c r="D105" s="13" t="inlineStr">
        <is>
          <t>عبدالرحمن الشرقي</t>
        </is>
      </c>
      <c r="E105" s="13" t="n">
        <v>555606783</v>
      </c>
      <c r="F105" s="13" t="inlineStr">
        <is>
          <t>لايوجد</t>
        </is>
      </c>
      <c r="G105" s="13" t="inlineStr">
        <is>
          <t>هواة</t>
        </is>
      </c>
      <c r="H105" s="13" t="inlineStr">
        <is>
          <t>مكة المكرمة</t>
        </is>
      </c>
      <c r="I105" s="13" t="inlineStr">
        <is>
          <t>القنفذة</t>
        </is>
      </c>
    </row>
    <row r="106" ht="17" customHeight="1">
      <c r="B106" s="80" t="n">
        <v>105</v>
      </c>
      <c r="C106" s="84" t="inlineStr">
        <is>
          <t xml:space="preserve">فريق الشهارين </t>
        </is>
      </c>
      <c r="D106" s="84" t="inlineStr">
        <is>
          <t>احمد حساني</t>
        </is>
      </c>
      <c r="E106" s="84" t="n">
        <v>556624077</v>
      </c>
      <c r="F106" s="84" t="inlineStr">
        <is>
          <t>لايوجد</t>
        </is>
      </c>
      <c r="G106" s="84" t="inlineStr">
        <is>
          <t>هواة</t>
        </is>
      </c>
      <c r="H106" s="84" t="inlineStr">
        <is>
          <t>الشرقية</t>
        </is>
      </c>
      <c r="I106" s="84" t="inlineStr">
        <is>
          <t>الأحساء</t>
        </is>
      </c>
    </row>
    <row r="107" ht="17" customHeight="1">
      <c r="B107" s="17" t="n">
        <v>106</v>
      </c>
      <c r="C107" s="13" t="inlineStr">
        <is>
          <t>اكادمية السهم</t>
        </is>
      </c>
      <c r="D107" s="13" t="inlineStr">
        <is>
          <t>يحي الزبيدي</t>
        </is>
      </c>
      <c r="E107" s="13" t="n">
        <v>503953922</v>
      </c>
      <c r="F107" s="13" t="inlineStr">
        <is>
          <t>لايوجد</t>
        </is>
      </c>
      <c r="G107" s="13" t="inlineStr">
        <is>
          <t>هواة</t>
        </is>
      </c>
      <c r="H107" s="13" t="inlineStr">
        <is>
          <t>مكة المكرمة</t>
        </is>
      </c>
      <c r="I107" s="13" t="inlineStr">
        <is>
          <t>القنفذة</t>
        </is>
      </c>
    </row>
    <row r="108" ht="17" customHeight="1">
      <c r="B108" s="80" t="n">
        <v>107</v>
      </c>
      <c r="C108" s="84" t="inlineStr">
        <is>
          <t>اكاديمية يونايتد</t>
        </is>
      </c>
      <c r="D108" s="84" t="inlineStr">
        <is>
          <t>عبدالرحمن علوان</t>
        </is>
      </c>
      <c r="E108" s="84" t="n">
        <v>504784874</v>
      </c>
      <c r="F108" s="84" t="inlineStr">
        <is>
          <t>لايوجد</t>
        </is>
      </c>
      <c r="G108" s="84" t="inlineStr">
        <is>
          <t>هواة</t>
        </is>
      </c>
      <c r="H108" s="84" t="inlineStr">
        <is>
          <t>عسير</t>
        </is>
      </c>
      <c r="I108" s="84" t="inlineStr">
        <is>
          <t>أبها</t>
        </is>
      </c>
    </row>
    <row r="109" ht="17" customHeight="1">
      <c r="B109" s="17" t="n">
        <v>108</v>
      </c>
      <c r="C109" s="13" t="inlineStr">
        <is>
          <t xml:space="preserve">اكاديمية اس اف </t>
        </is>
      </c>
      <c r="D109" s="13" t="inlineStr">
        <is>
          <t xml:space="preserve">صالح الزهراني </t>
        </is>
      </c>
      <c r="E109" s="13" t="n">
        <v>538036567</v>
      </c>
      <c r="F109" s="13" t="inlineStr">
        <is>
          <t>لايوجد</t>
        </is>
      </c>
      <c r="G109" s="13" t="inlineStr">
        <is>
          <t>هواة</t>
        </is>
      </c>
      <c r="H109" s="13" t="inlineStr">
        <is>
          <t>الباحة</t>
        </is>
      </c>
      <c r="I109" s="13" t="inlineStr">
        <is>
          <t>الباحة</t>
        </is>
      </c>
    </row>
    <row r="110" ht="17" customHeight="1">
      <c r="B110" s="80" t="n">
        <v>109</v>
      </c>
      <c r="C110" s="84" t="inlineStr">
        <is>
          <t>نجوم الثمانين</t>
        </is>
      </c>
      <c r="D110" s="84" t="inlineStr">
        <is>
          <t>حسن البدري</t>
        </is>
      </c>
      <c r="E110" s="84" t="n">
        <v>536013379</v>
      </c>
      <c r="F110" s="84" t="inlineStr">
        <is>
          <t>لايوجد</t>
        </is>
      </c>
      <c r="G110" s="84" t="inlineStr">
        <is>
          <t>هواة</t>
        </is>
      </c>
      <c r="H110" s="84" t="inlineStr">
        <is>
          <t>مكة المكرمة</t>
        </is>
      </c>
      <c r="I110" s="84" t="inlineStr">
        <is>
          <t>جدة</t>
        </is>
      </c>
    </row>
    <row r="111" ht="17" customHeight="1">
      <c r="B111" s="17" t="n">
        <v>110</v>
      </c>
      <c r="C111" s="13" t="inlineStr">
        <is>
          <t>نادي سان جدة</t>
        </is>
      </c>
      <c r="D111" s="13" t="inlineStr">
        <is>
          <t>وليد مرشد</t>
        </is>
      </c>
      <c r="E111" s="13" t="n">
        <v>567054833</v>
      </c>
      <c r="F111" s="13" t="inlineStr">
        <is>
          <t>لايوجد</t>
        </is>
      </c>
      <c r="G111" s="13" t="inlineStr">
        <is>
          <t>هواة</t>
        </is>
      </c>
      <c r="H111" s="13" t="inlineStr">
        <is>
          <t>مكة المكرمة</t>
        </is>
      </c>
      <c r="I111" s="13" t="inlineStr">
        <is>
          <t>جدة</t>
        </is>
      </c>
    </row>
    <row r="112" ht="17" customHeight="1">
      <c r="B112" s="80" t="n">
        <v>111</v>
      </c>
      <c r="C112" s="84" t="inlineStr">
        <is>
          <t>اكاديمية وهب</t>
        </is>
      </c>
      <c r="D112" s="84" t="inlineStr">
        <is>
          <t>معتز حيدر</t>
        </is>
      </c>
      <c r="E112" s="84" t="n">
        <v>565280804</v>
      </c>
      <c r="F112" s="84" t="inlineStr">
        <is>
          <t>لايوجد</t>
        </is>
      </c>
      <c r="G112" s="84" t="inlineStr">
        <is>
          <t>هواة</t>
        </is>
      </c>
      <c r="H112" s="84" t="inlineStr">
        <is>
          <t>عسير</t>
        </is>
      </c>
      <c r="I112" s="84" t="inlineStr">
        <is>
          <t>أبها</t>
        </is>
      </c>
    </row>
    <row r="113" ht="17" customHeight="1">
      <c r="B113" s="17" t="n">
        <v>112</v>
      </c>
      <c r="C113" s="13" t="inlineStr">
        <is>
          <t>وحدة عنيكر</t>
        </is>
      </c>
      <c r="D113" s="13" t="inlineStr">
        <is>
          <t>ابراهيم العمري</t>
        </is>
      </c>
      <c r="E113" s="13" t="n">
        <v>507931484</v>
      </c>
      <c r="F113" s="13" t="inlineStr">
        <is>
          <t>لايوجد</t>
        </is>
      </c>
      <c r="G113" s="13" t="inlineStr">
        <is>
          <t>هواة</t>
        </is>
      </c>
      <c r="H113" s="13" t="inlineStr">
        <is>
          <t>مكة المكرمة</t>
        </is>
      </c>
      <c r="I113" s="13" t="inlineStr">
        <is>
          <t>القنفذة</t>
        </is>
      </c>
    </row>
    <row r="114" ht="17" customHeight="1">
      <c r="B114" s="80" t="n">
        <v>113</v>
      </c>
      <c r="C114" s="84" t="inlineStr">
        <is>
          <t>برشا الشطبة</t>
        </is>
      </c>
      <c r="D114" s="84" t="inlineStr">
        <is>
          <t>مشاري الوقداني</t>
        </is>
      </c>
      <c r="E114" s="84" t="n">
        <v>559655611</v>
      </c>
      <c r="F114" s="84" t="inlineStr">
        <is>
          <t>لايوجد</t>
        </is>
      </c>
      <c r="G114" s="84" t="inlineStr">
        <is>
          <t>هواة</t>
        </is>
      </c>
      <c r="H114" s="84" t="inlineStr">
        <is>
          <t>مكة المكرمة</t>
        </is>
      </c>
      <c r="I114" s="84" t="inlineStr">
        <is>
          <t>الطائف</t>
        </is>
      </c>
    </row>
    <row r="115" ht="17" customHeight="1">
      <c r="B115" s="17" t="n">
        <v>114</v>
      </c>
      <c r="C115" s="13" t="inlineStr">
        <is>
          <t>صقور المحدود</t>
        </is>
      </c>
      <c r="D115" s="13" t="inlineStr">
        <is>
          <t>عبدالله الغزال</t>
        </is>
      </c>
      <c r="E115" s="13" t="n">
        <v>597384488</v>
      </c>
      <c r="F115" s="13" t="inlineStr">
        <is>
          <t>لايوجد</t>
        </is>
      </c>
      <c r="G115" s="13" t="inlineStr">
        <is>
          <t>هواة</t>
        </is>
      </c>
      <c r="H115" s="13" t="inlineStr">
        <is>
          <t>الشرقية</t>
        </is>
      </c>
      <c r="I115" s="13" t="inlineStr">
        <is>
          <t>الأحساء</t>
        </is>
      </c>
    </row>
    <row r="116" ht="17" customHeight="1">
      <c r="B116" s="80" t="n">
        <v>115</v>
      </c>
      <c r="C116" s="84" t="inlineStr">
        <is>
          <t>بي فايف</t>
        </is>
      </c>
      <c r="D116" s="84" t="inlineStr">
        <is>
          <t>تركي البلوي</t>
        </is>
      </c>
      <c r="E116" s="84" t="n">
        <v>500434447</v>
      </c>
      <c r="F116" s="84" t="inlineStr">
        <is>
          <t xml:space="preserve">لايوجد </t>
        </is>
      </c>
      <c r="G116" s="84" t="inlineStr">
        <is>
          <t>هواة</t>
        </is>
      </c>
      <c r="H116" s="84" t="inlineStr">
        <is>
          <t>مكة المكرمة</t>
        </is>
      </c>
      <c r="I116" s="84" t="inlineStr">
        <is>
          <t>جدة</t>
        </is>
      </c>
    </row>
    <row r="117" ht="17" customHeight="1">
      <c r="B117" s="17" t="n">
        <v>116</v>
      </c>
      <c r="C117" s="13" t="inlineStr">
        <is>
          <t>اكاديمية النوفاوي</t>
        </is>
      </c>
      <c r="D117" s="13" t="inlineStr">
        <is>
          <t>عبدالله نوفاوي</t>
        </is>
      </c>
      <c r="E117" s="13" t="n">
        <v>538211655</v>
      </c>
      <c r="F117" s="13" t="inlineStr">
        <is>
          <t>لايوجد</t>
        </is>
      </c>
      <c r="G117" s="13" t="inlineStr">
        <is>
          <t>هواة</t>
        </is>
      </c>
      <c r="H117" s="13" t="inlineStr">
        <is>
          <t>مكة المكرمة</t>
        </is>
      </c>
      <c r="I117" s="13" t="inlineStr">
        <is>
          <t>مكة المكرمة</t>
        </is>
      </c>
    </row>
    <row r="118" ht="17" customHeight="1">
      <c r="B118" s="80" t="n">
        <v>117</v>
      </c>
      <c r="C118" s="84" t="inlineStr">
        <is>
          <t>فريق الوفاء بالمبرز</t>
        </is>
      </c>
      <c r="D118" s="84" t="inlineStr">
        <is>
          <t>حسن بوموزه</t>
        </is>
      </c>
      <c r="E118" s="84" t="n">
        <v>564462167</v>
      </c>
      <c r="F118" s="84" t="inlineStr">
        <is>
          <t>لايوجد</t>
        </is>
      </c>
      <c r="G118" s="84" t="inlineStr">
        <is>
          <t>هواة</t>
        </is>
      </c>
      <c r="H118" s="84" t="inlineStr">
        <is>
          <t>الشرقية</t>
        </is>
      </c>
      <c r="I118" s="84" t="inlineStr">
        <is>
          <t>الأحساء</t>
        </is>
      </c>
    </row>
    <row r="119" ht="17" customHeight="1">
      <c r="B119" s="17" t="n">
        <v>118</v>
      </c>
      <c r="C119" s="13" t="inlineStr">
        <is>
          <t>العطا تيم</t>
        </is>
      </c>
      <c r="D119" s="13" t="inlineStr">
        <is>
          <t>عبدالعالي الحارثي</t>
        </is>
      </c>
      <c r="E119" s="13" t="n">
        <v>599290536</v>
      </c>
      <c r="F119" s="13" t="inlineStr">
        <is>
          <t>لايوجد</t>
        </is>
      </c>
      <c r="G119" s="13" t="inlineStr">
        <is>
          <t>هواة</t>
        </is>
      </c>
      <c r="H119" s="13" t="inlineStr">
        <is>
          <t>مكة المكرمة</t>
        </is>
      </c>
      <c r="I119" s="13" t="inlineStr">
        <is>
          <t>مكة المكرمة</t>
        </is>
      </c>
    </row>
    <row r="120" ht="17" customHeight="1">
      <c r="B120" s="80" t="n">
        <v>119</v>
      </c>
      <c r="C120" s="84" t="inlineStr">
        <is>
          <t>صقور قامرة جازان</t>
        </is>
      </c>
      <c r="D120" s="84" t="inlineStr">
        <is>
          <t>علي مشرقي</t>
        </is>
      </c>
      <c r="E120" s="84" t="n">
        <v>506742965</v>
      </c>
      <c r="F120" s="84" t="inlineStr">
        <is>
          <t>لايوجد</t>
        </is>
      </c>
      <c r="G120" s="84" t="inlineStr">
        <is>
          <t>هواة</t>
        </is>
      </c>
      <c r="H120" s="84" t="inlineStr">
        <is>
          <t>جازان</t>
        </is>
      </c>
      <c r="I120" s="84" t="inlineStr">
        <is>
          <t>أبو عريش</t>
        </is>
      </c>
    </row>
    <row r="121" ht="17" customHeight="1">
      <c r="B121" s="17" t="n">
        <v>120</v>
      </c>
      <c r="C121" s="13" t="inlineStr">
        <is>
          <t>اكادمية الجوهرة المشعة</t>
        </is>
      </c>
      <c r="D121" s="13" t="inlineStr">
        <is>
          <t>ياسر هوساوي</t>
        </is>
      </c>
      <c r="E121" s="13" t="n">
        <v>563835800</v>
      </c>
      <c r="F121" s="13" t="inlineStr">
        <is>
          <t>لايوجد</t>
        </is>
      </c>
      <c r="G121" s="13" t="inlineStr">
        <is>
          <t>هواة</t>
        </is>
      </c>
      <c r="H121" s="13" t="inlineStr">
        <is>
          <t>مكة المكرمة</t>
        </is>
      </c>
      <c r="I121" s="13" t="inlineStr">
        <is>
          <t>مكة المكرمة</t>
        </is>
      </c>
    </row>
    <row r="122" ht="17" customHeight="1">
      <c r="B122" s="80" t="n">
        <v>121</v>
      </c>
      <c r="C122" s="84" t="inlineStr">
        <is>
          <t>فريق تاج العدالة</t>
        </is>
      </c>
      <c r="D122" s="84" t="inlineStr">
        <is>
          <t>عبدالرحمن الصاعدي</t>
        </is>
      </c>
      <c r="E122" s="84" t="n">
        <v>590484805</v>
      </c>
      <c r="F122" s="84" t="inlineStr">
        <is>
          <t>لايوجد</t>
        </is>
      </c>
      <c r="G122" s="84" t="inlineStr">
        <is>
          <t>هواة</t>
        </is>
      </c>
      <c r="H122" s="84" t="inlineStr">
        <is>
          <t>المدينة المنورة</t>
        </is>
      </c>
      <c r="I122" s="84" t="inlineStr">
        <is>
          <t>المدينة المنورة</t>
        </is>
      </c>
    </row>
    <row r="123" ht="17" customHeight="1">
      <c r="B123" s="17" t="n">
        <v>122</v>
      </c>
      <c r="C123" s="13" t="inlineStr">
        <is>
          <t>الهلال الشرقي</t>
        </is>
      </c>
      <c r="D123" s="13" t="inlineStr">
        <is>
          <t>علي الامير</t>
        </is>
      </c>
      <c r="E123" s="13" t="n">
        <v>554744021</v>
      </c>
      <c r="F123" s="13" t="inlineStr">
        <is>
          <t>لايوجد</t>
        </is>
      </c>
      <c r="G123" s="13" t="inlineStr">
        <is>
          <t>هواة</t>
        </is>
      </c>
      <c r="H123" s="13" t="inlineStr">
        <is>
          <t>جازان</t>
        </is>
      </c>
      <c r="I123" s="13" t="inlineStr">
        <is>
          <t>أبو عريش</t>
        </is>
      </c>
    </row>
    <row r="124" ht="17" customHeight="1">
      <c r="B124" s="80" t="n">
        <v>123</v>
      </c>
      <c r="C124" s="84" t="inlineStr">
        <is>
          <t>اكاديمية الليجا الرياضية</t>
        </is>
      </c>
      <c r="D124" s="84" t="inlineStr">
        <is>
          <t>انس الاركاني</t>
        </is>
      </c>
      <c r="E124" s="84" t="n">
        <v>501876319</v>
      </c>
      <c r="F124" s="84" t="inlineStr">
        <is>
          <t>لايوجد</t>
        </is>
      </c>
      <c r="G124" s="84" t="inlineStr">
        <is>
          <t>هواة</t>
        </is>
      </c>
      <c r="H124" s="84" t="inlineStr">
        <is>
          <t>المدينة المنورة</t>
        </is>
      </c>
      <c r="I124" s="84" t="inlineStr">
        <is>
          <t>المدينة المنورة</t>
        </is>
      </c>
    </row>
    <row r="125" ht="17" customHeight="1">
      <c r="B125" s="17" t="n">
        <v>124</v>
      </c>
      <c r="C125" s="13" t="inlineStr">
        <is>
          <t>اكاديمية تندحة الرياضية</t>
        </is>
      </c>
      <c r="D125" s="13" t="inlineStr">
        <is>
          <t>عبدالله متعب</t>
        </is>
      </c>
      <c r="E125" s="13" t="n">
        <v>500644232</v>
      </c>
      <c r="F125" s="13" t="inlineStr">
        <is>
          <t>لايوجد</t>
        </is>
      </c>
      <c r="G125" s="13" t="inlineStr">
        <is>
          <t>هواة</t>
        </is>
      </c>
      <c r="H125" s="13" t="inlineStr">
        <is>
          <t>عسير</t>
        </is>
      </c>
      <c r="I125" s="13" t="inlineStr">
        <is>
          <t>خميس مشيط</t>
        </is>
      </c>
    </row>
    <row r="126" ht="17" customHeight="1">
      <c r="B126" s="80" t="n">
        <v>125</v>
      </c>
      <c r="C126" s="84" t="inlineStr">
        <is>
          <t>صفوة مواهب الجنوب</t>
        </is>
      </c>
      <c r="D126" s="84" t="inlineStr">
        <is>
          <t>الهيثم غزواني</t>
        </is>
      </c>
      <c r="E126" s="84" t="n">
        <v>504310712</v>
      </c>
      <c r="F126" s="84" t="inlineStr">
        <is>
          <t>لايوجد</t>
        </is>
      </c>
      <c r="G126" s="84" t="inlineStr">
        <is>
          <t>هواة</t>
        </is>
      </c>
      <c r="H126" s="84" t="inlineStr">
        <is>
          <t>عسير</t>
        </is>
      </c>
      <c r="I126" s="84" t="inlineStr">
        <is>
          <t>خميس مشيط</t>
        </is>
      </c>
    </row>
    <row r="127" ht="17" customHeight="1">
      <c r="B127" s="17" t="n">
        <v>126</v>
      </c>
      <c r="C127" s="13" t="inlineStr">
        <is>
          <t>هواة تبوك</t>
        </is>
      </c>
      <c r="D127" s="13" t="inlineStr">
        <is>
          <t>خالد البلوي</t>
        </is>
      </c>
      <c r="E127" s="13" t="n">
        <v>551402129</v>
      </c>
      <c r="F127" s="13" t="inlineStr">
        <is>
          <t>لايوجد</t>
        </is>
      </c>
      <c r="G127" s="13" t="inlineStr">
        <is>
          <t>هواة</t>
        </is>
      </c>
      <c r="H127" s="13" t="inlineStr">
        <is>
          <t>تبوك</t>
        </is>
      </c>
      <c r="I127" s="13" t="inlineStr">
        <is>
          <t>تبوك</t>
        </is>
      </c>
    </row>
    <row r="128" ht="17" customHeight="1">
      <c r="B128" s="80" t="n">
        <v>127</v>
      </c>
      <c r="C128" s="84" t="inlineStr">
        <is>
          <t>اكاديمية بلو باور جدة</t>
        </is>
      </c>
      <c r="D128" s="84" t="inlineStr">
        <is>
          <t xml:space="preserve">علي الحسيني </t>
        </is>
      </c>
      <c r="E128" s="84" t="n">
        <v>599376684</v>
      </c>
      <c r="F128" s="84" t="inlineStr">
        <is>
          <t xml:space="preserve">لايوجد </t>
        </is>
      </c>
      <c r="G128" s="84" t="inlineStr">
        <is>
          <t>هواة</t>
        </is>
      </c>
      <c r="H128" s="84" t="inlineStr">
        <is>
          <t>مكة المكرمة</t>
        </is>
      </c>
      <c r="I128" s="84" t="inlineStr">
        <is>
          <t>جدة</t>
        </is>
      </c>
    </row>
    <row r="129" ht="17" customHeight="1">
      <c r="B129" s="17" t="n">
        <v>128</v>
      </c>
      <c r="C129" s="13" t="inlineStr">
        <is>
          <t>إي إس زد الطائف</t>
        </is>
      </c>
      <c r="D129" s="13" t="inlineStr">
        <is>
          <t>عبدالله الزهراني</t>
        </is>
      </c>
      <c r="E129" s="13" t="n">
        <v>550088733</v>
      </c>
      <c r="F129" s="13" t="inlineStr">
        <is>
          <t>لايوجد</t>
        </is>
      </c>
      <c r="G129" s="13" t="inlineStr">
        <is>
          <t>هواة</t>
        </is>
      </c>
      <c r="H129" s="13" t="inlineStr">
        <is>
          <t>مكة المكرمة</t>
        </is>
      </c>
      <c r="I129" s="13" t="inlineStr">
        <is>
          <t>الطائف</t>
        </is>
      </c>
    </row>
    <row r="130" ht="17" customHeight="1">
      <c r="B130" s="80" t="n">
        <v>129</v>
      </c>
      <c r="C130" s="84" t="inlineStr">
        <is>
          <t>فريق البعد</t>
        </is>
      </c>
      <c r="D130" s="84" t="inlineStr">
        <is>
          <t>عمر باعيسى</t>
        </is>
      </c>
      <c r="E130" s="84" t="n">
        <v>503600005</v>
      </c>
      <c r="F130" s="84" t="inlineStr">
        <is>
          <t>لايوجد</t>
        </is>
      </c>
      <c r="G130" s="84" t="inlineStr">
        <is>
          <t>هواة</t>
        </is>
      </c>
      <c r="H130" s="84" t="inlineStr">
        <is>
          <t>مكة المكرمة</t>
        </is>
      </c>
      <c r="I130" s="84" t="inlineStr">
        <is>
          <t>جدة</t>
        </is>
      </c>
    </row>
    <row r="131" ht="17" customHeight="1">
      <c r="B131" s="17" t="n">
        <v>130</v>
      </c>
      <c r="C131" s="13" t="inlineStr">
        <is>
          <t>زد ام سي القنفذة</t>
        </is>
      </c>
      <c r="D131" s="13" t="inlineStr">
        <is>
          <t>محمد الزبيدي</t>
        </is>
      </c>
      <c r="E131" s="13" t="n">
        <v>569003720</v>
      </c>
      <c r="F131" s="13" t="inlineStr">
        <is>
          <t>لايوجد</t>
        </is>
      </c>
      <c r="G131" s="13" t="inlineStr">
        <is>
          <t>هواة</t>
        </is>
      </c>
      <c r="H131" s="13" t="inlineStr">
        <is>
          <t>مكة المكرمة</t>
        </is>
      </c>
      <c r="I131" s="13" t="inlineStr">
        <is>
          <t>القنفذة</t>
        </is>
      </c>
    </row>
    <row r="132" ht="17" customHeight="1">
      <c r="B132" s="80" t="n">
        <v>131</v>
      </c>
      <c r="C132" s="84" t="inlineStr">
        <is>
          <t>حزم الخفجي</t>
        </is>
      </c>
      <c r="D132" s="84" t="inlineStr">
        <is>
          <t>بدر بالحارث</t>
        </is>
      </c>
      <c r="E132" s="84" t="n">
        <v>544001660</v>
      </c>
      <c r="F132" s="84" t="inlineStr">
        <is>
          <t>لايوجد</t>
        </is>
      </c>
      <c r="G132" s="84" t="inlineStr">
        <is>
          <t>هواة</t>
        </is>
      </c>
      <c r="H132" s="84" t="inlineStr">
        <is>
          <t>الشرقية</t>
        </is>
      </c>
      <c r="I132" s="84" t="inlineStr">
        <is>
          <t>الخفجي</t>
        </is>
      </c>
    </row>
    <row r="133" ht="17" customHeight="1">
      <c r="B133" s="17" t="n">
        <v>132</v>
      </c>
      <c r="C133" s="13" t="inlineStr">
        <is>
          <t>زعيم الخفجي</t>
        </is>
      </c>
      <c r="D133" s="13" t="inlineStr">
        <is>
          <t>حاتم العازمي</t>
        </is>
      </c>
      <c r="E133" s="45" t="n">
        <v>966550168174</v>
      </c>
      <c r="F133" s="13" t="inlineStr">
        <is>
          <t>لايوجد</t>
        </is>
      </c>
      <c r="G133" s="13" t="inlineStr">
        <is>
          <t>هواة</t>
        </is>
      </c>
      <c r="H133" s="13" t="inlineStr">
        <is>
          <t>الشرقية</t>
        </is>
      </c>
      <c r="I133" s="13" t="inlineStr">
        <is>
          <t>الخفجي</t>
        </is>
      </c>
    </row>
    <row r="134" ht="17" customHeight="1">
      <c r="B134" s="80" t="n">
        <v>133</v>
      </c>
      <c r="C134" s="84" t="inlineStr">
        <is>
          <t>نابولي الخفجي</t>
        </is>
      </c>
      <c r="D134" s="84" t="inlineStr">
        <is>
          <t>شعلان الشمري</t>
        </is>
      </c>
      <c r="E134" s="84" t="n">
        <v>533978378</v>
      </c>
      <c r="F134" s="84" t="inlineStr">
        <is>
          <t>لايوجد</t>
        </is>
      </c>
      <c r="G134" s="84" t="inlineStr">
        <is>
          <t>هواة</t>
        </is>
      </c>
      <c r="H134" s="84" t="inlineStr">
        <is>
          <t>الشرقية</t>
        </is>
      </c>
      <c r="I134" s="84" t="inlineStr">
        <is>
          <t>الخفجي</t>
        </is>
      </c>
    </row>
    <row r="135" ht="17" customHeight="1">
      <c r="B135" s="17" t="n">
        <v>134</v>
      </c>
      <c r="C135" s="13" t="inlineStr">
        <is>
          <t>زعيم الجنوب</t>
        </is>
      </c>
      <c r="D135" s="13" t="inlineStr">
        <is>
          <t>عادل مشهور</t>
        </is>
      </c>
      <c r="E135" s="13" t="n">
        <v>561143088</v>
      </c>
      <c r="F135" s="13" t="inlineStr">
        <is>
          <t>لايوجد</t>
        </is>
      </c>
      <c r="G135" s="13" t="inlineStr">
        <is>
          <t>هواة</t>
        </is>
      </c>
      <c r="H135" s="13" t="inlineStr">
        <is>
          <t>عسير</t>
        </is>
      </c>
      <c r="I135" s="13" t="inlineStr">
        <is>
          <t>أبها</t>
        </is>
      </c>
    </row>
    <row r="136" ht="17" customHeight="1">
      <c r="B136" s="80" t="n">
        <v>135</v>
      </c>
      <c r="C136" s="84" t="inlineStr">
        <is>
          <t>ميلان الخفجي</t>
        </is>
      </c>
      <c r="D136" s="84" t="inlineStr">
        <is>
          <t>محمد السبيغي</t>
        </is>
      </c>
      <c r="E136" s="84" t="n">
        <v>549138832</v>
      </c>
      <c r="F136" s="84" t="inlineStr">
        <is>
          <t>لايوجد</t>
        </is>
      </c>
      <c r="G136" s="84" t="inlineStr">
        <is>
          <t>هواة</t>
        </is>
      </c>
      <c r="H136" s="84" t="inlineStr">
        <is>
          <t>الشرقية</t>
        </is>
      </c>
      <c r="I136" s="84" t="inlineStr">
        <is>
          <t>الخفجي</t>
        </is>
      </c>
    </row>
    <row r="137" ht="17" customHeight="1">
      <c r="B137" s="17" t="n">
        <v>136</v>
      </c>
      <c r="C137" s="13" t="inlineStr">
        <is>
          <t>اكاديمية تايقرز</t>
        </is>
      </c>
      <c r="D137" s="13" t="inlineStr">
        <is>
          <t>عبدالفتاح الهوساوي</t>
        </is>
      </c>
      <c r="E137" s="13" t="n">
        <v>582787375</v>
      </c>
      <c r="F137" s="13" t="inlineStr">
        <is>
          <t>لايوجد</t>
        </is>
      </c>
      <c r="G137" s="13" t="inlineStr">
        <is>
          <t>هواة</t>
        </is>
      </c>
      <c r="H137" s="13" t="inlineStr">
        <is>
          <t>القصيم</t>
        </is>
      </c>
      <c r="I137" s="13" t="inlineStr">
        <is>
          <t>بريدة</t>
        </is>
      </c>
    </row>
    <row r="138" ht="17" customHeight="1">
      <c r="B138" s="80" t="n">
        <v>137</v>
      </c>
      <c r="C138" s="84" t="inlineStr">
        <is>
          <t>اكاديمية سمارت تبوك</t>
        </is>
      </c>
      <c r="D138" s="84" t="inlineStr">
        <is>
          <t>يحيى مجرشي</t>
        </is>
      </c>
      <c r="E138" s="84" t="n">
        <v>565137072</v>
      </c>
      <c r="F138" s="84" t="inlineStr">
        <is>
          <t>لايوجد</t>
        </is>
      </c>
      <c r="G138" s="84" t="inlineStr">
        <is>
          <t>هواة</t>
        </is>
      </c>
      <c r="H138" s="84" t="inlineStr">
        <is>
          <t>تبوك</t>
        </is>
      </c>
      <c r="I138" s="84" t="inlineStr">
        <is>
          <t>تبوك</t>
        </is>
      </c>
    </row>
    <row r="139" ht="17" customHeight="1">
      <c r="B139" s="17" t="n">
        <v>138</v>
      </c>
      <c r="C139" s="13" t="inlineStr">
        <is>
          <t xml:space="preserve">اكاديمية مجد والعلياء الرياضية </t>
        </is>
      </c>
      <c r="D139" s="13" t="inlineStr">
        <is>
          <t>محمد الثبيتي</t>
        </is>
      </c>
      <c r="E139" s="13" t="n">
        <v>555904024</v>
      </c>
      <c r="F139" s="13" t="inlineStr">
        <is>
          <t>لايوجد</t>
        </is>
      </c>
      <c r="G139" s="13" t="inlineStr">
        <is>
          <t>هواة</t>
        </is>
      </c>
      <c r="H139" s="13" t="inlineStr">
        <is>
          <t>مكة المكرمة</t>
        </is>
      </c>
      <c r="I139" s="13" t="inlineStr">
        <is>
          <t>مكة المكرمة</t>
        </is>
      </c>
    </row>
    <row r="140" ht="17" customHeight="1">
      <c r="B140" s="80" t="n">
        <v>139</v>
      </c>
      <c r="C140" s="84" t="inlineStr">
        <is>
          <t>جدة فالكونز</t>
        </is>
      </c>
      <c r="D140" s="84" t="inlineStr">
        <is>
          <t>اسامة معروف</t>
        </is>
      </c>
      <c r="E140" s="84" t="n">
        <v>547736671</v>
      </c>
      <c r="F140" s="84" t="inlineStr">
        <is>
          <t>لايوجد</t>
        </is>
      </c>
      <c r="G140" s="84" t="inlineStr">
        <is>
          <t>هواة</t>
        </is>
      </c>
      <c r="H140" s="84" t="inlineStr">
        <is>
          <t>مكة المكرمة</t>
        </is>
      </c>
      <c r="I140" s="84" t="inlineStr">
        <is>
          <t>جدة</t>
        </is>
      </c>
    </row>
    <row r="141" ht="17" customHeight="1">
      <c r="B141" s="17" t="n">
        <v>140</v>
      </c>
      <c r="C141" s="13" t="inlineStr">
        <is>
          <t>نخبة الصمان</t>
        </is>
      </c>
      <c r="D141" s="13" t="inlineStr">
        <is>
          <t>بدر الراشد</t>
        </is>
      </c>
      <c r="E141" s="13" t="n">
        <v>507297758</v>
      </c>
      <c r="F141" s="13" t="inlineStr">
        <is>
          <t>لايوجد</t>
        </is>
      </c>
      <c r="G141" s="13" t="inlineStr">
        <is>
          <t>هواة</t>
        </is>
      </c>
      <c r="H141" s="13" t="inlineStr">
        <is>
          <t>الشرقية</t>
        </is>
      </c>
      <c r="I141" s="13" t="inlineStr">
        <is>
          <t>مركز الرفيعة</t>
        </is>
      </c>
    </row>
    <row r="142" ht="17" customHeight="1">
      <c r="B142" s="80" t="n">
        <v>141</v>
      </c>
      <c r="C142" s="84" t="inlineStr">
        <is>
          <t>النخبوي</t>
        </is>
      </c>
      <c r="D142" s="84" t="inlineStr">
        <is>
          <t>فيصل الراشد</t>
        </is>
      </c>
      <c r="E142" s="84" t="n">
        <v>537196952</v>
      </c>
      <c r="F142" s="84" t="inlineStr">
        <is>
          <t>لايوجد</t>
        </is>
      </c>
      <c r="G142" s="84" t="inlineStr">
        <is>
          <t>هواة</t>
        </is>
      </c>
      <c r="H142" s="84" t="inlineStr">
        <is>
          <t>الشرقية</t>
        </is>
      </c>
      <c r="I142" s="84" t="inlineStr">
        <is>
          <t>مركز الرفيعة</t>
        </is>
      </c>
    </row>
    <row r="143" ht="17" customHeight="1">
      <c r="B143" s="17" t="n">
        <v>142</v>
      </c>
      <c r="C143" s="13" t="inlineStr">
        <is>
          <t>اتحاد البساتين</t>
        </is>
      </c>
      <c r="D143" s="13" t="inlineStr">
        <is>
          <t>حسن النزلاوي</t>
        </is>
      </c>
      <c r="E143" s="13" t="n">
        <v>560821080</v>
      </c>
      <c r="F143" s="13" t="inlineStr">
        <is>
          <t>لايوجد</t>
        </is>
      </c>
      <c r="G143" s="13" t="inlineStr">
        <is>
          <t>هواة</t>
        </is>
      </c>
      <c r="H143" s="13" t="inlineStr">
        <is>
          <t>مكة المكرمة</t>
        </is>
      </c>
      <c r="I143" s="13" t="inlineStr">
        <is>
          <t>جدة</t>
        </is>
      </c>
    </row>
    <row r="144" ht="17" customHeight="1">
      <c r="B144" s="80" t="n">
        <v>143</v>
      </c>
      <c r="C144" s="84" t="inlineStr">
        <is>
          <t>اجيال اللهابه</t>
        </is>
      </c>
      <c r="D144" s="84" t="inlineStr">
        <is>
          <t>احمد العزيزي</t>
        </is>
      </c>
      <c r="E144" s="84" t="n">
        <v>568762556</v>
      </c>
      <c r="F144" s="84" t="inlineStr">
        <is>
          <t>لايوجد</t>
        </is>
      </c>
      <c r="G144" s="84" t="inlineStr">
        <is>
          <t>هواة</t>
        </is>
      </c>
      <c r="H144" s="84" t="inlineStr">
        <is>
          <t>الشرقية</t>
        </is>
      </c>
      <c r="I144" s="84" t="inlineStr">
        <is>
          <t>مركز الرفيعة</t>
        </is>
      </c>
    </row>
    <row r="145" ht="17" customHeight="1">
      <c r="B145" s="17" t="n">
        <v>144</v>
      </c>
      <c r="C145" s="13" t="inlineStr">
        <is>
          <t>نجوم الخفجي</t>
        </is>
      </c>
      <c r="D145" s="13" t="inlineStr">
        <is>
          <t>عبدالعزيز المطيري</t>
        </is>
      </c>
      <c r="E145" s="13" t="n">
        <v>505444309</v>
      </c>
      <c r="F145" s="13" t="inlineStr">
        <is>
          <t>لايوجد</t>
        </is>
      </c>
      <c r="G145" s="13" t="inlineStr">
        <is>
          <t>هواة</t>
        </is>
      </c>
      <c r="H145" s="13" t="inlineStr">
        <is>
          <t>الشرقية</t>
        </is>
      </c>
      <c r="I145" s="13" t="inlineStr">
        <is>
          <t>الخفجي</t>
        </is>
      </c>
    </row>
    <row r="146" ht="17" customHeight="1">
      <c r="B146" s="80" t="n">
        <v>145</v>
      </c>
      <c r="C146" s="84" t="inlineStr">
        <is>
          <t>نيتربول</t>
        </is>
      </c>
      <c r="D146" s="84" t="inlineStr">
        <is>
          <t>ريان حدادي</t>
        </is>
      </c>
      <c r="E146" s="84" t="n">
        <v>550488359</v>
      </c>
      <c r="F146" s="84" t="inlineStr">
        <is>
          <t>لايوجد</t>
        </is>
      </c>
      <c r="G146" s="84" t="inlineStr">
        <is>
          <t>هواة</t>
        </is>
      </c>
      <c r="H146" s="84" t="inlineStr">
        <is>
          <t>الشرقية</t>
        </is>
      </c>
      <c r="I146" s="84" t="inlineStr">
        <is>
          <t>الخفجي</t>
        </is>
      </c>
    </row>
    <row r="147" ht="17" customHeight="1">
      <c r="B147" s="17" t="n">
        <v>146</v>
      </c>
      <c r="C147" s="13" t="inlineStr">
        <is>
          <t>السهم</t>
        </is>
      </c>
      <c r="D147" s="13" t="inlineStr">
        <is>
          <t xml:space="preserve">حمد القحطاني </t>
        </is>
      </c>
      <c r="E147" s="13" t="n">
        <v>503966482</v>
      </c>
      <c r="F147" s="13" t="inlineStr">
        <is>
          <t>لايوجد</t>
        </is>
      </c>
      <c r="G147" s="13" t="inlineStr">
        <is>
          <t>هواة</t>
        </is>
      </c>
      <c r="H147" s="13" t="inlineStr">
        <is>
          <t>الشرقية</t>
        </is>
      </c>
      <c r="I147" s="13" t="inlineStr">
        <is>
          <t>الخفجي</t>
        </is>
      </c>
    </row>
    <row r="148" ht="17" customHeight="1">
      <c r="B148" s="80" t="n">
        <v>147</v>
      </c>
      <c r="C148" s="84" t="inlineStr">
        <is>
          <t>نجوم الرفاع</t>
        </is>
      </c>
      <c r="D148" s="84" t="inlineStr">
        <is>
          <t>عبدالله المحلسي</t>
        </is>
      </c>
      <c r="E148" s="84" t="n">
        <v>550099994</v>
      </c>
      <c r="F148" s="84" t="inlineStr">
        <is>
          <t>لايوجد</t>
        </is>
      </c>
      <c r="G148" s="84" t="inlineStr">
        <is>
          <t>هواة</t>
        </is>
      </c>
      <c r="H148" s="84" t="inlineStr">
        <is>
          <t>الشرقية</t>
        </is>
      </c>
      <c r="I148" s="84" t="inlineStr">
        <is>
          <t>مركز الرفيعة</t>
        </is>
      </c>
    </row>
    <row r="149" ht="17" customHeight="1">
      <c r="B149" s="17" t="n">
        <v>148</v>
      </c>
      <c r="C149" s="13" t="inlineStr">
        <is>
          <t>اكادميه ميلانو</t>
        </is>
      </c>
      <c r="D149" s="13" t="inlineStr">
        <is>
          <t>احمد عسيري</t>
        </is>
      </c>
      <c r="E149" s="13" t="n">
        <v>554207419</v>
      </c>
      <c r="F149" s="13" t="inlineStr">
        <is>
          <t>لايوجد</t>
        </is>
      </c>
      <c r="G149" s="13" t="inlineStr">
        <is>
          <t>هواة</t>
        </is>
      </c>
      <c r="H149" s="13" t="inlineStr">
        <is>
          <t>الرياض</t>
        </is>
      </c>
      <c r="I149" s="13" t="inlineStr">
        <is>
          <t>الرياض</t>
        </is>
      </c>
    </row>
    <row r="150" ht="17" customHeight="1">
      <c r="B150" s="80" t="n">
        <v>149</v>
      </c>
      <c r="C150" s="84" t="inlineStr">
        <is>
          <t>مواهب الشيحية</t>
        </is>
      </c>
      <c r="D150" s="84" t="inlineStr">
        <is>
          <t>احمد الصعب</t>
        </is>
      </c>
      <c r="E150" s="84" t="n">
        <v>537430892</v>
      </c>
      <c r="F150" s="84" t="inlineStr">
        <is>
          <t>لايوجد</t>
        </is>
      </c>
      <c r="G150" s="84" t="inlineStr">
        <is>
          <t>هواة</t>
        </is>
      </c>
      <c r="H150" s="84" t="inlineStr">
        <is>
          <t>الشرقية</t>
        </is>
      </c>
      <c r="I150" s="84" t="inlineStr">
        <is>
          <t>مركز الرفيعة</t>
        </is>
      </c>
    </row>
    <row r="151" ht="17" customHeight="1">
      <c r="B151" s="17" t="n">
        <v>150</v>
      </c>
      <c r="C151" s="13" t="inlineStr">
        <is>
          <t>القمه مركز الرفيعة</t>
        </is>
      </c>
      <c r="D151" s="13" t="inlineStr">
        <is>
          <t>حامد الخالدي</t>
        </is>
      </c>
      <c r="E151" s="13" t="n">
        <v>555959521</v>
      </c>
      <c r="F151" s="13" t="inlineStr">
        <is>
          <t>لايوجد</t>
        </is>
      </c>
      <c r="G151" s="13" t="inlineStr">
        <is>
          <t>هواة</t>
        </is>
      </c>
      <c r="H151" s="13" t="inlineStr">
        <is>
          <t>الشرقية</t>
        </is>
      </c>
      <c r="I151" s="13" t="inlineStr">
        <is>
          <t>مركز الرفيعة</t>
        </is>
      </c>
    </row>
    <row r="152" ht="17" customHeight="1">
      <c r="B152" s="80" t="n">
        <v>151</v>
      </c>
      <c r="C152" s="84" t="inlineStr">
        <is>
          <t>اكاديمية التحدي جدة</t>
        </is>
      </c>
      <c r="D152" s="84" t="inlineStr">
        <is>
          <t>عبدالله البقمي</t>
        </is>
      </c>
      <c r="E152" s="84" t="n">
        <v>552660308</v>
      </c>
      <c r="F152" s="84" t="inlineStr">
        <is>
          <t xml:space="preserve">لايوجد </t>
        </is>
      </c>
      <c r="G152" s="84" t="inlineStr">
        <is>
          <t>هواة</t>
        </is>
      </c>
      <c r="H152" s="84" t="inlineStr">
        <is>
          <t>مكة المكرمة</t>
        </is>
      </c>
      <c r="I152" s="84" t="inlineStr">
        <is>
          <t>جدة</t>
        </is>
      </c>
    </row>
    <row r="153" ht="17" customHeight="1">
      <c r="B153" s="17" t="n">
        <v>152</v>
      </c>
      <c r="C153" s="13" t="inlineStr">
        <is>
          <t>شعلة الباحة</t>
        </is>
      </c>
      <c r="D153" s="13" t="inlineStr">
        <is>
          <t xml:space="preserve">صالح العمري </t>
        </is>
      </c>
      <c r="E153" s="13" t="n">
        <v>504762940</v>
      </c>
      <c r="F153" s="13" t="inlineStr">
        <is>
          <t>لايوجد</t>
        </is>
      </c>
      <c r="G153" s="13" t="inlineStr">
        <is>
          <t>هواة</t>
        </is>
      </c>
      <c r="H153" s="13" t="inlineStr">
        <is>
          <t>الباحة</t>
        </is>
      </c>
      <c r="I153" s="13" t="inlineStr">
        <is>
          <t>الباحة</t>
        </is>
      </c>
    </row>
    <row r="154" ht="17" customHeight="1">
      <c r="B154" s="80" t="n">
        <v>153</v>
      </c>
      <c r="C154" s="84" t="inlineStr">
        <is>
          <t>اكاديمية أبناء</t>
        </is>
      </c>
      <c r="D154" s="84" t="inlineStr">
        <is>
          <t>محمد المنصور</t>
        </is>
      </c>
      <c r="E154" s="84" t="n">
        <v>556036072</v>
      </c>
      <c r="F154" s="84" t="inlineStr">
        <is>
          <t>لايوجد</t>
        </is>
      </c>
      <c r="G154" s="84" t="inlineStr">
        <is>
          <t>هواة</t>
        </is>
      </c>
      <c r="H154" s="84" t="inlineStr">
        <is>
          <t>القصيم</t>
        </is>
      </c>
      <c r="I154" s="84" t="inlineStr">
        <is>
          <t>بريدة</t>
        </is>
      </c>
    </row>
    <row r="155" ht="17" customHeight="1">
      <c r="B155" s="17" t="n">
        <v>154</v>
      </c>
      <c r="C155" s="13" t="inlineStr">
        <is>
          <t xml:space="preserve">صفوة جيم </t>
        </is>
      </c>
      <c r="D155" s="13" t="inlineStr">
        <is>
          <t>عبدالعزيز عسيري</t>
        </is>
      </c>
      <c r="E155" s="13" t="n">
        <v>966553978161</v>
      </c>
      <c r="F155" s="13" t="inlineStr">
        <is>
          <t>لايوجد</t>
        </is>
      </c>
      <c r="G155" s="13" t="inlineStr">
        <is>
          <t>هواة</t>
        </is>
      </c>
      <c r="H155" s="13" t="inlineStr">
        <is>
          <t>الرياض</t>
        </is>
      </c>
      <c r="I155" s="13" t="inlineStr">
        <is>
          <t>الخرج</t>
        </is>
      </c>
    </row>
    <row r="156" ht="17" customHeight="1">
      <c r="B156" s="80" t="n">
        <v>155</v>
      </c>
      <c r="C156" s="84" t="inlineStr">
        <is>
          <t>اكاديمية اليمامة</t>
        </is>
      </c>
      <c r="D156" s="84" t="inlineStr">
        <is>
          <t>عادل الحربي</t>
        </is>
      </c>
      <c r="E156" s="84" t="n">
        <v>559909929</v>
      </c>
      <c r="F156" s="84" t="inlineStr">
        <is>
          <t>لايوجد</t>
        </is>
      </c>
      <c r="G156" s="84" t="inlineStr">
        <is>
          <t>هواة</t>
        </is>
      </c>
      <c r="H156" s="84" t="inlineStr">
        <is>
          <t>الرياض</t>
        </is>
      </c>
      <c r="I156" s="84" t="inlineStr">
        <is>
          <t>الخرج</t>
        </is>
      </c>
    </row>
    <row r="157" ht="17" customHeight="1">
      <c r="B157" s="17" t="n">
        <v>156</v>
      </c>
      <c r="C157" s="13" t="inlineStr">
        <is>
          <t>سدرة</t>
        </is>
      </c>
      <c r="D157" s="13" t="inlineStr">
        <is>
          <t>مازن عوير</t>
        </is>
      </c>
      <c r="E157" s="13" t="n">
        <v>500934380</v>
      </c>
      <c r="F157" s="13" t="inlineStr">
        <is>
          <t>لايوجد</t>
        </is>
      </c>
      <c r="G157" s="13" t="inlineStr">
        <is>
          <t>هواة</t>
        </is>
      </c>
      <c r="H157" s="13" t="inlineStr">
        <is>
          <t>الرياض</t>
        </is>
      </c>
      <c r="I157" s="13" t="inlineStr">
        <is>
          <t>الرياض</t>
        </is>
      </c>
    </row>
    <row r="158" ht="17" customHeight="1">
      <c r="B158" s="80" t="n">
        <v>157</v>
      </c>
      <c r="C158" s="84" t="inlineStr">
        <is>
          <t>أجيال الابطال الرياضية</t>
        </is>
      </c>
      <c r="D158" s="84" t="inlineStr">
        <is>
          <t>عبدالله عبده</t>
        </is>
      </c>
      <c r="E158" s="84" t="n">
        <v>508111233</v>
      </c>
      <c r="F158" s="84" t="inlineStr">
        <is>
          <t>لايوجد</t>
        </is>
      </c>
      <c r="G158" s="84" t="inlineStr">
        <is>
          <t>هواة</t>
        </is>
      </c>
      <c r="H158" s="84" t="inlineStr">
        <is>
          <t>مكة المكرمة</t>
        </is>
      </c>
      <c r="I158" s="84" t="inlineStr">
        <is>
          <t>مكة المكرمة</t>
        </is>
      </c>
    </row>
    <row r="159" ht="17" customHeight="1">
      <c r="B159" s="17" t="n">
        <v>158</v>
      </c>
      <c r="C159" s="13" t="inlineStr">
        <is>
          <t xml:space="preserve">سامبا الوتد </t>
        </is>
      </c>
      <c r="D159" s="13" t="inlineStr">
        <is>
          <t>علي دغريري</t>
        </is>
      </c>
      <c r="E159" s="13" t="n">
        <v>501837781</v>
      </c>
      <c r="F159" s="13" t="inlineStr">
        <is>
          <t>لايوجد</t>
        </is>
      </c>
      <c r="G159" s="13" t="inlineStr">
        <is>
          <t>هواة</t>
        </is>
      </c>
      <c r="H159" s="13" t="inlineStr">
        <is>
          <t>جازان</t>
        </is>
      </c>
      <c r="I159" s="13" t="inlineStr">
        <is>
          <t>صامطة</t>
        </is>
      </c>
    </row>
    <row r="160" ht="17" customHeight="1">
      <c r="B160" s="80" t="n">
        <v>159</v>
      </c>
      <c r="C160" s="84" t="inlineStr">
        <is>
          <t>الرشيد بحفر الباطن</t>
        </is>
      </c>
      <c r="D160" s="84" t="inlineStr">
        <is>
          <t>طالب الظفيري</t>
        </is>
      </c>
      <c r="E160" s="84" t="n">
        <v>500382553</v>
      </c>
      <c r="F160" s="84" t="inlineStr">
        <is>
          <t>لايوجد</t>
        </is>
      </c>
      <c r="G160" s="84" t="inlineStr">
        <is>
          <t>هواة</t>
        </is>
      </c>
      <c r="H160" s="84" t="inlineStr">
        <is>
          <t>الشرقية</t>
        </is>
      </c>
      <c r="I160" s="84" t="inlineStr">
        <is>
          <t>حفر الباطن</t>
        </is>
      </c>
    </row>
    <row r="161" ht="17" customHeight="1">
      <c r="B161" s="17" t="n">
        <v>160</v>
      </c>
      <c r="C161" s="13" t="inlineStr">
        <is>
          <t>أبو حجر</t>
        </is>
      </c>
      <c r="D161" s="13" t="inlineStr">
        <is>
          <t>حمود طالب</t>
        </is>
      </c>
      <c r="E161" s="45" t="n">
        <v>966559927397</v>
      </c>
      <c r="F161" s="13" t="inlineStr">
        <is>
          <t>لايوجد</t>
        </is>
      </c>
      <c r="G161" s="13" t="inlineStr">
        <is>
          <t>هواة</t>
        </is>
      </c>
      <c r="H161" s="13" t="inlineStr">
        <is>
          <t>جازان</t>
        </is>
      </c>
      <c r="I161" s="13" t="inlineStr">
        <is>
          <t>صامطة</t>
        </is>
      </c>
    </row>
    <row r="162" ht="17" customHeight="1">
      <c r="B162" s="80" t="n">
        <v>161</v>
      </c>
      <c r="C162" s="84" t="inlineStr">
        <is>
          <t>صقور الرفيعة</t>
        </is>
      </c>
      <c r="D162" s="84" t="inlineStr">
        <is>
          <t>سلمان الحريص</t>
        </is>
      </c>
      <c r="E162" s="84" t="n">
        <v>500272712</v>
      </c>
      <c r="F162" s="84" t="inlineStr">
        <is>
          <t>لايوجد</t>
        </is>
      </c>
      <c r="G162" s="84" t="inlineStr">
        <is>
          <t>هواة</t>
        </is>
      </c>
      <c r="H162" s="84" t="inlineStr">
        <is>
          <t>الشرقية</t>
        </is>
      </c>
      <c r="I162" s="84" t="inlineStr">
        <is>
          <t>مركز الرفيعة</t>
        </is>
      </c>
    </row>
    <row r="163" ht="17" customHeight="1">
      <c r="B163" s="17" t="n">
        <v>162</v>
      </c>
      <c r="C163" s="13" t="inlineStr">
        <is>
          <t>جول اكاديمي</t>
        </is>
      </c>
      <c r="D163" s="13" t="inlineStr">
        <is>
          <t>نهي لطيفة</t>
        </is>
      </c>
      <c r="E163" s="13" t="n">
        <v>546120662</v>
      </c>
      <c r="F163" s="13" t="inlineStr">
        <is>
          <t>لايوجد</t>
        </is>
      </c>
      <c r="G163" s="13" t="inlineStr">
        <is>
          <t>هواة</t>
        </is>
      </c>
      <c r="H163" s="13" t="inlineStr">
        <is>
          <t>مكة المكرمة</t>
        </is>
      </c>
      <c r="I163" s="13" t="inlineStr">
        <is>
          <t>جدة</t>
        </is>
      </c>
    </row>
    <row r="164" ht="17" customHeight="1">
      <c r="B164" s="80" t="n">
        <v>163</v>
      </c>
      <c r="C164" s="84" t="inlineStr">
        <is>
          <t>عصر الاحتراف</t>
        </is>
      </c>
      <c r="D164" s="84" t="inlineStr">
        <is>
          <t>حمزه هوساوي</t>
        </is>
      </c>
      <c r="E164" s="84" t="n">
        <v>553645396</v>
      </c>
      <c r="F164" s="84" t="inlineStr">
        <is>
          <t>لايوجد</t>
        </is>
      </c>
      <c r="G164" s="84" t="inlineStr">
        <is>
          <t>هواة</t>
        </is>
      </c>
      <c r="H164" s="84" t="inlineStr">
        <is>
          <t>مكة المكرمة</t>
        </is>
      </c>
      <c r="I164" s="84" t="inlineStr">
        <is>
          <t>مكة المكرمة</t>
        </is>
      </c>
    </row>
    <row r="165" ht="17" customHeight="1">
      <c r="B165" s="17" t="n">
        <v>164</v>
      </c>
      <c r="C165" s="13" t="inlineStr">
        <is>
          <t>اكاديمية الرواد بالطائف</t>
        </is>
      </c>
      <c r="D165" s="13" t="inlineStr">
        <is>
          <t>طاهر العتيبي</t>
        </is>
      </c>
      <c r="E165" s="13" t="n">
        <v>599599549</v>
      </c>
      <c r="F165" s="13" t="inlineStr">
        <is>
          <t>لايوجد</t>
        </is>
      </c>
      <c r="G165" s="13" t="inlineStr">
        <is>
          <t>هواة</t>
        </is>
      </c>
      <c r="H165" s="13" t="inlineStr">
        <is>
          <t>مكة المكرمة</t>
        </is>
      </c>
      <c r="I165" s="13" t="inlineStr">
        <is>
          <t>الطائف</t>
        </is>
      </c>
    </row>
    <row r="166" ht="17" customHeight="1">
      <c r="B166" s="80" t="n">
        <v>165</v>
      </c>
      <c r="C166" s="84" t="inlineStr">
        <is>
          <t>نكست جول</t>
        </is>
      </c>
      <c r="D166" s="84" t="inlineStr">
        <is>
          <t>عبدالله الاحمدي</t>
        </is>
      </c>
      <c r="E166" s="84" t="n">
        <v>532492333</v>
      </c>
      <c r="F166" s="84" t="inlineStr">
        <is>
          <t>لايوجد</t>
        </is>
      </c>
      <c r="G166" s="84" t="inlineStr">
        <is>
          <t>هواة</t>
        </is>
      </c>
      <c r="H166" s="84" t="inlineStr">
        <is>
          <t>المدينة المنورة</t>
        </is>
      </c>
      <c r="I166" s="84" t="inlineStr">
        <is>
          <t>المدينة المنورة</t>
        </is>
      </c>
    </row>
    <row r="167" ht="17" customHeight="1">
      <c r="B167" s="17" t="n">
        <v>166</v>
      </c>
      <c r="C167" s="13" t="inlineStr">
        <is>
          <t>اشبال الحديبية</t>
        </is>
      </c>
      <c r="D167" s="13" t="inlineStr">
        <is>
          <t>عيد الرشيدي</t>
        </is>
      </c>
      <c r="E167" s="13" t="n">
        <v>502812500</v>
      </c>
      <c r="F167" s="13" t="inlineStr">
        <is>
          <t>لايوجد</t>
        </is>
      </c>
      <c r="G167" s="13" t="inlineStr">
        <is>
          <t>هواة</t>
        </is>
      </c>
      <c r="H167" s="13" t="inlineStr">
        <is>
          <t>الشرقية</t>
        </is>
      </c>
      <c r="I167" s="13" t="inlineStr">
        <is>
          <t>الخفجي</t>
        </is>
      </c>
    </row>
    <row r="168" ht="17" customHeight="1">
      <c r="B168" s="80" t="n">
        <v>167</v>
      </c>
      <c r="C168" s="85" t="inlineStr">
        <is>
          <t>أشبال سهما</t>
        </is>
      </c>
      <c r="D168" s="85" t="inlineStr">
        <is>
          <t>ضاري الركاد</t>
        </is>
      </c>
      <c r="E168" s="85" t="n">
        <v>558849399</v>
      </c>
      <c r="F168" s="85" t="inlineStr">
        <is>
          <t>لايوجد</t>
        </is>
      </c>
      <c r="G168" s="85" t="inlineStr">
        <is>
          <t>هواة</t>
        </is>
      </c>
      <c r="H168" s="85" t="inlineStr">
        <is>
          <t>حائل</t>
        </is>
      </c>
      <c r="I168" s="85" t="inlineStr">
        <is>
          <t>حائل</t>
        </is>
      </c>
    </row>
    <row r="169" ht="17" customHeight="1">
      <c r="B169" s="17" t="n">
        <v>168</v>
      </c>
      <c r="C169" s="13" t="inlineStr">
        <is>
          <t xml:space="preserve">فريق الخليج بأبو عريش </t>
        </is>
      </c>
      <c r="D169" s="13" t="inlineStr">
        <is>
          <t>حسن قاضي</t>
        </is>
      </c>
      <c r="E169" s="13" t="n">
        <v>566588539</v>
      </c>
      <c r="F169" s="13" t="inlineStr">
        <is>
          <t>لايوجد</t>
        </is>
      </c>
      <c r="G169" s="13" t="inlineStr">
        <is>
          <t>هواة</t>
        </is>
      </c>
      <c r="H169" s="13" t="inlineStr">
        <is>
          <t>جازان</t>
        </is>
      </c>
      <c r="I169" s="13" t="inlineStr">
        <is>
          <t>أبو عريش</t>
        </is>
      </c>
    </row>
    <row r="170" ht="17" customHeight="1">
      <c r="B170" s="80" t="n">
        <v>169</v>
      </c>
      <c r="C170" s="84" t="inlineStr">
        <is>
          <t>الوصل بحفر الباطن</t>
        </is>
      </c>
      <c r="D170" s="84" t="inlineStr">
        <is>
          <t>علي الغليضاوي</t>
        </is>
      </c>
      <c r="E170" s="84" t="n">
        <v>538837440</v>
      </c>
      <c r="F170" s="84" t="inlineStr">
        <is>
          <t>لايوجد</t>
        </is>
      </c>
      <c r="G170" s="84" t="inlineStr">
        <is>
          <t>هواة</t>
        </is>
      </c>
      <c r="H170" s="84" t="inlineStr">
        <is>
          <t>الشرقية</t>
        </is>
      </c>
      <c r="I170" s="84" t="inlineStr">
        <is>
          <t>حفر الباطن</t>
        </is>
      </c>
    </row>
    <row r="171" ht="17" customHeight="1">
      <c r="B171" s="17" t="n">
        <v>170</v>
      </c>
      <c r="C171" s="13" t="inlineStr">
        <is>
          <t>البيان</t>
        </is>
      </c>
      <c r="D171" s="13" t="inlineStr">
        <is>
          <t>صادق الجريدان</t>
        </is>
      </c>
      <c r="E171" s="13" t="n">
        <v>508600181</v>
      </c>
      <c r="F171" s="13" t="inlineStr">
        <is>
          <t>لايوجد</t>
        </is>
      </c>
      <c r="G171" s="13" t="inlineStr">
        <is>
          <t>هواة</t>
        </is>
      </c>
      <c r="H171" s="13" t="inlineStr">
        <is>
          <t>الشرقية</t>
        </is>
      </c>
      <c r="I171" s="13" t="inlineStr">
        <is>
          <t>الأحساء</t>
        </is>
      </c>
    </row>
    <row r="172" ht="17" customHeight="1">
      <c r="B172" s="80" t="n">
        <v>171</v>
      </c>
      <c r="C172" s="84" t="inlineStr">
        <is>
          <t>شباب ابو القعايد</t>
        </is>
      </c>
      <c r="D172" s="84" t="inlineStr">
        <is>
          <t>عبدالله احمد</t>
        </is>
      </c>
      <c r="E172" s="84" t="n">
        <v>555682395</v>
      </c>
      <c r="F172" s="84" t="inlineStr">
        <is>
          <t>لايوجد</t>
        </is>
      </c>
      <c r="G172" s="84" t="inlineStr">
        <is>
          <t>هواة</t>
        </is>
      </c>
      <c r="H172" s="84" t="inlineStr">
        <is>
          <t>جازان</t>
        </is>
      </c>
      <c r="I172" s="84" t="inlineStr">
        <is>
          <t>صبيا</t>
        </is>
      </c>
    </row>
    <row r="173" ht="17" customHeight="1">
      <c r="B173" s="17" t="n">
        <v>172</v>
      </c>
      <c r="C173" s="13" t="inlineStr">
        <is>
          <t>فريق العقيد</t>
        </is>
      </c>
      <c r="D173" s="13" t="inlineStr">
        <is>
          <t>رامي الرشيدي</t>
        </is>
      </c>
      <c r="E173" s="13" t="n">
        <v>535352410</v>
      </c>
      <c r="F173" s="13" t="inlineStr">
        <is>
          <t>لايوجد</t>
        </is>
      </c>
      <c r="G173" s="13" t="inlineStr">
        <is>
          <t>هواة</t>
        </is>
      </c>
      <c r="H173" s="13" t="inlineStr">
        <is>
          <t>المدينة المنورة</t>
        </is>
      </c>
      <c r="I173" s="13" t="inlineStr">
        <is>
          <t>المدينة المنورة</t>
        </is>
      </c>
    </row>
    <row r="174" ht="17" customHeight="1">
      <c r="B174" s="80" t="n">
        <v>173</v>
      </c>
      <c r="C174" s="84" t="inlineStr">
        <is>
          <t>التابلين حفر الباطن</t>
        </is>
      </c>
      <c r="D174" s="84" t="inlineStr">
        <is>
          <t>تركي الشمري</t>
        </is>
      </c>
      <c r="E174" s="84" t="n">
        <v>540200055</v>
      </c>
      <c r="F174" s="84" t="inlineStr">
        <is>
          <t>لايوجد</t>
        </is>
      </c>
      <c r="G174" s="84" t="inlineStr">
        <is>
          <t>هواة</t>
        </is>
      </c>
      <c r="H174" s="84" t="inlineStr">
        <is>
          <t>الشرقية</t>
        </is>
      </c>
      <c r="I174" s="84" t="inlineStr">
        <is>
          <t>حفر الباطن</t>
        </is>
      </c>
    </row>
    <row r="175" ht="17" customHeight="1">
      <c r="B175" s="17" t="n">
        <v>174</v>
      </c>
      <c r="C175" s="13" t="inlineStr">
        <is>
          <t>الاختيار</t>
        </is>
      </c>
      <c r="D175" s="13" t="inlineStr">
        <is>
          <t>محمد المطيري</t>
        </is>
      </c>
      <c r="E175" s="13" t="n">
        <v>508280880</v>
      </c>
      <c r="F175" s="13" t="inlineStr">
        <is>
          <t>لايوجد</t>
        </is>
      </c>
      <c r="G175" s="13" t="inlineStr">
        <is>
          <t>هواة</t>
        </is>
      </c>
      <c r="H175" s="13" t="inlineStr">
        <is>
          <t>الشرقية</t>
        </is>
      </c>
      <c r="I175" s="13" t="inlineStr">
        <is>
          <t>حفر الباطن</t>
        </is>
      </c>
    </row>
    <row r="176" ht="17" customHeight="1">
      <c r="B176" s="80" t="n">
        <v>175</v>
      </c>
      <c r="C176" s="84" t="inlineStr">
        <is>
          <t>فريق اكاديمية الحفر</t>
        </is>
      </c>
      <c r="D176" s="84" t="inlineStr">
        <is>
          <t>محمد الشلاحي</t>
        </is>
      </c>
      <c r="E176" s="86" t="n">
        <v>966504334945</v>
      </c>
      <c r="F176" s="84" t="inlineStr">
        <is>
          <t>لايوجد</t>
        </is>
      </c>
      <c r="G176" s="84" t="inlineStr">
        <is>
          <t>هواة</t>
        </is>
      </c>
      <c r="H176" s="84" t="inlineStr">
        <is>
          <t>الشرقية</t>
        </is>
      </c>
      <c r="I176" s="84" t="inlineStr">
        <is>
          <t>حفر الباطن</t>
        </is>
      </c>
    </row>
    <row r="177" ht="17" customHeight="1">
      <c r="B177" s="17" t="n">
        <v>176</v>
      </c>
      <c r="C177" s="13" t="inlineStr">
        <is>
          <t>الامجاد ضمد</t>
        </is>
      </c>
      <c r="D177" s="13" t="inlineStr">
        <is>
          <t>رياض غاشم</t>
        </is>
      </c>
      <c r="E177" s="13" t="n">
        <v>500656983</v>
      </c>
      <c r="F177" s="13" t="inlineStr">
        <is>
          <t>لايوجد</t>
        </is>
      </c>
      <c r="G177" s="13" t="inlineStr">
        <is>
          <t>هواة</t>
        </is>
      </c>
      <c r="H177" s="13" t="inlineStr">
        <is>
          <t>جازان</t>
        </is>
      </c>
      <c r="I177" s="13" t="inlineStr">
        <is>
          <t>صبيا</t>
        </is>
      </c>
    </row>
    <row r="178" ht="17" customHeight="1">
      <c r="B178" s="80" t="n">
        <v>177</v>
      </c>
      <c r="C178" s="84" t="inlineStr">
        <is>
          <t>اكاديمية نجوم الدعيثة</t>
        </is>
      </c>
      <c r="D178" s="84" t="inlineStr">
        <is>
          <t>محمد الريتعي</t>
        </is>
      </c>
      <c r="E178" s="84" t="n">
        <v>562007170</v>
      </c>
      <c r="F178" s="84" t="inlineStr">
        <is>
          <t>لايوجد</t>
        </is>
      </c>
      <c r="G178" s="84" t="inlineStr">
        <is>
          <t>هواة</t>
        </is>
      </c>
      <c r="H178" s="84" t="inlineStr">
        <is>
          <t>المدينة المنورة</t>
        </is>
      </c>
      <c r="I178" s="84" t="inlineStr">
        <is>
          <t>المدينة المنورة</t>
        </is>
      </c>
    </row>
    <row r="179" ht="17" customHeight="1">
      <c r="B179" s="17" t="n">
        <v>178</v>
      </c>
      <c r="C179" s="13" t="inlineStr">
        <is>
          <t>شباب السعيره</t>
        </is>
      </c>
      <c r="D179" s="13" t="inlineStr">
        <is>
          <t xml:space="preserve">ناصر الصهيبي </t>
        </is>
      </c>
      <c r="E179" s="13" t="n">
        <v>532448481</v>
      </c>
      <c r="F179" s="13" t="inlineStr">
        <is>
          <t>لايوجد</t>
        </is>
      </c>
      <c r="G179" s="13" t="inlineStr">
        <is>
          <t>هواة</t>
        </is>
      </c>
      <c r="H179" s="13" t="inlineStr">
        <is>
          <t>الشرقية</t>
        </is>
      </c>
      <c r="I179" s="13" t="inlineStr">
        <is>
          <t>مركز الرفيعة</t>
        </is>
      </c>
    </row>
    <row r="180" ht="17" customHeight="1">
      <c r="B180" s="80" t="n">
        <v>179</v>
      </c>
      <c r="C180" s="84" t="inlineStr">
        <is>
          <t>اكاديمية الكرة الراقية</t>
        </is>
      </c>
      <c r="D180" s="84" t="inlineStr">
        <is>
          <t>محمود يعقوب</t>
        </is>
      </c>
      <c r="E180" s="84" t="n">
        <v>557139480</v>
      </c>
      <c r="F180" s="84" t="inlineStr">
        <is>
          <t>لايوجد</t>
        </is>
      </c>
      <c r="G180" s="84" t="inlineStr">
        <is>
          <t>هواة</t>
        </is>
      </c>
      <c r="H180" s="84" t="inlineStr">
        <is>
          <t>مكة المكرمة</t>
        </is>
      </c>
      <c r="I180" s="84" t="inlineStr">
        <is>
          <t>مكة المكرمة</t>
        </is>
      </c>
    </row>
    <row r="181" ht="17" customHeight="1">
      <c r="B181" s="17" t="n">
        <v>180</v>
      </c>
      <c r="C181" s="13" t="inlineStr">
        <is>
          <t>الجرد</t>
        </is>
      </c>
      <c r="D181" s="13" t="inlineStr">
        <is>
          <t>احمد الشاردي</t>
        </is>
      </c>
      <c r="E181" s="13" t="n">
        <v>505969269</v>
      </c>
      <c r="F181" s="13" t="inlineStr">
        <is>
          <t>لايوجد</t>
        </is>
      </c>
      <c r="G181" s="13" t="inlineStr">
        <is>
          <t>هواة</t>
        </is>
      </c>
      <c r="H181" s="13" t="inlineStr">
        <is>
          <t>مكة المكرمة</t>
        </is>
      </c>
      <c r="I181" s="13" t="inlineStr">
        <is>
          <t>القنفذة</t>
        </is>
      </c>
    </row>
    <row r="182" ht="17" customHeight="1">
      <c r="B182" s="80" t="n">
        <v>181</v>
      </c>
      <c r="C182" s="84" t="inlineStr">
        <is>
          <t>سمبدوريا المسارحة</t>
        </is>
      </c>
      <c r="D182" s="84" t="inlineStr">
        <is>
          <t>علي فقيهي</t>
        </is>
      </c>
      <c r="E182" s="84" t="n">
        <v>595433336</v>
      </c>
      <c r="F182" s="84" t="inlineStr">
        <is>
          <t>لايوجد</t>
        </is>
      </c>
      <c r="G182" s="84" t="inlineStr">
        <is>
          <t>هواة</t>
        </is>
      </c>
      <c r="H182" s="84" t="inlineStr">
        <is>
          <t>جازان</t>
        </is>
      </c>
      <c r="I182" s="84" t="inlineStr">
        <is>
          <t>أحد المسارحة</t>
        </is>
      </c>
    </row>
    <row r="183" ht="17" customHeight="1">
      <c r="B183" s="17" t="n">
        <v>182</v>
      </c>
      <c r="C183" s="13" t="inlineStr">
        <is>
          <t xml:space="preserve">مدرسة الشرق الاهلية </t>
        </is>
      </c>
      <c r="D183" s="13" t="inlineStr">
        <is>
          <t>عامر العنزي</t>
        </is>
      </c>
      <c r="E183" s="13" t="n">
        <v>551139946</v>
      </c>
      <c r="F183" s="13" t="inlineStr">
        <is>
          <t>لايوجد</t>
        </is>
      </c>
      <c r="G183" s="13" t="inlineStr">
        <is>
          <t>هواة</t>
        </is>
      </c>
      <c r="H183" s="13" t="inlineStr">
        <is>
          <t>الشرقية</t>
        </is>
      </c>
      <c r="I183" s="13" t="inlineStr">
        <is>
          <t>الخفجي</t>
        </is>
      </c>
    </row>
    <row r="184" ht="17" customHeight="1">
      <c r="B184" s="80" t="n">
        <v>183</v>
      </c>
      <c r="C184" s="84" t="inlineStr">
        <is>
          <t>نادي السهام</t>
        </is>
      </c>
      <c r="D184" s="84" t="inlineStr">
        <is>
          <t>عادل البارقي</t>
        </is>
      </c>
      <c r="E184" s="84" t="n">
        <v>556121614</v>
      </c>
      <c r="F184" s="84" t="inlineStr">
        <is>
          <t>لايوجد</t>
        </is>
      </c>
      <c r="G184" s="84" t="inlineStr">
        <is>
          <t>هواة</t>
        </is>
      </c>
      <c r="H184" s="84" t="inlineStr">
        <is>
          <t>نجران</t>
        </is>
      </c>
      <c r="I184" s="84" t="inlineStr">
        <is>
          <t>شرورة</t>
        </is>
      </c>
    </row>
    <row r="185" ht="17" customHeight="1">
      <c r="B185" s="17" t="n">
        <v>184</v>
      </c>
      <c r="C185" s="13" t="inlineStr">
        <is>
          <t>اولمبي الحزم</t>
        </is>
      </c>
      <c r="D185" s="13" t="inlineStr">
        <is>
          <t>محمد احمد</t>
        </is>
      </c>
      <c r="E185" s="13" t="n">
        <v>504693401</v>
      </c>
      <c r="F185" s="13" t="inlineStr">
        <is>
          <t>لايوجد</t>
        </is>
      </c>
      <c r="G185" s="13" t="inlineStr">
        <is>
          <t>هواة</t>
        </is>
      </c>
      <c r="H185" s="13" t="inlineStr">
        <is>
          <t>الشرقية</t>
        </is>
      </c>
      <c r="I185" s="13" t="inlineStr">
        <is>
          <t>الخفجي</t>
        </is>
      </c>
    </row>
    <row r="186" ht="17" customHeight="1">
      <c r="B186" s="80" t="n">
        <v>185</v>
      </c>
      <c r="C186" s="84" t="inlineStr">
        <is>
          <t>نحن النجوم</t>
        </is>
      </c>
      <c r="D186" s="84" t="inlineStr">
        <is>
          <t>عبدالله العبسي</t>
        </is>
      </c>
      <c r="E186" s="84" t="n">
        <v>502802292</v>
      </c>
      <c r="F186" s="84" t="inlineStr">
        <is>
          <t>لايوجد</t>
        </is>
      </c>
      <c r="G186" s="84" t="inlineStr">
        <is>
          <t>هواة</t>
        </is>
      </c>
      <c r="H186" s="84" t="inlineStr">
        <is>
          <t>مكة المكرمة</t>
        </is>
      </c>
      <c r="I186" s="84" t="inlineStr">
        <is>
          <t>مكة المكرمة</t>
        </is>
      </c>
    </row>
    <row r="187" ht="17" customHeight="1">
      <c r="B187" s="17" t="n">
        <v>186</v>
      </c>
      <c r="C187" s="13" t="inlineStr">
        <is>
          <t>اكاديمية مستقبل حائل</t>
        </is>
      </c>
      <c r="D187" s="13" t="inlineStr">
        <is>
          <t>فهيد الفريحان</t>
        </is>
      </c>
      <c r="E187" s="45" t="n">
        <v>966502788332</v>
      </c>
      <c r="F187" s="13" t="inlineStr">
        <is>
          <t>لايوجد</t>
        </is>
      </c>
      <c r="G187" s="13" t="inlineStr">
        <is>
          <t>هواة</t>
        </is>
      </c>
      <c r="H187" s="13" t="inlineStr">
        <is>
          <t>حائل</t>
        </is>
      </c>
      <c r="I187" s="13" t="inlineStr">
        <is>
          <t>حائل</t>
        </is>
      </c>
    </row>
    <row r="188" ht="17" customHeight="1">
      <c r="B188" s="80" t="n">
        <v>187</v>
      </c>
      <c r="C188" s="84" t="inlineStr">
        <is>
          <t>اكاديمية نيوكاسل</t>
        </is>
      </c>
      <c r="D188" s="84" t="inlineStr">
        <is>
          <t>عبدالمجيد الشمري</t>
        </is>
      </c>
      <c r="E188" s="84" t="n">
        <v>559592858</v>
      </c>
      <c r="F188" s="84" t="inlineStr">
        <is>
          <t>لايوجد</t>
        </is>
      </c>
      <c r="G188" s="84" t="inlineStr">
        <is>
          <t>هواة</t>
        </is>
      </c>
      <c r="H188" s="84" t="inlineStr">
        <is>
          <t>حائل</t>
        </is>
      </c>
      <c r="I188" s="84" t="inlineStr">
        <is>
          <t>حائل</t>
        </is>
      </c>
    </row>
    <row r="189" ht="17" customHeight="1">
      <c r="B189" s="17" t="n">
        <v>188</v>
      </c>
      <c r="C189" s="13" t="inlineStr">
        <is>
          <t>الصفا الاهلية</t>
        </is>
      </c>
      <c r="D189" s="13" t="inlineStr">
        <is>
          <t>محمود زعبل</t>
        </is>
      </c>
      <c r="E189" s="13" t="n">
        <v>552859619</v>
      </c>
      <c r="F189" s="13" t="inlineStr">
        <is>
          <t>لايوجد</t>
        </is>
      </c>
      <c r="G189" s="13" t="inlineStr">
        <is>
          <t>هواة</t>
        </is>
      </c>
      <c r="H189" s="13" t="inlineStr">
        <is>
          <t>الرياض</t>
        </is>
      </c>
      <c r="I189" s="13" t="inlineStr">
        <is>
          <t>الرياض</t>
        </is>
      </c>
    </row>
    <row r="190" ht="17" customHeight="1">
      <c r="B190" s="80" t="n">
        <v>189</v>
      </c>
      <c r="C190" s="84" t="inlineStr">
        <is>
          <t>القانرز</t>
        </is>
      </c>
      <c r="D190" s="84" t="inlineStr">
        <is>
          <t>مبارك العازمي</t>
        </is>
      </c>
      <c r="E190" s="84" t="n">
        <v>530222214</v>
      </c>
      <c r="F190" s="84" t="inlineStr">
        <is>
          <t>لايوجد</t>
        </is>
      </c>
      <c r="G190" s="84" t="inlineStr">
        <is>
          <t>هواة</t>
        </is>
      </c>
      <c r="H190" s="84" t="inlineStr">
        <is>
          <t>الشرقية</t>
        </is>
      </c>
      <c r="I190" s="84" t="inlineStr">
        <is>
          <t>الخفجي</t>
        </is>
      </c>
    </row>
    <row r="191" ht="17" customHeight="1">
      <c r="B191" s="17" t="n">
        <v>190</v>
      </c>
      <c r="C191" s="13" t="inlineStr">
        <is>
          <t>معقل المواهب</t>
        </is>
      </c>
      <c r="D191" s="13" t="inlineStr">
        <is>
          <t>خالد السلامة</t>
        </is>
      </c>
      <c r="E191" s="13" t="n">
        <v>536954214</v>
      </c>
      <c r="F191" s="13" t="inlineStr">
        <is>
          <t>لايوجد</t>
        </is>
      </c>
      <c r="G191" s="13" t="inlineStr">
        <is>
          <t>هواة</t>
        </is>
      </c>
      <c r="H191" s="13" t="inlineStr">
        <is>
          <t>القصيم</t>
        </is>
      </c>
      <c r="I191" s="13" t="inlineStr">
        <is>
          <t>الرس</t>
        </is>
      </c>
    </row>
    <row r="192" ht="17" customHeight="1">
      <c r="B192" s="80" t="n">
        <v>191</v>
      </c>
      <c r="C192" s="84" t="inlineStr">
        <is>
          <t>مدرسة اجيال الخفجي</t>
        </is>
      </c>
      <c r="D192" s="84" t="inlineStr">
        <is>
          <t>محمد حسن</t>
        </is>
      </c>
      <c r="E192" s="84" t="n">
        <v>503615994</v>
      </c>
      <c r="F192" s="84" t="inlineStr">
        <is>
          <t>لايوجد</t>
        </is>
      </c>
      <c r="G192" s="84" t="inlineStr">
        <is>
          <t>هواة</t>
        </is>
      </c>
      <c r="H192" s="84" t="inlineStr">
        <is>
          <t>الشرقية</t>
        </is>
      </c>
      <c r="I192" s="84" t="inlineStr">
        <is>
          <t>الخفجي</t>
        </is>
      </c>
    </row>
    <row r="193" ht="17" customHeight="1">
      <c r="B193" s="17" t="n">
        <v>192</v>
      </c>
      <c r="C193" s="13" t="inlineStr">
        <is>
          <t>اكاديمية الرجاء</t>
        </is>
      </c>
      <c r="D193" s="13" t="inlineStr">
        <is>
          <t>عبدالله الجبار</t>
        </is>
      </c>
      <c r="E193" s="13" t="n">
        <v>565272165</v>
      </c>
      <c r="F193" s="13" t="inlineStr">
        <is>
          <t>لايوجد</t>
        </is>
      </c>
      <c r="G193" s="13" t="inlineStr">
        <is>
          <t>هواة</t>
        </is>
      </c>
      <c r="H193" s="13" t="inlineStr">
        <is>
          <t>عسير</t>
        </is>
      </c>
      <c r="I193" s="13" t="inlineStr">
        <is>
          <t>أبها</t>
        </is>
      </c>
    </row>
    <row r="194" ht="17" customHeight="1">
      <c r="B194" s="80" t="n">
        <v>193</v>
      </c>
      <c r="C194" s="84" t="inlineStr">
        <is>
          <t>مدارس رواد الخليج</t>
        </is>
      </c>
      <c r="D194" s="84" t="inlineStr">
        <is>
          <t>صالح السهيمي</t>
        </is>
      </c>
      <c r="E194" s="84" t="n">
        <v>566303733</v>
      </c>
      <c r="F194" s="84" t="inlineStr">
        <is>
          <t>لايوجد</t>
        </is>
      </c>
      <c r="G194" s="84" t="inlineStr">
        <is>
          <t>هواة</t>
        </is>
      </c>
      <c r="H194" s="84" t="inlineStr">
        <is>
          <t>مكة المكرمة</t>
        </is>
      </c>
      <c r="I194" s="84" t="inlineStr">
        <is>
          <t>جدة</t>
        </is>
      </c>
    </row>
    <row r="195" ht="17" customHeight="1">
      <c r="B195" s="17" t="n">
        <v>194</v>
      </c>
      <c r="C195" s="13" t="inlineStr">
        <is>
          <t>فريق المنارات</t>
        </is>
      </c>
      <c r="D195" s="13" t="inlineStr">
        <is>
          <t>محمود شحاته</t>
        </is>
      </c>
      <c r="E195" s="13" t="n">
        <v>532803584</v>
      </c>
      <c r="F195" s="13" t="inlineStr">
        <is>
          <t>لايوجد</t>
        </is>
      </c>
      <c r="G195" s="13" t="inlineStr">
        <is>
          <t>هواة</t>
        </is>
      </c>
      <c r="H195" s="13" t="inlineStr">
        <is>
          <t>مكة المكرمة</t>
        </is>
      </c>
      <c r="I195" s="13" t="inlineStr">
        <is>
          <t>جدة</t>
        </is>
      </c>
    </row>
    <row r="196" ht="17" customHeight="1">
      <c r="B196" s="80" t="n">
        <v>195</v>
      </c>
      <c r="C196" s="84" t="inlineStr">
        <is>
          <t>مدارس الاندلس الاهلية</t>
        </is>
      </c>
      <c r="D196" s="84" t="inlineStr">
        <is>
          <t>صالح الحارثي</t>
        </is>
      </c>
      <c r="E196" s="84" t="n">
        <v>537807689</v>
      </c>
      <c r="F196" s="84" t="inlineStr">
        <is>
          <t>لايوجد</t>
        </is>
      </c>
      <c r="G196" s="84" t="inlineStr">
        <is>
          <t>هواة</t>
        </is>
      </c>
      <c r="H196" s="84" t="inlineStr">
        <is>
          <t>مكة المكرمة</t>
        </is>
      </c>
      <c r="I196" s="84" t="inlineStr">
        <is>
          <t>جدة</t>
        </is>
      </c>
    </row>
    <row r="197" ht="17" customHeight="1">
      <c r="B197" s="17" t="n">
        <v>196</v>
      </c>
      <c r="C197" s="13" t="inlineStr">
        <is>
          <t>اكاديمية ناين ون</t>
        </is>
      </c>
      <c r="D197" s="13" t="inlineStr">
        <is>
          <t>فهد الجهني</t>
        </is>
      </c>
      <c r="E197" s="13" t="n">
        <v>568868897</v>
      </c>
      <c r="F197" s="13" t="inlineStr">
        <is>
          <t>لايوجد</t>
        </is>
      </c>
      <c r="G197" s="13" t="inlineStr">
        <is>
          <t>هواة</t>
        </is>
      </c>
      <c r="H197" s="13" t="inlineStr">
        <is>
          <t>المدينة المنورة</t>
        </is>
      </c>
      <c r="I197" s="13" t="inlineStr">
        <is>
          <t>ينبع</t>
        </is>
      </c>
    </row>
    <row r="198" ht="17" customHeight="1">
      <c r="B198" s="80" t="n">
        <v>197</v>
      </c>
      <c r="C198" s="84" t="inlineStr">
        <is>
          <t>نادي دايموند الرياضي</t>
        </is>
      </c>
      <c r="D198" s="84" t="inlineStr">
        <is>
          <t>احمد زيدان</t>
        </is>
      </c>
      <c r="E198" s="84" t="n">
        <v>540994265</v>
      </c>
      <c r="F198" s="84" t="inlineStr">
        <is>
          <t>لايوجد</t>
        </is>
      </c>
      <c r="G198" s="84" t="inlineStr">
        <is>
          <t>هواة</t>
        </is>
      </c>
      <c r="H198" s="84" t="inlineStr">
        <is>
          <t>عسير</t>
        </is>
      </c>
      <c r="I198" s="84" t="inlineStr">
        <is>
          <t>أبها</t>
        </is>
      </c>
    </row>
    <row r="199" ht="17" customHeight="1">
      <c r="B199" s="17" t="n">
        <v>198</v>
      </c>
      <c r="C199" s="13" t="inlineStr">
        <is>
          <t>دار الفرسان</t>
        </is>
      </c>
      <c r="D199" s="13" t="inlineStr">
        <is>
          <t>باسل السيد</t>
        </is>
      </c>
      <c r="E199" s="13" t="n">
        <v>508232025</v>
      </c>
      <c r="F199" s="13" t="inlineStr">
        <is>
          <t>لايوجد</t>
        </is>
      </c>
      <c r="G199" s="13" t="inlineStr">
        <is>
          <t>هواة</t>
        </is>
      </c>
      <c r="H199" s="13" t="inlineStr">
        <is>
          <t>مكة المكرمة</t>
        </is>
      </c>
      <c r="I199" s="13" t="inlineStr">
        <is>
          <t>جدة</t>
        </is>
      </c>
    </row>
    <row r="200" ht="17" customHeight="1">
      <c r="B200" s="80" t="n">
        <v>199</v>
      </c>
      <c r="C200" s="84" t="inlineStr">
        <is>
          <t>اكاديمية اربع وعشرين الرياضية</t>
        </is>
      </c>
      <c r="D200" s="84" t="inlineStr">
        <is>
          <t>مشاري الحربي</t>
        </is>
      </c>
      <c r="E200" s="84" t="n">
        <v>508226132</v>
      </c>
      <c r="F200" s="84" t="inlineStr">
        <is>
          <t>لايوجد</t>
        </is>
      </c>
      <c r="G200" s="84" t="inlineStr">
        <is>
          <t>هواة</t>
        </is>
      </c>
      <c r="H200" s="84" t="inlineStr">
        <is>
          <t>القصيم</t>
        </is>
      </c>
      <c r="I200" s="84" t="inlineStr">
        <is>
          <t>رياض الخبراء</t>
        </is>
      </c>
    </row>
    <row r="201" ht="17" customHeight="1">
      <c r="B201" s="17" t="n">
        <v>200</v>
      </c>
      <c r="C201" s="13" t="inlineStr">
        <is>
          <t>مدارس البيان الاهلية المتوسطة</t>
        </is>
      </c>
      <c r="D201" s="13" t="inlineStr">
        <is>
          <t>ايهاب احمد</t>
        </is>
      </c>
      <c r="E201" s="13" t="n">
        <v>541492601</v>
      </c>
      <c r="F201" s="13" t="inlineStr">
        <is>
          <t>لايوجد</t>
        </is>
      </c>
      <c r="G201" s="13" t="inlineStr">
        <is>
          <t>هواة</t>
        </is>
      </c>
      <c r="H201" s="13" t="inlineStr">
        <is>
          <t>الرياض</t>
        </is>
      </c>
      <c r="I201" s="13" t="inlineStr">
        <is>
          <t>الرياض</t>
        </is>
      </c>
    </row>
    <row r="202" ht="17" customHeight="1">
      <c r="B202" s="80" t="n">
        <v>201</v>
      </c>
      <c r="C202" s="84" t="inlineStr">
        <is>
          <t>الفرسان</t>
        </is>
      </c>
      <c r="D202" s="84" t="inlineStr">
        <is>
          <t>خالد العنزي</t>
        </is>
      </c>
      <c r="E202" s="84" t="n">
        <v>547073054</v>
      </c>
      <c r="F202" s="84" t="inlineStr">
        <is>
          <t>لايوجد</t>
        </is>
      </c>
      <c r="G202" s="84" t="inlineStr">
        <is>
          <t>هواة</t>
        </is>
      </c>
      <c r="H202" s="84" t="inlineStr">
        <is>
          <t>الشرقية</t>
        </is>
      </c>
      <c r="I202" s="84" t="inlineStr">
        <is>
          <t>الخفجي</t>
        </is>
      </c>
    </row>
    <row r="203" ht="17" customHeight="1">
      <c r="B203" s="17" t="n">
        <v>202</v>
      </c>
      <c r="C203" s="13" t="inlineStr">
        <is>
          <t>اكاديمية X5</t>
        </is>
      </c>
      <c r="D203" s="13" t="inlineStr">
        <is>
          <t>عطية الدعبلي</t>
        </is>
      </c>
      <c r="E203" s="13" t="n">
        <v>552260069</v>
      </c>
      <c r="F203" s="13" t="inlineStr">
        <is>
          <t>فيد</t>
        </is>
      </c>
      <c r="G203" s="13" t="inlineStr">
        <is>
          <t>هواة</t>
        </is>
      </c>
      <c r="H203" s="13" t="inlineStr">
        <is>
          <t>مكة المكرمة</t>
        </is>
      </c>
      <c r="I203" s="13" t="inlineStr">
        <is>
          <t>القنفذة</t>
        </is>
      </c>
    </row>
    <row r="204" ht="17" customHeight="1">
      <c r="B204" s="80" t="n">
        <v>203</v>
      </c>
      <c r="C204" s="84" t="inlineStr">
        <is>
          <t>مجمع الامير سلطان الابتدائي</t>
        </is>
      </c>
      <c r="D204" s="84" t="inlineStr">
        <is>
          <t>ماهرشهاب</t>
        </is>
      </c>
      <c r="E204" s="84" t="n">
        <v>541687679</v>
      </c>
      <c r="F204" s="84" t="inlineStr">
        <is>
          <t>لايوجد</t>
        </is>
      </c>
      <c r="G204" s="84" t="inlineStr">
        <is>
          <t>هواة</t>
        </is>
      </c>
      <c r="H204" s="84" t="inlineStr">
        <is>
          <t>مكة المكرمة</t>
        </is>
      </c>
      <c r="I204" s="84" t="inlineStr">
        <is>
          <t>جدة</t>
        </is>
      </c>
    </row>
    <row r="205" ht="17" customHeight="1">
      <c r="B205" s="17" t="n">
        <v>204</v>
      </c>
      <c r="C205" s="13" t="inlineStr">
        <is>
          <t>اكاديمية المستقبل</t>
        </is>
      </c>
      <c r="D205" s="13" t="inlineStr">
        <is>
          <t>محمود البلوي</t>
        </is>
      </c>
      <c r="E205" s="13" t="n">
        <v>544442203</v>
      </c>
      <c r="F205" s="13" t="inlineStr">
        <is>
          <t>لايوجد</t>
        </is>
      </c>
      <c r="G205" s="13" t="inlineStr">
        <is>
          <t>هواة</t>
        </is>
      </c>
      <c r="H205" s="13" t="inlineStr">
        <is>
          <t>الجوف</t>
        </is>
      </c>
      <c r="I205" s="13" t="inlineStr">
        <is>
          <t>القريات</t>
        </is>
      </c>
    </row>
    <row r="206" ht="17" customHeight="1">
      <c r="B206" s="80" t="n">
        <v>205</v>
      </c>
      <c r="C206" s="84" t="inlineStr">
        <is>
          <t>مدرسة المجد</t>
        </is>
      </c>
      <c r="D206" s="84" t="inlineStr">
        <is>
          <t>زياد المالكي</t>
        </is>
      </c>
      <c r="E206" s="84" t="n">
        <v>536021446</v>
      </c>
      <c r="F206" s="84" t="inlineStr">
        <is>
          <t>لايوجد</t>
        </is>
      </c>
      <c r="G206" s="84" t="inlineStr">
        <is>
          <t>هواة</t>
        </is>
      </c>
      <c r="H206" s="84" t="inlineStr">
        <is>
          <t>مكة المكرمة</t>
        </is>
      </c>
      <c r="I206" s="84" t="inlineStr">
        <is>
          <t>جدة</t>
        </is>
      </c>
    </row>
    <row r="207" ht="17" customHeight="1">
      <c r="B207" s="17" t="n">
        <v>206</v>
      </c>
      <c r="C207" s="13" t="inlineStr">
        <is>
          <t>ريال اسبانيول</t>
        </is>
      </c>
      <c r="D207" s="13" t="inlineStr">
        <is>
          <t>بدر القاسمي</t>
        </is>
      </c>
      <c r="E207" s="13" t="n">
        <v>533184248</v>
      </c>
      <c r="F207" s="13" t="inlineStr">
        <is>
          <t>لايوجد</t>
        </is>
      </c>
      <c r="G207" s="13" t="inlineStr">
        <is>
          <t>هواة</t>
        </is>
      </c>
      <c r="H207" s="13" t="inlineStr">
        <is>
          <t>الرياض</t>
        </is>
      </c>
      <c r="I207" s="13" t="inlineStr">
        <is>
          <t>الرياض</t>
        </is>
      </c>
    </row>
    <row r="208" ht="17" customHeight="1">
      <c r="B208" s="80" t="n">
        <v>207</v>
      </c>
      <c r="C208" s="84" t="inlineStr">
        <is>
          <t>شباب الحرمين</t>
        </is>
      </c>
      <c r="D208" s="84" t="inlineStr">
        <is>
          <t>علي العنبري</t>
        </is>
      </c>
      <c r="E208" s="84" t="n">
        <v>501124060</v>
      </c>
      <c r="F208" s="84" t="inlineStr">
        <is>
          <t>لايوجد</t>
        </is>
      </c>
      <c r="G208" s="84" t="inlineStr">
        <is>
          <t>هواة</t>
        </is>
      </c>
      <c r="H208" s="84" t="inlineStr">
        <is>
          <t>مكة المكرمة</t>
        </is>
      </c>
      <c r="I208" s="84" t="inlineStr">
        <is>
          <t>الطائف</t>
        </is>
      </c>
    </row>
    <row r="209" ht="17" customHeight="1">
      <c r="B209" s="17" t="n">
        <v>208</v>
      </c>
      <c r="C209" s="13" t="inlineStr">
        <is>
          <t>نادي الهجرة</t>
        </is>
      </c>
      <c r="D209" s="13" t="inlineStr">
        <is>
          <t>عبدالعزيز دبلول</t>
        </is>
      </c>
      <c r="E209" s="13" t="n">
        <v>555522569</v>
      </c>
      <c r="F209" s="13" t="inlineStr">
        <is>
          <t>لايوجد</t>
        </is>
      </c>
      <c r="G209" s="13" t="inlineStr">
        <is>
          <t>هواة</t>
        </is>
      </c>
      <c r="H209" s="13" t="inlineStr">
        <is>
          <t>مكة المكرمة</t>
        </is>
      </c>
      <c r="I209" s="13" t="inlineStr">
        <is>
          <t>مكة المكرمة</t>
        </is>
      </c>
    </row>
    <row r="210" ht="17" customHeight="1">
      <c r="B210" s="80" t="n">
        <v>209</v>
      </c>
      <c r="C210" s="84" t="inlineStr">
        <is>
          <t>برشلونة دريم تيم</t>
        </is>
      </c>
      <c r="D210" s="84" t="inlineStr">
        <is>
          <t>وارد القرني</t>
        </is>
      </c>
      <c r="E210" s="84" t="n">
        <v>549768166</v>
      </c>
      <c r="F210" s="84" t="inlineStr">
        <is>
          <t>لايوجد</t>
        </is>
      </c>
      <c r="G210" s="84" t="inlineStr">
        <is>
          <t>هواة</t>
        </is>
      </c>
      <c r="H210" s="84" t="inlineStr">
        <is>
          <t>مكة المكرمة</t>
        </is>
      </c>
      <c r="I210" s="84" t="inlineStr">
        <is>
          <t>جدة</t>
        </is>
      </c>
    </row>
    <row r="211" ht="17" customHeight="1">
      <c r="B211" s="17" t="n">
        <v>210</v>
      </c>
      <c r="C211" s="13" t="inlineStr">
        <is>
          <t>المتحد بالجوف</t>
        </is>
      </c>
      <c r="D211" s="13" t="inlineStr">
        <is>
          <t>عبدالسلام الشراري</t>
        </is>
      </c>
      <c r="E211" s="13" t="n">
        <v>538522959</v>
      </c>
      <c r="F211" s="13" t="inlineStr">
        <is>
          <t>لايوجد</t>
        </is>
      </c>
      <c r="G211" s="13" t="inlineStr">
        <is>
          <t>هواة</t>
        </is>
      </c>
      <c r="H211" s="13" t="inlineStr">
        <is>
          <t>الجوف</t>
        </is>
      </c>
      <c r="I211" s="13" t="inlineStr">
        <is>
          <t>سكاكا</t>
        </is>
      </c>
    </row>
    <row r="212" ht="17" customHeight="1">
      <c r="B212" s="80" t="n">
        <v>211</v>
      </c>
      <c r="C212" s="84" t="inlineStr">
        <is>
          <t>اكاديمية القمة هواة</t>
        </is>
      </c>
      <c r="D212" s="84" t="inlineStr">
        <is>
          <t>عبدالله الصاعدي</t>
        </is>
      </c>
      <c r="E212" s="84" t="n">
        <v>544424648</v>
      </c>
      <c r="F212" s="84" t="inlineStr">
        <is>
          <t>لايوجد</t>
        </is>
      </c>
      <c r="G212" s="84" t="inlineStr">
        <is>
          <t>هواة</t>
        </is>
      </c>
      <c r="H212" s="84" t="inlineStr">
        <is>
          <t>مكة المكرمة</t>
        </is>
      </c>
      <c r="I212" s="84" t="inlineStr">
        <is>
          <t>مكة المكرمة</t>
        </is>
      </c>
    </row>
    <row r="213" ht="17" customHeight="1">
      <c r="B213" s="17" t="n">
        <v>212</v>
      </c>
      <c r="C213" s="13" t="inlineStr">
        <is>
          <t>باتي قول</t>
        </is>
      </c>
      <c r="D213" s="13" t="inlineStr">
        <is>
          <t>مرزوق الفهادي</t>
        </is>
      </c>
      <c r="E213" s="13" t="n">
        <v>532879553</v>
      </c>
      <c r="F213" s="13" t="inlineStr">
        <is>
          <t>لايوجد</t>
        </is>
      </c>
      <c r="G213" s="13" t="inlineStr">
        <is>
          <t>هواة</t>
        </is>
      </c>
      <c r="H213" s="13" t="inlineStr">
        <is>
          <t>الرياض</t>
        </is>
      </c>
      <c r="I213" s="13" t="inlineStr">
        <is>
          <t>الخرج</t>
        </is>
      </c>
    </row>
    <row r="214" ht="17" customHeight="1">
      <c r="B214" s="80" t="n">
        <v>213</v>
      </c>
      <c r="C214" s="84" t="inlineStr">
        <is>
          <t>نادي مدارس الفرسان الرياضي</t>
        </is>
      </c>
      <c r="D214" s="84" t="inlineStr">
        <is>
          <t xml:space="preserve">محمد باموسى </t>
        </is>
      </c>
      <c r="E214" s="84" t="n">
        <v>562741666</v>
      </c>
      <c r="F214" s="84" t="inlineStr">
        <is>
          <t>لايوجد</t>
        </is>
      </c>
      <c r="G214" s="84" t="inlineStr">
        <is>
          <t>هواة</t>
        </is>
      </c>
      <c r="H214" s="84" t="inlineStr">
        <is>
          <t>مكة المكرمة</t>
        </is>
      </c>
      <c r="I214" s="84" t="inlineStr">
        <is>
          <t>مكة المكرمة</t>
        </is>
      </c>
    </row>
    <row r="215" ht="17" customHeight="1">
      <c r="B215" s="17" t="n">
        <v>214</v>
      </c>
      <c r="C215" s="13" t="inlineStr">
        <is>
          <t>PARIS SAINT GERMAIN ACADEMY SAUDI ARABIA</t>
        </is>
      </c>
      <c r="D215" s="13" t="inlineStr">
        <is>
          <t>PHANUEL</t>
        </is>
      </c>
      <c r="E215" s="13" t="n">
        <v>546008890</v>
      </c>
      <c r="F215" s="13" t="inlineStr">
        <is>
          <t>لايوجد</t>
        </is>
      </c>
      <c r="G215" s="13" t="inlineStr">
        <is>
          <t>هواة</t>
        </is>
      </c>
      <c r="H215" s="13" t="inlineStr">
        <is>
          <t>الرياض</t>
        </is>
      </c>
      <c r="I215" s="13" t="inlineStr">
        <is>
          <t>الرياض</t>
        </is>
      </c>
    </row>
    <row r="216" ht="17" customHeight="1">
      <c r="B216" s="80" t="n">
        <v>215</v>
      </c>
      <c r="C216" s="84" t="inlineStr">
        <is>
          <t>الجواهر</t>
        </is>
      </c>
      <c r="D216" s="84" t="inlineStr">
        <is>
          <t>عبيدالله الحربي</t>
        </is>
      </c>
      <c r="E216" s="84" t="n">
        <v>550968877</v>
      </c>
      <c r="F216" s="84" t="inlineStr">
        <is>
          <t>لايوجد</t>
        </is>
      </c>
      <c r="G216" s="84" t="inlineStr">
        <is>
          <t>هواة</t>
        </is>
      </c>
      <c r="H216" s="84" t="inlineStr">
        <is>
          <t>القصيم</t>
        </is>
      </c>
      <c r="I216" s="84" t="inlineStr">
        <is>
          <t>البكيرية</t>
        </is>
      </c>
    </row>
    <row r="217" ht="17" customHeight="1">
      <c r="B217" s="17" t="n">
        <v>216</v>
      </c>
      <c r="C217" s="13" t="inlineStr">
        <is>
          <t>GOAL FIT</t>
        </is>
      </c>
      <c r="D217" s="13" t="inlineStr">
        <is>
          <t>محمد سرحان</t>
        </is>
      </c>
      <c r="E217" s="13" t="n">
        <v>502858386</v>
      </c>
      <c r="F217" s="13" t="inlineStr">
        <is>
          <t>لايوجد</t>
        </is>
      </c>
      <c r="G217" s="13" t="inlineStr">
        <is>
          <t>هواة</t>
        </is>
      </c>
      <c r="H217" s="13" t="inlineStr">
        <is>
          <t>الرياض</t>
        </is>
      </c>
      <c r="I217" s="13" t="inlineStr">
        <is>
          <t>الرياض</t>
        </is>
      </c>
    </row>
    <row r="218" ht="17" customHeight="1">
      <c r="B218" s="80" t="n">
        <v>217</v>
      </c>
      <c r="C218" s="84" t="inlineStr">
        <is>
          <t>السنابل</t>
        </is>
      </c>
      <c r="D218" s="84" t="inlineStr">
        <is>
          <t>احمد الزهراني</t>
        </is>
      </c>
      <c r="E218" s="84" t="n">
        <v>501288843</v>
      </c>
      <c r="F218" s="84" t="inlineStr">
        <is>
          <t>لايوجد</t>
        </is>
      </c>
      <c r="G218" s="84" t="inlineStr">
        <is>
          <t>هواة</t>
        </is>
      </c>
      <c r="H218" s="84" t="inlineStr">
        <is>
          <t>مكة المكرمة</t>
        </is>
      </c>
      <c r="I218" s="84" t="inlineStr">
        <is>
          <t>جدة</t>
        </is>
      </c>
    </row>
    <row r="219" ht="17" customHeight="1">
      <c r="B219" s="17" t="n">
        <v>218</v>
      </c>
      <c r="C219" s="13" t="inlineStr">
        <is>
          <t>افاق الخفجي</t>
        </is>
      </c>
      <c r="D219" s="13" t="inlineStr">
        <is>
          <t>فيصل الشهري</t>
        </is>
      </c>
      <c r="E219" s="13" t="n">
        <v>564239612</v>
      </c>
      <c r="F219" s="13" t="inlineStr">
        <is>
          <t>لايوجد</t>
        </is>
      </c>
      <c r="G219" s="13" t="inlineStr">
        <is>
          <t>هواة</t>
        </is>
      </c>
      <c r="H219" s="13" t="inlineStr">
        <is>
          <t>الشرقية</t>
        </is>
      </c>
      <c r="I219" s="13" t="inlineStr">
        <is>
          <t>الخفجي</t>
        </is>
      </c>
    </row>
    <row r="220" ht="17" customHeight="1">
      <c r="B220" s="80" t="n">
        <v>219</v>
      </c>
      <c r="C220" s="84" t="inlineStr">
        <is>
          <t>Future 2</t>
        </is>
      </c>
      <c r="D220" s="84" t="inlineStr">
        <is>
          <t>محمود العوضي</t>
        </is>
      </c>
      <c r="E220" s="84" t="n">
        <v>581528784</v>
      </c>
      <c r="F220" s="84" t="inlineStr">
        <is>
          <t>لايوجد</t>
        </is>
      </c>
      <c r="G220" s="84" t="inlineStr">
        <is>
          <t>هواة</t>
        </is>
      </c>
      <c r="H220" s="84" t="inlineStr">
        <is>
          <t>الرياض</t>
        </is>
      </c>
      <c r="I220" s="84" t="inlineStr">
        <is>
          <t>الدوادمي</t>
        </is>
      </c>
    </row>
    <row r="221" ht="17" customHeight="1">
      <c r="B221" s="17" t="n">
        <v>220</v>
      </c>
      <c r="C221" s="13" t="inlineStr">
        <is>
          <t>يزن ابراهيم محمد العبداللطيف</t>
        </is>
      </c>
      <c r="D221" s="13" t="inlineStr">
        <is>
          <t>يزن ابراهيم محمد العبداللطيف</t>
        </is>
      </c>
      <c r="E221" s="13" t="n">
        <v>503484081</v>
      </c>
      <c r="F221" s="13" t="inlineStr">
        <is>
          <t>لايوجد</t>
        </is>
      </c>
      <c r="G221" s="13" t="inlineStr">
        <is>
          <t>هواة</t>
        </is>
      </c>
      <c r="H221" s="13" t="inlineStr">
        <is>
          <t>الرياض</t>
        </is>
      </c>
      <c r="I221" s="13" t="inlineStr">
        <is>
          <t>الدوادمي</t>
        </is>
      </c>
    </row>
    <row r="222" ht="17" customHeight="1">
      <c r="B222" s="80" t="n">
        <v>221</v>
      </c>
      <c r="C222" s="84" t="inlineStr">
        <is>
          <t>طويق جدة</t>
        </is>
      </c>
      <c r="D222" s="84" t="inlineStr">
        <is>
          <t>احمد الشطيري</t>
        </is>
      </c>
      <c r="E222" s="84" t="n">
        <v>568141561</v>
      </c>
      <c r="F222" s="84" t="inlineStr">
        <is>
          <t>لايوجد</t>
        </is>
      </c>
      <c r="G222" s="84" t="inlineStr">
        <is>
          <t>هواة</t>
        </is>
      </c>
      <c r="H222" s="84" t="inlineStr">
        <is>
          <t>مكة المكرمة</t>
        </is>
      </c>
      <c r="I222" s="84" t="inlineStr">
        <is>
          <t>جدة</t>
        </is>
      </c>
    </row>
    <row r="223" ht="17" customHeight="1">
      <c r="B223" s="17" t="n">
        <v>222</v>
      </c>
      <c r="C223" s="13" t="inlineStr">
        <is>
          <t>نجوم الثغر</t>
        </is>
      </c>
      <c r="D223" s="13" t="inlineStr">
        <is>
          <t>عبدالرحمن المالكي</t>
        </is>
      </c>
      <c r="E223" s="13" t="n">
        <v>544117724</v>
      </c>
      <c r="F223" s="13" t="inlineStr">
        <is>
          <t>لايوجد</t>
        </is>
      </c>
      <c r="G223" s="13" t="inlineStr">
        <is>
          <t>هواة</t>
        </is>
      </c>
      <c r="H223" s="13" t="inlineStr">
        <is>
          <t>مكة المكرمة</t>
        </is>
      </c>
      <c r="I223" s="13" t="inlineStr">
        <is>
          <t>جدة</t>
        </is>
      </c>
    </row>
    <row r="224" ht="17" customHeight="1">
      <c r="B224" s="80" t="n">
        <v>223</v>
      </c>
      <c r="C224" s="84" t="inlineStr">
        <is>
          <t>افاق الهداية</t>
        </is>
      </c>
      <c r="D224" s="84" t="inlineStr">
        <is>
          <t>انس العمري</t>
        </is>
      </c>
      <c r="E224" s="84" t="n">
        <v>542989356</v>
      </c>
      <c r="F224" s="84" t="inlineStr">
        <is>
          <t>لايوجد</t>
        </is>
      </c>
      <c r="G224" s="84" t="inlineStr">
        <is>
          <t>هواة</t>
        </is>
      </c>
      <c r="H224" s="84" t="inlineStr">
        <is>
          <t>مكة المكرمة</t>
        </is>
      </c>
      <c r="I224" s="84" t="inlineStr">
        <is>
          <t>جدة</t>
        </is>
      </c>
    </row>
    <row r="225" ht="17" customHeight="1">
      <c r="B225" s="17" t="n">
        <v>224</v>
      </c>
      <c r="C225" s="13" t="inlineStr">
        <is>
          <t>متوسطة الامام ورش</t>
        </is>
      </c>
      <c r="D225" s="13" t="inlineStr">
        <is>
          <t>عبدالله المرعي</t>
        </is>
      </c>
      <c r="E225" s="13" t="n">
        <v>557622333</v>
      </c>
      <c r="F225" s="13" t="inlineStr">
        <is>
          <t>لايوجد</t>
        </is>
      </c>
      <c r="G225" s="13" t="inlineStr">
        <is>
          <t>هواة</t>
        </is>
      </c>
      <c r="H225" s="13" t="inlineStr">
        <is>
          <t>مكة المكرمة</t>
        </is>
      </c>
      <c r="I225" s="13" t="inlineStr">
        <is>
          <t>جدة</t>
        </is>
      </c>
    </row>
    <row r="226" ht="17" customHeight="1">
      <c r="B226" s="80" t="n">
        <v>225</v>
      </c>
      <c r="C226" s="84" t="inlineStr">
        <is>
          <t>درة الشرق العالمية</t>
        </is>
      </c>
      <c r="D226" s="84" t="inlineStr">
        <is>
          <t>محمد عقلان</t>
        </is>
      </c>
      <c r="E226" s="84" t="n">
        <v>566255337</v>
      </c>
      <c r="F226" s="84" t="inlineStr">
        <is>
          <t>لايوجد</t>
        </is>
      </c>
      <c r="G226" s="84" t="inlineStr">
        <is>
          <t>هواة</t>
        </is>
      </c>
      <c r="H226" s="84" t="inlineStr">
        <is>
          <t>مكة المكرمة</t>
        </is>
      </c>
      <c r="I226" s="84" t="inlineStr">
        <is>
          <t>جدة</t>
        </is>
      </c>
    </row>
    <row r="227" ht="17" customHeight="1">
      <c r="B227" s="17" t="n">
        <v>226</v>
      </c>
      <c r="C227" s="13" t="inlineStr">
        <is>
          <t>اكاديمية جدة سيتي</t>
        </is>
      </c>
      <c r="D227" s="13" t="inlineStr">
        <is>
          <t>فراس ياسين</t>
        </is>
      </c>
      <c r="E227" s="13" t="n">
        <v>597245895</v>
      </c>
      <c r="F227" s="13" t="inlineStr">
        <is>
          <t>لايوجد</t>
        </is>
      </c>
      <c r="G227" s="13" t="inlineStr">
        <is>
          <t>هواة</t>
        </is>
      </c>
      <c r="H227" s="13" t="inlineStr">
        <is>
          <t>مكة المكرمة</t>
        </is>
      </c>
      <c r="I227" s="13" t="inlineStr">
        <is>
          <t>جدة</t>
        </is>
      </c>
    </row>
    <row r="228" ht="17" customHeight="1">
      <c r="B228" s="80" t="n">
        <v>227</v>
      </c>
      <c r="C228" s="84" t="inlineStr">
        <is>
          <t>هواة احلام الريان</t>
        </is>
      </c>
      <c r="D228" s="84" t="inlineStr">
        <is>
          <t>حسن قيراط</t>
        </is>
      </c>
      <c r="E228" s="84" t="n">
        <v>500221665</v>
      </c>
      <c r="F228" s="84" t="inlineStr">
        <is>
          <t>لايوجد</t>
        </is>
      </c>
      <c r="G228" s="84" t="inlineStr">
        <is>
          <t>هواة</t>
        </is>
      </c>
      <c r="H228" s="84" t="inlineStr">
        <is>
          <t>جازان</t>
        </is>
      </c>
      <c r="I228" s="84" t="inlineStr">
        <is>
          <t>أبو عريش</t>
        </is>
      </c>
    </row>
    <row r="229" ht="17" customHeight="1">
      <c r="B229" s="17" t="n">
        <v>228</v>
      </c>
      <c r="C229" s="13" t="inlineStr">
        <is>
          <t>الردع</t>
        </is>
      </c>
      <c r="D229" s="13" t="inlineStr">
        <is>
          <t>احمد الدغمي</t>
        </is>
      </c>
      <c r="E229" s="13" t="n">
        <v>508035154</v>
      </c>
      <c r="F229" s="13" t="inlineStr">
        <is>
          <t>لايوجد</t>
        </is>
      </c>
      <c r="G229" s="13" t="inlineStr">
        <is>
          <t>هواة</t>
        </is>
      </c>
      <c r="H229" s="13" t="inlineStr">
        <is>
          <t>الجوف</t>
        </is>
      </c>
      <c r="I229" s="13" t="inlineStr">
        <is>
          <t>سكاكا</t>
        </is>
      </c>
    </row>
    <row r="230" ht="17" customHeight="1">
      <c r="B230" s="80" t="n">
        <v>229</v>
      </c>
      <c r="C230" s="84" t="inlineStr">
        <is>
          <t>اكاديمية وولفز</t>
        </is>
      </c>
      <c r="D230" s="84" t="inlineStr">
        <is>
          <t>ابراهيم الكاف</t>
        </is>
      </c>
      <c r="E230" s="84" t="n">
        <v>597244931</v>
      </c>
      <c r="F230" s="84" t="inlineStr">
        <is>
          <t>لايوجد</t>
        </is>
      </c>
      <c r="G230" s="84" t="inlineStr">
        <is>
          <t>هواة</t>
        </is>
      </c>
      <c r="H230" s="84" t="inlineStr">
        <is>
          <t>مكة المكرمة</t>
        </is>
      </c>
      <c r="I230" s="84" t="inlineStr">
        <is>
          <t>جدة</t>
        </is>
      </c>
    </row>
    <row r="231" ht="17" customHeight="1">
      <c r="B231" s="17" t="n">
        <v>230</v>
      </c>
      <c r="C231" s="13" t="inlineStr">
        <is>
          <t>نادي بثرة</t>
        </is>
      </c>
      <c r="D231" s="13" t="inlineStr">
        <is>
          <t>احمد المالكي</t>
        </is>
      </c>
      <c r="E231" s="13" t="n">
        <v>599934734</v>
      </c>
      <c r="F231" s="13" t="inlineStr">
        <is>
          <t>لايوجد</t>
        </is>
      </c>
      <c r="G231" s="13" t="inlineStr">
        <is>
          <t>هواة</t>
        </is>
      </c>
      <c r="H231" s="13" t="inlineStr">
        <is>
          <t>الباحة</t>
        </is>
      </c>
      <c r="I231" s="13" t="inlineStr">
        <is>
          <t>الباحة</t>
        </is>
      </c>
    </row>
    <row r="232" ht="17" customHeight="1">
      <c r="B232" s="80" t="n">
        <v>231</v>
      </c>
      <c r="C232" s="84" t="inlineStr">
        <is>
          <t>اكاديمية ميامي</t>
        </is>
      </c>
      <c r="D232" s="84" t="inlineStr">
        <is>
          <t>ابراهيم المشي</t>
        </is>
      </c>
      <c r="E232" s="84" t="n">
        <v>565600045</v>
      </c>
      <c r="F232" s="84" t="inlineStr">
        <is>
          <t>لايوجد</t>
        </is>
      </c>
      <c r="G232" s="84" t="inlineStr">
        <is>
          <t>هواة</t>
        </is>
      </c>
      <c r="H232" s="84" t="inlineStr">
        <is>
          <t>مكة المكرمة</t>
        </is>
      </c>
      <c r="I232" s="84" t="inlineStr">
        <is>
          <t>جدة</t>
        </is>
      </c>
    </row>
    <row r="233" ht="17" customHeight="1">
      <c r="B233" s="17" t="n">
        <v>232</v>
      </c>
      <c r="C233" s="13" t="inlineStr">
        <is>
          <t>السروات</t>
        </is>
      </c>
      <c r="D233" s="13" t="inlineStr">
        <is>
          <t>صلاح المطيري</t>
        </is>
      </c>
      <c r="E233" s="13" t="n">
        <v>593113366</v>
      </c>
      <c r="F233" s="13" t="inlineStr">
        <is>
          <t>لايوجد</t>
        </is>
      </c>
      <c r="G233" s="13" t="inlineStr">
        <is>
          <t>هواة</t>
        </is>
      </c>
      <c r="H233" s="13" t="inlineStr">
        <is>
          <t>الشرقية</t>
        </is>
      </c>
      <c r="I233" s="13" t="inlineStr">
        <is>
          <t>الخفجي</t>
        </is>
      </c>
    </row>
    <row r="234" ht="17" customHeight="1">
      <c r="B234" s="80" t="n">
        <v>233</v>
      </c>
      <c r="C234" s="84" t="inlineStr">
        <is>
          <t>اكاديمية صقل المواهب</t>
        </is>
      </c>
      <c r="D234" s="84" t="inlineStr">
        <is>
          <t>عبدالعزيز الفقيه</t>
        </is>
      </c>
      <c r="E234" s="84" t="n">
        <v>599751431</v>
      </c>
      <c r="F234" s="84" t="inlineStr">
        <is>
          <t>لايوجد</t>
        </is>
      </c>
      <c r="G234" s="84" t="inlineStr">
        <is>
          <t>هواة</t>
        </is>
      </c>
      <c r="H234" s="84" t="inlineStr">
        <is>
          <t>الباحة</t>
        </is>
      </c>
      <c r="I234" s="84" t="inlineStr">
        <is>
          <t>الباحة</t>
        </is>
      </c>
    </row>
    <row r="235" ht="17" customHeight="1">
      <c r="B235" s="17" t="n">
        <v>234</v>
      </c>
      <c r="C235" s="13" t="inlineStr">
        <is>
          <t>الاخضر</t>
        </is>
      </c>
      <c r="D235" s="13" t="inlineStr">
        <is>
          <t>صالح القعس</t>
        </is>
      </c>
      <c r="E235" s="13" t="n">
        <v>509494619</v>
      </c>
      <c r="F235" s="13" t="inlineStr">
        <is>
          <t>لايوجد</t>
        </is>
      </c>
      <c r="G235" s="13" t="inlineStr">
        <is>
          <t>هواة</t>
        </is>
      </c>
      <c r="H235" s="13" t="inlineStr">
        <is>
          <t>الجوف</t>
        </is>
      </c>
      <c r="I235" s="13" t="inlineStr">
        <is>
          <t>سكاكا</t>
        </is>
      </c>
    </row>
    <row r="236" ht="17" customHeight="1">
      <c r="B236" s="80" t="n">
        <v>235</v>
      </c>
      <c r="C236" s="85" t="inlineStr">
        <is>
          <t>PARIS SAINT GERMAIN ACADEMY SAUDI ARABIA</t>
        </is>
      </c>
      <c r="D236" s="85" t="inlineStr">
        <is>
          <t>مليانو</t>
        </is>
      </c>
      <c r="E236" s="85" t="n">
        <v>546008890</v>
      </c>
      <c r="F236" s="85" t="inlineStr">
        <is>
          <t>لايوجد</t>
        </is>
      </c>
      <c r="G236" s="85" t="inlineStr">
        <is>
          <t>هواة</t>
        </is>
      </c>
      <c r="H236" s="85" t="inlineStr">
        <is>
          <t>مكة المكرمة</t>
        </is>
      </c>
      <c r="I236" s="85" t="inlineStr">
        <is>
          <t>جدة</t>
        </is>
      </c>
    </row>
    <row r="237" ht="17" customHeight="1">
      <c r="B237" s="17" t="n">
        <v>236</v>
      </c>
      <c r="C237" s="13" t="inlineStr">
        <is>
          <t>مدارس الجامعة</t>
        </is>
      </c>
      <c r="D237" s="13" t="inlineStr">
        <is>
          <t>بدر الجريوي</t>
        </is>
      </c>
      <c r="E237" s="13" t="n">
        <v>543353363</v>
      </c>
      <c r="F237" s="13" t="inlineStr">
        <is>
          <t>لايوجد</t>
        </is>
      </c>
      <c r="G237" s="13" t="inlineStr">
        <is>
          <t>هواة</t>
        </is>
      </c>
      <c r="H237" s="13" t="inlineStr">
        <is>
          <t>الرياض</t>
        </is>
      </c>
      <c r="I237" s="13" t="inlineStr">
        <is>
          <t>الخرج</t>
        </is>
      </c>
    </row>
    <row r="238" ht="17" customHeight="1">
      <c r="B238" s="80" t="n">
        <v>237</v>
      </c>
      <c r="C238" s="84" t="inlineStr">
        <is>
          <t>صانع الاهداف</t>
        </is>
      </c>
      <c r="D238" s="84" t="inlineStr">
        <is>
          <t>منيرة التركي</t>
        </is>
      </c>
      <c r="E238" s="84" t="n">
        <v>556164446</v>
      </c>
      <c r="F238" s="84" t="inlineStr">
        <is>
          <t>لايوجد</t>
        </is>
      </c>
      <c r="G238" s="84" t="inlineStr">
        <is>
          <t>هواة</t>
        </is>
      </c>
      <c r="H238" s="84" t="inlineStr">
        <is>
          <t>القصيم</t>
        </is>
      </c>
      <c r="I238" s="84" t="inlineStr">
        <is>
          <t>بريدة</t>
        </is>
      </c>
    </row>
    <row r="239" ht="17" customHeight="1">
      <c r="B239" s="17" t="n">
        <v>238</v>
      </c>
      <c r="C239" s="87" t="inlineStr">
        <is>
          <t>احتراف المؤسس</t>
        </is>
      </c>
      <c r="D239" s="87" t="inlineStr">
        <is>
          <t>عثمان فلاته</t>
        </is>
      </c>
      <c r="E239" s="87" t="n">
        <v>581397864</v>
      </c>
      <c r="F239" s="87" t="inlineStr">
        <is>
          <t>لايوجد</t>
        </is>
      </c>
      <c r="G239" s="87" t="inlineStr">
        <is>
          <t>هواة</t>
        </is>
      </c>
      <c r="H239" s="87" t="inlineStr">
        <is>
          <t>مكة المكرمة</t>
        </is>
      </c>
      <c r="I239" s="87" t="inlineStr">
        <is>
          <t>جدة</t>
        </is>
      </c>
    </row>
    <row r="240" ht="17" customHeight="1">
      <c r="B240" s="80" t="n">
        <v>239</v>
      </c>
      <c r="C240" s="84" t="inlineStr">
        <is>
          <t>اكاديمية السامبا - جدة</t>
        </is>
      </c>
      <c r="D240" s="84" t="inlineStr">
        <is>
          <t>سعيد الفرحان</t>
        </is>
      </c>
      <c r="E240" s="84" t="n">
        <v>562726442</v>
      </c>
      <c r="F240" s="84" t="inlineStr">
        <is>
          <t>لايوجد</t>
        </is>
      </c>
      <c r="G240" s="84" t="inlineStr">
        <is>
          <t>هواة</t>
        </is>
      </c>
      <c r="H240" s="84" t="inlineStr">
        <is>
          <t>مكة المكرمة</t>
        </is>
      </c>
      <c r="I240" s="84" t="inlineStr">
        <is>
          <t>جدة</t>
        </is>
      </c>
    </row>
    <row r="241" ht="17" customHeight="1">
      <c r="B241" s="17" t="n">
        <v>240</v>
      </c>
      <c r="C241" s="13" t="inlineStr">
        <is>
          <t>فريق هلال العيون</t>
        </is>
      </c>
      <c r="D241" s="13" t="inlineStr">
        <is>
          <t>سعد العساف</t>
        </is>
      </c>
      <c r="E241" s="13" t="n">
        <v>558444547</v>
      </c>
      <c r="F241" s="13" t="inlineStr">
        <is>
          <t>لايوجد</t>
        </is>
      </c>
      <c r="G241" s="13" t="inlineStr">
        <is>
          <t>هواة</t>
        </is>
      </c>
      <c r="H241" s="13" t="inlineStr">
        <is>
          <t>الشرقية</t>
        </is>
      </c>
      <c r="I241" s="13" t="inlineStr">
        <is>
          <t>الأحساء</t>
        </is>
      </c>
    </row>
    <row r="242" ht="17" customHeight="1">
      <c r="B242" s="80" t="n">
        <v>241</v>
      </c>
      <c r="C242" s="84" t="inlineStr">
        <is>
          <t>نجوم صامطة</t>
        </is>
      </c>
      <c r="D242" s="84" t="inlineStr">
        <is>
          <t>تيام مكرمي</t>
        </is>
      </c>
      <c r="E242" s="84" t="n">
        <v>539471161</v>
      </c>
      <c r="F242" s="84" t="inlineStr">
        <is>
          <t>لايوجد</t>
        </is>
      </c>
      <c r="G242" s="84" t="inlineStr">
        <is>
          <t>هواة</t>
        </is>
      </c>
      <c r="H242" s="84" t="inlineStr">
        <is>
          <t>جازان</t>
        </is>
      </c>
      <c r="I242" s="84" t="inlineStr">
        <is>
          <t>صامطة</t>
        </is>
      </c>
    </row>
    <row r="243" ht="17" customHeight="1">
      <c r="B243" s="17" t="n">
        <v>242</v>
      </c>
      <c r="C243" s="87" t="inlineStr">
        <is>
          <t>ودان</t>
        </is>
      </c>
      <c r="D243" s="87" t="inlineStr">
        <is>
          <t>نايف اليوبي</t>
        </is>
      </c>
      <c r="E243" s="87" t="n">
        <v>554896564</v>
      </c>
      <c r="F243" s="87" t="inlineStr">
        <is>
          <t>لايوجد</t>
        </is>
      </c>
      <c r="G243" s="87" t="inlineStr">
        <is>
          <t>هواة</t>
        </is>
      </c>
      <c r="H243" s="87" t="inlineStr">
        <is>
          <t>مكة المكرمة</t>
        </is>
      </c>
      <c r="I243" s="87" t="inlineStr">
        <is>
          <t>جدة</t>
        </is>
      </c>
    </row>
    <row r="244" ht="17" customHeight="1">
      <c r="B244" s="80" t="n">
        <v>243</v>
      </c>
      <c r="C244" s="84" t="inlineStr">
        <is>
          <t>اف 10 شقة</t>
        </is>
      </c>
      <c r="D244" s="84" t="inlineStr">
        <is>
          <t xml:space="preserve">محسن العنزي </t>
        </is>
      </c>
      <c r="E244" s="84" t="n">
        <v>547972702</v>
      </c>
      <c r="F244" s="84" t="inlineStr">
        <is>
          <t>لايوجد</t>
        </is>
      </c>
      <c r="G244" s="84" t="inlineStr">
        <is>
          <t>هواة</t>
        </is>
      </c>
      <c r="H244" s="84" t="inlineStr">
        <is>
          <t>القصيم</t>
        </is>
      </c>
      <c r="I244" s="84" t="inlineStr">
        <is>
          <t>بريدة</t>
        </is>
      </c>
    </row>
    <row r="245" ht="17" customHeight="1">
      <c r="B245" s="17" t="n">
        <v>244</v>
      </c>
      <c r="C245" s="13" t="inlineStr">
        <is>
          <t>زمن الاحتراف</t>
        </is>
      </c>
      <c r="D245" s="13" t="inlineStr">
        <is>
          <t>سامي السبعي</t>
        </is>
      </c>
      <c r="E245" s="13" t="inlineStr">
        <is>
          <t>542111252</t>
        </is>
      </c>
      <c r="F245" s="13" t="inlineStr">
        <is>
          <t>لايوجد</t>
        </is>
      </c>
      <c r="G245" s="13" t="inlineStr">
        <is>
          <t>هواة</t>
        </is>
      </c>
      <c r="H245" s="13" t="inlineStr">
        <is>
          <t>جازان</t>
        </is>
      </c>
      <c r="I245" s="13" t="inlineStr">
        <is>
          <t>صبيا</t>
        </is>
      </c>
    </row>
  </sheetData>
  <dataValidations count="2">
    <dataValidation sqref="G2:G245" showDropDown="0" showInputMessage="1" showErrorMessage="1" allowBlank="1" type="list">
      <formula1>"نادي,أكاديمية,هواة"</formula1>
    </dataValidation>
    <dataValidation sqref="I2:I74 I76:I158 I237:I244" showDropDown="0" showInputMessage="0" showErrorMessage="1" allowBlank="1" errorTitle="مدينة جديدة" error="هذه المدينة غير موجودة في القائمة. اختر (نعم) لإضافتها، وستظهر تلقائياً في القائمة." type="list" errorStyle="warning">
      <formula1>قائمة_المدن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J207"/>
  <sheetViews>
    <sheetView rightToLeft="1" topLeftCell="V1" zoomScale="71" workbookViewId="0">
      <selection activeCell="AC25" sqref="AC25"/>
    </sheetView>
  </sheetViews>
  <sheetFormatPr baseColWidth="8" defaultRowHeight="14.5"/>
  <cols>
    <col width="3.6328125" customWidth="1" style="5" min="1" max="1"/>
    <col width="17" bestFit="1" customWidth="1" style="5" min="2" max="2"/>
    <col width="16.54296875" bestFit="1" customWidth="1" style="5" min="3" max="3"/>
    <col width="16.26953125" customWidth="1" style="5" min="4" max="4"/>
    <col width="3.6328125" customWidth="1" style="5" min="5" max="5"/>
    <col width="17" bestFit="1" customWidth="1" style="5" min="6" max="6"/>
    <col width="16.54296875" bestFit="1" customWidth="1" style="5" min="7" max="7"/>
    <col width="16.26953125" customWidth="1" style="5" min="8" max="9"/>
    <col width="3.6328125" customWidth="1" style="5" min="10" max="10"/>
    <col width="8.26953125" bestFit="1" customWidth="1" style="5" min="11" max="11"/>
    <col width="17" bestFit="1" customWidth="1" style="5" min="12" max="12"/>
    <col width="3.08984375" customWidth="1" style="5" min="13" max="13"/>
    <col width="32.36328125" bestFit="1" customWidth="1" style="5" min="14" max="14"/>
    <col width="3.08984375" customWidth="1" style="5" min="15" max="15"/>
    <col width="13.26953125" customWidth="1" style="5" min="16" max="16"/>
    <col width="3.08984375" customWidth="1" style="5" min="17" max="17"/>
    <col width="12" customWidth="1" style="5" min="18" max="18"/>
    <col width="3.08984375" customWidth="1" style="5" min="19" max="19"/>
    <col width="46.7265625" bestFit="1" customWidth="1" style="5" min="20" max="20"/>
    <col width="3.08984375" customWidth="1" style="5" min="21" max="21"/>
    <col width="43.1796875" bestFit="1" customWidth="1" style="5" min="22" max="22"/>
    <col width="3.08984375" customWidth="1" style="5" min="23" max="23"/>
    <col width="6.36328125" bestFit="1" customWidth="1" style="5" min="24" max="24"/>
    <col width="20.90625" bestFit="1" customWidth="1" style="5" min="25" max="25"/>
    <col width="8.7265625" customWidth="1" style="5" min="26" max="26"/>
    <col width="14.08984375" bestFit="1" customWidth="1" style="5" min="27" max="27"/>
    <col width="8.7265625" customWidth="1" style="5" min="28" max="28"/>
    <col width="33.6328125" customWidth="1" style="5" min="29" max="29"/>
    <col width="17.26953125" customWidth="1" style="5" min="30" max="30"/>
    <col width="25.453125" customWidth="1" style="5" min="31" max="31"/>
    <col width="20.90625" customWidth="1" style="5" min="32" max="33"/>
    <col width="21.81640625" customWidth="1" style="5" min="34" max="35"/>
    <col width="22.7265625" customWidth="1" style="5" min="36" max="36"/>
    <col width="8.7265625" customWidth="1" style="5" min="37" max="16384"/>
  </cols>
  <sheetData>
    <row r="2" ht="16" customFormat="1" customHeight="1" s="2">
      <c r="A2" s="3" t="n"/>
      <c r="B2" s="3" t="inlineStr">
        <is>
          <t>الفئة العمرية</t>
        </is>
      </c>
      <c r="C2" s="3" t="inlineStr">
        <is>
          <t>المجموعة</t>
        </is>
      </c>
      <c r="D2" s="3" t="inlineStr">
        <is>
          <t>المدينة/المحافظة</t>
        </is>
      </c>
      <c r="E2" s="3" t="n"/>
      <c r="F2" s="8" t="inlineStr">
        <is>
          <t>الفئة العمرية</t>
        </is>
      </c>
      <c r="G2" s="8" t="inlineStr">
        <is>
          <t>المجموعة</t>
        </is>
      </c>
      <c r="H2" s="8" t="inlineStr">
        <is>
          <t>المنطقة</t>
        </is>
      </c>
      <c r="I2" s="8" t="inlineStr">
        <is>
          <t>المكتب</t>
        </is>
      </c>
      <c r="J2" s="3" t="n"/>
      <c r="K2" s="3" t="inlineStr">
        <is>
          <t>الفئة</t>
        </is>
      </c>
      <c r="L2" s="3" t="inlineStr">
        <is>
          <t>مجموعة الفئات</t>
        </is>
      </c>
      <c r="N2" s="6" t="inlineStr">
        <is>
          <t>عدد الفرق المطلوب لكل مجموعة</t>
        </is>
      </c>
      <c r="P2" t="inlineStr">
        <is>
          <t>المناطق الإدارية</t>
        </is>
      </c>
      <c r="R2" t="inlineStr">
        <is>
          <t>مكاتب الوزارة</t>
        </is>
      </c>
      <c r="T2" s="6" t="inlineStr">
        <is>
          <t>عدد المباريات في الموسم لفريق من الفئات (تحت 5، تحت 7، تحت 9)</t>
        </is>
      </c>
      <c r="V2" s="6" t="inlineStr">
        <is>
          <t>عدد المباريات في الموسم لفريق من الفئات (تحت 11 - تحت 14)</t>
        </is>
      </c>
      <c r="X2" s="10" t="inlineStr">
        <is>
          <t>الفئة</t>
        </is>
      </c>
      <c r="Y2" s="10" t="inlineStr">
        <is>
          <t>متوسط عدد اللاعبين لكل فريق</t>
        </is>
      </c>
      <c r="AA2" s="12" t="inlineStr">
        <is>
          <t>قائمة المدن (تلقائية)</t>
        </is>
      </c>
      <c r="AC2" s="94" t="inlineStr">
        <is>
          <t>مدخلات الملاعب</t>
        </is>
      </c>
      <c r="AD2" s="98" t="n"/>
      <c r="AE2" s="28" t="n"/>
      <c r="AF2" s="28" t="n"/>
      <c r="AG2" s="28" t="n"/>
      <c r="AH2" s="28" t="n"/>
      <c r="AI2" s="28" t="n"/>
    </row>
    <row r="3">
      <c r="B3" s="5" t="inlineStr">
        <is>
          <t>تحت 5، تحت 7، تحت 9</t>
        </is>
      </c>
      <c r="C3" s="5" t="inlineStr">
        <is>
          <t>مجموعة الرياض</t>
        </is>
      </c>
      <c r="D3" s="5" t="inlineStr">
        <is>
          <t>الرياض</t>
        </is>
      </c>
      <c r="F3" t="inlineStr">
        <is>
          <t>تحت 5، تحت 7، تحت 9</t>
        </is>
      </c>
      <c r="G3" t="inlineStr">
        <is>
          <t>مجموعة الرياض</t>
        </is>
      </c>
      <c r="H3" t="inlineStr">
        <is>
          <t>الرياض</t>
        </is>
      </c>
      <c r="I3" t="inlineStr">
        <is>
          <t>الرياض</t>
        </is>
      </c>
      <c r="K3" s="5" t="inlineStr">
        <is>
          <t>تحت 5</t>
        </is>
      </c>
      <c r="L3" s="5" t="inlineStr">
        <is>
          <t>تحت 5، تحت 7، تحت 9</t>
        </is>
      </c>
      <c r="N3" s="7" t="n">
        <v>5</v>
      </c>
      <c r="P3" t="inlineStr">
        <is>
          <t>الحدود الشمالية</t>
        </is>
      </c>
      <c r="R3" t="inlineStr">
        <is>
          <t>الأحساء</t>
        </is>
      </c>
      <c r="T3" s="2" t="n">
        <v>28</v>
      </c>
      <c r="V3" s="2" t="n">
        <v>20</v>
      </c>
      <c r="X3" s="2" t="inlineStr">
        <is>
          <t>تحت 5</t>
        </is>
      </c>
      <c r="Y3" s="11" t="n">
        <v>8</v>
      </c>
      <c r="AA3" s="5">
        <f t="array" ref="AA3:AA74">_xlfn.LET(_xlpm.x,_xlfn.VSTACK(المدن_المصدر[المدينة/المحافظة],التسجيل[المدينة]),IFERROR(_xlfn._xlws.SORT(_xlfn.UNIQUE(_xlfn._xlws.FILTER(_xlpm.x,_xlpm.x&lt;&gt;""))),""))</f>
        <v/>
      </c>
      <c r="AC3" s="5" t="inlineStr">
        <is>
          <t>عدد الفرق في المباراة الواحدة</t>
        </is>
      </c>
      <c r="AD3" s="29" t="n">
        <v>2</v>
      </c>
    </row>
    <row r="4">
      <c r="B4" s="5" t="inlineStr">
        <is>
          <t>تحت 5، تحت 7، تحت 9</t>
        </is>
      </c>
      <c r="C4" s="5" t="inlineStr">
        <is>
          <t>مجموعة بيش</t>
        </is>
      </c>
      <c r="D4" s="5" t="inlineStr">
        <is>
          <t>بيش</t>
        </is>
      </c>
      <c r="F4" t="inlineStr">
        <is>
          <t>تحت 5، تحت 7، تحت 9</t>
        </is>
      </c>
      <c r="G4" t="inlineStr">
        <is>
          <t>مجموعة بيش</t>
        </is>
      </c>
      <c r="H4" t="inlineStr">
        <is>
          <t>جازان</t>
        </is>
      </c>
      <c r="I4" t="inlineStr">
        <is>
          <t>جازان</t>
        </is>
      </c>
      <c r="K4" s="5" t="inlineStr">
        <is>
          <t>تحت 7</t>
        </is>
      </c>
      <c r="L4" s="5" t="inlineStr">
        <is>
          <t>تحت 5، تحت 7، تحت 9</t>
        </is>
      </c>
      <c r="P4" t="inlineStr">
        <is>
          <t>الشرقية</t>
        </is>
      </c>
      <c r="R4" t="inlineStr">
        <is>
          <t>الباحة</t>
        </is>
      </c>
      <c r="X4" s="2" t="inlineStr">
        <is>
          <t>تحت 7</t>
        </is>
      </c>
      <c r="Y4" s="11" t="n">
        <v>11</v>
      </c>
      <c r="AA4" s="5" t="inlineStr">
        <is>
          <t>أبو عريش</t>
        </is>
      </c>
    </row>
    <row r="5" ht="45" customHeight="1">
      <c r="B5" s="5" t="inlineStr">
        <is>
          <t>تحت 5، تحت 7، تحت 9</t>
        </is>
      </c>
      <c r="C5" s="5" t="inlineStr">
        <is>
          <t>مجموعة جازان</t>
        </is>
      </c>
      <c r="D5" s="5" t="inlineStr">
        <is>
          <t>جيزان</t>
        </is>
      </c>
      <c r="F5" t="inlineStr">
        <is>
          <t>تحت 5، تحت 7، تحت 9</t>
        </is>
      </c>
      <c r="G5" t="inlineStr">
        <is>
          <t>مجموعة جازان</t>
        </is>
      </c>
      <c r="H5" t="inlineStr">
        <is>
          <t>جازان</t>
        </is>
      </c>
      <c r="I5" t="inlineStr">
        <is>
          <t>جازان</t>
        </is>
      </c>
      <c r="K5" s="5" t="inlineStr">
        <is>
          <t>تحت 9</t>
        </is>
      </c>
      <c r="L5" s="5" t="inlineStr">
        <is>
          <t>تحت 5، تحت 7، تحت 9</t>
        </is>
      </c>
      <c r="P5" t="inlineStr">
        <is>
          <t>حائل</t>
        </is>
      </c>
      <c r="R5" t="inlineStr">
        <is>
          <t>الجوف</t>
        </is>
      </c>
      <c r="X5" s="2" t="inlineStr">
        <is>
          <t>تحت 9</t>
        </is>
      </c>
      <c r="Y5" s="11" t="n">
        <v>11</v>
      </c>
      <c r="AA5" s="5" t="inlineStr">
        <is>
          <t>أحد المسارحة</t>
        </is>
      </c>
      <c r="AC5" s="30" t="inlineStr">
        <is>
          <t>الفئة</t>
        </is>
      </c>
      <c r="AD5" s="31" t="inlineStr">
        <is>
          <t>اليوم</t>
        </is>
      </c>
      <c r="AE5" s="31" t="inlineStr">
        <is>
          <t>نوع الملعب</t>
        </is>
      </c>
      <c r="AF5" s="31" t="inlineStr">
        <is>
          <t>تقسيم الملعب القانوني</t>
        </is>
      </c>
      <c r="AG5" s="31" t="inlineStr">
        <is>
          <t>مباريات لكل ملعب صغير يومياً</t>
        </is>
      </c>
      <c r="AH5" s="31" t="inlineStr">
        <is>
          <t>مباريات لكل ملعب قانوني يومياً</t>
        </is>
      </c>
      <c r="AI5" s="31" t="inlineStr">
        <is>
          <t>أقصى فرق لكل ملعب قانوني</t>
        </is>
      </c>
      <c r="AJ5" s="32" t="inlineStr">
        <is>
          <t>مباريات لكل ملعب لعب يومياً</t>
        </is>
      </c>
    </row>
    <row r="6">
      <c r="B6" s="5" t="inlineStr">
        <is>
          <t>تحت 5، تحت 7، تحت 9</t>
        </is>
      </c>
      <c r="C6" s="5" t="inlineStr">
        <is>
          <t>مجموعة محايل عسير</t>
        </is>
      </c>
      <c r="D6" s="5" t="inlineStr">
        <is>
          <t>محايل عسير</t>
        </is>
      </c>
      <c r="F6" t="inlineStr">
        <is>
          <t>تحت 5، تحت 7، تحت 9</t>
        </is>
      </c>
      <c r="G6" t="inlineStr">
        <is>
          <t>مجموعة محايل عسير</t>
        </is>
      </c>
      <c r="H6" t="inlineStr">
        <is>
          <t>عسير</t>
        </is>
      </c>
      <c r="I6" t="inlineStr">
        <is>
          <t>عسير</t>
        </is>
      </c>
      <c r="K6" s="5" t="inlineStr">
        <is>
          <t>تحت 11</t>
        </is>
      </c>
      <c r="L6" s="5" t="inlineStr">
        <is>
          <t>تحت 11 - تحت 12</t>
        </is>
      </c>
      <c r="P6" t="inlineStr">
        <is>
          <t>تبوك</t>
        </is>
      </c>
      <c r="R6" t="inlineStr">
        <is>
          <t>الحدود الشمالية</t>
        </is>
      </c>
      <c r="X6" s="2" t="inlineStr">
        <is>
          <t>تحت 11</t>
        </is>
      </c>
      <c r="Y6" s="11" t="n">
        <v>11</v>
      </c>
      <c r="AA6" s="5" t="inlineStr">
        <is>
          <t>أضم</t>
        </is>
      </c>
      <c r="AC6" s="33" t="inlineStr">
        <is>
          <t>تحت 5</t>
        </is>
      </c>
      <c r="AD6" s="34" t="inlineStr">
        <is>
          <t>السبت</t>
        </is>
      </c>
      <c r="AE6" s="34" t="inlineStr">
        <is>
          <t>5 ضد 5</t>
        </is>
      </c>
      <c r="AF6" s="34" t="n">
        <v>4</v>
      </c>
      <c r="AG6" s="34" t="n">
        <v>3</v>
      </c>
      <c r="AH6" s="35">
        <f>$AF6*$AG6</f>
        <v/>
      </c>
      <c r="AI6" s="35">
        <f>$AH6*$AD$3</f>
        <v/>
      </c>
      <c r="AJ6" s="36">
        <f>IF($AF6&gt;1,$AG6,$AH6)</f>
        <v/>
      </c>
    </row>
    <row r="7">
      <c r="B7" s="5" t="inlineStr">
        <is>
          <t>تحت 5، تحت 7، تحت 9</t>
        </is>
      </c>
      <c r="C7" s="5" t="inlineStr">
        <is>
          <t>مجموعة أبها</t>
        </is>
      </c>
      <c r="D7" s="5" t="inlineStr">
        <is>
          <t>أبها</t>
        </is>
      </c>
      <c r="F7" t="inlineStr">
        <is>
          <t>تحت 5، تحت 7، تحت 9</t>
        </is>
      </c>
      <c r="G7" t="inlineStr">
        <is>
          <t>مجموعة أبها</t>
        </is>
      </c>
      <c r="H7" t="inlineStr">
        <is>
          <t>عسير</t>
        </is>
      </c>
      <c r="I7" t="inlineStr">
        <is>
          <t>عسير</t>
        </is>
      </c>
      <c r="K7" s="5" t="inlineStr">
        <is>
          <t>تحت 12</t>
        </is>
      </c>
      <c r="L7" s="5" t="inlineStr">
        <is>
          <t>تحت 11 - تحت 12</t>
        </is>
      </c>
      <c r="P7" t="inlineStr">
        <is>
          <t>الجوف</t>
        </is>
      </c>
      <c r="R7" t="inlineStr">
        <is>
          <t>الرس</t>
        </is>
      </c>
      <c r="X7" s="2" t="inlineStr">
        <is>
          <t>تحت 12</t>
        </is>
      </c>
      <c r="Y7" s="11" t="n">
        <v>11</v>
      </c>
      <c r="AA7" s="5" t="inlineStr">
        <is>
          <t>الأحساء</t>
        </is>
      </c>
      <c r="AC7" s="33" t="inlineStr">
        <is>
          <t>تحت 7</t>
        </is>
      </c>
      <c r="AD7" s="34" t="inlineStr">
        <is>
          <t>السبت</t>
        </is>
      </c>
      <c r="AE7" s="34" t="inlineStr">
        <is>
          <t>7 ضد 7</t>
        </is>
      </c>
      <c r="AF7" s="34" t="n">
        <v>2</v>
      </c>
      <c r="AG7" s="34" t="n">
        <v>3</v>
      </c>
      <c r="AH7" s="35">
        <f>$AF7*$AG7</f>
        <v/>
      </c>
      <c r="AI7" s="35">
        <f>$AH7*$AD$3</f>
        <v/>
      </c>
      <c r="AJ7" s="36">
        <f>IF($AF7&gt;1,$AG7,$AH7)</f>
        <v/>
      </c>
    </row>
    <row r="8">
      <c r="B8" s="5" t="inlineStr">
        <is>
          <t>تحت 5، تحت 7، تحت 9</t>
        </is>
      </c>
      <c r="C8" s="5" t="inlineStr">
        <is>
          <t>مجموعة أبها</t>
        </is>
      </c>
      <c r="D8" s="5" t="inlineStr">
        <is>
          <t>خميس مشيط</t>
        </is>
      </c>
      <c r="F8" t="inlineStr">
        <is>
          <t>تحت 5، تحت 7، تحت 9</t>
        </is>
      </c>
      <c r="G8" t="inlineStr">
        <is>
          <t>مجموعة أبو عريش</t>
        </is>
      </c>
      <c r="H8" t="inlineStr">
        <is>
          <t>جازان</t>
        </is>
      </c>
      <c r="I8" t="inlineStr">
        <is>
          <t>جازان</t>
        </is>
      </c>
      <c r="K8" s="5" t="inlineStr">
        <is>
          <t>تحت 13</t>
        </is>
      </c>
      <c r="L8" s="5" t="inlineStr">
        <is>
          <t>تحت 13 - تحت 14</t>
        </is>
      </c>
      <c r="P8" t="inlineStr">
        <is>
          <t>الرياض</t>
        </is>
      </c>
      <c r="R8" t="inlineStr">
        <is>
          <t>الرياض</t>
        </is>
      </c>
      <c r="X8" s="2" t="inlineStr">
        <is>
          <t>تحت 13</t>
        </is>
      </c>
      <c r="Y8" s="11" t="n">
        <v>20</v>
      </c>
      <c r="AA8" s="5" t="inlineStr">
        <is>
          <t>الباحة</t>
        </is>
      </c>
      <c r="AC8" s="33" t="inlineStr">
        <is>
          <t>تحت 9</t>
        </is>
      </c>
      <c r="AD8" s="34" t="inlineStr">
        <is>
          <t>السبت</t>
        </is>
      </c>
      <c r="AE8" s="34" t="inlineStr">
        <is>
          <t>7 ضد 7</t>
        </is>
      </c>
      <c r="AF8" s="34" t="n">
        <v>2</v>
      </c>
      <c r="AG8" s="34" t="n">
        <v>3</v>
      </c>
      <c r="AH8" s="35">
        <f>$AF8*$AG8</f>
        <v/>
      </c>
      <c r="AI8" s="35">
        <f>$AH8*$AD$3</f>
        <v/>
      </c>
      <c r="AJ8" s="36">
        <f>IF($AF8&gt;1,$AG8,$AH8)</f>
        <v/>
      </c>
    </row>
    <row r="9">
      <c r="B9" s="5" t="inlineStr">
        <is>
          <t>تحت 5، تحت 7، تحت 9</t>
        </is>
      </c>
      <c r="C9" s="5" t="inlineStr">
        <is>
          <t>مجموعة أبو عريش</t>
        </is>
      </c>
      <c r="D9" s="5" t="inlineStr">
        <is>
          <t>أبو عريش</t>
        </is>
      </c>
      <c r="F9" t="inlineStr">
        <is>
          <t>تحت 5، تحت 7، تحت 9</t>
        </is>
      </c>
      <c r="G9" t="inlineStr">
        <is>
          <t>مجموعة الأحساء</t>
        </is>
      </c>
      <c r="H9" t="inlineStr">
        <is>
          <t>الشرقية</t>
        </is>
      </c>
      <c r="I9" t="inlineStr">
        <is>
          <t>الأحساء</t>
        </is>
      </c>
      <c r="K9" s="5" t="inlineStr">
        <is>
          <t>تحت 14</t>
        </is>
      </c>
      <c r="L9" s="5" t="inlineStr">
        <is>
          <t>تحت 13 - تحت 14</t>
        </is>
      </c>
      <c r="P9" t="inlineStr">
        <is>
          <t>القصيم</t>
        </is>
      </c>
      <c r="R9" t="inlineStr">
        <is>
          <t>الزلفي</t>
        </is>
      </c>
      <c r="X9" s="2" t="inlineStr">
        <is>
          <t>تحت 14</t>
        </is>
      </c>
      <c r="Y9" s="11" t="n">
        <v>20</v>
      </c>
      <c r="AA9" s="5" t="inlineStr">
        <is>
          <t>البدائع</t>
        </is>
      </c>
      <c r="AC9" s="33" t="inlineStr">
        <is>
          <t>تحت 11</t>
        </is>
      </c>
      <c r="AD9" s="34" t="inlineStr">
        <is>
          <t>الأحد</t>
        </is>
      </c>
      <c r="AE9" s="34" t="inlineStr">
        <is>
          <t>7 ضد 7</t>
        </is>
      </c>
      <c r="AF9" s="34" t="n">
        <v>2</v>
      </c>
      <c r="AG9" s="34" t="n">
        <v>4</v>
      </c>
      <c r="AH9" s="35">
        <f>$AF9*$AG9</f>
        <v/>
      </c>
      <c r="AI9" s="35">
        <f>$AH9*$AD$3</f>
        <v/>
      </c>
      <c r="AJ9" s="36">
        <f>IF($AF9&gt;1,$AG9,$AH9)</f>
        <v/>
      </c>
    </row>
    <row r="10">
      <c r="B10" s="5" t="inlineStr">
        <is>
          <t>تحت 5، تحت 7، تحت 9</t>
        </is>
      </c>
      <c r="C10" s="5" t="inlineStr">
        <is>
          <t>مجموعة الأحساء</t>
        </is>
      </c>
      <c r="D10" s="5" t="inlineStr">
        <is>
          <t>الأحساء</t>
        </is>
      </c>
      <c r="F10" t="inlineStr">
        <is>
          <t>تحت 5، تحت 7، تحت 9</t>
        </is>
      </c>
      <c r="G10" t="inlineStr">
        <is>
          <t>مجموعة الباحة</t>
        </is>
      </c>
      <c r="H10" t="inlineStr">
        <is>
          <t>الباحة</t>
        </is>
      </c>
      <c r="I10" t="inlineStr">
        <is>
          <t>الباحة</t>
        </is>
      </c>
      <c r="P10" t="inlineStr">
        <is>
          <t>المدينة المنورة</t>
        </is>
      </c>
      <c r="R10" t="inlineStr">
        <is>
          <t>الشرقية</t>
        </is>
      </c>
      <c r="AA10" s="5" t="inlineStr">
        <is>
          <t>البكيرية</t>
        </is>
      </c>
      <c r="AC10" s="33" t="inlineStr">
        <is>
          <t>تحت 12</t>
        </is>
      </c>
      <c r="AD10" s="34" t="inlineStr">
        <is>
          <t>الاثنين</t>
        </is>
      </c>
      <c r="AE10" s="34" t="inlineStr">
        <is>
          <t>7 ضد 7</t>
        </is>
      </c>
      <c r="AF10" s="34" t="n">
        <v>2</v>
      </c>
      <c r="AG10" s="34" t="n">
        <v>4</v>
      </c>
      <c r="AH10" s="35">
        <f>$AF10*$AG10</f>
        <v/>
      </c>
      <c r="AI10" s="35">
        <f>$AH10*$AD$3</f>
        <v/>
      </c>
      <c r="AJ10" s="36">
        <f>IF($AF10&gt;1,$AG10,$AH10)</f>
        <v/>
      </c>
    </row>
    <row r="11">
      <c r="B11" s="5" t="inlineStr">
        <is>
          <t>تحت 5، تحت 7، تحت 9</t>
        </is>
      </c>
      <c r="C11" s="5" t="inlineStr">
        <is>
          <t>مجموعة الباحة</t>
        </is>
      </c>
      <c r="D11" s="5" t="inlineStr">
        <is>
          <t>الباحة</t>
        </is>
      </c>
      <c r="F11" t="inlineStr">
        <is>
          <t>تحت 5، تحت 7، تحت 9</t>
        </is>
      </c>
      <c r="G11" t="inlineStr">
        <is>
          <t>مجموعة سكاكا</t>
        </is>
      </c>
      <c r="H11" t="inlineStr">
        <is>
          <t>الجوف</t>
        </is>
      </c>
      <c r="I11" t="inlineStr">
        <is>
          <t>الجوف</t>
        </is>
      </c>
      <c r="P11" t="inlineStr">
        <is>
          <t>مكة المكرمة</t>
        </is>
      </c>
      <c r="R11" t="inlineStr">
        <is>
          <t>الطائف</t>
        </is>
      </c>
      <c r="AA11" s="5" t="inlineStr">
        <is>
          <t>الجبيل</t>
        </is>
      </c>
      <c r="AC11" s="33" t="inlineStr">
        <is>
          <t>تحت 13</t>
        </is>
      </c>
      <c r="AD11" s="34" t="inlineStr">
        <is>
          <t>الخميس</t>
        </is>
      </c>
      <c r="AE11" s="34" t="inlineStr">
        <is>
          <t>قانوني</t>
        </is>
      </c>
      <c r="AF11" s="34" t="n">
        <v>1</v>
      </c>
      <c r="AG11" s="34" t="n">
        <v>3</v>
      </c>
      <c r="AH11" s="35">
        <f>$AF11*$AG11</f>
        <v/>
      </c>
      <c r="AI11" s="35">
        <f>$AH11*$AD$3</f>
        <v/>
      </c>
      <c r="AJ11" s="36">
        <f>IF($AF11&gt;1,$AG11,$AH11)</f>
        <v/>
      </c>
    </row>
    <row r="12">
      <c r="B12" s="5" t="inlineStr">
        <is>
          <t>تحت 5، تحت 7، تحت 9</t>
        </is>
      </c>
      <c r="C12" s="5" t="inlineStr">
        <is>
          <t>مجموعة الباحة</t>
        </is>
      </c>
      <c r="D12" s="5" t="inlineStr">
        <is>
          <t>بلجرشي</t>
        </is>
      </c>
      <c r="F12" t="inlineStr">
        <is>
          <t>تحت 5، تحت 7، تحت 9</t>
        </is>
      </c>
      <c r="G12" t="inlineStr">
        <is>
          <t>مجموعة الحدود الشمالية</t>
        </is>
      </c>
      <c r="H12" t="inlineStr">
        <is>
          <t>الحدود الشمالية</t>
        </is>
      </c>
      <c r="I12" t="inlineStr">
        <is>
          <t>الحدود الشمالية</t>
        </is>
      </c>
      <c r="P12" t="inlineStr">
        <is>
          <t>جازان</t>
        </is>
      </c>
      <c r="R12" t="inlineStr">
        <is>
          <t>القصيم</t>
        </is>
      </c>
      <c r="AA12" s="5" t="inlineStr">
        <is>
          <t>الجموم</t>
        </is>
      </c>
      <c r="AC12" s="37" t="inlineStr">
        <is>
          <t>تحت 14</t>
        </is>
      </c>
      <c r="AD12" s="38" t="inlineStr">
        <is>
          <t>الأربعاء</t>
        </is>
      </c>
      <c r="AE12" s="38" t="inlineStr">
        <is>
          <t>قانوني</t>
        </is>
      </c>
      <c r="AF12" s="38" t="n">
        <v>1</v>
      </c>
      <c r="AG12" s="38" t="n">
        <v>3</v>
      </c>
      <c r="AH12" s="39">
        <f>$AF12*$AG12</f>
        <v/>
      </c>
      <c r="AI12" s="39">
        <f>$AH12*$AD$3</f>
        <v/>
      </c>
      <c r="AJ12" s="40">
        <f>IF($AF12&gt;1,$AG12,$AH12)</f>
        <v/>
      </c>
    </row>
    <row r="13">
      <c r="B13" s="5" t="inlineStr">
        <is>
          <t>تحت 5، تحت 7، تحت 9</t>
        </is>
      </c>
      <c r="C13" s="5" t="inlineStr">
        <is>
          <t>مجموعة الباحة</t>
        </is>
      </c>
      <c r="D13" s="5" t="inlineStr">
        <is>
          <t>بلقرن</t>
        </is>
      </c>
      <c r="F13" t="inlineStr">
        <is>
          <t>تحت 5، تحت 7، تحت 9</t>
        </is>
      </c>
      <c r="G13" t="inlineStr">
        <is>
          <t>مجموعة الخرج</t>
        </is>
      </c>
      <c r="H13" t="inlineStr">
        <is>
          <t>الرياض</t>
        </is>
      </c>
      <c r="I13" t="inlineStr">
        <is>
          <t>الخرج</t>
        </is>
      </c>
      <c r="P13" t="inlineStr">
        <is>
          <t>الباحة</t>
        </is>
      </c>
      <c r="R13" t="inlineStr">
        <is>
          <t>القطيف</t>
        </is>
      </c>
      <c r="AA13" s="5" t="inlineStr">
        <is>
          <t>الخبر</t>
        </is>
      </c>
    </row>
    <row r="14">
      <c r="B14" s="5" t="inlineStr">
        <is>
          <t>تحت 5، تحت 7، تحت 9</t>
        </is>
      </c>
      <c r="C14" s="5" t="inlineStr">
        <is>
          <t>مجموعة الرس</t>
        </is>
      </c>
      <c r="D14" s="5" t="inlineStr">
        <is>
          <t>البكيرية</t>
        </is>
      </c>
      <c r="F14" t="inlineStr">
        <is>
          <t>تحت 5، تحت 7، تحت 9</t>
        </is>
      </c>
      <c r="G14" t="inlineStr">
        <is>
          <t>مجموعة الخفجي</t>
        </is>
      </c>
      <c r="H14" t="inlineStr">
        <is>
          <t>الشرقية</t>
        </is>
      </c>
      <c r="I14" t="inlineStr">
        <is>
          <t>الشرقية</t>
        </is>
      </c>
      <c r="P14" t="inlineStr">
        <is>
          <t>نجران</t>
        </is>
      </c>
      <c r="R14" t="inlineStr">
        <is>
          <t>المدينة المنورة</t>
        </is>
      </c>
      <c r="AA14" s="5" t="inlineStr">
        <is>
          <t>الخرج</t>
        </is>
      </c>
    </row>
    <row r="15">
      <c r="B15" s="5" t="inlineStr">
        <is>
          <t>تحت 5، تحت 7، تحت 9</t>
        </is>
      </c>
      <c r="C15" s="5" t="inlineStr">
        <is>
          <t>مجموعة سكاكا</t>
        </is>
      </c>
      <c r="D15" s="5" t="inlineStr">
        <is>
          <t>سكاكا</t>
        </is>
      </c>
      <c r="F15" t="inlineStr">
        <is>
          <t>تحت 5، تحت 7، تحت 9</t>
        </is>
      </c>
      <c r="G15" t="inlineStr">
        <is>
          <t>مجموعة الرس</t>
        </is>
      </c>
      <c r="H15" t="inlineStr">
        <is>
          <t>القصيم</t>
        </is>
      </c>
      <c r="I15" t="inlineStr">
        <is>
          <t>الرس</t>
        </is>
      </c>
      <c r="P15" t="inlineStr">
        <is>
          <t>عسير</t>
        </is>
      </c>
      <c r="R15" t="inlineStr">
        <is>
          <t>تبوك</t>
        </is>
      </c>
      <c r="AA15" s="5" t="inlineStr">
        <is>
          <t>الخفجي</t>
        </is>
      </c>
    </row>
    <row r="16">
      <c r="B16" s="5" t="inlineStr">
        <is>
          <t>تحت 5، تحت 7، تحت 9</t>
        </is>
      </c>
      <c r="C16" s="5" t="inlineStr">
        <is>
          <t>مجموعة سكاكا</t>
        </is>
      </c>
      <c r="D16" s="5" t="inlineStr">
        <is>
          <t>دومة الجندل</t>
        </is>
      </c>
      <c r="F16" t="inlineStr">
        <is>
          <t>تحت 5، تحت 7، تحت 9</t>
        </is>
      </c>
      <c r="G16" t="inlineStr">
        <is>
          <t>مجموعة الزلفي</t>
        </is>
      </c>
      <c r="H16" t="inlineStr">
        <is>
          <t>الرياض</t>
        </is>
      </c>
      <c r="I16" t="inlineStr">
        <is>
          <t>الزلفي</t>
        </is>
      </c>
      <c r="R16" t="inlineStr">
        <is>
          <t>جازان</t>
        </is>
      </c>
      <c r="AA16" s="5" t="inlineStr">
        <is>
          <t>الدرب</t>
        </is>
      </c>
    </row>
    <row r="17">
      <c r="B17" s="5" t="inlineStr">
        <is>
          <t>تحت 5، تحت 7، تحت 9</t>
        </is>
      </c>
      <c r="C17" s="5" t="inlineStr">
        <is>
          <t>مجموعة الحدود الشمالية</t>
        </is>
      </c>
      <c r="D17" s="5" t="inlineStr">
        <is>
          <t>عرعر</t>
        </is>
      </c>
      <c r="F17" t="inlineStr">
        <is>
          <t>تحت 5، تحت 7، تحت 9</t>
        </is>
      </c>
      <c r="G17" t="inlineStr">
        <is>
          <t>مجموعة الدمام</t>
        </is>
      </c>
      <c r="H17" t="inlineStr">
        <is>
          <t>الشرقية</t>
        </is>
      </c>
      <c r="I17" t="inlineStr">
        <is>
          <t>الشرقية</t>
        </is>
      </c>
      <c r="R17" t="inlineStr">
        <is>
          <t>جدة</t>
        </is>
      </c>
      <c r="AA17" s="5" t="inlineStr">
        <is>
          <t>الدلم</t>
        </is>
      </c>
    </row>
    <row r="18">
      <c r="B18" s="5" t="inlineStr">
        <is>
          <t>تحت 5، تحت 7، تحت 9</t>
        </is>
      </c>
      <c r="C18" s="5" t="inlineStr">
        <is>
          <t>مجموعة الخرج</t>
        </is>
      </c>
      <c r="D18" s="5" t="inlineStr">
        <is>
          <t>الخرج</t>
        </is>
      </c>
      <c r="F18" t="inlineStr">
        <is>
          <t>تحت 5، تحت 7، تحت 9</t>
        </is>
      </c>
      <c r="G18" t="inlineStr">
        <is>
          <t>مجموعة الدمام</t>
        </is>
      </c>
      <c r="H18" t="inlineStr">
        <is>
          <t>الشرقية</t>
        </is>
      </c>
      <c r="I18" t="inlineStr">
        <is>
          <t>القطيف</t>
        </is>
      </c>
      <c r="R18" t="inlineStr">
        <is>
          <t>حائل</t>
        </is>
      </c>
      <c r="AA18" s="5" t="inlineStr">
        <is>
          <t>الدمام</t>
        </is>
      </c>
    </row>
    <row r="19">
      <c r="B19" s="5" t="inlineStr">
        <is>
          <t>تحت 5، تحت 7، تحت 9</t>
        </is>
      </c>
      <c r="C19" s="5" t="inlineStr">
        <is>
          <t>مجموعة الخفجي</t>
        </is>
      </c>
      <c r="D19" s="5" t="inlineStr">
        <is>
          <t>الخفجي</t>
        </is>
      </c>
      <c r="F19" t="inlineStr">
        <is>
          <t>تحت 5، تحت 7، تحت 9</t>
        </is>
      </c>
      <c r="G19" t="inlineStr">
        <is>
          <t>مجموعة الطائف</t>
        </is>
      </c>
      <c r="H19" t="inlineStr">
        <is>
          <t>مكة المكرمة</t>
        </is>
      </c>
      <c r="I19" t="inlineStr">
        <is>
          <t>الطائف</t>
        </is>
      </c>
      <c r="R19" t="inlineStr">
        <is>
          <t>حفر الباطن</t>
        </is>
      </c>
      <c r="AA19" s="5" t="inlineStr">
        <is>
          <t>الدوادمي</t>
        </is>
      </c>
    </row>
    <row r="20">
      <c r="B20" s="5" t="inlineStr">
        <is>
          <t>تحت 5، تحت 7، تحت 9</t>
        </is>
      </c>
      <c r="C20" s="5" t="inlineStr">
        <is>
          <t>مجموعة الرس</t>
        </is>
      </c>
      <c r="D20" s="5" t="inlineStr">
        <is>
          <t>الرس</t>
        </is>
      </c>
      <c r="F20" t="inlineStr">
        <is>
          <t>تحت 5، تحت 7، تحت 9</t>
        </is>
      </c>
      <c r="G20" t="inlineStr">
        <is>
          <t>مجموعة القصيم</t>
        </is>
      </c>
      <c r="H20" t="inlineStr">
        <is>
          <t>القصيم</t>
        </is>
      </c>
      <c r="I20" t="inlineStr">
        <is>
          <t>القصيم</t>
        </is>
      </c>
      <c r="R20" t="inlineStr">
        <is>
          <t>عسير</t>
        </is>
      </c>
      <c r="AA20" s="5" t="inlineStr">
        <is>
          <t>الرس</t>
        </is>
      </c>
    </row>
    <row r="21">
      <c r="B21" s="5" t="inlineStr">
        <is>
          <t>تحت 5، تحت 7، تحت 9</t>
        </is>
      </c>
      <c r="C21" s="5" t="inlineStr">
        <is>
          <t>مجموعة الزلفي</t>
        </is>
      </c>
      <c r="D21" s="5" t="inlineStr">
        <is>
          <t>الزلفي</t>
        </is>
      </c>
      <c r="F21" t="inlineStr">
        <is>
          <t>تحت 5، تحت 7، تحت 9</t>
        </is>
      </c>
      <c r="G21" t="inlineStr">
        <is>
          <t>مجموعة القصيم</t>
        </is>
      </c>
      <c r="H21" t="inlineStr">
        <is>
          <t>القصيم</t>
        </is>
      </c>
      <c r="I21" t="inlineStr">
        <is>
          <t>الرس</t>
        </is>
      </c>
      <c r="R21" t="inlineStr">
        <is>
          <t>مكة المكرمة</t>
        </is>
      </c>
      <c r="AA21" s="5" t="inlineStr">
        <is>
          <t>الرياض</t>
        </is>
      </c>
    </row>
    <row r="22">
      <c r="B22" s="5" t="inlineStr">
        <is>
          <t>تحت 5، تحت 7، تحت 9</t>
        </is>
      </c>
      <c r="C22" s="5" t="inlineStr">
        <is>
          <t>مجموعة الدمام</t>
        </is>
      </c>
      <c r="D22" s="5" t="inlineStr">
        <is>
          <t>الظهران</t>
        </is>
      </c>
      <c r="F22" t="inlineStr">
        <is>
          <t>تحت 5، تحت 7، تحت 9</t>
        </is>
      </c>
      <c r="G22" t="inlineStr">
        <is>
          <t>مجموعة القطيف</t>
        </is>
      </c>
      <c r="H22" t="inlineStr">
        <is>
          <t>الشرقية</t>
        </is>
      </c>
      <c r="I22" t="inlineStr">
        <is>
          <t>القطيف</t>
        </is>
      </c>
      <c r="R22" t="inlineStr">
        <is>
          <t>نجران</t>
        </is>
      </c>
      <c r="AA22" s="5" t="inlineStr">
        <is>
          <t>الزلفي</t>
        </is>
      </c>
    </row>
    <row r="23">
      <c r="B23" s="5" t="inlineStr">
        <is>
          <t>تحت 5، تحت 7، تحت 9</t>
        </is>
      </c>
      <c r="C23" s="5" t="inlineStr">
        <is>
          <t>مجموعة الدمام</t>
        </is>
      </c>
      <c r="D23" s="5" t="inlineStr">
        <is>
          <t>الخبر</t>
        </is>
      </c>
      <c r="F23" t="inlineStr">
        <is>
          <t>تحت 5، تحت 7، تحت 9</t>
        </is>
      </c>
      <c r="G23" t="inlineStr">
        <is>
          <t>مجموعة القطيف</t>
        </is>
      </c>
      <c r="H23" t="inlineStr">
        <is>
          <t>الشرقية</t>
        </is>
      </c>
      <c r="I23" t="inlineStr">
        <is>
          <t>الشرقية</t>
        </is>
      </c>
      <c r="R23" t="inlineStr">
        <is>
          <t>وادي الدواسر</t>
        </is>
      </c>
      <c r="AA23" s="5" t="inlineStr">
        <is>
          <t>الشنان</t>
        </is>
      </c>
    </row>
    <row r="24">
      <c r="B24" s="5" t="inlineStr">
        <is>
          <t>تحت 5، تحت 7، تحت 9</t>
        </is>
      </c>
      <c r="C24" s="5" t="inlineStr">
        <is>
          <t>مجموعة الدمام</t>
        </is>
      </c>
      <c r="D24" s="5" t="inlineStr">
        <is>
          <t>الدمام</t>
        </is>
      </c>
      <c r="F24" t="inlineStr">
        <is>
          <t>تحت 5، تحت 7، تحت 9</t>
        </is>
      </c>
      <c r="G24" t="inlineStr">
        <is>
          <t>مجموعة القنفذة</t>
        </is>
      </c>
      <c r="H24" t="inlineStr">
        <is>
          <t>مكة المكرمة</t>
        </is>
      </c>
      <c r="I24" t="inlineStr">
        <is>
          <t>مكة المكرمة</t>
        </is>
      </c>
      <c r="R24" t="inlineStr">
        <is>
          <t>الخرج</t>
        </is>
      </c>
      <c r="AA24" s="5" t="inlineStr">
        <is>
          <t>الطائف</t>
        </is>
      </c>
    </row>
    <row r="25">
      <c r="B25" s="5" t="inlineStr">
        <is>
          <t>تحت 5، تحت 7، تحت 9</t>
        </is>
      </c>
      <c r="C25" s="5" t="inlineStr">
        <is>
          <t>مجموعة الدمام</t>
        </is>
      </c>
      <c r="D25" s="5" t="inlineStr">
        <is>
          <t>سيهات</t>
        </is>
      </c>
      <c r="F25" t="inlineStr">
        <is>
          <t>تحت 5، تحت 7، تحت 9</t>
        </is>
      </c>
      <c r="G25" t="inlineStr">
        <is>
          <t>مجموعة الدوادمي</t>
        </is>
      </c>
      <c r="H25" t="inlineStr">
        <is>
          <t>الرياض</t>
        </is>
      </c>
      <c r="I25" t="inlineStr">
        <is>
          <t>الدوادمي</t>
        </is>
      </c>
      <c r="R25" t="inlineStr">
        <is>
          <t>الدوادمي</t>
        </is>
      </c>
      <c r="AA25" s="5" t="inlineStr">
        <is>
          <t>الظهران</t>
        </is>
      </c>
    </row>
    <row r="26">
      <c r="B26" s="5" t="inlineStr">
        <is>
          <t>تحت 5، تحت 7، تحت 9</t>
        </is>
      </c>
      <c r="C26" s="5" t="inlineStr">
        <is>
          <t>مجموعة الطائف</t>
        </is>
      </c>
      <c r="D26" s="5" t="inlineStr">
        <is>
          <t>الطائف</t>
        </is>
      </c>
      <c r="F26" t="inlineStr">
        <is>
          <t>تحت 5، تحت 7، تحت 9</t>
        </is>
      </c>
      <c r="G26" t="inlineStr">
        <is>
          <t>مجموعة الليث</t>
        </is>
      </c>
      <c r="H26" t="inlineStr">
        <is>
          <t>مكة المكرمة</t>
        </is>
      </c>
      <c r="I26" t="inlineStr">
        <is>
          <t>مكة المكرمة</t>
        </is>
      </c>
      <c r="R26" t="inlineStr">
        <is>
          <t>شقراء</t>
        </is>
      </c>
      <c r="AA26" s="5" t="inlineStr">
        <is>
          <t>العقيق</t>
        </is>
      </c>
    </row>
    <row r="27">
      <c r="B27" s="5" t="inlineStr">
        <is>
          <t>تحت 5، تحت 7، تحت 9</t>
        </is>
      </c>
      <c r="C27" s="5" t="inlineStr">
        <is>
          <t>مجموعة القصيم</t>
        </is>
      </c>
      <c r="D27" s="5" t="inlineStr">
        <is>
          <t>بريدة</t>
        </is>
      </c>
      <c r="F27" t="inlineStr">
        <is>
          <t>تحت 5، تحت 7، تحت 9</t>
        </is>
      </c>
      <c r="G27" t="inlineStr">
        <is>
          <t>مجموعة المجمعة</t>
        </is>
      </c>
      <c r="H27" t="inlineStr">
        <is>
          <t>الرياض</t>
        </is>
      </c>
      <c r="I27" t="inlineStr">
        <is>
          <t>المجمعة</t>
        </is>
      </c>
      <c r="R27" t="inlineStr">
        <is>
          <t>المجمعة</t>
        </is>
      </c>
      <c r="AA27" s="5" t="inlineStr">
        <is>
          <t>الغاط</t>
        </is>
      </c>
    </row>
    <row r="28">
      <c r="B28" s="5" t="inlineStr">
        <is>
          <t>تحت 5، تحت 7، تحت 9</t>
        </is>
      </c>
      <c r="C28" s="5" t="inlineStr">
        <is>
          <t>مجموعة القصيم</t>
        </is>
      </c>
      <c r="D28" s="5" t="inlineStr">
        <is>
          <t>عيون الجواء</t>
        </is>
      </c>
      <c r="F28" t="inlineStr">
        <is>
          <t>تحت 5، تحت 7، تحت 9</t>
        </is>
      </c>
      <c r="G28" t="inlineStr">
        <is>
          <t>مجموعة المجمعة</t>
        </is>
      </c>
      <c r="H28" t="inlineStr">
        <is>
          <t>الرياض</t>
        </is>
      </c>
      <c r="I28" t="inlineStr">
        <is>
          <t>الزلفي</t>
        </is>
      </c>
      <c r="AA28" s="5" t="inlineStr">
        <is>
          <t>القريات</t>
        </is>
      </c>
    </row>
    <row r="29">
      <c r="B29" s="5" t="inlineStr">
        <is>
          <t>تحت 5، تحت 7، تحت 9</t>
        </is>
      </c>
      <c r="C29" s="5" t="inlineStr">
        <is>
          <t>مجموعة القطيف</t>
        </is>
      </c>
      <c r="D29" s="5" t="inlineStr">
        <is>
          <t>القطيف</t>
        </is>
      </c>
      <c r="F29" t="inlineStr">
        <is>
          <t>تحت 5، تحت 7، تحت 9</t>
        </is>
      </c>
      <c r="G29" t="inlineStr">
        <is>
          <t>مجموعة المدينة المنورة</t>
        </is>
      </c>
      <c r="H29" t="inlineStr">
        <is>
          <t>المدينة المنورة</t>
        </is>
      </c>
      <c r="I29" t="inlineStr">
        <is>
          <t>المدينة المنورة</t>
        </is>
      </c>
      <c r="AA29" s="5" t="inlineStr">
        <is>
          <t>القطيف</t>
        </is>
      </c>
    </row>
    <row r="30">
      <c r="B30" s="5" t="inlineStr">
        <is>
          <t>تحت 5، تحت 7، تحت 9</t>
        </is>
      </c>
      <c r="C30" s="5" t="inlineStr">
        <is>
          <t>مجموعة القنفذة</t>
        </is>
      </c>
      <c r="D30" s="5" t="inlineStr">
        <is>
          <t>القنفذة</t>
        </is>
      </c>
      <c r="F30" t="inlineStr">
        <is>
          <t>تحت 5، تحت 7، تحت 9</t>
        </is>
      </c>
      <c r="G30" t="inlineStr">
        <is>
          <t>مجموعة ينبع</t>
        </is>
      </c>
      <c r="H30" t="inlineStr">
        <is>
          <t>المدينة المنورة</t>
        </is>
      </c>
      <c r="I30" t="inlineStr">
        <is>
          <t>المدينة المنورة</t>
        </is>
      </c>
      <c r="AA30" s="5" t="inlineStr">
        <is>
          <t>القنفذة</t>
        </is>
      </c>
    </row>
    <row r="31">
      <c r="B31" s="5" t="inlineStr">
        <is>
          <t>تحت 5، تحت 7، تحت 9</t>
        </is>
      </c>
      <c r="C31" s="5" t="inlineStr">
        <is>
          <t>مجموعة الدوادمي</t>
        </is>
      </c>
      <c r="D31" s="5" t="inlineStr">
        <is>
          <t>الدوادمي</t>
        </is>
      </c>
      <c r="F31" t="inlineStr">
        <is>
          <t>تحت 5، تحت 7، تحت 9</t>
        </is>
      </c>
      <c r="G31" t="inlineStr">
        <is>
          <t>مجموعة النماص</t>
        </is>
      </c>
      <c r="H31" t="inlineStr">
        <is>
          <t>عسير</t>
        </is>
      </c>
      <c r="I31" t="inlineStr">
        <is>
          <t>عسير</t>
        </is>
      </c>
      <c r="AA31" s="5" t="inlineStr">
        <is>
          <t>الليث</t>
        </is>
      </c>
    </row>
    <row r="32">
      <c r="B32" s="5" t="inlineStr">
        <is>
          <t>تحت 5، تحت 7، تحت 9</t>
        </is>
      </c>
      <c r="C32" s="5" t="inlineStr">
        <is>
          <t>مجموعة الليث</t>
        </is>
      </c>
      <c r="D32" s="5" t="inlineStr">
        <is>
          <t>الليث</t>
        </is>
      </c>
      <c r="F32" t="inlineStr">
        <is>
          <t>تحت 5، تحت 7، تحت 9</t>
        </is>
      </c>
      <c r="G32" t="inlineStr">
        <is>
          <t>مجموعة الدرب</t>
        </is>
      </c>
      <c r="H32" t="inlineStr">
        <is>
          <t>جازان</t>
        </is>
      </c>
      <c r="I32" t="inlineStr">
        <is>
          <t>جازان</t>
        </is>
      </c>
      <c r="AA32" s="5" t="inlineStr">
        <is>
          <t>المجمعة</t>
        </is>
      </c>
    </row>
    <row r="33">
      <c r="B33" s="5" t="inlineStr">
        <is>
          <t>تحت 5، تحت 7، تحت 9</t>
        </is>
      </c>
      <c r="C33" s="5" t="inlineStr">
        <is>
          <t>مجموعة الليث</t>
        </is>
      </c>
      <c r="D33" s="5" t="inlineStr">
        <is>
          <t>أضم</t>
        </is>
      </c>
      <c r="F33" t="inlineStr">
        <is>
          <t>تحت 5، تحت 7، تحت 9</t>
        </is>
      </c>
      <c r="G33" t="inlineStr">
        <is>
          <t>مجموعة تبوك</t>
        </is>
      </c>
      <c r="H33" t="inlineStr">
        <is>
          <t>تبوك</t>
        </is>
      </c>
      <c r="I33" t="inlineStr">
        <is>
          <t>تبوك</t>
        </is>
      </c>
      <c r="AA33" s="5" t="inlineStr">
        <is>
          <t>المدينة المنورة</t>
        </is>
      </c>
    </row>
    <row r="34">
      <c r="B34" s="5" t="inlineStr">
        <is>
          <t>تحت 5، تحت 7، تحت 9</t>
        </is>
      </c>
      <c r="C34" s="5" t="inlineStr">
        <is>
          <t>مجموعة المجمعة</t>
        </is>
      </c>
      <c r="D34" s="5" t="inlineStr">
        <is>
          <t>المجمعة</t>
        </is>
      </c>
      <c r="F34" t="inlineStr">
        <is>
          <t>تحت 5، تحت 7، تحت 9</t>
        </is>
      </c>
      <c r="G34" t="inlineStr">
        <is>
          <t>مجموعة صبيا</t>
        </is>
      </c>
      <c r="H34" t="inlineStr">
        <is>
          <t>جازان</t>
        </is>
      </c>
      <c r="I34" t="inlineStr">
        <is>
          <t>جازان</t>
        </is>
      </c>
      <c r="AA34" s="5" t="inlineStr">
        <is>
          <t>المذنب</t>
        </is>
      </c>
    </row>
    <row r="35">
      <c r="B35" s="5" t="inlineStr">
        <is>
          <t>تحت 5، تحت 7، تحت 9</t>
        </is>
      </c>
      <c r="C35" s="5" t="inlineStr">
        <is>
          <t>مجموعة المدينة المنورة</t>
        </is>
      </c>
      <c r="D35" s="5" t="inlineStr">
        <is>
          <t>المدينة المنورة</t>
        </is>
      </c>
      <c r="F35" t="inlineStr">
        <is>
          <t>تحت 5، تحت 7، تحت 9</t>
        </is>
      </c>
      <c r="G35" t="inlineStr">
        <is>
          <t>مجموعة جدة</t>
        </is>
      </c>
      <c r="H35" t="inlineStr">
        <is>
          <t>مكة المكرمة</t>
        </is>
      </c>
      <c r="I35" t="inlineStr">
        <is>
          <t>جدة</t>
        </is>
      </c>
      <c r="AA35" s="5" t="inlineStr">
        <is>
          <t>النماص</t>
        </is>
      </c>
    </row>
    <row r="36">
      <c r="B36" s="5" t="inlineStr">
        <is>
          <t>تحت 5، تحت 7، تحت 9</t>
        </is>
      </c>
      <c r="C36" s="5" t="inlineStr">
        <is>
          <t>مجموعة ينبع</t>
        </is>
      </c>
      <c r="D36" s="5" t="inlineStr">
        <is>
          <t>ينبع</t>
        </is>
      </c>
      <c r="F36" t="inlineStr">
        <is>
          <t>تحت 5، تحت 7، تحت 9</t>
        </is>
      </c>
      <c r="G36" t="inlineStr">
        <is>
          <t>مجموعة حائل</t>
        </is>
      </c>
      <c r="H36" t="inlineStr">
        <is>
          <t>حائل</t>
        </is>
      </c>
      <c r="I36" t="inlineStr">
        <is>
          <t>حائل</t>
        </is>
      </c>
      <c r="AA36" s="5" t="inlineStr">
        <is>
          <t>الوجه</t>
        </is>
      </c>
    </row>
    <row r="37">
      <c r="B37" s="5" t="inlineStr">
        <is>
          <t>تحت 5، تحت 7، تحت 9</t>
        </is>
      </c>
      <c r="C37" s="5" t="inlineStr">
        <is>
          <t>مجموعة النماص</t>
        </is>
      </c>
      <c r="D37" s="5" t="inlineStr">
        <is>
          <t>النماص</t>
        </is>
      </c>
      <c r="F37" t="inlineStr">
        <is>
          <t>تحت 5، تحت 7، تحت 9</t>
        </is>
      </c>
      <c r="G37" t="inlineStr">
        <is>
          <t>مجموعة حفر الباطن</t>
        </is>
      </c>
      <c r="H37" t="inlineStr">
        <is>
          <t>الشرقية</t>
        </is>
      </c>
      <c r="I37" t="inlineStr">
        <is>
          <t>حفر الباطن</t>
        </is>
      </c>
      <c r="AA37" s="5" t="inlineStr">
        <is>
          <t>أملج</t>
        </is>
      </c>
    </row>
    <row r="38">
      <c r="B38" s="5" t="inlineStr">
        <is>
          <t>تحت 5، تحت 7، تحت 9</t>
        </is>
      </c>
      <c r="C38" s="5" t="inlineStr">
        <is>
          <t>مجموعة الدرب</t>
        </is>
      </c>
      <c r="D38" s="5" t="inlineStr">
        <is>
          <t>الدرب</t>
        </is>
      </c>
      <c r="F38" t="inlineStr">
        <is>
          <t>تحت 5، تحت 7، تحت 9</t>
        </is>
      </c>
      <c r="G38" t="inlineStr">
        <is>
          <t>مجموعة شرورة</t>
        </is>
      </c>
      <c r="H38" t="inlineStr">
        <is>
          <t>نجران</t>
        </is>
      </c>
      <c r="I38" t="inlineStr">
        <is>
          <t>نجران</t>
        </is>
      </c>
      <c r="AA38" s="5" t="inlineStr">
        <is>
          <t>بريدة</t>
        </is>
      </c>
    </row>
    <row r="39">
      <c r="B39" s="5" t="inlineStr">
        <is>
          <t>تحت 5، تحت 7، تحت 9</t>
        </is>
      </c>
      <c r="C39" s="5" t="inlineStr">
        <is>
          <t>مجموعة تبوك</t>
        </is>
      </c>
      <c r="D39" s="5" t="inlineStr">
        <is>
          <t>تبوك</t>
        </is>
      </c>
      <c r="F39" t="inlineStr">
        <is>
          <t>تحت 5، تحت 7، تحت 9</t>
        </is>
      </c>
      <c r="G39" t="inlineStr">
        <is>
          <t>مجموعة صامطة</t>
        </is>
      </c>
      <c r="H39" t="inlineStr">
        <is>
          <t>جازان</t>
        </is>
      </c>
      <c r="I39" t="inlineStr">
        <is>
          <t>جازان</t>
        </is>
      </c>
      <c r="AA39" s="5" t="inlineStr">
        <is>
          <t>بلجرشي</t>
        </is>
      </c>
    </row>
    <row r="40">
      <c r="B40" s="5" t="inlineStr">
        <is>
          <t>تحت 5، تحت 7، تحت 9</t>
        </is>
      </c>
      <c r="C40" s="5" t="inlineStr">
        <is>
          <t>مجموعة صبيا</t>
        </is>
      </c>
      <c r="D40" s="5" t="inlineStr">
        <is>
          <t>صبيا</t>
        </is>
      </c>
      <c r="F40" t="inlineStr">
        <is>
          <t>تحت 5، تحت 7، تحت 9</t>
        </is>
      </c>
      <c r="G40" t="inlineStr">
        <is>
          <t>مجموعة فرسان</t>
        </is>
      </c>
      <c r="H40" t="inlineStr">
        <is>
          <t>جازان</t>
        </is>
      </c>
      <c r="I40" t="inlineStr">
        <is>
          <t>جازان</t>
        </is>
      </c>
      <c r="AA40" s="5" t="inlineStr">
        <is>
          <t>بلقرن</t>
        </is>
      </c>
    </row>
    <row r="41">
      <c r="B41" s="5" t="inlineStr">
        <is>
          <t>تحت 5، تحت 7، تحت 9</t>
        </is>
      </c>
      <c r="C41" s="5" t="inlineStr">
        <is>
          <t>مجموعة صبيا</t>
        </is>
      </c>
      <c r="D41" s="5" t="inlineStr">
        <is>
          <t>ضمد</t>
        </is>
      </c>
      <c r="F41" t="inlineStr">
        <is>
          <t>تحت 5، تحت 7، تحت 9</t>
        </is>
      </c>
      <c r="G41" t="inlineStr">
        <is>
          <t>مجموعة مكة المكرمة</t>
        </is>
      </c>
      <c r="H41" t="inlineStr">
        <is>
          <t>مكة المكرمة</t>
        </is>
      </c>
      <c r="I41" t="inlineStr">
        <is>
          <t>مكة المكرمة</t>
        </is>
      </c>
      <c r="AA41" s="5" t="inlineStr">
        <is>
          <t>بيش</t>
        </is>
      </c>
    </row>
    <row r="42">
      <c r="B42" s="5" t="inlineStr">
        <is>
          <t>تحت 5، تحت 7، تحت 9</t>
        </is>
      </c>
      <c r="C42" s="5" t="inlineStr">
        <is>
          <t>مجموعة جدة</t>
        </is>
      </c>
      <c r="D42" s="5" t="inlineStr">
        <is>
          <t>جدة</t>
        </is>
      </c>
      <c r="F42" t="inlineStr">
        <is>
          <t>تحت 5، تحت 7، تحت 9</t>
        </is>
      </c>
      <c r="G42" t="inlineStr">
        <is>
          <t>مجموعة أملج</t>
        </is>
      </c>
      <c r="H42" t="inlineStr">
        <is>
          <t>تبوك</t>
        </is>
      </c>
      <c r="I42" t="inlineStr">
        <is>
          <t>تبوك</t>
        </is>
      </c>
      <c r="AA42" s="5" t="inlineStr">
        <is>
          <t>بيشة</t>
        </is>
      </c>
    </row>
    <row r="43">
      <c r="B43" s="5" t="inlineStr">
        <is>
          <t>تحت 5، تحت 7، تحت 9</t>
        </is>
      </c>
      <c r="C43" s="5" t="inlineStr">
        <is>
          <t>مجموعة حائل</t>
        </is>
      </c>
      <c r="D43" s="5" t="inlineStr">
        <is>
          <t>حائل</t>
        </is>
      </c>
      <c r="F43" t="inlineStr">
        <is>
          <t>تحت 5، تحت 7، تحت 9</t>
        </is>
      </c>
      <c r="G43" t="inlineStr">
        <is>
          <t>مجموعة وادي الدواسر</t>
        </is>
      </c>
      <c r="H43" t="inlineStr">
        <is>
          <t>الرياض</t>
        </is>
      </c>
      <c r="I43" t="inlineStr">
        <is>
          <t>وادي الدواسر</t>
        </is>
      </c>
      <c r="AA43" s="5" t="inlineStr">
        <is>
          <t>تبوك</t>
        </is>
      </c>
    </row>
    <row r="44">
      <c r="B44" s="5" t="inlineStr">
        <is>
          <t>تحت 5، تحت 7، تحت 9</t>
        </is>
      </c>
      <c r="C44" s="5" t="inlineStr">
        <is>
          <t>مجموعة حفر الباطن</t>
        </is>
      </c>
      <c r="D44" s="5" t="inlineStr">
        <is>
          <t>حفر الباطن</t>
        </is>
      </c>
      <c r="F44" t="inlineStr">
        <is>
          <t>تحت 5، تحت 7، تحت 9</t>
        </is>
      </c>
      <c r="G44" t="inlineStr">
        <is>
          <t>مجموعة مركز الرفيعة</t>
        </is>
      </c>
      <c r="H44" t="inlineStr">
        <is>
          <t>الشرقية</t>
        </is>
      </c>
      <c r="I44" t="inlineStr">
        <is>
          <t>حفر الباطن</t>
        </is>
      </c>
      <c r="AA44" s="5" t="inlineStr">
        <is>
          <t>جدة</t>
        </is>
      </c>
    </row>
    <row r="45">
      <c r="B45" s="5" t="inlineStr">
        <is>
          <t>تحت 5، تحت 7، تحت 9</t>
        </is>
      </c>
      <c r="C45" s="5" t="inlineStr">
        <is>
          <t>مجموعة شرورة</t>
        </is>
      </c>
      <c r="D45" s="5" t="inlineStr">
        <is>
          <t>شرورة</t>
        </is>
      </c>
      <c r="F45" t="inlineStr">
        <is>
          <t>تحت 5، تحت 7، تحت 9</t>
        </is>
      </c>
      <c r="G45" t="inlineStr">
        <is>
          <t>مجموعة الشنان</t>
        </is>
      </c>
      <c r="H45" t="inlineStr">
        <is>
          <t>حائل</t>
        </is>
      </c>
      <c r="I45" t="inlineStr">
        <is>
          <t>حائل</t>
        </is>
      </c>
      <c r="AA45" s="5" t="inlineStr">
        <is>
          <t>جيزان</t>
        </is>
      </c>
    </row>
    <row r="46">
      <c r="B46" s="5" t="inlineStr">
        <is>
          <t>تحت 5، تحت 7، تحت 9</t>
        </is>
      </c>
      <c r="C46" s="5" t="inlineStr">
        <is>
          <t>مجموعة صامطة</t>
        </is>
      </c>
      <c r="D46" s="5" t="inlineStr">
        <is>
          <t>صامطة</t>
        </is>
      </c>
      <c r="F46" t="inlineStr">
        <is>
          <t>تحت 5، تحت 7، تحت 9</t>
        </is>
      </c>
      <c r="G46" t="inlineStr">
        <is>
          <t>مجموعة طبرجل</t>
        </is>
      </c>
      <c r="H46" t="inlineStr">
        <is>
          <t>الجوف</t>
        </is>
      </c>
      <c r="I46" t="inlineStr">
        <is>
          <t>الجوف</t>
        </is>
      </c>
      <c r="AA46" s="5" t="inlineStr">
        <is>
          <t>حائل</t>
        </is>
      </c>
    </row>
    <row r="47">
      <c r="B47" s="5" t="inlineStr">
        <is>
          <t>تحت 5، تحت 7، تحت 9</t>
        </is>
      </c>
      <c r="C47" s="5" t="inlineStr">
        <is>
          <t>مجموعة أحد المسارحة</t>
        </is>
      </c>
      <c r="D47" s="5" t="inlineStr">
        <is>
          <t>أحد المسارحة</t>
        </is>
      </c>
      <c r="F47" t="inlineStr">
        <is>
          <t>تحت 5، تحت 7، تحت 9</t>
        </is>
      </c>
      <c r="G47" t="inlineStr">
        <is>
          <t>مجموعة أحد المسارحة</t>
        </is>
      </c>
      <c r="H47" t="inlineStr">
        <is>
          <t>جازان</t>
        </is>
      </c>
      <c r="I47" t="inlineStr">
        <is>
          <t>جازان</t>
        </is>
      </c>
      <c r="AA47" s="5" t="inlineStr">
        <is>
          <t>حبونا</t>
        </is>
      </c>
    </row>
    <row r="48">
      <c r="B48" s="5" t="inlineStr">
        <is>
          <t>تحت 5، تحت 7، تحت 9</t>
        </is>
      </c>
      <c r="C48" s="5" t="inlineStr">
        <is>
          <t>مجموعة القصيم</t>
        </is>
      </c>
      <c r="D48" s="5" t="inlineStr">
        <is>
          <t>المذنب</t>
        </is>
      </c>
      <c r="F48" t="inlineStr">
        <is>
          <t>تحت 5، تحت 7، تحت 9</t>
        </is>
      </c>
      <c r="G48" t="inlineStr">
        <is>
          <t>مجموعة القريات</t>
        </is>
      </c>
      <c r="H48" t="inlineStr">
        <is>
          <t>الجوف</t>
        </is>
      </c>
      <c r="I48" t="inlineStr">
        <is>
          <t>الجوف</t>
        </is>
      </c>
      <c r="AA48" s="5" t="inlineStr">
        <is>
          <t>حفر الباطن</t>
        </is>
      </c>
    </row>
    <row r="49">
      <c r="B49" s="5" t="inlineStr">
        <is>
          <t>تحت 5، تحت 7، تحت 9</t>
        </is>
      </c>
      <c r="C49" s="5" t="inlineStr">
        <is>
          <t>مجموعة القصيم</t>
        </is>
      </c>
      <c r="D49" s="5" t="inlineStr">
        <is>
          <t>عنيزة</t>
        </is>
      </c>
      <c r="F49" t="inlineStr">
        <is>
          <t>تحت 11 - تحت 12</t>
        </is>
      </c>
      <c r="G49" t="inlineStr">
        <is>
          <t>مجموعة أبها</t>
        </is>
      </c>
      <c r="H49" t="inlineStr">
        <is>
          <t>عسير</t>
        </is>
      </c>
      <c r="I49" t="inlineStr">
        <is>
          <t>عسير</t>
        </is>
      </c>
      <c r="AA49" s="5" t="inlineStr">
        <is>
          <t>خميس مشيط</t>
        </is>
      </c>
    </row>
    <row r="50">
      <c r="B50" s="5" t="inlineStr">
        <is>
          <t>تحت 5، تحت 7، تحت 9</t>
        </is>
      </c>
      <c r="C50" s="5" t="inlineStr">
        <is>
          <t>مجموعة فرسان</t>
        </is>
      </c>
      <c r="D50" s="5" t="inlineStr">
        <is>
          <t>فرسان</t>
        </is>
      </c>
      <c r="F50" t="inlineStr">
        <is>
          <t>تحت 11 - تحت 12</t>
        </is>
      </c>
      <c r="G50" t="inlineStr">
        <is>
          <t>مجموعة الأحساء</t>
        </is>
      </c>
      <c r="H50" t="inlineStr">
        <is>
          <t>الشرقية</t>
        </is>
      </c>
      <c r="I50" t="inlineStr">
        <is>
          <t>الأحساء</t>
        </is>
      </c>
      <c r="AA50" s="5" t="inlineStr">
        <is>
          <t>دومة الجندل</t>
        </is>
      </c>
    </row>
    <row r="51">
      <c r="B51" s="5" t="inlineStr">
        <is>
          <t>تحت 5، تحت 7، تحت 9</t>
        </is>
      </c>
      <c r="C51" s="5" t="inlineStr">
        <is>
          <t>مجموعة مكة المكرمة</t>
        </is>
      </c>
      <c r="D51" s="5" t="inlineStr">
        <is>
          <t>مكة المكرمة</t>
        </is>
      </c>
      <c r="F51" t="inlineStr">
        <is>
          <t>تحت 11 - تحت 12</t>
        </is>
      </c>
      <c r="G51" t="inlineStr">
        <is>
          <t>مجموعة الباحة</t>
        </is>
      </c>
      <c r="H51" t="inlineStr">
        <is>
          <t>الباحة</t>
        </is>
      </c>
      <c r="I51" t="inlineStr">
        <is>
          <t>الباحة</t>
        </is>
      </c>
      <c r="AA51" s="5" t="inlineStr">
        <is>
          <t>رفحاء</t>
        </is>
      </c>
    </row>
    <row r="52">
      <c r="B52" s="5" t="inlineStr">
        <is>
          <t>تحت 5، تحت 7، تحت 9</t>
        </is>
      </c>
      <c r="C52" s="5" t="inlineStr">
        <is>
          <t>مجموعة مكة المكرمة</t>
        </is>
      </c>
      <c r="D52" s="5" t="inlineStr">
        <is>
          <t>الجموم</t>
        </is>
      </c>
      <c r="F52" t="inlineStr">
        <is>
          <t>تحت 11 - تحت 12</t>
        </is>
      </c>
      <c r="G52" t="inlineStr">
        <is>
          <t>مجموعة سكاكا</t>
        </is>
      </c>
      <c r="H52" t="inlineStr">
        <is>
          <t>الجوف</t>
        </is>
      </c>
      <c r="I52" t="inlineStr">
        <is>
          <t>الجوف</t>
        </is>
      </c>
      <c r="AA52" s="5" t="inlineStr">
        <is>
          <t>رياض الخبراء</t>
        </is>
      </c>
    </row>
    <row r="53">
      <c r="B53" s="5" t="inlineStr">
        <is>
          <t>تحت 5، تحت 7، تحت 9</t>
        </is>
      </c>
      <c r="C53" s="5" t="inlineStr">
        <is>
          <t>مجموعة وادي الدواسر</t>
        </is>
      </c>
      <c r="D53" s="5" t="inlineStr">
        <is>
          <t>وادي الدواسر</t>
        </is>
      </c>
      <c r="F53" t="inlineStr">
        <is>
          <t>تحت 11 - تحت 12</t>
        </is>
      </c>
      <c r="G53" t="inlineStr">
        <is>
          <t>مجموعة الحدود الشمالية</t>
        </is>
      </c>
      <c r="H53" t="inlineStr">
        <is>
          <t>الحدود الشمالية</t>
        </is>
      </c>
      <c r="I53" t="inlineStr">
        <is>
          <t>الحدود الشمالية</t>
        </is>
      </c>
      <c r="AA53" s="5" t="inlineStr">
        <is>
          <t>سكاكا</t>
        </is>
      </c>
    </row>
    <row r="54">
      <c r="B54" s="5" t="inlineStr">
        <is>
          <t>تحت 5، تحت 7، تحت 9</t>
        </is>
      </c>
      <c r="C54" s="5" t="inlineStr">
        <is>
          <t>مجموعة أملج</t>
        </is>
      </c>
      <c r="D54" s="5" t="inlineStr">
        <is>
          <t>أملج</t>
        </is>
      </c>
      <c r="F54" t="inlineStr">
        <is>
          <t>تحت 11 - تحت 12</t>
        </is>
      </c>
      <c r="G54" t="inlineStr">
        <is>
          <t>مجموعة الخرج</t>
        </is>
      </c>
      <c r="H54" t="inlineStr">
        <is>
          <t>الرياض</t>
        </is>
      </c>
      <c r="I54" t="inlineStr">
        <is>
          <t>الخرج</t>
        </is>
      </c>
      <c r="AA54" s="5" t="inlineStr">
        <is>
          <t>سميراء</t>
        </is>
      </c>
    </row>
    <row r="55">
      <c r="B55" s="5" t="inlineStr">
        <is>
          <t>تحت 5، تحت 7، تحت 9</t>
        </is>
      </c>
      <c r="C55" s="5" t="inlineStr">
        <is>
          <t>مجموعة الباحة</t>
        </is>
      </c>
      <c r="D55" s="5" t="inlineStr">
        <is>
          <t>العقيق</t>
        </is>
      </c>
      <c r="F55" t="inlineStr">
        <is>
          <t>تحت 11 - تحت 12</t>
        </is>
      </c>
      <c r="G55" t="inlineStr">
        <is>
          <t>مجموعة الدوادمي</t>
        </is>
      </c>
      <c r="H55" t="inlineStr">
        <is>
          <t>الرياض</t>
        </is>
      </c>
      <c r="I55" t="inlineStr">
        <is>
          <t>الدوادمي</t>
        </is>
      </c>
      <c r="AA55" s="5" t="inlineStr">
        <is>
          <t>سيهات</t>
        </is>
      </c>
    </row>
    <row r="56">
      <c r="B56" s="5" t="inlineStr">
        <is>
          <t>تحت 5، تحت 7، تحت 9</t>
        </is>
      </c>
      <c r="C56" s="5" t="inlineStr">
        <is>
          <t>مجموعة مركز الرفيعة</t>
        </is>
      </c>
      <c r="D56" s="5" t="inlineStr">
        <is>
          <t>مركز الرفيعة</t>
        </is>
      </c>
      <c r="F56" t="inlineStr">
        <is>
          <t>تحت 11 - تحت 12</t>
        </is>
      </c>
      <c r="G56" t="inlineStr">
        <is>
          <t>مجموعة الدوادمي</t>
        </is>
      </c>
      <c r="H56" t="inlineStr">
        <is>
          <t>الرياض</t>
        </is>
      </c>
      <c r="I56" t="inlineStr">
        <is>
          <t>وادي الدواسر</t>
        </is>
      </c>
      <c r="AA56" s="5" t="inlineStr">
        <is>
          <t>شرورة</t>
        </is>
      </c>
    </row>
    <row r="57">
      <c r="B57" s="5" t="inlineStr">
        <is>
          <t>تحت 5، تحت 7، تحت 9</t>
        </is>
      </c>
      <c r="C57" s="5" t="inlineStr">
        <is>
          <t>مجموعة الشنان</t>
        </is>
      </c>
      <c r="D57" s="5" t="inlineStr">
        <is>
          <t>الشنان</t>
        </is>
      </c>
      <c r="F57" t="inlineStr">
        <is>
          <t>تحت 11 - تحت 12</t>
        </is>
      </c>
      <c r="G57" t="inlineStr">
        <is>
          <t>مجموعة الرياض</t>
        </is>
      </c>
      <c r="H57" t="inlineStr">
        <is>
          <t>الرياض</t>
        </is>
      </c>
      <c r="I57" t="inlineStr">
        <is>
          <t>الرياض</t>
        </is>
      </c>
      <c r="AA57" s="5" t="inlineStr">
        <is>
          <t>صامطة</t>
        </is>
      </c>
    </row>
    <row r="58">
      <c r="B58" s="5" t="inlineStr">
        <is>
          <t>تحت 5، تحت 7، تحت 9</t>
        </is>
      </c>
      <c r="C58" s="5" t="inlineStr">
        <is>
          <t>مجموعة الشنان</t>
        </is>
      </c>
      <c r="D58" s="5" t="inlineStr">
        <is>
          <t>فيد</t>
        </is>
      </c>
      <c r="F58" t="inlineStr">
        <is>
          <t>تحت 11 - تحت 12</t>
        </is>
      </c>
      <c r="G58" t="inlineStr">
        <is>
          <t>مجموعة الدمام</t>
        </is>
      </c>
      <c r="H58" t="inlineStr">
        <is>
          <t>الشرقية</t>
        </is>
      </c>
      <c r="I58" t="inlineStr">
        <is>
          <t>الشرقية</t>
        </is>
      </c>
      <c r="AA58" s="5" t="inlineStr">
        <is>
          <t>صبيا</t>
        </is>
      </c>
    </row>
    <row r="59">
      <c r="B59" s="5" t="inlineStr">
        <is>
          <t>تحت 5، تحت 7، تحت 9</t>
        </is>
      </c>
      <c r="C59" s="5" t="inlineStr">
        <is>
          <t>مجموعة طبرجل</t>
        </is>
      </c>
      <c r="D59" s="5" t="inlineStr">
        <is>
          <t>طبرجل</t>
        </is>
      </c>
      <c r="F59" t="inlineStr">
        <is>
          <t>تحت 11 - تحت 12</t>
        </is>
      </c>
      <c r="G59" t="inlineStr">
        <is>
          <t>مجموعة الدمام</t>
        </is>
      </c>
      <c r="H59" t="inlineStr">
        <is>
          <t>الشرقية</t>
        </is>
      </c>
      <c r="I59" t="inlineStr">
        <is>
          <t>القطيف</t>
        </is>
      </c>
      <c r="AA59" s="5" t="inlineStr">
        <is>
          <t>ضباء</t>
        </is>
      </c>
    </row>
    <row r="60">
      <c r="B60" s="5" t="inlineStr">
        <is>
          <t>تحت 5، تحت 7، تحت 9</t>
        </is>
      </c>
      <c r="C60" s="5" t="inlineStr">
        <is>
          <t>مجموعة الرس</t>
        </is>
      </c>
      <c r="D60" s="5" t="inlineStr">
        <is>
          <t>رياض الخبراء</t>
        </is>
      </c>
      <c r="F60" t="inlineStr">
        <is>
          <t>تحت 11 - تحت 12</t>
        </is>
      </c>
      <c r="G60" t="inlineStr">
        <is>
          <t>مجموعة الطائف</t>
        </is>
      </c>
      <c r="H60" t="inlineStr">
        <is>
          <t>مكة المكرمة</t>
        </is>
      </c>
      <c r="I60" t="inlineStr">
        <is>
          <t>الطائف</t>
        </is>
      </c>
      <c r="AA60" s="5" t="inlineStr">
        <is>
          <t>ضمد</t>
        </is>
      </c>
    </row>
    <row r="61">
      <c r="B61" s="5" t="inlineStr">
        <is>
          <t>تحت 5، تحت 7، تحت 9</t>
        </is>
      </c>
      <c r="C61" s="5" t="inlineStr">
        <is>
          <t>مجموعة القطيف</t>
        </is>
      </c>
      <c r="D61" s="5" t="inlineStr">
        <is>
          <t>الجبيل</t>
        </is>
      </c>
      <c r="F61" t="inlineStr">
        <is>
          <t>تحت 11 - تحت 12</t>
        </is>
      </c>
      <c r="G61" t="inlineStr">
        <is>
          <t>مجموعة القصيم</t>
        </is>
      </c>
      <c r="H61" t="inlineStr">
        <is>
          <t>القصيم</t>
        </is>
      </c>
      <c r="I61" t="inlineStr">
        <is>
          <t>القصيم</t>
        </is>
      </c>
      <c r="AA61" s="5" t="inlineStr">
        <is>
          <t>طبرجل</t>
        </is>
      </c>
    </row>
    <row r="62">
      <c r="B62" s="5" t="inlineStr">
        <is>
          <t>تحت 5، تحت 7، تحت 9</t>
        </is>
      </c>
      <c r="C62" s="5" t="inlineStr">
        <is>
          <t>مجموعة القريات</t>
        </is>
      </c>
      <c r="D62" s="5" t="inlineStr">
        <is>
          <t>القريات</t>
        </is>
      </c>
      <c r="F62" t="inlineStr">
        <is>
          <t>تحت 11 - تحت 12</t>
        </is>
      </c>
      <c r="G62" t="inlineStr">
        <is>
          <t>مجموعة القصيم</t>
        </is>
      </c>
      <c r="H62" t="inlineStr">
        <is>
          <t>القصيم</t>
        </is>
      </c>
      <c r="I62" t="inlineStr">
        <is>
          <t>الرس</t>
        </is>
      </c>
      <c r="AA62" s="5" t="inlineStr">
        <is>
          <t>عرعر</t>
        </is>
      </c>
    </row>
    <row r="63">
      <c r="B63" s="5" t="inlineStr">
        <is>
          <t>تحت 5، تحت 7، تحت 9</t>
        </is>
      </c>
      <c r="C63" s="5" t="inlineStr">
        <is>
          <t>مجموعة الرس</t>
        </is>
      </c>
      <c r="D63" s="5" t="inlineStr">
        <is>
          <t>البدائع</t>
        </is>
      </c>
      <c r="F63" t="inlineStr">
        <is>
          <t>تحت 11 - تحت 12</t>
        </is>
      </c>
      <c r="G63" t="inlineStr">
        <is>
          <t>مجموعة القطيف</t>
        </is>
      </c>
      <c r="H63" t="inlineStr">
        <is>
          <t>الشرقية</t>
        </is>
      </c>
      <c r="I63" t="inlineStr">
        <is>
          <t>القطيف</t>
        </is>
      </c>
      <c r="AA63" s="5" t="inlineStr">
        <is>
          <t>عفيف</t>
        </is>
      </c>
    </row>
    <row r="64">
      <c r="B64" s="5" t="inlineStr">
        <is>
          <t>تحت 11 - تحت 12</t>
        </is>
      </c>
      <c r="C64" s="5" t="inlineStr">
        <is>
          <t>مجموعة أبها</t>
        </is>
      </c>
      <c r="D64" s="5" t="inlineStr">
        <is>
          <t>أبها</t>
        </is>
      </c>
      <c r="F64" t="inlineStr">
        <is>
          <t>تحت 11 - تحت 12</t>
        </is>
      </c>
      <c r="G64" t="inlineStr">
        <is>
          <t>مجموعة القطيف</t>
        </is>
      </c>
      <c r="H64" t="inlineStr">
        <is>
          <t>الشرقية</t>
        </is>
      </c>
      <c r="I64" t="inlineStr">
        <is>
          <t>الشرقية</t>
        </is>
      </c>
      <c r="AA64" s="5" t="inlineStr">
        <is>
          <t>عنيزة</t>
        </is>
      </c>
    </row>
    <row r="65">
      <c r="B65" s="5" t="inlineStr">
        <is>
          <t>تحت 11 - تحت 12</t>
        </is>
      </c>
      <c r="C65" s="5" t="inlineStr">
        <is>
          <t>مجموعة أبها</t>
        </is>
      </c>
      <c r="D65" s="5" t="inlineStr">
        <is>
          <t>خميس مشيط</t>
        </is>
      </c>
      <c r="F65" t="inlineStr">
        <is>
          <t>تحت 11 - تحت 12</t>
        </is>
      </c>
      <c r="G65" t="inlineStr">
        <is>
          <t>مجموعة القنفذة</t>
        </is>
      </c>
      <c r="H65" t="inlineStr">
        <is>
          <t>مكة المكرمة</t>
        </is>
      </c>
      <c r="I65" t="inlineStr">
        <is>
          <t>مكة المكرمة</t>
        </is>
      </c>
      <c r="AA65" s="5" t="inlineStr">
        <is>
          <t>عيون الجواء</t>
        </is>
      </c>
    </row>
    <row r="66">
      <c r="B66" s="5" t="inlineStr">
        <is>
          <t>تحت 11 - تحت 12</t>
        </is>
      </c>
      <c r="C66" s="5" t="inlineStr">
        <is>
          <t>مجموعة الأحساء</t>
        </is>
      </c>
      <c r="D66" s="5" t="inlineStr">
        <is>
          <t>الأحساء</t>
        </is>
      </c>
      <c r="F66" t="inlineStr">
        <is>
          <t>تحت 11 - تحت 12</t>
        </is>
      </c>
      <c r="G66" t="inlineStr">
        <is>
          <t>مجموعة الزلفي</t>
        </is>
      </c>
      <c r="H66" t="inlineStr">
        <is>
          <t>الرياض</t>
        </is>
      </c>
      <c r="I66" t="inlineStr">
        <is>
          <t>المجمعة</t>
        </is>
      </c>
      <c r="AA66" s="5" t="inlineStr">
        <is>
          <t>فرسان</t>
        </is>
      </c>
    </row>
    <row r="67">
      <c r="B67" s="5" t="inlineStr">
        <is>
          <t>تحت 11 - تحت 12</t>
        </is>
      </c>
      <c r="C67" s="5" t="inlineStr">
        <is>
          <t>مجموعة الباحة</t>
        </is>
      </c>
      <c r="D67" s="5" t="inlineStr">
        <is>
          <t>الباحة</t>
        </is>
      </c>
      <c r="F67" t="inlineStr">
        <is>
          <t>تحت 11 - تحت 12</t>
        </is>
      </c>
      <c r="G67" t="inlineStr">
        <is>
          <t>مجموعة الزلفي</t>
        </is>
      </c>
      <c r="H67" t="inlineStr">
        <is>
          <t>الرياض</t>
        </is>
      </c>
      <c r="I67" t="inlineStr">
        <is>
          <t>الزلفي</t>
        </is>
      </c>
      <c r="AA67" s="5" t="inlineStr">
        <is>
          <t>فيد</t>
        </is>
      </c>
    </row>
    <row r="68">
      <c r="B68" s="5" t="inlineStr">
        <is>
          <t>تحت 11 - تحت 12</t>
        </is>
      </c>
      <c r="C68" s="5" t="inlineStr">
        <is>
          <t>مجموعة الباحة</t>
        </is>
      </c>
      <c r="D68" s="5" t="inlineStr">
        <is>
          <t>العقيق</t>
        </is>
      </c>
      <c r="F68" t="inlineStr">
        <is>
          <t>تحت 11 - تحت 12</t>
        </is>
      </c>
      <c r="G68" t="inlineStr">
        <is>
          <t>مجموعة الزلفي</t>
        </is>
      </c>
      <c r="H68" t="inlineStr">
        <is>
          <t>الرياض</t>
        </is>
      </c>
      <c r="I68" t="inlineStr">
        <is>
          <t>شقراء</t>
        </is>
      </c>
      <c r="AA68" s="5" t="inlineStr">
        <is>
          <t>محايل عسير</t>
        </is>
      </c>
    </row>
    <row r="69">
      <c r="B69" s="5" t="inlineStr">
        <is>
          <t>تحت 11 - تحت 12</t>
        </is>
      </c>
      <c r="C69" s="5" t="inlineStr">
        <is>
          <t>مجموعة الباحة</t>
        </is>
      </c>
      <c r="D69" s="5" t="inlineStr">
        <is>
          <t>بلجرشي</t>
        </is>
      </c>
      <c r="F69" t="inlineStr">
        <is>
          <t>تحت 11 - تحت 12</t>
        </is>
      </c>
      <c r="G69" t="inlineStr">
        <is>
          <t>مجموعة المدينة المنورة</t>
        </is>
      </c>
      <c r="H69" t="inlineStr">
        <is>
          <t>المدينة المنورة</t>
        </is>
      </c>
      <c r="I69" t="inlineStr">
        <is>
          <t>المدينة المنورة</t>
        </is>
      </c>
      <c r="AA69" s="5" t="inlineStr">
        <is>
          <t>مركز الرفيعة</t>
        </is>
      </c>
    </row>
    <row r="70">
      <c r="B70" s="5" t="inlineStr">
        <is>
          <t>تحت 11 - تحت 12</t>
        </is>
      </c>
      <c r="C70" s="5" t="inlineStr">
        <is>
          <t>مجموعة الباحة</t>
        </is>
      </c>
      <c r="D70" s="5" t="inlineStr">
        <is>
          <t>بلقرن</t>
        </is>
      </c>
      <c r="F70" t="inlineStr">
        <is>
          <t>تحت 11 - تحت 12</t>
        </is>
      </c>
      <c r="G70" t="inlineStr">
        <is>
          <t>مجموعة بيش</t>
        </is>
      </c>
      <c r="H70" t="inlineStr">
        <is>
          <t>جازان</t>
        </is>
      </c>
      <c r="I70" t="inlineStr">
        <is>
          <t>جازان</t>
        </is>
      </c>
      <c r="AA70" s="5" t="inlineStr">
        <is>
          <t>مكة المكرمة</t>
        </is>
      </c>
    </row>
    <row r="71">
      <c r="B71" s="5" t="inlineStr">
        <is>
          <t>تحت 11 - تحت 12</t>
        </is>
      </c>
      <c r="C71" s="5" t="inlineStr">
        <is>
          <t>مجموعة سكاكا</t>
        </is>
      </c>
      <c r="D71" s="5" t="inlineStr">
        <is>
          <t>سكاكا</t>
        </is>
      </c>
      <c r="F71" t="inlineStr">
        <is>
          <t>تحت 11 - تحت 12</t>
        </is>
      </c>
      <c r="G71" t="inlineStr">
        <is>
          <t>مجموعة تبوك</t>
        </is>
      </c>
      <c r="H71" t="inlineStr">
        <is>
          <t>تبوك</t>
        </is>
      </c>
      <c r="I71" t="inlineStr">
        <is>
          <t>تبوك</t>
        </is>
      </c>
      <c r="AA71" s="5" t="inlineStr">
        <is>
          <t>مهد الذهب</t>
        </is>
      </c>
    </row>
    <row r="72">
      <c r="B72" s="5" t="inlineStr">
        <is>
          <t>تحت 11 - تحت 12</t>
        </is>
      </c>
      <c r="C72" s="5" t="inlineStr">
        <is>
          <t>مجموعة سكاكا</t>
        </is>
      </c>
      <c r="D72" s="5" t="inlineStr">
        <is>
          <t>دومة الجندل</t>
        </is>
      </c>
      <c r="F72" t="inlineStr">
        <is>
          <t>تحت 11 - تحت 12</t>
        </is>
      </c>
      <c r="G72" t="inlineStr">
        <is>
          <t>مجموعة جازان</t>
        </is>
      </c>
      <c r="H72" t="inlineStr">
        <is>
          <t>جازان</t>
        </is>
      </c>
      <c r="I72" t="inlineStr">
        <is>
          <t>جازان</t>
        </is>
      </c>
      <c r="AA72" s="5" t="inlineStr">
        <is>
          <t>نجران</t>
        </is>
      </c>
    </row>
    <row r="73">
      <c r="B73" s="5" t="inlineStr">
        <is>
          <t>تحت 11 - تحت 12</t>
        </is>
      </c>
      <c r="C73" s="5" t="inlineStr">
        <is>
          <t>مجموعة طبرجل</t>
        </is>
      </c>
      <c r="D73" s="5" t="inlineStr">
        <is>
          <t>طبرجل</t>
        </is>
      </c>
      <c r="F73" t="inlineStr">
        <is>
          <t>تحت 11 - تحت 12</t>
        </is>
      </c>
      <c r="G73" t="inlineStr">
        <is>
          <t>مجموعة جدة</t>
        </is>
      </c>
      <c r="H73" t="inlineStr">
        <is>
          <t>مكة المكرمة</t>
        </is>
      </c>
      <c r="I73" t="inlineStr">
        <is>
          <t>جدة</t>
        </is>
      </c>
      <c r="AA73" s="5" t="inlineStr">
        <is>
          <t>وادي الدواسر</t>
        </is>
      </c>
    </row>
    <row r="74">
      <c r="B74" s="5" t="inlineStr">
        <is>
          <t>تحت 11 - تحت 12</t>
        </is>
      </c>
      <c r="C74" s="5" t="inlineStr">
        <is>
          <t>مجموعة الحدود الشمالية</t>
        </is>
      </c>
      <c r="D74" s="5" t="inlineStr">
        <is>
          <t>عرعر</t>
        </is>
      </c>
      <c r="F74" t="inlineStr">
        <is>
          <t>تحت 11 - تحت 12</t>
        </is>
      </c>
      <c r="G74" t="inlineStr">
        <is>
          <t>مجموعة حائل</t>
        </is>
      </c>
      <c r="H74" t="inlineStr">
        <is>
          <t>حائل</t>
        </is>
      </c>
      <c r="I74" t="inlineStr">
        <is>
          <t>حائل</t>
        </is>
      </c>
      <c r="AA74" s="5" t="inlineStr">
        <is>
          <t>ينبع</t>
        </is>
      </c>
    </row>
    <row r="75">
      <c r="B75" s="5" t="inlineStr">
        <is>
          <t>تحت 11 - تحت 12</t>
        </is>
      </c>
      <c r="C75" s="5" t="inlineStr">
        <is>
          <t>مجموعة الحدود الشمالية</t>
        </is>
      </c>
      <c r="D75" s="5" t="inlineStr">
        <is>
          <t>رفحاء</t>
        </is>
      </c>
      <c r="F75" t="inlineStr">
        <is>
          <t>تحت 11 - تحت 12</t>
        </is>
      </c>
      <c r="G75" t="inlineStr">
        <is>
          <t>مجموعة حفر الباطن</t>
        </is>
      </c>
      <c r="H75" t="inlineStr">
        <is>
          <t>الشرقية</t>
        </is>
      </c>
      <c r="I75" t="inlineStr">
        <is>
          <t>حفر الباطن</t>
        </is>
      </c>
    </row>
    <row r="76">
      <c r="B76" s="5" t="inlineStr">
        <is>
          <t>تحت 11 - تحت 12</t>
        </is>
      </c>
      <c r="C76" s="5" t="inlineStr">
        <is>
          <t>مجموعة الخرج</t>
        </is>
      </c>
      <c r="D76" s="5" t="inlineStr">
        <is>
          <t>الخرج</t>
        </is>
      </c>
      <c r="F76" t="inlineStr">
        <is>
          <t>تحت 11 - تحت 12</t>
        </is>
      </c>
      <c r="G76" t="inlineStr">
        <is>
          <t>مجموعة محايل عسير</t>
        </is>
      </c>
      <c r="H76" t="inlineStr">
        <is>
          <t>عسير</t>
        </is>
      </c>
      <c r="I76" t="inlineStr">
        <is>
          <t>عسير</t>
        </is>
      </c>
    </row>
    <row r="77">
      <c r="B77" s="5" t="inlineStr">
        <is>
          <t>تحت 11 - تحت 12</t>
        </is>
      </c>
      <c r="C77" s="5" t="inlineStr">
        <is>
          <t>مجموعة الخرج</t>
        </is>
      </c>
      <c r="D77" s="5" t="inlineStr">
        <is>
          <t>الدلم</t>
        </is>
      </c>
      <c r="F77" t="inlineStr">
        <is>
          <t>تحت 11 - تحت 12</t>
        </is>
      </c>
      <c r="G77" t="inlineStr">
        <is>
          <t>مجموعة مكة المكرمة</t>
        </is>
      </c>
      <c r="H77" t="inlineStr">
        <is>
          <t>مكة المكرمة</t>
        </is>
      </c>
      <c r="I77" t="inlineStr">
        <is>
          <t>مكة المكرمة</t>
        </is>
      </c>
    </row>
    <row r="78">
      <c r="B78" s="5" t="inlineStr">
        <is>
          <t>تحت 11 - تحت 12</t>
        </is>
      </c>
      <c r="C78" s="5" t="inlineStr">
        <is>
          <t>مجموعة عفيف</t>
        </is>
      </c>
      <c r="D78" s="5" t="inlineStr">
        <is>
          <t>عفيف</t>
        </is>
      </c>
      <c r="F78" t="inlineStr">
        <is>
          <t>تحت 11 - تحت 12</t>
        </is>
      </c>
      <c r="G78" t="inlineStr">
        <is>
          <t>مجموعة نجران</t>
        </is>
      </c>
      <c r="H78" t="inlineStr">
        <is>
          <t>نجران</t>
        </is>
      </c>
      <c r="I78" t="inlineStr">
        <is>
          <t>نجران</t>
        </is>
      </c>
    </row>
    <row r="79">
      <c r="B79" s="5" t="inlineStr">
        <is>
          <t>تحت 11 - تحت 12</t>
        </is>
      </c>
      <c r="C79" s="5" t="inlineStr">
        <is>
          <t>مجموعة الدوادمي</t>
        </is>
      </c>
      <c r="D79" s="5" t="inlineStr">
        <is>
          <t>الدوادمي</t>
        </is>
      </c>
      <c r="F79" t="inlineStr">
        <is>
          <t>تحت 11 - تحت 12</t>
        </is>
      </c>
      <c r="G79" t="inlineStr">
        <is>
          <t>مجموعة أملج</t>
        </is>
      </c>
      <c r="H79" t="inlineStr">
        <is>
          <t>تبوك</t>
        </is>
      </c>
      <c r="I79" t="inlineStr">
        <is>
          <t>تبوك</t>
        </is>
      </c>
    </row>
    <row r="80">
      <c r="B80" s="5" t="inlineStr">
        <is>
          <t>تحت 11 - تحت 12</t>
        </is>
      </c>
      <c r="C80" s="5" t="inlineStr">
        <is>
          <t>مجموعة وادي الدواسر</t>
        </is>
      </c>
      <c r="D80" s="5" t="inlineStr">
        <is>
          <t>وادي الدواسر</t>
        </is>
      </c>
      <c r="F80" t="inlineStr">
        <is>
          <t>تحت 11 - تحت 12</t>
        </is>
      </c>
      <c r="G80" t="inlineStr">
        <is>
          <t>مجموعة الوجه</t>
        </is>
      </c>
      <c r="H80" t="inlineStr">
        <is>
          <t>تبوك</t>
        </is>
      </c>
      <c r="I80" t="inlineStr">
        <is>
          <t>تبوك</t>
        </is>
      </c>
    </row>
    <row r="81">
      <c r="B81" s="5" t="inlineStr">
        <is>
          <t>تحت 11 - تحت 12</t>
        </is>
      </c>
      <c r="C81" s="5" t="inlineStr">
        <is>
          <t>مجموعة الرياض</t>
        </is>
      </c>
      <c r="D81" s="5" t="inlineStr">
        <is>
          <t>الرياض</t>
        </is>
      </c>
      <c r="F81" t="inlineStr">
        <is>
          <t>تحت 11 - تحت 12</t>
        </is>
      </c>
      <c r="G81" t="inlineStr">
        <is>
          <t>مجموعة ضباء</t>
        </is>
      </c>
      <c r="H81" t="inlineStr">
        <is>
          <t>تبوك</t>
        </is>
      </c>
      <c r="I81" t="inlineStr">
        <is>
          <t>تبوك</t>
        </is>
      </c>
    </row>
    <row r="82">
      <c r="B82" s="5" t="inlineStr">
        <is>
          <t>تحت 11 - تحت 12</t>
        </is>
      </c>
      <c r="C82" s="5" t="inlineStr">
        <is>
          <t>مجموعة الخبر</t>
        </is>
      </c>
      <c r="D82" s="5" t="inlineStr">
        <is>
          <t>الظهران</t>
        </is>
      </c>
      <c r="F82" t="inlineStr">
        <is>
          <t>تحت 11 - تحت 12</t>
        </is>
      </c>
      <c r="G82" t="inlineStr">
        <is>
          <t>مجموعة مهد الذهب</t>
        </is>
      </c>
      <c r="H82" t="inlineStr">
        <is>
          <t>المدينة المنورة</t>
        </is>
      </c>
      <c r="I82" t="inlineStr">
        <is>
          <t>المدينة المنورة</t>
        </is>
      </c>
    </row>
    <row r="83">
      <c r="B83" s="5" t="inlineStr">
        <is>
          <t>تحت 11 - تحت 12</t>
        </is>
      </c>
      <c r="C83" s="5" t="inlineStr">
        <is>
          <t>مجموعة الخبر</t>
        </is>
      </c>
      <c r="D83" s="5" t="inlineStr">
        <is>
          <t>الخبر</t>
        </is>
      </c>
      <c r="F83" t="inlineStr">
        <is>
          <t>تحت 11 - تحت 12</t>
        </is>
      </c>
      <c r="G83" t="inlineStr">
        <is>
          <t>مجموعة بيشة</t>
        </is>
      </c>
      <c r="H83" t="inlineStr">
        <is>
          <t>عسير</t>
        </is>
      </c>
      <c r="I83" t="inlineStr">
        <is>
          <t>عسير</t>
        </is>
      </c>
    </row>
    <row r="84">
      <c r="B84" s="5" t="inlineStr">
        <is>
          <t>تحت 11 - تحت 12</t>
        </is>
      </c>
      <c r="C84" s="5" t="inlineStr">
        <is>
          <t>مجموعة الدمام</t>
        </is>
      </c>
      <c r="D84" s="5" t="inlineStr">
        <is>
          <t>الدمام</t>
        </is>
      </c>
      <c r="F84" t="inlineStr">
        <is>
          <t>تحت 11 - تحت 12</t>
        </is>
      </c>
      <c r="G84" t="inlineStr">
        <is>
          <t>مجموعة الخفجي</t>
        </is>
      </c>
      <c r="H84" t="inlineStr">
        <is>
          <t>الشرقية</t>
        </is>
      </c>
      <c r="I84" t="inlineStr">
        <is>
          <t>حفر الباطن</t>
        </is>
      </c>
    </row>
    <row r="85">
      <c r="B85" s="5" t="inlineStr">
        <is>
          <t>تحت 11 - تحت 12</t>
        </is>
      </c>
      <c r="C85" s="5" t="inlineStr">
        <is>
          <t>مجموعة الدمام</t>
        </is>
      </c>
      <c r="D85" s="5" t="inlineStr">
        <is>
          <t>سيهات</t>
        </is>
      </c>
      <c r="F85" t="inlineStr">
        <is>
          <t>تحت 11 - تحت 12</t>
        </is>
      </c>
      <c r="G85" t="inlineStr">
        <is>
          <t>مجموعة مركز الرفيعة</t>
        </is>
      </c>
      <c r="H85" t="inlineStr">
        <is>
          <t>الشرقية</t>
        </is>
      </c>
      <c r="I85" t="inlineStr">
        <is>
          <t>حفر الباطن</t>
        </is>
      </c>
    </row>
    <row r="86">
      <c r="B86" s="5" t="inlineStr">
        <is>
          <t>تحت 11 - تحت 12</t>
        </is>
      </c>
      <c r="C86" s="5" t="inlineStr">
        <is>
          <t>مجموعة الطائف</t>
        </is>
      </c>
      <c r="D86" s="5" t="inlineStr">
        <is>
          <t>الطائف</t>
        </is>
      </c>
      <c r="F86" t="inlineStr">
        <is>
          <t>تحت 11 - تحت 12</t>
        </is>
      </c>
      <c r="G86" t="inlineStr">
        <is>
          <t>مجموعة الشنان</t>
        </is>
      </c>
      <c r="H86" t="inlineStr">
        <is>
          <t>حائل</t>
        </is>
      </c>
      <c r="I86" t="inlineStr">
        <is>
          <t>حائل</t>
        </is>
      </c>
    </row>
    <row r="87">
      <c r="B87" s="5" t="inlineStr">
        <is>
          <t>تحت 11 - تحت 12</t>
        </is>
      </c>
      <c r="C87" s="5" t="inlineStr">
        <is>
          <t>مجموعة القصيم</t>
        </is>
      </c>
      <c r="D87" s="5" t="inlineStr">
        <is>
          <t>بريدة</t>
        </is>
      </c>
      <c r="F87" t="inlineStr">
        <is>
          <t>تحت 11 - تحت 12</t>
        </is>
      </c>
      <c r="G87" t="inlineStr">
        <is>
          <t>مجموعة طبرجل</t>
        </is>
      </c>
      <c r="H87" t="inlineStr">
        <is>
          <t>الجوف</t>
        </is>
      </c>
      <c r="I87" t="inlineStr">
        <is>
          <t>الجوف</t>
        </is>
      </c>
    </row>
    <row r="88">
      <c r="B88" s="5" t="inlineStr">
        <is>
          <t>تحت 11 - تحت 12</t>
        </is>
      </c>
      <c r="C88" s="5" t="inlineStr">
        <is>
          <t>مجموعة القصيم</t>
        </is>
      </c>
      <c r="D88" s="5" t="inlineStr">
        <is>
          <t>عنيزة</t>
        </is>
      </c>
      <c r="F88" t="inlineStr">
        <is>
          <t>تحت 11 - تحت 12</t>
        </is>
      </c>
      <c r="G88" t="inlineStr">
        <is>
          <t>مجموعة أبو عريش</t>
        </is>
      </c>
      <c r="H88" t="inlineStr">
        <is>
          <t>جازان</t>
        </is>
      </c>
      <c r="I88" t="inlineStr">
        <is>
          <t>جازان</t>
        </is>
      </c>
    </row>
    <row r="89">
      <c r="B89" s="5" t="inlineStr">
        <is>
          <t>تحت 11 - تحت 12</t>
        </is>
      </c>
      <c r="C89" s="5" t="inlineStr">
        <is>
          <t>مجموعة الرس</t>
        </is>
      </c>
      <c r="D89" s="5" t="inlineStr">
        <is>
          <t>البكيرية</t>
        </is>
      </c>
      <c r="F89" t="inlineStr">
        <is>
          <t>تحت 11 - تحت 12</t>
        </is>
      </c>
      <c r="G89" t="inlineStr">
        <is>
          <t>مجموعة صبيا</t>
        </is>
      </c>
      <c r="H89" t="inlineStr">
        <is>
          <t>جازان</t>
        </is>
      </c>
      <c r="I89" t="inlineStr">
        <is>
          <t>جازان</t>
        </is>
      </c>
    </row>
    <row r="90">
      <c r="B90" s="5" t="inlineStr">
        <is>
          <t>تحت 11 - تحت 12</t>
        </is>
      </c>
      <c r="C90" s="5" t="inlineStr">
        <is>
          <t>مجموعة الرس</t>
        </is>
      </c>
      <c r="D90" s="5" t="inlineStr">
        <is>
          <t>الرس</t>
        </is>
      </c>
      <c r="F90" t="inlineStr">
        <is>
          <t>تحت 11 - تحت 12</t>
        </is>
      </c>
      <c r="G90" t="inlineStr">
        <is>
          <t>مجموعة صامطة</t>
        </is>
      </c>
      <c r="H90" t="inlineStr">
        <is>
          <t>جازان</t>
        </is>
      </c>
      <c r="I90" t="inlineStr">
        <is>
          <t>جازان</t>
        </is>
      </c>
    </row>
    <row r="91">
      <c r="B91" s="5" t="inlineStr">
        <is>
          <t>تحت 11 - تحت 12</t>
        </is>
      </c>
      <c r="C91" s="5" t="inlineStr">
        <is>
          <t>مجموعة القصيم</t>
        </is>
      </c>
      <c r="D91" s="5" t="inlineStr">
        <is>
          <t>المذنب</t>
        </is>
      </c>
      <c r="F91" t="inlineStr">
        <is>
          <t>تحت 11 - تحت 12</t>
        </is>
      </c>
      <c r="G91" t="inlineStr">
        <is>
          <t>مجموعة أحد المسارحة</t>
        </is>
      </c>
      <c r="H91" t="inlineStr">
        <is>
          <t>جازان</t>
        </is>
      </c>
      <c r="I91" t="inlineStr">
        <is>
          <t>جازان</t>
        </is>
      </c>
    </row>
    <row r="92">
      <c r="B92" s="5" t="inlineStr">
        <is>
          <t>تحت 11 - تحت 12</t>
        </is>
      </c>
      <c r="C92" s="5" t="inlineStr">
        <is>
          <t>مجموعة القصيم</t>
        </is>
      </c>
      <c r="D92" s="5" t="inlineStr">
        <is>
          <t>عيون الجواء</t>
        </is>
      </c>
      <c r="F92" t="inlineStr">
        <is>
          <t>تحت 11 - تحت 12</t>
        </is>
      </c>
      <c r="G92" t="inlineStr">
        <is>
          <t>مجموعة عفيف</t>
        </is>
      </c>
      <c r="H92" t="inlineStr">
        <is>
          <t>الرياض</t>
        </is>
      </c>
      <c r="I92" t="inlineStr">
        <is>
          <t>الدوادمي</t>
        </is>
      </c>
    </row>
    <row r="93">
      <c r="B93" s="5" t="inlineStr">
        <is>
          <t>تحت 11 - تحت 12</t>
        </is>
      </c>
      <c r="C93" s="5" t="inlineStr">
        <is>
          <t>مجموعة القطيف</t>
        </is>
      </c>
      <c r="D93" s="5" t="inlineStr">
        <is>
          <t>القطيف</t>
        </is>
      </c>
      <c r="F93" t="inlineStr">
        <is>
          <t>تحت 11 - تحت 12</t>
        </is>
      </c>
      <c r="G93" t="inlineStr">
        <is>
          <t>مجموعة وادي الدواسر</t>
        </is>
      </c>
      <c r="H93" t="inlineStr">
        <is>
          <t>الرياض</t>
        </is>
      </c>
      <c r="I93" t="inlineStr">
        <is>
          <t>وادي الدواسر</t>
        </is>
      </c>
    </row>
    <row r="94">
      <c r="B94" s="5" t="inlineStr">
        <is>
          <t>تحت 11 - تحت 12</t>
        </is>
      </c>
      <c r="C94" s="5" t="inlineStr">
        <is>
          <t>مجموعة القطيف</t>
        </is>
      </c>
      <c r="D94" s="5" t="inlineStr">
        <is>
          <t>الجبيل</t>
        </is>
      </c>
      <c r="F94" t="inlineStr">
        <is>
          <t>تحت 11 - تحت 12</t>
        </is>
      </c>
      <c r="G94" t="inlineStr">
        <is>
          <t>مجموعة القريات</t>
        </is>
      </c>
      <c r="H94" t="inlineStr">
        <is>
          <t>الجوف</t>
        </is>
      </c>
      <c r="I94" t="inlineStr">
        <is>
          <t>الجوف</t>
        </is>
      </c>
    </row>
    <row r="95">
      <c r="B95" s="5" t="inlineStr">
        <is>
          <t>تحت 11 - تحت 12</t>
        </is>
      </c>
      <c r="C95" s="5" t="inlineStr">
        <is>
          <t>مجموعة القنفذة</t>
        </is>
      </c>
      <c r="D95" s="5" t="inlineStr">
        <is>
          <t>القنفذة</t>
        </is>
      </c>
      <c r="F95" s="5" t="inlineStr">
        <is>
          <t>تحت 11 - تحت 12</t>
        </is>
      </c>
      <c r="G95" s="5" t="inlineStr">
        <is>
          <t>مجموعة شرورة</t>
        </is>
      </c>
      <c r="H95" s="5" t="inlineStr">
        <is>
          <t>نجران</t>
        </is>
      </c>
      <c r="I95" s="5" t="inlineStr">
        <is>
          <t>نجران</t>
        </is>
      </c>
    </row>
    <row r="96">
      <c r="B96" s="5" t="inlineStr">
        <is>
          <t>تحت 11 - تحت 12</t>
        </is>
      </c>
      <c r="C96" s="5" t="inlineStr">
        <is>
          <t>مجموعة القنفذة</t>
        </is>
      </c>
      <c r="D96" s="5" t="inlineStr">
        <is>
          <t>الليث</t>
        </is>
      </c>
      <c r="F96" s="5" t="inlineStr">
        <is>
          <t>تحت 11 - تحت 12</t>
        </is>
      </c>
      <c r="G96" s="5" t="inlineStr">
        <is>
          <t>مجموعة الخبر</t>
        </is>
      </c>
      <c r="H96" s="5" t="inlineStr">
        <is>
          <t>الشرقية</t>
        </is>
      </c>
      <c r="I96" s="5" t="inlineStr">
        <is>
          <t>الشرقية</t>
        </is>
      </c>
    </row>
    <row r="97">
      <c r="B97" s="5" t="inlineStr">
        <is>
          <t>تحت 11 - تحت 12</t>
        </is>
      </c>
      <c r="C97" s="5" t="inlineStr">
        <is>
          <t>مجموعة القنفذة</t>
        </is>
      </c>
      <c r="D97" s="5" t="inlineStr">
        <is>
          <t>أضم</t>
        </is>
      </c>
      <c r="F97" s="5" t="inlineStr">
        <is>
          <t>تحت 11 - تحت 12</t>
        </is>
      </c>
      <c r="G97" s="5" t="inlineStr">
        <is>
          <t>مجموعة الخبر</t>
        </is>
      </c>
      <c r="H97" s="5" t="inlineStr">
        <is>
          <t>الشرقية</t>
        </is>
      </c>
      <c r="I97" s="5" t="inlineStr">
        <is>
          <t>القطيف</t>
        </is>
      </c>
    </row>
    <row r="98">
      <c r="B98" s="5" t="inlineStr">
        <is>
          <t>تحت 11 - تحت 12</t>
        </is>
      </c>
      <c r="C98" s="5" t="inlineStr">
        <is>
          <t>مجموعة الزلفي</t>
        </is>
      </c>
      <c r="D98" s="5" t="inlineStr">
        <is>
          <t>المجمعة</t>
        </is>
      </c>
      <c r="F98" s="5" t="inlineStr">
        <is>
          <t>تحت 13 - تحت 14</t>
        </is>
      </c>
      <c r="G98" s="5" t="inlineStr">
        <is>
          <t>مجموعة أبها</t>
        </is>
      </c>
      <c r="H98" s="5" t="inlineStr">
        <is>
          <t>عسير</t>
        </is>
      </c>
      <c r="I98" s="5" t="inlineStr">
        <is>
          <t>عسير</t>
        </is>
      </c>
    </row>
    <row r="99">
      <c r="B99" s="5" t="inlineStr">
        <is>
          <t>تحت 11 - تحت 12</t>
        </is>
      </c>
      <c r="C99" s="5" t="inlineStr">
        <is>
          <t>مجموعة الزلفي</t>
        </is>
      </c>
      <c r="D99" s="5" t="inlineStr">
        <is>
          <t>الغاط</t>
        </is>
      </c>
      <c r="F99" t="inlineStr">
        <is>
          <t>تحت 13 - تحت 14</t>
        </is>
      </c>
      <c r="G99" t="inlineStr">
        <is>
          <t>مجموعة الأحساء</t>
        </is>
      </c>
      <c r="H99" t="inlineStr">
        <is>
          <t>الشرقية</t>
        </is>
      </c>
      <c r="I99" t="inlineStr">
        <is>
          <t>الأحساء</t>
        </is>
      </c>
    </row>
    <row r="100">
      <c r="B100" s="5" t="inlineStr">
        <is>
          <t>تحت 11 - تحت 12</t>
        </is>
      </c>
      <c r="C100" s="5" t="inlineStr">
        <is>
          <t>مجموعة الزلفي</t>
        </is>
      </c>
      <c r="D100" s="5" t="inlineStr">
        <is>
          <t>الزلفي</t>
        </is>
      </c>
      <c r="F100" t="inlineStr">
        <is>
          <t>تحت 13 - تحت 14</t>
        </is>
      </c>
      <c r="G100" t="inlineStr">
        <is>
          <t>مجموعة الباحة</t>
        </is>
      </c>
      <c r="H100" t="inlineStr">
        <is>
          <t>الباحة</t>
        </is>
      </c>
      <c r="I100" t="inlineStr">
        <is>
          <t>الباحة</t>
        </is>
      </c>
    </row>
    <row r="101">
      <c r="B101" s="5" t="inlineStr">
        <is>
          <t>تحت 11 - تحت 12</t>
        </is>
      </c>
      <c r="C101" s="5" t="inlineStr">
        <is>
          <t>مجموعة المدينة المنورة</t>
        </is>
      </c>
      <c r="D101" s="5" t="inlineStr">
        <is>
          <t>المدينة المنورة</t>
        </is>
      </c>
      <c r="F101" t="inlineStr">
        <is>
          <t>تحت 13 - تحت 14</t>
        </is>
      </c>
      <c r="G101" t="inlineStr">
        <is>
          <t>مجموعة سكاكا</t>
        </is>
      </c>
      <c r="H101" t="inlineStr">
        <is>
          <t>الجوف</t>
        </is>
      </c>
      <c r="I101" t="inlineStr">
        <is>
          <t>الجوف</t>
        </is>
      </c>
    </row>
    <row r="102">
      <c r="B102" s="5" t="inlineStr">
        <is>
          <t>تحت 11 - تحت 12</t>
        </is>
      </c>
      <c r="C102" s="5" t="inlineStr">
        <is>
          <t>مجموعة بيش</t>
        </is>
      </c>
      <c r="D102" s="5" t="inlineStr">
        <is>
          <t>الدرب</t>
        </is>
      </c>
      <c r="F102" t="inlineStr">
        <is>
          <t>تحت 13 - تحت 14</t>
        </is>
      </c>
      <c r="G102" t="inlineStr">
        <is>
          <t>مجموعة الحدود الشمالية</t>
        </is>
      </c>
      <c r="H102" t="inlineStr">
        <is>
          <t>الحدود الشمالية</t>
        </is>
      </c>
      <c r="I102" t="inlineStr">
        <is>
          <t>الحدود الشمالية</t>
        </is>
      </c>
    </row>
    <row r="103">
      <c r="B103" s="5" t="inlineStr">
        <is>
          <t>تحت 11 - تحت 12</t>
        </is>
      </c>
      <c r="C103" s="5" t="inlineStr">
        <is>
          <t>مجموعة بيش</t>
        </is>
      </c>
      <c r="D103" s="5" t="inlineStr">
        <is>
          <t>بيش</t>
        </is>
      </c>
      <c r="F103" t="inlineStr">
        <is>
          <t>تحت 13 - تحت 14</t>
        </is>
      </c>
      <c r="G103" t="inlineStr">
        <is>
          <t>مجموعة الخرج</t>
        </is>
      </c>
      <c r="H103" t="inlineStr">
        <is>
          <t>الرياض</t>
        </is>
      </c>
      <c r="I103" t="inlineStr">
        <is>
          <t>الخرج</t>
        </is>
      </c>
    </row>
    <row r="104">
      <c r="B104" s="5" t="inlineStr">
        <is>
          <t>تحت 11 - تحت 12</t>
        </is>
      </c>
      <c r="C104" s="5" t="inlineStr">
        <is>
          <t>مجموعة تبوك</t>
        </is>
      </c>
      <c r="D104" s="5" t="inlineStr">
        <is>
          <t>تبوك</t>
        </is>
      </c>
      <c r="F104" t="inlineStr">
        <is>
          <t>تحت 13 - تحت 14</t>
        </is>
      </c>
      <c r="G104" t="inlineStr">
        <is>
          <t>مجموعة الدوادمي</t>
        </is>
      </c>
      <c r="H104" t="inlineStr">
        <is>
          <t>الرياض</t>
        </is>
      </c>
      <c r="I104" t="inlineStr">
        <is>
          <t>الدوادمي</t>
        </is>
      </c>
    </row>
    <row r="105">
      <c r="B105" s="5" t="inlineStr">
        <is>
          <t>تحت 11 - تحت 12</t>
        </is>
      </c>
      <c r="C105" s="5" t="inlineStr">
        <is>
          <t>مجموعة جازان</t>
        </is>
      </c>
      <c r="D105" s="5" t="inlineStr">
        <is>
          <t>جيزان</t>
        </is>
      </c>
      <c r="F105" t="inlineStr">
        <is>
          <t>تحت 13 - تحت 14</t>
        </is>
      </c>
      <c r="G105" t="inlineStr">
        <is>
          <t>مجموعة الدوادمي</t>
        </is>
      </c>
      <c r="H105" t="inlineStr">
        <is>
          <t>الرياض</t>
        </is>
      </c>
      <c r="I105" t="inlineStr">
        <is>
          <t>وادي الدواسر</t>
        </is>
      </c>
    </row>
    <row r="106">
      <c r="B106" s="5" t="inlineStr">
        <is>
          <t>تحت 11 - تحت 12</t>
        </is>
      </c>
      <c r="C106" s="5" t="inlineStr">
        <is>
          <t>مجموعة أبو عريش</t>
        </is>
      </c>
      <c r="D106" s="5" t="inlineStr">
        <is>
          <t>أبو عريش</t>
        </is>
      </c>
      <c r="F106" t="inlineStr">
        <is>
          <t>تحت 13 - تحت 14</t>
        </is>
      </c>
      <c r="G106" t="inlineStr">
        <is>
          <t>مجموعة الرياض</t>
        </is>
      </c>
      <c r="H106" t="inlineStr">
        <is>
          <t>الرياض</t>
        </is>
      </c>
      <c r="I106" t="inlineStr">
        <is>
          <t>الرياض</t>
        </is>
      </c>
    </row>
    <row r="107">
      <c r="B107" s="5" t="inlineStr">
        <is>
          <t>تحت 11 - تحت 12</t>
        </is>
      </c>
      <c r="C107" s="5" t="inlineStr">
        <is>
          <t>مجموعة صبيا</t>
        </is>
      </c>
      <c r="D107" s="5" t="inlineStr">
        <is>
          <t>صبيا</t>
        </is>
      </c>
      <c r="F107" t="inlineStr">
        <is>
          <t>تحت 13 - تحت 14</t>
        </is>
      </c>
      <c r="G107" t="inlineStr">
        <is>
          <t>مجموعة الدمام</t>
        </is>
      </c>
      <c r="H107" t="inlineStr">
        <is>
          <t>الشرقية</t>
        </is>
      </c>
      <c r="I107" t="inlineStr">
        <is>
          <t>الشرقية</t>
        </is>
      </c>
    </row>
    <row r="108">
      <c r="B108" s="5" t="inlineStr">
        <is>
          <t>تحت 11 - تحت 12</t>
        </is>
      </c>
      <c r="C108" s="5" t="inlineStr">
        <is>
          <t>مجموعة صامطة</t>
        </is>
      </c>
      <c r="D108" s="5" t="inlineStr">
        <is>
          <t>صامطة</t>
        </is>
      </c>
      <c r="F108" t="inlineStr">
        <is>
          <t>تحت 13 - تحت 14</t>
        </is>
      </c>
      <c r="G108" t="inlineStr">
        <is>
          <t>مجموعة الدمام</t>
        </is>
      </c>
      <c r="H108" t="inlineStr">
        <is>
          <t>الشرقية</t>
        </is>
      </c>
      <c r="I108" t="inlineStr">
        <is>
          <t>القطيف</t>
        </is>
      </c>
    </row>
    <row r="109">
      <c r="B109" s="5" t="inlineStr">
        <is>
          <t>تحت 11 - تحت 12</t>
        </is>
      </c>
      <c r="C109" s="5" t="inlineStr">
        <is>
          <t>مجموعة أحد المسارحة</t>
        </is>
      </c>
      <c r="D109" s="5" t="inlineStr">
        <is>
          <t>أحد المسارحة</t>
        </is>
      </c>
      <c r="F109" t="inlineStr">
        <is>
          <t>تحت 13 - تحت 14</t>
        </is>
      </c>
      <c r="G109" t="inlineStr">
        <is>
          <t>مجموعة الطائف</t>
        </is>
      </c>
      <c r="H109" t="inlineStr">
        <is>
          <t>مكة المكرمة</t>
        </is>
      </c>
      <c r="I109" t="inlineStr">
        <is>
          <t>الطائف</t>
        </is>
      </c>
    </row>
    <row r="110">
      <c r="B110" s="5" t="inlineStr">
        <is>
          <t>تحت 11 - تحت 12</t>
        </is>
      </c>
      <c r="C110" s="5" t="inlineStr">
        <is>
          <t>مجموعة صبيا</t>
        </is>
      </c>
      <c r="D110" s="5" t="inlineStr">
        <is>
          <t>ضمد</t>
        </is>
      </c>
      <c r="F110" t="inlineStr">
        <is>
          <t>تحت 13 - تحت 14</t>
        </is>
      </c>
      <c r="G110" t="inlineStr">
        <is>
          <t>مجموعة القصيم</t>
        </is>
      </c>
      <c r="H110" t="inlineStr">
        <is>
          <t>القصيم</t>
        </is>
      </c>
      <c r="I110" t="inlineStr">
        <is>
          <t>القصيم</t>
        </is>
      </c>
    </row>
    <row r="111">
      <c r="B111" s="5" t="inlineStr">
        <is>
          <t>تحت 11 - تحت 12</t>
        </is>
      </c>
      <c r="C111" s="5" t="inlineStr">
        <is>
          <t>مجموعة جدة</t>
        </is>
      </c>
      <c r="D111" s="5" t="inlineStr">
        <is>
          <t>جدة</t>
        </is>
      </c>
      <c r="F111" t="inlineStr">
        <is>
          <t>تحت 13 - تحت 14</t>
        </is>
      </c>
      <c r="G111" t="inlineStr">
        <is>
          <t>مجموعة القصيم</t>
        </is>
      </c>
      <c r="H111" t="inlineStr">
        <is>
          <t>القصيم</t>
        </is>
      </c>
      <c r="I111" t="inlineStr">
        <is>
          <t>الرس</t>
        </is>
      </c>
    </row>
    <row r="112">
      <c r="B112" s="5" t="inlineStr">
        <is>
          <t>تحت 11 - تحت 12</t>
        </is>
      </c>
      <c r="C112" s="5" t="inlineStr">
        <is>
          <t>مجموعة حائل</t>
        </is>
      </c>
      <c r="D112" s="5" t="inlineStr">
        <is>
          <t>حائل</t>
        </is>
      </c>
      <c r="F112" t="inlineStr">
        <is>
          <t>تحت 13 - تحت 14</t>
        </is>
      </c>
      <c r="G112" t="inlineStr">
        <is>
          <t>مجموعة القطيف</t>
        </is>
      </c>
      <c r="H112" t="inlineStr">
        <is>
          <t>الشرقية</t>
        </is>
      </c>
      <c r="I112" t="inlineStr">
        <is>
          <t>القطيف</t>
        </is>
      </c>
    </row>
    <row r="113">
      <c r="B113" s="5" t="inlineStr">
        <is>
          <t>تحت 11 - تحت 12</t>
        </is>
      </c>
      <c r="C113" s="5" t="inlineStr">
        <is>
          <t>مجموعة حفر الباطن</t>
        </is>
      </c>
      <c r="D113" s="5" t="inlineStr">
        <is>
          <t>حفر الباطن</t>
        </is>
      </c>
      <c r="F113" t="inlineStr">
        <is>
          <t>تحت 13 - تحت 14</t>
        </is>
      </c>
      <c r="G113" t="inlineStr">
        <is>
          <t>مجموعة القطيف</t>
        </is>
      </c>
      <c r="H113" t="inlineStr">
        <is>
          <t>الشرقية</t>
        </is>
      </c>
      <c r="I113" t="inlineStr">
        <is>
          <t>الشرقية</t>
        </is>
      </c>
    </row>
    <row r="114">
      <c r="B114" s="5" t="inlineStr">
        <is>
          <t>تحت 11 - تحت 12</t>
        </is>
      </c>
      <c r="C114" s="5" t="inlineStr">
        <is>
          <t>مجموعة محايل عسير</t>
        </is>
      </c>
      <c r="D114" s="5" t="inlineStr">
        <is>
          <t>محايل عسير</t>
        </is>
      </c>
      <c r="F114" t="inlineStr">
        <is>
          <t>تحت 13 - تحت 14</t>
        </is>
      </c>
      <c r="G114" t="inlineStr">
        <is>
          <t>مجموعة القنفذة</t>
        </is>
      </c>
      <c r="H114" t="inlineStr">
        <is>
          <t>مكة المكرمة</t>
        </is>
      </c>
      <c r="I114" t="inlineStr">
        <is>
          <t>مكة المكرمة</t>
        </is>
      </c>
    </row>
    <row r="115">
      <c r="B115" s="5" t="inlineStr">
        <is>
          <t>تحت 11 - تحت 12</t>
        </is>
      </c>
      <c r="C115" s="5" t="inlineStr">
        <is>
          <t>مجموعة محايل عسير</t>
        </is>
      </c>
      <c r="D115" s="5" t="inlineStr">
        <is>
          <t>النماص</t>
        </is>
      </c>
      <c r="F115" t="inlineStr">
        <is>
          <t>تحت 13 - تحت 14</t>
        </is>
      </c>
      <c r="G115" t="inlineStr">
        <is>
          <t>مجموعة الزلفي</t>
        </is>
      </c>
      <c r="H115" t="inlineStr">
        <is>
          <t>الرياض</t>
        </is>
      </c>
      <c r="I115" t="inlineStr">
        <is>
          <t>المجمعة</t>
        </is>
      </c>
    </row>
    <row r="116">
      <c r="B116" s="5" t="inlineStr">
        <is>
          <t>تحت 11 - تحت 12</t>
        </is>
      </c>
      <c r="C116" s="5" t="inlineStr">
        <is>
          <t>مجموعة مكة المكرمة</t>
        </is>
      </c>
      <c r="D116" s="5" t="inlineStr">
        <is>
          <t>مكة المكرمة</t>
        </is>
      </c>
      <c r="F116" t="inlineStr">
        <is>
          <t>تحت 13 - تحت 14</t>
        </is>
      </c>
      <c r="G116" t="inlineStr">
        <is>
          <t>مجموعة الزلفي</t>
        </is>
      </c>
      <c r="H116" t="inlineStr">
        <is>
          <t>الرياض</t>
        </is>
      </c>
      <c r="I116" t="inlineStr">
        <is>
          <t>الزلفي</t>
        </is>
      </c>
    </row>
    <row r="117">
      <c r="B117" s="5" t="inlineStr">
        <is>
          <t>تحت 11 - تحت 12</t>
        </is>
      </c>
      <c r="C117" s="5" t="inlineStr">
        <is>
          <t>مجموعة مكة المكرمة</t>
        </is>
      </c>
      <c r="D117" s="5" t="inlineStr">
        <is>
          <t>الجموم</t>
        </is>
      </c>
      <c r="F117" t="inlineStr">
        <is>
          <t>تحت 13 - تحت 14</t>
        </is>
      </c>
      <c r="G117" t="inlineStr">
        <is>
          <t>مجموعة الزلفي</t>
        </is>
      </c>
      <c r="H117" t="inlineStr">
        <is>
          <t>الرياض</t>
        </is>
      </c>
      <c r="I117" t="inlineStr">
        <is>
          <t>شقراء</t>
        </is>
      </c>
    </row>
    <row r="118">
      <c r="B118" s="5" t="inlineStr">
        <is>
          <t>تحت 11 - تحت 12</t>
        </is>
      </c>
      <c r="C118" s="5" t="inlineStr">
        <is>
          <t>مجموعة نجران</t>
        </is>
      </c>
      <c r="D118" s="5" t="inlineStr">
        <is>
          <t>نجران</t>
        </is>
      </c>
      <c r="F118" t="inlineStr">
        <is>
          <t>تحت 13 - تحت 14</t>
        </is>
      </c>
      <c r="G118" t="inlineStr">
        <is>
          <t>مجموعة المدينة المنورة</t>
        </is>
      </c>
      <c r="H118" t="inlineStr">
        <is>
          <t>المدينة المنورة</t>
        </is>
      </c>
      <c r="I118" t="inlineStr">
        <is>
          <t>المدينة المنورة</t>
        </is>
      </c>
    </row>
    <row r="119">
      <c r="B119" s="5" t="inlineStr">
        <is>
          <t>تحت 11 - تحت 12</t>
        </is>
      </c>
      <c r="C119" s="5" t="inlineStr">
        <is>
          <t>مجموعة نجران</t>
        </is>
      </c>
      <c r="D119" s="5" t="inlineStr">
        <is>
          <t>حبونا</t>
        </is>
      </c>
      <c r="F119" t="inlineStr">
        <is>
          <t>تحت 13 - تحت 14</t>
        </is>
      </c>
      <c r="G119" t="inlineStr">
        <is>
          <t>مجموعة بيش</t>
        </is>
      </c>
      <c r="H119" t="inlineStr">
        <is>
          <t>جازان</t>
        </is>
      </c>
      <c r="I119" t="inlineStr">
        <is>
          <t>جازان</t>
        </is>
      </c>
    </row>
    <row r="120">
      <c r="B120" s="5" t="inlineStr">
        <is>
          <t>تحت 11 - تحت 12</t>
        </is>
      </c>
      <c r="C120" s="5" t="inlineStr">
        <is>
          <t>مجموعة شرورة</t>
        </is>
      </c>
      <c r="D120" s="5" t="inlineStr">
        <is>
          <t>شرورة</t>
        </is>
      </c>
      <c r="F120" t="inlineStr">
        <is>
          <t>تحت 13 - تحت 14</t>
        </is>
      </c>
      <c r="G120" t="inlineStr">
        <is>
          <t>مجموعة تبوك</t>
        </is>
      </c>
      <c r="H120" t="inlineStr">
        <is>
          <t>تبوك</t>
        </is>
      </c>
      <c r="I120" t="inlineStr">
        <is>
          <t>تبوك</t>
        </is>
      </c>
    </row>
    <row r="121">
      <c r="B121" s="5" t="inlineStr">
        <is>
          <t>تحت 11 - تحت 12</t>
        </is>
      </c>
      <c r="C121" s="5" t="inlineStr">
        <is>
          <t>مجموعة الخفجي</t>
        </is>
      </c>
      <c r="D121" s="5" t="inlineStr">
        <is>
          <t>الخفجي</t>
        </is>
      </c>
      <c r="F121" t="inlineStr">
        <is>
          <t>تحت 13 - تحت 14</t>
        </is>
      </c>
      <c r="G121" t="inlineStr">
        <is>
          <t>مجموعة جازان</t>
        </is>
      </c>
      <c r="H121" t="inlineStr">
        <is>
          <t>جازان</t>
        </is>
      </c>
      <c r="I121" t="inlineStr">
        <is>
          <t>جازان</t>
        </is>
      </c>
    </row>
    <row r="122">
      <c r="B122" s="5" t="inlineStr">
        <is>
          <t>تحت 11 - تحت 12</t>
        </is>
      </c>
      <c r="C122" s="5" t="inlineStr">
        <is>
          <t>مجموعة أملج</t>
        </is>
      </c>
      <c r="D122" s="5" t="inlineStr">
        <is>
          <t>أملج</t>
        </is>
      </c>
      <c r="F122" t="inlineStr">
        <is>
          <t>تحت 13 - تحت 14</t>
        </is>
      </c>
      <c r="G122" t="inlineStr">
        <is>
          <t>مجموعة جدة</t>
        </is>
      </c>
      <c r="H122" t="inlineStr">
        <is>
          <t>مكة المكرمة</t>
        </is>
      </c>
      <c r="I122" t="inlineStr">
        <is>
          <t>جدة</t>
        </is>
      </c>
    </row>
    <row r="123">
      <c r="B123" s="5" t="inlineStr">
        <is>
          <t>تحت 11 - تحت 12</t>
        </is>
      </c>
      <c r="C123" s="5" t="inlineStr">
        <is>
          <t>مجموعة أملج</t>
        </is>
      </c>
      <c r="D123" s="5" t="inlineStr">
        <is>
          <t>ينبع</t>
        </is>
      </c>
      <c r="F123" t="inlineStr">
        <is>
          <t>تحت 13 - تحت 14</t>
        </is>
      </c>
      <c r="G123" t="inlineStr">
        <is>
          <t>مجموعة حائل</t>
        </is>
      </c>
      <c r="H123" t="inlineStr">
        <is>
          <t>حائل</t>
        </is>
      </c>
      <c r="I123" t="inlineStr">
        <is>
          <t>حائل</t>
        </is>
      </c>
    </row>
    <row r="124">
      <c r="B124" s="5" t="inlineStr">
        <is>
          <t>تحت 11 - تحت 12</t>
        </is>
      </c>
      <c r="C124" s="5" t="inlineStr">
        <is>
          <t>مجموعة الوجه</t>
        </is>
      </c>
      <c r="D124" s="5" t="inlineStr">
        <is>
          <t>الوجه</t>
        </is>
      </c>
      <c r="F124" t="inlineStr">
        <is>
          <t>تحت 13 - تحت 14</t>
        </is>
      </c>
      <c r="G124" t="inlineStr">
        <is>
          <t>مجموعة حفر الباطن</t>
        </is>
      </c>
      <c r="H124" t="inlineStr">
        <is>
          <t>الشرقية</t>
        </is>
      </c>
      <c r="I124" t="inlineStr">
        <is>
          <t>حفر الباطن</t>
        </is>
      </c>
    </row>
    <row r="125">
      <c r="B125" s="5" t="inlineStr">
        <is>
          <t>تحت 11 - تحت 12</t>
        </is>
      </c>
      <c r="C125" s="5" t="inlineStr">
        <is>
          <t>مجموعة ضباء</t>
        </is>
      </c>
      <c r="D125" s="5" t="inlineStr">
        <is>
          <t>ضباء</t>
        </is>
      </c>
      <c r="F125" t="inlineStr">
        <is>
          <t>تحت 13 - تحت 14</t>
        </is>
      </c>
      <c r="G125" t="inlineStr">
        <is>
          <t>مجموعة محايل عسير</t>
        </is>
      </c>
      <c r="H125" t="inlineStr">
        <is>
          <t>عسير</t>
        </is>
      </c>
      <c r="I125" t="inlineStr">
        <is>
          <t>عسير</t>
        </is>
      </c>
    </row>
    <row r="126">
      <c r="B126" s="5" t="inlineStr">
        <is>
          <t>تحت 11 - تحت 12</t>
        </is>
      </c>
      <c r="C126" s="5" t="inlineStr">
        <is>
          <t>مجموعة مهد الذهب</t>
        </is>
      </c>
      <c r="D126" s="5" t="inlineStr">
        <is>
          <t>مهد الذهب</t>
        </is>
      </c>
      <c r="F126" s="5" t="inlineStr">
        <is>
          <t>تحت 13 - تحت 14</t>
        </is>
      </c>
      <c r="G126" s="5" t="inlineStr">
        <is>
          <t>مجموعة مكة المكرمة</t>
        </is>
      </c>
      <c r="H126" s="5" t="inlineStr">
        <is>
          <t>مكة المكرمة</t>
        </is>
      </c>
      <c r="I126" s="5" t="inlineStr">
        <is>
          <t>مكة المكرمة</t>
        </is>
      </c>
    </row>
    <row r="127">
      <c r="B127" s="5" t="inlineStr">
        <is>
          <t>تحت 11 - تحت 12</t>
        </is>
      </c>
      <c r="C127" s="5" t="inlineStr">
        <is>
          <t>مجموعة بيشة</t>
        </is>
      </c>
      <c r="D127" s="5" t="inlineStr">
        <is>
          <t>بيشة</t>
        </is>
      </c>
      <c r="F127" s="5" t="inlineStr">
        <is>
          <t>تحت 13 - تحت 14</t>
        </is>
      </c>
      <c r="G127" s="5" t="inlineStr">
        <is>
          <t>مجموعة نجران</t>
        </is>
      </c>
      <c r="H127" s="5" t="inlineStr">
        <is>
          <t>نجران</t>
        </is>
      </c>
      <c r="I127" s="5" t="inlineStr">
        <is>
          <t>نجران</t>
        </is>
      </c>
    </row>
    <row r="128">
      <c r="B128" s="5" t="inlineStr">
        <is>
          <t>تحت 11 - تحت 12</t>
        </is>
      </c>
      <c r="C128" s="5" t="inlineStr">
        <is>
          <t>مجموعة حائل</t>
        </is>
      </c>
      <c r="D128" s="5" t="inlineStr">
        <is>
          <t>سميراء</t>
        </is>
      </c>
      <c r="F128" s="5" t="inlineStr">
        <is>
          <t>تحت 13 - تحت 14</t>
        </is>
      </c>
      <c r="G128" s="5" t="inlineStr">
        <is>
          <t>مجموعة أملج</t>
        </is>
      </c>
      <c r="H128" s="5" t="inlineStr">
        <is>
          <t>تبوك</t>
        </is>
      </c>
      <c r="I128" s="5" t="inlineStr">
        <is>
          <t>تبوك</t>
        </is>
      </c>
    </row>
    <row r="129">
      <c r="B129" s="5" t="inlineStr">
        <is>
          <t>تحت 11 - تحت 12</t>
        </is>
      </c>
      <c r="C129" s="5" t="inlineStr">
        <is>
          <t>مجموعة مركز الرفيعة</t>
        </is>
      </c>
      <c r="D129" s="5" t="inlineStr">
        <is>
          <t>مركز الرفيعة</t>
        </is>
      </c>
      <c r="F129" s="5" t="inlineStr">
        <is>
          <t>تحت 13 - تحت 14</t>
        </is>
      </c>
      <c r="G129" s="5" t="inlineStr">
        <is>
          <t>مجموعة الوجه</t>
        </is>
      </c>
      <c r="H129" s="5" t="inlineStr">
        <is>
          <t>تبوك</t>
        </is>
      </c>
      <c r="I129" s="5" t="inlineStr">
        <is>
          <t>تبوك</t>
        </is>
      </c>
    </row>
    <row r="130">
      <c r="B130" s="5" t="inlineStr">
        <is>
          <t>تحت 11 - تحت 12</t>
        </is>
      </c>
      <c r="C130" s="5" t="inlineStr">
        <is>
          <t>مجموعة الشنان</t>
        </is>
      </c>
      <c r="D130" s="5" t="inlineStr">
        <is>
          <t>الشنان</t>
        </is>
      </c>
      <c r="F130" s="5" t="inlineStr">
        <is>
          <t>تحت 13 - تحت 14</t>
        </is>
      </c>
      <c r="G130" s="5" t="inlineStr">
        <is>
          <t>مجموعة ضباء</t>
        </is>
      </c>
      <c r="H130" s="5" t="inlineStr">
        <is>
          <t>تبوك</t>
        </is>
      </c>
      <c r="I130" s="5" t="inlineStr">
        <is>
          <t>تبوك</t>
        </is>
      </c>
    </row>
    <row r="131">
      <c r="B131" s="5" t="inlineStr">
        <is>
          <t>تحت 11 - تحت 12</t>
        </is>
      </c>
      <c r="C131" s="5" t="inlineStr">
        <is>
          <t>مجموعة الشنان</t>
        </is>
      </c>
      <c r="D131" s="5" t="inlineStr">
        <is>
          <t>فيد</t>
        </is>
      </c>
      <c r="F131" s="5" t="inlineStr">
        <is>
          <t>تحت 13 - تحت 14</t>
        </is>
      </c>
      <c r="G131" s="5" t="inlineStr">
        <is>
          <t>مجموعة مهد الذهب</t>
        </is>
      </c>
      <c r="H131" s="5" t="inlineStr">
        <is>
          <t>المدينة المنورة</t>
        </is>
      </c>
      <c r="I131" s="5" t="inlineStr">
        <is>
          <t>المدينة المنورة</t>
        </is>
      </c>
    </row>
    <row r="132">
      <c r="B132" s="5" t="inlineStr">
        <is>
          <t>تحت 11 - تحت 12</t>
        </is>
      </c>
      <c r="C132" s="5" t="inlineStr">
        <is>
          <t>مجموعة الرس</t>
        </is>
      </c>
      <c r="D132" s="5" t="inlineStr">
        <is>
          <t>رياض الخبراء</t>
        </is>
      </c>
      <c r="F132" s="5" t="inlineStr">
        <is>
          <t>تحت 13 - تحت 14</t>
        </is>
      </c>
      <c r="G132" s="5" t="inlineStr">
        <is>
          <t>مجموعة بيشة</t>
        </is>
      </c>
      <c r="H132" s="5" t="inlineStr">
        <is>
          <t>عسير</t>
        </is>
      </c>
      <c r="I132" s="5" t="inlineStr">
        <is>
          <t>عسير</t>
        </is>
      </c>
    </row>
    <row r="133">
      <c r="B133" s="5" t="inlineStr">
        <is>
          <t>تحت 11 - تحت 12</t>
        </is>
      </c>
      <c r="C133" s="5" t="inlineStr">
        <is>
          <t>مجموعة فرسان</t>
        </is>
      </c>
      <c r="D133" s="5" t="inlineStr">
        <is>
          <t>فرسان</t>
        </is>
      </c>
      <c r="F133" s="5" t="inlineStr">
        <is>
          <t>تحت 13 - تحت 14</t>
        </is>
      </c>
      <c r="G133" s="5" t="inlineStr">
        <is>
          <t>مجموعة الخفجي</t>
        </is>
      </c>
      <c r="H133" s="5" t="inlineStr">
        <is>
          <t>الشرقية</t>
        </is>
      </c>
      <c r="I133" s="5" t="inlineStr">
        <is>
          <t>حفر الباطن</t>
        </is>
      </c>
    </row>
    <row r="134">
      <c r="B134" s="5" t="inlineStr">
        <is>
          <t>تحت 11 - تحت 12</t>
        </is>
      </c>
      <c r="C134" s="5" t="inlineStr">
        <is>
          <t>مجموعة القريات</t>
        </is>
      </c>
      <c r="D134" s="5" t="inlineStr">
        <is>
          <t>القريات</t>
        </is>
      </c>
      <c r="F134" s="5" t="inlineStr">
        <is>
          <t>تحت 13 - تحت 14</t>
        </is>
      </c>
      <c r="G134" s="5" t="inlineStr">
        <is>
          <t>مجموعة مركز الرفيعة</t>
        </is>
      </c>
      <c r="H134" s="5" t="inlineStr">
        <is>
          <t>الشرقية</t>
        </is>
      </c>
      <c r="I134" s="5" t="inlineStr">
        <is>
          <t>حفر الباطن</t>
        </is>
      </c>
    </row>
    <row r="135">
      <c r="B135" s="5" t="inlineStr">
        <is>
          <t>تحت 11 - تحت 12</t>
        </is>
      </c>
      <c r="C135" s="5" t="inlineStr">
        <is>
          <t>مجموعة الرس</t>
        </is>
      </c>
      <c r="D135" s="5" t="inlineStr">
        <is>
          <t>البدائع</t>
        </is>
      </c>
      <c r="F135" s="5" t="inlineStr">
        <is>
          <t>تحت 13 - تحت 14</t>
        </is>
      </c>
      <c r="G135" s="5" t="inlineStr">
        <is>
          <t>مجموعة الشنان</t>
        </is>
      </c>
      <c r="H135" s="5" t="inlineStr">
        <is>
          <t>حائل</t>
        </is>
      </c>
      <c r="I135" s="5" t="inlineStr">
        <is>
          <t>حائل</t>
        </is>
      </c>
    </row>
    <row r="136">
      <c r="B136" s="5" t="inlineStr">
        <is>
          <t>تحت 13 - تحت 14</t>
        </is>
      </c>
      <c r="C136" s="5" t="inlineStr">
        <is>
          <t>مجموعة أبها</t>
        </is>
      </c>
      <c r="D136" s="5" t="inlineStr">
        <is>
          <t>أبها</t>
        </is>
      </c>
      <c r="F136" s="5" t="inlineStr">
        <is>
          <t>تحت 13 - تحت 14</t>
        </is>
      </c>
      <c r="G136" s="5" t="inlineStr">
        <is>
          <t>مجموعة طبرجل</t>
        </is>
      </c>
      <c r="H136" s="5" t="inlineStr">
        <is>
          <t>الجوف</t>
        </is>
      </c>
      <c r="I136" s="5" t="inlineStr">
        <is>
          <t>الجوف</t>
        </is>
      </c>
    </row>
    <row r="137">
      <c r="B137" s="5" t="inlineStr">
        <is>
          <t>تحت 13 - تحت 14</t>
        </is>
      </c>
      <c r="C137" s="5" t="inlineStr">
        <is>
          <t>مجموعة أبها</t>
        </is>
      </c>
      <c r="D137" s="5" t="inlineStr">
        <is>
          <t>خميس مشيط</t>
        </is>
      </c>
      <c r="F137" s="5" t="inlineStr">
        <is>
          <t>تحت 13 - تحت 14</t>
        </is>
      </c>
      <c r="G137" s="5" t="inlineStr">
        <is>
          <t>مجموعة أبو عريش</t>
        </is>
      </c>
      <c r="H137" s="5" t="inlineStr">
        <is>
          <t>جازان</t>
        </is>
      </c>
      <c r="I137" s="5" t="inlineStr">
        <is>
          <t>جازان</t>
        </is>
      </c>
    </row>
    <row r="138">
      <c r="B138" s="5" t="inlineStr">
        <is>
          <t>تحت 13 - تحت 14</t>
        </is>
      </c>
      <c r="C138" s="5" t="inlineStr">
        <is>
          <t>مجموعة الأحساء</t>
        </is>
      </c>
      <c r="D138" s="5" t="inlineStr">
        <is>
          <t>الأحساء</t>
        </is>
      </c>
      <c r="F138" s="5" t="inlineStr">
        <is>
          <t>تحت 13 - تحت 14</t>
        </is>
      </c>
      <c r="G138" s="5" t="inlineStr">
        <is>
          <t>مجموعة صبيا</t>
        </is>
      </c>
      <c r="H138" s="5" t="inlineStr">
        <is>
          <t>جازان</t>
        </is>
      </c>
      <c r="I138" s="5" t="inlineStr">
        <is>
          <t>جازان</t>
        </is>
      </c>
    </row>
    <row r="139">
      <c r="B139" s="5" t="inlineStr">
        <is>
          <t>تحت 13 - تحت 14</t>
        </is>
      </c>
      <c r="C139" s="5" t="inlineStr">
        <is>
          <t>مجموعة الباحة</t>
        </is>
      </c>
      <c r="D139" s="5" t="inlineStr">
        <is>
          <t>الباحة</t>
        </is>
      </c>
      <c r="F139" s="5" t="inlineStr">
        <is>
          <t>تحت 13 - تحت 14</t>
        </is>
      </c>
      <c r="G139" s="5" t="inlineStr">
        <is>
          <t>مجموعة صامطة</t>
        </is>
      </c>
      <c r="H139" s="5" t="inlineStr">
        <is>
          <t>جازان</t>
        </is>
      </c>
      <c r="I139" s="5" t="inlineStr">
        <is>
          <t>جازان</t>
        </is>
      </c>
    </row>
    <row r="140">
      <c r="B140" s="5" t="inlineStr">
        <is>
          <t>تحت 13 - تحت 14</t>
        </is>
      </c>
      <c r="C140" s="5" t="inlineStr">
        <is>
          <t>مجموعة الباحة</t>
        </is>
      </c>
      <c r="D140" s="5" t="inlineStr">
        <is>
          <t>العقيق</t>
        </is>
      </c>
      <c r="F140" s="5" t="inlineStr">
        <is>
          <t>تحت 13 - تحت 14</t>
        </is>
      </c>
      <c r="G140" s="5" t="inlineStr">
        <is>
          <t>مجموعة أحد المسارحة</t>
        </is>
      </c>
      <c r="H140" s="5" t="inlineStr">
        <is>
          <t>جازان</t>
        </is>
      </c>
      <c r="I140" s="5" t="inlineStr">
        <is>
          <t>جازان</t>
        </is>
      </c>
    </row>
    <row r="141">
      <c r="B141" s="5" t="inlineStr">
        <is>
          <t>تحت 13 - تحت 14</t>
        </is>
      </c>
      <c r="C141" s="5" t="inlineStr">
        <is>
          <t>مجموعة الباحة</t>
        </is>
      </c>
      <c r="D141" s="5" t="inlineStr">
        <is>
          <t>بلجرشي</t>
        </is>
      </c>
      <c r="F141" s="5" t="inlineStr">
        <is>
          <t>تحت 13 - تحت 14</t>
        </is>
      </c>
      <c r="G141" s="5" t="inlineStr">
        <is>
          <t>مجموعة عفيف</t>
        </is>
      </c>
      <c r="H141" s="5" t="inlineStr">
        <is>
          <t>الرياض</t>
        </is>
      </c>
      <c r="I141" s="5" t="inlineStr">
        <is>
          <t>الدوادمي</t>
        </is>
      </c>
    </row>
    <row r="142">
      <c r="B142" s="5" t="inlineStr">
        <is>
          <t>تحت 13 - تحت 14</t>
        </is>
      </c>
      <c r="C142" s="5" t="inlineStr">
        <is>
          <t>مجموعة الباحة</t>
        </is>
      </c>
      <c r="D142" s="5" t="inlineStr">
        <is>
          <t>بلقرن</t>
        </is>
      </c>
      <c r="F142" s="5" t="inlineStr">
        <is>
          <t>تحت 13 - تحت 14</t>
        </is>
      </c>
      <c r="G142" s="5" t="inlineStr">
        <is>
          <t>مجموعة وادي الدواسر</t>
        </is>
      </c>
      <c r="H142" s="5" t="inlineStr">
        <is>
          <t>الرياض</t>
        </is>
      </c>
      <c r="I142" s="5" t="inlineStr">
        <is>
          <t>وادي الدواسر</t>
        </is>
      </c>
    </row>
    <row r="143">
      <c r="B143" s="5" t="inlineStr">
        <is>
          <t>تحت 13 - تحت 14</t>
        </is>
      </c>
      <c r="C143" s="5" t="inlineStr">
        <is>
          <t>مجموعة سكاكا</t>
        </is>
      </c>
      <c r="D143" s="5" t="inlineStr">
        <is>
          <t>سكاكا</t>
        </is>
      </c>
      <c r="F143" s="5" t="inlineStr">
        <is>
          <t>تحت 13 - تحت 14</t>
        </is>
      </c>
      <c r="G143" s="5" t="inlineStr">
        <is>
          <t>مجموعة القريات</t>
        </is>
      </c>
      <c r="H143" s="5" t="inlineStr">
        <is>
          <t>الجوف</t>
        </is>
      </c>
      <c r="I143" s="5" t="inlineStr">
        <is>
          <t>الجوف</t>
        </is>
      </c>
    </row>
    <row r="144">
      <c r="B144" s="5" t="inlineStr">
        <is>
          <t>تحت 13 - تحت 14</t>
        </is>
      </c>
      <c r="C144" s="5" t="inlineStr">
        <is>
          <t>مجموعة سكاكا</t>
        </is>
      </c>
      <c r="D144" s="5" t="inlineStr">
        <is>
          <t>دومة الجندل</t>
        </is>
      </c>
      <c r="F144" s="5" t="inlineStr">
        <is>
          <t>تحت 13 - تحت 14</t>
        </is>
      </c>
      <c r="G144" s="5" t="inlineStr">
        <is>
          <t>مجموعة شرورة</t>
        </is>
      </c>
      <c r="H144" s="5" t="inlineStr">
        <is>
          <t>نجران</t>
        </is>
      </c>
      <c r="I144" s="5" t="inlineStr">
        <is>
          <t>نجران</t>
        </is>
      </c>
    </row>
    <row r="145">
      <c r="B145" s="5" t="inlineStr">
        <is>
          <t>تحت 13 - تحت 14</t>
        </is>
      </c>
      <c r="C145" s="5" t="inlineStr">
        <is>
          <t>مجموعة طبرجل</t>
        </is>
      </c>
      <c r="D145" s="5" t="inlineStr">
        <is>
          <t>طبرجل</t>
        </is>
      </c>
    </row>
    <row r="146">
      <c r="B146" s="5" t="inlineStr">
        <is>
          <t>تحت 13 - تحت 14</t>
        </is>
      </c>
      <c r="C146" s="5" t="inlineStr">
        <is>
          <t>مجموعة الحدود الشمالية</t>
        </is>
      </c>
      <c r="D146" s="5" t="inlineStr">
        <is>
          <t>عرعر</t>
        </is>
      </c>
    </row>
    <row r="147">
      <c r="B147" s="5" t="inlineStr">
        <is>
          <t>تحت 13 - تحت 14</t>
        </is>
      </c>
      <c r="C147" s="5" t="inlineStr">
        <is>
          <t>مجموعة الحدود الشمالية</t>
        </is>
      </c>
      <c r="D147" s="5" t="inlineStr">
        <is>
          <t>رفحاء</t>
        </is>
      </c>
    </row>
    <row r="148">
      <c r="B148" s="5" t="inlineStr">
        <is>
          <t>تحت 13 - تحت 14</t>
        </is>
      </c>
      <c r="C148" s="5" t="inlineStr">
        <is>
          <t>مجموعة الخرج</t>
        </is>
      </c>
      <c r="D148" s="5" t="inlineStr">
        <is>
          <t>الخرج</t>
        </is>
      </c>
    </row>
    <row r="149">
      <c r="B149" s="5" t="inlineStr">
        <is>
          <t>تحت 13 - تحت 14</t>
        </is>
      </c>
      <c r="C149" s="5" t="inlineStr">
        <is>
          <t>مجموعة الخرج</t>
        </is>
      </c>
      <c r="D149" s="5" t="inlineStr">
        <is>
          <t>الدلم</t>
        </is>
      </c>
    </row>
    <row r="150">
      <c r="B150" s="5" t="inlineStr">
        <is>
          <t>تحت 13 - تحت 14</t>
        </is>
      </c>
      <c r="C150" s="5" t="inlineStr">
        <is>
          <t>مجموعة عفيف</t>
        </is>
      </c>
      <c r="D150" s="5" t="inlineStr">
        <is>
          <t>عفيف</t>
        </is>
      </c>
    </row>
    <row r="151">
      <c r="B151" s="5" t="inlineStr">
        <is>
          <t>تحت 13 - تحت 14</t>
        </is>
      </c>
      <c r="C151" s="5" t="inlineStr">
        <is>
          <t>مجموعة الدوادمي</t>
        </is>
      </c>
      <c r="D151" s="5" t="inlineStr">
        <is>
          <t>الدوادمي</t>
        </is>
      </c>
    </row>
    <row r="152">
      <c r="B152" s="5" t="inlineStr">
        <is>
          <t>تحت 13 - تحت 14</t>
        </is>
      </c>
      <c r="C152" s="5" t="inlineStr">
        <is>
          <t>مجموعة وادي الدواسر</t>
        </is>
      </c>
      <c r="D152" s="5" t="inlineStr">
        <is>
          <t>وادي الدواسر</t>
        </is>
      </c>
    </row>
    <row r="153">
      <c r="B153" s="5" t="inlineStr">
        <is>
          <t>تحت 13 - تحت 14</t>
        </is>
      </c>
      <c r="C153" s="5" t="inlineStr">
        <is>
          <t>مجموعة الرياض</t>
        </is>
      </c>
      <c r="D153" s="5" t="inlineStr">
        <is>
          <t>الرياض</t>
        </is>
      </c>
    </row>
    <row r="154">
      <c r="B154" s="5" t="inlineStr">
        <is>
          <t>تحت 13 - تحت 14</t>
        </is>
      </c>
      <c r="C154" s="5" t="inlineStr">
        <is>
          <t>مجموعة الدمام</t>
        </is>
      </c>
      <c r="D154" s="5" t="inlineStr">
        <is>
          <t>الظهران</t>
        </is>
      </c>
    </row>
    <row r="155">
      <c r="B155" s="5" t="inlineStr">
        <is>
          <t>تحت 13 - تحت 14</t>
        </is>
      </c>
      <c r="C155" s="5" t="inlineStr">
        <is>
          <t>مجموعة الدمام</t>
        </is>
      </c>
      <c r="D155" s="5" t="inlineStr">
        <is>
          <t>الخبر</t>
        </is>
      </c>
    </row>
    <row r="156">
      <c r="B156" s="5" t="inlineStr">
        <is>
          <t>تحت 13 - تحت 14</t>
        </is>
      </c>
      <c r="C156" s="5" t="inlineStr">
        <is>
          <t>مجموعة الدمام</t>
        </is>
      </c>
      <c r="D156" s="5" t="inlineStr">
        <is>
          <t>الدمام</t>
        </is>
      </c>
    </row>
    <row r="157">
      <c r="B157" s="5" t="inlineStr">
        <is>
          <t>تحت 13 - تحت 14</t>
        </is>
      </c>
      <c r="C157" s="5" t="inlineStr">
        <is>
          <t>مجموعة الدمام</t>
        </is>
      </c>
      <c r="D157" s="5" t="inlineStr">
        <is>
          <t>سيهات</t>
        </is>
      </c>
    </row>
    <row r="158">
      <c r="B158" s="5" t="inlineStr">
        <is>
          <t>تحت 13 - تحت 14</t>
        </is>
      </c>
      <c r="C158" s="5" t="inlineStr">
        <is>
          <t>مجموعة الطائف</t>
        </is>
      </c>
      <c r="D158" s="5" t="inlineStr">
        <is>
          <t>الطائف</t>
        </is>
      </c>
    </row>
    <row r="159">
      <c r="B159" s="5" t="inlineStr">
        <is>
          <t>تحت 13 - تحت 14</t>
        </is>
      </c>
      <c r="C159" s="5" t="inlineStr">
        <is>
          <t>مجموعة القصيم</t>
        </is>
      </c>
      <c r="D159" s="5" t="inlineStr">
        <is>
          <t>بريدة</t>
        </is>
      </c>
    </row>
    <row r="160">
      <c r="B160" s="5" t="inlineStr">
        <is>
          <t>تحت 13 - تحت 14</t>
        </is>
      </c>
      <c r="C160" s="5" t="inlineStr">
        <is>
          <t>مجموعة القصيم</t>
        </is>
      </c>
      <c r="D160" s="5" t="inlineStr">
        <is>
          <t>عنيزة</t>
        </is>
      </c>
    </row>
    <row r="161">
      <c r="B161" s="5" t="inlineStr">
        <is>
          <t>تحت 13 - تحت 14</t>
        </is>
      </c>
      <c r="C161" s="5" t="inlineStr">
        <is>
          <t>مجموعة الرس</t>
        </is>
      </c>
      <c r="D161" s="5" t="inlineStr">
        <is>
          <t>البكيرية</t>
        </is>
      </c>
    </row>
    <row r="162">
      <c r="B162" s="5" t="inlineStr">
        <is>
          <t>تحت 13 - تحت 14</t>
        </is>
      </c>
      <c r="C162" s="5" t="inlineStr">
        <is>
          <t>مجموعة الرس</t>
        </is>
      </c>
      <c r="D162" s="5" t="inlineStr">
        <is>
          <t>الرس</t>
        </is>
      </c>
    </row>
    <row r="163">
      <c r="B163" s="5" t="inlineStr">
        <is>
          <t>تحت 13 - تحت 14</t>
        </is>
      </c>
      <c r="C163" s="5" t="inlineStr">
        <is>
          <t>مجموعة القصيم</t>
        </is>
      </c>
      <c r="D163" s="5" t="inlineStr">
        <is>
          <t>المذنب</t>
        </is>
      </c>
    </row>
    <row r="164">
      <c r="B164" s="5" t="inlineStr">
        <is>
          <t>تحت 13 - تحت 14</t>
        </is>
      </c>
      <c r="C164" s="5" t="inlineStr">
        <is>
          <t>مجموعة القصيم</t>
        </is>
      </c>
      <c r="D164" s="5" t="inlineStr">
        <is>
          <t>عيون الجواء</t>
        </is>
      </c>
    </row>
    <row r="165">
      <c r="B165" s="5" t="inlineStr">
        <is>
          <t>تحت 13 - تحت 14</t>
        </is>
      </c>
      <c r="C165" s="5" t="inlineStr">
        <is>
          <t>مجموعة القطيف</t>
        </is>
      </c>
      <c r="D165" s="5" t="inlineStr">
        <is>
          <t>القطيف</t>
        </is>
      </c>
    </row>
    <row r="166">
      <c r="B166" s="5" t="inlineStr">
        <is>
          <t>تحت 13 - تحت 14</t>
        </is>
      </c>
      <c r="C166" s="5" t="inlineStr">
        <is>
          <t>مجموعة القطيف</t>
        </is>
      </c>
      <c r="D166" s="5" t="inlineStr">
        <is>
          <t>الجبيل</t>
        </is>
      </c>
    </row>
    <row r="167">
      <c r="B167" s="5" t="inlineStr">
        <is>
          <t>تحت 13 - تحت 14</t>
        </is>
      </c>
      <c r="C167" s="5" t="inlineStr">
        <is>
          <t>مجموعة القنفذة</t>
        </is>
      </c>
      <c r="D167" s="5" t="inlineStr">
        <is>
          <t>القنفذة</t>
        </is>
      </c>
    </row>
    <row r="168">
      <c r="B168" s="5" t="inlineStr">
        <is>
          <t>تحت 13 - تحت 14</t>
        </is>
      </c>
      <c r="C168" s="5" t="inlineStr">
        <is>
          <t>مجموعة القنفذة</t>
        </is>
      </c>
      <c r="D168" s="5" t="inlineStr">
        <is>
          <t>الليث</t>
        </is>
      </c>
    </row>
    <row r="169">
      <c r="B169" s="5" t="inlineStr">
        <is>
          <t>تحت 13 - تحت 14</t>
        </is>
      </c>
      <c r="C169" s="5" t="inlineStr">
        <is>
          <t>مجموعة القنفذة</t>
        </is>
      </c>
      <c r="D169" s="5" t="inlineStr">
        <is>
          <t>أضم</t>
        </is>
      </c>
    </row>
    <row r="170">
      <c r="B170" s="5" t="inlineStr">
        <is>
          <t>تحت 13 - تحت 14</t>
        </is>
      </c>
      <c r="C170" s="5" t="inlineStr">
        <is>
          <t>مجموعة الزلفي</t>
        </is>
      </c>
      <c r="D170" s="5" t="inlineStr">
        <is>
          <t>المجمعة</t>
        </is>
      </c>
    </row>
    <row r="171">
      <c r="B171" s="5" t="inlineStr">
        <is>
          <t>تحت 13 - تحت 14</t>
        </is>
      </c>
      <c r="C171" s="5" t="inlineStr">
        <is>
          <t>مجموعة الزلفي</t>
        </is>
      </c>
      <c r="D171" s="5" t="inlineStr">
        <is>
          <t>الغاط</t>
        </is>
      </c>
    </row>
    <row r="172">
      <c r="B172" s="5" t="inlineStr">
        <is>
          <t>تحت 13 - تحت 14</t>
        </is>
      </c>
      <c r="C172" s="5" t="inlineStr">
        <is>
          <t>مجموعة الزلفي</t>
        </is>
      </c>
      <c r="D172" s="5" t="inlineStr">
        <is>
          <t>الزلفي</t>
        </is>
      </c>
    </row>
    <row r="173">
      <c r="B173" s="5" t="inlineStr">
        <is>
          <t>تحت 13 - تحت 14</t>
        </is>
      </c>
      <c r="C173" s="5" t="inlineStr">
        <is>
          <t>مجموعة المدينة المنورة</t>
        </is>
      </c>
      <c r="D173" s="5" t="inlineStr">
        <is>
          <t>المدينة المنورة</t>
        </is>
      </c>
    </row>
    <row r="174">
      <c r="B174" s="5" t="inlineStr">
        <is>
          <t>تحت 13 - تحت 14</t>
        </is>
      </c>
      <c r="C174" s="5" t="inlineStr">
        <is>
          <t>مجموعة بيش</t>
        </is>
      </c>
      <c r="D174" s="5" t="inlineStr">
        <is>
          <t>الدرب</t>
        </is>
      </c>
    </row>
    <row r="175">
      <c r="B175" s="5" t="inlineStr">
        <is>
          <t>تحت 13 - تحت 14</t>
        </is>
      </c>
      <c r="C175" s="5" t="inlineStr">
        <is>
          <t>مجموعة بيش</t>
        </is>
      </c>
      <c r="D175" s="5" t="inlineStr">
        <is>
          <t>بيش</t>
        </is>
      </c>
    </row>
    <row r="176">
      <c r="B176" s="5" t="inlineStr">
        <is>
          <t>تحت 13 - تحت 14</t>
        </is>
      </c>
      <c r="C176" s="5" t="inlineStr">
        <is>
          <t>مجموعة تبوك</t>
        </is>
      </c>
      <c r="D176" s="5" t="inlineStr">
        <is>
          <t>تبوك</t>
        </is>
      </c>
    </row>
    <row r="177">
      <c r="B177" s="5" t="inlineStr">
        <is>
          <t>تحت 13 - تحت 14</t>
        </is>
      </c>
      <c r="C177" s="5" t="inlineStr">
        <is>
          <t>مجموعة جازان</t>
        </is>
      </c>
      <c r="D177" s="5" t="inlineStr">
        <is>
          <t>جيزان</t>
        </is>
      </c>
    </row>
    <row r="178">
      <c r="B178" s="5" t="inlineStr">
        <is>
          <t>تحت 13 - تحت 14</t>
        </is>
      </c>
      <c r="C178" s="5" t="inlineStr">
        <is>
          <t>مجموعة أبو عريش</t>
        </is>
      </c>
      <c r="D178" s="5" t="inlineStr">
        <is>
          <t>أبو عريش</t>
        </is>
      </c>
    </row>
    <row r="179">
      <c r="B179" s="5" t="inlineStr">
        <is>
          <t>تحت 13 - تحت 14</t>
        </is>
      </c>
      <c r="C179" s="5" t="inlineStr">
        <is>
          <t>مجموعة صبيا</t>
        </is>
      </c>
      <c r="D179" s="5" t="inlineStr">
        <is>
          <t>صبيا</t>
        </is>
      </c>
    </row>
    <row r="180">
      <c r="B180" s="5" t="inlineStr">
        <is>
          <t>تحت 13 - تحت 14</t>
        </is>
      </c>
      <c r="C180" s="5" t="inlineStr">
        <is>
          <t>مجموعة صامطة</t>
        </is>
      </c>
      <c r="D180" s="5" t="inlineStr">
        <is>
          <t>صامطة</t>
        </is>
      </c>
    </row>
    <row r="181">
      <c r="B181" s="5" t="inlineStr">
        <is>
          <t>تحت 13 - تحت 14</t>
        </is>
      </c>
      <c r="C181" s="5" t="inlineStr">
        <is>
          <t>مجموعة أحد المسارحة</t>
        </is>
      </c>
      <c r="D181" s="5" t="inlineStr">
        <is>
          <t>أحد المسارحة</t>
        </is>
      </c>
    </row>
    <row r="182">
      <c r="B182" s="5" t="inlineStr">
        <is>
          <t>تحت 13 - تحت 14</t>
        </is>
      </c>
      <c r="C182" s="5" t="inlineStr">
        <is>
          <t>مجموعة صبيا</t>
        </is>
      </c>
      <c r="D182" s="5" t="inlineStr">
        <is>
          <t>ضمد</t>
        </is>
      </c>
    </row>
    <row r="183">
      <c r="B183" s="5" t="inlineStr">
        <is>
          <t>تحت 13 - تحت 14</t>
        </is>
      </c>
      <c r="C183" s="5" t="inlineStr">
        <is>
          <t>مجموعة جدة</t>
        </is>
      </c>
      <c r="D183" s="5" t="inlineStr">
        <is>
          <t>جدة</t>
        </is>
      </c>
    </row>
    <row r="184">
      <c r="B184" s="5" t="inlineStr">
        <is>
          <t>تحت 13 - تحت 14</t>
        </is>
      </c>
      <c r="C184" s="5" t="inlineStr">
        <is>
          <t>مجموعة حائل</t>
        </is>
      </c>
      <c r="D184" s="5" t="inlineStr">
        <is>
          <t>حائل</t>
        </is>
      </c>
    </row>
    <row r="185">
      <c r="B185" s="5" t="inlineStr">
        <is>
          <t>تحت 13 - تحت 14</t>
        </is>
      </c>
      <c r="C185" s="5" t="inlineStr">
        <is>
          <t>مجموعة حفر الباطن</t>
        </is>
      </c>
      <c r="D185" s="5" t="inlineStr">
        <is>
          <t>حفر الباطن</t>
        </is>
      </c>
    </row>
    <row r="186">
      <c r="B186" s="5" t="inlineStr">
        <is>
          <t>تحت 13 - تحت 14</t>
        </is>
      </c>
      <c r="C186" s="5" t="inlineStr">
        <is>
          <t>مجموعة محايل عسير</t>
        </is>
      </c>
      <c r="D186" s="5" t="inlineStr">
        <is>
          <t>محايل عسير</t>
        </is>
      </c>
    </row>
    <row r="187">
      <c r="B187" s="5" t="inlineStr">
        <is>
          <t>تحت 13 - تحت 14</t>
        </is>
      </c>
      <c r="C187" s="5" t="inlineStr">
        <is>
          <t>مجموعة محايل عسير</t>
        </is>
      </c>
      <c r="D187" s="5" t="inlineStr">
        <is>
          <t>النماص</t>
        </is>
      </c>
    </row>
    <row r="188">
      <c r="B188" s="5" t="inlineStr">
        <is>
          <t>تحت 13 - تحت 14</t>
        </is>
      </c>
      <c r="C188" s="5" t="inlineStr">
        <is>
          <t>مجموعة مكة المكرمة</t>
        </is>
      </c>
      <c r="D188" s="5" t="inlineStr">
        <is>
          <t>مكة المكرمة</t>
        </is>
      </c>
    </row>
    <row r="189">
      <c r="B189" s="5" t="inlineStr">
        <is>
          <t>تحت 13 - تحت 14</t>
        </is>
      </c>
      <c r="C189" s="5" t="inlineStr">
        <is>
          <t>مجموعة مكة المكرمة</t>
        </is>
      </c>
      <c r="D189" s="5" t="inlineStr">
        <is>
          <t>الجموم</t>
        </is>
      </c>
    </row>
    <row r="190">
      <c r="B190" s="5" t="inlineStr">
        <is>
          <t>تحت 13 - تحت 14</t>
        </is>
      </c>
      <c r="C190" s="5" t="inlineStr">
        <is>
          <t>مجموعة نجران</t>
        </is>
      </c>
      <c r="D190" s="5" t="inlineStr">
        <is>
          <t>نجران</t>
        </is>
      </c>
    </row>
    <row r="191">
      <c r="B191" s="5" t="inlineStr">
        <is>
          <t>تحت 13 - تحت 14</t>
        </is>
      </c>
      <c r="C191" s="5" t="inlineStr">
        <is>
          <t>مجموعة نجران</t>
        </is>
      </c>
      <c r="D191" s="5" t="inlineStr">
        <is>
          <t>حبونا</t>
        </is>
      </c>
    </row>
    <row r="192">
      <c r="B192" s="5" t="inlineStr">
        <is>
          <t>تحت 13 - تحت 14</t>
        </is>
      </c>
      <c r="C192" s="5" t="inlineStr">
        <is>
          <t>مجموعة شرورة</t>
        </is>
      </c>
      <c r="D192" s="5" t="inlineStr">
        <is>
          <t>شرورة</t>
        </is>
      </c>
    </row>
    <row r="193">
      <c r="B193" s="5" t="inlineStr">
        <is>
          <t>تحت 13 - تحت 14</t>
        </is>
      </c>
      <c r="C193" s="5" t="inlineStr">
        <is>
          <t>مجموعة الخفجي</t>
        </is>
      </c>
      <c r="D193" s="5" t="inlineStr">
        <is>
          <t>الخفجي</t>
        </is>
      </c>
    </row>
    <row r="194">
      <c r="B194" s="5" t="inlineStr">
        <is>
          <t>تحت 13 - تحت 14</t>
        </is>
      </c>
      <c r="C194" s="5" t="inlineStr">
        <is>
          <t>مجموعة أملج</t>
        </is>
      </c>
      <c r="D194" s="5" t="inlineStr">
        <is>
          <t>أملج</t>
        </is>
      </c>
    </row>
    <row r="195">
      <c r="B195" s="5" t="inlineStr">
        <is>
          <t>تحت 13 - تحت 14</t>
        </is>
      </c>
      <c r="C195" s="5" t="inlineStr">
        <is>
          <t>مجموعة أملج</t>
        </is>
      </c>
      <c r="D195" s="5" t="inlineStr">
        <is>
          <t>ينبع</t>
        </is>
      </c>
    </row>
    <row r="196">
      <c r="B196" s="5" t="inlineStr">
        <is>
          <t>تحت 13 - تحت 14</t>
        </is>
      </c>
      <c r="C196" s="5" t="inlineStr">
        <is>
          <t>مجموعة الوجه</t>
        </is>
      </c>
      <c r="D196" s="5" t="inlineStr">
        <is>
          <t>الوجه</t>
        </is>
      </c>
    </row>
    <row r="197">
      <c r="B197" s="5" t="inlineStr">
        <is>
          <t>تحت 13 - تحت 14</t>
        </is>
      </c>
      <c r="C197" s="5" t="inlineStr">
        <is>
          <t>مجموعة ضباء</t>
        </is>
      </c>
      <c r="D197" s="5" t="inlineStr">
        <is>
          <t>ضباء</t>
        </is>
      </c>
    </row>
    <row r="198">
      <c r="B198" s="5" t="inlineStr">
        <is>
          <t>تحت 13 - تحت 14</t>
        </is>
      </c>
      <c r="C198" s="5" t="inlineStr">
        <is>
          <t>مجموعة مهد الذهب</t>
        </is>
      </c>
      <c r="D198" s="5" t="inlineStr">
        <is>
          <t>مهد الذهب</t>
        </is>
      </c>
    </row>
    <row r="199">
      <c r="B199" s="5" t="inlineStr">
        <is>
          <t>تحت 13 - تحت 14</t>
        </is>
      </c>
      <c r="C199" s="5" t="inlineStr">
        <is>
          <t>مجموعة بيشة</t>
        </is>
      </c>
      <c r="D199" s="5" t="inlineStr">
        <is>
          <t>بيشة</t>
        </is>
      </c>
    </row>
    <row r="200">
      <c r="B200" s="5" t="inlineStr">
        <is>
          <t>تحت 13 - تحت 14</t>
        </is>
      </c>
      <c r="C200" s="5" t="inlineStr">
        <is>
          <t>مجموعة حائل</t>
        </is>
      </c>
      <c r="D200" s="5" t="inlineStr">
        <is>
          <t>سميراء</t>
        </is>
      </c>
    </row>
    <row r="201">
      <c r="B201" s="5" t="inlineStr">
        <is>
          <t>تحت 13 - تحت 14</t>
        </is>
      </c>
      <c r="C201" s="5" t="inlineStr">
        <is>
          <t>مجموعة مركز الرفيعة</t>
        </is>
      </c>
      <c r="D201" s="5" t="inlineStr">
        <is>
          <t>مركز الرفيعة</t>
        </is>
      </c>
    </row>
    <row r="202">
      <c r="B202" s="5" t="inlineStr">
        <is>
          <t>تحت 13 - تحت 14</t>
        </is>
      </c>
      <c r="C202" s="5" t="inlineStr">
        <is>
          <t>مجموعة الشنان</t>
        </is>
      </c>
      <c r="D202" s="5" t="inlineStr">
        <is>
          <t>الشنان</t>
        </is>
      </c>
    </row>
    <row r="203">
      <c r="B203" s="5" t="inlineStr">
        <is>
          <t>تحت 13 - تحت 14</t>
        </is>
      </c>
      <c r="C203" s="5" t="inlineStr">
        <is>
          <t>مجموعة الشنان</t>
        </is>
      </c>
      <c r="D203" s="5" t="inlineStr">
        <is>
          <t>فيد</t>
        </is>
      </c>
    </row>
    <row r="204">
      <c r="B204" s="5" t="inlineStr">
        <is>
          <t>تحت 13 - تحت 14</t>
        </is>
      </c>
      <c r="C204" s="5" t="inlineStr">
        <is>
          <t>مجموعة الرس</t>
        </is>
      </c>
      <c r="D204" s="5" t="inlineStr">
        <is>
          <t>رياض الخبراء</t>
        </is>
      </c>
    </row>
    <row r="205">
      <c r="B205" s="5" t="inlineStr">
        <is>
          <t>تحت 13 - تحت 14</t>
        </is>
      </c>
      <c r="C205" s="5" t="inlineStr">
        <is>
          <t>مجموعة فرسان</t>
        </is>
      </c>
      <c r="D205" s="5" t="inlineStr">
        <is>
          <t>فرسان</t>
        </is>
      </c>
    </row>
    <row r="206">
      <c r="B206" s="5" t="inlineStr">
        <is>
          <t>تحت 13 - تحت 14</t>
        </is>
      </c>
      <c r="C206" s="5" t="inlineStr">
        <is>
          <t>مجموعة القريات</t>
        </is>
      </c>
      <c r="D206" s="5" t="inlineStr">
        <is>
          <t>القريات</t>
        </is>
      </c>
    </row>
    <row r="207">
      <c r="B207" s="5" t="inlineStr">
        <is>
          <t>تحت 13 - تحت 14</t>
        </is>
      </c>
      <c r="C207" s="5" t="inlineStr">
        <is>
          <t>مجموعة الرس</t>
        </is>
      </c>
      <c r="D207" s="5" t="inlineStr">
        <is>
          <t>البدائع</t>
        </is>
      </c>
    </row>
  </sheetData>
  <mergeCells count="1">
    <mergeCell ref="AC2:AD2"/>
  </mergeCells>
  <dataValidations disablePrompts="1" count="2">
    <dataValidation sqref="H3:H94 H111:H1048576" showDropDown="0" showInputMessage="1" showErrorMessage="1" allowBlank="1" type="list">
      <formula1>$P$3:$P$15</formula1>
    </dataValidation>
    <dataValidation sqref="I3:I94 I111:I1048576" showDropDown="0" showInputMessage="1" showErrorMessage="1" allowBlank="1" type="list">
      <formula1>$R$3:$R$27</formula1>
    </dataValidation>
  </dataValidations>
  <pageMargins left="0.7" right="0.7" top="0.75" bottom="0.75" header="0.3" footer="0.3"/>
  <legacyDrawing xmlns:r="http://schemas.openxmlformats.org/officeDocument/2006/relationships" r:id="anysvml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3"/>
  <sheetViews>
    <sheetView rightToLeft="1" workbookViewId="0">
      <pane ySplit="2" topLeftCell="A3" activePane="bottomLeft" state="frozen"/>
      <selection pane="bottomLeft" activeCell="B2" sqref="B2:G473"/>
    </sheetView>
  </sheetViews>
  <sheetFormatPr baseColWidth="8" defaultRowHeight="14.5"/>
  <cols>
    <col width="13.54296875" bestFit="1" customWidth="1" min="2" max="2"/>
    <col width="16.26953125" bestFit="1" customWidth="1" min="3" max="3"/>
    <col width="16.54296875" bestFit="1" customWidth="1" min="4" max="4"/>
    <col width="12.08984375" bestFit="1" customWidth="1" min="5" max="5"/>
    <col width="13.26953125" bestFit="1" customWidth="1" min="6" max="6"/>
    <col width="15.6328125" bestFit="1" customWidth="1" min="7" max="7"/>
  </cols>
  <sheetData>
    <row r="1"/>
    <row r="2">
      <c r="B2" s="2" t="inlineStr">
        <is>
          <t>الفئة العمرية</t>
        </is>
      </c>
      <c r="C2" s="2" t="inlineStr">
        <is>
          <t>المدينة/المحافظة</t>
        </is>
      </c>
      <c r="D2" s="2" t="inlineStr">
        <is>
          <t>المجموعة</t>
        </is>
      </c>
      <c r="E2" s="2" t="inlineStr">
        <is>
          <t>عدد الفرق</t>
        </is>
      </c>
      <c r="F2" s="2" t="inlineStr">
        <is>
          <t>مدينة منظفة</t>
        </is>
      </c>
      <c r="G2" s="2" t="inlineStr">
        <is>
          <t>مجموعة مكتملة</t>
        </is>
      </c>
    </row>
    <row r="3">
      <c r="B3" s="2" t="inlineStr">
        <is>
          <t>تحت 5</t>
        </is>
      </c>
      <c r="C3" s="2" t="inlineStr">
        <is>
          <t>الرياض</t>
        </is>
      </c>
      <c r="D3" s="2">
        <f t="array" ref="D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" s="2">
        <f t="array" ref="E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" s="2">
        <f>TRIM(تفاصيل_الفرق[[#This Row],[المدينة/المحافظة]])</f>
        <v/>
      </c>
      <c r="G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">
      <c r="B4" s="2" t="inlineStr">
        <is>
          <t>تحت 7</t>
        </is>
      </c>
      <c r="C4" s="2" t="inlineStr">
        <is>
          <t>الرياض</t>
        </is>
      </c>
      <c r="D4" s="2">
        <f t="array" ref="D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" s="2">
        <f t="array" ref="E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" s="2">
        <f>TRIM(تفاصيل_الفرق[[#This Row],[المدينة/المحافظة]])</f>
        <v/>
      </c>
      <c r="G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">
      <c r="B5" s="2" t="inlineStr">
        <is>
          <t>تحت 9</t>
        </is>
      </c>
      <c r="C5" s="2" t="inlineStr">
        <is>
          <t>الرياض</t>
        </is>
      </c>
      <c r="D5" s="2">
        <f t="array" ref="D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" s="2">
        <f t="array" ref="E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" s="2">
        <f>TRIM(تفاصيل_الفرق[[#This Row],[المدينة/المحافظة]])</f>
        <v/>
      </c>
      <c r="G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">
      <c r="B6" s="2" t="inlineStr">
        <is>
          <t>تحت 11</t>
        </is>
      </c>
      <c r="C6" s="2" t="inlineStr">
        <is>
          <t>الرياض</t>
        </is>
      </c>
      <c r="D6" s="2">
        <f t="array" ref="D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" s="2">
        <f t="array" ref="E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" s="2">
        <f>TRIM(تفاصيل_الفرق[[#This Row],[المدينة/المحافظة]])</f>
        <v/>
      </c>
      <c r="G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">
      <c r="B7" s="2" t="inlineStr">
        <is>
          <t>تحت 12</t>
        </is>
      </c>
      <c r="C7" s="2" t="inlineStr">
        <is>
          <t>الرياض</t>
        </is>
      </c>
      <c r="D7" s="2">
        <f t="array" ref="D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" s="2">
        <f t="array" ref="E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" s="2">
        <f>TRIM(تفاصيل_الفرق[[#This Row],[المدينة/المحافظة]])</f>
        <v/>
      </c>
      <c r="G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">
      <c r="B8" s="2" t="inlineStr">
        <is>
          <t>تحت 13</t>
        </is>
      </c>
      <c r="C8" s="2" t="inlineStr">
        <is>
          <t>الرياض</t>
        </is>
      </c>
      <c r="D8" s="2">
        <f t="array" ref="D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" s="2">
        <f t="array" ref="E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" s="2">
        <f>TRIM(تفاصيل_الفرق[[#This Row],[المدينة/المحافظة]])</f>
        <v/>
      </c>
      <c r="G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">
      <c r="B9" s="2" t="inlineStr">
        <is>
          <t>تحت 14</t>
        </is>
      </c>
      <c r="C9" s="2" t="inlineStr">
        <is>
          <t>الرياض</t>
        </is>
      </c>
      <c r="D9" s="2">
        <f t="array" ref="D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" s="2">
        <f t="array" ref="E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" s="2">
        <f>TRIM(تفاصيل_الفرق[[#This Row],[المدينة/المحافظة]])</f>
        <v/>
      </c>
      <c r="G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">
      <c r="B10" s="2" t="inlineStr">
        <is>
          <t>تحت 5</t>
        </is>
      </c>
      <c r="C10" s="2" t="inlineStr">
        <is>
          <t>بيش</t>
        </is>
      </c>
      <c r="D10" s="2">
        <f t="array" ref="D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" s="2">
        <f t="array" ref="E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" s="2">
        <f>TRIM(تفاصيل_الفرق[[#This Row],[المدينة/المحافظة]])</f>
        <v/>
      </c>
      <c r="G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">
      <c r="B11" s="2" t="inlineStr">
        <is>
          <t>تحت 7</t>
        </is>
      </c>
      <c r="C11" s="2" t="inlineStr">
        <is>
          <t>بيش</t>
        </is>
      </c>
      <c r="D11" s="2">
        <f t="array" ref="D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" s="2">
        <f t="array" ref="E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" s="2">
        <f>TRIM(تفاصيل_الفرق[[#This Row],[المدينة/المحافظة]])</f>
        <v/>
      </c>
      <c r="G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">
      <c r="B12" s="2" t="inlineStr">
        <is>
          <t>تحت 9</t>
        </is>
      </c>
      <c r="C12" s="2" t="inlineStr">
        <is>
          <t>بيش</t>
        </is>
      </c>
      <c r="D12" s="2">
        <f t="array" ref="D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" s="2">
        <f t="array" ref="E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" s="2">
        <f>TRIM(تفاصيل_الفرق[[#This Row],[المدينة/المحافظة]])</f>
        <v/>
      </c>
      <c r="G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">
      <c r="B13" s="2" t="inlineStr">
        <is>
          <t>تحت 11</t>
        </is>
      </c>
      <c r="C13" s="2" t="inlineStr">
        <is>
          <t>بيش</t>
        </is>
      </c>
      <c r="D13" s="2">
        <f t="array" ref="D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" s="2">
        <f t="array" ref="E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" s="2">
        <f>TRIM(تفاصيل_الفرق[[#This Row],[المدينة/المحافظة]])</f>
        <v/>
      </c>
      <c r="G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">
      <c r="B14" s="2" t="inlineStr">
        <is>
          <t>تحت 12</t>
        </is>
      </c>
      <c r="C14" s="2" t="inlineStr">
        <is>
          <t>بيش</t>
        </is>
      </c>
      <c r="D14" s="2">
        <f t="array" ref="D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" s="2">
        <f t="array" ref="E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" s="2">
        <f>TRIM(تفاصيل_الفرق[[#This Row],[المدينة/المحافظة]])</f>
        <v/>
      </c>
      <c r="G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">
      <c r="B15" s="2" t="inlineStr">
        <is>
          <t>تحت 13</t>
        </is>
      </c>
      <c r="C15" s="2" t="inlineStr">
        <is>
          <t>بيش</t>
        </is>
      </c>
      <c r="D15" s="2">
        <f t="array" ref="D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" s="2">
        <f t="array" ref="E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" s="2">
        <f>TRIM(تفاصيل_الفرق[[#This Row],[المدينة/المحافظة]])</f>
        <v/>
      </c>
      <c r="G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">
      <c r="B16" s="2" t="inlineStr">
        <is>
          <t>تحت 14</t>
        </is>
      </c>
      <c r="C16" s="2" t="inlineStr">
        <is>
          <t>بيش</t>
        </is>
      </c>
      <c r="D16" s="2">
        <f t="array" ref="D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" s="2">
        <f t="array" ref="E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" s="2">
        <f>TRIM(تفاصيل_الفرق[[#This Row],[المدينة/المحافظة]])</f>
        <v/>
      </c>
      <c r="G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">
      <c r="B17" s="2" t="inlineStr">
        <is>
          <t>تحت 5</t>
        </is>
      </c>
      <c r="C17" s="2" t="inlineStr">
        <is>
          <t>جيزان</t>
        </is>
      </c>
      <c r="D17" s="2">
        <f t="array" ref="D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" s="2">
        <f t="array" ref="E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" s="2">
        <f>TRIM(تفاصيل_الفرق[[#This Row],[المدينة/المحافظة]])</f>
        <v/>
      </c>
      <c r="G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">
      <c r="B18" s="2" t="inlineStr">
        <is>
          <t>تحت 7</t>
        </is>
      </c>
      <c r="C18" s="2" t="inlineStr">
        <is>
          <t>جيزان</t>
        </is>
      </c>
      <c r="D18" s="2">
        <f t="array" ref="D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" s="2">
        <f t="array" ref="E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" s="2">
        <f>TRIM(تفاصيل_الفرق[[#This Row],[المدينة/المحافظة]])</f>
        <v/>
      </c>
      <c r="G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">
      <c r="B19" s="2" t="inlineStr">
        <is>
          <t>تحت 9</t>
        </is>
      </c>
      <c r="C19" s="2" t="inlineStr">
        <is>
          <t>جيزان</t>
        </is>
      </c>
      <c r="D19" s="2">
        <f t="array" ref="D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" s="2">
        <f t="array" ref="E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" s="2">
        <f>TRIM(تفاصيل_الفرق[[#This Row],[المدينة/المحافظة]])</f>
        <v/>
      </c>
      <c r="G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">
      <c r="B20" s="2" t="inlineStr">
        <is>
          <t>تحت 11</t>
        </is>
      </c>
      <c r="C20" s="2" t="inlineStr">
        <is>
          <t>جيزان</t>
        </is>
      </c>
      <c r="D20" s="2">
        <f t="array" ref="D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" s="2">
        <f t="array" ref="E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" s="2">
        <f>TRIM(تفاصيل_الفرق[[#This Row],[المدينة/المحافظة]])</f>
        <v/>
      </c>
      <c r="G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">
      <c r="B21" s="2" t="inlineStr">
        <is>
          <t>تحت 12</t>
        </is>
      </c>
      <c r="C21" s="2" t="inlineStr">
        <is>
          <t>جيزان</t>
        </is>
      </c>
      <c r="D21" s="2">
        <f t="array" ref="D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" s="2">
        <f t="array" ref="E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" s="2">
        <f>TRIM(تفاصيل_الفرق[[#This Row],[المدينة/المحافظة]])</f>
        <v/>
      </c>
      <c r="G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">
      <c r="B22" s="2" t="inlineStr">
        <is>
          <t>تحت 13</t>
        </is>
      </c>
      <c r="C22" s="2" t="inlineStr">
        <is>
          <t>جيزان</t>
        </is>
      </c>
      <c r="D22" s="2">
        <f t="array" ref="D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" s="2">
        <f t="array" ref="E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" s="2">
        <f>TRIM(تفاصيل_الفرق[[#This Row],[المدينة/المحافظة]])</f>
        <v/>
      </c>
      <c r="G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">
      <c r="B23" s="2" t="inlineStr">
        <is>
          <t>تحت 14</t>
        </is>
      </c>
      <c r="C23" s="2" t="inlineStr">
        <is>
          <t>جيزان</t>
        </is>
      </c>
      <c r="D23" s="2">
        <f t="array" ref="D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" s="2">
        <f t="array" ref="E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" s="2">
        <f>TRIM(تفاصيل_الفرق[[#This Row],[المدينة/المحافظة]])</f>
        <v/>
      </c>
      <c r="G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">
      <c r="B24" s="2" t="inlineStr">
        <is>
          <t>تحت 5</t>
        </is>
      </c>
      <c r="C24" s="2" t="inlineStr">
        <is>
          <t>محايل عسير</t>
        </is>
      </c>
      <c r="D24" s="2">
        <f t="array" ref="D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" s="2">
        <f t="array" ref="E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" s="2">
        <f>TRIM(تفاصيل_الفرق[[#This Row],[المدينة/المحافظة]])</f>
        <v/>
      </c>
      <c r="G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">
      <c r="B25" s="2" t="inlineStr">
        <is>
          <t>تحت 7</t>
        </is>
      </c>
      <c r="C25" s="2" t="inlineStr">
        <is>
          <t>محايل عسير</t>
        </is>
      </c>
      <c r="D25" s="2">
        <f t="array" ref="D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" s="2">
        <f t="array" ref="E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" s="2">
        <f>TRIM(تفاصيل_الفرق[[#This Row],[المدينة/المحافظة]])</f>
        <v/>
      </c>
      <c r="G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">
      <c r="B26" s="2" t="inlineStr">
        <is>
          <t>تحت 9</t>
        </is>
      </c>
      <c r="C26" s="2" t="inlineStr">
        <is>
          <t>محايل عسير</t>
        </is>
      </c>
      <c r="D26" s="2">
        <f t="array" ref="D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" s="2">
        <f t="array" ref="E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" s="2">
        <f>TRIM(تفاصيل_الفرق[[#This Row],[المدينة/المحافظة]])</f>
        <v/>
      </c>
      <c r="G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">
      <c r="B27" s="2" t="inlineStr">
        <is>
          <t>تحت 11</t>
        </is>
      </c>
      <c r="C27" s="2" t="inlineStr">
        <is>
          <t>محايل عسير</t>
        </is>
      </c>
      <c r="D27" s="2">
        <f t="array" ref="D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" s="2">
        <f t="array" ref="E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" s="2">
        <f>TRIM(تفاصيل_الفرق[[#This Row],[المدينة/المحافظة]])</f>
        <v/>
      </c>
      <c r="G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">
      <c r="B28" s="2" t="inlineStr">
        <is>
          <t>تحت 12</t>
        </is>
      </c>
      <c r="C28" s="2" t="inlineStr">
        <is>
          <t>محايل عسير</t>
        </is>
      </c>
      <c r="D28" s="2">
        <f t="array" ref="D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" s="2">
        <f t="array" ref="E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" s="2">
        <f>TRIM(تفاصيل_الفرق[[#This Row],[المدينة/المحافظة]])</f>
        <v/>
      </c>
      <c r="G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">
      <c r="B29" s="2" t="inlineStr">
        <is>
          <t>تحت 13</t>
        </is>
      </c>
      <c r="C29" s="2" t="inlineStr">
        <is>
          <t>محايل عسير</t>
        </is>
      </c>
      <c r="D29" s="2">
        <f t="array" ref="D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" s="2">
        <f t="array" ref="E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" s="2">
        <f>TRIM(تفاصيل_الفرق[[#This Row],[المدينة/المحافظة]])</f>
        <v/>
      </c>
      <c r="G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">
      <c r="B30" s="2" t="inlineStr">
        <is>
          <t>تحت 14</t>
        </is>
      </c>
      <c r="C30" s="2" t="inlineStr">
        <is>
          <t>محايل عسير</t>
        </is>
      </c>
      <c r="D30" s="2">
        <f t="array" ref="D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" s="2">
        <f t="array" ref="E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" s="2">
        <f>TRIM(تفاصيل_الفرق[[#This Row],[المدينة/المحافظة]])</f>
        <v/>
      </c>
      <c r="G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">
      <c r="B31" s="2" t="inlineStr">
        <is>
          <t>تحت 5</t>
        </is>
      </c>
      <c r="C31" s="2" t="inlineStr">
        <is>
          <t>أبها</t>
        </is>
      </c>
      <c r="D31" s="2">
        <f t="array" ref="D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" s="2">
        <f t="array" ref="E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" s="2">
        <f>TRIM(تفاصيل_الفرق[[#This Row],[المدينة/المحافظة]])</f>
        <v/>
      </c>
      <c r="G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">
      <c r="B32" s="2" t="inlineStr">
        <is>
          <t>تحت 7</t>
        </is>
      </c>
      <c r="C32" s="2" t="inlineStr">
        <is>
          <t>أبها</t>
        </is>
      </c>
      <c r="D32" s="2">
        <f t="array" ref="D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" s="2">
        <f t="array" ref="E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" s="2">
        <f>TRIM(تفاصيل_الفرق[[#This Row],[المدينة/المحافظة]])</f>
        <v/>
      </c>
      <c r="G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">
      <c r="B33" s="2" t="inlineStr">
        <is>
          <t>تحت 9</t>
        </is>
      </c>
      <c r="C33" s="2" t="inlineStr">
        <is>
          <t>أبها</t>
        </is>
      </c>
      <c r="D33" s="2">
        <f t="array" ref="D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" s="2">
        <f t="array" ref="E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" s="2">
        <f>TRIM(تفاصيل_الفرق[[#This Row],[المدينة/المحافظة]])</f>
        <v/>
      </c>
      <c r="G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">
      <c r="B34" s="2" t="inlineStr">
        <is>
          <t>تحت 11</t>
        </is>
      </c>
      <c r="C34" s="2" t="inlineStr">
        <is>
          <t>أبها</t>
        </is>
      </c>
      <c r="D34" s="2">
        <f t="array" ref="D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" s="2">
        <f t="array" ref="E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" s="2">
        <f>TRIM(تفاصيل_الفرق[[#This Row],[المدينة/المحافظة]])</f>
        <v/>
      </c>
      <c r="G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">
      <c r="B35" s="2" t="inlineStr">
        <is>
          <t>تحت 12</t>
        </is>
      </c>
      <c r="C35" s="2" t="inlineStr">
        <is>
          <t>أبها</t>
        </is>
      </c>
      <c r="D35" s="2">
        <f t="array" ref="D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" s="2">
        <f t="array" ref="E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" s="2">
        <f>TRIM(تفاصيل_الفرق[[#This Row],[المدينة/المحافظة]])</f>
        <v/>
      </c>
      <c r="G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">
      <c r="B36" s="2" t="inlineStr">
        <is>
          <t>تحت 13</t>
        </is>
      </c>
      <c r="C36" s="2" t="inlineStr">
        <is>
          <t>أبها</t>
        </is>
      </c>
      <c r="D36" s="2">
        <f t="array" ref="D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" s="2">
        <f t="array" ref="E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" s="2">
        <f>TRIM(تفاصيل_الفرق[[#This Row],[المدينة/المحافظة]])</f>
        <v/>
      </c>
      <c r="G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">
      <c r="B37" s="2" t="inlineStr">
        <is>
          <t>تحت 14</t>
        </is>
      </c>
      <c r="C37" s="2" t="inlineStr">
        <is>
          <t>أبها</t>
        </is>
      </c>
      <c r="D37" s="2">
        <f t="array" ref="D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" s="2">
        <f t="array" ref="E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" s="2">
        <f>TRIM(تفاصيل_الفرق[[#This Row],[المدينة/المحافظة]])</f>
        <v/>
      </c>
      <c r="G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">
      <c r="B38" s="2" t="inlineStr">
        <is>
          <t>تحت 5</t>
        </is>
      </c>
      <c r="C38" s="2" t="inlineStr">
        <is>
          <t>خميس مشيط</t>
        </is>
      </c>
      <c r="D38" s="2">
        <f t="array" ref="D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" s="2">
        <f t="array" ref="E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" s="2">
        <f>TRIM(تفاصيل_الفرق[[#This Row],[المدينة/المحافظة]])</f>
        <v/>
      </c>
      <c r="G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">
      <c r="B39" s="2" t="inlineStr">
        <is>
          <t>تحت 7</t>
        </is>
      </c>
      <c r="C39" s="2" t="inlineStr">
        <is>
          <t>خميس مشيط</t>
        </is>
      </c>
      <c r="D39" s="2">
        <f t="array" ref="D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" s="2">
        <f t="array" ref="E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" s="2">
        <f>TRIM(تفاصيل_الفرق[[#This Row],[المدينة/المحافظة]])</f>
        <v/>
      </c>
      <c r="G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">
      <c r="B40" s="2" t="inlineStr">
        <is>
          <t>تحت 9</t>
        </is>
      </c>
      <c r="C40" s="2" t="inlineStr">
        <is>
          <t>خميس مشيط</t>
        </is>
      </c>
      <c r="D40" s="2">
        <f t="array" ref="D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" s="2">
        <f t="array" ref="E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" s="2">
        <f>TRIM(تفاصيل_الفرق[[#This Row],[المدينة/المحافظة]])</f>
        <v/>
      </c>
      <c r="G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1">
      <c r="B41" s="2" t="inlineStr">
        <is>
          <t>تحت 11</t>
        </is>
      </c>
      <c r="C41" s="2" t="inlineStr">
        <is>
          <t>خميس مشيط</t>
        </is>
      </c>
      <c r="D41" s="2">
        <f t="array" ref="D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" s="2">
        <f t="array" ref="E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1" s="2">
        <f>TRIM(تفاصيل_الفرق[[#This Row],[المدينة/المحافظة]])</f>
        <v/>
      </c>
      <c r="G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2">
      <c r="B42" s="2" t="inlineStr">
        <is>
          <t>تحت 12</t>
        </is>
      </c>
      <c r="C42" s="2" t="inlineStr">
        <is>
          <t>خميس مشيط</t>
        </is>
      </c>
      <c r="D42" s="2">
        <f t="array" ref="D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" s="2">
        <f t="array" ref="E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2" s="2">
        <f>TRIM(تفاصيل_الفرق[[#This Row],[المدينة/المحافظة]])</f>
        <v/>
      </c>
      <c r="G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">
      <c r="B43" s="2" t="inlineStr">
        <is>
          <t>تحت 13</t>
        </is>
      </c>
      <c r="C43" s="2" t="inlineStr">
        <is>
          <t>خميس مشيط</t>
        </is>
      </c>
      <c r="D43" s="2">
        <f t="array" ref="D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" s="2">
        <f t="array" ref="E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" s="2">
        <f>TRIM(تفاصيل_الفرق[[#This Row],[المدينة/المحافظة]])</f>
        <v/>
      </c>
      <c r="G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">
      <c r="B44" s="2" t="inlineStr">
        <is>
          <t>تحت 14</t>
        </is>
      </c>
      <c r="C44" s="2" t="inlineStr">
        <is>
          <t>خميس مشيط</t>
        </is>
      </c>
      <c r="D44" s="2">
        <f t="array" ref="D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" s="2">
        <f t="array" ref="E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" s="2">
        <f>TRIM(تفاصيل_الفرق[[#This Row],[المدينة/المحافظة]])</f>
        <v/>
      </c>
      <c r="G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">
      <c r="B45" s="2" t="inlineStr">
        <is>
          <t>تحت 5</t>
        </is>
      </c>
      <c r="C45" s="2" t="inlineStr">
        <is>
          <t>أبو عريش</t>
        </is>
      </c>
      <c r="D45" s="2">
        <f t="array" ref="D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" s="2">
        <f t="array" ref="E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" s="2">
        <f>TRIM(تفاصيل_الفرق[[#This Row],[المدينة/المحافظة]])</f>
        <v/>
      </c>
      <c r="G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">
      <c r="B46" s="2" t="inlineStr">
        <is>
          <t>تحت 7</t>
        </is>
      </c>
      <c r="C46" s="2" t="inlineStr">
        <is>
          <t>أبو عريش</t>
        </is>
      </c>
      <c r="D46" s="2">
        <f t="array" ref="D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" s="2">
        <f t="array" ref="E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" s="2">
        <f>TRIM(تفاصيل_الفرق[[#This Row],[المدينة/المحافظة]])</f>
        <v/>
      </c>
      <c r="G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7">
      <c r="B47" s="2" t="inlineStr">
        <is>
          <t>تحت 9</t>
        </is>
      </c>
      <c r="C47" s="2" t="inlineStr">
        <is>
          <t>أبو عريش</t>
        </is>
      </c>
      <c r="D47" s="2">
        <f t="array" ref="D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7" s="2">
        <f t="array" ref="E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7" s="2">
        <f>TRIM(تفاصيل_الفرق[[#This Row],[المدينة/المحافظة]])</f>
        <v/>
      </c>
      <c r="G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8">
      <c r="B48" s="2" t="inlineStr">
        <is>
          <t>تحت 11</t>
        </is>
      </c>
      <c r="C48" s="2" t="inlineStr">
        <is>
          <t>أبو عريش</t>
        </is>
      </c>
      <c r="D48" s="2">
        <f t="array" ref="D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8" s="2">
        <f t="array" ref="E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8" s="2">
        <f>TRIM(تفاصيل_الفرق[[#This Row],[المدينة/المحافظة]])</f>
        <v/>
      </c>
      <c r="G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9">
      <c r="B49" s="2" t="inlineStr">
        <is>
          <t>تحت 12</t>
        </is>
      </c>
      <c r="C49" s="2" t="inlineStr">
        <is>
          <t>أبو عريش</t>
        </is>
      </c>
      <c r="D49" s="2">
        <f t="array" ref="D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9" s="2">
        <f t="array" ref="E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9" s="2">
        <f>TRIM(تفاصيل_الفرق[[#This Row],[المدينة/المحافظة]])</f>
        <v/>
      </c>
      <c r="G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0">
      <c r="B50" s="2" t="inlineStr">
        <is>
          <t>تحت 13</t>
        </is>
      </c>
      <c r="C50" s="2" t="inlineStr">
        <is>
          <t>أبو عريش</t>
        </is>
      </c>
      <c r="D50" s="2">
        <f t="array" ref="D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0" s="2">
        <f t="array" ref="E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0" s="2">
        <f>TRIM(تفاصيل_الفرق[[#This Row],[المدينة/المحافظة]])</f>
        <v/>
      </c>
      <c r="G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1">
      <c r="B51" s="2" t="inlineStr">
        <is>
          <t>تحت 14</t>
        </is>
      </c>
      <c r="C51" s="2" t="inlineStr">
        <is>
          <t>أبو عريش</t>
        </is>
      </c>
      <c r="D51" s="2">
        <f t="array" ref="D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1" s="2">
        <f t="array" ref="E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1" s="2">
        <f>TRIM(تفاصيل_الفرق[[#This Row],[المدينة/المحافظة]])</f>
        <v/>
      </c>
      <c r="G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2">
      <c r="B52" s="2" t="inlineStr">
        <is>
          <t>تحت 5</t>
        </is>
      </c>
      <c r="C52" s="2" t="inlineStr">
        <is>
          <t>الأحساء</t>
        </is>
      </c>
      <c r="D52" s="2">
        <f t="array" ref="D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2" s="2">
        <f t="array" ref="E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2" s="2">
        <f>TRIM(تفاصيل_الفرق[[#This Row],[المدينة/المحافظة]])</f>
        <v/>
      </c>
      <c r="G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3">
      <c r="B53" s="2" t="inlineStr">
        <is>
          <t>تحت 7</t>
        </is>
      </c>
      <c r="C53" s="2" t="inlineStr">
        <is>
          <t>الأحساء</t>
        </is>
      </c>
      <c r="D53" s="2">
        <f t="array" ref="D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3" s="2">
        <f t="array" ref="E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3" s="2">
        <f>TRIM(تفاصيل_الفرق[[#This Row],[المدينة/المحافظة]])</f>
        <v/>
      </c>
      <c r="G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4">
      <c r="B54" s="2" t="inlineStr">
        <is>
          <t>تحت 9</t>
        </is>
      </c>
      <c r="C54" s="2" t="inlineStr">
        <is>
          <t>الأحساء</t>
        </is>
      </c>
      <c r="D54" s="2">
        <f t="array" ref="D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4" s="2">
        <f t="array" ref="E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4" s="2">
        <f>TRIM(تفاصيل_الفرق[[#This Row],[المدينة/المحافظة]])</f>
        <v/>
      </c>
      <c r="G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5">
      <c r="B55" s="2" t="inlineStr">
        <is>
          <t>تحت 11</t>
        </is>
      </c>
      <c r="C55" s="2" t="inlineStr">
        <is>
          <t>الأحساء</t>
        </is>
      </c>
      <c r="D55" s="2">
        <f t="array" ref="D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5" s="2">
        <f t="array" ref="E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5" s="2">
        <f>TRIM(تفاصيل_الفرق[[#This Row],[المدينة/المحافظة]])</f>
        <v/>
      </c>
      <c r="G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6">
      <c r="B56" s="2" t="inlineStr">
        <is>
          <t>تحت 12</t>
        </is>
      </c>
      <c r="C56" s="2" t="inlineStr">
        <is>
          <t>الأحساء</t>
        </is>
      </c>
      <c r="D56" s="2">
        <f t="array" ref="D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6" s="2">
        <f t="array" ref="E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6" s="2">
        <f>TRIM(تفاصيل_الفرق[[#This Row],[المدينة/المحافظة]])</f>
        <v/>
      </c>
      <c r="G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7">
      <c r="B57" s="2" t="inlineStr">
        <is>
          <t>تحت 13</t>
        </is>
      </c>
      <c r="C57" s="2" t="inlineStr">
        <is>
          <t>الأحساء</t>
        </is>
      </c>
      <c r="D57" s="2">
        <f t="array" ref="D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7" s="2">
        <f t="array" ref="E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7" s="2">
        <f>TRIM(تفاصيل_الفرق[[#This Row],[المدينة/المحافظة]])</f>
        <v/>
      </c>
      <c r="G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8">
      <c r="B58" s="2" t="inlineStr">
        <is>
          <t>تحت 14</t>
        </is>
      </c>
      <c r="C58" s="2" t="inlineStr">
        <is>
          <t>الأحساء</t>
        </is>
      </c>
      <c r="D58" s="2">
        <f t="array" ref="D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8" s="2">
        <f t="array" ref="E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8" s="2">
        <f>TRIM(تفاصيل_الفرق[[#This Row],[المدينة/المحافظة]])</f>
        <v/>
      </c>
      <c r="G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59">
      <c r="B59" s="2" t="inlineStr">
        <is>
          <t>تحت 5</t>
        </is>
      </c>
      <c r="C59" s="2" t="inlineStr">
        <is>
          <t>الباحة</t>
        </is>
      </c>
      <c r="D59" s="2">
        <f t="array" ref="D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59" s="2">
        <f t="array" ref="E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59" s="2">
        <f>TRIM(تفاصيل_الفرق[[#This Row],[المدينة/المحافظة]])</f>
        <v/>
      </c>
      <c r="G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0">
      <c r="B60" s="2" t="inlineStr">
        <is>
          <t>تحت 7</t>
        </is>
      </c>
      <c r="C60" s="2" t="inlineStr">
        <is>
          <t>الباحة</t>
        </is>
      </c>
      <c r="D60" s="2">
        <f t="array" ref="D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0" s="2">
        <f t="array" ref="E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0" s="2">
        <f>TRIM(تفاصيل_الفرق[[#This Row],[المدينة/المحافظة]])</f>
        <v/>
      </c>
      <c r="G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1">
      <c r="B61" s="2" t="inlineStr">
        <is>
          <t>تحت 9</t>
        </is>
      </c>
      <c r="C61" s="2" t="inlineStr">
        <is>
          <t>الباحة</t>
        </is>
      </c>
      <c r="D61" s="2">
        <f t="array" ref="D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1" s="2">
        <f t="array" ref="E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1" s="2">
        <f>TRIM(تفاصيل_الفرق[[#This Row],[المدينة/المحافظة]])</f>
        <v/>
      </c>
      <c r="G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2">
      <c r="B62" s="2" t="inlineStr">
        <is>
          <t>تحت 11</t>
        </is>
      </c>
      <c r="C62" s="2" t="inlineStr">
        <is>
          <t>الباحة</t>
        </is>
      </c>
      <c r="D62" s="2">
        <f t="array" ref="D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2" s="2">
        <f t="array" ref="E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2" s="2">
        <f>TRIM(تفاصيل_الفرق[[#This Row],[المدينة/المحافظة]])</f>
        <v/>
      </c>
      <c r="G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3">
      <c r="B63" s="2" t="inlineStr">
        <is>
          <t>تحت 12</t>
        </is>
      </c>
      <c r="C63" s="2" t="inlineStr">
        <is>
          <t>الباحة</t>
        </is>
      </c>
      <c r="D63" s="2">
        <f t="array" ref="D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3" s="2">
        <f t="array" ref="E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3" s="2">
        <f>TRIM(تفاصيل_الفرق[[#This Row],[المدينة/المحافظة]])</f>
        <v/>
      </c>
      <c r="G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4">
      <c r="B64" s="2" t="inlineStr">
        <is>
          <t>تحت 13</t>
        </is>
      </c>
      <c r="C64" s="2" t="inlineStr">
        <is>
          <t>الباحة</t>
        </is>
      </c>
      <c r="D64" s="2">
        <f t="array" ref="D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4" s="2">
        <f t="array" ref="E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4" s="2">
        <f>TRIM(تفاصيل_الفرق[[#This Row],[المدينة/المحافظة]])</f>
        <v/>
      </c>
      <c r="G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5">
      <c r="B65" s="2" t="inlineStr">
        <is>
          <t>تحت 14</t>
        </is>
      </c>
      <c r="C65" s="2" t="inlineStr">
        <is>
          <t>الباحة</t>
        </is>
      </c>
      <c r="D65" s="2">
        <f t="array" ref="D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5" s="2">
        <f t="array" ref="E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5" s="2">
        <f>TRIM(تفاصيل_الفرق[[#This Row],[المدينة/المحافظة]])</f>
        <v/>
      </c>
      <c r="G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6">
      <c r="B66" s="2" t="inlineStr">
        <is>
          <t>تحت 5</t>
        </is>
      </c>
      <c r="C66" s="2" t="inlineStr">
        <is>
          <t>بلجرشي</t>
        </is>
      </c>
      <c r="D66" s="2">
        <f t="array" ref="D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6" s="2">
        <f t="array" ref="E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6" s="2">
        <f>TRIM(تفاصيل_الفرق[[#This Row],[المدينة/المحافظة]])</f>
        <v/>
      </c>
      <c r="G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7">
      <c r="B67" s="2" t="inlineStr">
        <is>
          <t>تحت 7</t>
        </is>
      </c>
      <c r="C67" s="2" t="inlineStr">
        <is>
          <t>بلجرشي</t>
        </is>
      </c>
      <c r="D67" s="2">
        <f t="array" ref="D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7" s="2">
        <f t="array" ref="E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7" s="2">
        <f>TRIM(تفاصيل_الفرق[[#This Row],[المدينة/المحافظة]])</f>
        <v/>
      </c>
      <c r="G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8">
      <c r="B68" s="2" t="inlineStr">
        <is>
          <t>تحت 9</t>
        </is>
      </c>
      <c r="C68" s="2" t="inlineStr">
        <is>
          <t>بلجرشي</t>
        </is>
      </c>
      <c r="D68" s="2">
        <f t="array" ref="D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8" s="2">
        <f t="array" ref="E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8" s="2">
        <f>TRIM(تفاصيل_الفرق[[#This Row],[المدينة/المحافظة]])</f>
        <v/>
      </c>
      <c r="G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69">
      <c r="B69" s="2" t="inlineStr">
        <is>
          <t>تحت 11</t>
        </is>
      </c>
      <c r="C69" s="2" t="inlineStr">
        <is>
          <t>بلجرشي</t>
        </is>
      </c>
      <c r="D69" s="2">
        <f t="array" ref="D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69" s="2">
        <f t="array" ref="E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69" s="2">
        <f>TRIM(تفاصيل_الفرق[[#This Row],[المدينة/المحافظة]])</f>
        <v/>
      </c>
      <c r="G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0">
      <c r="B70" s="2" t="inlineStr">
        <is>
          <t>تحت 12</t>
        </is>
      </c>
      <c r="C70" s="2" t="inlineStr">
        <is>
          <t>بلجرشي</t>
        </is>
      </c>
      <c r="D70" s="2">
        <f t="array" ref="D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0" s="2">
        <f t="array" ref="E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0" s="2">
        <f>TRIM(تفاصيل_الفرق[[#This Row],[المدينة/المحافظة]])</f>
        <v/>
      </c>
      <c r="G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1">
      <c r="B71" s="2" t="inlineStr">
        <is>
          <t>تحت 13</t>
        </is>
      </c>
      <c r="C71" s="2" t="inlineStr">
        <is>
          <t>بلجرشي</t>
        </is>
      </c>
      <c r="D71" s="2">
        <f t="array" ref="D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1" s="2">
        <f t="array" ref="E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1" s="2">
        <f>TRIM(تفاصيل_الفرق[[#This Row],[المدينة/المحافظة]])</f>
        <v/>
      </c>
      <c r="G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2">
      <c r="B72" s="2" t="inlineStr">
        <is>
          <t>تحت 14</t>
        </is>
      </c>
      <c r="C72" s="2" t="inlineStr">
        <is>
          <t>بلجرشي</t>
        </is>
      </c>
      <c r="D72" s="2">
        <f t="array" ref="D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2" s="2">
        <f t="array" ref="E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2" s="2">
        <f>TRIM(تفاصيل_الفرق[[#This Row],[المدينة/المحافظة]])</f>
        <v/>
      </c>
      <c r="G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3">
      <c r="B73" s="2" t="inlineStr">
        <is>
          <t>تحت 5</t>
        </is>
      </c>
      <c r="C73" s="2" t="inlineStr">
        <is>
          <t>بلقرن</t>
        </is>
      </c>
      <c r="D73" s="2">
        <f t="array" ref="D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3" s="2">
        <f t="array" ref="E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3" s="2">
        <f>TRIM(تفاصيل_الفرق[[#This Row],[المدينة/المحافظة]])</f>
        <v/>
      </c>
      <c r="G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4">
      <c r="B74" s="2" t="inlineStr">
        <is>
          <t>تحت 7</t>
        </is>
      </c>
      <c r="C74" s="2" t="inlineStr">
        <is>
          <t>بلقرن</t>
        </is>
      </c>
      <c r="D74" s="2">
        <f t="array" ref="D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4" s="2">
        <f t="array" ref="E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4" s="2">
        <f>TRIM(تفاصيل_الفرق[[#This Row],[المدينة/المحافظة]])</f>
        <v/>
      </c>
      <c r="G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5">
      <c r="B75" s="2" t="inlineStr">
        <is>
          <t>تحت 9</t>
        </is>
      </c>
      <c r="C75" s="2" t="inlineStr">
        <is>
          <t>بلقرن</t>
        </is>
      </c>
      <c r="D75" s="2">
        <f t="array" ref="D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5" s="2">
        <f t="array" ref="E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5" s="2">
        <f>TRIM(تفاصيل_الفرق[[#This Row],[المدينة/المحافظة]])</f>
        <v/>
      </c>
      <c r="G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6">
      <c r="B76" s="2" t="inlineStr">
        <is>
          <t>تحت 11</t>
        </is>
      </c>
      <c r="C76" s="2" t="inlineStr">
        <is>
          <t>بلقرن</t>
        </is>
      </c>
      <c r="D76" s="2">
        <f t="array" ref="D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6" s="2">
        <f t="array" ref="E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6" s="2">
        <f>TRIM(تفاصيل_الفرق[[#This Row],[المدينة/المحافظة]])</f>
        <v/>
      </c>
      <c r="G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7">
      <c r="B77" s="2" t="inlineStr">
        <is>
          <t>تحت 12</t>
        </is>
      </c>
      <c r="C77" s="2" t="inlineStr">
        <is>
          <t>بلقرن</t>
        </is>
      </c>
      <c r="D77" s="2">
        <f t="array" ref="D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7" s="2">
        <f t="array" ref="E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7" s="2">
        <f>TRIM(تفاصيل_الفرق[[#This Row],[المدينة/المحافظة]])</f>
        <v/>
      </c>
      <c r="G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8">
      <c r="B78" s="2" t="inlineStr">
        <is>
          <t>تحت 13</t>
        </is>
      </c>
      <c r="C78" s="2" t="inlineStr">
        <is>
          <t>بلقرن</t>
        </is>
      </c>
      <c r="D78" s="2">
        <f t="array" ref="D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8" s="2">
        <f t="array" ref="E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8" s="2">
        <f>TRIM(تفاصيل_الفرق[[#This Row],[المدينة/المحافظة]])</f>
        <v/>
      </c>
      <c r="G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79">
      <c r="B79" s="2" t="inlineStr">
        <is>
          <t>تحت 14</t>
        </is>
      </c>
      <c r="C79" s="2" t="inlineStr">
        <is>
          <t>بلقرن</t>
        </is>
      </c>
      <c r="D79" s="2">
        <f t="array" ref="D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79" s="2">
        <f t="array" ref="E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79" s="2">
        <f>TRIM(تفاصيل_الفرق[[#This Row],[المدينة/المحافظة]])</f>
        <v/>
      </c>
      <c r="G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0">
      <c r="B80" s="2" t="inlineStr">
        <is>
          <t>تحت 5</t>
        </is>
      </c>
      <c r="C80" s="2" t="inlineStr">
        <is>
          <t>البكيرية</t>
        </is>
      </c>
      <c r="D80" s="2">
        <f t="array" ref="D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0" s="2">
        <f t="array" ref="E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0" s="2">
        <f>TRIM(تفاصيل_الفرق[[#This Row],[المدينة/المحافظة]])</f>
        <v/>
      </c>
      <c r="G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1">
      <c r="B81" s="2" t="inlineStr">
        <is>
          <t>تحت 7</t>
        </is>
      </c>
      <c r="C81" s="2" t="inlineStr">
        <is>
          <t>البكيرية</t>
        </is>
      </c>
      <c r="D81" s="2">
        <f t="array" ref="D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1" s="2">
        <f t="array" ref="E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1" s="2">
        <f>TRIM(تفاصيل_الفرق[[#This Row],[المدينة/المحافظة]])</f>
        <v/>
      </c>
      <c r="G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2">
      <c r="B82" s="2" t="inlineStr">
        <is>
          <t>تحت 9</t>
        </is>
      </c>
      <c r="C82" s="2" t="inlineStr">
        <is>
          <t>البكيرية</t>
        </is>
      </c>
      <c r="D82" s="2">
        <f t="array" ref="D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2" s="2">
        <f t="array" ref="E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2" s="2">
        <f>TRIM(تفاصيل_الفرق[[#This Row],[المدينة/المحافظة]])</f>
        <v/>
      </c>
      <c r="G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3">
      <c r="B83" s="2" t="inlineStr">
        <is>
          <t>تحت 11</t>
        </is>
      </c>
      <c r="C83" s="2" t="inlineStr">
        <is>
          <t>البكيرية</t>
        </is>
      </c>
      <c r="D83" s="2">
        <f t="array" ref="D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3" s="2">
        <f t="array" ref="E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3" s="2">
        <f>TRIM(تفاصيل_الفرق[[#This Row],[المدينة/المحافظة]])</f>
        <v/>
      </c>
      <c r="G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4">
      <c r="B84" s="2" t="inlineStr">
        <is>
          <t>تحت 12</t>
        </is>
      </c>
      <c r="C84" s="2" t="inlineStr">
        <is>
          <t>البكيرية</t>
        </is>
      </c>
      <c r="D84" s="2">
        <f t="array" ref="D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4" s="2">
        <f t="array" ref="E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4" s="2">
        <f>TRIM(تفاصيل_الفرق[[#This Row],[المدينة/المحافظة]])</f>
        <v/>
      </c>
      <c r="G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5">
      <c r="B85" s="2" t="inlineStr">
        <is>
          <t>تحت 13</t>
        </is>
      </c>
      <c r="C85" s="2" t="inlineStr">
        <is>
          <t>البكيرية</t>
        </is>
      </c>
      <c r="D85" s="2">
        <f t="array" ref="D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5" s="2">
        <f t="array" ref="E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5" s="2">
        <f>TRIM(تفاصيل_الفرق[[#This Row],[المدينة/المحافظة]])</f>
        <v/>
      </c>
      <c r="G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6">
      <c r="B86" s="2" t="inlineStr">
        <is>
          <t>تحت 14</t>
        </is>
      </c>
      <c r="C86" s="2" t="inlineStr">
        <is>
          <t>البكيرية</t>
        </is>
      </c>
      <c r="D86" s="2">
        <f t="array" ref="D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6" s="2">
        <f t="array" ref="E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6" s="2">
        <f>TRIM(تفاصيل_الفرق[[#This Row],[المدينة/المحافظة]])</f>
        <v/>
      </c>
      <c r="G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7">
      <c r="B87" s="2" t="inlineStr">
        <is>
          <t>تحت 5</t>
        </is>
      </c>
      <c r="C87" s="2" t="inlineStr">
        <is>
          <t>سكاكا</t>
        </is>
      </c>
      <c r="D87" s="2">
        <f t="array" ref="D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7" s="2">
        <f t="array" ref="E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7" s="2">
        <f>TRIM(تفاصيل_الفرق[[#This Row],[المدينة/المحافظة]])</f>
        <v/>
      </c>
      <c r="G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8">
      <c r="B88" s="2" t="inlineStr">
        <is>
          <t>تحت 7</t>
        </is>
      </c>
      <c r="C88" s="2" t="inlineStr">
        <is>
          <t>سكاكا</t>
        </is>
      </c>
      <c r="D88" s="2">
        <f t="array" ref="D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8" s="2">
        <f t="array" ref="E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8" s="2">
        <f>TRIM(تفاصيل_الفرق[[#This Row],[المدينة/المحافظة]])</f>
        <v/>
      </c>
      <c r="G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89">
      <c r="B89" s="2" t="inlineStr">
        <is>
          <t>تحت 9</t>
        </is>
      </c>
      <c r="C89" s="2" t="inlineStr">
        <is>
          <t>سكاكا</t>
        </is>
      </c>
      <c r="D89" s="2">
        <f t="array" ref="D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89" s="2">
        <f t="array" ref="E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89" s="2">
        <f>TRIM(تفاصيل_الفرق[[#This Row],[المدينة/المحافظة]])</f>
        <v/>
      </c>
      <c r="G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0">
      <c r="B90" s="2" t="inlineStr">
        <is>
          <t>تحت 11</t>
        </is>
      </c>
      <c r="C90" s="2" t="inlineStr">
        <is>
          <t>سكاكا</t>
        </is>
      </c>
      <c r="D90" s="2">
        <f t="array" ref="D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0" s="2">
        <f t="array" ref="E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0" s="2">
        <f>TRIM(تفاصيل_الفرق[[#This Row],[المدينة/المحافظة]])</f>
        <v/>
      </c>
      <c r="G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1">
      <c r="B91" s="2" t="inlineStr">
        <is>
          <t>تحت 12</t>
        </is>
      </c>
      <c r="C91" s="2" t="inlineStr">
        <is>
          <t>سكاكا</t>
        </is>
      </c>
      <c r="D91" s="2">
        <f t="array" ref="D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1" s="2">
        <f t="array" ref="E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1" s="2">
        <f>TRIM(تفاصيل_الفرق[[#This Row],[المدينة/المحافظة]])</f>
        <v/>
      </c>
      <c r="G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2">
      <c r="B92" s="2" t="inlineStr">
        <is>
          <t>تحت 13</t>
        </is>
      </c>
      <c r="C92" s="2" t="inlineStr">
        <is>
          <t>سكاكا</t>
        </is>
      </c>
      <c r="D92" s="2">
        <f t="array" ref="D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2" s="2">
        <f t="array" ref="E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2" s="2">
        <f>TRIM(تفاصيل_الفرق[[#This Row],[المدينة/المحافظة]])</f>
        <v/>
      </c>
      <c r="G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3">
      <c r="B93" s="2" t="inlineStr">
        <is>
          <t>تحت 14</t>
        </is>
      </c>
      <c r="C93" s="2" t="inlineStr">
        <is>
          <t>سكاكا</t>
        </is>
      </c>
      <c r="D93" s="2">
        <f t="array" ref="D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3" s="2">
        <f t="array" ref="E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3" s="2">
        <f>TRIM(تفاصيل_الفرق[[#This Row],[المدينة/المحافظة]])</f>
        <v/>
      </c>
      <c r="G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4">
      <c r="B94" s="2" t="inlineStr">
        <is>
          <t>تحت 5</t>
        </is>
      </c>
      <c r="C94" s="2" t="inlineStr">
        <is>
          <t>دومة الجندل</t>
        </is>
      </c>
      <c r="D94" s="2">
        <f t="array" ref="D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4" s="2">
        <f t="array" ref="E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4" s="2">
        <f>TRIM(تفاصيل_الفرق[[#This Row],[المدينة/المحافظة]])</f>
        <v/>
      </c>
      <c r="G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5">
      <c r="B95" s="2" t="inlineStr">
        <is>
          <t>تحت 7</t>
        </is>
      </c>
      <c r="C95" s="2" t="inlineStr">
        <is>
          <t>دومة الجندل</t>
        </is>
      </c>
      <c r="D95" s="2">
        <f t="array" ref="D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5" s="2">
        <f t="array" ref="E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5" s="2">
        <f>TRIM(تفاصيل_الفرق[[#This Row],[المدينة/المحافظة]])</f>
        <v/>
      </c>
      <c r="G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6">
      <c r="B96" s="2" t="inlineStr">
        <is>
          <t>تحت 9</t>
        </is>
      </c>
      <c r="C96" s="2" t="inlineStr">
        <is>
          <t>دومة الجندل</t>
        </is>
      </c>
      <c r="D96" s="2">
        <f t="array" ref="D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6" s="2">
        <f t="array" ref="E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6" s="2">
        <f>TRIM(تفاصيل_الفرق[[#This Row],[المدينة/المحافظة]])</f>
        <v/>
      </c>
      <c r="G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7">
      <c r="B97" s="2" t="inlineStr">
        <is>
          <t>تحت 11</t>
        </is>
      </c>
      <c r="C97" s="2" t="inlineStr">
        <is>
          <t>دومة الجندل</t>
        </is>
      </c>
      <c r="D97" s="2">
        <f t="array" ref="D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7" s="2">
        <f t="array" ref="E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7" s="2">
        <f>TRIM(تفاصيل_الفرق[[#This Row],[المدينة/المحافظة]])</f>
        <v/>
      </c>
      <c r="G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8">
      <c r="B98" s="2" t="inlineStr">
        <is>
          <t>تحت 12</t>
        </is>
      </c>
      <c r="C98" s="2" t="inlineStr">
        <is>
          <t>دومة الجندل</t>
        </is>
      </c>
      <c r="D98" s="2">
        <f t="array" ref="D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8" s="2">
        <f t="array" ref="E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8" s="2">
        <f>TRIM(تفاصيل_الفرق[[#This Row],[المدينة/المحافظة]])</f>
        <v/>
      </c>
      <c r="G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99">
      <c r="B99" s="2" t="inlineStr">
        <is>
          <t>تحت 13</t>
        </is>
      </c>
      <c r="C99" s="2" t="inlineStr">
        <is>
          <t>دومة الجندل</t>
        </is>
      </c>
      <c r="D99" s="2">
        <f t="array" ref="D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99" s="2">
        <f t="array" ref="E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99" s="2">
        <f>TRIM(تفاصيل_الفرق[[#This Row],[المدينة/المحافظة]])</f>
        <v/>
      </c>
      <c r="G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0">
      <c r="B100" s="2" t="inlineStr">
        <is>
          <t>تحت 14</t>
        </is>
      </c>
      <c r="C100" s="2" t="inlineStr">
        <is>
          <t>دومة الجندل</t>
        </is>
      </c>
      <c r="D100" s="2">
        <f t="array" ref="D1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0" s="2">
        <f t="array" ref="E1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0" s="2">
        <f>TRIM(تفاصيل_الفرق[[#This Row],[المدينة/المحافظة]])</f>
        <v/>
      </c>
      <c r="G1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1">
      <c r="B101" s="2" t="inlineStr">
        <is>
          <t>تحت 5</t>
        </is>
      </c>
      <c r="C101" s="2" t="inlineStr">
        <is>
          <t>عرعر</t>
        </is>
      </c>
      <c r="D101" s="2">
        <f t="array" ref="D1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1" s="2">
        <f t="array" ref="E1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1" s="2">
        <f>TRIM(تفاصيل_الفرق[[#This Row],[المدينة/المحافظة]])</f>
        <v/>
      </c>
      <c r="G1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2">
      <c r="B102" s="2" t="inlineStr">
        <is>
          <t>تحت 7</t>
        </is>
      </c>
      <c r="C102" s="2" t="inlineStr">
        <is>
          <t>عرعر</t>
        </is>
      </c>
      <c r="D102" s="2">
        <f t="array" ref="D1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2" s="2">
        <f t="array" ref="E1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2" s="2">
        <f>TRIM(تفاصيل_الفرق[[#This Row],[المدينة/المحافظة]])</f>
        <v/>
      </c>
      <c r="G1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3">
      <c r="B103" s="2" t="inlineStr">
        <is>
          <t>تحت 9</t>
        </is>
      </c>
      <c r="C103" s="2" t="inlineStr">
        <is>
          <t>عرعر</t>
        </is>
      </c>
      <c r="D103" s="2">
        <f t="array" ref="D1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3" s="2">
        <f t="array" ref="E1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3" s="2">
        <f>TRIM(تفاصيل_الفرق[[#This Row],[المدينة/المحافظة]])</f>
        <v/>
      </c>
      <c r="G1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4">
      <c r="B104" s="2" t="inlineStr">
        <is>
          <t>تحت 11</t>
        </is>
      </c>
      <c r="C104" s="2" t="inlineStr">
        <is>
          <t>عرعر</t>
        </is>
      </c>
      <c r="D104" s="2">
        <f t="array" ref="D1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4" s="2">
        <f t="array" ref="E1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4" s="2">
        <f>TRIM(تفاصيل_الفرق[[#This Row],[المدينة/المحافظة]])</f>
        <v/>
      </c>
      <c r="G1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5">
      <c r="B105" s="2" t="inlineStr">
        <is>
          <t>تحت 12</t>
        </is>
      </c>
      <c r="C105" s="2" t="inlineStr">
        <is>
          <t>عرعر</t>
        </is>
      </c>
      <c r="D105" s="2">
        <f t="array" ref="D1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5" s="2">
        <f t="array" ref="E1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5" s="2">
        <f>TRIM(تفاصيل_الفرق[[#This Row],[المدينة/المحافظة]])</f>
        <v/>
      </c>
      <c r="G1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6">
      <c r="B106" s="2" t="inlineStr">
        <is>
          <t>تحت 13</t>
        </is>
      </c>
      <c r="C106" s="2" t="inlineStr">
        <is>
          <t>عرعر</t>
        </is>
      </c>
      <c r="D106" s="2">
        <f t="array" ref="D1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6" s="2">
        <f t="array" ref="E1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6" s="2">
        <f>TRIM(تفاصيل_الفرق[[#This Row],[المدينة/المحافظة]])</f>
        <v/>
      </c>
      <c r="G1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7">
      <c r="B107" s="2" t="inlineStr">
        <is>
          <t>تحت 14</t>
        </is>
      </c>
      <c r="C107" s="2" t="inlineStr">
        <is>
          <t>عرعر</t>
        </is>
      </c>
      <c r="D107" s="2">
        <f t="array" ref="D1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7" s="2">
        <f t="array" ref="E1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7" s="2">
        <f>TRIM(تفاصيل_الفرق[[#This Row],[المدينة/المحافظة]])</f>
        <v/>
      </c>
      <c r="G1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8">
      <c r="B108" s="2" t="inlineStr">
        <is>
          <t>تحت 5</t>
        </is>
      </c>
      <c r="C108" s="2" t="inlineStr">
        <is>
          <t>الخرج</t>
        </is>
      </c>
      <c r="D108" s="2">
        <f t="array" ref="D1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8" s="2">
        <f t="array" ref="E1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8" s="2">
        <f>TRIM(تفاصيل_الفرق[[#This Row],[المدينة/المحافظة]])</f>
        <v/>
      </c>
      <c r="G1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09">
      <c r="B109" s="2" t="inlineStr">
        <is>
          <t>تحت 7</t>
        </is>
      </c>
      <c r="C109" s="2" t="inlineStr">
        <is>
          <t>الخرج</t>
        </is>
      </c>
      <c r="D109" s="2">
        <f t="array" ref="D1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09" s="2">
        <f t="array" ref="E1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09" s="2">
        <f>TRIM(تفاصيل_الفرق[[#This Row],[المدينة/المحافظة]])</f>
        <v/>
      </c>
      <c r="G1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0">
      <c r="B110" s="2" t="inlineStr">
        <is>
          <t>تحت 9</t>
        </is>
      </c>
      <c r="C110" s="2" t="inlineStr">
        <is>
          <t>الخرج</t>
        </is>
      </c>
      <c r="D110" s="2">
        <f t="array" ref="D1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0" s="2">
        <f t="array" ref="E1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0" s="2">
        <f>TRIM(تفاصيل_الفرق[[#This Row],[المدينة/المحافظة]])</f>
        <v/>
      </c>
      <c r="G1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1">
      <c r="B111" s="2" t="inlineStr">
        <is>
          <t>تحت 11</t>
        </is>
      </c>
      <c r="C111" s="2" t="inlineStr">
        <is>
          <t>الخرج</t>
        </is>
      </c>
      <c r="D111" s="2">
        <f t="array" ref="D1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1" s="2">
        <f t="array" ref="E1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1" s="2">
        <f>TRIM(تفاصيل_الفرق[[#This Row],[المدينة/المحافظة]])</f>
        <v/>
      </c>
      <c r="G1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2">
      <c r="B112" s="2" t="inlineStr">
        <is>
          <t>تحت 12</t>
        </is>
      </c>
      <c r="C112" s="2" t="inlineStr">
        <is>
          <t>الخرج</t>
        </is>
      </c>
      <c r="D112" s="2">
        <f t="array" ref="D1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2" s="2">
        <f t="array" ref="E1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2" s="2">
        <f>TRIM(تفاصيل_الفرق[[#This Row],[المدينة/المحافظة]])</f>
        <v/>
      </c>
      <c r="G1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3">
      <c r="B113" s="2" t="inlineStr">
        <is>
          <t>تحت 13</t>
        </is>
      </c>
      <c r="C113" s="2" t="inlineStr">
        <is>
          <t>الخرج</t>
        </is>
      </c>
      <c r="D113" s="2">
        <f t="array" ref="D1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3" s="2">
        <f t="array" ref="E1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3" s="2">
        <f>TRIM(تفاصيل_الفرق[[#This Row],[المدينة/المحافظة]])</f>
        <v/>
      </c>
      <c r="G1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4">
      <c r="B114" s="2" t="inlineStr">
        <is>
          <t>تحت 14</t>
        </is>
      </c>
      <c r="C114" s="2" t="inlineStr">
        <is>
          <t>الخرج</t>
        </is>
      </c>
      <c r="D114" s="2">
        <f t="array" ref="D1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4" s="2">
        <f t="array" ref="E1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4" s="2">
        <f>TRIM(تفاصيل_الفرق[[#This Row],[المدينة/المحافظة]])</f>
        <v/>
      </c>
      <c r="G1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5">
      <c r="B115" s="2" t="inlineStr">
        <is>
          <t>تحت 5</t>
        </is>
      </c>
      <c r="C115" s="2" t="inlineStr">
        <is>
          <t>الخفجي</t>
        </is>
      </c>
      <c r="D115" s="2">
        <f t="array" ref="D1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5" s="2">
        <f t="array" ref="E1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5" s="2">
        <f>TRIM(تفاصيل_الفرق[[#This Row],[المدينة/المحافظة]])</f>
        <v/>
      </c>
      <c r="G1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6">
      <c r="B116" s="2" t="inlineStr">
        <is>
          <t>تحت 7</t>
        </is>
      </c>
      <c r="C116" s="2" t="inlineStr">
        <is>
          <t>الخفجي</t>
        </is>
      </c>
      <c r="D116" s="2">
        <f t="array" ref="D1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6" s="2">
        <f t="array" ref="E1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6" s="2">
        <f>TRIM(تفاصيل_الفرق[[#This Row],[المدينة/المحافظة]])</f>
        <v/>
      </c>
      <c r="G1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7">
      <c r="B117" s="2" t="inlineStr">
        <is>
          <t>تحت 9</t>
        </is>
      </c>
      <c r="C117" s="2" t="inlineStr">
        <is>
          <t>الخفجي</t>
        </is>
      </c>
      <c r="D117" s="2">
        <f t="array" ref="D1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7" s="2">
        <f t="array" ref="E1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7" s="2">
        <f>TRIM(تفاصيل_الفرق[[#This Row],[المدينة/المحافظة]])</f>
        <v/>
      </c>
      <c r="G1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8">
      <c r="B118" s="2" t="inlineStr">
        <is>
          <t>تحت 11</t>
        </is>
      </c>
      <c r="C118" s="2" t="inlineStr">
        <is>
          <t>الخفجي</t>
        </is>
      </c>
      <c r="D118" s="2">
        <f t="array" ref="D1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8" s="2">
        <f t="array" ref="E1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8" s="2">
        <f>TRIM(تفاصيل_الفرق[[#This Row],[المدينة/المحافظة]])</f>
        <v/>
      </c>
      <c r="G1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19">
      <c r="B119" s="2" t="inlineStr">
        <is>
          <t>تحت 12</t>
        </is>
      </c>
      <c r="C119" s="2" t="inlineStr">
        <is>
          <t>الخفجي</t>
        </is>
      </c>
      <c r="D119" s="2">
        <f t="array" ref="D1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19" s="2">
        <f t="array" ref="E1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19" s="2">
        <f>TRIM(تفاصيل_الفرق[[#This Row],[المدينة/المحافظة]])</f>
        <v/>
      </c>
      <c r="G1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0">
      <c r="B120" s="2" t="inlineStr">
        <is>
          <t>تحت 13</t>
        </is>
      </c>
      <c r="C120" s="2" t="inlineStr">
        <is>
          <t>الخفجي</t>
        </is>
      </c>
      <c r="D120" s="2">
        <f t="array" ref="D1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0" s="2">
        <f t="array" ref="E1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0" s="2">
        <f>TRIM(تفاصيل_الفرق[[#This Row],[المدينة/المحافظة]])</f>
        <v/>
      </c>
      <c r="G1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1">
      <c r="B121" s="2" t="inlineStr">
        <is>
          <t>تحت 14</t>
        </is>
      </c>
      <c r="C121" s="2" t="inlineStr">
        <is>
          <t>الخفجي</t>
        </is>
      </c>
      <c r="D121" s="2">
        <f t="array" ref="D1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1" s="2">
        <f t="array" ref="E1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1" s="2">
        <f>TRIM(تفاصيل_الفرق[[#This Row],[المدينة/المحافظة]])</f>
        <v/>
      </c>
      <c r="G1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2">
      <c r="B122" s="2" t="inlineStr">
        <is>
          <t>تحت 5</t>
        </is>
      </c>
      <c r="C122" s="2" t="inlineStr">
        <is>
          <t>الرس</t>
        </is>
      </c>
      <c r="D122" s="2">
        <f t="array" ref="D1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2" s="2">
        <f t="array" ref="E1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2" s="2">
        <f>TRIM(تفاصيل_الفرق[[#This Row],[المدينة/المحافظة]])</f>
        <v/>
      </c>
      <c r="G1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3">
      <c r="B123" s="2" t="inlineStr">
        <is>
          <t>تحت 7</t>
        </is>
      </c>
      <c r="C123" s="2" t="inlineStr">
        <is>
          <t>الرس</t>
        </is>
      </c>
      <c r="D123" s="2">
        <f t="array" ref="D1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3" s="2">
        <f t="array" ref="E1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3" s="2">
        <f>TRIM(تفاصيل_الفرق[[#This Row],[المدينة/المحافظة]])</f>
        <v/>
      </c>
      <c r="G1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4">
      <c r="B124" s="2" t="inlineStr">
        <is>
          <t>تحت 9</t>
        </is>
      </c>
      <c r="C124" s="2" t="inlineStr">
        <is>
          <t>الرس</t>
        </is>
      </c>
      <c r="D124" s="2">
        <f t="array" ref="D1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4" s="2">
        <f t="array" ref="E1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4" s="2">
        <f>TRIM(تفاصيل_الفرق[[#This Row],[المدينة/المحافظة]])</f>
        <v/>
      </c>
      <c r="G1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5">
      <c r="B125" s="2" t="inlineStr">
        <is>
          <t>تحت 11</t>
        </is>
      </c>
      <c r="C125" s="2" t="inlineStr">
        <is>
          <t>الرس</t>
        </is>
      </c>
      <c r="D125" s="2">
        <f t="array" ref="D1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5" s="2">
        <f t="array" ref="E1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5" s="2">
        <f>TRIM(تفاصيل_الفرق[[#This Row],[المدينة/المحافظة]])</f>
        <v/>
      </c>
      <c r="G1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6">
      <c r="B126" s="2" t="inlineStr">
        <is>
          <t>تحت 12</t>
        </is>
      </c>
      <c r="C126" s="2" t="inlineStr">
        <is>
          <t>الرس</t>
        </is>
      </c>
      <c r="D126" s="2">
        <f t="array" ref="D1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6" s="2">
        <f t="array" ref="E1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6" s="2">
        <f>TRIM(تفاصيل_الفرق[[#This Row],[المدينة/المحافظة]])</f>
        <v/>
      </c>
      <c r="G1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7">
      <c r="B127" s="2" t="inlineStr">
        <is>
          <t>تحت 13</t>
        </is>
      </c>
      <c r="C127" s="2" t="inlineStr">
        <is>
          <t>الرس</t>
        </is>
      </c>
      <c r="D127" s="2">
        <f t="array" ref="D1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7" s="2">
        <f t="array" ref="E1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7" s="2">
        <f>TRIM(تفاصيل_الفرق[[#This Row],[المدينة/المحافظة]])</f>
        <v/>
      </c>
      <c r="G1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8">
      <c r="B128" s="2" t="inlineStr">
        <is>
          <t>تحت 14</t>
        </is>
      </c>
      <c r="C128" s="2" t="inlineStr">
        <is>
          <t>الرس</t>
        </is>
      </c>
      <c r="D128" s="2">
        <f t="array" ref="D1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8" s="2">
        <f t="array" ref="E1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8" s="2">
        <f>TRIM(تفاصيل_الفرق[[#This Row],[المدينة/المحافظة]])</f>
        <v/>
      </c>
      <c r="G1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29">
      <c r="B129" s="2" t="inlineStr">
        <is>
          <t>تحت 5</t>
        </is>
      </c>
      <c r="C129" s="2" t="inlineStr">
        <is>
          <t>الزلفي</t>
        </is>
      </c>
      <c r="D129" s="2">
        <f t="array" ref="D1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29" s="2">
        <f t="array" ref="E1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29" s="2">
        <f>TRIM(تفاصيل_الفرق[[#This Row],[المدينة/المحافظة]])</f>
        <v/>
      </c>
      <c r="G1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0">
      <c r="B130" s="2" t="inlineStr">
        <is>
          <t>تحت 7</t>
        </is>
      </c>
      <c r="C130" s="2" t="inlineStr">
        <is>
          <t>الزلفي</t>
        </is>
      </c>
      <c r="D130" s="2">
        <f t="array" ref="D1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0" s="2">
        <f t="array" ref="E1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0" s="2">
        <f>TRIM(تفاصيل_الفرق[[#This Row],[المدينة/المحافظة]])</f>
        <v/>
      </c>
      <c r="G1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1">
      <c r="B131" s="2" t="inlineStr">
        <is>
          <t>تحت 9</t>
        </is>
      </c>
      <c r="C131" s="2" t="inlineStr">
        <is>
          <t>الزلفي</t>
        </is>
      </c>
      <c r="D131" s="2">
        <f t="array" ref="D1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1" s="2">
        <f t="array" ref="E1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1" s="2">
        <f>TRIM(تفاصيل_الفرق[[#This Row],[المدينة/المحافظة]])</f>
        <v/>
      </c>
      <c r="G1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2">
      <c r="B132" s="2" t="inlineStr">
        <is>
          <t>تحت 11</t>
        </is>
      </c>
      <c r="C132" s="2" t="inlineStr">
        <is>
          <t>الزلفي</t>
        </is>
      </c>
      <c r="D132" s="2">
        <f t="array" ref="D1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2" s="2">
        <f t="array" ref="E1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2" s="2">
        <f>TRIM(تفاصيل_الفرق[[#This Row],[المدينة/المحافظة]])</f>
        <v/>
      </c>
      <c r="G1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3">
      <c r="B133" s="2" t="inlineStr">
        <is>
          <t>تحت 12</t>
        </is>
      </c>
      <c r="C133" s="2" t="inlineStr">
        <is>
          <t>الزلفي</t>
        </is>
      </c>
      <c r="D133" s="2">
        <f t="array" ref="D1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3" s="2">
        <f t="array" ref="E1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3" s="2">
        <f>TRIM(تفاصيل_الفرق[[#This Row],[المدينة/المحافظة]])</f>
        <v/>
      </c>
      <c r="G1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4">
      <c r="B134" s="2" t="inlineStr">
        <is>
          <t>تحت 13</t>
        </is>
      </c>
      <c r="C134" s="2" t="inlineStr">
        <is>
          <t>الزلفي</t>
        </is>
      </c>
      <c r="D134" s="2">
        <f t="array" ref="D1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4" s="2">
        <f t="array" ref="E1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4" s="2">
        <f>TRIM(تفاصيل_الفرق[[#This Row],[المدينة/المحافظة]])</f>
        <v/>
      </c>
      <c r="G1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5">
      <c r="B135" s="2" t="inlineStr">
        <is>
          <t>تحت 14</t>
        </is>
      </c>
      <c r="C135" s="2" t="inlineStr">
        <is>
          <t>الزلفي</t>
        </is>
      </c>
      <c r="D135" s="2">
        <f t="array" ref="D1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5" s="2">
        <f t="array" ref="E1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5" s="2">
        <f>TRIM(تفاصيل_الفرق[[#This Row],[المدينة/المحافظة]])</f>
        <v/>
      </c>
      <c r="G1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6">
      <c r="B136" s="2" t="inlineStr">
        <is>
          <t>تحت 5</t>
        </is>
      </c>
      <c r="C136" s="2" t="inlineStr">
        <is>
          <t>الظهران</t>
        </is>
      </c>
      <c r="D136" s="2">
        <f t="array" ref="D1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6" s="2">
        <f t="array" ref="E1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6" s="2">
        <f>TRIM(تفاصيل_الفرق[[#This Row],[المدينة/المحافظة]])</f>
        <v/>
      </c>
      <c r="G1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7">
      <c r="B137" s="2" t="inlineStr">
        <is>
          <t>تحت 7</t>
        </is>
      </c>
      <c r="C137" s="2" t="inlineStr">
        <is>
          <t>الظهران</t>
        </is>
      </c>
      <c r="D137" s="2">
        <f t="array" ref="D1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7" s="2">
        <f t="array" ref="E1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7" s="2">
        <f>TRIM(تفاصيل_الفرق[[#This Row],[المدينة/المحافظة]])</f>
        <v/>
      </c>
      <c r="G1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8">
      <c r="B138" s="2" t="inlineStr">
        <is>
          <t>تحت 9</t>
        </is>
      </c>
      <c r="C138" s="2" t="inlineStr">
        <is>
          <t>الظهران</t>
        </is>
      </c>
      <c r="D138" s="2">
        <f t="array" ref="D1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8" s="2">
        <f t="array" ref="E1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8" s="2">
        <f>TRIM(تفاصيل_الفرق[[#This Row],[المدينة/المحافظة]])</f>
        <v/>
      </c>
      <c r="G1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39">
      <c r="B139" s="2" t="inlineStr">
        <is>
          <t>تحت 11</t>
        </is>
      </c>
      <c r="C139" s="2" t="inlineStr">
        <is>
          <t>الظهران</t>
        </is>
      </c>
      <c r="D139" s="2">
        <f t="array" ref="D1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39" s="2">
        <f t="array" ref="E1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39" s="2">
        <f>TRIM(تفاصيل_الفرق[[#This Row],[المدينة/المحافظة]])</f>
        <v/>
      </c>
      <c r="G1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0">
      <c r="B140" s="2" t="inlineStr">
        <is>
          <t>تحت 12</t>
        </is>
      </c>
      <c r="C140" s="2" t="inlineStr">
        <is>
          <t>الظهران</t>
        </is>
      </c>
      <c r="D140" s="2">
        <f t="array" ref="D1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0" s="2">
        <f t="array" ref="E1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0" s="2">
        <f>TRIM(تفاصيل_الفرق[[#This Row],[المدينة/المحافظة]])</f>
        <v/>
      </c>
      <c r="G1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1">
      <c r="B141" s="2" t="inlineStr">
        <is>
          <t>تحت 13</t>
        </is>
      </c>
      <c r="C141" s="2" t="inlineStr">
        <is>
          <t>الظهران</t>
        </is>
      </c>
      <c r="D141" s="2">
        <f t="array" ref="D1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1" s="2">
        <f t="array" ref="E1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1" s="2">
        <f>TRIM(تفاصيل_الفرق[[#This Row],[المدينة/المحافظة]])</f>
        <v/>
      </c>
      <c r="G1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2">
      <c r="B142" s="2" t="inlineStr">
        <is>
          <t>تحت 14</t>
        </is>
      </c>
      <c r="C142" s="2" t="inlineStr">
        <is>
          <t>الظهران</t>
        </is>
      </c>
      <c r="D142" s="2">
        <f t="array" ref="D1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2" s="2">
        <f t="array" ref="E1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2" s="2">
        <f>TRIM(تفاصيل_الفرق[[#This Row],[المدينة/المحافظة]])</f>
        <v/>
      </c>
      <c r="G1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3">
      <c r="B143" s="2" t="inlineStr">
        <is>
          <t>تحت 5</t>
        </is>
      </c>
      <c r="C143" s="2" t="inlineStr">
        <is>
          <t>الخبر</t>
        </is>
      </c>
      <c r="D143" s="2">
        <f t="array" ref="D1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3" s="2">
        <f t="array" ref="E1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3" s="2">
        <f>TRIM(تفاصيل_الفرق[[#This Row],[المدينة/المحافظة]])</f>
        <v/>
      </c>
      <c r="G1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4">
      <c r="B144" s="2" t="inlineStr">
        <is>
          <t>تحت 7</t>
        </is>
      </c>
      <c r="C144" s="2" t="inlineStr">
        <is>
          <t>الخبر</t>
        </is>
      </c>
      <c r="D144" s="2">
        <f t="array" ref="D1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4" s="2">
        <f t="array" ref="E1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4" s="2">
        <f>TRIM(تفاصيل_الفرق[[#This Row],[المدينة/المحافظة]])</f>
        <v/>
      </c>
      <c r="G1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5">
      <c r="B145" s="2" t="inlineStr">
        <is>
          <t>تحت 9</t>
        </is>
      </c>
      <c r="C145" s="2" t="inlineStr">
        <is>
          <t>الخبر</t>
        </is>
      </c>
      <c r="D145" s="2">
        <f t="array" ref="D1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5" s="2">
        <f t="array" ref="E1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5" s="2">
        <f>TRIM(تفاصيل_الفرق[[#This Row],[المدينة/المحافظة]])</f>
        <v/>
      </c>
      <c r="G1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6">
      <c r="B146" s="2" t="inlineStr">
        <is>
          <t>تحت 11</t>
        </is>
      </c>
      <c r="C146" s="2" t="inlineStr">
        <is>
          <t>الخبر</t>
        </is>
      </c>
      <c r="D146" s="2">
        <f t="array" ref="D1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6" s="2">
        <f t="array" ref="E1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6" s="2">
        <f>TRIM(تفاصيل_الفرق[[#This Row],[المدينة/المحافظة]])</f>
        <v/>
      </c>
      <c r="G1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7">
      <c r="B147" s="2" t="inlineStr">
        <is>
          <t>تحت 12</t>
        </is>
      </c>
      <c r="C147" s="2" t="inlineStr">
        <is>
          <t>الخبر</t>
        </is>
      </c>
      <c r="D147" s="2">
        <f t="array" ref="D1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7" s="2">
        <f t="array" ref="E1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7" s="2">
        <f>TRIM(تفاصيل_الفرق[[#This Row],[المدينة/المحافظة]])</f>
        <v/>
      </c>
      <c r="G1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8">
      <c r="B148" s="2" t="inlineStr">
        <is>
          <t>تحت 13</t>
        </is>
      </c>
      <c r="C148" s="2" t="inlineStr">
        <is>
          <t>الخبر</t>
        </is>
      </c>
      <c r="D148" s="2">
        <f t="array" ref="D1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8" s="2">
        <f t="array" ref="E1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8" s="2">
        <f>TRIM(تفاصيل_الفرق[[#This Row],[المدينة/المحافظة]])</f>
        <v/>
      </c>
      <c r="G1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49">
      <c r="B149" s="2" t="inlineStr">
        <is>
          <t>تحت 14</t>
        </is>
      </c>
      <c r="C149" s="2" t="inlineStr">
        <is>
          <t>الخبر</t>
        </is>
      </c>
      <c r="D149" s="2">
        <f t="array" ref="D1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49" s="2">
        <f t="array" ref="E1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49" s="2">
        <f>TRIM(تفاصيل_الفرق[[#This Row],[المدينة/المحافظة]])</f>
        <v/>
      </c>
      <c r="G1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0">
      <c r="B150" s="2" t="inlineStr">
        <is>
          <t>تحت 5</t>
        </is>
      </c>
      <c r="C150" s="2" t="inlineStr">
        <is>
          <t>الدمام</t>
        </is>
      </c>
      <c r="D150" s="2">
        <f t="array" ref="D1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0" s="2">
        <f t="array" ref="E1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0" s="2">
        <f>TRIM(تفاصيل_الفرق[[#This Row],[المدينة/المحافظة]])</f>
        <v/>
      </c>
      <c r="G1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1">
      <c r="B151" s="2" t="inlineStr">
        <is>
          <t>تحت 7</t>
        </is>
      </c>
      <c r="C151" s="2" t="inlineStr">
        <is>
          <t>الدمام</t>
        </is>
      </c>
      <c r="D151" s="2">
        <f t="array" ref="D1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1" s="2">
        <f t="array" ref="E1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1" s="2">
        <f>TRIM(تفاصيل_الفرق[[#This Row],[المدينة/المحافظة]])</f>
        <v/>
      </c>
      <c r="G1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2">
      <c r="B152" s="2" t="inlineStr">
        <is>
          <t>تحت 9</t>
        </is>
      </c>
      <c r="C152" s="2" t="inlineStr">
        <is>
          <t>الدمام</t>
        </is>
      </c>
      <c r="D152" s="2">
        <f t="array" ref="D1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2" s="2">
        <f t="array" ref="E1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2" s="2">
        <f>TRIM(تفاصيل_الفرق[[#This Row],[المدينة/المحافظة]])</f>
        <v/>
      </c>
      <c r="G1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3">
      <c r="B153" s="2" t="inlineStr">
        <is>
          <t>تحت 11</t>
        </is>
      </c>
      <c r="C153" s="2" t="inlineStr">
        <is>
          <t>الدمام</t>
        </is>
      </c>
      <c r="D153" s="2">
        <f t="array" ref="D1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3" s="2">
        <f t="array" ref="E1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3" s="2">
        <f>TRIM(تفاصيل_الفرق[[#This Row],[المدينة/المحافظة]])</f>
        <v/>
      </c>
      <c r="G1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4">
      <c r="B154" s="2" t="inlineStr">
        <is>
          <t>تحت 12</t>
        </is>
      </c>
      <c r="C154" s="2" t="inlineStr">
        <is>
          <t>الدمام</t>
        </is>
      </c>
      <c r="D154" s="2">
        <f t="array" ref="D1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4" s="2">
        <f t="array" ref="E1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4" s="2">
        <f>TRIM(تفاصيل_الفرق[[#This Row],[المدينة/المحافظة]])</f>
        <v/>
      </c>
      <c r="G1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5">
      <c r="B155" s="2" t="inlineStr">
        <is>
          <t>تحت 13</t>
        </is>
      </c>
      <c r="C155" s="2" t="inlineStr">
        <is>
          <t>الدمام</t>
        </is>
      </c>
      <c r="D155" s="2">
        <f t="array" ref="D1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5" s="2">
        <f t="array" ref="E1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5" s="2">
        <f>TRIM(تفاصيل_الفرق[[#This Row],[المدينة/المحافظة]])</f>
        <v/>
      </c>
      <c r="G1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6">
      <c r="B156" s="2" t="inlineStr">
        <is>
          <t>تحت 14</t>
        </is>
      </c>
      <c r="C156" s="2" t="inlineStr">
        <is>
          <t>الدمام</t>
        </is>
      </c>
      <c r="D156" s="2">
        <f t="array" ref="D1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6" s="2">
        <f t="array" ref="E1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6" s="2">
        <f>TRIM(تفاصيل_الفرق[[#This Row],[المدينة/المحافظة]])</f>
        <v/>
      </c>
      <c r="G1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7">
      <c r="B157" s="2" t="inlineStr">
        <is>
          <t>تحت 5</t>
        </is>
      </c>
      <c r="C157" s="2" t="inlineStr">
        <is>
          <t>سيهات</t>
        </is>
      </c>
      <c r="D157" s="2">
        <f t="array" ref="D1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7" s="2">
        <f t="array" ref="E1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7" s="2">
        <f>TRIM(تفاصيل_الفرق[[#This Row],[المدينة/المحافظة]])</f>
        <v/>
      </c>
      <c r="G1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8">
      <c r="B158" s="2" t="inlineStr">
        <is>
          <t>تحت 7</t>
        </is>
      </c>
      <c r="C158" s="2" t="inlineStr">
        <is>
          <t>سيهات</t>
        </is>
      </c>
      <c r="D158" s="2">
        <f t="array" ref="D1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8" s="2">
        <f t="array" ref="E1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8" s="2">
        <f>TRIM(تفاصيل_الفرق[[#This Row],[المدينة/المحافظة]])</f>
        <v/>
      </c>
      <c r="G1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59">
      <c r="B159" s="2" t="inlineStr">
        <is>
          <t>تحت 9</t>
        </is>
      </c>
      <c r="C159" s="2" t="inlineStr">
        <is>
          <t>سيهات</t>
        </is>
      </c>
      <c r="D159" s="2">
        <f t="array" ref="D1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59" s="2">
        <f t="array" ref="E1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59" s="2">
        <f>TRIM(تفاصيل_الفرق[[#This Row],[المدينة/المحافظة]])</f>
        <v/>
      </c>
      <c r="G1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0">
      <c r="B160" s="2" t="inlineStr">
        <is>
          <t>تحت 11</t>
        </is>
      </c>
      <c r="C160" s="2" t="inlineStr">
        <is>
          <t>سيهات</t>
        </is>
      </c>
      <c r="D160" s="2">
        <f t="array" ref="D1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0" s="2">
        <f t="array" ref="E1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0" s="2">
        <f>TRIM(تفاصيل_الفرق[[#This Row],[المدينة/المحافظة]])</f>
        <v/>
      </c>
      <c r="G1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1">
      <c r="B161" s="2" t="inlineStr">
        <is>
          <t>تحت 12</t>
        </is>
      </c>
      <c r="C161" s="2" t="inlineStr">
        <is>
          <t>سيهات</t>
        </is>
      </c>
      <c r="D161" s="2">
        <f t="array" ref="D1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1" s="2">
        <f t="array" ref="E1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1" s="2">
        <f>TRIM(تفاصيل_الفرق[[#This Row],[المدينة/المحافظة]])</f>
        <v/>
      </c>
      <c r="G1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2">
      <c r="B162" s="2" t="inlineStr">
        <is>
          <t>تحت 13</t>
        </is>
      </c>
      <c r="C162" s="2" t="inlineStr">
        <is>
          <t>سيهات</t>
        </is>
      </c>
      <c r="D162" s="2">
        <f t="array" ref="D1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2" s="2">
        <f t="array" ref="E1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2" s="2">
        <f>TRIM(تفاصيل_الفرق[[#This Row],[المدينة/المحافظة]])</f>
        <v/>
      </c>
      <c r="G1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3">
      <c r="B163" s="2" t="inlineStr">
        <is>
          <t>تحت 14</t>
        </is>
      </c>
      <c r="C163" s="2" t="inlineStr">
        <is>
          <t>سيهات</t>
        </is>
      </c>
      <c r="D163" s="2">
        <f t="array" ref="D1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3" s="2">
        <f t="array" ref="E1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3" s="2">
        <f>TRIM(تفاصيل_الفرق[[#This Row],[المدينة/المحافظة]])</f>
        <v/>
      </c>
      <c r="G1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4">
      <c r="B164" s="2" t="inlineStr">
        <is>
          <t>تحت 5</t>
        </is>
      </c>
      <c r="C164" s="2" t="inlineStr">
        <is>
          <t>الطائف</t>
        </is>
      </c>
      <c r="D164" s="2">
        <f t="array" ref="D1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4" s="2">
        <f t="array" ref="E1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4" s="2">
        <f>TRIM(تفاصيل_الفرق[[#This Row],[المدينة/المحافظة]])</f>
        <v/>
      </c>
      <c r="G1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5">
      <c r="B165" s="2" t="inlineStr">
        <is>
          <t>تحت 7</t>
        </is>
      </c>
      <c r="C165" s="2" t="inlineStr">
        <is>
          <t>الطائف</t>
        </is>
      </c>
      <c r="D165" s="2">
        <f t="array" ref="D1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5" s="2">
        <f t="array" ref="E1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5" s="2">
        <f>TRIM(تفاصيل_الفرق[[#This Row],[المدينة/المحافظة]])</f>
        <v/>
      </c>
      <c r="G1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6">
      <c r="B166" s="2" t="inlineStr">
        <is>
          <t>تحت 9</t>
        </is>
      </c>
      <c r="C166" s="2" t="inlineStr">
        <is>
          <t>الطائف</t>
        </is>
      </c>
      <c r="D166" s="2">
        <f t="array" ref="D1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6" s="2">
        <f t="array" ref="E1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6" s="2">
        <f>TRIM(تفاصيل_الفرق[[#This Row],[المدينة/المحافظة]])</f>
        <v/>
      </c>
      <c r="G1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7">
      <c r="B167" s="2" t="inlineStr">
        <is>
          <t>تحت 11</t>
        </is>
      </c>
      <c r="C167" s="2" t="inlineStr">
        <is>
          <t>الطائف</t>
        </is>
      </c>
      <c r="D167" s="2">
        <f t="array" ref="D1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7" s="2">
        <f t="array" ref="E1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7" s="2">
        <f>TRIM(تفاصيل_الفرق[[#This Row],[المدينة/المحافظة]])</f>
        <v/>
      </c>
      <c r="G1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8">
      <c r="B168" s="2" t="inlineStr">
        <is>
          <t>تحت 12</t>
        </is>
      </c>
      <c r="C168" s="2" t="inlineStr">
        <is>
          <t>الطائف</t>
        </is>
      </c>
      <c r="D168" s="2">
        <f t="array" ref="D1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8" s="2">
        <f t="array" ref="E1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8" s="2">
        <f>TRIM(تفاصيل_الفرق[[#This Row],[المدينة/المحافظة]])</f>
        <v/>
      </c>
      <c r="G1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69">
      <c r="B169" s="2" t="inlineStr">
        <is>
          <t>تحت 13</t>
        </is>
      </c>
      <c r="C169" s="2" t="inlineStr">
        <is>
          <t>الطائف</t>
        </is>
      </c>
      <c r="D169" s="2">
        <f t="array" ref="D1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69" s="2">
        <f t="array" ref="E1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69" s="2">
        <f>TRIM(تفاصيل_الفرق[[#This Row],[المدينة/المحافظة]])</f>
        <v/>
      </c>
      <c r="G1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0">
      <c r="B170" s="2" t="inlineStr">
        <is>
          <t>تحت 14</t>
        </is>
      </c>
      <c r="C170" s="2" t="inlineStr">
        <is>
          <t>الطائف</t>
        </is>
      </c>
      <c r="D170" s="2">
        <f t="array" ref="D1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0" s="2">
        <f t="array" ref="E1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0" s="2">
        <f>TRIM(تفاصيل_الفرق[[#This Row],[المدينة/المحافظة]])</f>
        <v/>
      </c>
      <c r="G1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1">
      <c r="B171" s="2" t="inlineStr">
        <is>
          <t>تحت 5</t>
        </is>
      </c>
      <c r="C171" s="2" t="inlineStr">
        <is>
          <t>بريدة</t>
        </is>
      </c>
      <c r="D171" s="2">
        <f t="array" ref="D1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1" s="2">
        <f t="array" ref="E1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1" s="2">
        <f>TRIM(تفاصيل_الفرق[[#This Row],[المدينة/المحافظة]])</f>
        <v/>
      </c>
      <c r="G1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2">
      <c r="B172" s="2" t="inlineStr">
        <is>
          <t>تحت 7</t>
        </is>
      </c>
      <c r="C172" s="2" t="inlineStr">
        <is>
          <t>بريدة</t>
        </is>
      </c>
      <c r="D172" s="2">
        <f t="array" ref="D1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2" s="2">
        <f t="array" ref="E1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2" s="2">
        <f>TRIM(تفاصيل_الفرق[[#This Row],[المدينة/المحافظة]])</f>
        <v/>
      </c>
      <c r="G1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3">
      <c r="B173" s="2" t="inlineStr">
        <is>
          <t>تحت 9</t>
        </is>
      </c>
      <c r="C173" s="2" t="inlineStr">
        <is>
          <t>بريدة</t>
        </is>
      </c>
      <c r="D173" s="2">
        <f t="array" ref="D1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3" s="2">
        <f t="array" ref="E1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3" s="2">
        <f>TRIM(تفاصيل_الفرق[[#This Row],[المدينة/المحافظة]])</f>
        <v/>
      </c>
      <c r="G1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4">
      <c r="B174" s="2" t="inlineStr">
        <is>
          <t>تحت 11</t>
        </is>
      </c>
      <c r="C174" s="2" t="inlineStr">
        <is>
          <t>بريدة</t>
        </is>
      </c>
      <c r="D174" s="2">
        <f t="array" ref="D1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4" s="2">
        <f t="array" ref="E1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4" s="2">
        <f>TRIM(تفاصيل_الفرق[[#This Row],[المدينة/المحافظة]])</f>
        <v/>
      </c>
      <c r="G1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5">
      <c r="B175" s="2" t="inlineStr">
        <is>
          <t>تحت 12</t>
        </is>
      </c>
      <c r="C175" s="2" t="inlineStr">
        <is>
          <t>بريدة</t>
        </is>
      </c>
      <c r="D175" s="2">
        <f t="array" ref="D1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5" s="2">
        <f t="array" ref="E1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5" s="2">
        <f>TRIM(تفاصيل_الفرق[[#This Row],[المدينة/المحافظة]])</f>
        <v/>
      </c>
      <c r="G1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6">
      <c r="B176" s="2" t="inlineStr">
        <is>
          <t>تحت 13</t>
        </is>
      </c>
      <c r="C176" s="2" t="inlineStr">
        <is>
          <t>بريدة</t>
        </is>
      </c>
      <c r="D176" s="2">
        <f t="array" ref="D1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6" s="2">
        <f t="array" ref="E1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6" s="2">
        <f>TRIM(تفاصيل_الفرق[[#This Row],[المدينة/المحافظة]])</f>
        <v/>
      </c>
      <c r="G1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7">
      <c r="B177" s="2" t="inlineStr">
        <is>
          <t>تحت 14</t>
        </is>
      </c>
      <c r="C177" s="2" t="inlineStr">
        <is>
          <t>بريدة</t>
        </is>
      </c>
      <c r="D177" s="2">
        <f t="array" ref="D1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7" s="2">
        <f t="array" ref="E1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7" s="2">
        <f>TRIM(تفاصيل_الفرق[[#This Row],[المدينة/المحافظة]])</f>
        <v/>
      </c>
      <c r="G1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8">
      <c r="B178" s="2" t="inlineStr">
        <is>
          <t>تحت 5</t>
        </is>
      </c>
      <c r="C178" s="2" t="inlineStr">
        <is>
          <t>عيون الجواء</t>
        </is>
      </c>
      <c r="D178" s="2">
        <f t="array" ref="D1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8" s="2">
        <f t="array" ref="E1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8" s="2">
        <f>TRIM(تفاصيل_الفرق[[#This Row],[المدينة/المحافظة]])</f>
        <v/>
      </c>
      <c r="G1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79">
      <c r="B179" s="2" t="inlineStr">
        <is>
          <t>تحت 7</t>
        </is>
      </c>
      <c r="C179" s="2" t="inlineStr">
        <is>
          <t>عيون الجواء</t>
        </is>
      </c>
      <c r="D179" s="2">
        <f t="array" ref="D1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79" s="2">
        <f t="array" ref="E1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79" s="2">
        <f>TRIM(تفاصيل_الفرق[[#This Row],[المدينة/المحافظة]])</f>
        <v/>
      </c>
      <c r="G1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0">
      <c r="B180" s="2" t="inlineStr">
        <is>
          <t>تحت 9</t>
        </is>
      </c>
      <c r="C180" s="2" t="inlineStr">
        <is>
          <t>عيون الجواء</t>
        </is>
      </c>
      <c r="D180" s="2">
        <f t="array" ref="D1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0" s="2">
        <f t="array" ref="E1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0" s="2">
        <f>TRIM(تفاصيل_الفرق[[#This Row],[المدينة/المحافظة]])</f>
        <v/>
      </c>
      <c r="G1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1">
      <c r="B181" s="2" t="inlineStr">
        <is>
          <t>تحت 11</t>
        </is>
      </c>
      <c r="C181" s="2" t="inlineStr">
        <is>
          <t>عيون الجواء</t>
        </is>
      </c>
      <c r="D181" s="2">
        <f t="array" ref="D1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1" s="2">
        <f t="array" ref="E1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1" s="2">
        <f>TRIM(تفاصيل_الفرق[[#This Row],[المدينة/المحافظة]])</f>
        <v/>
      </c>
      <c r="G1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2">
      <c r="B182" s="2" t="inlineStr">
        <is>
          <t>تحت 12</t>
        </is>
      </c>
      <c r="C182" s="2" t="inlineStr">
        <is>
          <t>عيون الجواء</t>
        </is>
      </c>
      <c r="D182" s="2">
        <f t="array" ref="D1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2" s="2">
        <f t="array" ref="E1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2" s="2">
        <f>TRIM(تفاصيل_الفرق[[#This Row],[المدينة/المحافظة]])</f>
        <v/>
      </c>
      <c r="G1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3">
      <c r="B183" s="2" t="inlineStr">
        <is>
          <t>تحت 13</t>
        </is>
      </c>
      <c r="C183" s="2" t="inlineStr">
        <is>
          <t>عيون الجواء</t>
        </is>
      </c>
      <c r="D183" s="2">
        <f t="array" ref="D1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3" s="2">
        <f t="array" ref="E1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3" s="2">
        <f>TRIM(تفاصيل_الفرق[[#This Row],[المدينة/المحافظة]])</f>
        <v/>
      </c>
      <c r="G1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4">
      <c r="B184" s="2" t="inlineStr">
        <is>
          <t>تحت 14</t>
        </is>
      </c>
      <c r="C184" s="2" t="inlineStr">
        <is>
          <t>عيون الجواء</t>
        </is>
      </c>
      <c r="D184" s="2">
        <f t="array" ref="D1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4" s="2">
        <f t="array" ref="E1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4" s="2">
        <f>TRIM(تفاصيل_الفرق[[#This Row],[المدينة/المحافظة]])</f>
        <v/>
      </c>
      <c r="G1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5">
      <c r="B185" s="2" t="inlineStr">
        <is>
          <t>تحت 5</t>
        </is>
      </c>
      <c r="C185" s="2" t="inlineStr">
        <is>
          <t>القطيف</t>
        </is>
      </c>
      <c r="D185" s="2">
        <f t="array" ref="D1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5" s="2">
        <f t="array" ref="E1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5" s="2">
        <f>TRIM(تفاصيل_الفرق[[#This Row],[المدينة/المحافظة]])</f>
        <v/>
      </c>
      <c r="G1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6">
      <c r="B186" s="2" t="inlineStr">
        <is>
          <t>تحت 7</t>
        </is>
      </c>
      <c r="C186" s="2" t="inlineStr">
        <is>
          <t>القطيف</t>
        </is>
      </c>
      <c r="D186" s="2">
        <f t="array" ref="D1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6" s="2">
        <f t="array" ref="E1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6" s="2">
        <f>TRIM(تفاصيل_الفرق[[#This Row],[المدينة/المحافظة]])</f>
        <v/>
      </c>
      <c r="G1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7">
      <c r="B187" s="2" t="inlineStr">
        <is>
          <t>تحت 9</t>
        </is>
      </c>
      <c r="C187" s="2" t="inlineStr">
        <is>
          <t>القطيف</t>
        </is>
      </c>
      <c r="D187" s="2">
        <f t="array" ref="D1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7" s="2">
        <f t="array" ref="E1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7" s="2">
        <f>TRIM(تفاصيل_الفرق[[#This Row],[المدينة/المحافظة]])</f>
        <v/>
      </c>
      <c r="G1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8">
      <c r="B188" s="2" t="inlineStr">
        <is>
          <t>تحت 11</t>
        </is>
      </c>
      <c r="C188" s="2" t="inlineStr">
        <is>
          <t>القطيف</t>
        </is>
      </c>
      <c r="D188" s="2">
        <f t="array" ref="D1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8" s="2">
        <f t="array" ref="E1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8" s="2">
        <f>TRIM(تفاصيل_الفرق[[#This Row],[المدينة/المحافظة]])</f>
        <v/>
      </c>
      <c r="G1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89">
      <c r="B189" s="2" t="inlineStr">
        <is>
          <t>تحت 12</t>
        </is>
      </c>
      <c r="C189" s="2" t="inlineStr">
        <is>
          <t>القطيف</t>
        </is>
      </c>
      <c r="D189" s="2">
        <f t="array" ref="D1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89" s="2">
        <f t="array" ref="E1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89" s="2">
        <f>TRIM(تفاصيل_الفرق[[#This Row],[المدينة/المحافظة]])</f>
        <v/>
      </c>
      <c r="G1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0">
      <c r="B190" s="2" t="inlineStr">
        <is>
          <t>تحت 13</t>
        </is>
      </c>
      <c r="C190" s="2" t="inlineStr">
        <is>
          <t>القطيف</t>
        </is>
      </c>
      <c r="D190" s="2">
        <f t="array" ref="D1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0" s="2">
        <f t="array" ref="E1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0" s="2">
        <f>TRIM(تفاصيل_الفرق[[#This Row],[المدينة/المحافظة]])</f>
        <v/>
      </c>
      <c r="G1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1">
      <c r="B191" s="2" t="inlineStr">
        <is>
          <t>تحت 14</t>
        </is>
      </c>
      <c r="C191" s="2" t="inlineStr">
        <is>
          <t>القطيف</t>
        </is>
      </c>
      <c r="D191" s="2">
        <f t="array" ref="D1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1" s="2">
        <f t="array" ref="E1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1" s="2">
        <f>TRIM(تفاصيل_الفرق[[#This Row],[المدينة/المحافظة]])</f>
        <v/>
      </c>
      <c r="G1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2">
      <c r="B192" s="2" t="inlineStr">
        <is>
          <t>تحت 5</t>
        </is>
      </c>
      <c r="C192" s="2" t="inlineStr">
        <is>
          <t>القنفذة</t>
        </is>
      </c>
      <c r="D192" s="2">
        <f t="array" ref="D1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2" s="2">
        <f t="array" ref="E1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2" s="2">
        <f>TRIM(تفاصيل_الفرق[[#This Row],[المدينة/المحافظة]])</f>
        <v/>
      </c>
      <c r="G1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3">
      <c r="B193" s="2" t="inlineStr">
        <is>
          <t>تحت 7</t>
        </is>
      </c>
      <c r="C193" s="2" t="inlineStr">
        <is>
          <t>القنفذة</t>
        </is>
      </c>
      <c r="D193" s="2">
        <f t="array" ref="D1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3" s="2">
        <f t="array" ref="E1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3" s="2">
        <f>TRIM(تفاصيل_الفرق[[#This Row],[المدينة/المحافظة]])</f>
        <v/>
      </c>
      <c r="G1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4">
      <c r="B194" s="2" t="inlineStr">
        <is>
          <t>تحت 9</t>
        </is>
      </c>
      <c r="C194" s="2" t="inlineStr">
        <is>
          <t>القنفذة</t>
        </is>
      </c>
      <c r="D194" s="2">
        <f t="array" ref="D1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4" s="2">
        <f t="array" ref="E1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4" s="2">
        <f>TRIM(تفاصيل_الفرق[[#This Row],[المدينة/المحافظة]])</f>
        <v/>
      </c>
      <c r="G1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5">
      <c r="B195" s="2" t="inlineStr">
        <is>
          <t>تحت 11</t>
        </is>
      </c>
      <c r="C195" s="2" t="inlineStr">
        <is>
          <t>القنفذة</t>
        </is>
      </c>
      <c r="D195" s="2">
        <f t="array" ref="D1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5" s="2">
        <f t="array" ref="E1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5" s="2">
        <f>TRIM(تفاصيل_الفرق[[#This Row],[المدينة/المحافظة]])</f>
        <v/>
      </c>
      <c r="G1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6">
      <c r="B196" s="2" t="inlineStr">
        <is>
          <t>تحت 12</t>
        </is>
      </c>
      <c r="C196" s="2" t="inlineStr">
        <is>
          <t>القنفذة</t>
        </is>
      </c>
      <c r="D196" s="2">
        <f t="array" ref="D1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6" s="2">
        <f t="array" ref="E1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6" s="2">
        <f>TRIM(تفاصيل_الفرق[[#This Row],[المدينة/المحافظة]])</f>
        <v/>
      </c>
      <c r="G1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7">
      <c r="B197" s="2" t="inlineStr">
        <is>
          <t>تحت 13</t>
        </is>
      </c>
      <c r="C197" s="2" t="inlineStr">
        <is>
          <t>القنفذة</t>
        </is>
      </c>
      <c r="D197" s="2">
        <f t="array" ref="D1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7" s="2">
        <f t="array" ref="E1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7" s="2">
        <f>TRIM(تفاصيل_الفرق[[#This Row],[المدينة/المحافظة]])</f>
        <v/>
      </c>
      <c r="G1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8">
      <c r="B198" s="2" t="inlineStr">
        <is>
          <t>تحت 14</t>
        </is>
      </c>
      <c r="C198" s="2" t="inlineStr">
        <is>
          <t>القنفذة</t>
        </is>
      </c>
      <c r="D198" s="2">
        <f t="array" ref="D1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8" s="2">
        <f t="array" ref="E1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8" s="2">
        <f>TRIM(تفاصيل_الفرق[[#This Row],[المدينة/المحافظة]])</f>
        <v/>
      </c>
      <c r="G1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199">
      <c r="B199" s="2" t="inlineStr">
        <is>
          <t>تحت 5</t>
        </is>
      </c>
      <c r="C199" s="2" t="inlineStr">
        <is>
          <t>الدوادمي</t>
        </is>
      </c>
      <c r="D199" s="2">
        <f t="array" ref="D1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199" s="2">
        <f t="array" ref="E1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199" s="2">
        <f>TRIM(تفاصيل_الفرق[[#This Row],[المدينة/المحافظة]])</f>
        <v/>
      </c>
      <c r="G1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0">
      <c r="B200" s="2" t="inlineStr">
        <is>
          <t>تحت 7</t>
        </is>
      </c>
      <c r="C200" s="2" t="inlineStr">
        <is>
          <t>الدوادمي</t>
        </is>
      </c>
      <c r="D200" s="2">
        <f t="array" ref="D2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0" s="2">
        <f t="array" ref="E2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0" s="2">
        <f>TRIM(تفاصيل_الفرق[[#This Row],[المدينة/المحافظة]])</f>
        <v/>
      </c>
      <c r="G2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1">
      <c r="B201" s="2" t="inlineStr">
        <is>
          <t>تحت 9</t>
        </is>
      </c>
      <c r="C201" s="2" t="inlineStr">
        <is>
          <t>الدوادمي</t>
        </is>
      </c>
      <c r="D201" s="2">
        <f t="array" ref="D2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1" s="2">
        <f t="array" ref="E2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1" s="2">
        <f>TRIM(تفاصيل_الفرق[[#This Row],[المدينة/المحافظة]])</f>
        <v/>
      </c>
      <c r="G2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2">
      <c r="B202" s="2" t="inlineStr">
        <is>
          <t>تحت 11</t>
        </is>
      </c>
      <c r="C202" s="2" t="inlineStr">
        <is>
          <t>الدوادمي</t>
        </is>
      </c>
      <c r="D202" s="2">
        <f t="array" ref="D2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2" s="2">
        <f t="array" ref="E2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2" s="2">
        <f>TRIM(تفاصيل_الفرق[[#This Row],[المدينة/المحافظة]])</f>
        <v/>
      </c>
      <c r="G2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3">
      <c r="B203" s="2" t="inlineStr">
        <is>
          <t>تحت 12</t>
        </is>
      </c>
      <c r="C203" s="2" t="inlineStr">
        <is>
          <t>الدوادمي</t>
        </is>
      </c>
      <c r="D203" s="2">
        <f t="array" ref="D2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3" s="2">
        <f t="array" ref="E2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3" s="2">
        <f>TRIM(تفاصيل_الفرق[[#This Row],[المدينة/المحافظة]])</f>
        <v/>
      </c>
      <c r="G2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4">
      <c r="B204" s="2" t="inlineStr">
        <is>
          <t>تحت 13</t>
        </is>
      </c>
      <c r="C204" s="2" t="inlineStr">
        <is>
          <t>الدوادمي</t>
        </is>
      </c>
      <c r="D204" s="2">
        <f t="array" ref="D2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4" s="2">
        <f t="array" ref="E2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4" s="2">
        <f>TRIM(تفاصيل_الفرق[[#This Row],[المدينة/المحافظة]])</f>
        <v/>
      </c>
      <c r="G2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5">
      <c r="B205" s="2" t="inlineStr">
        <is>
          <t>تحت 14</t>
        </is>
      </c>
      <c r="C205" s="2" t="inlineStr">
        <is>
          <t>الدوادمي</t>
        </is>
      </c>
      <c r="D205" s="2">
        <f t="array" ref="D2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5" s="2">
        <f t="array" ref="E2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5" s="2">
        <f>TRIM(تفاصيل_الفرق[[#This Row],[المدينة/المحافظة]])</f>
        <v/>
      </c>
      <c r="G2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6">
      <c r="B206" s="2" t="inlineStr">
        <is>
          <t>تحت 5</t>
        </is>
      </c>
      <c r="C206" s="2" t="inlineStr">
        <is>
          <t>الليث</t>
        </is>
      </c>
      <c r="D206" s="2">
        <f t="array" ref="D2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6" s="2">
        <f t="array" ref="E2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6" s="2">
        <f>TRIM(تفاصيل_الفرق[[#This Row],[المدينة/المحافظة]])</f>
        <v/>
      </c>
      <c r="G2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7">
      <c r="B207" s="2" t="inlineStr">
        <is>
          <t>تحت 7</t>
        </is>
      </c>
      <c r="C207" s="2" t="inlineStr">
        <is>
          <t>الليث</t>
        </is>
      </c>
      <c r="D207" s="2">
        <f t="array" ref="D2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7" s="2">
        <f t="array" ref="E2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7" s="2">
        <f>TRIM(تفاصيل_الفرق[[#This Row],[المدينة/المحافظة]])</f>
        <v/>
      </c>
      <c r="G2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8">
      <c r="B208" s="2" t="inlineStr">
        <is>
          <t>تحت 9</t>
        </is>
      </c>
      <c r="C208" s="2" t="inlineStr">
        <is>
          <t>الليث</t>
        </is>
      </c>
      <c r="D208" s="2">
        <f t="array" ref="D2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8" s="2">
        <f t="array" ref="E2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8" s="2">
        <f>TRIM(تفاصيل_الفرق[[#This Row],[المدينة/المحافظة]])</f>
        <v/>
      </c>
      <c r="G2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09">
      <c r="B209" s="2" t="inlineStr">
        <is>
          <t>تحت 11</t>
        </is>
      </c>
      <c r="C209" s="2" t="inlineStr">
        <is>
          <t>الليث</t>
        </is>
      </c>
      <c r="D209" s="2">
        <f t="array" ref="D2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09" s="2">
        <f t="array" ref="E2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09" s="2">
        <f>TRIM(تفاصيل_الفرق[[#This Row],[المدينة/المحافظة]])</f>
        <v/>
      </c>
      <c r="G2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0">
      <c r="B210" s="2" t="inlineStr">
        <is>
          <t>تحت 12</t>
        </is>
      </c>
      <c r="C210" s="2" t="inlineStr">
        <is>
          <t>الليث</t>
        </is>
      </c>
      <c r="D210" s="2">
        <f t="array" ref="D2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0" s="2">
        <f t="array" ref="E2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0" s="2">
        <f>TRIM(تفاصيل_الفرق[[#This Row],[المدينة/المحافظة]])</f>
        <v/>
      </c>
      <c r="G2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1">
      <c r="B211" s="2" t="inlineStr">
        <is>
          <t>تحت 13</t>
        </is>
      </c>
      <c r="C211" s="2" t="inlineStr">
        <is>
          <t>الليث</t>
        </is>
      </c>
      <c r="D211" s="2">
        <f t="array" ref="D2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1" s="2">
        <f t="array" ref="E2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1" s="2">
        <f>TRIM(تفاصيل_الفرق[[#This Row],[المدينة/المحافظة]])</f>
        <v/>
      </c>
      <c r="G2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2">
      <c r="B212" s="2" t="inlineStr">
        <is>
          <t>تحت 14</t>
        </is>
      </c>
      <c r="C212" s="2" t="inlineStr">
        <is>
          <t>الليث</t>
        </is>
      </c>
      <c r="D212" s="2">
        <f t="array" ref="D2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2" s="2">
        <f t="array" ref="E2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2" s="2">
        <f>TRIM(تفاصيل_الفرق[[#This Row],[المدينة/المحافظة]])</f>
        <v/>
      </c>
      <c r="G2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3">
      <c r="B213" s="2" t="inlineStr">
        <is>
          <t>تحت 5</t>
        </is>
      </c>
      <c r="C213" s="2" t="inlineStr">
        <is>
          <t>أضم</t>
        </is>
      </c>
      <c r="D213" s="2">
        <f t="array" ref="D2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3" s="2">
        <f t="array" ref="E2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3" s="2">
        <f>TRIM(تفاصيل_الفرق[[#This Row],[المدينة/المحافظة]])</f>
        <v/>
      </c>
      <c r="G2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4">
      <c r="B214" s="2" t="inlineStr">
        <is>
          <t>تحت 7</t>
        </is>
      </c>
      <c r="C214" s="2" t="inlineStr">
        <is>
          <t>أضم</t>
        </is>
      </c>
      <c r="D214" s="2">
        <f t="array" ref="D2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4" s="2">
        <f t="array" ref="E2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4" s="2">
        <f>TRIM(تفاصيل_الفرق[[#This Row],[المدينة/المحافظة]])</f>
        <v/>
      </c>
      <c r="G2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5">
      <c r="B215" s="2" t="inlineStr">
        <is>
          <t>تحت 9</t>
        </is>
      </c>
      <c r="C215" s="2" t="inlineStr">
        <is>
          <t>أضم</t>
        </is>
      </c>
      <c r="D215" s="2">
        <f t="array" ref="D2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5" s="2">
        <f t="array" ref="E2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5" s="2">
        <f>TRIM(تفاصيل_الفرق[[#This Row],[المدينة/المحافظة]])</f>
        <v/>
      </c>
      <c r="G2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6">
      <c r="B216" s="2" t="inlineStr">
        <is>
          <t>تحت 11</t>
        </is>
      </c>
      <c r="C216" s="2" t="inlineStr">
        <is>
          <t>أضم</t>
        </is>
      </c>
      <c r="D216" s="2">
        <f t="array" ref="D2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6" s="2">
        <f t="array" ref="E2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6" s="2">
        <f>TRIM(تفاصيل_الفرق[[#This Row],[المدينة/المحافظة]])</f>
        <v/>
      </c>
      <c r="G2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7">
      <c r="B217" s="2" t="inlineStr">
        <is>
          <t>تحت 12</t>
        </is>
      </c>
      <c r="C217" s="2" t="inlineStr">
        <is>
          <t>أضم</t>
        </is>
      </c>
      <c r="D217" s="2">
        <f t="array" ref="D2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7" s="2">
        <f t="array" ref="E2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7" s="2">
        <f>TRIM(تفاصيل_الفرق[[#This Row],[المدينة/المحافظة]])</f>
        <v/>
      </c>
      <c r="G2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8">
      <c r="B218" s="2" t="inlineStr">
        <is>
          <t>تحت 13</t>
        </is>
      </c>
      <c r="C218" s="2" t="inlineStr">
        <is>
          <t>أضم</t>
        </is>
      </c>
      <c r="D218" s="2">
        <f t="array" ref="D2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8" s="2">
        <f t="array" ref="E2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8" s="2">
        <f>TRIM(تفاصيل_الفرق[[#This Row],[المدينة/المحافظة]])</f>
        <v/>
      </c>
      <c r="G2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19">
      <c r="B219" s="2" t="inlineStr">
        <is>
          <t>تحت 14</t>
        </is>
      </c>
      <c r="C219" s="2" t="inlineStr">
        <is>
          <t>أضم</t>
        </is>
      </c>
      <c r="D219" s="2">
        <f t="array" ref="D2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19" s="2">
        <f t="array" ref="E2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19" s="2">
        <f>TRIM(تفاصيل_الفرق[[#This Row],[المدينة/المحافظة]])</f>
        <v/>
      </c>
      <c r="G2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0">
      <c r="B220" s="2" t="inlineStr">
        <is>
          <t>تحت 5</t>
        </is>
      </c>
      <c r="C220" s="2" t="inlineStr">
        <is>
          <t>المجمعة</t>
        </is>
      </c>
      <c r="D220" s="2">
        <f t="array" ref="D2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0" s="2">
        <f t="array" ref="E2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0" s="2">
        <f>TRIM(تفاصيل_الفرق[[#This Row],[المدينة/المحافظة]])</f>
        <v/>
      </c>
      <c r="G2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1">
      <c r="B221" s="2" t="inlineStr">
        <is>
          <t>تحت 7</t>
        </is>
      </c>
      <c r="C221" s="2" t="inlineStr">
        <is>
          <t>المجمعة</t>
        </is>
      </c>
      <c r="D221" s="2">
        <f t="array" ref="D2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1" s="2">
        <f t="array" ref="E2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1" s="2">
        <f>TRIM(تفاصيل_الفرق[[#This Row],[المدينة/المحافظة]])</f>
        <v/>
      </c>
      <c r="G2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2">
      <c r="B222" s="2" t="inlineStr">
        <is>
          <t>تحت 9</t>
        </is>
      </c>
      <c r="C222" s="2" t="inlineStr">
        <is>
          <t>المجمعة</t>
        </is>
      </c>
      <c r="D222" s="2">
        <f t="array" ref="D2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2" s="2">
        <f t="array" ref="E2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2" s="2">
        <f>TRIM(تفاصيل_الفرق[[#This Row],[المدينة/المحافظة]])</f>
        <v/>
      </c>
      <c r="G2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3">
      <c r="B223" s="2" t="inlineStr">
        <is>
          <t>تحت 11</t>
        </is>
      </c>
      <c r="C223" s="2" t="inlineStr">
        <is>
          <t>المجمعة</t>
        </is>
      </c>
      <c r="D223" s="2">
        <f t="array" ref="D2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3" s="2">
        <f t="array" ref="E2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3" s="2">
        <f>TRIM(تفاصيل_الفرق[[#This Row],[المدينة/المحافظة]])</f>
        <v/>
      </c>
      <c r="G2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4">
      <c r="B224" s="2" t="inlineStr">
        <is>
          <t>تحت 12</t>
        </is>
      </c>
      <c r="C224" s="2" t="inlineStr">
        <is>
          <t>المجمعة</t>
        </is>
      </c>
      <c r="D224" s="2">
        <f t="array" ref="D2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4" s="2">
        <f t="array" ref="E2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4" s="2">
        <f>TRIM(تفاصيل_الفرق[[#This Row],[المدينة/المحافظة]])</f>
        <v/>
      </c>
      <c r="G2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5">
      <c r="B225" s="2" t="inlineStr">
        <is>
          <t>تحت 13</t>
        </is>
      </c>
      <c r="C225" s="2" t="inlineStr">
        <is>
          <t>المجمعة</t>
        </is>
      </c>
      <c r="D225" s="2">
        <f t="array" ref="D2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5" s="2">
        <f t="array" ref="E2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5" s="2">
        <f>TRIM(تفاصيل_الفرق[[#This Row],[المدينة/المحافظة]])</f>
        <v/>
      </c>
      <c r="G2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6">
      <c r="B226" s="2" t="inlineStr">
        <is>
          <t>تحت 14</t>
        </is>
      </c>
      <c r="C226" s="2" t="inlineStr">
        <is>
          <t>المجمعة</t>
        </is>
      </c>
      <c r="D226" s="2">
        <f t="array" ref="D2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6" s="2">
        <f t="array" ref="E2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6" s="2">
        <f>TRIM(تفاصيل_الفرق[[#This Row],[المدينة/المحافظة]])</f>
        <v/>
      </c>
      <c r="G2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7">
      <c r="B227" s="2" t="inlineStr">
        <is>
          <t>تحت 5</t>
        </is>
      </c>
      <c r="C227" s="2" t="inlineStr">
        <is>
          <t>المدينة المنورة</t>
        </is>
      </c>
      <c r="D227" s="2">
        <f t="array" ref="D2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7" s="2">
        <f t="array" ref="E2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7" s="2">
        <f>TRIM(تفاصيل_الفرق[[#This Row],[المدينة/المحافظة]])</f>
        <v/>
      </c>
      <c r="G2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8">
      <c r="B228" s="2" t="inlineStr">
        <is>
          <t>تحت 7</t>
        </is>
      </c>
      <c r="C228" s="2" t="inlineStr">
        <is>
          <t>المدينة المنورة</t>
        </is>
      </c>
      <c r="D228" s="2">
        <f t="array" ref="D2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8" s="2">
        <f t="array" ref="E2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8" s="2">
        <f>TRIM(تفاصيل_الفرق[[#This Row],[المدينة/المحافظة]])</f>
        <v/>
      </c>
      <c r="G2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29">
      <c r="B229" s="2" t="inlineStr">
        <is>
          <t>تحت 9</t>
        </is>
      </c>
      <c r="C229" s="2" t="inlineStr">
        <is>
          <t>المدينة المنورة</t>
        </is>
      </c>
      <c r="D229" s="2">
        <f t="array" ref="D2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29" s="2">
        <f t="array" ref="E2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29" s="2">
        <f>TRIM(تفاصيل_الفرق[[#This Row],[المدينة/المحافظة]])</f>
        <v/>
      </c>
      <c r="G2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0">
      <c r="B230" s="2" t="inlineStr">
        <is>
          <t>تحت 11</t>
        </is>
      </c>
      <c r="C230" s="2" t="inlineStr">
        <is>
          <t>المدينة المنورة</t>
        </is>
      </c>
      <c r="D230" s="2">
        <f t="array" ref="D2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0" s="2">
        <f t="array" ref="E2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0" s="2">
        <f>TRIM(تفاصيل_الفرق[[#This Row],[المدينة/المحافظة]])</f>
        <v/>
      </c>
      <c r="G2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1">
      <c r="B231" s="2" t="inlineStr">
        <is>
          <t>تحت 12</t>
        </is>
      </c>
      <c r="C231" s="2" t="inlineStr">
        <is>
          <t>المدينة المنورة</t>
        </is>
      </c>
      <c r="D231" s="2">
        <f t="array" ref="D2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1" s="2">
        <f t="array" ref="E2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1" s="2">
        <f>TRIM(تفاصيل_الفرق[[#This Row],[المدينة/المحافظة]])</f>
        <v/>
      </c>
      <c r="G2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2">
      <c r="B232" s="2" t="inlineStr">
        <is>
          <t>تحت 13</t>
        </is>
      </c>
      <c r="C232" s="2" t="inlineStr">
        <is>
          <t>المدينة المنورة</t>
        </is>
      </c>
      <c r="D232" s="2">
        <f t="array" ref="D2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2" s="2">
        <f t="array" ref="E2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2" s="2">
        <f>TRIM(تفاصيل_الفرق[[#This Row],[المدينة/المحافظة]])</f>
        <v/>
      </c>
      <c r="G2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3">
      <c r="B233" s="2" t="inlineStr">
        <is>
          <t>تحت 14</t>
        </is>
      </c>
      <c r="C233" s="2" t="inlineStr">
        <is>
          <t>المدينة المنورة</t>
        </is>
      </c>
      <c r="D233" s="2">
        <f t="array" ref="D2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3" s="2">
        <f t="array" ref="E2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3" s="2">
        <f>TRIM(تفاصيل_الفرق[[#This Row],[المدينة/المحافظة]])</f>
        <v/>
      </c>
      <c r="G2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4">
      <c r="B234" s="2" t="inlineStr">
        <is>
          <t>تحت 5</t>
        </is>
      </c>
      <c r="C234" s="2" t="inlineStr">
        <is>
          <t>ينبع</t>
        </is>
      </c>
      <c r="D234" s="2">
        <f t="array" ref="D2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4" s="2">
        <f t="array" ref="E2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4" s="2">
        <f>TRIM(تفاصيل_الفرق[[#This Row],[المدينة/المحافظة]])</f>
        <v/>
      </c>
      <c r="G2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5">
      <c r="B235" s="2" t="inlineStr">
        <is>
          <t>تحت 7</t>
        </is>
      </c>
      <c r="C235" s="2" t="inlineStr">
        <is>
          <t>ينبع</t>
        </is>
      </c>
      <c r="D235" s="2">
        <f t="array" ref="D2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5" s="2">
        <f t="array" ref="E2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5" s="2">
        <f>TRIM(تفاصيل_الفرق[[#This Row],[المدينة/المحافظة]])</f>
        <v/>
      </c>
      <c r="G2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6">
      <c r="B236" s="2" t="inlineStr">
        <is>
          <t>تحت 9</t>
        </is>
      </c>
      <c r="C236" s="2" t="inlineStr">
        <is>
          <t>ينبع</t>
        </is>
      </c>
      <c r="D236" s="2">
        <f t="array" ref="D2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6" s="2">
        <f t="array" ref="E2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6" s="2">
        <f>TRIM(تفاصيل_الفرق[[#This Row],[المدينة/المحافظة]])</f>
        <v/>
      </c>
      <c r="G2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7">
      <c r="B237" s="2" t="inlineStr">
        <is>
          <t>تحت 11</t>
        </is>
      </c>
      <c r="C237" s="2" t="inlineStr">
        <is>
          <t>ينبع</t>
        </is>
      </c>
      <c r="D237" s="2">
        <f t="array" ref="D2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7" s="2">
        <f t="array" ref="E2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7" s="2">
        <f>TRIM(تفاصيل_الفرق[[#This Row],[المدينة/المحافظة]])</f>
        <v/>
      </c>
      <c r="G2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8">
      <c r="B238" s="2" t="inlineStr">
        <is>
          <t>تحت 12</t>
        </is>
      </c>
      <c r="C238" s="2" t="inlineStr">
        <is>
          <t>ينبع</t>
        </is>
      </c>
      <c r="D238" s="2">
        <f t="array" ref="D2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8" s="2">
        <f t="array" ref="E2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8" s="2">
        <f>TRIM(تفاصيل_الفرق[[#This Row],[المدينة/المحافظة]])</f>
        <v/>
      </c>
      <c r="G2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39">
      <c r="B239" s="2" t="inlineStr">
        <is>
          <t>تحت 13</t>
        </is>
      </c>
      <c r="C239" s="2" t="inlineStr">
        <is>
          <t>ينبع</t>
        </is>
      </c>
      <c r="D239" s="2">
        <f t="array" ref="D2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39" s="2">
        <f t="array" ref="E2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39" s="2">
        <f>TRIM(تفاصيل_الفرق[[#This Row],[المدينة/المحافظة]])</f>
        <v/>
      </c>
      <c r="G2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0">
      <c r="B240" s="2" t="inlineStr">
        <is>
          <t>تحت 14</t>
        </is>
      </c>
      <c r="C240" s="2" t="inlineStr">
        <is>
          <t>ينبع</t>
        </is>
      </c>
      <c r="D240" s="2">
        <f t="array" ref="D2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0" s="2">
        <f t="array" ref="E2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0" s="2">
        <f>TRIM(تفاصيل_الفرق[[#This Row],[المدينة/المحافظة]])</f>
        <v/>
      </c>
      <c r="G2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1">
      <c r="B241" s="2" t="inlineStr">
        <is>
          <t>تحت 5</t>
        </is>
      </c>
      <c r="C241" s="2" t="inlineStr">
        <is>
          <t>النماص</t>
        </is>
      </c>
      <c r="D241" s="2">
        <f t="array" ref="D2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1" s="2">
        <f t="array" ref="E2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1" s="2">
        <f>TRIM(تفاصيل_الفرق[[#This Row],[المدينة/المحافظة]])</f>
        <v/>
      </c>
      <c r="G2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2">
      <c r="B242" s="2" t="inlineStr">
        <is>
          <t>تحت 7</t>
        </is>
      </c>
      <c r="C242" s="2" t="inlineStr">
        <is>
          <t>النماص</t>
        </is>
      </c>
      <c r="D242" s="2">
        <f t="array" ref="D2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2" s="2">
        <f t="array" ref="E2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2" s="2">
        <f>TRIM(تفاصيل_الفرق[[#This Row],[المدينة/المحافظة]])</f>
        <v/>
      </c>
      <c r="G2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3">
      <c r="B243" s="2" t="inlineStr">
        <is>
          <t>تحت 9</t>
        </is>
      </c>
      <c r="C243" s="2" t="inlineStr">
        <is>
          <t>النماص</t>
        </is>
      </c>
      <c r="D243" s="2">
        <f t="array" ref="D2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3" s="2">
        <f t="array" ref="E2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3" s="2">
        <f>TRIM(تفاصيل_الفرق[[#This Row],[المدينة/المحافظة]])</f>
        <v/>
      </c>
      <c r="G2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4">
      <c r="B244" s="2" t="inlineStr">
        <is>
          <t>تحت 11</t>
        </is>
      </c>
      <c r="C244" s="2" t="inlineStr">
        <is>
          <t>النماص</t>
        </is>
      </c>
      <c r="D244" s="2">
        <f t="array" ref="D2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4" s="2">
        <f t="array" ref="E2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4" s="2">
        <f>TRIM(تفاصيل_الفرق[[#This Row],[المدينة/المحافظة]])</f>
        <v/>
      </c>
      <c r="G2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5">
      <c r="B245" s="2" t="inlineStr">
        <is>
          <t>تحت 12</t>
        </is>
      </c>
      <c r="C245" s="2" t="inlineStr">
        <is>
          <t>النماص</t>
        </is>
      </c>
      <c r="D245" s="2">
        <f t="array" ref="D2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5" s="2">
        <f t="array" ref="E2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5" s="2">
        <f>TRIM(تفاصيل_الفرق[[#This Row],[المدينة/المحافظة]])</f>
        <v/>
      </c>
      <c r="G2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6">
      <c r="B246" s="2" t="inlineStr">
        <is>
          <t>تحت 13</t>
        </is>
      </c>
      <c r="C246" s="2" t="inlineStr">
        <is>
          <t>النماص</t>
        </is>
      </c>
      <c r="D246" s="2">
        <f t="array" ref="D2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6" s="2">
        <f t="array" ref="E2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6" s="2">
        <f>TRIM(تفاصيل_الفرق[[#This Row],[المدينة/المحافظة]])</f>
        <v/>
      </c>
      <c r="G2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7">
      <c r="B247" s="2" t="inlineStr">
        <is>
          <t>تحت 14</t>
        </is>
      </c>
      <c r="C247" s="2" t="inlineStr">
        <is>
          <t>النماص</t>
        </is>
      </c>
      <c r="D247" s="2">
        <f t="array" ref="D2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7" s="2">
        <f t="array" ref="E2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7" s="2">
        <f>TRIM(تفاصيل_الفرق[[#This Row],[المدينة/المحافظة]])</f>
        <v/>
      </c>
      <c r="G2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8">
      <c r="B248" s="2" t="inlineStr">
        <is>
          <t>تحت 5</t>
        </is>
      </c>
      <c r="C248" s="2" t="inlineStr">
        <is>
          <t>الدرب</t>
        </is>
      </c>
      <c r="D248" s="2">
        <f t="array" ref="D2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8" s="2">
        <f t="array" ref="E2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8" s="2">
        <f>TRIM(تفاصيل_الفرق[[#This Row],[المدينة/المحافظة]])</f>
        <v/>
      </c>
      <c r="G2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49">
      <c r="B249" s="2" t="inlineStr">
        <is>
          <t>تحت 7</t>
        </is>
      </c>
      <c r="C249" s="2" t="inlineStr">
        <is>
          <t>الدرب</t>
        </is>
      </c>
      <c r="D249" s="2">
        <f t="array" ref="D2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49" s="2">
        <f t="array" ref="E2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49" s="2">
        <f>TRIM(تفاصيل_الفرق[[#This Row],[المدينة/المحافظة]])</f>
        <v/>
      </c>
      <c r="G2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0">
      <c r="B250" s="2" t="inlineStr">
        <is>
          <t>تحت 9</t>
        </is>
      </c>
      <c r="C250" s="2" t="inlineStr">
        <is>
          <t>الدرب</t>
        </is>
      </c>
      <c r="D250" s="2">
        <f t="array" ref="D2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0" s="2">
        <f t="array" ref="E2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0" s="2">
        <f>TRIM(تفاصيل_الفرق[[#This Row],[المدينة/المحافظة]])</f>
        <v/>
      </c>
      <c r="G2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1">
      <c r="B251" s="2" t="inlineStr">
        <is>
          <t>تحت 11</t>
        </is>
      </c>
      <c r="C251" s="2" t="inlineStr">
        <is>
          <t>الدرب</t>
        </is>
      </c>
      <c r="D251" s="2">
        <f t="array" ref="D2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1" s="2">
        <f t="array" ref="E2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1" s="2">
        <f>TRIM(تفاصيل_الفرق[[#This Row],[المدينة/المحافظة]])</f>
        <v/>
      </c>
      <c r="G2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2">
      <c r="B252" s="2" t="inlineStr">
        <is>
          <t>تحت 12</t>
        </is>
      </c>
      <c r="C252" s="2" t="inlineStr">
        <is>
          <t>الدرب</t>
        </is>
      </c>
      <c r="D252" s="2">
        <f t="array" ref="D2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2" s="2">
        <f t="array" ref="E2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2" s="2">
        <f>TRIM(تفاصيل_الفرق[[#This Row],[المدينة/المحافظة]])</f>
        <v/>
      </c>
      <c r="G2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3">
      <c r="B253" s="2" t="inlineStr">
        <is>
          <t>تحت 13</t>
        </is>
      </c>
      <c r="C253" s="2" t="inlineStr">
        <is>
          <t>الدرب</t>
        </is>
      </c>
      <c r="D253" s="2">
        <f t="array" ref="D2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3" s="2">
        <f t="array" ref="E2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3" s="2">
        <f>TRIM(تفاصيل_الفرق[[#This Row],[المدينة/المحافظة]])</f>
        <v/>
      </c>
      <c r="G2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4">
      <c r="B254" s="2" t="inlineStr">
        <is>
          <t>تحت 14</t>
        </is>
      </c>
      <c r="C254" s="2" t="inlineStr">
        <is>
          <t>الدرب</t>
        </is>
      </c>
      <c r="D254" s="2">
        <f t="array" ref="D2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4" s="2">
        <f t="array" ref="E2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4" s="2">
        <f>TRIM(تفاصيل_الفرق[[#This Row],[المدينة/المحافظة]])</f>
        <v/>
      </c>
      <c r="G2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5">
      <c r="B255" s="2" t="inlineStr">
        <is>
          <t>تحت 5</t>
        </is>
      </c>
      <c r="C255" s="2" t="inlineStr">
        <is>
          <t>تبوك</t>
        </is>
      </c>
      <c r="D255" s="2">
        <f t="array" ref="D2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5" s="2">
        <f t="array" ref="E2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5" s="2">
        <f>TRIM(تفاصيل_الفرق[[#This Row],[المدينة/المحافظة]])</f>
        <v/>
      </c>
      <c r="G2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6">
      <c r="B256" s="2" t="inlineStr">
        <is>
          <t>تحت 7</t>
        </is>
      </c>
      <c r="C256" s="2" t="inlineStr">
        <is>
          <t>تبوك</t>
        </is>
      </c>
      <c r="D256" s="2">
        <f t="array" ref="D2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6" s="2">
        <f t="array" ref="E2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6" s="2">
        <f>TRIM(تفاصيل_الفرق[[#This Row],[المدينة/المحافظة]])</f>
        <v/>
      </c>
      <c r="G2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7">
      <c r="B257" s="2" t="inlineStr">
        <is>
          <t>تحت 9</t>
        </is>
      </c>
      <c r="C257" s="2" t="inlineStr">
        <is>
          <t>تبوك</t>
        </is>
      </c>
      <c r="D257" s="2">
        <f t="array" ref="D2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7" s="2">
        <f t="array" ref="E2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7" s="2">
        <f>TRIM(تفاصيل_الفرق[[#This Row],[المدينة/المحافظة]])</f>
        <v/>
      </c>
      <c r="G2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8">
      <c r="B258" s="2" t="inlineStr">
        <is>
          <t>تحت 11</t>
        </is>
      </c>
      <c r="C258" s="2" t="inlineStr">
        <is>
          <t>تبوك</t>
        </is>
      </c>
      <c r="D258" s="2">
        <f t="array" ref="D2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8" s="2">
        <f t="array" ref="E2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8" s="2">
        <f>TRIM(تفاصيل_الفرق[[#This Row],[المدينة/المحافظة]])</f>
        <v/>
      </c>
      <c r="G2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59">
      <c r="B259" s="2" t="inlineStr">
        <is>
          <t>تحت 12</t>
        </is>
      </c>
      <c r="C259" s="2" t="inlineStr">
        <is>
          <t>تبوك</t>
        </is>
      </c>
      <c r="D259" s="2">
        <f t="array" ref="D2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59" s="2">
        <f t="array" ref="E2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59" s="2">
        <f>TRIM(تفاصيل_الفرق[[#This Row],[المدينة/المحافظة]])</f>
        <v/>
      </c>
      <c r="G2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0">
      <c r="B260" s="2" t="inlineStr">
        <is>
          <t>تحت 13</t>
        </is>
      </c>
      <c r="C260" s="2" t="inlineStr">
        <is>
          <t>تبوك</t>
        </is>
      </c>
      <c r="D260" s="2">
        <f t="array" ref="D2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0" s="2">
        <f t="array" ref="E2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0" s="2">
        <f>TRIM(تفاصيل_الفرق[[#This Row],[المدينة/المحافظة]])</f>
        <v/>
      </c>
      <c r="G2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1">
      <c r="B261" s="2" t="inlineStr">
        <is>
          <t>تحت 14</t>
        </is>
      </c>
      <c r="C261" s="2" t="inlineStr">
        <is>
          <t>تبوك</t>
        </is>
      </c>
      <c r="D261" s="2">
        <f t="array" ref="D2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1" s="2">
        <f t="array" ref="E2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1" s="2">
        <f>TRIM(تفاصيل_الفرق[[#This Row],[المدينة/المحافظة]])</f>
        <v/>
      </c>
      <c r="G2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2">
      <c r="B262" s="2" t="inlineStr">
        <is>
          <t>تحت 5</t>
        </is>
      </c>
      <c r="C262" s="2" t="inlineStr">
        <is>
          <t>صبيا</t>
        </is>
      </c>
      <c r="D262" s="2">
        <f t="array" ref="D2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2" s="2">
        <f t="array" ref="E2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2" s="2">
        <f>TRIM(تفاصيل_الفرق[[#This Row],[المدينة/المحافظة]])</f>
        <v/>
      </c>
      <c r="G2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3">
      <c r="B263" s="2" t="inlineStr">
        <is>
          <t>تحت 7</t>
        </is>
      </c>
      <c r="C263" s="2" t="inlineStr">
        <is>
          <t>صبيا</t>
        </is>
      </c>
      <c r="D263" s="2">
        <f t="array" ref="D2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3" s="2">
        <f t="array" ref="E2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3" s="2">
        <f>TRIM(تفاصيل_الفرق[[#This Row],[المدينة/المحافظة]])</f>
        <v/>
      </c>
      <c r="G2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4">
      <c r="B264" s="2" t="inlineStr">
        <is>
          <t>تحت 9</t>
        </is>
      </c>
      <c r="C264" s="2" t="inlineStr">
        <is>
          <t>صبيا</t>
        </is>
      </c>
      <c r="D264" s="2">
        <f t="array" ref="D2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4" s="2">
        <f t="array" ref="E2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4" s="2">
        <f>TRIM(تفاصيل_الفرق[[#This Row],[المدينة/المحافظة]])</f>
        <v/>
      </c>
      <c r="G2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5">
      <c r="B265" s="2" t="inlineStr">
        <is>
          <t>تحت 11</t>
        </is>
      </c>
      <c r="C265" s="2" t="inlineStr">
        <is>
          <t>صبيا</t>
        </is>
      </c>
      <c r="D265" s="2">
        <f t="array" ref="D2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5" s="2">
        <f t="array" ref="E2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5" s="2">
        <f>TRIM(تفاصيل_الفرق[[#This Row],[المدينة/المحافظة]])</f>
        <v/>
      </c>
      <c r="G2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6">
      <c r="B266" s="2" t="inlineStr">
        <is>
          <t>تحت 12</t>
        </is>
      </c>
      <c r="C266" s="2" t="inlineStr">
        <is>
          <t>صبيا</t>
        </is>
      </c>
      <c r="D266" s="2">
        <f t="array" ref="D2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6" s="2">
        <f t="array" ref="E2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6" s="2">
        <f>TRIM(تفاصيل_الفرق[[#This Row],[المدينة/المحافظة]])</f>
        <v/>
      </c>
      <c r="G2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7">
      <c r="B267" s="2" t="inlineStr">
        <is>
          <t>تحت 13</t>
        </is>
      </c>
      <c r="C267" s="2" t="inlineStr">
        <is>
          <t>صبيا</t>
        </is>
      </c>
      <c r="D267" s="2">
        <f t="array" ref="D2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7" s="2">
        <f t="array" ref="E2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7" s="2">
        <f>TRIM(تفاصيل_الفرق[[#This Row],[المدينة/المحافظة]])</f>
        <v/>
      </c>
      <c r="G2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8">
      <c r="B268" s="2" t="inlineStr">
        <is>
          <t>تحت 14</t>
        </is>
      </c>
      <c r="C268" s="2" t="inlineStr">
        <is>
          <t>صبيا</t>
        </is>
      </c>
      <c r="D268" s="2">
        <f t="array" ref="D2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8" s="2">
        <f t="array" ref="E2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8" s="2">
        <f>TRIM(تفاصيل_الفرق[[#This Row],[المدينة/المحافظة]])</f>
        <v/>
      </c>
      <c r="G2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69">
      <c r="B269" s="2" t="inlineStr">
        <is>
          <t>تحت 5</t>
        </is>
      </c>
      <c r="C269" s="2" t="inlineStr">
        <is>
          <t>ضمد</t>
        </is>
      </c>
      <c r="D269" s="2">
        <f t="array" ref="D2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69" s="2">
        <f t="array" ref="E2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69" s="2">
        <f>TRIM(تفاصيل_الفرق[[#This Row],[المدينة/المحافظة]])</f>
        <v/>
      </c>
      <c r="G2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0">
      <c r="B270" s="2" t="inlineStr">
        <is>
          <t>تحت 7</t>
        </is>
      </c>
      <c r="C270" s="2" t="inlineStr">
        <is>
          <t>ضمد</t>
        </is>
      </c>
      <c r="D270" s="2">
        <f t="array" ref="D2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0" s="2">
        <f t="array" ref="E2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0" s="2">
        <f>TRIM(تفاصيل_الفرق[[#This Row],[المدينة/المحافظة]])</f>
        <v/>
      </c>
      <c r="G2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1">
      <c r="B271" s="2" t="inlineStr">
        <is>
          <t>تحت 9</t>
        </is>
      </c>
      <c r="C271" s="2" t="inlineStr">
        <is>
          <t>ضمد</t>
        </is>
      </c>
      <c r="D271" s="2">
        <f t="array" ref="D2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1" s="2">
        <f t="array" ref="E2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1" s="2">
        <f>TRIM(تفاصيل_الفرق[[#This Row],[المدينة/المحافظة]])</f>
        <v/>
      </c>
      <c r="G2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2">
      <c r="B272" s="2" t="inlineStr">
        <is>
          <t>تحت 11</t>
        </is>
      </c>
      <c r="C272" s="2" t="inlineStr">
        <is>
          <t>ضمد</t>
        </is>
      </c>
      <c r="D272" s="2">
        <f t="array" ref="D2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2" s="2">
        <f t="array" ref="E2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2" s="2">
        <f>TRIM(تفاصيل_الفرق[[#This Row],[المدينة/المحافظة]])</f>
        <v/>
      </c>
      <c r="G2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3">
      <c r="B273" s="2" t="inlineStr">
        <is>
          <t>تحت 12</t>
        </is>
      </c>
      <c r="C273" s="2" t="inlineStr">
        <is>
          <t>ضمد</t>
        </is>
      </c>
      <c r="D273" s="2">
        <f t="array" ref="D2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3" s="2">
        <f t="array" ref="E2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3" s="2">
        <f>TRIM(تفاصيل_الفرق[[#This Row],[المدينة/المحافظة]])</f>
        <v/>
      </c>
      <c r="G2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4">
      <c r="B274" s="2" t="inlineStr">
        <is>
          <t>تحت 13</t>
        </is>
      </c>
      <c r="C274" s="2" t="inlineStr">
        <is>
          <t>ضمد</t>
        </is>
      </c>
      <c r="D274" s="2">
        <f t="array" ref="D2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4" s="2">
        <f t="array" ref="E2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4" s="2">
        <f>TRIM(تفاصيل_الفرق[[#This Row],[المدينة/المحافظة]])</f>
        <v/>
      </c>
      <c r="G2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5">
      <c r="B275" s="2" t="inlineStr">
        <is>
          <t>تحت 14</t>
        </is>
      </c>
      <c r="C275" s="2" t="inlineStr">
        <is>
          <t>ضمد</t>
        </is>
      </c>
      <c r="D275" s="2">
        <f t="array" ref="D2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5" s="2">
        <f t="array" ref="E2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5" s="2">
        <f>TRIM(تفاصيل_الفرق[[#This Row],[المدينة/المحافظة]])</f>
        <v/>
      </c>
      <c r="G2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6">
      <c r="B276" s="2" t="inlineStr">
        <is>
          <t>تحت 5</t>
        </is>
      </c>
      <c r="C276" s="2" t="inlineStr">
        <is>
          <t>جدة</t>
        </is>
      </c>
      <c r="D276" s="2">
        <f t="array" ref="D2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6" s="2">
        <f t="array" ref="E2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6" s="2">
        <f>TRIM(تفاصيل_الفرق[[#This Row],[المدينة/المحافظة]])</f>
        <v/>
      </c>
      <c r="G2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7">
      <c r="B277" s="2" t="inlineStr">
        <is>
          <t>تحت 7</t>
        </is>
      </c>
      <c r="C277" s="2" t="inlineStr">
        <is>
          <t>جدة</t>
        </is>
      </c>
      <c r="D277" s="2">
        <f t="array" ref="D2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7" s="2">
        <f t="array" ref="E2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7" s="2">
        <f>TRIM(تفاصيل_الفرق[[#This Row],[المدينة/المحافظة]])</f>
        <v/>
      </c>
      <c r="G2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8">
      <c r="B278" s="2" t="inlineStr">
        <is>
          <t>تحت 9</t>
        </is>
      </c>
      <c r="C278" s="2" t="inlineStr">
        <is>
          <t>جدة</t>
        </is>
      </c>
      <c r="D278" s="2">
        <f t="array" ref="D2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8" s="2">
        <f t="array" ref="E2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8" s="2">
        <f>TRIM(تفاصيل_الفرق[[#This Row],[المدينة/المحافظة]])</f>
        <v/>
      </c>
      <c r="G2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79">
      <c r="B279" s="2" t="inlineStr">
        <is>
          <t>تحت 11</t>
        </is>
      </c>
      <c r="C279" s="2" t="inlineStr">
        <is>
          <t>جدة</t>
        </is>
      </c>
      <c r="D279" s="2">
        <f t="array" ref="D2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79" s="2">
        <f t="array" ref="E2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79" s="2">
        <f>TRIM(تفاصيل_الفرق[[#This Row],[المدينة/المحافظة]])</f>
        <v/>
      </c>
      <c r="G2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0">
      <c r="B280" s="2" t="inlineStr">
        <is>
          <t>تحت 12</t>
        </is>
      </c>
      <c r="C280" s="2" t="inlineStr">
        <is>
          <t>جدة</t>
        </is>
      </c>
      <c r="D280" s="2">
        <f t="array" ref="D2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0" s="2">
        <f t="array" ref="E2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0" s="2">
        <f>TRIM(تفاصيل_الفرق[[#This Row],[المدينة/المحافظة]])</f>
        <v/>
      </c>
      <c r="G2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1">
      <c r="B281" s="2" t="inlineStr">
        <is>
          <t>تحت 13</t>
        </is>
      </c>
      <c r="C281" s="2" t="inlineStr">
        <is>
          <t>جدة</t>
        </is>
      </c>
      <c r="D281" s="2">
        <f t="array" ref="D2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1" s="2">
        <f t="array" ref="E2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1" s="2">
        <f>TRIM(تفاصيل_الفرق[[#This Row],[المدينة/المحافظة]])</f>
        <v/>
      </c>
      <c r="G2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2">
      <c r="B282" s="2" t="inlineStr">
        <is>
          <t>تحت 14</t>
        </is>
      </c>
      <c r="C282" s="2" t="inlineStr">
        <is>
          <t>جدة</t>
        </is>
      </c>
      <c r="D282" s="2">
        <f t="array" ref="D2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2" s="2">
        <f t="array" ref="E2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2" s="2">
        <f>TRIM(تفاصيل_الفرق[[#This Row],[المدينة/المحافظة]])</f>
        <v/>
      </c>
      <c r="G2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3">
      <c r="B283" s="2" t="inlineStr">
        <is>
          <t>تحت 5</t>
        </is>
      </c>
      <c r="C283" s="2" t="inlineStr">
        <is>
          <t>حائل</t>
        </is>
      </c>
      <c r="D283" s="2">
        <f t="array" ref="D2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3" s="2">
        <f t="array" ref="E2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3" s="2">
        <f>TRIM(تفاصيل_الفرق[[#This Row],[المدينة/المحافظة]])</f>
        <v/>
      </c>
      <c r="G2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4">
      <c r="B284" s="2" t="inlineStr">
        <is>
          <t>تحت 7</t>
        </is>
      </c>
      <c r="C284" s="2" t="inlineStr">
        <is>
          <t>حائل</t>
        </is>
      </c>
      <c r="D284" s="2">
        <f t="array" ref="D2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4" s="2">
        <f t="array" ref="E2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4" s="2">
        <f>TRIM(تفاصيل_الفرق[[#This Row],[المدينة/المحافظة]])</f>
        <v/>
      </c>
      <c r="G2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5">
      <c r="B285" s="2" t="inlineStr">
        <is>
          <t>تحت 9</t>
        </is>
      </c>
      <c r="C285" s="2" t="inlineStr">
        <is>
          <t>حائل</t>
        </is>
      </c>
      <c r="D285" s="2">
        <f t="array" ref="D2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5" s="2">
        <f t="array" ref="E2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5" s="2">
        <f>TRIM(تفاصيل_الفرق[[#This Row],[المدينة/المحافظة]])</f>
        <v/>
      </c>
      <c r="G2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6">
      <c r="B286" s="2" t="inlineStr">
        <is>
          <t>تحت 11</t>
        </is>
      </c>
      <c r="C286" s="2" t="inlineStr">
        <is>
          <t>حائل</t>
        </is>
      </c>
      <c r="D286" s="2">
        <f t="array" ref="D2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6" s="2">
        <f t="array" ref="E2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6" s="2">
        <f>TRIM(تفاصيل_الفرق[[#This Row],[المدينة/المحافظة]])</f>
        <v/>
      </c>
      <c r="G2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7">
      <c r="B287" s="2" t="inlineStr">
        <is>
          <t>تحت 12</t>
        </is>
      </c>
      <c r="C287" s="2" t="inlineStr">
        <is>
          <t>حائل</t>
        </is>
      </c>
      <c r="D287" s="2">
        <f t="array" ref="D2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7" s="2">
        <f t="array" ref="E2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7" s="2">
        <f>TRIM(تفاصيل_الفرق[[#This Row],[المدينة/المحافظة]])</f>
        <v/>
      </c>
      <c r="G2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8">
      <c r="B288" s="2" t="inlineStr">
        <is>
          <t>تحت 13</t>
        </is>
      </c>
      <c r="C288" s="2" t="inlineStr">
        <is>
          <t>حائل</t>
        </is>
      </c>
      <c r="D288" s="2">
        <f t="array" ref="D2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8" s="2">
        <f t="array" ref="E2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8" s="2">
        <f>TRIM(تفاصيل_الفرق[[#This Row],[المدينة/المحافظة]])</f>
        <v/>
      </c>
      <c r="G2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89">
      <c r="B289" s="2" t="inlineStr">
        <is>
          <t>تحت 14</t>
        </is>
      </c>
      <c r="C289" s="2" t="inlineStr">
        <is>
          <t>حائل</t>
        </is>
      </c>
      <c r="D289" s="2">
        <f t="array" ref="D2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89" s="2">
        <f t="array" ref="E2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89" s="2">
        <f>TRIM(تفاصيل_الفرق[[#This Row],[المدينة/المحافظة]])</f>
        <v/>
      </c>
      <c r="G2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0">
      <c r="B290" s="2" t="inlineStr">
        <is>
          <t>تحت 5</t>
        </is>
      </c>
      <c r="C290" s="2" t="inlineStr">
        <is>
          <t>حفر الباطن</t>
        </is>
      </c>
      <c r="D290" s="2">
        <f t="array" ref="D2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0" s="2">
        <f t="array" ref="E2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0" s="2">
        <f>TRIM(تفاصيل_الفرق[[#This Row],[المدينة/المحافظة]])</f>
        <v/>
      </c>
      <c r="G2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1">
      <c r="B291" s="2" t="inlineStr">
        <is>
          <t>تحت 7</t>
        </is>
      </c>
      <c r="C291" s="2" t="inlineStr">
        <is>
          <t>حفر الباطن</t>
        </is>
      </c>
      <c r="D291" s="2">
        <f t="array" ref="D2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1" s="2">
        <f t="array" ref="E2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1" s="2">
        <f>TRIM(تفاصيل_الفرق[[#This Row],[المدينة/المحافظة]])</f>
        <v/>
      </c>
      <c r="G2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2">
      <c r="B292" s="2" t="inlineStr">
        <is>
          <t>تحت 9</t>
        </is>
      </c>
      <c r="C292" s="2" t="inlineStr">
        <is>
          <t>حفر الباطن</t>
        </is>
      </c>
      <c r="D292" s="2">
        <f t="array" ref="D2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2" s="2">
        <f t="array" ref="E2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2" s="2">
        <f>TRIM(تفاصيل_الفرق[[#This Row],[المدينة/المحافظة]])</f>
        <v/>
      </c>
      <c r="G2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3">
      <c r="B293" s="2" t="inlineStr">
        <is>
          <t>تحت 11</t>
        </is>
      </c>
      <c r="C293" s="2" t="inlineStr">
        <is>
          <t>حفر الباطن</t>
        </is>
      </c>
      <c r="D293" s="2">
        <f t="array" ref="D2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3" s="2">
        <f t="array" ref="E2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3" s="2">
        <f>TRIM(تفاصيل_الفرق[[#This Row],[المدينة/المحافظة]])</f>
        <v/>
      </c>
      <c r="G2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4">
      <c r="B294" s="2" t="inlineStr">
        <is>
          <t>تحت 12</t>
        </is>
      </c>
      <c r="C294" s="2" t="inlineStr">
        <is>
          <t>حفر الباطن</t>
        </is>
      </c>
      <c r="D294" s="2">
        <f t="array" ref="D2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4" s="2">
        <f t="array" ref="E2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4" s="2">
        <f>TRIM(تفاصيل_الفرق[[#This Row],[المدينة/المحافظة]])</f>
        <v/>
      </c>
      <c r="G2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5">
      <c r="B295" s="2" t="inlineStr">
        <is>
          <t>تحت 13</t>
        </is>
      </c>
      <c r="C295" s="2" t="inlineStr">
        <is>
          <t>حفر الباطن</t>
        </is>
      </c>
      <c r="D295" s="2">
        <f t="array" ref="D2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5" s="2">
        <f t="array" ref="E2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5" s="2">
        <f>TRIM(تفاصيل_الفرق[[#This Row],[المدينة/المحافظة]])</f>
        <v/>
      </c>
      <c r="G2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6">
      <c r="B296" s="2" t="inlineStr">
        <is>
          <t>تحت 14</t>
        </is>
      </c>
      <c r="C296" s="2" t="inlineStr">
        <is>
          <t>حفر الباطن</t>
        </is>
      </c>
      <c r="D296" s="2">
        <f t="array" ref="D2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6" s="2">
        <f t="array" ref="E2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6" s="2">
        <f>TRIM(تفاصيل_الفرق[[#This Row],[المدينة/المحافظة]])</f>
        <v/>
      </c>
      <c r="G2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7">
      <c r="B297" s="2" t="inlineStr">
        <is>
          <t>تحت 5</t>
        </is>
      </c>
      <c r="C297" s="2" t="inlineStr">
        <is>
          <t>شرورة</t>
        </is>
      </c>
      <c r="D297" s="2">
        <f t="array" ref="D2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7" s="2">
        <f t="array" ref="E2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7" s="2">
        <f>TRIM(تفاصيل_الفرق[[#This Row],[المدينة/المحافظة]])</f>
        <v/>
      </c>
      <c r="G2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8">
      <c r="B298" s="2" t="inlineStr">
        <is>
          <t>تحت 7</t>
        </is>
      </c>
      <c r="C298" s="2" t="inlineStr">
        <is>
          <t>شرورة</t>
        </is>
      </c>
      <c r="D298" s="2">
        <f t="array" ref="D2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8" s="2">
        <f t="array" ref="E2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8" s="2">
        <f>TRIM(تفاصيل_الفرق[[#This Row],[المدينة/المحافظة]])</f>
        <v/>
      </c>
      <c r="G2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299">
      <c r="B299" s="2" t="inlineStr">
        <is>
          <t>تحت 9</t>
        </is>
      </c>
      <c r="C299" s="2" t="inlineStr">
        <is>
          <t>شرورة</t>
        </is>
      </c>
      <c r="D299" s="2">
        <f t="array" ref="D2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299" s="2">
        <f t="array" ref="E2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299" s="2">
        <f>TRIM(تفاصيل_الفرق[[#This Row],[المدينة/المحافظة]])</f>
        <v/>
      </c>
      <c r="G2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0">
      <c r="B300" s="2" t="inlineStr">
        <is>
          <t>تحت 11</t>
        </is>
      </c>
      <c r="C300" s="2" t="inlineStr">
        <is>
          <t>شرورة</t>
        </is>
      </c>
      <c r="D300" s="2">
        <f t="array" ref="D3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0" s="2">
        <f t="array" ref="E3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0" s="2">
        <f>TRIM(تفاصيل_الفرق[[#This Row],[المدينة/المحافظة]])</f>
        <v/>
      </c>
      <c r="G3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1">
      <c r="B301" s="2" t="inlineStr">
        <is>
          <t>تحت 12</t>
        </is>
      </c>
      <c r="C301" s="2" t="inlineStr">
        <is>
          <t>شرورة</t>
        </is>
      </c>
      <c r="D301" s="2">
        <f t="array" ref="D3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1" s="2">
        <f t="array" ref="E3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1" s="2">
        <f>TRIM(تفاصيل_الفرق[[#This Row],[المدينة/المحافظة]])</f>
        <v/>
      </c>
      <c r="G3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2">
      <c r="B302" s="2" t="inlineStr">
        <is>
          <t>تحت 13</t>
        </is>
      </c>
      <c r="C302" s="2" t="inlineStr">
        <is>
          <t>شرورة</t>
        </is>
      </c>
      <c r="D302" s="2">
        <f t="array" ref="D3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2" s="2">
        <f t="array" ref="E3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2" s="2">
        <f>TRIM(تفاصيل_الفرق[[#This Row],[المدينة/المحافظة]])</f>
        <v/>
      </c>
      <c r="G3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3">
      <c r="B303" s="2" t="inlineStr">
        <is>
          <t>تحت 14</t>
        </is>
      </c>
      <c r="C303" s="2" t="inlineStr">
        <is>
          <t>شرورة</t>
        </is>
      </c>
      <c r="D303" s="2">
        <f t="array" ref="D3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3" s="2">
        <f t="array" ref="E3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3" s="2">
        <f>TRIM(تفاصيل_الفرق[[#This Row],[المدينة/المحافظة]])</f>
        <v/>
      </c>
      <c r="G3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4">
      <c r="B304" s="2" t="inlineStr">
        <is>
          <t>تحت 5</t>
        </is>
      </c>
      <c r="C304" s="2" t="inlineStr">
        <is>
          <t>صامطة</t>
        </is>
      </c>
      <c r="D304" s="2">
        <f t="array" ref="D3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4" s="2">
        <f t="array" ref="E3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4" s="2">
        <f>TRIM(تفاصيل_الفرق[[#This Row],[المدينة/المحافظة]])</f>
        <v/>
      </c>
      <c r="G3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5">
      <c r="B305" s="2" t="inlineStr">
        <is>
          <t>تحت 7</t>
        </is>
      </c>
      <c r="C305" s="2" t="inlineStr">
        <is>
          <t>صامطة</t>
        </is>
      </c>
      <c r="D305" s="2">
        <f t="array" ref="D3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5" s="2">
        <f t="array" ref="E3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5" s="2">
        <f>TRIM(تفاصيل_الفرق[[#This Row],[المدينة/المحافظة]])</f>
        <v/>
      </c>
      <c r="G3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6">
      <c r="B306" s="2" t="inlineStr">
        <is>
          <t>تحت 9</t>
        </is>
      </c>
      <c r="C306" s="2" t="inlineStr">
        <is>
          <t>صامطة</t>
        </is>
      </c>
      <c r="D306" s="2">
        <f t="array" ref="D3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6" s="2">
        <f t="array" ref="E3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6" s="2">
        <f>TRIM(تفاصيل_الفرق[[#This Row],[المدينة/المحافظة]])</f>
        <v/>
      </c>
      <c r="G3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7">
      <c r="B307" s="2" t="inlineStr">
        <is>
          <t>تحت 11</t>
        </is>
      </c>
      <c r="C307" s="2" t="inlineStr">
        <is>
          <t>صامطة</t>
        </is>
      </c>
      <c r="D307" s="2">
        <f t="array" ref="D3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7" s="2">
        <f t="array" ref="E3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7" s="2">
        <f>TRIM(تفاصيل_الفرق[[#This Row],[المدينة/المحافظة]])</f>
        <v/>
      </c>
      <c r="G3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8">
      <c r="B308" s="2" t="inlineStr">
        <is>
          <t>تحت 12</t>
        </is>
      </c>
      <c r="C308" s="2" t="inlineStr">
        <is>
          <t>صامطة</t>
        </is>
      </c>
      <c r="D308" s="2">
        <f t="array" ref="D3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8" s="2">
        <f t="array" ref="E3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8" s="2">
        <f>TRIM(تفاصيل_الفرق[[#This Row],[المدينة/المحافظة]])</f>
        <v/>
      </c>
      <c r="G3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09">
      <c r="B309" s="2" t="inlineStr">
        <is>
          <t>تحت 13</t>
        </is>
      </c>
      <c r="C309" s="2" t="inlineStr">
        <is>
          <t>صامطة</t>
        </is>
      </c>
      <c r="D309" s="2">
        <f t="array" ref="D3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09" s="2">
        <f t="array" ref="E3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09" s="2">
        <f>TRIM(تفاصيل_الفرق[[#This Row],[المدينة/المحافظة]])</f>
        <v/>
      </c>
      <c r="G3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0">
      <c r="B310" s="2" t="inlineStr">
        <is>
          <t>تحت 14</t>
        </is>
      </c>
      <c r="C310" s="2" t="inlineStr">
        <is>
          <t>صامطة</t>
        </is>
      </c>
      <c r="D310" s="2">
        <f t="array" ref="D3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0" s="2">
        <f t="array" ref="E3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0" s="2">
        <f>TRIM(تفاصيل_الفرق[[#This Row],[المدينة/المحافظة]])</f>
        <v/>
      </c>
      <c r="G3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1">
      <c r="B311" s="2" t="inlineStr">
        <is>
          <t>تحت 5</t>
        </is>
      </c>
      <c r="C311" s="2" t="inlineStr">
        <is>
          <t>أحد المسارحة</t>
        </is>
      </c>
      <c r="D311" s="2">
        <f t="array" ref="D3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1" s="2">
        <f t="array" ref="E3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1" s="2">
        <f>TRIM(تفاصيل_الفرق[[#This Row],[المدينة/المحافظة]])</f>
        <v/>
      </c>
      <c r="G3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2">
      <c r="B312" s="2" t="inlineStr">
        <is>
          <t>تحت 7</t>
        </is>
      </c>
      <c r="C312" s="2" t="inlineStr">
        <is>
          <t>أحد المسارحة</t>
        </is>
      </c>
      <c r="D312" s="2">
        <f t="array" ref="D3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2" s="2">
        <f t="array" ref="E3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2" s="2">
        <f>TRIM(تفاصيل_الفرق[[#This Row],[المدينة/المحافظة]])</f>
        <v/>
      </c>
      <c r="G3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3">
      <c r="B313" s="2" t="inlineStr">
        <is>
          <t>تحت 9</t>
        </is>
      </c>
      <c r="C313" s="2" t="inlineStr">
        <is>
          <t>أحد المسارحة</t>
        </is>
      </c>
      <c r="D313" s="2">
        <f t="array" ref="D3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3" s="2">
        <f t="array" ref="E3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3" s="2">
        <f>TRIM(تفاصيل_الفرق[[#This Row],[المدينة/المحافظة]])</f>
        <v/>
      </c>
      <c r="G3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4">
      <c r="B314" s="2" t="inlineStr">
        <is>
          <t>تحت 11</t>
        </is>
      </c>
      <c r="C314" s="2" t="inlineStr">
        <is>
          <t>أحد المسارحة</t>
        </is>
      </c>
      <c r="D314" s="2">
        <f t="array" ref="D3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4" s="2">
        <f t="array" ref="E3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4" s="2">
        <f>TRIM(تفاصيل_الفرق[[#This Row],[المدينة/المحافظة]])</f>
        <v/>
      </c>
      <c r="G3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5">
      <c r="B315" s="2" t="inlineStr">
        <is>
          <t>تحت 12</t>
        </is>
      </c>
      <c r="C315" s="2" t="inlineStr">
        <is>
          <t>أحد المسارحة</t>
        </is>
      </c>
      <c r="D315" s="2">
        <f t="array" ref="D3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5" s="2">
        <f t="array" ref="E3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5" s="2">
        <f>TRIM(تفاصيل_الفرق[[#This Row],[المدينة/المحافظة]])</f>
        <v/>
      </c>
      <c r="G3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6">
      <c r="B316" s="2" t="inlineStr">
        <is>
          <t>تحت 13</t>
        </is>
      </c>
      <c r="C316" s="2" t="inlineStr">
        <is>
          <t>أحد المسارحة</t>
        </is>
      </c>
      <c r="D316" s="2">
        <f t="array" ref="D3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6" s="2">
        <f t="array" ref="E3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6" s="2">
        <f>TRIM(تفاصيل_الفرق[[#This Row],[المدينة/المحافظة]])</f>
        <v/>
      </c>
      <c r="G3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7">
      <c r="B317" s="2" t="inlineStr">
        <is>
          <t>تحت 14</t>
        </is>
      </c>
      <c r="C317" s="2" t="inlineStr">
        <is>
          <t>أحد المسارحة</t>
        </is>
      </c>
      <c r="D317" s="2">
        <f t="array" ref="D3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7" s="2">
        <f t="array" ref="E3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7" s="2">
        <f>TRIM(تفاصيل_الفرق[[#This Row],[المدينة/المحافظة]])</f>
        <v/>
      </c>
      <c r="G3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8">
      <c r="B318" s="2" t="inlineStr">
        <is>
          <t>تحت 5</t>
        </is>
      </c>
      <c r="C318" s="2" t="inlineStr">
        <is>
          <t>المذنب</t>
        </is>
      </c>
      <c r="D318" s="2">
        <f t="array" ref="D3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8" s="2">
        <f t="array" ref="E3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8" s="2">
        <f>TRIM(تفاصيل_الفرق[[#This Row],[المدينة/المحافظة]])</f>
        <v/>
      </c>
      <c r="G3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19">
      <c r="B319" s="2" t="inlineStr">
        <is>
          <t>تحت 7</t>
        </is>
      </c>
      <c r="C319" s="2" t="inlineStr">
        <is>
          <t>المذنب</t>
        </is>
      </c>
      <c r="D319" s="2">
        <f t="array" ref="D3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19" s="2">
        <f t="array" ref="E3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19" s="2">
        <f>TRIM(تفاصيل_الفرق[[#This Row],[المدينة/المحافظة]])</f>
        <v/>
      </c>
      <c r="G3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0">
      <c r="B320" s="2" t="inlineStr">
        <is>
          <t>تحت 9</t>
        </is>
      </c>
      <c r="C320" s="2" t="inlineStr">
        <is>
          <t>المذنب</t>
        </is>
      </c>
      <c r="D320" s="2">
        <f t="array" ref="D3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0" s="2">
        <f t="array" ref="E3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0" s="2">
        <f>TRIM(تفاصيل_الفرق[[#This Row],[المدينة/المحافظة]])</f>
        <v/>
      </c>
      <c r="G3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1">
      <c r="B321" s="2" t="inlineStr">
        <is>
          <t>تحت 11</t>
        </is>
      </c>
      <c r="C321" s="2" t="inlineStr">
        <is>
          <t>المذنب</t>
        </is>
      </c>
      <c r="D321" s="2">
        <f t="array" ref="D3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1" s="2">
        <f t="array" ref="E3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1" s="2">
        <f>TRIM(تفاصيل_الفرق[[#This Row],[المدينة/المحافظة]])</f>
        <v/>
      </c>
      <c r="G3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2">
      <c r="B322" s="2" t="inlineStr">
        <is>
          <t>تحت 12</t>
        </is>
      </c>
      <c r="C322" s="2" t="inlineStr">
        <is>
          <t>المذنب</t>
        </is>
      </c>
      <c r="D322" s="2">
        <f t="array" ref="D3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2" s="2">
        <f t="array" ref="E3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2" s="2">
        <f>TRIM(تفاصيل_الفرق[[#This Row],[المدينة/المحافظة]])</f>
        <v/>
      </c>
      <c r="G3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3">
      <c r="B323" s="2" t="inlineStr">
        <is>
          <t>تحت 13</t>
        </is>
      </c>
      <c r="C323" s="2" t="inlineStr">
        <is>
          <t>المذنب</t>
        </is>
      </c>
      <c r="D323" s="2">
        <f t="array" ref="D3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3" s="2">
        <f t="array" ref="E3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3" s="2">
        <f>TRIM(تفاصيل_الفرق[[#This Row],[المدينة/المحافظة]])</f>
        <v/>
      </c>
      <c r="G3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4">
      <c r="B324" s="2" t="inlineStr">
        <is>
          <t>تحت 14</t>
        </is>
      </c>
      <c r="C324" s="2" t="inlineStr">
        <is>
          <t>المذنب</t>
        </is>
      </c>
      <c r="D324" s="2">
        <f t="array" ref="D3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4" s="2">
        <f t="array" ref="E3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4" s="2">
        <f>TRIM(تفاصيل_الفرق[[#This Row],[المدينة/المحافظة]])</f>
        <v/>
      </c>
      <c r="G3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5">
      <c r="B325" s="2" t="inlineStr">
        <is>
          <t>تحت 5</t>
        </is>
      </c>
      <c r="C325" s="2" t="inlineStr">
        <is>
          <t>عنيزة</t>
        </is>
      </c>
      <c r="D325" s="2">
        <f t="array" ref="D3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5" s="2">
        <f t="array" ref="E3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5" s="2">
        <f>TRIM(تفاصيل_الفرق[[#This Row],[المدينة/المحافظة]])</f>
        <v/>
      </c>
      <c r="G3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6">
      <c r="B326" s="2" t="inlineStr">
        <is>
          <t>تحت 7</t>
        </is>
      </c>
      <c r="C326" s="2" t="inlineStr">
        <is>
          <t>عنيزة</t>
        </is>
      </c>
      <c r="D326" s="2">
        <f t="array" ref="D3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6" s="2">
        <f t="array" ref="E3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6" s="2">
        <f>TRIM(تفاصيل_الفرق[[#This Row],[المدينة/المحافظة]])</f>
        <v/>
      </c>
      <c r="G3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7">
      <c r="B327" s="2" t="inlineStr">
        <is>
          <t>تحت 9</t>
        </is>
      </c>
      <c r="C327" s="2" t="inlineStr">
        <is>
          <t>عنيزة</t>
        </is>
      </c>
      <c r="D327" s="2">
        <f t="array" ref="D3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7" s="2">
        <f t="array" ref="E3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7" s="2">
        <f>TRIM(تفاصيل_الفرق[[#This Row],[المدينة/المحافظة]])</f>
        <v/>
      </c>
      <c r="G3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8">
      <c r="B328" s="2" t="inlineStr">
        <is>
          <t>تحت 11</t>
        </is>
      </c>
      <c r="C328" s="2" t="inlineStr">
        <is>
          <t>عنيزة</t>
        </is>
      </c>
      <c r="D328" s="2">
        <f t="array" ref="D3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8" s="2">
        <f t="array" ref="E3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8" s="2">
        <f>TRIM(تفاصيل_الفرق[[#This Row],[المدينة/المحافظة]])</f>
        <v/>
      </c>
      <c r="G3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29">
      <c r="B329" s="2" t="inlineStr">
        <is>
          <t>تحت 12</t>
        </is>
      </c>
      <c r="C329" s="2" t="inlineStr">
        <is>
          <t>عنيزة</t>
        </is>
      </c>
      <c r="D329" s="2">
        <f t="array" ref="D3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29" s="2">
        <f t="array" ref="E3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29" s="2">
        <f>TRIM(تفاصيل_الفرق[[#This Row],[المدينة/المحافظة]])</f>
        <v/>
      </c>
      <c r="G3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0">
      <c r="B330" s="2" t="inlineStr">
        <is>
          <t>تحت 13</t>
        </is>
      </c>
      <c r="C330" s="2" t="inlineStr">
        <is>
          <t>عنيزة</t>
        </is>
      </c>
      <c r="D330" s="2">
        <f t="array" ref="D3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0" s="2">
        <f t="array" ref="E3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0" s="2">
        <f>TRIM(تفاصيل_الفرق[[#This Row],[المدينة/المحافظة]])</f>
        <v/>
      </c>
      <c r="G3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1">
      <c r="B331" s="2" t="inlineStr">
        <is>
          <t>تحت 14</t>
        </is>
      </c>
      <c r="C331" s="2" t="inlineStr">
        <is>
          <t>عنيزة</t>
        </is>
      </c>
      <c r="D331" s="2">
        <f t="array" ref="D3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1" s="2">
        <f t="array" ref="E3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1" s="2">
        <f>TRIM(تفاصيل_الفرق[[#This Row],[المدينة/المحافظة]])</f>
        <v/>
      </c>
      <c r="G3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2">
      <c r="B332" s="2" t="inlineStr">
        <is>
          <t>تحت 5</t>
        </is>
      </c>
      <c r="C332" s="2" t="inlineStr">
        <is>
          <t>فرسان</t>
        </is>
      </c>
      <c r="D332" s="2">
        <f t="array" ref="D3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2" s="2">
        <f t="array" ref="E3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2" s="2">
        <f>TRIM(تفاصيل_الفرق[[#This Row],[المدينة/المحافظة]])</f>
        <v/>
      </c>
      <c r="G3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3">
      <c r="B333" s="2" t="inlineStr">
        <is>
          <t>تحت 7</t>
        </is>
      </c>
      <c r="C333" s="2" t="inlineStr">
        <is>
          <t>فرسان</t>
        </is>
      </c>
      <c r="D333" s="2">
        <f t="array" ref="D3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3" s="2">
        <f t="array" ref="E3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3" s="2">
        <f>TRIM(تفاصيل_الفرق[[#This Row],[المدينة/المحافظة]])</f>
        <v/>
      </c>
      <c r="G3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4">
      <c r="B334" s="2" t="inlineStr">
        <is>
          <t>تحت 9</t>
        </is>
      </c>
      <c r="C334" s="2" t="inlineStr">
        <is>
          <t>فرسان</t>
        </is>
      </c>
      <c r="D334" s="2">
        <f t="array" ref="D3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4" s="2">
        <f t="array" ref="E3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4" s="2">
        <f>TRIM(تفاصيل_الفرق[[#This Row],[المدينة/المحافظة]])</f>
        <v/>
      </c>
      <c r="G3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5">
      <c r="B335" s="2" t="inlineStr">
        <is>
          <t>تحت 11</t>
        </is>
      </c>
      <c r="C335" s="2" t="inlineStr">
        <is>
          <t>فرسان</t>
        </is>
      </c>
      <c r="D335" s="2">
        <f t="array" ref="D3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5" s="2">
        <f t="array" ref="E3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5" s="2">
        <f>TRIM(تفاصيل_الفرق[[#This Row],[المدينة/المحافظة]])</f>
        <v/>
      </c>
      <c r="G3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6">
      <c r="B336" s="2" t="inlineStr">
        <is>
          <t>تحت 12</t>
        </is>
      </c>
      <c r="C336" s="2" t="inlineStr">
        <is>
          <t>فرسان</t>
        </is>
      </c>
      <c r="D336" s="2">
        <f t="array" ref="D3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6" s="2">
        <f t="array" ref="E3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6" s="2">
        <f>TRIM(تفاصيل_الفرق[[#This Row],[المدينة/المحافظة]])</f>
        <v/>
      </c>
      <c r="G3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7">
      <c r="B337" s="2" t="inlineStr">
        <is>
          <t>تحت 13</t>
        </is>
      </c>
      <c r="C337" s="2" t="inlineStr">
        <is>
          <t>فرسان</t>
        </is>
      </c>
      <c r="D337" s="2">
        <f t="array" ref="D3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7" s="2">
        <f t="array" ref="E3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7" s="2">
        <f>TRIM(تفاصيل_الفرق[[#This Row],[المدينة/المحافظة]])</f>
        <v/>
      </c>
      <c r="G3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8">
      <c r="B338" s="2" t="inlineStr">
        <is>
          <t>تحت 14</t>
        </is>
      </c>
      <c r="C338" s="2" t="inlineStr">
        <is>
          <t>فرسان</t>
        </is>
      </c>
      <c r="D338" s="2">
        <f t="array" ref="D3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8" s="2">
        <f t="array" ref="E3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8" s="2">
        <f>TRIM(تفاصيل_الفرق[[#This Row],[المدينة/المحافظة]])</f>
        <v/>
      </c>
      <c r="G3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39">
      <c r="B339" s="2" t="inlineStr">
        <is>
          <t>تحت 5</t>
        </is>
      </c>
      <c r="C339" s="2" t="inlineStr">
        <is>
          <t>مكة المكرمة</t>
        </is>
      </c>
      <c r="D339" s="2">
        <f t="array" ref="D3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39" s="2">
        <f t="array" ref="E3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39" s="2">
        <f>TRIM(تفاصيل_الفرق[[#This Row],[المدينة/المحافظة]])</f>
        <v/>
      </c>
      <c r="G3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0">
      <c r="B340" s="2" t="inlineStr">
        <is>
          <t>تحت 7</t>
        </is>
      </c>
      <c r="C340" s="2" t="inlineStr">
        <is>
          <t>مكة المكرمة</t>
        </is>
      </c>
      <c r="D340" s="2">
        <f t="array" ref="D3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0" s="2">
        <f t="array" ref="E3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0" s="2">
        <f>TRIM(تفاصيل_الفرق[[#This Row],[المدينة/المحافظة]])</f>
        <v/>
      </c>
      <c r="G3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1">
      <c r="B341" s="2" t="inlineStr">
        <is>
          <t>تحت 9</t>
        </is>
      </c>
      <c r="C341" s="2" t="inlineStr">
        <is>
          <t>مكة المكرمة</t>
        </is>
      </c>
      <c r="D341" s="2">
        <f t="array" ref="D3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1" s="2">
        <f t="array" ref="E3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1" s="2">
        <f>TRIM(تفاصيل_الفرق[[#This Row],[المدينة/المحافظة]])</f>
        <v/>
      </c>
      <c r="G3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2">
      <c r="B342" s="2" t="inlineStr">
        <is>
          <t>تحت 11</t>
        </is>
      </c>
      <c r="C342" s="2" t="inlineStr">
        <is>
          <t>مكة المكرمة</t>
        </is>
      </c>
      <c r="D342" s="2">
        <f t="array" ref="D3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2" s="2">
        <f t="array" ref="E3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2" s="2">
        <f>TRIM(تفاصيل_الفرق[[#This Row],[المدينة/المحافظة]])</f>
        <v/>
      </c>
      <c r="G3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3">
      <c r="B343" s="2" t="inlineStr">
        <is>
          <t>تحت 12</t>
        </is>
      </c>
      <c r="C343" s="2" t="inlineStr">
        <is>
          <t>مكة المكرمة</t>
        </is>
      </c>
      <c r="D343" s="2">
        <f t="array" ref="D3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3" s="2">
        <f t="array" ref="E3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3" s="2">
        <f>TRIM(تفاصيل_الفرق[[#This Row],[المدينة/المحافظة]])</f>
        <v/>
      </c>
      <c r="G3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4">
      <c r="B344" s="2" t="inlineStr">
        <is>
          <t>تحت 13</t>
        </is>
      </c>
      <c r="C344" s="2" t="inlineStr">
        <is>
          <t>مكة المكرمة</t>
        </is>
      </c>
      <c r="D344" s="2">
        <f t="array" ref="D3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4" s="2">
        <f t="array" ref="E3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4" s="2">
        <f>TRIM(تفاصيل_الفرق[[#This Row],[المدينة/المحافظة]])</f>
        <v/>
      </c>
      <c r="G3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5">
      <c r="B345" s="2" t="inlineStr">
        <is>
          <t>تحت 14</t>
        </is>
      </c>
      <c r="C345" s="2" t="inlineStr">
        <is>
          <t>مكة المكرمة</t>
        </is>
      </c>
      <c r="D345" s="2">
        <f t="array" ref="D3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5" s="2">
        <f t="array" ref="E3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5" s="2">
        <f>TRIM(تفاصيل_الفرق[[#This Row],[المدينة/المحافظة]])</f>
        <v/>
      </c>
      <c r="G3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6">
      <c r="B346" s="2" t="inlineStr">
        <is>
          <t>تحت 5</t>
        </is>
      </c>
      <c r="C346" s="2" t="inlineStr">
        <is>
          <t>الجموم</t>
        </is>
      </c>
      <c r="D346" s="2">
        <f t="array" ref="D3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6" s="2">
        <f t="array" ref="E3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6" s="2">
        <f>TRIM(تفاصيل_الفرق[[#This Row],[المدينة/المحافظة]])</f>
        <v/>
      </c>
      <c r="G3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7">
      <c r="B347" s="2" t="inlineStr">
        <is>
          <t>تحت 7</t>
        </is>
      </c>
      <c r="C347" s="2" t="inlineStr">
        <is>
          <t>الجموم</t>
        </is>
      </c>
      <c r="D347" s="2">
        <f t="array" ref="D3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7" s="2">
        <f t="array" ref="E3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7" s="2">
        <f>TRIM(تفاصيل_الفرق[[#This Row],[المدينة/المحافظة]])</f>
        <v/>
      </c>
      <c r="G3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8">
      <c r="B348" s="2" t="inlineStr">
        <is>
          <t>تحت 9</t>
        </is>
      </c>
      <c r="C348" s="2" t="inlineStr">
        <is>
          <t>الجموم</t>
        </is>
      </c>
      <c r="D348" s="2">
        <f t="array" ref="D3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8" s="2">
        <f t="array" ref="E3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8" s="2">
        <f>TRIM(تفاصيل_الفرق[[#This Row],[المدينة/المحافظة]])</f>
        <v/>
      </c>
      <c r="G3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49">
      <c r="B349" s="2" t="inlineStr">
        <is>
          <t>تحت 11</t>
        </is>
      </c>
      <c r="C349" s="2" t="inlineStr">
        <is>
          <t>الجموم</t>
        </is>
      </c>
      <c r="D349" s="2">
        <f t="array" ref="D3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49" s="2">
        <f t="array" ref="E3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49" s="2">
        <f>TRIM(تفاصيل_الفرق[[#This Row],[المدينة/المحافظة]])</f>
        <v/>
      </c>
      <c r="G3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0">
      <c r="B350" s="2" t="inlineStr">
        <is>
          <t>تحت 12</t>
        </is>
      </c>
      <c r="C350" s="2" t="inlineStr">
        <is>
          <t>الجموم</t>
        </is>
      </c>
      <c r="D350" s="2">
        <f t="array" ref="D3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0" s="2">
        <f t="array" ref="E3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0" s="2">
        <f>TRIM(تفاصيل_الفرق[[#This Row],[المدينة/المحافظة]])</f>
        <v/>
      </c>
      <c r="G3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1">
      <c r="B351" s="2" t="inlineStr">
        <is>
          <t>تحت 13</t>
        </is>
      </c>
      <c r="C351" s="2" t="inlineStr">
        <is>
          <t>الجموم</t>
        </is>
      </c>
      <c r="D351" s="2">
        <f t="array" ref="D3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1" s="2">
        <f t="array" ref="E3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1" s="2">
        <f>TRIM(تفاصيل_الفرق[[#This Row],[المدينة/المحافظة]])</f>
        <v/>
      </c>
      <c r="G3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2">
      <c r="B352" s="2" t="inlineStr">
        <is>
          <t>تحت 14</t>
        </is>
      </c>
      <c r="C352" s="2" t="inlineStr">
        <is>
          <t>الجموم</t>
        </is>
      </c>
      <c r="D352" s="2">
        <f t="array" ref="D3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2" s="2">
        <f t="array" ref="E3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2" s="2">
        <f>TRIM(تفاصيل_الفرق[[#This Row],[المدينة/المحافظة]])</f>
        <v/>
      </c>
      <c r="G3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3">
      <c r="B353" s="2" t="inlineStr">
        <is>
          <t>تحت 5</t>
        </is>
      </c>
      <c r="C353" s="2" t="inlineStr">
        <is>
          <t>وادي الدواسر</t>
        </is>
      </c>
      <c r="D353" s="2">
        <f t="array" ref="D3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3" s="2">
        <f t="array" ref="E3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3" s="2">
        <f>TRIM(تفاصيل_الفرق[[#This Row],[المدينة/المحافظة]])</f>
        <v/>
      </c>
      <c r="G3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4">
      <c r="B354" s="2" t="inlineStr">
        <is>
          <t>تحت 7</t>
        </is>
      </c>
      <c r="C354" s="2" t="inlineStr">
        <is>
          <t>وادي الدواسر</t>
        </is>
      </c>
      <c r="D354" s="2">
        <f t="array" ref="D3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4" s="2">
        <f t="array" ref="E3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4" s="2">
        <f>TRIM(تفاصيل_الفرق[[#This Row],[المدينة/المحافظة]])</f>
        <v/>
      </c>
      <c r="G3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5">
      <c r="B355" s="2" t="inlineStr">
        <is>
          <t>تحت 9</t>
        </is>
      </c>
      <c r="C355" s="2" t="inlineStr">
        <is>
          <t>وادي الدواسر</t>
        </is>
      </c>
      <c r="D355" s="2">
        <f t="array" ref="D3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5" s="2">
        <f t="array" ref="E3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5" s="2">
        <f>TRIM(تفاصيل_الفرق[[#This Row],[المدينة/المحافظة]])</f>
        <v/>
      </c>
      <c r="G3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6">
      <c r="B356" s="2" t="inlineStr">
        <is>
          <t>تحت 11</t>
        </is>
      </c>
      <c r="C356" s="2" t="inlineStr">
        <is>
          <t>وادي الدواسر</t>
        </is>
      </c>
      <c r="D356" s="2">
        <f t="array" ref="D3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6" s="2">
        <f t="array" ref="E3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6" s="2">
        <f>TRIM(تفاصيل_الفرق[[#This Row],[المدينة/المحافظة]])</f>
        <v/>
      </c>
      <c r="G3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7">
      <c r="B357" s="2" t="inlineStr">
        <is>
          <t>تحت 12</t>
        </is>
      </c>
      <c r="C357" s="2" t="inlineStr">
        <is>
          <t>وادي الدواسر</t>
        </is>
      </c>
      <c r="D357" s="2">
        <f t="array" ref="D3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7" s="2">
        <f t="array" ref="E3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7" s="2">
        <f>TRIM(تفاصيل_الفرق[[#This Row],[المدينة/المحافظة]])</f>
        <v/>
      </c>
      <c r="G3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8">
      <c r="B358" s="2" t="inlineStr">
        <is>
          <t>تحت 13</t>
        </is>
      </c>
      <c r="C358" s="2" t="inlineStr">
        <is>
          <t>وادي الدواسر</t>
        </is>
      </c>
      <c r="D358" s="2">
        <f t="array" ref="D3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8" s="2">
        <f t="array" ref="E3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8" s="2">
        <f>TRIM(تفاصيل_الفرق[[#This Row],[المدينة/المحافظة]])</f>
        <v/>
      </c>
      <c r="G3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59">
      <c r="B359" s="2" t="inlineStr">
        <is>
          <t>تحت 14</t>
        </is>
      </c>
      <c r="C359" s="2" t="inlineStr">
        <is>
          <t>وادي الدواسر</t>
        </is>
      </c>
      <c r="D359" s="2">
        <f t="array" ref="D3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59" s="2">
        <f t="array" ref="E3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59" s="2">
        <f>TRIM(تفاصيل_الفرق[[#This Row],[المدينة/المحافظة]])</f>
        <v/>
      </c>
      <c r="G3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0">
      <c r="B360" s="2" t="inlineStr">
        <is>
          <t>تحت 5</t>
        </is>
      </c>
      <c r="C360" s="2" t="inlineStr">
        <is>
          <t>أملج</t>
        </is>
      </c>
      <c r="D360" s="2">
        <f t="array" ref="D3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0" s="2">
        <f t="array" ref="E3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0" s="2">
        <f>TRIM(تفاصيل_الفرق[[#This Row],[المدينة/المحافظة]])</f>
        <v/>
      </c>
      <c r="G3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1">
      <c r="B361" s="2" t="inlineStr">
        <is>
          <t>تحت 7</t>
        </is>
      </c>
      <c r="C361" s="2" t="inlineStr">
        <is>
          <t>أملج</t>
        </is>
      </c>
      <c r="D361" s="2">
        <f t="array" ref="D3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1" s="2">
        <f t="array" ref="E3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1" s="2">
        <f>TRIM(تفاصيل_الفرق[[#This Row],[المدينة/المحافظة]])</f>
        <v/>
      </c>
      <c r="G3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2">
      <c r="B362" s="2" t="inlineStr">
        <is>
          <t>تحت 9</t>
        </is>
      </c>
      <c r="C362" s="2" t="inlineStr">
        <is>
          <t>أملج</t>
        </is>
      </c>
      <c r="D362" s="2">
        <f t="array" ref="D3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2" s="2">
        <f t="array" ref="E3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2" s="2">
        <f>TRIM(تفاصيل_الفرق[[#This Row],[المدينة/المحافظة]])</f>
        <v/>
      </c>
      <c r="G3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3">
      <c r="B363" s="2" t="inlineStr">
        <is>
          <t>تحت 11</t>
        </is>
      </c>
      <c r="C363" s="2" t="inlineStr">
        <is>
          <t>أملج</t>
        </is>
      </c>
      <c r="D363" s="2">
        <f t="array" ref="D3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3" s="2">
        <f t="array" ref="E3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3" s="2">
        <f>TRIM(تفاصيل_الفرق[[#This Row],[المدينة/المحافظة]])</f>
        <v/>
      </c>
      <c r="G3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4">
      <c r="B364" s="2" t="inlineStr">
        <is>
          <t>تحت 12</t>
        </is>
      </c>
      <c r="C364" s="2" t="inlineStr">
        <is>
          <t>أملج</t>
        </is>
      </c>
      <c r="D364" s="2">
        <f t="array" ref="D3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4" s="2">
        <f t="array" ref="E3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4" s="2">
        <f>TRIM(تفاصيل_الفرق[[#This Row],[المدينة/المحافظة]])</f>
        <v/>
      </c>
      <c r="G3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5">
      <c r="B365" s="2" t="inlineStr">
        <is>
          <t>تحت 13</t>
        </is>
      </c>
      <c r="C365" s="2" t="inlineStr">
        <is>
          <t>أملج</t>
        </is>
      </c>
      <c r="D365" s="2">
        <f t="array" ref="D3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5" s="2">
        <f t="array" ref="E3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5" s="2">
        <f>TRIM(تفاصيل_الفرق[[#This Row],[المدينة/المحافظة]])</f>
        <v/>
      </c>
      <c r="G3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6">
      <c r="B366" s="2" t="inlineStr">
        <is>
          <t>تحت 14</t>
        </is>
      </c>
      <c r="C366" s="2" t="inlineStr">
        <is>
          <t>أملج</t>
        </is>
      </c>
      <c r="D366" s="2">
        <f t="array" ref="D3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6" s="2">
        <f t="array" ref="E3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6" s="2">
        <f>TRIM(تفاصيل_الفرق[[#This Row],[المدينة/المحافظة]])</f>
        <v/>
      </c>
      <c r="G3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7">
      <c r="B367" s="2" t="inlineStr">
        <is>
          <t>تحت 5</t>
        </is>
      </c>
      <c r="C367" s="2" t="inlineStr">
        <is>
          <t>العقيق</t>
        </is>
      </c>
      <c r="D367" s="2">
        <f t="array" ref="D3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7" s="2">
        <f t="array" ref="E3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7" s="2">
        <f>TRIM(تفاصيل_الفرق[[#This Row],[المدينة/المحافظة]])</f>
        <v/>
      </c>
      <c r="G3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8">
      <c r="B368" s="2" t="inlineStr">
        <is>
          <t>تحت 7</t>
        </is>
      </c>
      <c r="C368" s="2" t="inlineStr">
        <is>
          <t>العقيق</t>
        </is>
      </c>
      <c r="D368" s="2">
        <f t="array" ref="D3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8" s="2">
        <f t="array" ref="E3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8" s="2">
        <f>TRIM(تفاصيل_الفرق[[#This Row],[المدينة/المحافظة]])</f>
        <v/>
      </c>
      <c r="G3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69">
      <c r="B369" s="2" t="inlineStr">
        <is>
          <t>تحت 9</t>
        </is>
      </c>
      <c r="C369" s="2" t="inlineStr">
        <is>
          <t>العقيق</t>
        </is>
      </c>
      <c r="D369" s="2">
        <f t="array" ref="D3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69" s="2">
        <f t="array" ref="E3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69" s="2">
        <f>TRIM(تفاصيل_الفرق[[#This Row],[المدينة/المحافظة]])</f>
        <v/>
      </c>
      <c r="G3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0">
      <c r="B370" s="2" t="inlineStr">
        <is>
          <t>تحت 11</t>
        </is>
      </c>
      <c r="C370" s="2" t="inlineStr">
        <is>
          <t>العقيق</t>
        </is>
      </c>
      <c r="D370" s="2">
        <f t="array" ref="D3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0" s="2">
        <f t="array" ref="E3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0" s="2">
        <f>TRIM(تفاصيل_الفرق[[#This Row],[المدينة/المحافظة]])</f>
        <v/>
      </c>
      <c r="G3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1">
      <c r="B371" s="2" t="inlineStr">
        <is>
          <t>تحت 12</t>
        </is>
      </c>
      <c r="C371" s="2" t="inlineStr">
        <is>
          <t>العقيق</t>
        </is>
      </c>
      <c r="D371" s="2">
        <f t="array" ref="D3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1" s="2">
        <f t="array" ref="E3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1" s="2">
        <f>TRIM(تفاصيل_الفرق[[#This Row],[المدينة/المحافظة]])</f>
        <v/>
      </c>
      <c r="G3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2">
      <c r="B372" s="2" t="inlineStr">
        <is>
          <t>تحت 13</t>
        </is>
      </c>
      <c r="C372" s="2" t="inlineStr">
        <is>
          <t>العقيق</t>
        </is>
      </c>
      <c r="D372" s="2">
        <f t="array" ref="D3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2" s="2">
        <f t="array" ref="E3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2" s="2">
        <f>TRIM(تفاصيل_الفرق[[#This Row],[المدينة/المحافظة]])</f>
        <v/>
      </c>
      <c r="G3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3">
      <c r="B373" s="2" t="inlineStr">
        <is>
          <t>تحت 14</t>
        </is>
      </c>
      <c r="C373" s="2" t="inlineStr">
        <is>
          <t>العقيق</t>
        </is>
      </c>
      <c r="D373" s="2">
        <f t="array" ref="D3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3" s="2">
        <f t="array" ref="E3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3" s="2">
        <f>TRIM(تفاصيل_الفرق[[#This Row],[المدينة/المحافظة]])</f>
        <v/>
      </c>
      <c r="G3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4">
      <c r="B374" s="2" t="inlineStr">
        <is>
          <t>تحت 5</t>
        </is>
      </c>
      <c r="C374" s="2" t="inlineStr">
        <is>
          <t>مركز الرفيعة</t>
        </is>
      </c>
      <c r="D374" s="2">
        <f t="array" ref="D3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4" s="2">
        <f t="array" ref="E3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4" s="2">
        <f>TRIM(تفاصيل_الفرق[[#This Row],[المدينة/المحافظة]])</f>
        <v/>
      </c>
      <c r="G3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5">
      <c r="B375" s="2" t="inlineStr">
        <is>
          <t>تحت 7</t>
        </is>
      </c>
      <c r="C375" s="2" t="inlineStr">
        <is>
          <t>مركز الرفيعة</t>
        </is>
      </c>
      <c r="D375" s="2">
        <f t="array" ref="D3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5" s="2">
        <f t="array" ref="E3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5" s="2">
        <f>TRIM(تفاصيل_الفرق[[#This Row],[المدينة/المحافظة]])</f>
        <v/>
      </c>
      <c r="G3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6">
      <c r="B376" s="2" t="inlineStr">
        <is>
          <t>تحت 9</t>
        </is>
      </c>
      <c r="C376" s="2" t="inlineStr">
        <is>
          <t>مركز الرفيعة</t>
        </is>
      </c>
      <c r="D376" s="2">
        <f t="array" ref="D3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6" s="2">
        <f t="array" ref="E3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6" s="2">
        <f>TRIM(تفاصيل_الفرق[[#This Row],[المدينة/المحافظة]])</f>
        <v/>
      </c>
      <c r="G3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7">
      <c r="B377" s="2" t="inlineStr">
        <is>
          <t>تحت 11</t>
        </is>
      </c>
      <c r="C377" s="2" t="inlineStr">
        <is>
          <t>مركز الرفيعة</t>
        </is>
      </c>
      <c r="D377" s="2">
        <f t="array" ref="D3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7" s="2">
        <f t="array" ref="E3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7" s="2">
        <f>TRIM(تفاصيل_الفرق[[#This Row],[المدينة/المحافظة]])</f>
        <v/>
      </c>
      <c r="G3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8">
      <c r="B378" s="2" t="inlineStr">
        <is>
          <t>تحت 12</t>
        </is>
      </c>
      <c r="C378" s="2" t="inlineStr">
        <is>
          <t>مركز الرفيعة</t>
        </is>
      </c>
      <c r="D378" s="2">
        <f t="array" ref="D3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8" s="2">
        <f t="array" ref="E3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8" s="2">
        <f>TRIM(تفاصيل_الفرق[[#This Row],[المدينة/المحافظة]])</f>
        <v/>
      </c>
      <c r="G3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79">
      <c r="B379" s="2" t="inlineStr">
        <is>
          <t>تحت 13</t>
        </is>
      </c>
      <c r="C379" s="2" t="inlineStr">
        <is>
          <t>مركز الرفيعة</t>
        </is>
      </c>
      <c r="D379" s="2">
        <f t="array" ref="D3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79" s="2">
        <f t="array" ref="E3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79" s="2">
        <f>TRIM(تفاصيل_الفرق[[#This Row],[المدينة/المحافظة]])</f>
        <v/>
      </c>
      <c r="G3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0">
      <c r="B380" s="2" t="inlineStr">
        <is>
          <t>تحت 14</t>
        </is>
      </c>
      <c r="C380" s="2" t="inlineStr">
        <is>
          <t>مركز الرفيعة</t>
        </is>
      </c>
      <c r="D380" s="2">
        <f t="array" ref="D3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0" s="2">
        <f t="array" ref="E3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0" s="2">
        <f>TRIM(تفاصيل_الفرق[[#This Row],[المدينة/المحافظة]])</f>
        <v/>
      </c>
      <c r="G3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1">
      <c r="B381" s="2" t="inlineStr">
        <is>
          <t>تحت 5</t>
        </is>
      </c>
      <c r="C381" s="2" t="inlineStr">
        <is>
          <t>الشنان</t>
        </is>
      </c>
      <c r="D381" s="2">
        <f t="array" ref="D3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1" s="2">
        <f t="array" ref="E3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1" s="2">
        <f>TRIM(تفاصيل_الفرق[[#This Row],[المدينة/المحافظة]])</f>
        <v/>
      </c>
      <c r="G3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2">
      <c r="B382" s="2" t="inlineStr">
        <is>
          <t>تحت 7</t>
        </is>
      </c>
      <c r="C382" s="2" t="inlineStr">
        <is>
          <t>الشنان</t>
        </is>
      </c>
      <c r="D382" s="2">
        <f t="array" ref="D3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2" s="2">
        <f t="array" ref="E3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2" s="2">
        <f>TRIM(تفاصيل_الفرق[[#This Row],[المدينة/المحافظة]])</f>
        <v/>
      </c>
      <c r="G3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3">
      <c r="B383" s="2" t="inlineStr">
        <is>
          <t>تحت 9</t>
        </is>
      </c>
      <c r="C383" s="2" t="inlineStr">
        <is>
          <t>الشنان</t>
        </is>
      </c>
      <c r="D383" s="2">
        <f t="array" ref="D3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3" s="2">
        <f t="array" ref="E3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3" s="2">
        <f>TRIM(تفاصيل_الفرق[[#This Row],[المدينة/المحافظة]])</f>
        <v/>
      </c>
      <c r="G3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4">
      <c r="B384" s="2" t="inlineStr">
        <is>
          <t>تحت 11</t>
        </is>
      </c>
      <c r="C384" s="2" t="inlineStr">
        <is>
          <t>الشنان</t>
        </is>
      </c>
      <c r="D384" s="2">
        <f t="array" ref="D3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4" s="2">
        <f t="array" ref="E3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4" s="2">
        <f>TRIM(تفاصيل_الفرق[[#This Row],[المدينة/المحافظة]])</f>
        <v/>
      </c>
      <c r="G3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5">
      <c r="B385" s="2" t="inlineStr">
        <is>
          <t>تحت 12</t>
        </is>
      </c>
      <c r="C385" s="2" t="inlineStr">
        <is>
          <t>الشنان</t>
        </is>
      </c>
      <c r="D385" s="2">
        <f t="array" ref="D3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5" s="2">
        <f t="array" ref="E3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5" s="2">
        <f>TRIM(تفاصيل_الفرق[[#This Row],[المدينة/المحافظة]])</f>
        <v/>
      </c>
      <c r="G3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6">
      <c r="B386" s="2" t="inlineStr">
        <is>
          <t>تحت 13</t>
        </is>
      </c>
      <c r="C386" s="2" t="inlineStr">
        <is>
          <t>الشنان</t>
        </is>
      </c>
      <c r="D386" s="2">
        <f t="array" ref="D3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6" s="2">
        <f t="array" ref="E3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6" s="2">
        <f>TRIM(تفاصيل_الفرق[[#This Row],[المدينة/المحافظة]])</f>
        <v/>
      </c>
      <c r="G3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7">
      <c r="B387" s="2" t="inlineStr">
        <is>
          <t>تحت 14</t>
        </is>
      </c>
      <c r="C387" s="2" t="inlineStr">
        <is>
          <t>الشنان</t>
        </is>
      </c>
      <c r="D387" s="2">
        <f t="array" ref="D3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7" s="2">
        <f t="array" ref="E3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7" s="2">
        <f>TRIM(تفاصيل_الفرق[[#This Row],[المدينة/المحافظة]])</f>
        <v/>
      </c>
      <c r="G3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8">
      <c r="B388" s="2" t="inlineStr">
        <is>
          <t>تحت 5</t>
        </is>
      </c>
      <c r="C388" s="2" t="inlineStr">
        <is>
          <t>فيد</t>
        </is>
      </c>
      <c r="D388" s="2">
        <f t="array" ref="D3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8" s="2">
        <f t="array" ref="E3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8" s="2">
        <f>TRIM(تفاصيل_الفرق[[#This Row],[المدينة/المحافظة]])</f>
        <v/>
      </c>
      <c r="G3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89">
      <c r="B389" s="2" t="inlineStr">
        <is>
          <t>تحت 7</t>
        </is>
      </c>
      <c r="C389" s="2" t="inlineStr">
        <is>
          <t>فيد</t>
        </is>
      </c>
      <c r="D389" s="2">
        <f t="array" ref="D3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89" s="2">
        <f t="array" ref="E3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89" s="2">
        <f>TRIM(تفاصيل_الفرق[[#This Row],[المدينة/المحافظة]])</f>
        <v/>
      </c>
      <c r="G3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0">
      <c r="B390" s="2" t="inlineStr">
        <is>
          <t>تحت 9</t>
        </is>
      </c>
      <c r="C390" s="2" t="inlineStr">
        <is>
          <t>فيد</t>
        </is>
      </c>
      <c r="D390" s="2">
        <f t="array" ref="D3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0" s="2">
        <f t="array" ref="E3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0" s="2">
        <f>TRIM(تفاصيل_الفرق[[#This Row],[المدينة/المحافظة]])</f>
        <v/>
      </c>
      <c r="G3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1">
      <c r="B391" s="2" t="inlineStr">
        <is>
          <t>تحت 11</t>
        </is>
      </c>
      <c r="C391" s="2" t="inlineStr">
        <is>
          <t>فيد</t>
        </is>
      </c>
      <c r="D391" s="2">
        <f t="array" ref="D3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1" s="2">
        <f t="array" ref="E3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1" s="2">
        <f>TRIM(تفاصيل_الفرق[[#This Row],[المدينة/المحافظة]])</f>
        <v/>
      </c>
      <c r="G3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2">
      <c r="B392" s="2" t="inlineStr">
        <is>
          <t>تحت 12</t>
        </is>
      </c>
      <c r="C392" s="2" t="inlineStr">
        <is>
          <t>فيد</t>
        </is>
      </c>
      <c r="D392" s="2">
        <f t="array" ref="D3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2" s="2">
        <f t="array" ref="E3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2" s="2">
        <f>TRIM(تفاصيل_الفرق[[#This Row],[المدينة/المحافظة]])</f>
        <v/>
      </c>
      <c r="G3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3">
      <c r="B393" s="2" t="inlineStr">
        <is>
          <t>تحت 13</t>
        </is>
      </c>
      <c r="C393" s="2" t="inlineStr">
        <is>
          <t>فيد</t>
        </is>
      </c>
      <c r="D393" s="2">
        <f t="array" ref="D3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3" s="2">
        <f t="array" ref="E3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3" s="2">
        <f>TRIM(تفاصيل_الفرق[[#This Row],[المدينة/المحافظة]])</f>
        <v/>
      </c>
      <c r="G3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4">
      <c r="B394" s="2" t="inlineStr">
        <is>
          <t>تحت 14</t>
        </is>
      </c>
      <c r="C394" s="2" t="inlineStr">
        <is>
          <t>فيد</t>
        </is>
      </c>
      <c r="D394" s="2">
        <f t="array" ref="D3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4" s="2">
        <f t="array" ref="E3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4" s="2">
        <f>TRIM(تفاصيل_الفرق[[#This Row],[المدينة/المحافظة]])</f>
        <v/>
      </c>
      <c r="G3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5">
      <c r="B395" s="2" t="inlineStr">
        <is>
          <t>تحت 5</t>
        </is>
      </c>
      <c r="C395" s="2" t="inlineStr">
        <is>
          <t>طبرجل</t>
        </is>
      </c>
      <c r="D395" s="2">
        <f t="array" ref="D3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5" s="2">
        <f t="array" ref="E3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5" s="2">
        <f>TRIM(تفاصيل_الفرق[[#This Row],[المدينة/المحافظة]])</f>
        <v/>
      </c>
      <c r="G3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6">
      <c r="B396" s="2" t="inlineStr">
        <is>
          <t>تحت 7</t>
        </is>
      </c>
      <c r="C396" s="2" t="inlineStr">
        <is>
          <t>طبرجل</t>
        </is>
      </c>
      <c r="D396" s="2">
        <f t="array" ref="D3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6" s="2">
        <f t="array" ref="E3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6" s="2">
        <f>TRIM(تفاصيل_الفرق[[#This Row],[المدينة/المحافظة]])</f>
        <v/>
      </c>
      <c r="G3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7">
      <c r="B397" s="2" t="inlineStr">
        <is>
          <t>تحت 9</t>
        </is>
      </c>
      <c r="C397" s="2" t="inlineStr">
        <is>
          <t>طبرجل</t>
        </is>
      </c>
      <c r="D397" s="2">
        <f t="array" ref="D3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7" s="2">
        <f t="array" ref="E3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7" s="2">
        <f>TRIM(تفاصيل_الفرق[[#This Row],[المدينة/المحافظة]])</f>
        <v/>
      </c>
      <c r="G3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8">
      <c r="B398" s="2" t="inlineStr">
        <is>
          <t>تحت 11</t>
        </is>
      </c>
      <c r="C398" s="2" t="inlineStr">
        <is>
          <t>طبرجل</t>
        </is>
      </c>
      <c r="D398" s="2">
        <f t="array" ref="D3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8" s="2">
        <f t="array" ref="E3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8" s="2">
        <f>TRIM(تفاصيل_الفرق[[#This Row],[المدينة/المحافظة]])</f>
        <v/>
      </c>
      <c r="G3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399">
      <c r="B399" s="2" t="inlineStr">
        <is>
          <t>تحت 12</t>
        </is>
      </c>
      <c r="C399" s="2" t="inlineStr">
        <is>
          <t>طبرجل</t>
        </is>
      </c>
      <c r="D399" s="2">
        <f t="array" ref="D3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399" s="2">
        <f t="array" ref="E3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399" s="2">
        <f>TRIM(تفاصيل_الفرق[[#This Row],[المدينة/المحافظة]])</f>
        <v/>
      </c>
      <c r="G3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0">
      <c r="B400" s="2" t="inlineStr">
        <is>
          <t>تحت 13</t>
        </is>
      </c>
      <c r="C400" s="2" t="inlineStr">
        <is>
          <t>طبرجل</t>
        </is>
      </c>
      <c r="D400" s="2">
        <f t="array" ref="D4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0" s="2">
        <f t="array" ref="E4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0" s="2">
        <f>TRIM(تفاصيل_الفرق[[#This Row],[المدينة/المحافظة]])</f>
        <v/>
      </c>
      <c r="G4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1">
      <c r="B401" s="2" t="inlineStr">
        <is>
          <t>تحت 14</t>
        </is>
      </c>
      <c r="C401" s="2" t="inlineStr">
        <is>
          <t>طبرجل</t>
        </is>
      </c>
      <c r="D401" s="2">
        <f t="array" ref="D4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1" s="2">
        <f t="array" ref="E4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1" s="2">
        <f>TRIM(تفاصيل_الفرق[[#This Row],[المدينة/المحافظة]])</f>
        <v/>
      </c>
      <c r="G4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2">
      <c r="B402" s="2" t="inlineStr">
        <is>
          <t>تحت 5</t>
        </is>
      </c>
      <c r="C402" s="2" t="inlineStr">
        <is>
          <t>رياض الخبراء</t>
        </is>
      </c>
      <c r="D402" s="2">
        <f t="array" ref="D4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2" s="2">
        <f t="array" ref="E4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2" s="2">
        <f>TRIM(تفاصيل_الفرق[[#This Row],[المدينة/المحافظة]])</f>
        <v/>
      </c>
      <c r="G4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3">
      <c r="B403" s="2" t="inlineStr">
        <is>
          <t>تحت 7</t>
        </is>
      </c>
      <c r="C403" s="2" t="inlineStr">
        <is>
          <t>رياض الخبراء</t>
        </is>
      </c>
      <c r="D403" s="2">
        <f t="array" ref="D4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3" s="2">
        <f t="array" ref="E4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3" s="2">
        <f>TRIM(تفاصيل_الفرق[[#This Row],[المدينة/المحافظة]])</f>
        <v/>
      </c>
      <c r="G4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4">
      <c r="B404" s="2" t="inlineStr">
        <is>
          <t>تحت 9</t>
        </is>
      </c>
      <c r="C404" s="2" t="inlineStr">
        <is>
          <t>رياض الخبراء</t>
        </is>
      </c>
      <c r="D404" s="2">
        <f t="array" ref="D4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4" s="2">
        <f t="array" ref="E4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4" s="2">
        <f>TRIM(تفاصيل_الفرق[[#This Row],[المدينة/المحافظة]])</f>
        <v/>
      </c>
      <c r="G4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5">
      <c r="B405" s="2" t="inlineStr">
        <is>
          <t>تحت 11</t>
        </is>
      </c>
      <c r="C405" s="2" t="inlineStr">
        <is>
          <t>رياض الخبراء</t>
        </is>
      </c>
      <c r="D405" s="2">
        <f t="array" ref="D4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5" s="2">
        <f t="array" ref="E4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5" s="2">
        <f>TRIM(تفاصيل_الفرق[[#This Row],[المدينة/المحافظة]])</f>
        <v/>
      </c>
      <c r="G4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6">
      <c r="B406" s="2" t="inlineStr">
        <is>
          <t>تحت 12</t>
        </is>
      </c>
      <c r="C406" s="2" t="inlineStr">
        <is>
          <t>رياض الخبراء</t>
        </is>
      </c>
      <c r="D406" s="2">
        <f t="array" ref="D4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6" s="2">
        <f t="array" ref="E4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6" s="2">
        <f>TRIM(تفاصيل_الفرق[[#This Row],[المدينة/المحافظة]])</f>
        <v/>
      </c>
      <c r="G4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7">
      <c r="B407" s="2" t="inlineStr">
        <is>
          <t>تحت 13</t>
        </is>
      </c>
      <c r="C407" s="2" t="inlineStr">
        <is>
          <t>رياض الخبراء</t>
        </is>
      </c>
      <c r="D407" s="2">
        <f t="array" ref="D4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7" s="2">
        <f t="array" ref="E4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7" s="2">
        <f>TRIM(تفاصيل_الفرق[[#This Row],[المدينة/المحافظة]])</f>
        <v/>
      </c>
      <c r="G4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8">
      <c r="B408" s="2" t="inlineStr">
        <is>
          <t>تحت 14</t>
        </is>
      </c>
      <c r="C408" s="2" t="inlineStr">
        <is>
          <t>رياض الخبراء</t>
        </is>
      </c>
      <c r="D408" s="2">
        <f t="array" ref="D4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8" s="2">
        <f t="array" ref="E4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8" s="2">
        <f>TRIM(تفاصيل_الفرق[[#This Row],[المدينة/المحافظة]])</f>
        <v/>
      </c>
      <c r="G4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09">
      <c r="B409" s="2" t="inlineStr">
        <is>
          <t>تحت 5</t>
        </is>
      </c>
      <c r="C409" s="2" t="inlineStr">
        <is>
          <t>الجبيل</t>
        </is>
      </c>
      <c r="D409" s="2">
        <f t="array" ref="D4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09" s="2">
        <f t="array" ref="E4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09" s="2">
        <f>TRIM(تفاصيل_الفرق[[#This Row],[المدينة/المحافظة]])</f>
        <v/>
      </c>
      <c r="G4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10">
      <c r="B410" s="2" t="inlineStr">
        <is>
          <t>تحت 7</t>
        </is>
      </c>
      <c r="C410" s="2" t="inlineStr">
        <is>
          <t>الجبيل</t>
        </is>
      </c>
      <c r="D410" s="2">
        <f t="array" ref="D4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0" s="2">
        <f t="array" ref="E4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10" s="2">
        <f>TRIM(تفاصيل_الفرق[[#This Row],[المدينة/المحافظة]])</f>
        <v/>
      </c>
      <c r="G4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11">
      <c r="B411" s="2" t="inlineStr">
        <is>
          <t>تحت 9</t>
        </is>
      </c>
      <c r="C411" s="2" t="inlineStr">
        <is>
          <t>الجبيل</t>
        </is>
      </c>
      <c r="D411" s="2">
        <f t="array" ref="D4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1" s="2">
        <f t="array" ref="E4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11" s="2">
        <f>TRIM(تفاصيل_الفرق[[#This Row],[المدينة/المحافظة]])</f>
        <v/>
      </c>
      <c r="G4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12">
      <c r="B412" s="2" t="inlineStr">
        <is>
          <t>تحت 11</t>
        </is>
      </c>
      <c r="C412" s="2" t="inlineStr">
        <is>
          <t>الجبيل</t>
        </is>
      </c>
      <c r="D412" s="2">
        <f t="array" ref="D4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2" s="2">
        <f t="array" ref="E4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12" s="2">
        <f>TRIM(تفاصيل_الفرق[[#This Row],[المدينة/المحافظة]])</f>
        <v/>
      </c>
      <c r="G4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13">
      <c r="B413" s="2" t="inlineStr">
        <is>
          <t>تحت 12</t>
        </is>
      </c>
      <c r="C413" s="2" t="inlineStr">
        <is>
          <t>الجبيل</t>
        </is>
      </c>
      <c r="D413" s="2">
        <f t="array" ref="D4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3" s="2">
        <f t="array" ref="E4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13" s="2">
        <f>TRIM(تفاصيل_الفرق[[#This Row],[المدينة/المحافظة]])</f>
        <v/>
      </c>
      <c r="G4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14">
      <c r="B414" s="2" t="inlineStr">
        <is>
          <t>تحت 13</t>
        </is>
      </c>
      <c r="C414" s="2" t="inlineStr">
        <is>
          <t>الجبيل</t>
        </is>
      </c>
      <c r="D414" s="2">
        <f t="array" ref="D4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4" s="2">
        <f t="array" ref="E4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14" s="2">
        <f>TRIM(تفاصيل_الفرق[[#This Row],[المدينة/المحافظة]])</f>
        <v/>
      </c>
      <c r="G4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15">
      <c r="B415" s="2" t="inlineStr">
        <is>
          <t>تحت 14</t>
        </is>
      </c>
      <c r="C415" s="2" t="inlineStr">
        <is>
          <t>الجبيل</t>
        </is>
      </c>
      <c r="D415" s="2">
        <f t="array" ref="D4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5" s="2">
        <f t="array" ref="E4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15" s="2">
        <f>TRIM(تفاصيل_الفرق[[#This Row],[المدينة/المحافظة]])</f>
        <v/>
      </c>
      <c r="G4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16">
      <c r="B416" s="2" t="inlineStr">
        <is>
          <t>تحت 5</t>
        </is>
      </c>
      <c r="C416" s="2" t="inlineStr">
        <is>
          <t>القريات</t>
        </is>
      </c>
      <c r="D416" s="2">
        <f t="array" ref="D4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6" s="2" t="n">
        <v>6</v>
      </c>
      <c r="F416" s="2">
        <f>TRIM(تفاصيل_الفرق[[#This Row],[المدينة/المحافظة]])</f>
        <v/>
      </c>
      <c r="G416" s="2" t="n">
        <v>1</v>
      </c>
    </row>
    <row r="417">
      <c r="B417" s="2" t="inlineStr">
        <is>
          <t>تحت 7</t>
        </is>
      </c>
      <c r="C417" s="2" t="inlineStr">
        <is>
          <t>القريات</t>
        </is>
      </c>
      <c r="D417" s="2">
        <f t="array" ref="D4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7" s="2" t="n">
        <v>7</v>
      </c>
      <c r="F417" s="2">
        <f>TRIM(تفاصيل_الفرق[[#This Row],[المدينة/المحافظة]])</f>
        <v/>
      </c>
      <c r="G417" s="2" t="n">
        <v>1</v>
      </c>
    </row>
    <row r="418">
      <c r="B418" s="2" t="inlineStr">
        <is>
          <t>تحت 9</t>
        </is>
      </c>
      <c r="C418" s="2" t="inlineStr">
        <is>
          <t>القريات</t>
        </is>
      </c>
      <c r="D418" s="2">
        <f t="array" ref="D4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8" s="2" t="n">
        <v>6</v>
      </c>
      <c r="F418" s="2">
        <f>TRIM(تفاصيل_الفرق[[#This Row],[المدينة/المحافظة]])</f>
        <v/>
      </c>
      <c r="G418" s="2" t="n">
        <v>1</v>
      </c>
    </row>
    <row r="419">
      <c r="B419" s="2" t="inlineStr">
        <is>
          <t>تحت 11</t>
        </is>
      </c>
      <c r="C419" s="2" t="inlineStr">
        <is>
          <t>القريات</t>
        </is>
      </c>
      <c r="D419" s="2">
        <f t="array" ref="D4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19" s="2" t="n">
        <v>5</v>
      </c>
      <c r="F419" s="2">
        <f>TRIM(تفاصيل_الفرق[[#This Row],[المدينة/المحافظة]])</f>
        <v/>
      </c>
      <c r="G419" s="2" t="n">
        <v>1</v>
      </c>
    </row>
    <row r="420">
      <c r="B420" s="2" t="inlineStr">
        <is>
          <t>تحت 12</t>
        </is>
      </c>
      <c r="C420" s="2" t="inlineStr">
        <is>
          <t>القريات</t>
        </is>
      </c>
      <c r="D420" s="2">
        <f t="array" ref="D4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0" s="2" t="n">
        <v>5</v>
      </c>
      <c r="F420" s="2">
        <f>TRIM(تفاصيل_الفرق[[#This Row],[المدينة/المحافظة]])</f>
        <v/>
      </c>
      <c r="G420" s="2" t="n">
        <v>1</v>
      </c>
    </row>
    <row r="421">
      <c r="B421" s="2" t="inlineStr">
        <is>
          <t>تحت 13</t>
        </is>
      </c>
      <c r="C421" s="2" t="inlineStr">
        <is>
          <t>القريات</t>
        </is>
      </c>
      <c r="D421" s="2">
        <f t="array" ref="D4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1" s="2" t="n">
        <v>5</v>
      </c>
      <c r="F421" s="2">
        <f>TRIM(تفاصيل_الفرق[[#This Row],[المدينة/المحافظة]])</f>
        <v/>
      </c>
      <c r="G421" s="2" t="n">
        <v>1</v>
      </c>
    </row>
    <row r="422">
      <c r="B422" s="2" t="inlineStr">
        <is>
          <t>تحت 14</t>
        </is>
      </c>
      <c r="C422" s="2" t="inlineStr">
        <is>
          <t>القريات</t>
        </is>
      </c>
      <c r="D422" s="2">
        <f t="array" ref="D4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2" s="2" t="n">
        <v>5</v>
      </c>
      <c r="F422" s="2">
        <f>TRIM(تفاصيل_الفرق[[#This Row],[المدينة/المحافظة]])</f>
        <v/>
      </c>
      <c r="G422" s="2" t="n">
        <v>1</v>
      </c>
    </row>
    <row r="423">
      <c r="B423" s="2" t="inlineStr">
        <is>
          <t>تحت 5</t>
        </is>
      </c>
      <c r="C423" s="2" t="inlineStr">
        <is>
          <t>البدائع</t>
        </is>
      </c>
      <c r="D423" s="2">
        <f t="array" ref="D4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3" s="2">
        <f t="array" ref="E4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23" s="2">
        <f>TRIM(تفاصيل_الفرق[[#This Row],[المدينة/المحافظة]])</f>
        <v/>
      </c>
      <c r="G4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24">
      <c r="B424" s="2" t="inlineStr">
        <is>
          <t>تحت 7</t>
        </is>
      </c>
      <c r="C424" s="2" t="inlineStr">
        <is>
          <t>البدائع</t>
        </is>
      </c>
      <c r="D424" s="2">
        <f t="array" ref="D4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4" s="2">
        <f t="array" ref="E4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24" s="2">
        <f>TRIM(تفاصيل_الفرق[[#This Row],[المدينة/المحافظة]])</f>
        <v/>
      </c>
      <c r="G4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25">
      <c r="B425" s="2" t="inlineStr">
        <is>
          <t>تحت 9</t>
        </is>
      </c>
      <c r="C425" s="2" t="inlineStr">
        <is>
          <t>البدائع</t>
        </is>
      </c>
      <c r="D425" s="2">
        <f t="array" ref="D4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5" s="2">
        <f t="array" ref="E4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25" s="2">
        <f>TRIM(تفاصيل_الفرق[[#This Row],[المدينة/المحافظة]])</f>
        <v/>
      </c>
      <c r="G4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26">
      <c r="B426" s="2" t="inlineStr">
        <is>
          <t>تحت 11</t>
        </is>
      </c>
      <c r="C426" s="2" t="inlineStr">
        <is>
          <t>البدائع</t>
        </is>
      </c>
      <c r="D426" s="2">
        <f t="array" ref="D4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6" s="2">
        <f t="array" ref="E4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26" s="2">
        <f>TRIM(تفاصيل_الفرق[[#This Row],[المدينة/المحافظة]])</f>
        <v/>
      </c>
      <c r="G4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27">
      <c r="B427" s="2" t="inlineStr">
        <is>
          <t>تحت 12</t>
        </is>
      </c>
      <c r="C427" s="2" t="inlineStr">
        <is>
          <t>البدائع</t>
        </is>
      </c>
      <c r="D427" s="2">
        <f t="array" ref="D4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7" s="2">
        <f t="array" ref="E4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27" s="2">
        <f>TRIM(تفاصيل_الفرق[[#This Row],[المدينة/المحافظة]])</f>
        <v/>
      </c>
      <c r="G4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28">
      <c r="B428" s="2" t="inlineStr">
        <is>
          <t>تحت 13</t>
        </is>
      </c>
      <c r="C428" s="2" t="inlineStr">
        <is>
          <t>البدائع</t>
        </is>
      </c>
      <c r="D428" s="2">
        <f t="array" ref="D4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8" s="2">
        <f t="array" ref="E4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28" s="2">
        <f>TRIM(تفاصيل_الفرق[[#This Row],[المدينة/المحافظة]])</f>
        <v/>
      </c>
      <c r="G4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29">
      <c r="B429" s="2" t="inlineStr">
        <is>
          <t>تحت 14</t>
        </is>
      </c>
      <c r="C429" s="2" t="inlineStr">
        <is>
          <t>البدائع</t>
        </is>
      </c>
      <c r="D429" s="2">
        <f t="array" ref="D4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29" s="2">
        <f t="array" ref="E4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29" s="2">
        <f>TRIM(تفاصيل_الفرق[[#This Row],[المدينة/المحافظة]])</f>
        <v/>
      </c>
      <c r="G4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0">
      <c r="B430" s="2" t="inlineStr">
        <is>
          <t>تحت 11</t>
        </is>
      </c>
      <c r="C430" s="2" t="inlineStr">
        <is>
          <t>رفحاء</t>
        </is>
      </c>
      <c r="D430" s="2">
        <f t="array" ref="D4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0" s="2">
        <f t="array" ref="E4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0" s="2">
        <f>TRIM(تفاصيل_الفرق[[#This Row],[المدينة/المحافظة]])</f>
        <v/>
      </c>
      <c r="G4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1">
      <c r="B431" s="2" t="inlineStr">
        <is>
          <t>تحت 12</t>
        </is>
      </c>
      <c r="C431" s="2" t="inlineStr">
        <is>
          <t>رفحاء</t>
        </is>
      </c>
      <c r="D431" s="2">
        <f t="array" ref="D4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1" s="2">
        <f t="array" ref="E4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1" s="2">
        <f>TRIM(تفاصيل_الفرق[[#This Row],[المدينة/المحافظة]])</f>
        <v/>
      </c>
      <c r="G4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2">
      <c r="B432" s="2" t="inlineStr">
        <is>
          <t>تحت 13</t>
        </is>
      </c>
      <c r="C432" s="2" t="inlineStr">
        <is>
          <t>رفحاء</t>
        </is>
      </c>
      <c r="D432" s="2">
        <f t="array" ref="D4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2" s="2">
        <f t="array" ref="E4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2" s="2">
        <f>TRIM(تفاصيل_الفرق[[#This Row],[المدينة/المحافظة]])</f>
        <v/>
      </c>
      <c r="G4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3">
      <c r="B433" s="2" t="inlineStr">
        <is>
          <t>تحت 14</t>
        </is>
      </c>
      <c r="C433" s="2" t="inlineStr">
        <is>
          <t>رفحاء</t>
        </is>
      </c>
      <c r="D433" s="2">
        <f t="array" ref="D4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3" s="2">
        <f t="array" ref="E4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3" s="2">
        <f>TRIM(تفاصيل_الفرق[[#This Row],[المدينة/المحافظة]])</f>
        <v/>
      </c>
      <c r="G4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4">
      <c r="B434" s="2" t="inlineStr">
        <is>
          <t>تحت 11</t>
        </is>
      </c>
      <c r="C434" s="2" t="inlineStr">
        <is>
          <t>الدلم</t>
        </is>
      </c>
      <c r="D434" s="2">
        <f t="array" ref="D4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4" s="2">
        <f t="array" ref="E4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4" s="2">
        <f>TRIM(تفاصيل_الفرق[[#This Row],[المدينة/المحافظة]])</f>
        <v/>
      </c>
      <c r="G4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5">
      <c r="B435" s="2" t="inlineStr">
        <is>
          <t>تحت 12</t>
        </is>
      </c>
      <c r="C435" s="2" t="inlineStr">
        <is>
          <t>الدلم</t>
        </is>
      </c>
      <c r="D435" s="2">
        <f t="array" ref="D4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5" s="2">
        <f t="array" ref="E4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5" s="2">
        <f>TRIM(تفاصيل_الفرق[[#This Row],[المدينة/المحافظة]])</f>
        <v/>
      </c>
      <c r="G4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6">
      <c r="B436" s="2" t="inlineStr">
        <is>
          <t>تحت 13</t>
        </is>
      </c>
      <c r="C436" s="2" t="inlineStr">
        <is>
          <t>الدلم</t>
        </is>
      </c>
      <c r="D436" s="2">
        <f t="array" ref="D4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6" s="2">
        <f t="array" ref="E4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6" s="2">
        <f>TRIM(تفاصيل_الفرق[[#This Row],[المدينة/المحافظة]])</f>
        <v/>
      </c>
      <c r="G4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7">
      <c r="B437" s="2" t="inlineStr">
        <is>
          <t>تحت 14</t>
        </is>
      </c>
      <c r="C437" s="2" t="inlineStr">
        <is>
          <t>الدلم</t>
        </is>
      </c>
      <c r="D437" s="2">
        <f t="array" ref="D4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7" s="2">
        <f t="array" ref="E4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7" s="2">
        <f>TRIM(تفاصيل_الفرق[[#This Row],[المدينة/المحافظة]])</f>
        <v/>
      </c>
      <c r="G4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8">
      <c r="B438" s="2" t="inlineStr">
        <is>
          <t>تحت 11</t>
        </is>
      </c>
      <c r="C438" s="2" t="inlineStr">
        <is>
          <t>عفيف</t>
        </is>
      </c>
      <c r="D438" s="2">
        <f t="array" ref="D4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8" s="2">
        <f t="array" ref="E4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8" s="2">
        <f>TRIM(تفاصيل_الفرق[[#This Row],[المدينة/المحافظة]])</f>
        <v/>
      </c>
      <c r="G4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39">
      <c r="B439" s="2" t="inlineStr">
        <is>
          <t>تحت 12</t>
        </is>
      </c>
      <c r="C439" s="2" t="inlineStr">
        <is>
          <t>عفيف</t>
        </is>
      </c>
      <c r="D439" s="2">
        <f t="array" ref="D4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39" s="2">
        <f t="array" ref="E4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39" s="2">
        <f>TRIM(تفاصيل_الفرق[[#This Row],[المدينة/المحافظة]])</f>
        <v/>
      </c>
      <c r="G4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0">
      <c r="B440" s="2" t="inlineStr">
        <is>
          <t>تحت 13</t>
        </is>
      </c>
      <c r="C440" s="2" t="inlineStr">
        <is>
          <t>عفيف</t>
        </is>
      </c>
      <c r="D440" s="2">
        <f t="array" ref="D4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0" s="2">
        <f t="array" ref="E4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0" s="2">
        <f>TRIM(تفاصيل_الفرق[[#This Row],[المدينة/المحافظة]])</f>
        <v/>
      </c>
      <c r="G4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1">
      <c r="B441" s="2" t="inlineStr">
        <is>
          <t>تحت 14</t>
        </is>
      </c>
      <c r="C441" s="2" t="inlineStr">
        <is>
          <t>عفيف</t>
        </is>
      </c>
      <c r="D441" s="2">
        <f t="array" ref="D4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1" s="2">
        <f t="array" ref="E4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1" s="2">
        <f>TRIM(تفاصيل_الفرق[[#This Row],[المدينة/المحافظة]])</f>
        <v/>
      </c>
      <c r="G4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2">
      <c r="B442" s="2" t="inlineStr">
        <is>
          <t>تحت 11</t>
        </is>
      </c>
      <c r="C442" s="2" t="inlineStr">
        <is>
          <t>الغاط</t>
        </is>
      </c>
      <c r="D442" s="2">
        <f t="array" ref="D4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2" s="2">
        <f t="array" ref="E4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2" s="2">
        <f>TRIM(تفاصيل_الفرق[[#This Row],[المدينة/المحافظة]])</f>
        <v/>
      </c>
      <c r="G4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3">
      <c r="B443" s="2" t="inlineStr">
        <is>
          <t>تحت 12</t>
        </is>
      </c>
      <c r="C443" s="2" t="inlineStr">
        <is>
          <t>الغاط</t>
        </is>
      </c>
      <c r="D443" s="2">
        <f t="array" ref="D4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3" s="2">
        <f t="array" ref="E4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3" s="2">
        <f>TRIM(تفاصيل_الفرق[[#This Row],[المدينة/المحافظة]])</f>
        <v/>
      </c>
      <c r="G4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4">
      <c r="B444" s="2" t="inlineStr">
        <is>
          <t>تحت 13</t>
        </is>
      </c>
      <c r="C444" s="2" t="inlineStr">
        <is>
          <t>الغاط</t>
        </is>
      </c>
      <c r="D444" s="2">
        <f t="array" ref="D4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4" s="2">
        <f t="array" ref="E4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4" s="2">
        <f>TRIM(تفاصيل_الفرق[[#This Row],[المدينة/المحافظة]])</f>
        <v/>
      </c>
      <c r="G4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5">
      <c r="B445" s="2" t="inlineStr">
        <is>
          <t>تحت 14</t>
        </is>
      </c>
      <c r="C445" s="2" t="inlineStr">
        <is>
          <t>الغاط</t>
        </is>
      </c>
      <c r="D445" s="2">
        <f t="array" ref="D4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5" s="2">
        <f t="array" ref="E4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5" s="2">
        <f>TRIM(تفاصيل_الفرق[[#This Row],[المدينة/المحافظة]])</f>
        <v/>
      </c>
      <c r="G4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6">
      <c r="B446" s="2" t="inlineStr">
        <is>
          <t>تحت 11</t>
        </is>
      </c>
      <c r="C446" s="2" t="inlineStr">
        <is>
          <t>نجران</t>
        </is>
      </c>
      <c r="D446" s="2">
        <f t="array" ref="D4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6" s="2">
        <f t="array" ref="E4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6" s="2">
        <f>TRIM(تفاصيل_الفرق[[#This Row],[المدينة/المحافظة]])</f>
        <v/>
      </c>
      <c r="G4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7">
      <c r="B447" s="2" t="inlineStr">
        <is>
          <t>تحت 12</t>
        </is>
      </c>
      <c r="C447" s="2" t="inlineStr">
        <is>
          <t>نجران</t>
        </is>
      </c>
      <c r="D447" s="2">
        <f t="array" ref="D4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7" s="2">
        <f t="array" ref="E4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7" s="2">
        <f>TRIM(تفاصيل_الفرق[[#This Row],[المدينة/المحافظة]])</f>
        <v/>
      </c>
      <c r="G4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8">
      <c r="B448" s="2" t="inlineStr">
        <is>
          <t>تحت 13</t>
        </is>
      </c>
      <c r="C448" s="2" t="inlineStr">
        <is>
          <t>نجران</t>
        </is>
      </c>
      <c r="D448" s="2">
        <f t="array" ref="D4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8" s="2">
        <f t="array" ref="E4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8" s="2">
        <f>TRIM(تفاصيل_الفرق[[#This Row],[المدينة/المحافظة]])</f>
        <v/>
      </c>
      <c r="G4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49">
      <c r="B449" s="2" t="inlineStr">
        <is>
          <t>تحت 14</t>
        </is>
      </c>
      <c r="C449" s="2" t="inlineStr">
        <is>
          <t>نجران</t>
        </is>
      </c>
      <c r="D449" s="2">
        <f t="array" ref="D4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49" s="2">
        <f t="array" ref="E4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49" s="2">
        <f>TRIM(تفاصيل_الفرق[[#This Row],[المدينة/المحافظة]])</f>
        <v/>
      </c>
      <c r="G4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0">
      <c r="B450" s="2" t="inlineStr">
        <is>
          <t>تحت 11</t>
        </is>
      </c>
      <c r="C450" s="2" t="inlineStr">
        <is>
          <t>حبونا</t>
        </is>
      </c>
      <c r="D450" s="2">
        <f t="array" ref="D4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0" s="2">
        <f t="array" ref="E4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0" s="2">
        <f>TRIM(تفاصيل_الفرق[[#This Row],[المدينة/المحافظة]])</f>
        <v/>
      </c>
      <c r="G4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1">
      <c r="B451" s="2" t="inlineStr">
        <is>
          <t>تحت 12</t>
        </is>
      </c>
      <c r="C451" s="2" t="inlineStr">
        <is>
          <t>حبونا</t>
        </is>
      </c>
      <c r="D451" s="2">
        <f t="array" ref="D4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1" s="2">
        <f t="array" ref="E4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1" s="2">
        <f>TRIM(تفاصيل_الفرق[[#This Row],[المدينة/المحافظة]])</f>
        <v/>
      </c>
      <c r="G4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2">
      <c r="B452" s="2" t="inlineStr">
        <is>
          <t>تحت 13</t>
        </is>
      </c>
      <c r="C452" s="2" t="inlineStr">
        <is>
          <t>حبونا</t>
        </is>
      </c>
      <c r="D452" s="2">
        <f t="array" ref="D4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2" s="2">
        <f t="array" ref="E4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2" s="2">
        <f>TRIM(تفاصيل_الفرق[[#This Row],[المدينة/المحافظة]])</f>
        <v/>
      </c>
      <c r="G4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3">
      <c r="B453" s="2" t="inlineStr">
        <is>
          <t>تحت 14</t>
        </is>
      </c>
      <c r="C453" s="2" t="inlineStr">
        <is>
          <t>حبونا</t>
        </is>
      </c>
      <c r="D453" s="2">
        <f t="array" ref="D4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3" s="2">
        <f t="array" ref="E4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3" s="2">
        <f>TRIM(تفاصيل_الفرق[[#This Row],[المدينة/المحافظة]])</f>
        <v/>
      </c>
      <c r="G4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4">
      <c r="B454" s="2" t="inlineStr">
        <is>
          <t>تحت 11</t>
        </is>
      </c>
      <c r="C454" s="2" t="inlineStr">
        <is>
          <t>الوجه</t>
        </is>
      </c>
      <c r="D454" s="2">
        <f t="array" ref="D4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4" s="2">
        <f t="array" ref="E4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4" s="2">
        <f>TRIM(تفاصيل_الفرق[[#This Row],[المدينة/المحافظة]])</f>
        <v/>
      </c>
      <c r="G4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5">
      <c r="B455" s="2" t="inlineStr">
        <is>
          <t>تحت 12</t>
        </is>
      </c>
      <c r="C455" s="2" t="inlineStr">
        <is>
          <t>الوجه</t>
        </is>
      </c>
      <c r="D455" s="2">
        <f t="array" ref="D4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5" s="2">
        <f t="array" ref="E4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5" s="2">
        <f>TRIM(تفاصيل_الفرق[[#This Row],[المدينة/المحافظة]])</f>
        <v/>
      </c>
      <c r="G4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6">
      <c r="B456" s="2" t="inlineStr">
        <is>
          <t>تحت 13</t>
        </is>
      </c>
      <c r="C456" s="2" t="inlineStr">
        <is>
          <t>الوجه</t>
        </is>
      </c>
      <c r="D456" s="2">
        <f t="array" ref="D4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6" s="2">
        <f t="array" ref="E4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6" s="2">
        <f>TRIM(تفاصيل_الفرق[[#This Row],[المدينة/المحافظة]])</f>
        <v/>
      </c>
      <c r="G4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7">
      <c r="B457" s="2" t="inlineStr">
        <is>
          <t>تحت 14</t>
        </is>
      </c>
      <c r="C457" s="2" t="inlineStr">
        <is>
          <t>الوجه</t>
        </is>
      </c>
      <c r="D457" s="2">
        <f t="array" ref="D4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7" s="2">
        <f t="array" ref="E4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7" s="2">
        <f>TRIM(تفاصيل_الفرق[[#This Row],[المدينة/المحافظة]])</f>
        <v/>
      </c>
      <c r="G4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8">
      <c r="B458" s="2" t="inlineStr">
        <is>
          <t>تحت 11</t>
        </is>
      </c>
      <c r="C458" s="2" t="inlineStr">
        <is>
          <t>ضباء</t>
        </is>
      </c>
      <c r="D458" s="2">
        <f t="array" ref="D4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8" s="2">
        <f t="array" ref="E4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8" s="2">
        <f>TRIM(تفاصيل_الفرق[[#This Row],[المدينة/المحافظة]])</f>
        <v/>
      </c>
      <c r="G4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59">
      <c r="B459" s="2" t="inlineStr">
        <is>
          <t>تحت 12</t>
        </is>
      </c>
      <c r="C459" s="2" t="inlineStr">
        <is>
          <t>ضباء</t>
        </is>
      </c>
      <c r="D459" s="2">
        <f t="array" ref="D4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59" s="2">
        <f t="array" ref="E4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59" s="2">
        <f>TRIM(تفاصيل_الفرق[[#This Row],[المدينة/المحافظة]])</f>
        <v/>
      </c>
      <c r="G4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0">
      <c r="B460" s="2" t="inlineStr">
        <is>
          <t>تحت 13</t>
        </is>
      </c>
      <c r="C460" s="2" t="inlineStr">
        <is>
          <t>ضباء</t>
        </is>
      </c>
      <c r="D460" s="2">
        <f t="array" ref="D4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0" s="2">
        <f t="array" ref="E4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0" s="2">
        <f>TRIM(تفاصيل_الفرق[[#This Row],[المدينة/المحافظة]])</f>
        <v/>
      </c>
      <c r="G4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1">
      <c r="B461" s="2" t="inlineStr">
        <is>
          <t>تحت 14</t>
        </is>
      </c>
      <c r="C461" s="2" t="inlineStr">
        <is>
          <t>ضباء</t>
        </is>
      </c>
      <c r="D461" s="2">
        <f t="array" ref="D4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1" s="2">
        <f t="array" ref="E4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1" s="2">
        <f>TRIM(تفاصيل_الفرق[[#This Row],[المدينة/المحافظة]])</f>
        <v/>
      </c>
      <c r="G4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2">
      <c r="B462" s="2" t="inlineStr">
        <is>
          <t>تحت 11</t>
        </is>
      </c>
      <c r="C462" s="2" t="inlineStr">
        <is>
          <t>مهد الذهب</t>
        </is>
      </c>
      <c r="D462" s="2">
        <f t="array" ref="D4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2" s="2">
        <f t="array" ref="E4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2" s="2">
        <f>TRIM(تفاصيل_الفرق[[#This Row],[المدينة/المحافظة]])</f>
        <v/>
      </c>
      <c r="G4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3">
      <c r="B463" s="2" t="inlineStr">
        <is>
          <t>تحت 12</t>
        </is>
      </c>
      <c r="C463" s="2" t="inlineStr">
        <is>
          <t>مهد الذهب</t>
        </is>
      </c>
      <c r="D463" s="2">
        <f t="array" ref="D4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3" s="2">
        <f t="array" ref="E4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3" s="2">
        <f>TRIM(تفاصيل_الفرق[[#This Row],[المدينة/المحافظة]])</f>
        <v/>
      </c>
      <c r="G4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4">
      <c r="B464" s="2" t="inlineStr">
        <is>
          <t>تحت 13</t>
        </is>
      </c>
      <c r="C464" s="2" t="inlineStr">
        <is>
          <t>مهد الذهب</t>
        </is>
      </c>
      <c r="D464" s="2">
        <f t="array" ref="D4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4" s="2">
        <f t="array" ref="E4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4" s="2">
        <f>TRIM(تفاصيل_الفرق[[#This Row],[المدينة/المحافظة]])</f>
        <v/>
      </c>
      <c r="G4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5">
      <c r="B465" s="2" t="inlineStr">
        <is>
          <t>تحت 14</t>
        </is>
      </c>
      <c r="C465" s="2" t="inlineStr">
        <is>
          <t>مهد الذهب</t>
        </is>
      </c>
      <c r="D465" s="2">
        <f t="array" ref="D4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5" s="2">
        <f t="array" ref="E4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5" s="2">
        <f>TRIM(تفاصيل_الفرق[[#This Row],[المدينة/المحافظة]])</f>
        <v/>
      </c>
      <c r="G4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6">
      <c r="B466" s="2" t="inlineStr">
        <is>
          <t>تحت 11</t>
        </is>
      </c>
      <c r="C466" s="2" t="inlineStr">
        <is>
          <t>بيشة</t>
        </is>
      </c>
      <c r="D466" s="2">
        <f t="array" ref="D4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6" s="2">
        <f t="array" ref="E4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6" s="2">
        <f>TRIM(تفاصيل_الفرق[[#This Row],[المدينة/المحافظة]])</f>
        <v/>
      </c>
      <c r="G4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7">
      <c r="B467" s="2" t="inlineStr">
        <is>
          <t>تحت 12</t>
        </is>
      </c>
      <c r="C467" s="2" t="inlineStr">
        <is>
          <t>بيشة</t>
        </is>
      </c>
      <c r="D467" s="2">
        <f t="array" ref="D4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7" s="2">
        <f t="array" ref="E4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7" s="2">
        <f>TRIM(تفاصيل_الفرق[[#This Row],[المدينة/المحافظة]])</f>
        <v/>
      </c>
      <c r="G4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8">
      <c r="B468" s="2" t="inlineStr">
        <is>
          <t>تحت 13</t>
        </is>
      </c>
      <c r="C468" s="2" t="inlineStr">
        <is>
          <t>بيشة</t>
        </is>
      </c>
      <c r="D468" s="2">
        <f t="array" ref="D4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8" s="2">
        <f t="array" ref="E4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8" s="2">
        <f>TRIM(تفاصيل_الفرق[[#This Row],[المدينة/المحافظة]])</f>
        <v/>
      </c>
      <c r="G4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69">
      <c r="B469" s="2" t="inlineStr">
        <is>
          <t>تحت 14</t>
        </is>
      </c>
      <c r="C469" s="2" t="inlineStr">
        <is>
          <t>بيشة</t>
        </is>
      </c>
      <c r="D469" s="2">
        <f t="array" ref="D4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69" s="2">
        <f t="array" ref="E4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69" s="2">
        <f>TRIM(تفاصيل_الفرق[[#This Row],[المدينة/المحافظة]])</f>
        <v/>
      </c>
      <c r="G4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70">
      <c r="B470" s="2" t="inlineStr">
        <is>
          <t>تحت 11</t>
        </is>
      </c>
      <c r="C470" s="2" t="inlineStr">
        <is>
          <t>سميراء</t>
        </is>
      </c>
      <c r="D470" s="2">
        <f t="array" ref="D4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70" s="2">
        <f t="array" ref="E4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70" s="2">
        <f>TRIM(تفاصيل_الفرق[[#This Row],[المدينة/المحافظة]])</f>
        <v/>
      </c>
      <c r="G4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71">
      <c r="B471" s="2" t="inlineStr">
        <is>
          <t>تحت 12</t>
        </is>
      </c>
      <c r="C471" s="2" t="inlineStr">
        <is>
          <t>سميراء</t>
        </is>
      </c>
      <c r="D471" s="2">
        <f t="array" ref="D4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71" s="2">
        <f t="array" ref="E4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71" s="2">
        <f>TRIM(تفاصيل_الفرق[[#This Row],[المدينة/المحافظة]])</f>
        <v/>
      </c>
      <c r="G4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72">
      <c r="B472" s="2" t="inlineStr">
        <is>
          <t>تحت 13</t>
        </is>
      </c>
      <c r="C472" s="2" t="inlineStr">
        <is>
          <t>سميراء</t>
        </is>
      </c>
      <c r="D472" s="2">
        <f t="array" ref="D4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72" s="2">
        <f t="array" ref="E4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72" s="2">
        <f>TRIM(تفاصيل_الفرق[[#This Row],[المدينة/المحافظة]])</f>
        <v/>
      </c>
      <c r="G4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  <row r="473">
      <c r="B473" s="2" t="inlineStr">
        <is>
          <t>تحت 14</t>
        </is>
      </c>
      <c r="C473" s="2" t="inlineStr">
        <is>
          <t>سميراء</t>
        </is>
      </c>
      <c r="D473" s="2">
        <f t="array" ref="D4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/>
      </c>
      <c r="E473" s="2">
        <f t="array" ref="E4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/>
      </c>
      <c r="F473" s="2">
        <f>TRIM(تفاصيل_الفرق[[#This Row],[المدينة/المحافظة]])</f>
        <v/>
      </c>
      <c r="G4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800"/>
  <sheetViews>
    <sheetView rightToLeft="1" workbookViewId="0">
      <pane ySplit="2" topLeftCell="A618" activePane="bottomLeft" state="frozen"/>
      <selection pane="bottomLeft" activeCell="H1" sqref="H1:H1048576"/>
    </sheetView>
  </sheetViews>
  <sheetFormatPr baseColWidth="8" defaultRowHeight="14.5"/>
  <cols>
    <col width="8.7265625" customWidth="1" style="5" min="1" max="1"/>
    <col width="5.26953125" bestFit="1" customWidth="1" style="5" min="2" max="2"/>
    <col width="7.453125" bestFit="1" customWidth="1" style="5" min="3" max="3"/>
    <col width="20.1796875" bestFit="1" customWidth="1" style="5" min="4" max="4"/>
    <col width="10" bestFit="1" customWidth="1" style="5" min="5" max="5"/>
    <col width="9.08984375" bestFit="1" customWidth="1" style="5" min="6" max="6"/>
    <col width="6.36328125" bestFit="1" customWidth="1" style="5" min="7" max="7"/>
    <col width="9.90625" bestFit="1" customWidth="1" style="5" min="8" max="8"/>
    <col width="8.7265625" customWidth="1" style="5" min="9" max="26"/>
  </cols>
  <sheetData>
    <row r="2">
      <c r="B2" s="77" t="inlineStr">
        <is>
          <t>الخلية</t>
        </is>
      </c>
      <c r="C2" s="77" t="inlineStr">
        <is>
          <t>Entry Id</t>
        </is>
      </c>
      <c r="D2" s="77" t="inlineStr">
        <is>
          <t>اسم الفريق</t>
        </is>
      </c>
      <c r="E2" s="77" t="inlineStr">
        <is>
          <t>المنطقة</t>
        </is>
      </c>
      <c r="F2" s="77" t="inlineStr">
        <is>
          <t>المدينة</t>
        </is>
      </c>
      <c r="G2" s="77" t="inlineStr">
        <is>
          <t>الفئة</t>
        </is>
      </c>
      <c r="H2" s="77" t="inlineStr">
        <is>
          <t>القيمة الأصلية</t>
        </is>
      </c>
    </row>
    <row r="3">
      <c r="B3" s="78" t="inlineStr">
        <is>
          <t>Q7</t>
        </is>
      </c>
      <c r="C3" s="78" t="n">
        <v>5</v>
      </c>
      <c r="D3" s="78" t="inlineStr">
        <is>
          <t>عيون الجواء</t>
        </is>
      </c>
      <c r="E3" s="78" t="inlineStr">
        <is>
          <t>القصيم</t>
        </is>
      </c>
      <c r="F3" s="78" t="inlineStr">
        <is>
          <t>عيون الجواء</t>
        </is>
      </c>
      <c r="G3" s="78" t="inlineStr">
        <is>
          <t>تحت 5</t>
        </is>
      </c>
      <c r="H3" s="78" t="n">
        <v>1</v>
      </c>
    </row>
    <row r="4">
      <c r="B4" s="78" t="inlineStr">
        <is>
          <t>N13</t>
        </is>
      </c>
      <c r="C4" s="78" t="n">
        <v>11</v>
      </c>
      <c r="D4" s="78" t="inlineStr">
        <is>
          <t>إيزوف</t>
        </is>
      </c>
      <c r="E4" s="78" t="inlineStr">
        <is>
          <t>نجران</t>
        </is>
      </c>
      <c r="F4" s="78" t="inlineStr">
        <is>
          <t>نجران</t>
        </is>
      </c>
      <c r="G4" s="78" t="inlineStr">
        <is>
          <t>تحت 11</t>
        </is>
      </c>
      <c r="H4" s="78" t="n">
        <v>1</v>
      </c>
    </row>
    <row r="5">
      <c r="B5" s="78" t="inlineStr">
        <is>
          <t>Q61</t>
        </is>
      </c>
      <c r="C5" s="78" t="n">
        <v>59</v>
      </c>
      <c r="D5" s="78" t="inlineStr">
        <is>
          <t>الشنانة</t>
        </is>
      </c>
      <c r="E5" s="78" t="inlineStr">
        <is>
          <t>القصيم</t>
        </is>
      </c>
      <c r="F5" s="78" t="inlineStr">
        <is>
          <t>الرس</t>
        </is>
      </c>
      <c r="G5" s="78" t="inlineStr">
        <is>
          <t>تحت 5</t>
        </is>
      </c>
      <c r="H5" s="78" t="n">
        <v>1</v>
      </c>
    </row>
    <row r="6">
      <c r="B6" s="78" t="inlineStr">
        <is>
          <t>P165</t>
        </is>
      </c>
      <c r="C6" s="78" t="n">
        <v>163</v>
      </c>
      <c r="D6" s="78" t="inlineStr">
        <is>
          <t>القصيم</t>
        </is>
      </c>
      <c r="E6" s="78" t="inlineStr">
        <is>
          <t>القصيم</t>
        </is>
      </c>
      <c r="F6" s="78" t="inlineStr">
        <is>
          <t>الرس</t>
        </is>
      </c>
      <c r="G6" s="78" t="inlineStr">
        <is>
          <t>تحت 7</t>
        </is>
      </c>
      <c r="H6" s="78" t="n">
        <v>1</v>
      </c>
    </row>
    <row r="7">
      <c r="B7" s="78" t="inlineStr">
        <is>
          <t>Q165</t>
        </is>
      </c>
      <c r="C7" s="78" t="n">
        <v>163</v>
      </c>
      <c r="D7" s="78" t="inlineStr">
        <is>
          <t>القصيم</t>
        </is>
      </c>
      <c r="E7" s="78" t="inlineStr">
        <is>
          <t>القصيم</t>
        </is>
      </c>
      <c r="F7" s="78" t="inlineStr">
        <is>
          <t>الرس</t>
        </is>
      </c>
      <c r="G7" s="78" t="inlineStr">
        <is>
          <t>تحت 5</t>
        </is>
      </c>
      <c r="H7" s="78" t="n">
        <v>1</v>
      </c>
    </row>
    <row r="8">
      <c r="B8" s="78" t="inlineStr">
        <is>
          <t>P166</t>
        </is>
      </c>
      <c r="C8" s="78" t="n">
        <v>164</v>
      </c>
      <c r="D8" s="78" t="inlineStr">
        <is>
          <t xml:space="preserve">الخلود </t>
        </is>
      </c>
      <c r="E8" s="78" t="inlineStr">
        <is>
          <t>القصيم</t>
        </is>
      </c>
      <c r="F8" s="78" t="inlineStr">
        <is>
          <t>الرس</t>
        </is>
      </c>
      <c r="G8" s="78" t="inlineStr">
        <is>
          <t>تحت 7</t>
        </is>
      </c>
      <c r="H8" s="78" t="n">
        <v>1</v>
      </c>
    </row>
    <row r="9">
      <c r="B9" s="78" t="inlineStr">
        <is>
          <t>Q166</t>
        </is>
      </c>
      <c r="C9" s="78" t="n">
        <v>164</v>
      </c>
      <c r="D9" s="78" t="inlineStr">
        <is>
          <t xml:space="preserve">الخلود </t>
        </is>
      </c>
      <c r="E9" s="78" t="inlineStr">
        <is>
          <t>القصيم</t>
        </is>
      </c>
      <c r="F9" s="78" t="inlineStr">
        <is>
          <t>الرس</t>
        </is>
      </c>
      <c r="G9" s="78" t="inlineStr">
        <is>
          <t>تحت 5</t>
        </is>
      </c>
      <c r="H9" s="78" t="n">
        <v>1</v>
      </c>
    </row>
    <row r="10">
      <c r="B10" s="78" t="inlineStr">
        <is>
          <t>P218</t>
        </is>
      </c>
      <c r="C10" s="78" t="n">
        <v>216</v>
      </c>
      <c r="D10" s="78" t="inlineStr">
        <is>
          <t>تضامن القنفذة بالقوز</t>
        </is>
      </c>
      <c r="E10" s="78" t="inlineStr">
        <is>
          <t>مكة المكرمة</t>
        </is>
      </c>
      <c r="F10" s="78" t="inlineStr">
        <is>
          <t>القنفذة</t>
        </is>
      </c>
      <c r="G10" s="78" t="inlineStr">
        <is>
          <t>تحت 7</t>
        </is>
      </c>
      <c r="H10" s="78" t="n">
        <v>1</v>
      </c>
    </row>
    <row r="11">
      <c r="B11" s="78" t="inlineStr">
        <is>
          <t>Q218</t>
        </is>
      </c>
      <c r="C11" s="78" t="n">
        <v>216</v>
      </c>
      <c r="D11" s="78" t="inlineStr">
        <is>
          <t>تضامن القنفذة بالقوز</t>
        </is>
      </c>
      <c r="E11" s="78" t="inlineStr">
        <is>
          <t>مكة المكرمة</t>
        </is>
      </c>
      <c r="F11" s="78" t="inlineStr">
        <is>
          <t>القنفذة</t>
        </is>
      </c>
      <c r="G11" s="78" t="inlineStr">
        <is>
          <t>تحت 5</t>
        </is>
      </c>
      <c r="H11" s="78" t="n">
        <v>1</v>
      </c>
    </row>
    <row r="12">
      <c r="B12" s="78" t="inlineStr">
        <is>
          <t>P223</t>
        </is>
      </c>
      <c r="C12" s="78" t="n">
        <v>221</v>
      </c>
      <c r="D12" s="78" t="inlineStr">
        <is>
          <t>اكاديمية عز تن</t>
        </is>
      </c>
      <c r="E12" s="78" t="inlineStr">
        <is>
          <t>مكة المكرمة</t>
        </is>
      </c>
      <c r="F12" s="78" t="inlineStr">
        <is>
          <t>القنفذة</t>
        </is>
      </c>
      <c r="G12" s="78" t="inlineStr">
        <is>
          <t>تحت 7</t>
        </is>
      </c>
      <c r="H12" s="78" t="n">
        <v>1</v>
      </c>
    </row>
    <row r="13">
      <c r="B13" s="78" t="inlineStr">
        <is>
          <t>O224</t>
        </is>
      </c>
      <c r="C13" s="78" t="n">
        <v>222</v>
      </c>
      <c r="D13" s="78" t="inlineStr">
        <is>
          <t>اكاديمية بيتيس تبوك</t>
        </is>
      </c>
      <c r="E13" s="78" t="inlineStr">
        <is>
          <t>تبوك</t>
        </is>
      </c>
      <c r="F13" s="78" t="inlineStr">
        <is>
          <t>تبوك</t>
        </is>
      </c>
      <c r="G13" s="78" t="inlineStr">
        <is>
          <t>تحت 9</t>
        </is>
      </c>
      <c r="H13" s="78" t="n">
        <v>1</v>
      </c>
    </row>
    <row r="14">
      <c r="B14" s="78" t="inlineStr">
        <is>
          <t>P224</t>
        </is>
      </c>
      <c r="C14" s="78" t="n">
        <v>222</v>
      </c>
      <c r="D14" s="78" t="inlineStr">
        <is>
          <t>اكاديمية بيتيس تبوك</t>
        </is>
      </c>
      <c r="E14" s="78" t="inlineStr">
        <is>
          <t>تبوك</t>
        </is>
      </c>
      <c r="F14" s="78" t="inlineStr">
        <is>
          <t>تبوك</t>
        </is>
      </c>
      <c r="G14" s="78" t="inlineStr">
        <is>
          <t>تحت 7</t>
        </is>
      </c>
      <c r="H14" s="78" t="n">
        <v>1</v>
      </c>
    </row>
    <row r="15">
      <c r="B15" s="78" t="inlineStr">
        <is>
          <t>P247</t>
        </is>
      </c>
      <c r="C15" s="78" t="n">
        <v>245</v>
      </c>
      <c r="D15" s="78" t="inlineStr">
        <is>
          <t>اكاديمية ارتس فوتبول</t>
        </is>
      </c>
      <c r="E15" s="78" t="inlineStr">
        <is>
          <t>الرياض</t>
        </is>
      </c>
      <c r="F15" s="78" t="inlineStr">
        <is>
          <t>الخرج</t>
        </is>
      </c>
      <c r="G15" s="78" t="inlineStr">
        <is>
          <t>تحت 7</t>
        </is>
      </c>
      <c r="H15" s="78" t="n">
        <v>1</v>
      </c>
    </row>
    <row r="16">
      <c r="B16" s="78" t="inlineStr">
        <is>
          <t>K249</t>
        </is>
      </c>
      <c r="C16" s="78" t="n">
        <v>247</v>
      </c>
      <c r="D16" s="78" t="inlineStr">
        <is>
          <t>اكاديمية الاقوياء الرياضية ينبع</t>
        </is>
      </c>
      <c r="E16" s="78" t="inlineStr">
        <is>
          <t>المدينة المنورة</t>
        </is>
      </c>
      <c r="F16" s="78" t="inlineStr">
        <is>
          <t>ينبع</t>
        </is>
      </c>
      <c r="G16" s="78" t="inlineStr">
        <is>
          <t>تحت 14</t>
        </is>
      </c>
      <c r="H16" s="78" t="n">
        <v>1</v>
      </c>
    </row>
    <row r="17">
      <c r="B17" s="78" t="inlineStr">
        <is>
          <t>Q256</t>
        </is>
      </c>
      <c r="C17" s="78" t="n">
        <v>254</v>
      </c>
      <c r="D17" s="78" t="inlineStr">
        <is>
          <t xml:space="preserve">اكاديمية موهبة الرياضية </t>
        </is>
      </c>
      <c r="E17" s="78" t="inlineStr">
        <is>
          <t>القصيم</t>
        </is>
      </c>
      <c r="F17" s="78" t="inlineStr">
        <is>
          <t>بريدة</t>
        </is>
      </c>
      <c r="G17" s="78" t="inlineStr">
        <is>
          <t>تحت 5</t>
        </is>
      </c>
      <c r="H17" s="78" t="n">
        <v>1</v>
      </c>
    </row>
    <row r="18">
      <c r="B18" s="78" t="inlineStr">
        <is>
          <t>O288</t>
        </is>
      </c>
      <c r="C18" s="78" t="n">
        <v>286</v>
      </c>
      <c r="D18" s="78" t="inlineStr">
        <is>
          <t>اكاديمية النمور</t>
        </is>
      </c>
      <c r="E18" s="78" t="inlineStr">
        <is>
          <t>تبوك</t>
        </is>
      </c>
      <c r="F18" s="78" t="inlineStr">
        <is>
          <t>تبوك</t>
        </is>
      </c>
      <c r="G18" s="78" t="inlineStr">
        <is>
          <t>تحت 9</t>
        </is>
      </c>
      <c r="H18" s="78" t="n">
        <v>1</v>
      </c>
    </row>
    <row r="19">
      <c r="B19" s="78" t="inlineStr">
        <is>
          <t>O303</t>
        </is>
      </c>
      <c r="C19" s="78" t="n">
        <v>301</v>
      </c>
      <c r="D19" s="78" t="inlineStr">
        <is>
          <t>اكاديمية الامبراطور</t>
        </is>
      </c>
      <c r="E19" s="78" t="inlineStr">
        <is>
          <t>تبوك</t>
        </is>
      </c>
      <c r="F19" s="78" t="inlineStr">
        <is>
          <t>تبوك</t>
        </is>
      </c>
      <c r="G19" s="78" t="inlineStr">
        <is>
          <t>تحت 9</t>
        </is>
      </c>
      <c r="H19" s="78" t="n">
        <v>1</v>
      </c>
    </row>
    <row r="20">
      <c r="B20" s="78" t="inlineStr">
        <is>
          <t>P303</t>
        </is>
      </c>
      <c r="C20" s="78" t="n">
        <v>301</v>
      </c>
      <c r="D20" s="78" t="inlineStr">
        <is>
          <t>اكاديمية الامبراطور</t>
        </is>
      </c>
      <c r="E20" s="78" t="inlineStr">
        <is>
          <t>تبوك</t>
        </is>
      </c>
      <c r="F20" s="78" t="inlineStr">
        <is>
          <t>تبوك</t>
        </is>
      </c>
      <c r="G20" s="78" t="inlineStr">
        <is>
          <t>تحت 7</t>
        </is>
      </c>
      <c r="H20" s="78" t="n">
        <v>1</v>
      </c>
    </row>
    <row r="21">
      <c r="B21" s="78" t="inlineStr">
        <is>
          <t>L326</t>
        </is>
      </c>
      <c r="C21" s="78" t="n">
        <v>324</v>
      </c>
      <c r="D21" s="78" t="inlineStr">
        <is>
          <t>الصحاري</t>
        </is>
      </c>
      <c r="E21" s="78" t="inlineStr">
        <is>
          <t>نجران</t>
        </is>
      </c>
      <c r="F21" s="78" t="inlineStr">
        <is>
          <t>شرورة</t>
        </is>
      </c>
      <c r="G21" s="78" t="inlineStr">
        <is>
          <t>تحت 13</t>
        </is>
      </c>
      <c r="H21" s="78" t="n">
        <v>1</v>
      </c>
    </row>
    <row r="22">
      <c r="B22" s="78" t="inlineStr">
        <is>
          <t>L327</t>
        </is>
      </c>
      <c r="C22" s="78" t="n">
        <v>325</v>
      </c>
      <c r="D22" s="78" t="inlineStr">
        <is>
          <t>جوهرة المستقبل</t>
        </is>
      </c>
      <c r="E22" s="78" t="inlineStr">
        <is>
          <t>نجران</t>
        </is>
      </c>
      <c r="F22" s="78" t="inlineStr">
        <is>
          <t>شرورة</t>
        </is>
      </c>
      <c r="G22" s="78" t="inlineStr">
        <is>
          <t>تحت 13</t>
        </is>
      </c>
      <c r="H22" s="78" t="n">
        <v>1</v>
      </c>
    </row>
    <row r="23">
      <c r="B23" s="78" t="inlineStr">
        <is>
          <t>N335</t>
        </is>
      </c>
      <c r="C23" s="78" t="n">
        <v>333</v>
      </c>
      <c r="D23" s="78" t="inlineStr">
        <is>
          <t>الامل الباحة</t>
        </is>
      </c>
      <c r="E23" s="78" t="inlineStr">
        <is>
          <t>الباحة</t>
        </is>
      </c>
      <c r="F23" s="78" t="inlineStr">
        <is>
          <t>الباحة</t>
        </is>
      </c>
      <c r="G23" s="78" t="inlineStr">
        <is>
          <t>تحت 11</t>
        </is>
      </c>
      <c r="H23" s="78" t="n">
        <v>1</v>
      </c>
    </row>
    <row r="24">
      <c r="B24" s="78" t="inlineStr">
        <is>
          <t>Q335</t>
        </is>
      </c>
      <c r="C24" s="78" t="n">
        <v>333</v>
      </c>
      <c r="D24" s="78" t="inlineStr">
        <is>
          <t>الامل الباحة</t>
        </is>
      </c>
      <c r="E24" s="78" t="inlineStr">
        <is>
          <t>الباحة</t>
        </is>
      </c>
      <c r="F24" s="78" t="inlineStr">
        <is>
          <t>الباحة</t>
        </is>
      </c>
      <c r="G24" s="78" t="inlineStr">
        <is>
          <t>تحت 5</t>
        </is>
      </c>
      <c r="H24" s="78" t="n">
        <v>1</v>
      </c>
    </row>
    <row r="25">
      <c r="B25" s="78" t="inlineStr">
        <is>
          <t>N338</t>
        </is>
      </c>
      <c r="C25" s="78" t="n">
        <v>336</v>
      </c>
      <c r="D25" s="78" t="inlineStr">
        <is>
          <t xml:space="preserve">اكاديمية اس اف </t>
        </is>
      </c>
      <c r="E25" s="78" t="inlineStr">
        <is>
          <t>الباحة</t>
        </is>
      </c>
      <c r="F25" s="78" t="inlineStr">
        <is>
          <t>الباحة</t>
        </is>
      </c>
      <c r="G25" s="78" t="inlineStr">
        <is>
          <t>تحت 11</t>
        </is>
      </c>
      <c r="H25" s="78" t="n">
        <v>1</v>
      </c>
    </row>
    <row r="26">
      <c r="B26" s="78" t="inlineStr">
        <is>
          <t>Q338</t>
        </is>
      </c>
      <c r="C26" s="78" t="n">
        <v>336</v>
      </c>
      <c r="D26" s="78" t="inlineStr">
        <is>
          <t xml:space="preserve">اكاديمية اس اف </t>
        </is>
      </c>
      <c r="E26" s="78" t="inlineStr">
        <is>
          <t>الباحة</t>
        </is>
      </c>
      <c r="F26" s="78" t="inlineStr">
        <is>
          <t>الباحة</t>
        </is>
      </c>
      <c r="G26" s="78" t="inlineStr">
        <is>
          <t>تحت 5</t>
        </is>
      </c>
      <c r="H26" s="78" t="n">
        <v>1</v>
      </c>
    </row>
    <row r="27">
      <c r="B27" s="78" t="inlineStr">
        <is>
          <t>Q364</t>
        </is>
      </c>
      <c r="C27" s="78" t="n">
        <v>362</v>
      </c>
      <c r="D27" s="78" t="inlineStr">
        <is>
          <t>البشائر</t>
        </is>
      </c>
      <c r="E27" s="78" t="inlineStr">
        <is>
          <t>عسير</t>
        </is>
      </c>
      <c r="F27" s="78" t="inlineStr">
        <is>
          <t>بلقرن</t>
        </is>
      </c>
      <c r="G27" s="78" t="inlineStr">
        <is>
          <t>تحت 5</t>
        </is>
      </c>
      <c r="H27" s="78" t="n">
        <v>2</v>
      </c>
    </row>
    <row r="28">
      <c r="B28" s="78" t="inlineStr">
        <is>
          <t>L395</t>
        </is>
      </c>
      <c r="C28" s="78" t="n">
        <v>393</v>
      </c>
      <c r="D28" s="78" t="inlineStr">
        <is>
          <t>الفيحاء</t>
        </is>
      </c>
      <c r="E28" s="78" t="inlineStr">
        <is>
          <t>الرياض</t>
        </is>
      </c>
      <c r="F28" s="78" t="inlineStr">
        <is>
          <t>المجمعة</t>
        </is>
      </c>
      <c r="G28" s="78" t="inlineStr">
        <is>
          <t>تحت 13</t>
        </is>
      </c>
      <c r="H28" s="78" t="n">
        <v>1</v>
      </c>
    </row>
    <row r="29">
      <c r="B29" s="78" t="inlineStr">
        <is>
          <t>N395</t>
        </is>
      </c>
      <c r="C29" s="78" t="n">
        <v>393</v>
      </c>
      <c r="D29" s="78" t="inlineStr">
        <is>
          <t>الفيحاء</t>
        </is>
      </c>
      <c r="E29" s="78" t="inlineStr">
        <is>
          <t>الرياض</t>
        </is>
      </c>
      <c r="F29" s="78" t="inlineStr">
        <is>
          <t>المجمعة</t>
        </is>
      </c>
      <c r="G29" s="78" t="inlineStr">
        <is>
          <t>تحت 11</t>
        </is>
      </c>
      <c r="H29" s="78" t="n">
        <v>1</v>
      </c>
    </row>
    <row r="30">
      <c r="B30" s="78" t="inlineStr">
        <is>
          <t>O395</t>
        </is>
      </c>
      <c r="C30" s="78" t="n">
        <v>393</v>
      </c>
      <c r="D30" s="78" t="inlineStr">
        <is>
          <t>الفيحاء</t>
        </is>
      </c>
      <c r="E30" s="78" t="inlineStr">
        <is>
          <t>الرياض</t>
        </is>
      </c>
      <c r="F30" s="78" t="inlineStr">
        <is>
          <t>المجمعة</t>
        </is>
      </c>
      <c r="G30" s="78" t="inlineStr">
        <is>
          <t>تحت 9</t>
        </is>
      </c>
      <c r="H30" s="78" t="n">
        <v>1</v>
      </c>
    </row>
    <row r="31">
      <c r="B31" s="78" t="inlineStr">
        <is>
          <t>P395</t>
        </is>
      </c>
      <c r="C31" s="78" t="n">
        <v>393</v>
      </c>
      <c r="D31" s="78" t="inlineStr">
        <is>
          <t>الفيحاء</t>
        </is>
      </c>
      <c r="E31" s="78" t="inlineStr">
        <is>
          <t>الرياض</t>
        </is>
      </c>
      <c r="F31" s="78" t="inlineStr">
        <is>
          <t>المجمعة</t>
        </is>
      </c>
      <c r="G31" s="78" t="inlineStr">
        <is>
          <t>تحت 7</t>
        </is>
      </c>
      <c r="H31" s="78" t="n">
        <v>1</v>
      </c>
    </row>
    <row r="32">
      <c r="B32" s="78" t="inlineStr">
        <is>
          <t>Q395</t>
        </is>
      </c>
      <c r="C32" s="78" t="n">
        <v>393</v>
      </c>
      <c r="D32" s="78" t="inlineStr">
        <is>
          <t>الفيحاء</t>
        </is>
      </c>
      <c r="E32" s="78" t="inlineStr">
        <is>
          <t>الرياض</t>
        </is>
      </c>
      <c r="F32" s="78" t="inlineStr">
        <is>
          <t>المجمعة</t>
        </is>
      </c>
      <c r="G32" s="78" t="inlineStr">
        <is>
          <t>تحت 5</t>
        </is>
      </c>
      <c r="H32" s="78" t="n">
        <v>1</v>
      </c>
    </row>
    <row r="33">
      <c r="B33" s="78" t="inlineStr">
        <is>
          <t>P415</t>
        </is>
      </c>
      <c r="C33" s="78" t="n">
        <v>413</v>
      </c>
      <c r="D33" s="78" t="inlineStr">
        <is>
          <t>زد ام سي القنفذة</t>
        </is>
      </c>
      <c r="E33" s="78" t="inlineStr">
        <is>
          <t>مكة المكرمة</t>
        </is>
      </c>
      <c r="F33" s="78" t="inlineStr">
        <is>
          <t>القنفذة</t>
        </is>
      </c>
      <c r="G33" s="78" t="inlineStr">
        <is>
          <t>تحت 7</t>
        </is>
      </c>
      <c r="H33" s="78" t="n">
        <v>1</v>
      </c>
    </row>
    <row r="34">
      <c r="B34" s="78" t="inlineStr">
        <is>
          <t>Q415</t>
        </is>
      </c>
      <c r="C34" s="78" t="n">
        <v>413</v>
      </c>
      <c r="D34" s="78" t="inlineStr">
        <is>
          <t>زد ام سي القنفذة</t>
        </is>
      </c>
      <c r="E34" s="78" t="inlineStr">
        <is>
          <t>مكة المكرمة</t>
        </is>
      </c>
      <c r="F34" s="78" t="inlineStr">
        <is>
          <t>القنفذة</t>
        </is>
      </c>
      <c r="G34" s="78" t="inlineStr">
        <is>
          <t>تحت 5</t>
        </is>
      </c>
      <c r="H34" s="78" t="n">
        <v>1</v>
      </c>
    </row>
    <row r="35">
      <c r="B35" s="78" t="inlineStr">
        <is>
          <t>Q420</t>
        </is>
      </c>
      <c r="C35" s="78" t="n">
        <v>418</v>
      </c>
      <c r="D35" s="78" t="inlineStr">
        <is>
          <t>زعيم الجنوب</t>
        </is>
      </c>
      <c r="E35" s="78" t="inlineStr">
        <is>
          <t>عسير</t>
        </is>
      </c>
      <c r="F35" s="78" t="inlineStr">
        <is>
          <t>أبها</t>
        </is>
      </c>
      <c r="G35" s="78" t="inlineStr">
        <is>
          <t>تحت 5</t>
        </is>
      </c>
      <c r="H35" s="78" t="n">
        <v>1</v>
      </c>
    </row>
    <row r="36">
      <c r="B36" s="78" t="inlineStr">
        <is>
          <t>P424</t>
        </is>
      </c>
      <c r="C36" s="78" t="n">
        <v>422</v>
      </c>
      <c r="D36" s="78" t="inlineStr">
        <is>
          <t>اكاديمية سمارت تبوك</t>
        </is>
      </c>
      <c r="E36" s="78" t="inlineStr">
        <is>
          <t>تبوك</t>
        </is>
      </c>
      <c r="F36" s="78" t="inlineStr">
        <is>
          <t>تبوك</t>
        </is>
      </c>
      <c r="G36" s="78" t="inlineStr">
        <is>
          <t>تحت 7</t>
        </is>
      </c>
      <c r="H36" s="78" t="n">
        <v>1</v>
      </c>
    </row>
    <row r="37">
      <c r="B37" s="78" t="inlineStr">
        <is>
          <t>Q437</t>
        </is>
      </c>
      <c r="C37" s="78" t="n">
        <v>435</v>
      </c>
      <c r="D37" s="78" t="inlineStr">
        <is>
          <t>جمعية الابرشي</t>
        </is>
      </c>
      <c r="E37" s="78" t="inlineStr">
        <is>
          <t>الباحة</t>
        </is>
      </c>
      <c r="F37" s="78" t="inlineStr">
        <is>
          <t>بلجرشي</t>
        </is>
      </c>
      <c r="G37" s="78" t="inlineStr">
        <is>
          <t>تحت 5</t>
        </is>
      </c>
      <c r="H37" s="78" t="n">
        <v>1</v>
      </c>
    </row>
    <row r="38">
      <c r="B38" s="78" t="inlineStr">
        <is>
          <t>O439</t>
        </is>
      </c>
      <c r="C38" s="78" t="n">
        <v>437</v>
      </c>
      <c r="D38" s="78" t="inlineStr">
        <is>
          <t>اكاديمية التدريب الفردي</t>
        </is>
      </c>
      <c r="E38" s="78" t="inlineStr">
        <is>
          <t>مكة المكرمة</t>
        </is>
      </c>
      <c r="F38" s="78" t="inlineStr">
        <is>
          <t>الليث</t>
        </is>
      </c>
      <c r="G38" s="78" t="inlineStr">
        <is>
          <t>تحت 9</t>
        </is>
      </c>
      <c r="H38" s="78" t="n">
        <v>1</v>
      </c>
    </row>
    <row r="39">
      <c r="B39" s="78" t="inlineStr">
        <is>
          <t>P439</t>
        </is>
      </c>
      <c r="C39" s="78" t="n">
        <v>437</v>
      </c>
      <c r="D39" s="78" t="inlineStr">
        <is>
          <t>اكاديمية التدريب الفردي</t>
        </is>
      </c>
      <c r="E39" s="78" t="inlineStr">
        <is>
          <t>مكة المكرمة</t>
        </is>
      </c>
      <c r="F39" s="78" t="inlineStr">
        <is>
          <t>الليث</t>
        </is>
      </c>
      <c r="G39" s="78" t="inlineStr">
        <is>
          <t>تحت 7</t>
        </is>
      </c>
      <c r="H39" s="78" t="n">
        <v>1</v>
      </c>
    </row>
    <row r="40">
      <c r="B40" s="78" t="inlineStr">
        <is>
          <t>Q439</t>
        </is>
      </c>
      <c r="C40" s="78" t="n">
        <v>437</v>
      </c>
      <c r="D40" s="78" t="inlineStr">
        <is>
          <t>اكاديمية التدريب الفردي</t>
        </is>
      </c>
      <c r="E40" s="78" t="inlineStr">
        <is>
          <t>مكة المكرمة</t>
        </is>
      </c>
      <c r="F40" s="78" t="inlineStr">
        <is>
          <t>الليث</t>
        </is>
      </c>
      <c r="G40" s="78" t="inlineStr">
        <is>
          <t>تحت 5</t>
        </is>
      </c>
      <c r="H40" s="78" t="n">
        <v>1</v>
      </c>
    </row>
    <row r="41">
      <c r="B41" s="78" t="inlineStr">
        <is>
          <t>L440</t>
        </is>
      </c>
      <c r="C41" s="78" t="n">
        <v>438</v>
      </c>
      <c r="D41" s="78" t="inlineStr">
        <is>
          <t>فريق المستقبل</t>
        </is>
      </c>
      <c r="E41" s="78" t="inlineStr">
        <is>
          <t>نجران</t>
        </is>
      </c>
      <c r="F41" s="78" t="inlineStr">
        <is>
          <t>شرورة</t>
        </is>
      </c>
      <c r="G41" s="78" t="inlineStr">
        <is>
          <t>تحت 13</t>
        </is>
      </c>
      <c r="H41" s="78" t="n">
        <v>1</v>
      </c>
    </row>
    <row r="42">
      <c r="B42" s="78" t="inlineStr">
        <is>
          <t>O466</t>
        </is>
      </c>
      <c r="C42" s="78" t="n">
        <v>464</v>
      </c>
      <c r="D42" s="78" t="inlineStr">
        <is>
          <t>الكاسر</t>
        </is>
      </c>
      <c r="E42" s="78" t="inlineStr">
        <is>
          <t>تبوك</t>
        </is>
      </c>
      <c r="F42" s="78" t="inlineStr">
        <is>
          <t>تبوك</t>
        </is>
      </c>
      <c r="G42" s="78" t="inlineStr">
        <is>
          <t>تحت 9</t>
        </is>
      </c>
      <c r="H42" s="78" t="n">
        <v>1</v>
      </c>
    </row>
    <row r="43">
      <c r="B43" s="78" t="inlineStr">
        <is>
          <t>P466</t>
        </is>
      </c>
      <c r="C43" s="78" t="n">
        <v>464</v>
      </c>
      <c r="D43" s="78" t="inlineStr">
        <is>
          <t>الكاسر</t>
        </is>
      </c>
      <c r="E43" s="78" t="inlineStr">
        <is>
          <t>تبوك</t>
        </is>
      </c>
      <c r="F43" s="78" t="inlineStr">
        <is>
          <t>تبوك</t>
        </is>
      </c>
      <c r="G43" s="78" t="inlineStr">
        <is>
          <t>تحت 7</t>
        </is>
      </c>
      <c r="H43" s="78" t="n">
        <v>1</v>
      </c>
    </row>
    <row r="44">
      <c r="B44" s="78" t="inlineStr">
        <is>
          <t>Q466</t>
        </is>
      </c>
      <c r="C44" s="78" t="n">
        <v>464</v>
      </c>
      <c r="D44" s="78" t="inlineStr">
        <is>
          <t>الكاسر</t>
        </is>
      </c>
      <c r="E44" s="78" t="inlineStr">
        <is>
          <t>تبوك</t>
        </is>
      </c>
      <c r="F44" s="78" t="inlineStr">
        <is>
          <t>تبوك</t>
        </is>
      </c>
      <c r="G44" s="78" t="inlineStr">
        <is>
          <t>تحت 5</t>
        </is>
      </c>
      <c r="H44" s="78" t="n">
        <v>1</v>
      </c>
    </row>
    <row r="45">
      <c r="B45" s="78" t="inlineStr">
        <is>
          <t>N472</t>
        </is>
      </c>
      <c r="C45" s="78" t="n">
        <v>470</v>
      </c>
      <c r="D45" s="78" t="inlineStr">
        <is>
          <t>شعلة الباحة</t>
        </is>
      </c>
      <c r="E45" s="78" t="inlineStr">
        <is>
          <t>الباحة</t>
        </is>
      </c>
      <c r="F45" s="78" t="inlineStr">
        <is>
          <t>الباحة</t>
        </is>
      </c>
      <c r="G45" s="78" t="inlineStr">
        <is>
          <t>تحت 11</t>
        </is>
      </c>
      <c r="H45" s="78" t="n">
        <v>1</v>
      </c>
    </row>
    <row r="46">
      <c r="B46" s="78" t="inlineStr">
        <is>
          <t>Q479</t>
        </is>
      </c>
      <c r="C46" s="78" t="n">
        <v>477</v>
      </c>
      <c r="D46" s="78" t="inlineStr">
        <is>
          <t xml:space="preserve">AZ  </t>
        </is>
      </c>
      <c r="E46" s="78" t="inlineStr">
        <is>
          <t>عسير</t>
        </is>
      </c>
      <c r="F46" s="78" t="inlineStr">
        <is>
          <t>أبها</t>
        </is>
      </c>
      <c r="G46" s="78" t="inlineStr">
        <is>
          <t>تحت 5</t>
        </is>
      </c>
      <c r="H46" s="78" t="n">
        <v>1</v>
      </c>
    </row>
    <row r="47">
      <c r="B47" s="78" t="inlineStr">
        <is>
          <t>L484</t>
        </is>
      </c>
      <c r="C47" s="78" t="n">
        <v>482</v>
      </c>
      <c r="D47" s="78" t="inlineStr">
        <is>
          <t>تحدي شرورة</t>
        </is>
      </c>
      <c r="E47" s="78" t="inlineStr">
        <is>
          <t>نجران</t>
        </is>
      </c>
      <c r="F47" s="78" t="inlineStr">
        <is>
          <t>شرورة</t>
        </is>
      </c>
      <c r="G47" s="78" t="inlineStr">
        <is>
          <t>تحت 13</t>
        </is>
      </c>
      <c r="H47" s="78" t="n">
        <v>1</v>
      </c>
    </row>
    <row r="48">
      <c r="B48" s="78" t="inlineStr">
        <is>
          <t>L523</t>
        </is>
      </c>
      <c r="C48" s="78" t="n">
        <v>521</v>
      </c>
      <c r="D48" s="78" t="inlineStr">
        <is>
          <t>اسر</t>
        </is>
      </c>
      <c r="E48" s="78" t="inlineStr">
        <is>
          <t>الرياض</t>
        </is>
      </c>
      <c r="F48" s="78" t="inlineStr">
        <is>
          <t>الزلفي</t>
        </is>
      </c>
      <c r="G48" s="78" t="inlineStr">
        <is>
          <t>تحت 13</t>
        </is>
      </c>
      <c r="H48" s="78" t="n">
        <v>1</v>
      </c>
    </row>
    <row r="49">
      <c r="B49" s="78" t="inlineStr">
        <is>
          <t>N523</t>
        </is>
      </c>
      <c r="C49" s="78" t="n">
        <v>521</v>
      </c>
      <c r="D49" s="78" t="inlineStr">
        <is>
          <t>اسر</t>
        </is>
      </c>
      <c r="E49" s="78" t="inlineStr">
        <is>
          <t>الرياض</t>
        </is>
      </c>
      <c r="F49" s="78" t="inlineStr">
        <is>
          <t>الزلفي</t>
        </is>
      </c>
      <c r="G49" s="78" t="inlineStr">
        <is>
          <t>تحت 11</t>
        </is>
      </c>
      <c r="H49" s="78" t="n">
        <v>1</v>
      </c>
    </row>
    <row r="50">
      <c r="B50" s="78" t="inlineStr">
        <is>
          <t>L525</t>
        </is>
      </c>
      <c r="C50" s="78" t="n">
        <v>523</v>
      </c>
      <c r="D50" s="78" t="inlineStr">
        <is>
          <t>شباب الملك فيصل</t>
        </is>
      </c>
      <c r="E50" s="78" t="inlineStr">
        <is>
          <t>الرياض</t>
        </is>
      </c>
      <c r="F50" s="78" t="inlineStr">
        <is>
          <t>الزلفي</t>
        </is>
      </c>
      <c r="G50" s="78" t="inlineStr">
        <is>
          <t>تحت 13</t>
        </is>
      </c>
      <c r="H50" s="78" t="n">
        <v>1</v>
      </c>
    </row>
    <row r="51">
      <c r="B51" s="78" t="inlineStr">
        <is>
          <t>O551</t>
        </is>
      </c>
      <c r="C51" s="78" t="n">
        <v>549</v>
      </c>
      <c r="D51" s="78" t="inlineStr">
        <is>
          <t xml:space="preserve">نجم الجيل الرياضية </t>
        </is>
      </c>
      <c r="E51" s="78" t="inlineStr">
        <is>
          <t>المدينة المنورة</t>
        </is>
      </c>
      <c r="F51" s="78" t="inlineStr">
        <is>
          <t>ينبع</t>
        </is>
      </c>
      <c r="G51" s="78" t="inlineStr">
        <is>
          <t>تحت 9</t>
        </is>
      </c>
      <c r="H51" s="78" t="n">
        <v>2</v>
      </c>
    </row>
    <row r="52">
      <c r="B52" s="78" t="inlineStr">
        <is>
          <t>L555</t>
        </is>
      </c>
      <c r="C52" s="78" t="n">
        <v>553</v>
      </c>
      <c r="D52" s="78" t="inlineStr">
        <is>
          <t>نادي السهام</t>
        </is>
      </c>
      <c r="E52" s="78" t="inlineStr">
        <is>
          <t>نجران</t>
        </is>
      </c>
      <c r="F52" s="78" t="inlineStr">
        <is>
          <t>شرورة</t>
        </is>
      </c>
      <c r="G52" s="78" t="inlineStr">
        <is>
          <t>تحت 13</t>
        </is>
      </c>
      <c r="H52" s="78" t="n">
        <v>1</v>
      </c>
    </row>
    <row r="53">
      <c r="B53" s="78" t="inlineStr">
        <is>
          <t>K583</t>
        </is>
      </c>
      <c r="C53" s="78" t="n">
        <v>581</v>
      </c>
      <c r="D53" s="78" t="inlineStr">
        <is>
          <t>اكاديمية ناين ون</t>
        </is>
      </c>
      <c r="E53" s="78" t="inlineStr">
        <is>
          <t>المدينة المنورة</t>
        </is>
      </c>
      <c r="F53" s="78" t="inlineStr">
        <is>
          <t>ينبع</t>
        </is>
      </c>
      <c r="G53" s="78" t="inlineStr">
        <is>
          <t>تحت 14</t>
        </is>
      </c>
      <c r="H53" s="78" t="n">
        <v>1</v>
      </c>
    </row>
    <row r="54">
      <c r="B54" s="78" t="inlineStr">
        <is>
          <t>N621</t>
        </is>
      </c>
      <c r="C54" s="78" t="n">
        <v>619</v>
      </c>
      <c r="D54" s="78" t="inlineStr">
        <is>
          <t>الوداد الشرقي</t>
        </is>
      </c>
      <c r="E54" s="78" t="inlineStr">
        <is>
          <t>نجران</t>
        </is>
      </c>
      <c r="F54" s="78" t="inlineStr">
        <is>
          <t>نجران</t>
        </is>
      </c>
      <c r="G54" s="78" t="inlineStr">
        <is>
          <t>تحت 11</t>
        </is>
      </c>
      <c r="H54" s="78" t="n">
        <v>1</v>
      </c>
    </row>
    <row r="55">
      <c r="B55" s="78" t="inlineStr">
        <is>
          <t>N622</t>
        </is>
      </c>
      <c r="C55" s="78" t="n">
        <v>620</v>
      </c>
      <c r="D55" s="78" t="inlineStr">
        <is>
          <t xml:space="preserve"> اكاديمية مواهب بيشة</t>
        </is>
      </c>
      <c r="E55" s="78" t="inlineStr">
        <is>
          <t>الباحة</t>
        </is>
      </c>
      <c r="F55" s="78" t="inlineStr">
        <is>
          <t>الباحة</t>
        </is>
      </c>
      <c r="G55" s="78" t="inlineStr">
        <is>
          <t>تحت 11</t>
        </is>
      </c>
      <c r="H55" s="78" t="n">
        <v>1</v>
      </c>
    </row>
    <row r="56">
      <c r="B56" s="78" t="inlineStr">
        <is>
          <t>Q627</t>
        </is>
      </c>
      <c r="C56" s="78" t="n">
        <v>625</v>
      </c>
      <c r="D56" s="78" t="inlineStr">
        <is>
          <t>براعم الموهوبين</t>
        </is>
      </c>
      <c r="E56" s="78" t="inlineStr">
        <is>
          <t>عسير</t>
        </is>
      </c>
      <c r="F56" s="78" t="inlineStr">
        <is>
          <t>أبها</t>
        </is>
      </c>
      <c r="G56" s="78" t="inlineStr">
        <is>
          <t>تحت 5</t>
        </is>
      </c>
      <c r="H56" s="78" t="n">
        <v>2</v>
      </c>
    </row>
    <row r="57">
      <c r="B57" s="78" t="inlineStr">
        <is>
          <t>K652</t>
        </is>
      </c>
      <c r="C57" s="78" t="n">
        <v>650</v>
      </c>
      <c r="D57" s="78" t="inlineStr">
        <is>
          <t>ركائز التعليم</t>
        </is>
      </c>
      <c r="E57" s="78" t="inlineStr">
        <is>
          <t>الرياض</t>
        </is>
      </c>
      <c r="F57" s="78" t="inlineStr">
        <is>
          <t>الدوادمي</t>
        </is>
      </c>
      <c r="G57" s="78" t="inlineStr">
        <is>
          <t>تحت 14</t>
        </is>
      </c>
      <c r="H57" s="78" t="n">
        <v>1</v>
      </c>
    </row>
    <row r="58">
      <c r="B58" s="78" t="inlineStr">
        <is>
          <t>L652</t>
        </is>
      </c>
      <c r="C58" s="78" t="n">
        <v>650</v>
      </c>
      <c r="D58" s="78" t="inlineStr">
        <is>
          <t>ركائز التعليم</t>
        </is>
      </c>
      <c r="E58" s="78" t="inlineStr">
        <is>
          <t>الرياض</t>
        </is>
      </c>
      <c r="F58" s="78" t="inlineStr">
        <is>
          <t>الدوادمي</t>
        </is>
      </c>
      <c r="G58" s="78" t="inlineStr">
        <is>
          <t>تحت 13</t>
        </is>
      </c>
      <c r="H58" s="78" t="n">
        <v>1</v>
      </c>
    </row>
    <row r="59">
      <c r="B59" s="78" t="inlineStr">
        <is>
          <t>M652</t>
        </is>
      </c>
      <c r="C59" s="78" t="n">
        <v>650</v>
      </c>
      <c r="D59" s="78" t="inlineStr">
        <is>
          <t>ركائز التعليم</t>
        </is>
      </c>
      <c r="E59" s="78" t="inlineStr">
        <is>
          <t>الرياض</t>
        </is>
      </c>
      <c r="F59" s="78" t="inlineStr">
        <is>
          <t>الدوادمي</t>
        </is>
      </c>
      <c r="G59" s="78" t="inlineStr">
        <is>
          <t>تحت 12</t>
        </is>
      </c>
      <c r="H59" s="78" t="n">
        <v>1</v>
      </c>
    </row>
    <row r="60">
      <c r="B60" s="78" t="inlineStr">
        <is>
          <t>N652</t>
        </is>
      </c>
      <c r="C60" s="78" t="n">
        <v>650</v>
      </c>
      <c r="D60" s="78" t="inlineStr">
        <is>
          <t>ركائز التعليم</t>
        </is>
      </c>
      <c r="E60" s="78" t="inlineStr">
        <is>
          <t>الرياض</t>
        </is>
      </c>
      <c r="F60" s="78" t="inlineStr">
        <is>
          <t>الدوادمي</t>
        </is>
      </c>
      <c r="G60" s="78" t="inlineStr">
        <is>
          <t>تحت 11</t>
        </is>
      </c>
      <c r="H60" s="78" t="n">
        <v>1</v>
      </c>
    </row>
    <row r="61">
      <c r="B61" s="78" t="inlineStr">
        <is>
          <t>K654</t>
        </is>
      </c>
      <c r="C61" s="78" t="n">
        <v>652</v>
      </c>
      <c r="D61" s="78" t="inlineStr">
        <is>
          <t>اكاديمية K1 الرياضية</t>
        </is>
      </c>
      <c r="E61" s="78" t="inlineStr">
        <is>
          <t>المدينة المنورة</t>
        </is>
      </c>
      <c r="F61" s="78" t="inlineStr">
        <is>
          <t>ينبع</t>
        </is>
      </c>
      <c r="G61" s="78" t="inlineStr">
        <is>
          <t>تحت 14</t>
        </is>
      </c>
      <c r="H61" s="78" t="n">
        <v>1</v>
      </c>
    </row>
    <row r="62">
      <c r="B62" s="78" t="inlineStr">
        <is>
          <t>P661</t>
        </is>
      </c>
      <c r="C62" s="78" t="n">
        <v>659</v>
      </c>
      <c r="D62" s="78" t="inlineStr">
        <is>
          <t>اكاديمية الكأس الرياضية</t>
        </is>
      </c>
      <c r="E62" s="78" t="inlineStr">
        <is>
          <t>الرياض</t>
        </is>
      </c>
      <c r="F62" s="78" t="inlineStr">
        <is>
          <t>الخرج</t>
        </is>
      </c>
      <c r="G62" s="78" t="inlineStr">
        <is>
          <t>تحت 7</t>
        </is>
      </c>
      <c r="H62" s="78" t="n">
        <v>3</v>
      </c>
    </row>
    <row r="63">
      <c r="B63" s="78" t="inlineStr">
        <is>
          <t>Q661</t>
        </is>
      </c>
      <c r="C63" s="78" t="n">
        <v>659</v>
      </c>
      <c r="D63" s="78" t="inlineStr">
        <is>
          <t>اكاديمية الكأس الرياضية</t>
        </is>
      </c>
      <c r="E63" s="78" t="inlineStr">
        <is>
          <t>الرياض</t>
        </is>
      </c>
      <c r="F63" s="78" t="inlineStr">
        <is>
          <t>الخرج</t>
        </is>
      </c>
      <c r="G63" s="78" t="inlineStr">
        <is>
          <t>تحت 5</t>
        </is>
      </c>
      <c r="H63" s="78" t="n">
        <v>4</v>
      </c>
    </row>
    <row r="64">
      <c r="B64" s="78" t="inlineStr">
        <is>
          <t>Q677</t>
        </is>
      </c>
      <c r="C64" s="78" t="n">
        <v>675</v>
      </c>
      <c r="D64" s="78" t="inlineStr">
        <is>
          <t>التقدم</t>
        </is>
      </c>
      <c r="E64" s="78" t="inlineStr">
        <is>
          <t>القصيم</t>
        </is>
      </c>
      <c r="F64" s="78" t="inlineStr">
        <is>
          <t>المذنب</t>
        </is>
      </c>
      <c r="G64" s="78" t="inlineStr">
        <is>
          <t>تحت 5</t>
        </is>
      </c>
      <c r="H64" s="78" t="n">
        <v>1</v>
      </c>
    </row>
    <row r="65">
      <c r="B65" s="78" t="inlineStr">
        <is>
          <t>N698</t>
        </is>
      </c>
      <c r="C65" s="78" t="n">
        <v>696</v>
      </c>
      <c r="D65" s="78" t="inlineStr">
        <is>
          <t>اكاديمية صقل المواهب</t>
        </is>
      </c>
      <c r="E65" s="78" t="inlineStr">
        <is>
          <t>الباحة</t>
        </is>
      </c>
      <c r="F65" s="78" t="inlineStr">
        <is>
          <t>الباحة</t>
        </is>
      </c>
      <c r="G65" s="78" t="inlineStr">
        <is>
          <t>تحت 11</t>
        </is>
      </c>
      <c r="H65" s="78" t="n">
        <v>1</v>
      </c>
    </row>
    <row r="66">
      <c r="B66" s="78" t="inlineStr">
        <is>
          <t>N706</t>
        </is>
      </c>
      <c r="C66" s="78" t="n">
        <v>704</v>
      </c>
      <c r="D66" s="78" t="inlineStr">
        <is>
          <t>الاعتماد</t>
        </is>
      </c>
      <c r="E66" s="78" t="inlineStr">
        <is>
          <t>الرياض</t>
        </is>
      </c>
      <c r="F66" s="78" t="inlineStr">
        <is>
          <t>المجمعة</t>
        </is>
      </c>
      <c r="G66" s="78" t="inlineStr">
        <is>
          <t>تحت 11</t>
        </is>
      </c>
      <c r="H66" s="78" t="n">
        <v>1</v>
      </c>
    </row>
    <row r="67">
      <c r="B67" s="78" t="inlineStr">
        <is>
          <t>P715</t>
        </is>
      </c>
      <c r="C67" s="78" t="n">
        <v>713</v>
      </c>
      <c r="D67" s="78" t="inlineStr">
        <is>
          <t xml:space="preserve">نادي البدائع </t>
        </is>
      </c>
      <c r="E67" s="78" t="inlineStr">
        <is>
          <t>القصيم</t>
        </is>
      </c>
      <c r="F67" s="78" t="inlineStr">
        <is>
          <t>البدائع</t>
        </is>
      </c>
      <c r="G67" s="78" t="inlineStr">
        <is>
          <t>تحت 7</t>
        </is>
      </c>
      <c r="H67" s="78" t="n">
        <v>1</v>
      </c>
    </row>
    <row r="68">
      <c r="B68" s="78" t="inlineStr">
        <is>
          <t>Q715</t>
        </is>
      </c>
      <c r="C68" s="78" t="n">
        <v>713</v>
      </c>
      <c r="D68" s="78" t="inlineStr">
        <is>
          <t xml:space="preserve">نادي البدائع </t>
        </is>
      </c>
      <c r="E68" s="78" t="inlineStr">
        <is>
          <t>القصيم</t>
        </is>
      </c>
      <c r="F68" s="78" t="inlineStr">
        <is>
          <t>البدائع</t>
        </is>
      </c>
      <c r="G68" s="78" t="inlineStr">
        <is>
          <t>تحت 5</t>
        </is>
      </c>
      <c r="H68" s="78" t="n">
        <v>1</v>
      </c>
    </row>
    <row r="69">
      <c r="B69" s="78" t="inlineStr">
        <is>
          <t>Q735</t>
        </is>
      </c>
      <c r="C69" s="78" t="n">
        <v>733</v>
      </c>
      <c r="D69" s="78" t="inlineStr">
        <is>
          <t>اف 10 شقة</t>
        </is>
      </c>
      <c r="E69" s="78" t="inlineStr">
        <is>
          <t>القصيم</t>
        </is>
      </c>
      <c r="F69" s="78" t="inlineStr">
        <is>
          <t>بريدة</t>
        </is>
      </c>
      <c r="G69" s="78" t="inlineStr">
        <is>
          <t>تحت 5</t>
        </is>
      </c>
      <c r="H69" s="78" t="n">
        <v>2</v>
      </c>
    </row>
    <row r="70">
      <c r="B70" s="78" t="inlineStr">
        <is>
          <t>K740</t>
        </is>
      </c>
      <c r="C70" s="78" t="n">
        <v>738</v>
      </c>
      <c r="D70" s="78" t="inlineStr">
        <is>
          <t>فريق العالمي الرياضي</t>
        </is>
      </c>
      <c r="E70" s="78" t="inlineStr">
        <is>
          <t>عسير</t>
        </is>
      </c>
      <c r="F70" s="78" t="inlineStr">
        <is>
          <t>بيشة</t>
        </is>
      </c>
      <c r="G70" s="78" t="inlineStr">
        <is>
          <t>تحت 14</t>
        </is>
      </c>
      <c r="H70" s="78" t="n">
        <v>1</v>
      </c>
    </row>
    <row r="71">
      <c r="B71" s="78" t="inlineStr">
        <is>
          <t>L740</t>
        </is>
      </c>
      <c r="C71" s="78" t="n">
        <v>738</v>
      </c>
      <c r="D71" s="78" t="inlineStr">
        <is>
          <t>فريق العالمي الرياضي</t>
        </is>
      </c>
      <c r="E71" s="78" t="inlineStr">
        <is>
          <t>عسير</t>
        </is>
      </c>
      <c r="F71" s="78" t="inlineStr">
        <is>
          <t>بيشة</t>
        </is>
      </c>
      <c r="G71" s="78" t="inlineStr">
        <is>
          <t>تحت 13</t>
        </is>
      </c>
      <c r="H71" s="78" t="n">
        <v>1</v>
      </c>
    </row>
    <row r="72">
      <c r="B72" s="78" t="inlineStr">
        <is>
          <t>M740</t>
        </is>
      </c>
      <c r="C72" s="78" t="n">
        <v>738</v>
      </c>
      <c r="D72" s="78" t="inlineStr">
        <is>
          <t>فريق العالمي الرياضي</t>
        </is>
      </c>
      <c r="E72" s="78" t="inlineStr">
        <is>
          <t>عسير</t>
        </is>
      </c>
      <c r="F72" s="78" t="inlineStr">
        <is>
          <t>بيشة</t>
        </is>
      </c>
      <c r="G72" s="78" t="inlineStr">
        <is>
          <t>تحت 12</t>
        </is>
      </c>
      <c r="H72" s="78" t="n">
        <v>1</v>
      </c>
    </row>
    <row r="73">
      <c r="B73" s="78" t="inlineStr">
        <is>
          <t>N740</t>
        </is>
      </c>
      <c r="C73" s="78" t="n">
        <v>738</v>
      </c>
      <c r="D73" s="78" t="inlineStr">
        <is>
          <t>فريق العالمي الرياضي</t>
        </is>
      </c>
      <c r="E73" s="78" t="inlineStr">
        <is>
          <t>عسير</t>
        </is>
      </c>
      <c r="F73" s="78" t="inlineStr">
        <is>
          <t>بيشة</t>
        </is>
      </c>
      <c r="G73" s="78" t="inlineStr">
        <is>
          <t>تحت 11</t>
        </is>
      </c>
      <c r="H73" s="78" t="n">
        <v>1</v>
      </c>
    </row>
    <row r="74">
      <c r="B74" s="78" t="inlineStr">
        <is>
          <t>K84</t>
        </is>
      </c>
      <c r="C74" s="78" t="n">
        <v>82</v>
      </c>
      <c r="D74" s="78" t="inlineStr">
        <is>
          <t xml:space="preserve">مركز النشاط الاجتماعي </t>
        </is>
      </c>
      <c r="E74" s="78" t="inlineStr">
        <is>
          <t>الشرقية</t>
        </is>
      </c>
      <c r="F74" s="78" t="inlineStr">
        <is>
          <t>الأحساء</t>
        </is>
      </c>
      <c r="G74" s="78" t="inlineStr">
        <is>
          <t>تحت 14</t>
        </is>
      </c>
      <c r="H74" s="78" t="n">
        <v>1</v>
      </c>
    </row>
    <row r="75">
      <c r="B75" s="78" t="inlineStr">
        <is>
          <t>K105</t>
        </is>
      </c>
      <c r="C75" s="78" t="n">
        <v>103</v>
      </c>
      <c r="D75" s="78" t="inlineStr">
        <is>
          <t>النسور الاحساء</t>
        </is>
      </c>
      <c r="E75" s="78" t="inlineStr">
        <is>
          <t>الشرقية</t>
        </is>
      </c>
      <c r="F75" s="78" t="inlineStr">
        <is>
          <t>الأحساء</t>
        </is>
      </c>
      <c r="G75" s="78" t="inlineStr">
        <is>
          <t>تحت 14</t>
        </is>
      </c>
      <c r="H75" s="78" t="n">
        <v>1</v>
      </c>
    </row>
    <row r="76">
      <c r="B76" s="78" t="inlineStr">
        <is>
          <t>K106</t>
        </is>
      </c>
      <c r="C76" s="78" t="n">
        <v>104</v>
      </c>
      <c r="D76" s="78" t="inlineStr">
        <is>
          <t>الازدهار</t>
        </is>
      </c>
      <c r="E76" s="78" t="inlineStr">
        <is>
          <t>الشرقية</t>
        </is>
      </c>
      <c r="F76" s="78" t="inlineStr">
        <is>
          <t>الأحساء</t>
        </is>
      </c>
      <c r="G76" s="78" t="inlineStr">
        <is>
          <t>تحت 14</t>
        </is>
      </c>
      <c r="H76" s="78" t="n">
        <v>1</v>
      </c>
    </row>
    <row r="77">
      <c r="B77" s="78" t="inlineStr">
        <is>
          <t>K142</t>
        </is>
      </c>
      <c r="C77" s="78" t="n">
        <v>140</v>
      </c>
      <c r="D77" s="78" t="inlineStr">
        <is>
          <t>HAJRAWY</t>
        </is>
      </c>
      <c r="E77" s="78" t="inlineStr">
        <is>
          <t>الشرقية</t>
        </is>
      </c>
      <c r="F77" s="78" t="inlineStr">
        <is>
          <t>الأحساء</t>
        </is>
      </c>
      <c r="G77" s="78" t="inlineStr">
        <is>
          <t>تحت 14</t>
        </is>
      </c>
      <c r="H77" s="78" t="n">
        <v>1</v>
      </c>
    </row>
    <row r="78">
      <c r="B78" s="78" t="inlineStr">
        <is>
          <t>K156</t>
        </is>
      </c>
      <c r="C78" s="78" t="n">
        <v>154</v>
      </c>
      <c r="D78" s="78" t="inlineStr">
        <is>
          <t xml:space="preserve"> الصواري بالفضول </t>
        </is>
      </c>
      <c r="E78" s="78" t="inlineStr">
        <is>
          <t>الشرقية</t>
        </is>
      </c>
      <c r="F78" s="78" t="inlineStr">
        <is>
          <t>الأحساء</t>
        </is>
      </c>
      <c r="G78" s="78" t="inlineStr">
        <is>
          <t>تحت 14</t>
        </is>
      </c>
      <c r="H78" s="78" t="n">
        <v>1</v>
      </c>
    </row>
    <row r="79">
      <c r="B79" s="78" t="inlineStr">
        <is>
          <t>K235</t>
        </is>
      </c>
      <c r="C79" s="78" t="n">
        <v>233</v>
      </c>
      <c r="D79" s="78" t="inlineStr">
        <is>
          <t xml:space="preserve">العهد الاسكان </t>
        </is>
      </c>
      <c r="E79" s="78" t="inlineStr">
        <is>
          <t>الشرقية</t>
        </is>
      </c>
      <c r="F79" s="78" t="inlineStr">
        <is>
          <t>الأحساء</t>
        </is>
      </c>
      <c r="G79" s="78" t="inlineStr">
        <is>
          <t>تحت 14</t>
        </is>
      </c>
      <c r="H79" s="78" t="n">
        <v>1</v>
      </c>
    </row>
    <row r="80">
      <c r="B80" s="78" t="inlineStr">
        <is>
          <t>K298</t>
        </is>
      </c>
      <c r="C80" s="78" t="n">
        <v>296</v>
      </c>
      <c r="D80" s="78" t="inlineStr">
        <is>
          <t>خليج محاسن</t>
        </is>
      </c>
      <c r="E80" s="78" t="inlineStr">
        <is>
          <t>الشرقية</t>
        </is>
      </c>
      <c r="F80" s="78" t="inlineStr">
        <is>
          <t>الأحساء</t>
        </is>
      </c>
      <c r="G80" s="78" t="inlineStr">
        <is>
          <t>تحت 14</t>
        </is>
      </c>
      <c r="H80" s="78" t="n">
        <v>1</v>
      </c>
    </row>
    <row r="81">
      <c r="B81" s="78" t="inlineStr">
        <is>
          <t>L84</t>
        </is>
      </c>
      <c r="C81" s="78" t="n">
        <v>82</v>
      </c>
      <c r="D81" s="78" t="inlineStr">
        <is>
          <t xml:space="preserve">مركز النشاط الاجتماعي </t>
        </is>
      </c>
      <c r="E81" s="78" t="inlineStr">
        <is>
          <t>الشرقية</t>
        </is>
      </c>
      <c r="F81" s="78" t="inlineStr">
        <is>
          <t>الأحساء</t>
        </is>
      </c>
      <c r="G81" s="78" t="inlineStr">
        <is>
          <t>تحت 13</t>
        </is>
      </c>
      <c r="H81" s="78" t="n">
        <v>1</v>
      </c>
    </row>
    <row r="82">
      <c r="B82" s="78" t="inlineStr">
        <is>
          <t>L94</t>
        </is>
      </c>
      <c r="C82" s="78" t="n">
        <v>92</v>
      </c>
      <c r="D82" s="78" t="inlineStr">
        <is>
          <t xml:space="preserve">نجوم الشعبة </t>
        </is>
      </c>
      <c r="E82" s="78" t="inlineStr">
        <is>
          <t>الشرقية</t>
        </is>
      </c>
      <c r="F82" s="78" t="inlineStr">
        <is>
          <t>الأحساء</t>
        </is>
      </c>
      <c r="G82" s="78" t="inlineStr">
        <is>
          <t>تحت 13</t>
        </is>
      </c>
      <c r="H82" s="78" t="n">
        <v>1</v>
      </c>
    </row>
    <row r="83">
      <c r="B83" s="78" t="inlineStr">
        <is>
          <t>L105</t>
        </is>
      </c>
      <c r="C83" s="78" t="n">
        <v>103</v>
      </c>
      <c r="D83" s="78" t="inlineStr">
        <is>
          <t>النسور الاحساء</t>
        </is>
      </c>
      <c r="E83" s="78" t="inlineStr">
        <is>
          <t>الشرقية</t>
        </is>
      </c>
      <c r="F83" s="78" t="inlineStr">
        <is>
          <t>الأحساء</t>
        </is>
      </c>
      <c r="G83" s="78" t="inlineStr">
        <is>
          <t>تحت 13</t>
        </is>
      </c>
      <c r="H83" s="78" t="n">
        <v>1</v>
      </c>
    </row>
    <row r="84">
      <c r="B84" s="78" t="inlineStr">
        <is>
          <t>L106</t>
        </is>
      </c>
      <c r="C84" s="78" t="n">
        <v>104</v>
      </c>
      <c r="D84" s="78" t="inlineStr">
        <is>
          <t>الازدهار</t>
        </is>
      </c>
      <c r="E84" s="78" t="inlineStr">
        <is>
          <t>الشرقية</t>
        </is>
      </c>
      <c r="F84" s="78" t="inlineStr">
        <is>
          <t>الأحساء</t>
        </is>
      </c>
      <c r="G84" s="78" t="inlineStr">
        <is>
          <t>تحت 13</t>
        </is>
      </c>
      <c r="H84" s="78" t="n">
        <v>1</v>
      </c>
    </row>
    <row r="85">
      <c r="B85" s="78" t="inlineStr">
        <is>
          <t>L154</t>
        </is>
      </c>
      <c r="C85" s="78" t="n">
        <v>152</v>
      </c>
      <c r="D85" s="78" t="inlineStr">
        <is>
          <t xml:space="preserve">النور بالرميلة </t>
        </is>
      </c>
      <c r="E85" s="78" t="inlineStr">
        <is>
          <t>الشرقية</t>
        </is>
      </c>
      <c r="F85" s="78" t="inlineStr">
        <is>
          <t>الأحساء</t>
        </is>
      </c>
      <c r="G85" s="78" t="inlineStr">
        <is>
          <t>تحت 13</t>
        </is>
      </c>
      <c r="H85" s="78" t="n">
        <v>1</v>
      </c>
    </row>
    <row r="86">
      <c r="B86" s="78" t="inlineStr">
        <is>
          <t>L156</t>
        </is>
      </c>
      <c r="C86" s="78" t="n">
        <v>154</v>
      </c>
      <c r="D86" s="78" t="inlineStr">
        <is>
          <t xml:space="preserve"> الصواري بالفضول </t>
        </is>
      </c>
      <c r="E86" s="78" t="inlineStr">
        <is>
          <t>الشرقية</t>
        </is>
      </c>
      <c r="F86" s="78" t="inlineStr">
        <is>
          <t>الأحساء</t>
        </is>
      </c>
      <c r="G86" s="78" t="inlineStr">
        <is>
          <t>تحت 13</t>
        </is>
      </c>
      <c r="H86" s="78" t="n">
        <v>1</v>
      </c>
    </row>
    <row r="87">
      <c r="B87" s="78" t="inlineStr">
        <is>
          <t>L235</t>
        </is>
      </c>
      <c r="C87" s="78" t="n">
        <v>233</v>
      </c>
      <c r="D87" s="78" t="inlineStr">
        <is>
          <t xml:space="preserve">العهد الاسكان </t>
        </is>
      </c>
      <c r="E87" s="78" t="inlineStr">
        <is>
          <t>الشرقية</t>
        </is>
      </c>
      <c r="F87" s="78" t="inlineStr">
        <is>
          <t>الأحساء</t>
        </is>
      </c>
      <c r="G87" s="78" t="inlineStr">
        <is>
          <t>تحت 13</t>
        </is>
      </c>
      <c r="H87" s="78" t="n">
        <v>1</v>
      </c>
    </row>
    <row r="88">
      <c r="B88" s="78" t="inlineStr">
        <is>
          <t>L279</t>
        </is>
      </c>
      <c r="C88" s="78" t="n">
        <v>277</v>
      </c>
      <c r="D88" s="78" t="inlineStr">
        <is>
          <t>فريق النبراس</t>
        </is>
      </c>
      <c r="E88" s="78" t="inlineStr">
        <is>
          <t>الشرقية</t>
        </is>
      </c>
      <c r="F88" s="78" t="inlineStr">
        <is>
          <t>الأحساء</t>
        </is>
      </c>
      <c r="G88" s="78" t="inlineStr">
        <is>
          <t>تحت 13</t>
        </is>
      </c>
      <c r="H88" s="78" t="n">
        <v>1</v>
      </c>
    </row>
    <row r="89">
      <c r="B89" s="78" t="inlineStr">
        <is>
          <t>L298</t>
        </is>
      </c>
      <c r="C89" s="78" t="n">
        <v>296</v>
      </c>
      <c r="D89" s="78" t="inlineStr">
        <is>
          <t>خليج محاسن</t>
        </is>
      </c>
      <c r="E89" s="78" t="inlineStr">
        <is>
          <t>الشرقية</t>
        </is>
      </c>
      <c r="F89" s="78" t="inlineStr">
        <is>
          <t>الأحساء</t>
        </is>
      </c>
      <c r="G89" s="78" t="inlineStr">
        <is>
          <t>تحت 13</t>
        </is>
      </c>
      <c r="H89" s="78" t="n">
        <v>1</v>
      </c>
    </row>
    <row r="90">
      <c r="B90" s="78" t="inlineStr">
        <is>
          <t>L415</t>
        </is>
      </c>
      <c r="C90" s="78" t="n">
        <v>413</v>
      </c>
      <c r="D90" s="78" t="inlineStr">
        <is>
          <t>شباب الطرف</t>
        </is>
      </c>
      <c r="E90" s="78" t="inlineStr">
        <is>
          <t>الشرقية</t>
        </is>
      </c>
      <c r="F90" s="78" t="inlineStr">
        <is>
          <t>الأحساء</t>
        </is>
      </c>
      <c r="G90" s="78" t="inlineStr">
        <is>
          <t>تحت 13</t>
        </is>
      </c>
      <c r="H90" s="78" t="n">
        <v>1</v>
      </c>
    </row>
    <row r="91">
      <c r="B91" s="78" t="inlineStr">
        <is>
          <t>L450</t>
        </is>
      </c>
      <c r="C91" s="78" t="n">
        <v>448</v>
      </c>
      <c r="D91" s="78" t="inlineStr">
        <is>
          <t>فريق النجوم</t>
        </is>
      </c>
      <c r="E91" s="78" t="inlineStr">
        <is>
          <t>الشرقية</t>
        </is>
      </c>
      <c r="F91" s="78" t="inlineStr">
        <is>
          <t>الأحساء</t>
        </is>
      </c>
      <c r="G91" s="78" t="inlineStr">
        <is>
          <t>تحت 13</t>
        </is>
      </c>
      <c r="H91" s="78" t="n">
        <v>1</v>
      </c>
    </row>
    <row r="92">
      <c r="B92" s="78" t="inlineStr">
        <is>
          <t>N84</t>
        </is>
      </c>
      <c r="C92" s="78" t="n">
        <v>82</v>
      </c>
      <c r="D92" s="78" t="inlineStr">
        <is>
          <t xml:space="preserve">مركز النشاط الاجتماعي </t>
        </is>
      </c>
      <c r="E92" s="78" t="inlineStr">
        <is>
          <t>الشرقية</t>
        </is>
      </c>
      <c r="F92" s="78" t="inlineStr">
        <is>
          <t>الأحساء</t>
        </is>
      </c>
      <c r="G92" s="78" t="inlineStr">
        <is>
          <t>تحت 11</t>
        </is>
      </c>
      <c r="H92" s="78" t="n">
        <v>1</v>
      </c>
    </row>
    <row r="93">
      <c r="B93" s="78" t="inlineStr">
        <is>
          <t>N94</t>
        </is>
      </c>
      <c r="C93" s="78" t="n">
        <v>92</v>
      </c>
      <c r="D93" s="78" t="inlineStr">
        <is>
          <t xml:space="preserve">نجوم الشعبة </t>
        </is>
      </c>
      <c r="E93" s="78" t="inlineStr">
        <is>
          <t>الشرقية</t>
        </is>
      </c>
      <c r="F93" s="78" t="inlineStr">
        <is>
          <t>الأحساء</t>
        </is>
      </c>
      <c r="G93" s="78" t="inlineStr">
        <is>
          <t>تحت 11</t>
        </is>
      </c>
      <c r="H93" s="78" t="n">
        <v>1</v>
      </c>
    </row>
    <row r="94">
      <c r="B94" s="78" t="inlineStr">
        <is>
          <t>N105</t>
        </is>
      </c>
      <c r="C94" s="78" t="n">
        <v>103</v>
      </c>
      <c r="D94" s="78" t="inlineStr">
        <is>
          <t>النسور الاحساء</t>
        </is>
      </c>
      <c r="E94" s="78" t="inlineStr">
        <is>
          <t>الشرقية</t>
        </is>
      </c>
      <c r="F94" s="78" t="inlineStr">
        <is>
          <t>الأحساء</t>
        </is>
      </c>
      <c r="G94" s="78" t="inlineStr">
        <is>
          <t>تحت 11</t>
        </is>
      </c>
      <c r="H94" s="78" t="n">
        <v>1</v>
      </c>
    </row>
    <row r="95">
      <c r="B95" s="78" t="inlineStr">
        <is>
          <t>N106</t>
        </is>
      </c>
      <c r="C95" s="78" t="n">
        <v>104</v>
      </c>
      <c r="D95" s="78" t="inlineStr">
        <is>
          <t>الازدهار</t>
        </is>
      </c>
      <c r="E95" s="78" t="inlineStr">
        <is>
          <t>الشرقية</t>
        </is>
      </c>
      <c r="F95" s="78" t="inlineStr">
        <is>
          <t>الأحساء</t>
        </is>
      </c>
      <c r="G95" s="78" t="inlineStr">
        <is>
          <t>تحت 11</t>
        </is>
      </c>
      <c r="H95" s="78" t="n">
        <v>1</v>
      </c>
    </row>
    <row r="96">
      <c r="B96" s="78" t="inlineStr">
        <is>
          <t>N154</t>
        </is>
      </c>
      <c r="C96" s="78" t="n">
        <v>152</v>
      </c>
      <c r="D96" s="78" t="inlineStr">
        <is>
          <t xml:space="preserve">النور بالرميلة </t>
        </is>
      </c>
      <c r="E96" s="78" t="inlineStr">
        <is>
          <t>الشرقية</t>
        </is>
      </c>
      <c r="F96" s="78" t="inlineStr">
        <is>
          <t>الأحساء</t>
        </is>
      </c>
      <c r="G96" s="78" t="inlineStr">
        <is>
          <t>تحت 11</t>
        </is>
      </c>
      <c r="H96" s="78" t="n">
        <v>1</v>
      </c>
    </row>
    <row r="97">
      <c r="B97" s="78" t="inlineStr">
        <is>
          <t>N235</t>
        </is>
      </c>
      <c r="C97" s="78" t="n">
        <v>233</v>
      </c>
      <c r="D97" s="78" t="inlineStr">
        <is>
          <t xml:space="preserve">العهد الاسكان </t>
        </is>
      </c>
      <c r="E97" s="78" t="inlineStr">
        <is>
          <t>الشرقية</t>
        </is>
      </c>
      <c r="F97" s="78" t="inlineStr">
        <is>
          <t>الأحساء</t>
        </is>
      </c>
      <c r="G97" s="78" t="inlineStr">
        <is>
          <t>تحت 11</t>
        </is>
      </c>
      <c r="H97" s="78" t="n">
        <v>1</v>
      </c>
    </row>
    <row r="98">
      <c r="B98" s="78" t="inlineStr">
        <is>
          <t>N279</t>
        </is>
      </c>
      <c r="C98" s="78" t="n">
        <v>277</v>
      </c>
      <c r="D98" s="78" t="inlineStr">
        <is>
          <t>فريق النبراس</t>
        </is>
      </c>
      <c r="E98" s="78" t="inlineStr">
        <is>
          <t>الشرقية</t>
        </is>
      </c>
      <c r="F98" s="78" t="inlineStr">
        <is>
          <t>الأحساء</t>
        </is>
      </c>
      <c r="G98" s="78" t="inlineStr">
        <is>
          <t>تحت 11</t>
        </is>
      </c>
      <c r="H98" s="78" t="n">
        <v>1</v>
      </c>
    </row>
    <row r="99">
      <c r="B99" s="78" t="inlineStr">
        <is>
          <t>N298</t>
        </is>
      </c>
      <c r="C99" s="78" t="n">
        <v>296</v>
      </c>
      <c r="D99" s="78" t="inlineStr">
        <is>
          <t>خليج محاسن</t>
        </is>
      </c>
      <c r="E99" s="78" t="inlineStr">
        <is>
          <t>الشرقية</t>
        </is>
      </c>
      <c r="F99" s="78" t="inlineStr">
        <is>
          <t>الأحساء</t>
        </is>
      </c>
      <c r="G99" s="78" t="inlineStr">
        <is>
          <t>تحت 11</t>
        </is>
      </c>
      <c r="H99" s="78" t="n">
        <v>1</v>
      </c>
    </row>
    <row r="100">
      <c r="B100" s="78" t="inlineStr">
        <is>
          <t>N415</t>
        </is>
      </c>
      <c r="C100" s="78" t="n">
        <v>413</v>
      </c>
      <c r="D100" s="78" t="inlineStr">
        <is>
          <t>شباب الطرف</t>
        </is>
      </c>
      <c r="E100" s="78" t="inlineStr">
        <is>
          <t>الشرقية</t>
        </is>
      </c>
      <c r="F100" s="78" t="inlineStr">
        <is>
          <t>الأحساء</t>
        </is>
      </c>
      <c r="G100" s="78" t="inlineStr">
        <is>
          <t>تحت 11</t>
        </is>
      </c>
      <c r="H100" s="78" t="n">
        <v>1</v>
      </c>
    </row>
    <row r="101">
      <c r="B101" s="78" t="inlineStr">
        <is>
          <t>N429</t>
        </is>
      </c>
      <c r="C101" s="78" t="n">
        <v>427</v>
      </c>
      <c r="D101" s="78" t="inlineStr">
        <is>
          <t>A</t>
        </is>
      </c>
      <c r="E101" s="78" t="inlineStr">
        <is>
          <t>الشرقية</t>
        </is>
      </c>
      <c r="F101" s="78" t="inlineStr">
        <is>
          <t>الأحساء</t>
        </is>
      </c>
      <c r="G101" s="78" t="inlineStr">
        <is>
          <t>تحت 11</t>
        </is>
      </c>
      <c r="H101" s="78" t="n">
        <v>1</v>
      </c>
    </row>
    <row r="102">
      <c r="B102" s="78" t="inlineStr">
        <is>
          <t>N450</t>
        </is>
      </c>
      <c r="C102" s="78" t="n">
        <v>448</v>
      </c>
      <c r="D102" s="78" t="inlineStr">
        <is>
          <t>فريق النجوم</t>
        </is>
      </c>
      <c r="E102" s="78" t="inlineStr">
        <is>
          <t>الشرقية</t>
        </is>
      </c>
      <c r="F102" s="78" t="inlineStr">
        <is>
          <t>الأحساء</t>
        </is>
      </c>
      <c r="G102" s="78" t="inlineStr">
        <is>
          <t>تحت 11</t>
        </is>
      </c>
      <c r="H102" s="78" t="n">
        <v>1</v>
      </c>
    </row>
    <row r="103">
      <c r="B103" s="78" t="inlineStr">
        <is>
          <t>M94</t>
        </is>
      </c>
      <c r="C103" s="78" t="n">
        <v>92</v>
      </c>
      <c r="D103" s="78" t="inlineStr">
        <is>
          <t xml:space="preserve">نجوم الشعبة </t>
        </is>
      </c>
      <c r="E103" s="78" t="inlineStr">
        <is>
          <t>الشرقية</t>
        </is>
      </c>
      <c r="F103" s="78" t="inlineStr">
        <is>
          <t>الأحساء</t>
        </is>
      </c>
      <c r="G103" s="78" t="inlineStr">
        <is>
          <t>تحت 12</t>
        </is>
      </c>
      <c r="H103" s="78" t="n">
        <v>1</v>
      </c>
    </row>
    <row r="104">
      <c r="B104" s="78" t="inlineStr">
        <is>
          <t>M105</t>
        </is>
      </c>
      <c r="C104" s="78" t="n">
        <v>103</v>
      </c>
      <c r="D104" s="78" t="inlineStr">
        <is>
          <t>النسور الاحساء</t>
        </is>
      </c>
      <c r="E104" s="78" t="inlineStr">
        <is>
          <t>الشرقية</t>
        </is>
      </c>
      <c r="F104" s="78" t="inlineStr">
        <is>
          <t>الأحساء</t>
        </is>
      </c>
      <c r="G104" s="78" t="inlineStr">
        <is>
          <t>تحت 12</t>
        </is>
      </c>
      <c r="H104" s="78" t="n">
        <v>1</v>
      </c>
    </row>
    <row r="105">
      <c r="B105" s="78" t="inlineStr">
        <is>
          <t>M106</t>
        </is>
      </c>
      <c r="C105" s="78" t="n">
        <v>104</v>
      </c>
      <c r="D105" s="78" t="inlineStr">
        <is>
          <t>الازدهار</t>
        </is>
      </c>
      <c r="E105" s="78" t="inlineStr">
        <is>
          <t>الشرقية</t>
        </is>
      </c>
      <c r="F105" s="78" t="inlineStr">
        <is>
          <t>الأحساء</t>
        </is>
      </c>
      <c r="G105" s="78" t="inlineStr">
        <is>
          <t>تحت 12</t>
        </is>
      </c>
      <c r="H105" s="78" t="n">
        <v>1</v>
      </c>
    </row>
    <row r="106">
      <c r="B106" s="78" t="inlineStr">
        <is>
          <t>M142</t>
        </is>
      </c>
      <c r="C106" s="78" t="n">
        <v>140</v>
      </c>
      <c r="D106" s="78" t="inlineStr">
        <is>
          <t>HAJRAWY</t>
        </is>
      </c>
      <c r="E106" s="78" t="inlineStr">
        <is>
          <t>الشرقية</t>
        </is>
      </c>
      <c r="F106" s="78" t="inlineStr">
        <is>
          <t>الأحساء</t>
        </is>
      </c>
      <c r="G106" s="78" t="inlineStr">
        <is>
          <t>تحت 12</t>
        </is>
      </c>
      <c r="H106" s="78" t="n">
        <v>1</v>
      </c>
    </row>
    <row r="107">
      <c r="B107" s="78" t="inlineStr">
        <is>
          <t>M154</t>
        </is>
      </c>
      <c r="C107" s="78" t="n">
        <v>152</v>
      </c>
      <c r="D107" s="78" t="inlineStr">
        <is>
          <t xml:space="preserve">النور بالرميلة </t>
        </is>
      </c>
      <c r="E107" s="78" t="inlineStr">
        <is>
          <t>الشرقية</t>
        </is>
      </c>
      <c r="F107" s="78" t="inlineStr">
        <is>
          <t>الأحساء</t>
        </is>
      </c>
      <c r="G107" s="78" t="inlineStr">
        <is>
          <t>تحت 12</t>
        </is>
      </c>
      <c r="H107" s="78" t="n">
        <v>1</v>
      </c>
    </row>
    <row r="108">
      <c r="B108" s="78" t="inlineStr">
        <is>
          <t>M235</t>
        </is>
      </c>
      <c r="C108" s="78" t="n">
        <v>233</v>
      </c>
      <c r="D108" s="78" t="inlineStr">
        <is>
          <t xml:space="preserve">العهد الاسكان </t>
        </is>
      </c>
      <c r="E108" s="78" t="inlineStr">
        <is>
          <t>الشرقية</t>
        </is>
      </c>
      <c r="F108" s="78" t="inlineStr">
        <is>
          <t>الأحساء</t>
        </is>
      </c>
      <c r="G108" s="78" t="inlineStr">
        <is>
          <t>تحت 12</t>
        </is>
      </c>
      <c r="H108" s="78" t="n">
        <v>1</v>
      </c>
    </row>
    <row r="109">
      <c r="B109" s="78" t="inlineStr">
        <is>
          <t>M279</t>
        </is>
      </c>
      <c r="C109" s="78" t="n">
        <v>277</v>
      </c>
      <c r="D109" s="78" t="inlineStr">
        <is>
          <t>فريق النبراس</t>
        </is>
      </c>
      <c r="E109" s="78" t="inlineStr">
        <is>
          <t>الشرقية</t>
        </is>
      </c>
      <c r="F109" s="78" t="inlineStr">
        <is>
          <t>الأحساء</t>
        </is>
      </c>
      <c r="G109" s="78" t="inlineStr">
        <is>
          <t>تحت 12</t>
        </is>
      </c>
      <c r="H109" s="78" t="n">
        <v>1</v>
      </c>
    </row>
    <row r="110">
      <c r="B110" s="78" t="inlineStr">
        <is>
          <t>M298</t>
        </is>
      </c>
      <c r="C110" s="78" t="n">
        <v>296</v>
      </c>
      <c r="D110" s="78" t="inlineStr">
        <is>
          <t>خليج محاسن</t>
        </is>
      </c>
      <c r="E110" s="78" t="inlineStr">
        <is>
          <t>الشرقية</t>
        </is>
      </c>
      <c r="F110" s="78" t="inlineStr">
        <is>
          <t>الأحساء</t>
        </is>
      </c>
      <c r="G110" s="78" t="inlineStr">
        <is>
          <t>تحت 12</t>
        </is>
      </c>
      <c r="H110" s="78" t="n">
        <v>1</v>
      </c>
    </row>
    <row r="111">
      <c r="B111" s="78" t="inlineStr">
        <is>
          <t>M450</t>
        </is>
      </c>
      <c r="C111" s="78" t="n">
        <v>448</v>
      </c>
      <c r="D111" s="78" t="inlineStr">
        <is>
          <t>فريق النجوم</t>
        </is>
      </c>
      <c r="E111" s="78" t="inlineStr">
        <is>
          <t>الشرقية</t>
        </is>
      </c>
      <c r="F111" s="78" t="inlineStr">
        <is>
          <t>الأحساء</t>
        </is>
      </c>
      <c r="G111" s="78" t="inlineStr">
        <is>
          <t>تحت 12</t>
        </is>
      </c>
      <c r="H111" s="78" t="n">
        <v>1</v>
      </c>
    </row>
    <row r="112">
      <c r="B112" s="78" t="inlineStr">
        <is>
          <t>K97</t>
        </is>
      </c>
      <c r="C112" s="78" t="n">
        <v>95</v>
      </c>
      <c r="D112" s="78" t="inlineStr">
        <is>
          <t>التحدي</t>
        </is>
      </c>
      <c r="E112" s="78" t="inlineStr">
        <is>
          <t>جازان</t>
        </is>
      </c>
      <c r="F112" s="78" t="inlineStr">
        <is>
          <t>أحد المسارحة</t>
        </is>
      </c>
      <c r="G112" s="78" t="inlineStr">
        <is>
          <t>تحت 14</t>
        </is>
      </c>
      <c r="H112" s="78" t="n">
        <v>1</v>
      </c>
    </row>
    <row r="113">
      <c r="B113" s="78" t="inlineStr">
        <is>
          <t>K101</t>
        </is>
      </c>
      <c r="C113" s="78" t="n">
        <v>99</v>
      </c>
      <c r="D113" s="78" t="inlineStr">
        <is>
          <t xml:space="preserve">نجم الجنوب </t>
        </is>
      </c>
      <c r="E113" s="78" t="inlineStr">
        <is>
          <t>جازان</t>
        </is>
      </c>
      <c r="F113" s="78" t="inlineStr">
        <is>
          <t>أحد المسارحة</t>
        </is>
      </c>
      <c r="G113" s="78" t="inlineStr">
        <is>
          <t>تحت 14</t>
        </is>
      </c>
      <c r="H113" s="78" t="n">
        <v>1</v>
      </c>
    </row>
    <row r="114">
      <c r="B114" s="78" t="inlineStr">
        <is>
          <t>K110</t>
        </is>
      </c>
      <c r="C114" s="78" t="n">
        <v>108</v>
      </c>
      <c r="D114" s="78" t="inlineStr">
        <is>
          <t>برشلونة العكرة</t>
        </is>
      </c>
      <c r="E114" s="78" t="inlineStr">
        <is>
          <t>جازان</t>
        </is>
      </c>
      <c r="F114" s="78" t="inlineStr">
        <is>
          <t>أحد المسارحة</t>
        </is>
      </c>
      <c r="G114" s="78" t="inlineStr">
        <is>
          <t>تحت 14</t>
        </is>
      </c>
      <c r="H114" s="78" t="n">
        <v>1</v>
      </c>
    </row>
    <row r="115">
      <c r="B115" s="78" t="inlineStr">
        <is>
          <t>K112</t>
        </is>
      </c>
      <c r="C115" s="78" t="n">
        <v>110</v>
      </c>
      <c r="D115" s="78" t="inlineStr">
        <is>
          <t xml:space="preserve">النورس </t>
        </is>
      </c>
      <c r="E115" s="78" t="inlineStr">
        <is>
          <t>جازان</t>
        </is>
      </c>
      <c r="F115" s="78" t="inlineStr">
        <is>
          <t>أحد المسارحة</t>
        </is>
      </c>
      <c r="G115" s="78" t="inlineStr">
        <is>
          <t>تحت 14</t>
        </is>
      </c>
      <c r="H115" s="78" t="n">
        <v>1</v>
      </c>
    </row>
    <row r="116">
      <c r="B116" s="78" t="inlineStr">
        <is>
          <t>K116</t>
        </is>
      </c>
      <c r="C116" s="78" t="n">
        <v>114</v>
      </c>
      <c r="D116" s="78" t="inlineStr">
        <is>
          <t xml:space="preserve">البرازيل </t>
        </is>
      </c>
      <c r="E116" s="78" t="inlineStr">
        <is>
          <t>جازان</t>
        </is>
      </c>
      <c r="F116" s="78" t="inlineStr">
        <is>
          <t>أحد المسارحة</t>
        </is>
      </c>
      <c r="G116" s="78" t="inlineStr">
        <is>
          <t>تحت 14</t>
        </is>
      </c>
      <c r="H116" s="78" t="n">
        <v>1</v>
      </c>
    </row>
    <row r="117">
      <c r="B117" s="78" t="inlineStr">
        <is>
          <t>K241</t>
        </is>
      </c>
      <c r="C117" s="78" t="n">
        <v>239</v>
      </c>
      <c r="D117" s="78" t="inlineStr">
        <is>
          <t xml:space="preserve">البرازيل الوحلة </t>
        </is>
      </c>
      <c r="E117" s="78" t="inlineStr">
        <is>
          <t>جازان</t>
        </is>
      </c>
      <c r="F117" s="78" t="inlineStr">
        <is>
          <t>أحد المسارحة</t>
        </is>
      </c>
      <c r="G117" s="78" t="inlineStr">
        <is>
          <t>تحت 14</t>
        </is>
      </c>
      <c r="H117" s="78" t="n">
        <v>1</v>
      </c>
    </row>
    <row r="118">
      <c r="B118" s="78" t="inlineStr">
        <is>
          <t>K280</t>
        </is>
      </c>
      <c r="C118" s="78" t="n">
        <v>278</v>
      </c>
      <c r="D118" s="78" t="inlineStr">
        <is>
          <t>الشطيفية</t>
        </is>
      </c>
      <c r="E118" s="78" t="inlineStr">
        <is>
          <t>جازان</t>
        </is>
      </c>
      <c r="F118" s="78" t="inlineStr">
        <is>
          <t>أحد المسارحة</t>
        </is>
      </c>
      <c r="G118" s="78" t="inlineStr">
        <is>
          <t>تحت 14</t>
        </is>
      </c>
      <c r="H118" s="78" t="n">
        <v>1</v>
      </c>
    </row>
    <row r="119">
      <c r="B119" s="78" t="inlineStr">
        <is>
          <t>K283</t>
        </is>
      </c>
      <c r="C119" s="78" t="n">
        <v>281</v>
      </c>
      <c r="D119" s="78" t="inlineStr">
        <is>
          <t>الحصامة</t>
        </is>
      </c>
      <c r="E119" s="78" t="inlineStr">
        <is>
          <t>جازان</t>
        </is>
      </c>
      <c r="F119" s="78" t="inlineStr">
        <is>
          <t>أحد المسارحة</t>
        </is>
      </c>
      <c r="G119" s="78" t="inlineStr">
        <is>
          <t>تحت 14</t>
        </is>
      </c>
      <c r="H119" s="78" t="n">
        <v>1</v>
      </c>
    </row>
    <row r="120">
      <c r="B120" s="78" t="inlineStr">
        <is>
          <t>K285</t>
        </is>
      </c>
      <c r="C120" s="78" t="n">
        <v>283</v>
      </c>
      <c r="D120" s="78" t="inlineStr">
        <is>
          <t>سامبا الصوارمة</t>
        </is>
      </c>
      <c r="E120" s="78" t="inlineStr">
        <is>
          <t>جازان</t>
        </is>
      </c>
      <c r="F120" s="78" t="inlineStr">
        <is>
          <t>أحد المسارحة</t>
        </is>
      </c>
      <c r="G120" s="78" t="inlineStr">
        <is>
          <t>تحت 14</t>
        </is>
      </c>
      <c r="H120" s="78" t="n">
        <v>1</v>
      </c>
    </row>
    <row r="121">
      <c r="B121" s="78" t="inlineStr">
        <is>
          <t>K428</t>
        </is>
      </c>
      <c r="C121" s="78" t="n">
        <v>426</v>
      </c>
      <c r="D121" s="78" t="inlineStr">
        <is>
          <t>الجعدية</t>
        </is>
      </c>
      <c r="E121" s="78" t="inlineStr">
        <is>
          <t>جازان</t>
        </is>
      </c>
      <c r="F121" s="78" t="inlineStr">
        <is>
          <t>أحد المسارحة</t>
        </is>
      </c>
      <c r="G121" s="78" t="inlineStr">
        <is>
          <t>تحت 14</t>
        </is>
      </c>
      <c r="H121" s="78" t="n">
        <v>1</v>
      </c>
    </row>
    <row r="122">
      <c r="B122" s="78" t="inlineStr">
        <is>
          <t>L97</t>
        </is>
      </c>
      <c r="C122" s="78" t="n">
        <v>95</v>
      </c>
      <c r="D122" s="78" t="inlineStr">
        <is>
          <t>التحدي</t>
        </is>
      </c>
      <c r="E122" s="78" t="inlineStr">
        <is>
          <t>جازان</t>
        </is>
      </c>
      <c r="F122" s="78" t="inlineStr">
        <is>
          <t>أحد المسارحة</t>
        </is>
      </c>
      <c r="G122" s="78" t="inlineStr">
        <is>
          <t>تحت 13</t>
        </is>
      </c>
      <c r="H122" s="78" t="n">
        <v>1</v>
      </c>
    </row>
    <row r="123">
      <c r="B123" s="78" t="inlineStr">
        <is>
          <t>L101</t>
        </is>
      </c>
      <c r="C123" s="78" t="n">
        <v>99</v>
      </c>
      <c r="D123" s="78" t="inlineStr">
        <is>
          <t xml:space="preserve">نجم الجنوب </t>
        </is>
      </c>
      <c r="E123" s="78" t="inlineStr">
        <is>
          <t>جازان</t>
        </is>
      </c>
      <c r="F123" s="78" t="inlineStr">
        <is>
          <t>أحد المسارحة</t>
        </is>
      </c>
      <c r="G123" s="78" t="inlineStr">
        <is>
          <t>تحت 13</t>
        </is>
      </c>
      <c r="H123" s="78" t="n">
        <v>1</v>
      </c>
    </row>
    <row r="124">
      <c r="B124" s="78" t="inlineStr">
        <is>
          <t>L110</t>
        </is>
      </c>
      <c r="C124" s="78" t="n">
        <v>108</v>
      </c>
      <c r="D124" s="78" t="inlineStr">
        <is>
          <t>برشلونة العكرة</t>
        </is>
      </c>
      <c r="E124" s="78" t="inlineStr">
        <is>
          <t>جازان</t>
        </is>
      </c>
      <c r="F124" s="78" t="inlineStr">
        <is>
          <t>أحد المسارحة</t>
        </is>
      </c>
      <c r="G124" s="78" t="inlineStr">
        <is>
          <t>تحت 13</t>
        </is>
      </c>
      <c r="H124" s="78" t="n">
        <v>1</v>
      </c>
    </row>
    <row r="125">
      <c r="B125" s="78" t="inlineStr">
        <is>
          <t>L112</t>
        </is>
      </c>
      <c r="C125" s="78" t="n">
        <v>110</v>
      </c>
      <c r="D125" s="78" t="inlineStr">
        <is>
          <t xml:space="preserve">النورس </t>
        </is>
      </c>
      <c r="E125" s="78" t="inlineStr">
        <is>
          <t>جازان</t>
        </is>
      </c>
      <c r="F125" s="78" t="inlineStr">
        <is>
          <t>أحد المسارحة</t>
        </is>
      </c>
      <c r="G125" s="78" t="inlineStr">
        <is>
          <t>تحت 13</t>
        </is>
      </c>
      <c r="H125" s="78" t="n">
        <v>1</v>
      </c>
    </row>
    <row r="126">
      <c r="B126" s="78" t="inlineStr">
        <is>
          <t>L116</t>
        </is>
      </c>
      <c r="C126" s="78" t="n">
        <v>114</v>
      </c>
      <c r="D126" s="78" t="inlineStr">
        <is>
          <t xml:space="preserve">البرازيل </t>
        </is>
      </c>
      <c r="E126" s="78" t="inlineStr">
        <is>
          <t>جازان</t>
        </is>
      </c>
      <c r="F126" s="78" t="inlineStr">
        <is>
          <t>أحد المسارحة</t>
        </is>
      </c>
      <c r="G126" s="78" t="inlineStr">
        <is>
          <t>تحت 13</t>
        </is>
      </c>
      <c r="H126" s="78" t="n">
        <v>1</v>
      </c>
    </row>
    <row r="127">
      <c r="B127" s="78" t="inlineStr">
        <is>
          <t>L241</t>
        </is>
      </c>
      <c r="C127" s="78" t="n">
        <v>239</v>
      </c>
      <c r="D127" s="78" t="inlineStr">
        <is>
          <t xml:space="preserve">البرازيل الوحلة </t>
        </is>
      </c>
      <c r="E127" s="78" t="inlineStr">
        <is>
          <t>جازان</t>
        </is>
      </c>
      <c r="F127" s="78" t="inlineStr">
        <is>
          <t>أحد المسارحة</t>
        </is>
      </c>
      <c r="G127" s="78" t="inlineStr">
        <is>
          <t>تحت 13</t>
        </is>
      </c>
      <c r="H127" s="78" t="n">
        <v>1</v>
      </c>
    </row>
    <row r="128">
      <c r="B128" s="78" t="inlineStr">
        <is>
          <t>L280</t>
        </is>
      </c>
      <c r="C128" s="78" t="n">
        <v>278</v>
      </c>
      <c r="D128" s="78" t="inlineStr">
        <is>
          <t>الشطيفية</t>
        </is>
      </c>
      <c r="E128" s="78" t="inlineStr">
        <is>
          <t>جازان</t>
        </is>
      </c>
      <c r="F128" s="78" t="inlineStr">
        <is>
          <t>أحد المسارحة</t>
        </is>
      </c>
      <c r="G128" s="78" t="inlineStr">
        <is>
          <t>تحت 13</t>
        </is>
      </c>
      <c r="H128" s="78" t="n">
        <v>1</v>
      </c>
    </row>
    <row r="129">
      <c r="B129" s="78" t="inlineStr">
        <is>
          <t>L283</t>
        </is>
      </c>
      <c r="C129" s="78" t="n">
        <v>281</v>
      </c>
      <c r="D129" s="78" t="inlineStr">
        <is>
          <t>الحصامة</t>
        </is>
      </c>
      <c r="E129" s="78" t="inlineStr">
        <is>
          <t>جازان</t>
        </is>
      </c>
      <c r="F129" s="78" t="inlineStr">
        <is>
          <t>أحد المسارحة</t>
        </is>
      </c>
      <c r="G129" s="78" t="inlineStr">
        <is>
          <t>تحت 13</t>
        </is>
      </c>
      <c r="H129" s="78" t="n">
        <v>1</v>
      </c>
    </row>
    <row r="130">
      <c r="B130" s="78" t="inlineStr">
        <is>
          <t>L285</t>
        </is>
      </c>
      <c r="C130" s="78" t="n">
        <v>283</v>
      </c>
      <c r="D130" s="78" t="inlineStr">
        <is>
          <t>سامبا الصوارمة</t>
        </is>
      </c>
      <c r="E130" s="78" t="inlineStr">
        <is>
          <t>جازان</t>
        </is>
      </c>
      <c r="F130" s="78" t="inlineStr">
        <is>
          <t>أحد المسارحة</t>
        </is>
      </c>
      <c r="G130" s="78" t="inlineStr">
        <is>
          <t>تحت 13</t>
        </is>
      </c>
      <c r="H130" s="78" t="n">
        <v>1</v>
      </c>
    </row>
    <row r="131">
      <c r="B131" s="78" t="inlineStr">
        <is>
          <t>M97</t>
        </is>
      </c>
      <c r="C131" s="78" t="n">
        <v>95</v>
      </c>
      <c r="D131" s="78" t="inlineStr">
        <is>
          <t>التحدي</t>
        </is>
      </c>
      <c r="E131" s="78" t="inlineStr">
        <is>
          <t>جازان</t>
        </is>
      </c>
      <c r="F131" s="78" t="inlineStr">
        <is>
          <t>أحد المسارحة</t>
        </is>
      </c>
      <c r="G131" s="78" t="inlineStr">
        <is>
          <t>تحت 12</t>
        </is>
      </c>
      <c r="H131" s="78" t="n">
        <v>1</v>
      </c>
    </row>
    <row r="132">
      <c r="B132" s="78" t="inlineStr">
        <is>
          <t>M101</t>
        </is>
      </c>
      <c r="C132" s="78" t="n">
        <v>99</v>
      </c>
      <c r="D132" s="78" t="inlineStr">
        <is>
          <t xml:space="preserve">نجم الجنوب </t>
        </is>
      </c>
      <c r="E132" s="78" t="inlineStr">
        <is>
          <t>جازان</t>
        </is>
      </c>
      <c r="F132" s="78" t="inlineStr">
        <is>
          <t>أحد المسارحة</t>
        </is>
      </c>
      <c r="G132" s="78" t="inlineStr">
        <is>
          <t>تحت 12</t>
        </is>
      </c>
      <c r="H132" s="78" t="n">
        <v>1</v>
      </c>
    </row>
    <row r="133">
      <c r="B133" s="78" t="inlineStr">
        <is>
          <t>M110</t>
        </is>
      </c>
      <c r="C133" s="78" t="n">
        <v>108</v>
      </c>
      <c r="D133" s="78" t="inlineStr">
        <is>
          <t>برشلونة العكرة</t>
        </is>
      </c>
      <c r="E133" s="78" t="inlineStr">
        <is>
          <t>جازان</t>
        </is>
      </c>
      <c r="F133" s="78" t="inlineStr">
        <is>
          <t>أحد المسارحة</t>
        </is>
      </c>
      <c r="G133" s="78" t="inlineStr">
        <is>
          <t>تحت 12</t>
        </is>
      </c>
      <c r="H133" s="78" t="n">
        <v>1</v>
      </c>
    </row>
    <row r="134">
      <c r="B134" s="78" t="inlineStr">
        <is>
          <t>M112</t>
        </is>
      </c>
      <c r="C134" s="78" t="n">
        <v>110</v>
      </c>
      <c r="D134" s="78" t="inlineStr">
        <is>
          <t xml:space="preserve">النورس </t>
        </is>
      </c>
      <c r="E134" s="78" t="inlineStr">
        <is>
          <t>جازان</t>
        </is>
      </c>
      <c r="F134" s="78" t="inlineStr">
        <is>
          <t>أحد المسارحة</t>
        </is>
      </c>
      <c r="G134" s="78" t="inlineStr">
        <is>
          <t>تحت 12</t>
        </is>
      </c>
      <c r="H134" s="78" t="n">
        <v>1</v>
      </c>
    </row>
    <row r="135">
      <c r="B135" s="78" t="inlineStr">
        <is>
          <t>M116</t>
        </is>
      </c>
      <c r="C135" s="78" t="n">
        <v>114</v>
      </c>
      <c r="D135" s="78" t="inlineStr">
        <is>
          <t xml:space="preserve">البرازيل </t>
        </is>
      </c>
      <c r="E135" s="78" t="inlineStr">
        <is>
          <t>جازان</t>
        </is>
      </c>
      <c r="F135" s="78" t="inlineStr">
        <is>
          <t>أحد المسارحة</t>
        </is>
      </c>
      <c r="G135" s="78" t="inlineStr">
        <is>
          <t>تحت 12</t>
        </is>
      </c>
      <c r="H135" s="78" t="n">
        <v>1</v>
      </c>
    </row>
    <row r="136">
      <c r="B136" s="78" t="inlineStr">
        <is>
          <t>M241</t>
        </is>
      </c>
      <c r="C136" s="78" t="n">
        <v>239</v>
      </c>
      <c r="D136" s="78" t="inlineStr">
        <is>
          <t xml:space="preserve">البرازيل الوحلة </t>
        </is>
      </c>
      <c r="E136" s="78" t="inlineStr">
        <is>
          <t>جازان</t>
        </is>
      </c>
      <c r="F136" s="78" t="inlineStr">
        <is>
          <t>أحد المسارحة</t>
        </is>
      </c>
      <c r="G136" s="78" t="inlineStr">
        <is>
          <t>تحت 12</t>
        </is>
      </c>
      <c r="H136" s="78" t="n">
        <v>1</v>
      </c>
    </row>
    <row r="137">
      <c r="B137" s="78" t="inlineStr">
        <is>
          <t>M280</t>
        </is>
      </c>
      <c r="C137" s="78" t="n">
        <v>278</v>
      </c>
      <c r="D137" s="78" t="inlineStr">
        <is>
          <t>الشطيفية</t>
        </is>
      </c>
      <c r="E137" s="78" t="inlineStr">
        <is>
          <t>جازان</t>
        </is>
      </c>
      <c r="F137" s="78" t="inlineStr">
        <is>
          <t>أحد المسارحة</t>
        </is>
      </c>
      <c r="G137" s="78" t="inlineStr">
        <is>
          <t>تحت 12</t>
        </is>
      </c>
      <c r="H137" s="78" t="n">
        <v>1</v>
      </c>
    </row>
    <row r="138">
      <c r="B138" s="78" t="inlineStr">
        <is>
          <t>M283</t>
        </is>
      </c>
      <c r="C138" s="78" t="n">
        <v>281</v>
      </c>
      <c r="D138" s="78" t="inlineStr">
        <is>
          <t>الحصامة</t>
        </is>
      </c>
      <c r="E138" s="78" t="inlineStr">
        <is>
          <t>جازان</t>
        </is>
      </c>
      <c r="F138" s="78" t="inlineStr">
        <is>
          <t>أحد المسارحة</t>
        </is>
      </c>
      <c r="G138" s="78" t="inlineStr">
        <is>
          <t>تحت 12</t>
        </is>
      </c>
      <c r="H138" s="78" t="n">
        <v>1</v>
      </c>
    </row>
    <row r="139">
      <c r="B139" s="78" t="inlineStr">
        <is>
          <t>M285</t>
        </is>
      </c>
      <c r="C139" s="78" t="n">
        <v>283</v>
      </c>
      <c r="D139" s="78" t="inlineStr">
        <is>
          <t>سامبا الصوارمة</t>
        </is>
      </c>
      <c r="E139" s="78" t="inlineStr">
        <is>
          <t>جازان</t>
        </is>
      </c>
      <c r="F139" s="78" t="inlineStr">
        <is>
          <t>أحد المسارحة</t>
        </is>
      </c>
      <c r="G139" s="78" t="inlineStr">
        <is>
          <t>تحت 12</t>
        </is>
      </c>
      <c r="H139" s="78" t="n">
        <v>1</v>
      </c>
    </row>
    <row r="140">
      <c r="B140" s="78" t="inlineStr">
        <is>
          <t>N97</t>
        </is>
      </c>
      <c r="C140" s="78" t="n">
        <v>95</v>
      </c>
      <c r="D140" s="78" t="inlineStr">
        <is>
          <t>التحدي</t>
        </is>
      </c>
      <c r="E140" s="78" t="inlineStr">
        <is>
          <t>جازان</t>
        </is>
      </c>
      <c r="F140" s="78" t="inlineStr">
        <is>
          <t>أحد المسارحة</t>
        </is>
      </c>
      <c r="G140" s="78" t="inlineStr">
        <is>
          <t>تحت 11</t>
        </is>
      </c>
      <c r="H140" s="78" t="n">
        <v>1</v>
      </c>
    </row>
    <row r="141">
      <c r="B141" s="78" t="inlineStr">
        <is>
          <t>N101</t>
        </is>
      </c>
      <c r="C141" s="78" t="n">
        <v>99</v>
      </c>
      <c r="D141" s="78" t="inlineStr">
        <is>
          <t xml:space="preserve">نجم الجنوب </t>
        </is>
      </c>
      <c r="E141" s="78" t="inlineStr">
        <is>
          <t>جازان</t>
        </is>
      </c>
      <c r="F141" s="78" t="inlineStr">
        <is>
          <t>أحد المسارحة</t>
        </is>
      </c>
      <c r="G141" s="78" t="inlineStr">
        <is>
          <t>تحت 11</t>
        </is>
      </c>
      <c r="H141" s="78" t="n">
        <v>1</v>
      </c>
    </row>
    <row r="142">
      <c r="B142" s="78" t="inlineStr">
        <is>
          <t>N110</t>
        </is>
      </c>
      <c r="C142" s="78" t="n">
        <v>108</v>
      </c>
      <c r="D142" s="78" t="inlineStr">
        <is>
          <t>برشلونة العكرة</t>
        </is>
      </c>
      <c r="E142" s="78" t="inlineStr">
        <is>
          <t>جازان</t>
        </is>
      </c>
      <c r="F142" s="78" t="inlineStr">
        <is>
          <t>أحد المسارحة</t>
        </is>
      </c>
      <c r="G142" s="78" t="inlineStr">
        <is>
          <t>تحت 11</t>
        </is>
      </c>
      <c r="H142" s="78" t="n">
        <v>1</v>
      </c>
    </row>
    <row r="143">
      <c r="B143" s="78" t="inlineStr">
        <is>
          <t>N112</t>
        </is>
      </c>
      <c r="C143" s="78" t="n">
        <v>110</v>
      </c>
      <c r="D143" s="78" t="inlineStr">
        <is>
          <t xml:space="preserve">النورس </t>
        </is>
      </c>
      <c r="E143" s="78" t="inlineStr">
        <is>
          <t>جازان</t>
        </is>
      </c>
      <c r="F143" s="78" t="inlineStr">
        <is>
          <t>أحد المسارحة</t>
        </is>
      </c>
      <c r="G143" s="78" t="inlineStr">
        <is>
          <t>تحت 11</t>
        </is>
      </c>
      <c r="H143" s="78" t="n">
        <v>1</v>
      </c>
    </row>
    <row r="144">
      <c r="B144" s="78" t="inlineStr">
        <is>
          <t>N116</t>
        </is>
      </c>
      <c r="C144" s="78" t="n">
        <v>114</v>
      </c>
      <c r="D144" s="78" t="inlineStr">
        <is>
          <t xml:space="preserve">البرازيل </t>
        </is>
      </c>
      <c r="E144" s="78" t="inlineStr">
        <is>
          <t>جازان</t>
        </is>
      </c>
      <c r="F144" s="78" t="inlineStr">
        <is>
          <t>أحد المسارحة</t>
        </is>
      </c>
      <c r="G144" s="78" t="inlineStr">
        <is>
          <t>تحت 11</t>
        </is>
      </c>
      <c r="H144" s="78" t="n">
        <v>1</v>
      </c>
    </row>
    <row r="145">
      <c r="B145" s="78" t="inlineStr">
        <is>
          <t>N241</t>
        </is>
      </c>
      <c r="C145" s="78" t="n">
        <v>239</v>
      </c>
      <c r="D145" s="78" t="inlineStr">
        <is>
          <t xml:space="preserve">البرازيل الوحلة </t>
        </is>
      </c>
      <c r="E145" s="78" t="inlineStr">
        <is>
          <t>جازان</t>
        </is>
      </c>
      <c r="F145" s="78" t="inlineStr">
        <is>
          <t>أحد المسارحة</t>
        </is>
      </c>
      <c r="G145" s="78" t="inlineStr">
        <is>
          <t>تحت 11</t>
        </is>
      </c>
      <c r="H145" s="78" t="n">
        <v>1</v>
      </c>
    </row>
    <row r="146">
      <c r="B146" s="78" t="inlineStr">
        <is>
          <t>N280</t>
        </is>
      </c>
      <c r="C146" s="78" t="n">
        <v>278</v>
      </c>
      <c r="D146" s="78" t="inlineStr">
        <is>
          <t>الشطيفية</t>
        </is>
      </c>
      <c r="E146" s="78" t="inlineStr">
        <is>
          <t>جازان</t>
        </is>
      </c>
      <c r="F146" s="78" t="inlineStr">
        <is>
          <t>أحد المسارحة</t>
        </is>
      </c>
      <c r="G146" s="78" t="inlineStr">
        <is>
          <t>تحت 11</t>
        </is>
      </c>
      <c r="H146" s="78" t="n">
        <v>1</v>
      </c>
    </row>
    <row r="147">
      <c r="B147" s="78" t="inlineStr">
        <is>
          <t>N283</t>
        </is>
      </c>
      <c r="C147" s="78" t="n">
        <v>281</v>
      </c>
      <c r="D147" s="78" t="inlineStr">
        <is>
          <t>الحصامة</t>
        </is>
      </c>
      <c r="E147" s="78" t="inlineStr">
        <is>
          <t>جازان</t>
        </is>
      </c>
      <c r="F147" s="78" t="inlineStr">
        <is>
          <t>أحد المسارحة</t>
        </is>
      </c>
      <c r="G147" s="78" t="inlineStr">
        <is>
          <t>تحت 11</t>
        </is>
      </c>
      <c r="H147" s="78" t="n">
        <v>1</v>
      </c>
    </row>
    <row r="148">
      <c r="B148" s="78" t="inlineStr">
        <is>
          <t>N285</t>
        </is>
      </c>
      <c r="C148" s="78" t="n">
        <v>283</v>
      </c>
      <c r="D148" s="78" t="inlineStr">
        <is>
          <t>سامبا الصوارمة</t>
        </is>
      </c>
      <c r="E148" s="78" t="inlineStr">
        <is>
          <t>جازان</t>
        </is>
      </c>
      <c r="F148" s="78" t="inlineStr">
        <is>
          <t>أحد المسارحة</t>
        </is>
      </c>
      <c r="G148" s="78" t="inlineStr">
        <is>
          <t>تحت 11</t>
        </is>
      </c>
      <c r="H148" s="78" t="n">
        <v>1</v>
      </c>
    </row>
    <row r="149">
      <c r="B149" s="78" t="inlineStr">
        <is>
          <t>O97</t>
        </is>
      </c>
      <c r="C149" s="78" t="n">
        <v>95</v>
      </c>
      <c r="D149" s="78" t="inlineStr">
        <is>
          <t>التحدي</t>
        </is>
      </c>
      <c r="E149" s="78" t="inlineStr">
        <is>
          <t>جازان</t>
        </is>
      </c>
      <c r="F149" s="78" t="inlineStr">
        <is>
          <t>أحد المسارحة</t>
        </is>
      </c>
      <c r="G149" s="78" t="inlineStr">
        <is>
          <t>تحت 9</t>
        </is>
      </c>
      <c r="H149" s="78" t="n">
        <v>1</v>
      </c>
    </row>
    <row r="150">
      <c r="B150" s="78" t="inlineStr">
        <is>
          <t>O101</t>
        </is>
      </c>
      <c r="C150" s="78" t="n">
        <v>99</v>
      </c>
      <c r="D150" s="78" t="inlineStr">
        <is>
          <t xml:space="preserve">نجم الجنوب </t>
        </is>
      </c>
      <c r="E150" s="78" t="inlineStr">
        <is>
          <t>جازان</t>
        </is>
      </c>
      <c r="F150" s="78" t="inlineStr">
        <is>
          <t>أحد المسارحة</t>
        </is>
      </c>
      <c r="G150" s="78" t="inlineStr">
        <is>
          <t>تحت 9</t>
        </is>
      </c>
      <c r="H150" s="78" t="n">
        <v>1</v>
      </c>
    </row>
    <row r="151">
      <c r="B151" s="78" t="inlineStr">
        <is>
          <t>O110</t>
        </is>
      </c>
      <c r="C151" s="78" t="n">
        <v>108</v>
      </c>
      <c r="D151" s="78" t="inlineStr">
        <is>
          <t>برشلونة العكرة</t>
        </is>
      </c>
      <c r="E151" s="78" t="inlineStr">
        <is>
          <t>جازان</t>
        </is>
      </c>
      <c r="F151" s="78" t="inlineStr">
        <is>
          <t>أحد المسارحة</t>
        </is>
      </c>
      <c r="G151" s="78" t="inlineStr">
        <is>
          <t>تحت 9</t>
        </is>
      </c>
      <c r="H151" s="78" t="n">
        <v>1</v>
      </c>
    </row>
    <row r="152">
      <c r="B152" s="78" t="inlineStr">
        <is>
          <t>O112</t>
        </is>
      </c>
      <c r="C152" s="78" t="n">
        <v>110</v>
      </c>
      <c r="D152" s="78" t="inlineStr">
        <is>
          <t xml:space="preserve">النورس </t>
        </is>
      </c>
      <c r="E152" s="78" t="inlineStr">
        <is>
          <t>جازان</t>
        </is>
      </c>
      <c r="F152" s="78" t="inlineStr">
        <is>
          <t>أحد المسارحة</t>
        </is>
      </c>
      <c r="G152" s="78" t="inlineStr">
        <is>
          <t>تحت 9</t>
        </is>
      </c>
      <c r="H152" s="78" t="n">
        <v>1</v>
      </c>
    </row>
    <row r="153">
      <c r="B153" s="78" t="inlineStr">
        <is>
          <t>O116</t>
        </is>
      </c>
      <c r="C153" s="78" t="n">
        <v>114</v>
      </c>
      <c r="D153" s="78" t="inlineStr">
        <is>
          <t xml:space="preserve">البرازيل </t>
        </is>
      </c>
      <c r="E153" s="78" t="inlineStr">
        <is>
          <t>جازان</t>
        </is>
      </c>
      <c r="F153" s="78" t="inlineStr">
        <is>
          <t>أحد المسارحة</t>
        </is>
      </c>
      <c r="G153" s="78" t="inlineStr">
        <is>
          <t>تحت 9</t>
        </is>
      </c>
      <c r="H153" s="78" t="n">
        <v>1</v>
      </c>
    </row>
    <row r="154">
      <c r="B154" s="78" t="inlineStr">
        <is>
          <t>O241</t>
        </is>
      </c>
      <c r="C154" s="78" t="n">
        <v>239</v>
      </c>
      <c r="D154" s="78" t="inlineStr">
        <is>
          <t xml:space="preserve">البرازيل الوحلة </t>
        </is>
      </c>
      <c r="E154" s="78" t="inlineStr">
        <is>
          <t>جازان</t>
        </is>
      </c>
      <c r="F154" s="78" t="inlineStr">
        <is>
          <t>أحد المسارحة</t>
        </is>
      </c>
      <c r="G154" s="78" t="inlineStr">
        <is>
          <t>تحت 9</t>
        </is>
      </c>
      <c r="H154" s="78" t="n">
        <v>1</v>
      </c>
    </row>
    <row r="155">
      <c r="B155" s="78" t="inlineStr">
        <is>
          <t>O280</t>
        </is>
      </c>
      <c r="C155" s="78" t="n">
        <v>278</v>
      </c>
      <c r="D155" s="78" t="inlineStr">
        <is>
          <t>الشطيفية</t>
        </is>
      </c>
      <c r="E155" s="78" t="inlineStr">
        <is>
          <t>جازان</t>
        </is>
      </c>
      <c r="F155" s="78" t="inlineStr">
        <is>
          <t>أحد المسارحة</t>
        </is>
      </c>
      <c r="G155" s="78" t="inlineStr">
        <is>
          <t>تحت 9</t>
        </is>
      </c>
      <c r="H155" s="78" t="n">
        <v>1</v>
      </c>
    </row>
    <row r="156">
      <c r="B156" s="78" t="inlineStr">
        <is>
          <t>O283</t>
        </is>
      </c>
      <c r="C156" s="78" t="n">
        <v>281</v>
      </c>
      <c r="D156" s="78" t="inlineStr">
        <is>
          <t>الحصامة</t>
        </is>
      </c>
      <c r="E156" s="78" t="inlineStr">
        <is>
          <t>جازان</t>
        </is>
      </c>
      <c r="F156" s="78" t="inlineStr">
        <is>
          <t>أحد المسارحة</t>
        </is>
      </c>
      <c r="G156" s="78" t="inlineStr">
        <is>
          <t>تحت 9</t>
        </is>
      </c>
      <c r="H156" s="78" t="n">
        <v>1</v>
      </c>
    </row>
    <row r="157">
      <c r="B157" s="78" t="inlineStr">
        <is>
          <t>O285</t>
        </is>
      </c>
      <c r="C157" s="78" t="n">
        <v>283</v>
      </c>
      <c r="D157" s="78" t="inlineStr">
        <is>
          <t>سامبا الصوارمة</t>
        </is>
      </c>
      <c r="E157" s="78" t="inlineStr">
        <is>
          <t>جازان</t>
        </is>
      </c>
      <c r="F157" s="78" t="inlineStr">
        <is>
          <t>أحد المسارحة</t>
        </is>
      </c>
      <c r="G157" s="78" t="inlineStr">
        <is>
          <t>تحت 9</t>
        </is>
      </c>
      <c r="H157" s="78" t="n">
        <v>1</v>
      </c>
    </row>
    <row r="158">
      <c r="B158" s="78" t="inlineStr">
        <is>
          <t>P97</t>
        </is>
      </c>
      <c r="C158" s="78" t="n">
        <v>95</v>
      </c>
      <c r="D158" s="78" t="inlineStr">
        <is>
          <t>التحدي</t>
        </is>
      </c>
      <c r="E158" s="78" t="inlineStr">
        <is>
          <t>جازان</t>
        </is>
      </c>
      <c r="F158" s="78" t="inlineStr">
        <is>
          <t>أحد المسارحة</t>
        </is>
      </c>
      <c r="G158" s="78" t="inlineStr">
        <is>
          <t>تحت 7</t>
        </is>
      </c>
      <c r="H158" s="78" t="n">
        <v>1</v>
      </c>
    </row>
    <row r="159">
      <c r="B159" s="78" t="inlineStr">
        <is>
          <t>P101</t>
        </is>
      </c>
      <c r="C159" s="78" t="n">
        <v>99</v>
      </c>
      <c r="D159" s="78" t="inlineStr">
        <is>
          <t xml:space="preserve">نجم الجنوب </t>
        </is>
      </c>
      <c r="E159" s="78" t="inlineStr">
        <is>
          <t>جازان</t>
        </is>
      </c>
      <c r="F159" s="78" t="inlineStr">
        <is>
          <t>أحد المسارحة</t>
        </is>
      </c>
      <c r="G159" s="78" t="inlineStr">
        <is>
          <t>تحت 7</t>
        </is>
      </c>
      <c r="H159" s="78" t="n">
        <v>1</v>
      </c>
    </row>
    <row r="160">
      <c r="B160" s="78" t="inlineStr">
        <is>
          <t>P110</t>
        </is>
      </c>
      <c r="C160" s="78" t="n">
        <v>108</v>
      </c>
      <c r="D160" s="78" t="inlineStr">
        <is>
          <t>برشلونة العكرة</t>
        </is>
      </c>
      <c r="E160" s="78" t="inlineStr">
        <is>
          <t>جازان</t>
        </is>
      </c>
      <c r="F160" s="78" t="inlineStr">
        <is>
          <t>أحد المسارحة</t>
        </is>
      </c>
      <c r="G160" s="78" t="inlineStr">
        <is>
          <t>تحت 7</t>
        </is>
      </c>
      <c r="H160" s="78" t="n">
        <v>1</v>
      </c>
    </row>
    <row r="161">
      <c r="B161" s="78" t="inlineStr">
        <is>
          <t>P112</t>
        </is>
      </c>
      <c r="C161" s="78" t="n">
        <v>110</v>
      </c>
      <c r="D161" s="78" t="inlineStr">
        <is>
          <t xml:space="preserve">النورس </t>
        </is>
      </c>
      <c r="E161" s="78" t="inlineStr">
        <is>
          <t>جازان</t>
        </is>
      </c>
      <c r="F161" s="78" t="inlineStr">
        <is>
          <t>أحد المسارحة</t>
        </is>
      </c>
      <c r="G161" s="78" t="inlineStr">
        <is>
          <t>تحت 7</t>
        </is>
      </c>
      <c r="H161" s="78" t="n">
        <v>1</v>
      </c>
    </row>
    <row r="162">
      <c r="B162" s="78" t="inlineStr">
        <is>
          <t>P116</t>
        </is>
      </c>
      <c r="C162" s="78" t="n">
        <v>114</v>
      </c>
      <c r="D162" s="78" t="inlineStr">
        <is>
          <t xml:space="preserve">البرازيل </t>
        </is>
      </c>
      <c r="E162" s="78" t="inlineStr">
        <is>
          <t>جازان</t>
        </is>
      </c>
      <c r="F162" s="78" t="inlineStr">
        <is>
          <t>أحد المسارحة</t>
        </is>
      </c>
      <c r="G162" s="78" t="inlineStr">
        <is>
          <t>تحت 7</t>
        </is>
      </c>
      <c r="H162" s="78" t="n">
        <v>1</v>
      </c>
    </row>
    <row r="163">
      <c r="B163" s="78" t="inlineStr">
        <is>
          <t>P241</t>
        </is>
      </c>
      <c r="C163" s="78" t="n">
        <v>239</v>
      </c>
      <c r="D163" s="78" t="inlineStr">
        <is>
          <t xml:space="preserve">البرازيل الوحلة </t>
        </is>
      </c>
      <c r="E163" s="78" t="inlineStr">
        <is>
          <t>جازان</t>
        </is>
      </c>
      <c r="F163" s="78" t="inlineStr">
        <is>
          <t>أحد المسارحة</t>
        </is>
      </c>
      <c r="G163" s="78" t="inlineStr">
        <is>
          <t>تحت 7</t>
        </is>
      </c>
      <c r="H163" s="78" t="n">
        <v>1</v>
      </c>
    </row>
    <row r="164">
      <c r="B164" s="78" t="inlineStr">
        <is>
          <t>P280</t>
        </is>
      </c>
      <c r="C164" s="78" t="n">
        <v>278</v>
      </c>
      <c r="D164" s="78" t="inlineStr">
        <is>
          <t>الشطيفية</t>
        </is>
      </c>
      <c r="E164" s="78" t="inlineStr">
        <is>
          <t>جازان</t>
        </is>
      </c>
      <c r="F164" s="78" t="inlineStr">
        <is>
          <t>أحد المسارحة</t>
        </is>
      </c>
      <c r="G164" s="78" t="inlineStr">
        <is>
          <t>تحت 7</t>
        </is>
      </c>
      <c r="H164" s="78" t="n">
        <v>1</v>
      </c>
    </row>
    <row r="165">
      <c r="B165" s="78" t="inlineStr">
        <is>
          <t>P283</t>
        </is>
      </c>
      <c r="C165" s="78" t="n">
        <v>281</v>
      </c>
      <c r="D165" s="78" t="inlineStr">
        <is>
          <t>الحصامة</t>
        </is>
      </c>
      <c r="E165" s="78" t="inlineStr">
        <is>
          <t>جازان</t>
        </is>
      </c>
      <c r="F165" s="78" t="inlineStr">
        <is>
          <t>أحد المسارحة</t>
        </is>
      </c>
      <c r="G165" s="78" t="inlineStr">
        <is>
          <t>تحت 7</t>
        </is>
      </c>
      <c r="H165" s="78" t="n">
        <v>1</v>
      </c>
    </row>
    <row r="166">
      <c r="B166" s="78" t="inlineStr">
        <is>
          <t>P285</t>
        </is>
      </c>
      <c r="C166" s="78" t="n">
        <v>283</v>
      </c>
      <c r="D166" s="78" t="inlineStr">
        <is>
          <t>سامبا الصوارمة</t>
        </is>
      </c>
      <c r="E166" s="78" t="inlineStr">
        <is>
          <t>جازان</t>
        </is>
      </c>
      <c r="F166" s="78" t="inlineStr">
        <is>
          <t>أحد المسارحة</t>
        </is>
      </c>
      <c r="G166" s="78" t="inlineStr">
        <is>
          <t>تحت 7</t>
        </is>
      </c>
      <c r="H166" s="78" t="n">
        <v>1</v>
      </c>
    </row>
    <row r="167">
      <c r="B167" s="78" t="inlineStr">
        <is>
          <t>Q97</t>
        </is>
      </c>
      <c r="C167" s="78" t="n">
        <v>95</v>
      </c>
      <c r="D167" s="78" t="inlineStr">
        <is>
          <t>التحدي</t>
        </is>
      </c>
      <c r="E167" s="78" t="inlineStr">
        <is>
          <t>جازان</t>
        </is>
      </c>
      <c r="F167" s="78" t="inlineStr">
        <is>
          <t>أحد المسارحة</t>
        </is>
      </c>
      <c r="G167" s="78" t="inlineStr">
        <is>
          <t>تحت 5</t>
        </is>
      </c>
      <c r="H167" s="78" t="n">
        <v>1</v>
      </c>
    </row>
    <row r="168">
      <c r="B168" s="78" t="inlineStr">
        <is>
          <t>Q101</t>
        </is>
      </c>
      <c r="C168" s="78" t="n">
        <v>99</v>
      </c>
      <c r="D168" s="78" t="inlineStr">
        <is>
          <t xml:space="preserve">نجم الجنوب </t>
        </is>
      </c>
      <c r="E168" s="78" t="inlineStr">
        <is>
          <t>جازان</t>
        </is>
      </c>
      <c r="F168" s="78" t="inlineStr">
        <is>
          <t>أحد المسارحة</t>
        </is>
      </c>
      <c r="G168" s="78" t="inlineStr">
        <is>
          <t>تحت 5</t>
        </is>
      </c>
      <c r="H168" s="78" t="n">
        <v>1</v>
      </c>
    </row>
    <row r="169">
      <c r="B169" s="78" t="inlineStr">
        <is>
          <t>Q110</t>
        </is>
      </c>
      <c r="C169" s="78" t="n">
        <v>108</v>
      </c>
      <c r="D169" s="78" t="inlineStr">
        <is>
          <t>برشلونة العكرة</t>
        </is>
      </c>
      <c r="E169" s="78" t="inlineStr">
        <is>
          <t>جازان</t>
        </is>
      </c>
      <c r="F169" s="78" t="inlineStr">
        <is>
          <t>أحد المسارحة</t>
        </is>
      </c>
      <c r="G169" s="78" t="inlineStr">
        <is>
          <t>تحت 5</t>
        </is>
      </c>
      <c r="H169" s="78" t="n">
        <v>1</v>
      </c>
    </row>
    <row r="170">
      <c r="B170" s="78" t="inlineStr">
        <is>
          <t>Q112</t>
        </is>
      </c>
      <c r="C170" s="78" t="n">
        <v>110</v>
      </c>
      <c r="D170" s="78" t="inlineStr">
        <is>
          <t xml:space="preserve">النورس </t>
        </is>
      </c>
      <c r="E170" s="78" t="inlineStr">
        <is>
          <t>جازان</t>
        </is>
      </c>
      <c r="F170" s="78" t="inlineStr">
        <is>
          <t>أحد المسارحة</t>
        </is>
      </c>
      <c r="G170" s="78" t="inlineStr">
        <is>
          <t>تحت 5</t>
        </is>
      </c>
      <c r="H170" s="78" t="n">
        <v>1</v>
      </c>
    </row>
    <row r="171">
      <c r="B171" s="78" t="inlineStr">
        <is>
          <t>Q116</t>
        </is>
      </c>
      <c r="C171" s="78" t="n">
        <v>114</v>
      </c>
      <c r="D171" s="78" t="inlineStr">
        <is>
          <t xml:space="preserve">البرازيل </t>
        </is>
      </c>
      <c r="E171" s="78" t="inlineStr">
        <is>
          <t>جازان</t>
        </is>
      </c>
      <c r="F171" s="78" t="inlineStr">
        <is>
          <t>أحد المسارحة</t>
        </is>
      </c>
      <c r="G171" s="78" t="inlineStr">
        <is>
          <t>تحت 5</t>
        </is>
      </c>
      <c r="H171" s="78" t="n">
        <v>1</v>
      </c>
    </row>
    <row r="172">
      <c r="B172" s="78" t="inlineStr">
        <is>
          <t>Q241</t>
        </is>
      </c>
      <c r="C172" s="78" t="n">
        <v>239</v>
      </c>
      <c r="D172" s="78" t="inlineStr">
        <is>
          <t xml:space="preserve">البرازيل الوحلة </t>
        </is>
      </c>
      <c r="E172" s="78" t="inlineStr">
        <is>
          <t>جازان</t>
        </is>
      </c>
      <c r="F172" s="78" t="inlineStr">
        <is>
          <t>أحد المسارحة</t>
        </is>
      </c>
      <c r="G172" s="78" t="inlineStr">
        <is>
          <t>تحت 5</t>
        </is>
      </c>
      <c r="H172" s="78" t="n">
        <v>1</v>
      </c>
    </row>
    <row r="173">
      <c r="B173" s="78" t="inlineStr">
        <is>
          <t>Q280</t>
        </is>
      </c>
      <c r="C173" s="78" t="n">
        <v>278</v>
      </c>
      <c r="D173" s="78" t="inlineStr">
        <is>
          <t>الشطيفية</t>
        </is>
      </c>
      <c r="E173" s="78" t="inlineStr">
        <is>
          <t>جازان</t>
        </is>
      </c>
      <c r="F173" s="78" t="inlineStr">
        <is>
          <t>أحد المسارحة</t>
        </is>
      </c>
      <c r="G173" s="78" t="inlineStr">
        <is>
          <t>تحت 5</t>
        </is>
      </c>
      <c r="H173" s="78" t="n">
        <v>1</v>
      </c>
    </row>
    <row r="174">
      <c r="B174" s="78" t="inlineStr">
        <is>
          <t>Q283</t>
        </is>
      </c>
      <c r="C174" s="78" t="n">
        <v>281</v>
      </c>
      <c r="D174" s="78" t="inlineStr">
        <is>
          <t>الحصامة</t>
        </is>
      </c>
      <c r="E174" s="78" t="inlineStr">
        <is>
          <t>جازان</t>
        </is>
      </c>
      <c r="F174" s="78" t="inlineStr">
        <is>
          <t>أحد المسارحة</t>
        </is>
      </c>
      <c r="G174" s="78" t="inlineStr">
        <is>
          <t>تحت 5</t>
        </is>
      </c>
      <c r="H174" s="78" t="n">
        <v>1</v>
      </c>
    </row>
    <row r="175">
      <c r="B175" s="78" t="inlineStr">
        <is>
          <t>Q285</t>
        </is>
      </c>
      <c r="C175" s="78" t="n">
        <v>283</v>
      </c>
      <c r="D175" s="78" t="inlineStr">
        <is>
          <t>سامبا الصوارمة</t>
        </is>
      </c>
      <c r="E175" s="78" t="inlineStr">
        <is>
          <t>جازان</t>
        </is>
      </c>
      <c r="F175" s="78" t="inlineStr">
        <is>
          <t>أحد المسارحة</t>
        </is>
      </c>
      <c r="G175" s="78" t="inlineStr">
        <is>
          <t>تحت 5</t>
        </is>
      </c>
      <c r="H175" s="78" t="n">
        <v>1</v>
      </c>
    </row>
    <row r="176">
      <c r="B176" s="78" t="inlineStr">
        <is>
          <t>K98</t>
        </is>
      </c>
      <c r="C176" s="78" t="n">
        <v>96</v>
      </c>
      <c r="D176" s="78" t="inlineStr">
        <is>
          <t>الطوال</t>
        </is>
      </c>
      <c r="E176" s="78" t="inlineStr">
        <is>
          <t>جازان</t>
        </is>
      </c>
      <c r="F176" s="78" t="inlineStr">
        <is>
          <t>صامطة</t>
        </is>
      </c>
      <c r="G176" s="78" t="inlineStr">
        <is>
          <t>تحت 14</t>
        </is>
      </c>
      <c r="H176" s="78" t="n">
        <v>1</v>
      </c>
    </row>
    <row r="177">
      <c r="B177" s="78" t="inlineStr">
        <is>
          <t>K107</t>
        </is>
      </c>
      <c r="C177" s="78" t="n">
        <v>105</v>
      </c>
      <c r="D177" s="78" t="inlineStr">
        <is>
          <t xml:space="preserve">عربي المباركة </t>
        </is>
      </c>
      <c r="E177" s="78" t="inlineStr">
        <is>
          <t>جازان</t>
        </is>
      </c>
      <c r="F177" s="78" t="inlineStr">
        <is>
          <t>صامطة</t>
        </is>
      </c>
      <c r="G177" s="78" t="inlineStr">
        <is>
          <t>تحت 14</t>
        </is>
      </c>
      <c r="H177" s="78" t="n">
        <v>1</v>
      </c>
    </row>
    <row r="178">
      <c r="B178" s="78" t="inlineStr">
        <is>
          <t>K138</t>
        </is>
      </c>
      <c r="C178" s="78" t="n">
        <v>136</v>
      </c>
      <c r="D178" s="78" t="inlineStr">
        <is>
          <t>تعاون القيوس</t>
        </is>
      </c>
      <c r="E178" s="78" t="inlineStr">
        <is>
          <t>جازان</t>
        </is>
      </c>
      <c r="F178" s="78" t="inlineStr">
        <is>
          <t>صامطة</t>
        </is>
      </c>
      <c r="G178" s="78" t="inlineStr">
        <is>
          <t>تحت 14</t>
        </is>
      </c>
      <c r="H178" s="78" t="n">
        <v>1</v>
      </c>
    </row>
    <row r="179">
      <c r="B179" s="78" t="inlineStr">
        <is>
          <t>K152</t>
        </is>
      </c>
      <c r="C179" s="78" t="n">
        <v>150</v>
      </c>
      <c r="D179" s="78" t="inlineStr">
        <is>
          <t xml:space="preserve">التحدي صامطة </t>
        </is>
      </c>
      <c r="E179" s="78" t="inlineStr">
        <is>
          <t>جازان</t>
        </is>
      </c>
      <c r="F179" s="78" t="inlineStr">
        <is>
          <t>صامطة</t>
        </is>
      </c>
      <c r="G179" s="78" t="inlineStr">
        <is>
          <t>تحت 14</t>
        </is>
      </c>
      <c r="H179" s="78" t="n">
        <v>1</v>
      </c>
    </row>
    <row r="180">
      <c r="B180" s="78" t="inlineStr">
        <is>
          <t>K158</t>
        </is>
      </c>
      <c r="C180" s="78" t="n">
        <v>156</v>
      </c>
      <c r="D180" s="78" t="inlineStr">
        <is>
          <t xml:space="preserve">نابولي المباركة </t>
        </is>
      </c>
      <c r="E180" s="78" t="inlineStr">
        <is>
          <t>جازان</t>
        </is>
      </c>
      <c r="F180" s="78" t="inlineStr">
        <is>
          <t>صامطة</t>
        </is>
      </c>
      <c r="G180" s="78" t="inlineStr">
        <is>
          <t>تحت 14</t>
        </is>
      </c>
      <c r="H180" s="78" t="n">
        <v>1</v>
      </c>
    </row>
    <row r="181">
      <c r="B181" s="78" t="inlineStr">
        <is>
          <t>K161</t>
        </is>
      </c>
      <c r="C181" s="78" t="n">
        <v>159</v>
      </c>
      <c r="D181" s="78" t="inlineStr">
        <is>
          <t>الواسط صامطة جازان</t>
        </is>
      </c>
      <c r="E181" s="78" t="inlineStr">
        <is>
          <t>جازان</t>
        </is>
      </c>
      <c r="F181" s="78" t="inlineStr">
        <is>
          <t>صامطة</t>
        </is>
      </c>
      <c r="G181" s="78" t="inlineStr">
        <is>
          <t>تحت 14</t>
        </is>
      </c>
      <c r="H181" s="78" t="n">
        <v>1</v>
      </c>
    </row>
    <row r="182">
      <c r="B182" s="78" t="inlineStr">
        <is>
          <t>K176</t>
        </is>
      </c>
      <c r="C182" s="78" t="n">
        <v>174</v>
      </c>
      <c r="D182" s="78" t="inlineStr">
        <is>
          <t>عربي الموسم</t>
        </is>
      </c>
      <c r="E182" s="78" t="inlineStr">
        <is>
          <t>جازان</t>
        </is>
      </c>
      <c r="F182" s="78" t="inlineStr">
        <is>
          <t>صامطة</t>
        </is>
      </c>
      <c r="G182" s="78" t="inlineStr">
        <is>
          <t>تحت 14</t>
        </is>
      </c>
      <c r="H182" s="78" t="n">
        <v>1</v>
      </c>
    </row>
    <row r="183">
      <c r="B183" s="78" t="inlineStr">
        <is>
          <t>K184</t>
        </is>
      </c>
      <c r="C183" s="78" t="n">
        <v>182</v>
      </c>
      <c r="D183" s="78" t="inlineStr">
        <is>
          <t xml:space="preserve">الدريعة </t>
        </is>
      </c>
      <c r="E183" s="78" t="inlineStr">
        <is>
          <t>جازان</t>
        </is>
      </c>
      <c r="F183" s="78" t="inlineStr">
        <is>
          <t>صامطة</t>
        </is>
      </c>
      <c r="G183" s="78" t="inlineStr">
        <is>
          <t>تحت 14</t>
        </is>
      </c>
      <c r="H183" s="78" t="n">
        <v>1</v>
      </c>
    </row>
    <row r="184">
      <c r="B184" s="78" t="inlineStr">
        <is>
          <t>K188</t>
        </is>
      </c>
      <c r="C184" s="78" t="n">
        <v>186</v>
      </c>
      <c r="D184" s="78" t="inlineStr">
        <is>
          <t xml:space="preserve">الجاضع </t>
        </is>
      </c>
      <c r="E184" s="78" t="inlineStr">
        <is>
          <t>جازان</t>
        </is>
      </c>
      <c r="F184" s="78" t="inlineStr">
        <is>
          <t>صامطة</t>
        </is>
      </c>
      <c r="G184" s="78" t="inlineStr">
        <is>
          <t>تحت 14</t>
        </is>
      </c>
      <c r="H184" s="78" t="n">
        <v>1</v>
      </c>
    </row>
    <row r="185">
      <c r="B185" s="78" t="inlineStr">
        <is>
          <t>K189</t>
        </is>
      </c>
      <c r="C185" s="78" t="n">
        <v>187</v>
      </c>
      <c r="D185" s="78" t="inlineStr">
        <is>
          <t>البدوي</t>
        </is>
      </c>
      <c r="E185" s="78" t="inlineStr">
        <is>
          <t>جازان</t>
        </is>
      </c>
      <c r="F185" s="78" t="inlineStr">
        <is>
          <t>صامطة</t>
        </is>
      </c>
      <c r="G185" s="78" t="inlineStr">
        <is>
          <t>تحت 14</t>
        </is>
      </c>
      <c r="H185" s="78" t="n">
        <v>1</v>
      </c>
    </row>
    <row r="186">
      <c r="B186" s="78" t="inlineStr">
        <is>
          <t>K532</t>
        </is>
      </c>
      <c r="C186" s="78" t="n">
        <v>530</v>
      </c>
      <c r="D186" s="78" t="inlineStr">
        <is>
          <t>مجعر</t>
        </is>
      </c>
      <c r="E186" s="78" t="inlineStr">
        <is>
          <t>جازان</t>
        </is>
      </c>
      <c r="F186" s="78" t="inlineStr">
        <is>
          <t>صامطة</t>
        </is>
      </c>
      <c r="G186" s="78" t="inlineStr">
        <is>
          <t>تحت 14</t>
        </is>
      </c>
      <c r="H186" s="78" t="n">
        <v>1</v>
      </c>
    </row>
    <row r="187">
      <c r="B187" s="78" t="inlineStr">
        <is>
          <t>L98</t>
        </is>
      </c>
      <c r="C187" s="78" t="n">
        <v>96</v>
      </c>
      <c r="D187" s="78" t="inlineStr">
        <is>
          <t>الطوال</t>
        </is>
      </c>
      <c r="E187" s="78" t="inlineStr">
        <is>
          <t>جازان</t>
        </is>
      </c>
      <c r="F187" s="78" t="inlineStr">
        <is>
          <t>صامطة</t>
        </is>
      </c>
      <c r="G187" s="78" t="inlineStr">
        <is>
          <t>تحت 13</t>
        </is>
      </c>
      <c r="H187" s="78" t="n">
        <v>1</v>
      </c>
    </row>
    <row r="188">
      <c r="B188" s="78" t="inlineStr">
        <is>
          <t>L107</t>
        </is>
      </c>
      <c r="C188" s="78" t="n">
        <v>105</v>
      </c>
      <c r="D188" s="78" t="inlineStr">
        <is>
          <t xml:space="preserve">عربي المباركة </t>
        </is>
      </c>
      <c r="E188" s="78" t="inlineStr">
        <is>
          <t>جازان</t>
        </is>
      </c>
      <c r="F188" s="78" t="inlineStr">
        <is>
          <t>صامطة</t>
        </is>
      </c>
      <c r="G188" s="78" t="inlineStr">
        <is>
          <t>تحت 13</t>
        </is>
      </c>
      <c r="H188" s="78" t="n">
        <v>1</v>
      </c>
    </row>
    <row r="189">
      <c r="B189" s="78" t="inlineStr">
        <is>
          <t>L138</t>
        </is>
      </c>
      <c r="C189" s="78" t="n">
        <v>136</v>
      </c>
      <c r="D189" s="78" t="inlineStr">
        <is>
          <t>تعاون القيوس</t>
        </is>
      </c>
      <c r="E189" s="78" t="inlineStr">
        <is>
          <t>جازان</t>
        </is>
      </c>
      <c r="F189" s="78" t="inlineStr">
        <is>
          <t>صامطة</t>
        </is>
      </c>
      <c r="G189" s="78" t="inlineStr">
        <is>
          <t>تحت 13</t>
        </is>
      </c>
      <c r="H189" s="78" t="n">
        <v>1</v>
      </c>
    </row>
    <row r="190">
      <c r="B190" s="78" t="inlineStr">
        <is>
          <t>L152</t>
        </is>
      </c>
      <c r="C190" s="78" t="n">
        <v>150</v>
      </c>
      <c r="D190" s="78" t="inlineStr">
        <is>
          <t xml:space="preserve">التحدي صامطة </t>
        </is>
      </c>
      <c r="E190" s="78" t="inlineStr">
        <is>
          <t>جازان</t>
        </is>
      </c>
      <c r="F190" s="78" t="inlineStr">
        <is>
          <t>صامطة</t>
        </is>
      </c>
      <c r="G190" s="78" t="inlineStr">
        <is>
          <t>تحت 13</t>
        </is>
      </c>
      <c r="H190" s="78" t="n">
        <v>1</v>
      </c>
    </row>
    <row r="191">
      <c r="B191" s="78" t="inlineStr">
        <is>
          <t>L158</t>
        </is>
      </c>
      <c r="C191" s="78" t="n">
        <v>156</v>
      </c>
      <c r="D191" s="78" t="inlineStr">
        <is>
          <t xml:space="preserve">نابولي المباركة </t>
        </is>
      </c>
      <c r="E191" s="78" t="inlineStr">
        <is>
          <t>جازان</t>
        </is>
      </c>
      <c r="F191" s="78" t="inlineStr">
        <is>
          <t>صامطة</t>
        </is>
      </c>
      <c r="G191" s="78" t="inlineStr">
        <is>
          <t>تحت 13</t>
        </is>
      </c>
      <c r="H191" s="78" t="n">
        <v>1</v>
      </c>
    </row>
    <row r="192">
      <c r="B192" s="78" t="inlineStr">
        <is>
          <t>L161</t>
        </is>
      </c>
      <c r="C192" s="78" t="n">
        <v>159</v>
      </c>
      <c r="D192" s="78" t="inlineStr">
        <is>
          <t>الواسط صامطة جازان</t>
        </is>
      </c>
      <c r="E192" s="78" t="inlineStr">
        <is>
          <t>جازان</t>
        </is>
      </c>
      <c r="F192" s="78" t="inlineStr">
        <is>
          <t>صامطة</t>
        </is>
      </c>
      <c r="G192" s="78" t="inlineStr">
        <is>
          <t>تحت 13</t>
        </is>
      </c>
      <c r="H192" s="78" t="n">
        <v>1</v>
      </c>
    </row>
    <row r="193">
      <c r="B193" s="78" t="inlineStr">
        <is>
          <t>L176</t>
        </is>
      </c>
      <c r="C193" s="78" t="n">
        <v>174</v>
      </c>
      <c r="D193" s="78" t="inlineStr">
        <is>
          <t>عربي الموسم</t>
        </is>
      </c>
      <c r="E193" s="78" t="inlineStr">
        <is>
          <t>جازان</t>
        </is>
      </c>
      <c r="F193" s="78" t="inlineStr">
        <is>
          <t>صامطة</t>
        </is>
      </c>
      <c r="G193" s="78" t="inlineStr">
        <is>
          <t>تحت 13</t>
        </is>
      </c>
      <c r="H193" s="78" t="n">
        <v>1</v>
      </c>
    </row>
    <row r="194">
      <c r="B194" s="78" t="inlineStr">
        <is>
          <t>L184</t>
        </is>
      </c>
      <c r="C194" s="78" t="n">
        <v>182</v>
      </c>
      <c r="D194" s="78" t="inlineStr">
        <is>
          <t xml:space="preserve">الدريعة </t>
        </is>
      </c>
      <c r="E194" s="78" t="inlineStr">
        <is>
          <t>جازان</t>
        </is>
      </c>
      <c r="F194" s="78" t="inlineStr">
        <is>
          <t>صامطة</t>
        </is>
      </c>
      <c r="G194" s="78" t="inlineStr">
        <is>
          <t>تحت 13</t>
        </is>
      </c>
      <c r="H194" s="78" t="n">
        <v>1</v>
      </c>
    </row>
    <row r="195">
      <c r="B195" s="78" t="inlineStr">
        <is>
          <t>L188</t>
        </is>
      </c>
      <c r="C195" s="78" t="n">
        <v>186</v>
      </c>
      <c r="D195" s="78" t="inlineStr">
        <is>
          <t xml:space="preserve">الجاضع </t>
        </is>
      </c>
      <c r="E195" s="78" t="inlineStr">
        <is>
          <t>جازان</t>
        </is>
      </c>
      <c r="F195" s="78" t="inlineStr">
        <is>
          <t>صامطة</t>
        </is>
      </c>
      <c r="G195" s="78" t="inlineStr">
        <is>
          <t>تحت 13</t>
        </is>
      </c>
      <c r="H195" s="78" t="n">
        <v>1</v>
      </c>
    </row>
    <row r="196">
      <c r="B196" s="78" t="inlineStr">
        <is>
          <t>L189</t>
        </is>
      </c>
      <c r="C196" s="78" t="n">
        <v>187</v>
      </c>
      <c r="D196" s="78" t="inlineStr">
        <is>
          <t>البدوي</t>
        </is>
      </c>
      <c r="E196" s="78" t="inlineStr">
        <is>
          <t>جازان</t>
        </is>
      </c>
      <c r="F196" s="78" t="inlineStr">
        <is>
          <t>صامطة</t>
        </is>
      </c>
      <c r="G196" s="78" t="inlineStr">
        <is>
          <t>تحت 13</t>
        </is>
      </c>
      <c r="H196" s="78" t="n">
        <v>1</v>
      </c>
    </row>
    <row r="197">
      <c r="B197" s="78" t="inlineStr">
        <is>
          <t>L532</t>
        </is>
      </c>
      <c r="C197" s="78" t="n">
        <v>530</v>
      </c>
      <c r="D197" s="78" t="inlineStr">
        <is>
          <t>مجعر</t>
        </is>
      </c>
      <c r="E197" s="78" t="inlineStr">
        <is>
          <t>جازان</t>
        </is>
      </c>
      <c r="F197" s="78" t="inlineStr">
        <is>
          <t>صامطة</t>
        </is>
      </c>
      <c r="G197" s="78" t="inlineStr">
        <is>
          <t>تحت 13</t>
        </is>
      </c>
      <c r="H197" s="78" t="n">
        <v>1</v>
      </c>
    </row>
    <row r="198">
      <c r="B198" s="78" t="inlineStr">
        <is>
          <t>M98</t>
        </is>
      </c>
      <c r="C198" s="78" t="n">
        <v>96</v>
      </c>
      <c r="D198" s="78" t="inlineStr">
        <is>
          <t>الطوال</t>
        </is>
      </c>
      <c r="E198" s="78" t="inlineStr">
        <is>
          <t>جازان</t>
        </is>
      </c>
      <c r="F198" s="78" t="inlineStr">
        <is>
          <t>صامطة</t>
        </is>
      </c>
      <c r="G198" s="78" t="inlineStr">
        <is>
          <t>تحت 12</t>
        </is>
      </c>
      <c r="H198" s="78" t="n">
        <v>1</v>
      </c>
    </row>
    <row r="199">
      <c r="B199" s="78" t="inlineStr">
        <is>
          <t>M107</t>
        </is>
      </c>
      <c r="C199" s="78" t="n">
        <v>105</v>
      </c>
      <c r="D199" s="78" t="inlineStr">
        <is>
          <t xml:space="preserve">عربي المباركة </t>
        </is>
      </c>
      <c r="E199" s="78" t="inlineStr">
        <is>
          <t>جازان</t>
        </is>
      </c>
      <c r="F199" s="78" t="inlineStr">
        <is>
          <t>صامطة</t>
        </is>
      </c>
      <c r="G199" s="78" t="inlineStr">
        <is>
          <t>تحت 12</t>
        </is>
      </c>
      <c r="H199" s="78" t="n">
        <v>1</v>
      </c>
    </row>
    <row r="200">
      <c r="B200" s="78" t="inlineStr">
        <is>
          <t>M138</t>
        </is>
      </c>
      <c r="C200" s="78" t="n">
        <v>136</v>
      </c>
      <c r="D200" s="78" t="inlineStr">
        <is>
          <t>تعاون القيوس</t>
        </is>
      </c>
      <c r="E200" s="78" t="inlineStr">
        <is>
          <t>جازان</t>
        </is>
      </c>
      <c r="F200" s="78" t="inlineStr">
        <is>
          <t>صامطة</t>
        </is>
      </c>
      <c r="G200" s="78" t="inlineStr">
        <is>
          <t>تحت 12</t>
        </is>
      </c>
      <c r="H200" s="78" t="n">
        <v>1</v>
      </c>
    </row>
    <row r="201">
      <c r="B201" s="78" t="inlineStr">
        <is>
          <t>M152</t>
        </is>
      </c>
      <c r="C201" s="78" t="n">
        <v>150</v>
      </c>
      <c r="D201" s="78" t="inlineStr">
        <is>
          <t xml:space="preserve">التحدي صامطة </t>
        </is>
      </c>
      <c r="E201" s="78" t="inlineStr">
        <is>
          <t>جازان</t>
        </is>
      </c>
      <c r="F201" s="78" t="inlineStr">
        <is>
          <t>صامطة</t>
        </is>
      </c>
      <c r="G201" s="78" t="inlineStr">
        <is>
          <t>تحت 12</t>
        </is>
      </c>
      <c r="H201" s="78" t="n">
        <v>1</v>
      </c>
    </row>
    <row r="202">
      <c r="B202" s="78" t="inlineStr">
        <is>
          <t>M158</t>
        </is>
      </c>
      <c r="C202" s="78" t="n">
        <v>156</v>
      </c>
      <c r="D202" s="78" t="inlineStr">
        <is>
          <t xml:space="preserve">نابولي المباركة </t>
        </is>
      </c>
      <c r="E202" s="78" t="inlineStr">
        <is>
          <t>جازان</t>
        </is>
      </c>
      <c r="F202" s="78" t="inlineStr">
        <is>
          <t>صامطة</t>
        </is>
      </c>
      <c r="G202" s="78" t="inlineStr">
        <is>
          <t>تحت 12</t>
        </is>
      </c>
      <c r="H202" s="78" t="n">
        <v>1</v>
      </c>
    </row>
    <row r="203">
      <c r="B203" s="78" t="inlineStr">
        <is>
          <t>M161</t>
        </is>
      </c>
      <c r="C203" s="78" t="n">
        <v>159</v>
      </c>
      <c r="D203" s="78" t="inlineStr">
        <is>
          <t>الواسط صامطة جازان</t>
        </is>
      </c>
      <c r="E203" s="78" t="inlineStr">
        <is>
          <t>جازان</t>
        </is>
      </c>
      <c r="F203" s="78" t="inlineStr">
        <is>
          <t>صامطة</t>
        </is>
      </c>
      <c r="G203" s="78" t="inlineStr">
        <is>
          <t>تحت 12</t>
        </is>
      </c>
      <c r="H203" s="78" t="n">
        <v>1</v>
      </c>
    </row>
    <row r="204">
      <c r="B204" s="78" t="inlineStr">
        <is>
          <t>M176</t>
        </is>
      </c>
      <c r="C204" s="78" t="n">
        <v>174</v>
      </c>
      <c r="D204" s="78" t="inlineStr">
        <is>
          <t>عربي الموسم</t>
        </is>
      </c>
      <c r="E204" s="78" t="inlineStr">
        <is>
          <t>جازان</t>
        </is>
      </c>
      <c r="F204" s="78" t="inlineStr">
        <is>
          <t>صامطة</t>
        </is>
      </c>
      <c r="G204" s="78" t="inlineStr">
        <is>
          <t>تحت 12</t>
        </is>
      </c>
      <c r="H204" s="78" t="n">
        <v>1</v>
      </c>
    </row>
    <row r="205">
      <c r="B205" s="78" t="inlineStr">
        <is>
          <t>M184</t>
        </is>
      </c>
      <c r="C205" s="78" t="n">
        <v>182</v>
      </c>
      <c r="D205" s="78" t="inlineStr">
        <is>
          <t xml:space="preserve">الدريعة </t>
        </is>
      </c>
      <c r="E205" s="78" t="inlineStr">
        <is>
          <t>جازان</t>
        </is>
      </c>
      <c r="F205" s="78" t="inlineStr">
        <is>
          <t>صامطة</t>
        </is>
      </c>
      <c r="G205" s="78" t="inlineStr">
        <is>
          <t>تحت 12</t>
        </is>
      </c>
      <c r="H205" s="78" t="n">
        <v>1</v>
      </c>
    </row>
    <row r="206">
      <c r="B206" s="78" t="inlineStr">
        <is>
          <t>M188</t>
        </is>
      </c>
      <c r="C206" s="78" t="n">
        <v>186</v>
      </c>
      <c r="D206" s="78" t="inlineStr">
        <is>
          <t xml:space="preserve">الجاضع </t>
        </is>
      </c>
      <c r="E206" s="78" t="inlineStr">
        <is>
          <t>جازان</t>
        </is>
      </c>
      <c r="F206" s="78" t="inlineStr">
        <is>
          <t>صامطة</t>
        </is>
      </c>
      <c r="G206" s="78" t="inlineStr">
        <is>
          <t>تحت 12</t>
        </is>
      </c>
      <c r="H206" s="78" t="n">
        <v>1</v>
      </c>
    </row>
    <row r="207">
      <c r="B207" s="78" t="inlineStr">
        <is>
          <t>M189</t>
        </is>
      </c>
      <c r="C207" s="78" t="n">
        <v>187</v>
      </c>
      <c r="D207" s="78" t="inlineStr">
        <is>
          <t>البدوي</t>
        </is>
      </c>
      <c r="E207" s="78" t="inlineStr">
        <is>
          <t>جازان</t>
        </is>
      </c>
      <c r="F207" s="78" t="inlineStr">
        <is>
          <t>صامطة</t>
        </is>
      </c>
      <c r="G207" s="78" t="inlineStr">
        <is>
          <t>تحت 12</t>
        </is>
      </c>
      <c r="H207" s="78" t="n">
        <v>1</v>
      </c>
    </row>
    <row r="208">
      <c r="B208" s="78" t="inlineStr">
        <is>
          <t>M532</t>
        </is>
      </c>
      <c r="C208" s="78" t="n">
        <v>530</v>
      </c>
      <c r="D208" s="78" t="inlineStr">
        <is>
          <t>مجعر</t>
        </is>
      </c>
      <c r="E208" s="78" t="inlineStr">
        <is>
          <t>جازان</t>
        </is>
      </c>
      <c r="F208" s="78" t="inlineStr">
        <is>
          <t>صامطة</t>
        </is>
      </c>
      <c r="G208" s="78" t="inlineStr">
        <is>
          <t>تحت 12</t>
        </is>
      </c>
      <c r="H208" s="78" t="n">
        <v>1</v>
      </c>
    </row>
    <row r="209">
      <c r="B209" s="78" t="inlineStr">
        <is>
          <t>N98</t>
        </is>
      </c>
      <c r="C209" s="78" t="n">
        <v>96</v>
      </c>
      <c r="D209" s="78" t="inlineStr">
        <is>
          <t>الطوال</t>
        </is>
      </c>
      <c r="E209" s="78" t="inlineStr">
        <is>
          <t>جازان</t>
        </is>
      </c>
      <c r="F209" s="78" t="inlineStr">
        <is>
          <t>صامطة</t>
        </is>
      </c>
      <c r="G209" s="78" t="inlineStr">
        <is>
          <t>تحت 11</t>
        </is>
      </c>
      <c r="H209" s="78" t="n">
        <v>1</v>
      </c>
    </row>
    <row r="210">
      <c r="B210" s="78" t="inlineStr">
        <is>
          <t>N107</t>
        </is>
      </c>
      <c r="C210" s="78" t="n">
        <v>105</v>
      </c>
      <c r="D210" s="78" t="inlineStr">
        <is>
          <t xml:space="preserve">عربي المباركة </t>
        </is>
      </c>
      <c r="E210" s="78" t="inlineStr">
        <is>
          <t>جازان</t>
        </is>
      </c>
      <c r="F210" s="78" t="inlineStr">
        <is>
          <t>صامطة</t>
        </is>
      </c>
      <c r="G210" s="78" t="inlineStr">
        <is>
          <t>تحت 11</t>
        </is>
      </c>
      <c r="H210" s="78" t="n">
        <v>1</v>
      </c>
    </row>
    <row r="211">
      <c r="B211" s="78" t="inlineStr">
        <is>
          <t>N138</t>
        </is>
      </c>
      <c r="C211" s="78" t="n">
        <v>136</v>
      </c>
      <c r="D211" s="78" t="inlineStr">
        <is>
          <t>تعاون القيوس</t>
        </is>
      </c>
      <c r="E211" s="78" t="inlineStr">
        <is>
          <t>جازان</t>
        </is>
      </c>
      <c r="F211" s="78" t="inlineStr">
        <is>
          <t>صامطة</t>
        </is>
      </c>
      <c r="G211" s="78" t="inlineStr">
        <is>
          <t>تحت 11</t>
        </is>
      </c>
      <c r="H211" s="78" t="n">
        <v>1</v>
      </c>
    </row>
    <row r="212">
      <c r="B212" s="78" t="inlineStr">
        <is>
          <t>N152</t>
        </is>
      </c>
      <c r="C212" s="78" t="n">
        <v>150</v>
      </c>
      <c r="D212" s="78" t="inlineStr">
        <is>
          <t xml:space="preserve">التحدي صامطة </t>
        </is>
      </c>
      <c r="E212" s="78" t="inlineStr">
        <is>
          <t>جازان</t>
        </is>
      </c>
      <c r="F212" s="78" t="inlineStr">
        <is>
          <t>صامطة</t>
        </is>
      </c>
      <c r="G212" s="78" t="inlineStr">
        <is>
          <t>تحت 11</t>
        </is>
      </c>
      <c r="H212" s="78" t="n">
        <v>1</v>
      </c>
    </row>
    <row r="213">
      <c r="B213" s="78" t="inlineStr">
        <is>
          <t>N158</t>
        </is>
      </c>
      <c r="C213" s="78" t="n">
        <v>156</v>
      </c>
      <c r="D213" s="78" t="inlineStr">
        <is>
          <t xml:space="preserve">نابولي المباركة </t>
        </is>
      </c>
      <c r="E213" s="78" t="inlineStr">
        <is>
          <t>جازان</t>
        </is>
      </c>
      <c r="F213" s="78" t="inlineStr">
        <is>
          <t>صامطة</t>
        </is>
      </c>
      <c r="G213" s="78" t="inlineStr">
        <is>
          <t>تحت 11</t>
        </is>
      </c>
      <c r="H213" s="78" t="n">
        <v>1</v>
      </c>
    </row>
    <row r="214">
      <c r="B214" s="78" t="inlineStr">
        <is>
          <t>N161</t>
        </is>
      </c>
      <c r="C214" s="78" t="n">
        <v>159</v>
      </c>
      <c r="D214" s="78" t="inlineStr">
        <is>
          <t>الواسط صامطة جازان</t>
        </is>
      </c>
      <c r="E214" s="78" t="inlineStr">
        <is>
          <t>جازان</t>
        </is>
      </c>
      <c r="F214" s="78" t="inlineStr">
        <is>
          <t>صامطة</t>
        </is>
      </c>
      <c r="G214" s="78" t="inlineStr">
        <is>
          <t>تحت 11</t>
        </is>
      </c>
      <c r="H214" s="78" t="n">
        <v>1</v>
      </c>
    </row>
    <row r="215">
      <c r="B215" s="78" t="inlineStr">
        <is>
          <t>N176</t>
        </is>
      </c>
      <c r="C215" s="78" t="n">
        <v>174</v>
      </c>
      <c r="D215" s="78" t="inlineStr">
        <is>
          <t>عربي الموسم</t>
        </is>
      </c>
      <c r="E215" s="78" t="inlineStr">
        <is>
          <t>جازان</t>
        </is>
      </c>
      <c r="F215" s="78" t="inlineStr">
        <is>
          <t>صامطة</t>
        </is>
      </c>
      <c r="G215" s="78" t="inlineStr">
        <is>
          <t>تحت 11</t>
        </is>
      </c>
      <c r="H215" s="78" t="n">
        <v>1</v>
      </c>
    </row>
    <row r="216">
      <c r="B216" s="78" t="inlineStr">
        <is>
          <t>N184</t>
        </is>
      </c>
      <c r="C216" s="78" t="n">
        <v>182</v>
      </c>
      <c r="D216" s="78" t="inlineStr">
        <is>
          <t xml:space="preserve">الدريعة </t>
        </is>
      </c>
      <c r="E216" s="78" t="inlineStr">
        <is>
          <t>جازان</t>
        </is>
      </c>
      <c r="F216" s="78" t="inlineStr">
        <is>
          <t>صامطة</t>
        </is>
      </c>
      <c r="G216" s="78" t="inlineStr">
        <is>
          <t>تحت 11</t>
        </is>
      </c>
      <c r="H216" s="78" t="n">
        <v>1</v>
      </c>
    </row>
    <row r="217">
      <c r="B217" s="78" t="inlineStr">
        <is>
          <t>N188</t>
        </is>
      </c>
      <c r="C217" s="78" t="n">
        <v>186</v>
      </c>
      <c r="D217" s="78" t="inlineStr">
        <is>
          <t xml:space="preserve">الجاضع </t>
        </is>
      </c>
      <c r="E217" s="78" t="inlineStr">
        <is>
          <t>جازان</t>
        </is>
      </c>
      <c r="F217" s="78" t="inlineStr">
        <is>
          <t>صامطة</t>
        </is>
      </c>
      <c r="G217" s="78" t="inlineStr">
        <is>
          <t>تحت 11</t>
        </is>
      </c>
      <c r="H217" s="78" t="n">
        <v>1</v>
      </c>
    </row>
    <row r="218">
      <c r="B218" s="78" t="inlineStr">
        <is>
          <t>N189</t>
        </is>
      </c>
      <c r="C218" s="78" t="n">
        <v>187</v>
      </c>
      <c r="D218" s="78" t="inlineStr">
        <is>
          <t>البدوي</t>
        </is>
      </c>
      <c r="E218" s="78" t="inlineStr">
        <is>
          <t>جازان</t>
        </is>
      </c>
      <c r="F218" s="78" t="inlineStr">
        <is>
          <t>صامطة</t>
        </is>
      </c>
      <c r="G218" s="78" t="inlineStr">
        <is>
          <t>تحت 11</t>
        </is>
      </c>
      <c r="H218" s="78" t="n">
        <v>1</v>
      </c>
    </row>
    <row r="219">
      <c r="B219" s="78" t="inlineStr">
        <is>
          <t>N532</t>
        </is>
      </c>
      <c r="C219" s="78" t="n">
        <v>530</v>
      </c>
      <c r="D219" s="78" t="inlineStr">
        <is>
          <t>مجعر</t>
        </is>
      </c>
      <c r="E219" s="78" t="inlineStr">
        <is>
          <t>جازان</t>
        </is>
      </c>
      <c r="F219" s="78" t="inlineStr">
        <is>
          <t>صامطة</t>
        </is>
      </c>
      <c r="G219" s="78" t="inlineStr">
        <is>
          <t>تحت 11</t>
        </is>
      </c>
      <c r="H219" s="78" t="n">
        <v>1</v>
      </c>
    </row>
    <row r="220">
      <c r="B220" s="78" t="inlineStr">
        <is>
          <t>O98</t>
        </is>
      </c>
      <c r="C220" s="78" t="n">
        <v>96</v>
      </c>
      <c r="D220" s="78" t="inlineStr">
        <is>
          <t>الطوال</t>
        </is>
      </c>
      <c r="E220" s="78" t="inlineStr">
        <is>
          <t>جازان</t>
        </is>
      </c>
      <c r="F220" s="78" t="inlineStr">
        <is>
          <t>صامطة</t>
        </is>
      </c>
      <c r="G220" s="78" t="inlineStr">
        <is>
          <t>تحت 9</t>
        </is>
      </c>
      <c r="H220" s="78" t="n">
        <v>1</v>
      </c>
    </row>
    <row r="221">
      <c r="B221" s="78" t="inlineStr">
        <is>
          <t>O107</t>
        </is>
      </c>
      <c r="C221" s="78" t="n">
        <v>105</v>
      </c>
      <c r="D221" s="78" t="inlineStr">
        <is>
          <t xml:space="preserve">عربي المباركة </t>
        </is>
      </c>
      <c r="E221" s="78" t="inlineStr">
        <is>
          <t>جازان</t>
        </is>
      </c>
      <c r="F221" s="78" t="inlineStr">
        <is>
          <t>صامطة</t>
        </is>
      </c>
      <c r="G221" s="78" t="inlineStr">
        <is>
          <t>تحت 9</t>
        </is>
      </c>
      <c r="H221" s="78" t="n">
        <v>1</v>
      </c>
    </row>
    <row r="222">
      <c r="B222" s="78" t="inlineStr">
        <is>
          <t>O138</t>
        </is>
      </c>
      <c r="C222" s="78" t="n">
        <v>136</v>
      </c>
      <c r="D222" s="78" t="inlineStr">
        <is>
          <t>تعاون القيوس</t>
        </is>
      </c>
      <c r="E222" s="78" t="inlineStr">
        <is>
          <t>جازان</t>
        </is>
      </c>
      <c r="F222" s="78" t="inlineStr">
        <is>
          <t>صامطة</t>
        </is>
      </c>
      <c r="G222" s="78" t="inlineStr">
        <is>
          <t>تحت 9</t>
        </is>
      </c>
      <c r="H222" s="78" t="n">
        <v>1</v>
      </c>
    </row>
    <row r="223">
      <c r="B223" s="78" t="inlineStr">
        <is>
          <t>O152</t>
        </is>
      </c>
      <c r="C223" s="78" t="n">
        <v>150</v>
      </c>
      <c r="D223" s="78" t="inlineStr">
        <is>
          <t xml:space="preserve">التحدي صامطة </t>
        </is>
      </c>
      <c r="E223" s="78" t="inlineStr">
        <is>
          <t>جازان</t>
        </is>
      </c>
      <c r="F223" s="78" t="inlineStr">
        <is>
          <t>صامطة</t>
        </is>
      </c>
      <c r="G223" s="78" t="inlineStr">
        <is>
          <t>تحت 9</t>
        </is>
      </c>
      <c r="H223" s="78" t="n">
        <v>1</v>
      </c>
    </row>
    <row r="224">
      <c r="B224" s="78" t="inlineStr">
        <is>
          <t>O158</t>
        </is>
      </c>
      <c r="C224" s="78" t="n">
        <v>156</v>
      </c>
      <c r="D224" s="78" t="inlineStr">
        <is>
          <t xml:space="preserve">نابولي المباركة </t>
        </is>
      </c>
      <c r="E224" s="78" t="inlineStr">
        <is>
          <t>جازان</t>
        </is>
      </c>
      <c r="F224" s="78" t="inlineStr">
        <is>
          <t>صامطة</t>
        </is>
      </c>
      <c r="G224" s="78" t="inlineStr">
        <is>
          <t>تحت 9</t>
        </is>
      </c>
      <c r="H224" s="78" t="n">
        <v>1</v>
      </c>
    </row>
    <row r="225">
      <c r="B225" s="78" t="inlineStr">
        <is>
          <t>O161</t>
        </is>
      </c>
      <c r="C225" s="78" t="n">
        <v>159</v>
      </c>
      <c r="D225" s="78" t="inlineStr">
        <is>
          <t>الواسط صامطة جازان</t>
        </is>
      </c>
      <c r="E225" s="78" t="inlineStr">
        <is>
          <t>جازان</t>
        </is>
      </c>
      <c r="F225" s="78" t="inlineStr">
        <is>
          <t>صامطة</t>
        </is>
      </c>
      <c r="G225" s="78" t="inlineStr">
        <is>
          <t>تحت 9</t>
        </is>
      </c>
      <c r="H225" s="78" t="n">
        <v>1</v>
      </c>
    </row>
    <row r="226">
      <c r="B226" s="78" t="inlineStr">
        <is>
          <t>O176</t>
        </is>
      </c>
      <c r="C226" s="78" t="n">
        <v>174</v>
      </c>
      <c r="D226" s="78" t="inlineStr">
        <is>
          <t>عربي الموسم</t>
        </is>
      </c>
      <c r="E226" s="78" t="inlineStr">
        <is>
          <t>جازان</t>
        </is>
      </c>
      <c r="F226" s="78" t="inlineStr">
        <is>
          <t>صامطة</t>
        </is>
      </c>
      <c r="G226" s="78" t="inlineStr">
        <is>
          <t>تحت 9</t>
        </is>
      </c>
      <c r="H226" s="78" t="n">
        <v>1</v>
      </c>
    </row>
    <row r="227">
      <c r="B227" s="78" t="inlineStr">
        <is>
          <t>O184</t>
        </is>
      </c>
      <c r="C227" s="78" t="n">
        <v>182</v>
      </c>
      <c r="D227" s="78" t="inlineStr">
        <is>
          <t xml:space="preserve">الدريعة </t>
        </is>
      </c>
      <c r="E227" s="78" t="inlineStr">
        <is>
          <t>جازان</t>
        </is>
      </c>
      <c r="F227" s="78" t="inlineStr">
        <is>
          <t>صامطة</t>
        </is>
      </c>
      <c r="G227" s="78" t="inlineStr">
        <is>
          <t>تحت 9</t>
        </is>
      </c>
      <c r="H227" s="78" t="n">
        <v>1</v>
      </c>
    </row>
    <row r="228">
      <c r="B228" s="78" t="inlineStr">
        <is>
          <t>O188</t>
        </is>
      </c>
      <c r="C228" s="78" t="n">
        <v>186</v>
      </c>
      <c r="D228" s="78" t="inlineStr">
        <is>
          <t xml:space="preserve">الجاضع </t>
        </is>
      </c>
      <c r="E228" s="78" t="inlineStr">
        <is>
          <t>جازان</t>
        </is>
      </c>
      <c r="F228" s="78" t="inlineStr">
        <is>
          <t>صامطة</t>
        </is>
      </c>
      <c r="G228" s="78" t="inlineStr">
        <is>
          <t>تحت 9</t>
        </is>
      </c>
      <c r="H228" s="78" t="n">
        <v>1</v>
      </c>
    </row>
    <row r="229">
      <c r="B229" s="78" t="inlineStr">
        <is>
          <t>O189</t>
        </is>
      </c>
      <c r="C229" s="78" t="n">
        <v>187</v>
      </c>
      <c r="D229" s="78" t="inlineStr">
        <is>
          <t>البدوي</t>
        </is>
      </c>
      <c r="E229" s="78" t="inlineStr">
        <is>
          <t>جازان</t>
        </is>
      </c>
      <c r="F229" s="78" t="inlineStr">
        <is>
          <t>صامطة</t>
        </is>
      </c>
      <c r="G229" s="78" t="inlineStr">
        <is>
          <t>تحت 9</t>
        </is>
      </c>
      <c r="H229" s="78" t="n">
        <v>1</v>
      </c>
    </row>
    <row r="230">
      <c r="B230" s="78" t="inlineStr">
        <is>
          <t>O532</t>
        </is>
      </c>
      <c r="C230" s="78" t="n">
        <v>530</v>
      </c>
      <c r="D230" s="78" t="inlineStr">
        <is>
          <t>مجعر</t>
        </is>
      </c>
      <c r="E230" s="78" t="inlineStr">
        <is>
          <t>جازان</t>
        </is>
      </c>
      <c r="F230" s="78" t="inlineStr">
        <is>
          <t>صامطة</t>
        </is>
      </c>
      <c r="G230" s="78" t="inlineStr">
        <is>
          <t>تحت 9</t>
        </is>
      </c>
      <c r="H230" s="78" t="n">
        <v>1</v>
      </c>
    </row>
    <row r="231">
      <c r="B231" s="78" t="inlineStr">
        <is>
          <t>P98</t>
        </is>
      </c>
      <c r="C231" s="78" t="n">
        <v>96</v>
      </c>
      <c r="D231" s="78" t="inlineStr">
        <is>
          <t>الطوال</t>
        </is>
      </c>
      <c r="E231" s="78" t="inlineStr">
        <is>
          <t>جازان</t>
        </is>
      </c>
      <c r="F231" s="78" t="inlineStr">
        <is>
          <t>صامطة</t>
        </is>
      </c>
      <c r="G231" s="78" t="inlineStr">
        <is>
          <t>تحت 7</t>
        </is>
      </c>
      <c r="H231" s="78" t="n">
        <v>1</v>
      </c>
    </row>
    <row r="232">
      <c r="B232" s="78" t="inlineStr">
        <is>
          <t>P107</t>
        </is>
      </c>
      <c r="C232" s="78" t="n">
        <v>105</v>
      </c>
      <c r="D232" s="78" t="inlineStr">
        <is>
          <t xml:space="preserve">عربي المباركة </t>
        </is>
      </c>
      <c r="E232" s="78" t="inlineStr">
        <is>
          <t>جازان</t>
        </is>
      </c>
      <c r="F232" s="78" t="inlineStr">
        <is>
          <t>صامطة</t>
        </is>
      </c>
      <c r="G232" s="78" t="inlineStr">
        <is>
          <t>تحت 7</t>
        </is>
      </c>
      <c r="H232" s="78" t="n">
        <v>1</v>
      </c>
    </row>
    <row r="233">
      <c r="B233" s="78" t="inlineStr">
        <is>
          <t>P152</t>
        </is>
      </c>
      <c r="C233" s="78" t="n">
        <v>150</v>
      </c>
      <c r="D233" s="78" t="inlineStr">
        <is>
          <t xml:space="preserve">التحدي صامطة </t>
        </is>
      </c>
      <c r="E233" s="78" t="inlineStr">
        <is>
          <t>جازان</t>
        </is>
      </c>
      <c r="F233" s="78" t="inlineStr">
        <is>
          <t>صامطة</t>
        </is>
      </c>
      <c r="G233" s="78" t="inlineStr">
        <is>
          <t>تحت 7</t>
        </is>
      </c>
      <c r="H233" s="78" t="n">
        <v>1</v>
      </c>
    </row>
    <row r="234">
      <c r="B234" s="78" t="inlineStr">
        <is>
          <t>P158</t>
        </is>
      </c>
      <c r="C234" s="78" t="n">
        <v>156</v>
      </c>
      <c r="D234" s="78" t="inlineStr">
        <is>
          <t xml:space="preserve">نابولي المباركة </t>
        </is>
      </c>
      <c r="E234" s="78" t="inlineStr">
        <is>
          <t>جازان</t>
        </is>
      </c>
      <c r="F234" s="78" t="inlineStr">
        <is>
          <t>صامطة</t>
        </is>
      </c>
      <c r="G234" s="78" t="inlineStr">
        <is>
          <t>تحت 7</t>
        </is>
      </c>
      <c r="H234" s="78" t="n">
        <v>1</v>
      </c>
    </row>
    <row r="235">
      <c r="B235" s="78" t="inlineStr">
        <is>
          <t>P161</t>
        </is>
      </c>
      <c r="C235" s="78" t="n">
        <v>159</v>
      </c>
      <c r="D235" s="78" t="inlineStr">
        <is>
          <t>الواسط صامطة جازان</t>
        </is>
      </c>
      <c r="E235" s="78" t="inlineStr">
        <is>
          <t>جازان</t>
        </is>
      </c>
      <c r="F235" s="78" t="inlineStr">
        <is>
          <t>صامطة</t>
        </is>
      </c>
      <c r="G235" s="78" t="inlineStr">
        <is>
          <t>تحت 7</t>
        </is>
      </c>
      <c r="H235" s="78" t="n">
        <v>1</v>
      </c>
    </row>
    <row r="236">
      <c r="B236" s="78" t="inlineStr">
        <is>
          <t>P176</t>
        </is>
      </c>
      <c r="C236" s="78" t="n">
        <v>174</v>
      </c>
      <c r="D236" s="78" t="inlineStr">
        <is>
          <t>عربي الموسم</t>
        </is>
      </c>
      <c r="E236" s="78" t="inlineStr">
        <is>
          <t>جازان</t>
        </is>
      </c>
      <c r="F236" s="78" t="inlineStr">
        <is>
          <t>صامطة</t>
        </is>
      </c>
      <c r="G236" s="78" t="inlineStr">
        <is>
          <t>تحت 7</t>
        </is>
      </c>
      <c r="H236" s="78" t="n">
        <v>1</v>
      </c>
    </row>
    <row r="237">
      <c r="B237" s="78" t="inlineStr">
        <is>
          <t>P184</t>
        </is>
      </c>
      <c r="C237" s="78" t="n">
        <v>182</v>
      </c>
      <c r="D237" s="78" t="inlineStr">
        <is>
          <t xml:space="preserve">الدريعة </t>
        </is>
      </c>
      <c r="E237" s="78" t="inlineStr">
        <is>
          <t>جازان</t>
        </is>
      </c>
      <c r="F237" s="78" t="inlineStr">
        <is>
          <t>صامطة</t>
        </is>
      </c>
      <c r="G237" s="78" t="inlineStr">
        <is>
          <t>تحت 7</t>
        </is>
      </c>
      <c r="H237" s="78" t="n">
        <v>1</v>
      </c>
    </row>
    <row r="238">
      <c r="B238" s="78" t="inlineStr">
        <is>
          <t>P188</t>
        </is>
      </c>
      <c r="C238" s="78" t="n">
        <v>186</v>
      </c>
      <c r="D238" s="78" t="inlineStr">
        <is>
          <t xml:space="preserve">الجاضع </t>
        </is>
      </c>
      <c r="E238" s="78" t="inlineStr">
        <is>
          <t>جازان</t>
        </is>
      </c>
      <c r="F238" s="78" t="inlineStr">
        <is>
          <t>صامطة</t>
        </is>
      </c>
      <c r="G238" s="78" t="inlineStr">
        <is>
          <t>تحت 7</t>
        </is>
      </c>
      <c r="H238" s="78" t="n">
        <v>1</v>
      </c>
    </row>
    <row r="239">
      <c r="B239" s="78" t="inlineStr">
        <is>
          <t>P189</t>
        </is>
      </c>
      <c r="C239" s="78" t="n">
        <v>187</v>
      </c>
      <c r="D239" s="78" t="inlineStr">
        <is>
          <t>البدوي</t>
        </is>
      </c>
      <c r="E239" s="78" t="inlineStr">
        <is>
          <t>جازان</t>
        </is>
      </c>
      <c r="F239" s="78" t="inlineStr">
        <is>
          <t>صامطة</t>
        </is>
      </c>
      <c r="G239" s="78" t="inlineStr">
        <is>
          <t>تحت 7</t>
        </is>
      </c>
      <c r="H239" s="78" t="n">
        <v>1</v>
      </c>
    </row>
    <row r="240">
      <c r="B240" s="78" t="inlineStr">
        <is>
          <t>P532</t>
        </is>
      </c>
      <c r="C240" s="78" t="n">
        <v>530</v>
      </c>
      <c r="D240" s="78" t="inlineStr">
        <is>
          <t>مجعر</t>
        </is>
      </c>
      <c r="E240" s="78" t="inlineStr">
        <is>
          <t>جازان</t>
        </is>
      </c>
      <c r="F240" s="78" t="inlineStr">
        <is>
          <t>صامطة</t>
        </is>
      </c>
      <c r="G240" s="78" t="inlineStr">
        <is>
          <t>تحت 7</t>
        </is>
      </c>
      <c r="H240" s="78" t="n">
        <v>1</v>
      </c>
    </row>
    <row r="241">
      <c r="B241" s="78" t="inlineStr">
        <is>
          <t>Q98</t>
        </is>
      </c>
      <c r="C241" s="78" t="n">
        <v>96</v>
      </c>
      <c r="D241" s="78" t="inlineStr">
        <is>
          <t>الطوال</t>
        </is>
      </c>
      <c r="E241" s="78" t="inlineStr">
        <is>
          <t>جازان</t>
        </is>
      </c>
      <c r="F241" s="78" t="inlineStr">
        <is>
          <t>صامطة</t>
        </is>
      </c>
      <c r="G241" s="78" t="inlineStr">
        <is>
          <t>تحت 5</t>
        </is>
      </c>
      <c r="H241" s="78" t="n">
        <v>1</v>
      </c>
    </row>
    <row r="242">
      <c r="B242" s="78" t="inlineStr">
        <is>
          <t>Q107</t>
        </is>
      </c>
      <c r="C242" s="78" t="n">
        <v>105</v>
      </c>
      <c r="D242" s="78" t="inlineStr">
        <is>
          <t xml:space="preserve">عربي المباركة </t>
        </is>
      </c>
      <c r="E242" s="78" t="inlineStr">
        <is>
          <t>جازان</t>
        </is>
      </c>
      <c r="F242" s="78" t="inlineStr">
        <is>
          <t>صامطة</t>
        </is>
      </c>
      <c r="G242" s="78" t="inlineStr">
        <is>
          <t>تحت 5</t>
        </is>
      </c>
      <c r="H242" s="78" t="n">
        <v>1</v>
      </c>
    </row>
    <row r="243">
      <c r="B243" s="78" t="inlineStr">
        <is>
          <t>Q152</t>
        </is>
      </c>
      <c r="C243" s="78" t="n">
        <v>150</v>
      </c>
      <c r="D243" s="78" t="inlineStr">
        <is>
          <t xml:space="preserve">التحدي صامطة </t>
        </is>
      </c>
      <c r="E243" s="78" t="inlineStr">
        <is>
          <t>جازان</t>
        </is>
      </c>
      <c r="F243" s="78" t="inlineStr">
        <is>
          <t>صامطة</t>
        </is>
      </c>
      <c r="G243" s="78" t="inlineStr">
        <is>
          <t>تحت 5</t>
        </is>
      </c>
      <c r="H243" s="78" t="n">
        <v>1</v>
      </c>
    </row>
    <row r="244">
      <c r="B244" s="78" t="inlineStr">
        <is>
          <t>Q158</t>
        </is>
      </c>
      <c r="C244" s="78" t="n">
        <v>156</v>
      </c>
      <c r="D244" s="78" t="inlineStr">
        <is>
          <t xml:space="preserve">نابولي المباركة </t>
        </is>
      </c>
      <c r="E244" s="78" t="inlineStr">
        <is>
          <t>جازان</t>
        </is>
      </c>
      <c r="F244" s="78" t="inlineStr">
        <is>
          <t>صامطة</t>
        </is>
      </c>
      <c r="G244" s="78" t="inlineStr">
        <is>
          <t>تحت 5</t>
        </is>
      </c>
      <c r="H244" s="78" t="n">
        <v>1</v>
      </c>
    </row>
    <row r="245">
      <c r="B245" s="78" t="inlineStr">
        <is>
          <t>Q161</t>
        </is>
      </c>
      <c r="C245" s="78" t="n">
        <v>159</v>
      </c>
      <c r="D245" s="78" t="inlineStr">
        <is>
          <t>الواسط صامطة جازان</t>
        </is>
      </c>
      <c r="E245" s="78" t="inlineStr">
        <is>
          <t>جازان</t>
        </is>
      </c>
      <c r="F245" s="78" t="inlineStr">
        <is>
          <t>صامطة</t>
        </is>
      </c>
      <c r="G245" s="78" t="inlineStr">
        <is>
          <t>تحت 5</t>
        </is>
      </c>
      <c r="H245" s="78" t="n">
        <v>1</v>
      </c>
    </row>
    <row r="246">
      <c r="B246" s="78" t="inlineStr">
        <is>
          <t>Q176</t>
        </is>
      </c>
      <c r="C246" s="78" t="n">
        <v>174</v>
      </c>
      <c r="D246" s="78" t="inlineStr">
        <is>
          <t>عربي الموسم</t>
        </is>
      </c>
      <c r="E246" s="78" t="inlineStr">
        <is>
          <t>جازان</t>
        </is>
      </c>
      <c r="F246" s="78" t="inlineStr">
        <is>
          <t>صامطة</t>
        </is>
      </c>
      <c r="G246" s="78" t="inlineStr">
        <is>
          <t>تحت 5</t>
        </is>
      </c>
      <c r="H246" s="78" t="n">
        <v>1</v>
      </c>
    </row>
    <row r="247">
      <c r="B247" s="78" t="inlineStr">
        <is>
          <t>Q184</t>
        </is>
      </c>
      <c r="C247" s="78" t="n">
        <v>182</v>
      </c>
      <c r="D247" s="78" t="inlineStr">
        <is>
          <t xml:space="preserve">الدريعة </t>
        </is>
      </c>
      <c r="E247" s="78" t="inlineStr">
        <is>
          <t>جازان</t>
        </is>
      </c>
      <c r="F247" s="78" t="inlineStr">
        <is>
          <t>صامطة</t>
        </is>
      </c>
      <c r="G247" s="78" t="inlineStr">
        <is>
          <t>تحت 5</t>
        </is>
      </c>
      <c r="H247" s="78" t="n">
        <v>1</v>
      </c>
    </row>
    <row r="248">
      <c r="B248" s="78" t="inlineStr">
        <is>
          <t>Q188</t>
        </is>
      </c>
      <c r="C248" s="78" t="n">
        <v>186</v>
      </c>
      <c r="D248" s="78" t="inlineStr">
        <is>
          <t xml:space="preserve">الجاضع </t>
        </is>
      </c>
      <c r="E248" s="78" t="inlineStr">
        <is>
          <t>جازان</t>
        </is>
      </c>
      <c r="F248" s="78" t="inlineStr">
        <is>
          <t>صامطة</t>
        </is>
      </c>
      <c r="G248" s="78" t="inlineStr">
        <is>
          <t>تحت 5</t>
        </is>
      </c>
      <c r="H248" s="78" t="n">
        <v>1</v>
      </c>
    </row>
    <row r="249">
      <c r="B249" s="78" t="inlineStr">
        <is>
          <t>Q189</t>
        </is>
      </c>
      <c r="C249" s="78" t="n">
        <v>187</v>
      </c>
      <c r="D249" s="78" t="inlineStr">
        <is>
          <t>البدوي</t>
        </is>
      </c>
      <c r="E249" s="78" t="inlineStr">
        <is>
          <t>جازان</t>
        </is>
      </c>
      <c r="F249" s="78" t="inlineStr">
        <is>
          <t>صامطة</t>
        </is>
      </c>
      <c r="G249" s="78" t="inlineStr">
        <is>
          <t>تحت 5</t>
        </is>
      </c>
      <c r="H249" s="78" t="n">
        <v>1</v>
      </c>
    </row>
    <row r="250">
      <c r="B250" s="78" t="inlineStr">
        <is>
          <t>Q532</t>
        </is>
      </c>
      <c r="C250" s="78" t="n">
        <v>530</v>
      </c>
      <c r="D250" s="78" t="inlineStr">
        <is>
          <t>مجعر</t>
        </is>
      </c>
      <c r="E250" s="78" t="inlineStr">
        <is>
          <t>جازان</t>
        </is>
      </c>
      <c r="F250" s="78" t="inlineStr">
        <is>
          <t>صامطة</t>
        </is>
      </c>
      <c r="G250" s="78" t="inlineStr">
        <is>
          <t>تحت 5</t>
        </is>
      </c>
      <c r="H250" s="78" t="n">
        <v>1</v>
      </c>
    </row>
    <row r="251">
      <c r="B251" s="78" t="inlineStr">
        <is>
          <t>K99</t>
        </is>
      </c>
      <c r="C251" s="78" t="n">
        <v>97</v>
      </c>
      <c r="D251" s="78" t="inlineStr">
        <is>
          <t xml:space="preserve">سهم المهدج </t>
        </is>
      </c>
      <c r="E251" s="78" t="inlineStr">
        <is>
          <t>جازان</t>
        </is>
      </c>
      <c r="F251" s="78" t="inlineStr">
        <is>
          <t>أبو عريش</t>
        </is>
      </c>
      <c r="G251" s="78" t="inlineStr">
        <is>
          <t>تحت 14</t>
        </is>
      </c>
      <c r="H251" s="78" t="n">
        <v>1</v>
      </c>
    </row>
    <row r="252">
      <c r="B252" s="78" t="inlineStr">
        <is>
          <t>K102</t>
        </is>
      </c>
      <c r="C252" s="78" t="n">
        <v>100</v>
      </c>
      <c r="D252" s="78" t="inlineStr">
        <is>
          <t>ملكي الزباره</t>
        </is>
      </c>
      <c r="E252" s="78" t="inlineStr">
        <is>
          <t>جازان</t>
        </is>
      </c>
      <c r="F252" s="78" t="inlineStr">
        <is>
          <t>أبو عريش</t>
        </is>
      </c>
      <c r="G252" s="78" t="inlineStr">
        <is>
          <t>تحت 14</t>
        </is>
      </c>
      <c r="H252" s="78" t="n">
        <v>1</v>
      </c>
    </row>
    <row r="253">
      <c r="B253" s="78" t="inlineStr">
        <is>
          <t>K141</t>
        </is>
      </c>
      <c r="C253" s="78" t="n">
        <v>139</v>
      </c>
      <c r="D253" s="78" t="inlineStr">
        <is>
          <t xml:space="preserve">البواسل-العارضة </t>
        </is>
      </c>
      <c r="E253" s="78" t="inlineStr">
        <is>
          <t>جازان</t>
        </is>
      </c>
      <c r="F253" s="78" t="inlineStr">
        <is>
          <t>أبو عريش</t>
        </is>
      </c>
      <c r="G253" s="78" t="inlineStr">
        <is>
          <t>تحت 14</t>
        </is>
      </c>
      <c r="H253" s="78" t="n">
        <v>1</v>
      </c>
    </row>
    <row r="254">
      <c r="B254" s="78" t="inlineStr">
        <is>
          <t>K153</t>
        </is>
      </c>
      <c r="C254" s="78" t="n">
        <v>151</v>
      </c>
      <c r="D254" s="78" t="inlineStr">
        <is>
          <t>ملكي صنبه</t>
        </is>
      </c>
      <c r="E254" s="78" t="inlineStr">
        <is>
          <t>جازان</t>
        </is>
      </c>
      <c r="F254" s="78" t="inlineStr">
        <is>
          <t>أبو عريش</t>
        </is>
      </c>
      <c r="G254" s="78" t="inlineStr">
        <is>
          <t>تحت 14</t>
        </is>
      </c>
      <c r="H254" s="78" t="n">
        <v>1</v>
      </c>
    </row>
    <row r="255">
      <c r="B255" s="78" t="inlineStr">
        <is>
          <t>K225</t>
        </is>
      </c>
      <c r="C255" s="78" t="n">
        <v>223</v>
      </c>
      <c r="D255" s="78" t="inlineStr">
        <is>
          <t>اتحاد جازان</t>
        </is>
      </c>
      <c r="E255" s="78" t="inlineStr">
        <is>
          <t>جازان</t>
        </is>
      </c>
      <c r="F255" s="78" t="inlineStr">
        <is>
          <t>أبو عريش</t>
        </is>
      </c>
      <c r="G255" s="78" t="inlineStr">
        <is>
          <t>تحت 14</t>
        </is>
      </c>
      <c r="H255" s="78" t="n">
        <v>1</v>
      </c>
    </row>
    <row r="256">
      <c r="B256" s="78" t="inlineStr">
        <is>
          <t>K230</t>
        </is>
      </c>
      <c r="C256" s="78" t="n">
        <v>228</v>
      </c>
      <c r="D256" s="78" t="inlineStr">
        <is>
          <t>الفرسان -حاكمة ابوعريش</t>
        </is>
      </c>
      <c r="E256" s="78" t="inlineStr">
        <is>
          <t>جازان</t>
        </is>
      </c>
      <c r="F256" s="78" t="inlineStr">
        <is>
          <t>أبو عريش</t>
        </is>
      </c>
      <c r="G256" s="78" t="inlineStr">
        <is>
          <t>تحت 14</t>
        </is>
      </c>
      <c r="H256" s="78" t="n">
        <v>1</v>
      </c>
    </row>
    <row r="257">
      <c r="B257" s="78" t="inlineStr">
        <is>
          <t>K258</t>
        </is>
      </c>
      <c r="C257" s="78" t="n">
        <v>256</v>
      </c>
      <c r="D257" s="78" t="inlineStr">
        <is>
          <t>قلعة جازان</t>
        </is>
      </c>
      <c r="E257" s="78" t="inlineStr">
        <is>
          <t>جازان</t>
        </is>
      </c>
      <c r="F257" s="78" t="inlineStr">
        <is>
          <t>أبو عريش</t>
        </is>
      </c>
      <c r="G257" s="78" t="inlineStr">
        <is>
          <t>تحت 14</t>
        </is>
      </c>
      <c r="H257" s="78" t="n">
        <v>1</v>
      </c>
    </row>
    <row r="258">
      <c r="B258" s="78" t="inlineStr">
        <is>
          <t>K277</t>
        </is>
      </c>
      <c r="C258" s="78" t="n">
        <v>275</v>
      </c>
      <c r="D258" s="78" t="inlineStr">
        <is>
          <t>الرشيد حاكمة ابو عريش</t>
        </is>
      </c>
      <c r="E258" s="78" t="inlineStr">
        <is>
          <t>جازان</t>
        </is>
      </c>
      <c r="F258" s="78" t="inlineStr">
        <is>
          <t>أبو عريش</t>
        </is>
      </c>
      <c r="G258" s="78" t="inlineStr">
        <is>
          <t>تحت 14</t>
        </is>
      </c>
      <c r="H258" s="78" t="n">
        <v>1</v>
      </c>
    </row>
    <row r="259">
      <c r="B259" s="78" t="inlineStr">
        <is>
          <t>K286</t>
        </is>
      </c>
      <c r="C259" s="78" t="n">
        <v>284</v>
      </c>
      <c r="D259" s="78" t="inlineStr">
        <is>
          <t>الامل ابو نورة جازان</t>
        </is>
      </c>
      <c r="E259" s="78" t="inlineStr">
        <is>
          <t>جازان</t>
        </is>
      </c>
      <c r="F259" s="78" t="inlineStr">
        <is>
          <t>أبو عريش</t>
        </is>
      </c>
      <c r="G259" s="78" t="inlineStr">
        <is>
          <t>تحت 14</t>
        </is>
      </c>
      <c r="H259" s="78" t="n">
        <v>1</v>
      </c>
    </row>
    <row r="260">
      <c r="B260" s="78" t="inlineStr">
        <is>
          <t>K301</t>
        </is>
      </c>
      <c r="C260" s="78" t="n">
        <v>299</v>
      </c>
      <c r="D260" s="78" t="inlineStr">
        <is>
          <t>النخبة بالبديع والقرفي</t>
        </is>
      </c>
      <c r="E260" s="78" t="inlineStr">
        <is>
          <t>جازان</t>
        </is>
      </c>
      <c r="F260" s="78" t="inlineStr">
        <is>
          <t>أبو عريش</t>
        </is>
      </c>
      <c r="G260" s="78" t="inlineStr">
        <is>
          <t>تحت 14</t>
        </is>
      </c>
      <c r="H260" s="78" t="n">
        <v>1</v>
      </c>
    </row>
    <row r="261">
      <c r="B261" s="78" t="inlineStr">
        <is>
          <t>K526</t>
        </is>
      </c>
      <c r="C261" s="78" t="n">
        <v>524</v>
      </c>
      <c r="D261" s="78" t="inlineStr">
        <is>
          <t>نابولي الخشل</t>
        </is>
      </c>
      <c r="E261" s="78" t="inlineStr">
        <is>
          <t>جازان</t>
        </is>
      </c>
      <c r="F261" s="78" t="inlineStr">
        <is>
          <t>أبو عريش</t>
        </is>
      </c>
      <c r="G261" s="78" t="inlineStr">
        <is>
          <t>تحت 14</t>
        </is>
      </c>
      <c r="H261" s="78" t="n">
        <v>1</v>
      </c>
    </row>
    <row r="262">
      <c r="B262" s="78" t="inlineStr">
        <is>
          <t>L99</t>
        </is>
      </c>
      <c r="C262" s="78" t="n">
        <v>97</v>
      </c>
      <c r="D262" s="78" t="inlineStr">
        <is>
          <t xml:space="preserve">سهم المهدج </t>
        </is>
      </c>
      <c r="E262" s="78" t="inlineStr">
        <is>
          <t>جازان</t>
        </is>
      </c>
      <c r="F262" s="78" t="inlineStr">
        <is>
          <t>أبو عريش</t>
        </is>
      </c>
      <c r="G262" s="78" t="inlineStr">
        <is>
          <t>تحت 13</t>
        </is>
      </c>
      <c r="H262" s="78" t="n">
        <v>1</v>
      </c>
    </row>
    <row r="263">
      <c r="B263" s="78" t="inlineStr">
        <is>
          <t>L102</t>
        </is>
      </c>
      <c r="C263" s="78" t="n">
        <v>100</v>
      </c>
      <c r="D263" s="78" t="inlineStr">
        <is>
          <t>ملكي الزباره</t>
        </is>
      </c>
      <c r="E263" s="78" t="inlineStr">
        <is>
          <t>جازان</t>
        </is>
      </c>
      <c r="F263" s="78" t="inlineStr">
        <is>
          <t>أبو عريش</t>
        </is>
      </c>
      <c r="G263" s="78" t="inlineStr">
        <is>
          <t>تحت 13</t>
        </is>
      </c>
      <c r="H263" s="78" t="n">
        <v>1</v>
      </c>
    </row>
    <row r="264">
      <c r="B264" s="78" t="inlineStr">
        <is>
          <t>L141</t>
        </is>
      </c>
      <c r="C264" s="78" t="n">
        <v>139</v>
      </c>
      <c r="D264" s="78" t="inlineStr">
        <is>
          <t xml:space="preserve">البواسل-العارضة </t>
        </is>
      </c>
      <c r="E264" s="78" t="inlineStr">
        <is>
          <t>جازان</t>
        </is>
      </c>
      <c r="F264" s="78" t="inlineStr">
        <is>
          <t>أبو عريش</t>
        </is>
      </c>
      <c r="G264" s="78" t="inlineStr">
        <is>
          <t>تحت 13</t>
        </is>
      </c>
      <c r="H264" s="78" t="n">
        <v>1</v>
      </c>
    </row>
    <row r="265">
      <c r="B265" s="78" t="inlineStr">
        <is>
          <t>L153</t>
        </is>
      </c>
      <c r="C265" s="78" t="n">
        <v>151</v>
      </c>
      <c r="D265" s="78" t="inlineStr">
        <is>
          <t>ملكي صنبه</t>
        </is>
      </c>
      <c r="E265" s="78" t="inlineStr">
        <is>
          <t>جازان</t>
        </is>
      </c>
      <c r="F265" s="78" t="inlineStr">
        <is>
          <t>أبو عريش</t>
        </is>
      </c>
      <c r="G265" s="78" t="inlineStr">
        <is>
          <t>تحت 13</t>
        </is>
      </c>
      <c r="H265" s="78" t="n">
        <v>1</v>
      </c>
    </row>
    <row r="266">
      <c r="B266" s="78" t="inlineStr">
        <is>
          <t>L230</t>
        </is>
      </c>
      <c r="C266" s="78" t="n">
        <v>228</v>
      </c>
      <c r="D266" s="78" t="inlineStr">
        <is>
          <t>الفرسان -حاكمة ابوعريش</t>
        </is>
      </c>
      <c r="E266" s="78" t="inlineStr">
        <is>
          <t>جازان</t>
        </is>
      </c>
      <c r="F266" s="78" t="inlineStr">
        <is>
          <t>أبو عريش</t>
        </is>
      </c>
      <c r="G266" s="78" t="inlineStr">
        <is>
          <t>تحت 13</t>
        </is>
      </c>
      <c r="H266" s="78" t="n">
        <v>1</v>
      </c>
    </row>
    <row r="267">
      <c r="B267" s="78" t="inlineStr">
        <is>
          <t>L258</t>
        </is>
      </c>
      <c r="C267" s="78" t="n">
        <v>256</v>
      </c>
      <c r="D267" s="78" t="inlineStr">
        <is>
          <t>قلعة جازان</t>
        </is>
      </c>
      <c r="E267" s="78" t="inlineStr">
        <is>
          <t>جازان</t>
        </is>
      </c>
      <c r="F267" s="78" t="inlineStr">
        <is>
          <t>أبو عريش</t>
        </is>
      </c>
      <c r="G267" s="78" t="inlineStr">
        <is>
          <t>تحت 13</t>
        </is>
      </c>
      <c r="H267" s="78" t="n">
        <v>1</v>
      </c>
    </row>
    <row r="268">
      <c r="B268" s="78" t="inlineStr">
        <is>
          <t>L277</t>
        </is>
      </c>
      <c r="C268" s="78" t="n">
        <v>275</v>
      </c>
      <c r="D268" s="78" t="inlineStr">
        <is>
          <t>الرشيد حاكمة ابو عريش</t>
        </is>
      </c>
      <c r="E268" s="78" t="inlineStr">
        <is>
          <t>جازان</t>
        </is>
      </c>
      <c r="F268" s="78" t="inlineStr">
        <is>
          <t>أبو عريش</t>
        </is>
      </c>
      <c r="G268" s="78" t="inlineStr">
        <is>
          <t>تحت 13</t>
        </is>
      </c>
      <c r="H268" s="78" t="n">
        <v>1</v>
      </c>
    </row>
    <row r="269">
      <c r="B269" s="78" t="inlineStr">
        <is>
          <t>L286</t>
        </is>
      </c>
      <c r="C269" s="78" t="n">
        <v>284</v>
      </c>
      <c r="D269" s="78" t="inlineStr">
        <is>
          <t>الامل ابو نورة جازان</t>
        </is>
      </c>
      <c r="E269" s="78" t="inlineStr">
        <is>
          <t>جازان</t>
        </is>
      </c>
      <c r="F269" s="78" t="inlineStr">
        <is>
          <t>أبو عريش</t>
        </is>
      </c>
      <c r="G269" s="78" t="inlineStr">
        <is>
          <t>تحت 13</t>
        </is>
      </c>
      <c r="H269" s="78" t="n">
        <v>1</v>
      </c>
    </row>
    <row r="270">
      <c r="B270" s="78" t="inlineStr">
        <is>
          <t>L301</t>
        </is>
      </c>
      <c r="C270" s="78" t="n">
        <v>299</v>
      </c>
      <c r="D270" s="78" t="inlineStr">
        <is>
          <t>النخبة بالبديع والقرفي</t>
        </is>
      </c>
      <c r="E270" s="78" t="inlineStr">
        <is>
          <t>جازان</t>
        </is>
      </c>
      <c r="F270" s="78" t="inlineStr">
        <is>
          <t>أبو عريش</t>
        </is>
      </c>
      <c r="G270" s="78" t="inlineStr">
        <is>
          <t>تحت 13</t>
        </is>
      </c>
      <c r="H270" s="78" t="n">
        <v>1</v>
      </c>
    </row>
    <row r="271">
      <c r="B271" s="78" t="inlineStr">
        <is>
          <t>L526</t>
        </is>
      </c>
      <c r="C271" s="78" t="n">
        <v>524</v>
      </c>
      <c r="D271" s="78" t="inlineStr">
        <is>
          <t>نابولي الخشل</t>
        </is>
      </c>
      <c r="E271" s="78" t="inlineStr">
        <is>
          <t>جازان</t>
        </is>
      </c>
      <c r="F271" s="78" t="inlineStr">
        <is>
          <t>أبو عريش</t>
        </is>
      </c>
      <c r="G271" s="78" t="inlineStr">
        <is>
          <t>تحت 13</t>
        </is>
      </c>
      <c r="H271" s="78" t="n">
        <v>1</v>
      </c>
    </row>
    <row r="272">
      <c r="B272" s="78" t="inlineStr">
        <is>
          <t>M99</t>
        </is>
      </c>
      <c r="C272" s="78" t="n">
        <v>97</v>
      </c>
      <c r="D272" s="78" t="inlineStr">
        <is>
          <t xml:space="preserve">سهم المهدج </t>
        </is>
      </c>
      <c r="E272" s="78" t="inlineStr">
        <is>
          <t>جازان</t>
        </is>
      </c>
      <c r="F272" s="78" t="inlineStr">
        <is>
          <t>أبو عريش</t>
        </is>
      </c>
      <c r="G272" s="78" t="inlineStr">
        <is>
          <t>تحت 12</t>
        </is>
      </c>
      <c r="H272" s="78" t="n">
        <v>1</v>
      </c>
    </row>
    <row r="273">
      <c r="B273" s="78" t="inlineStr">
        <is>
          <t>M102</t>
        </is>
      </c>
      <c r="C273" s="78" t="n">
        <v>100</v>
      </c>
      <c r="D273" s="78" t="inlineStr">
        <is>
          <t>ملكي الزباره</t>
        </is>
      </c>
      <c r="E273" s="78" t="inlineStr">
        <is>
          <t>جازان</t>
        </is>
      </c>
      <c r="F273" s="78" t="inlineStr">
        <is>
          <t>أبو عريش</t>
        </is>
      </c>
      <c r="G273" s="78" t="inlineStr">
        <is>
          <t>تحت 12</t>
        </is>
      </c>
      <c r="H273" s="78" t="n">
        <v>1</v>
      </c>
    </row>
    <row r="274">
      <c r="B274" s="78" t="inlineStr">
        <is>
          <t>M141</t>
        </is>
      </c>
      <c r="C274" s="78" t="n">
        <v>139</v>
      </c>
      <c r="D274" s="78" t="inlineStr">
        <is>
          <t xml:space="preserve">البواسل-العارضة </t>
        </is>
      </c>
      <c r="E274" s="78" t="inlineStr">
        <is>
          <t>جازان</t>
        </is>
      </c>
      <c r="F274" s="78" t="inlineStr">
        <is>
          <t>أبو عريش</t>
        </is>
      </c>
      <c r="G274" s="78" t="inlineStr">
        <is>
          <t>تحت 12</t>
        </is>
      </c>
      <c r="H274" s="78" t="n">
        <v>1</v>
      </c>
    </row>
    <row r="275">
      <c r="B275" s="78" t="inlineStr">
        <is>
          <t>M153</t>
        </is>
      </c>
      <c r="C275" s="78" t="n">
        <v>151</v>
      </c>
      <c r="D275" s="78" t="inlineStr">
        <is>
          <t>ملكي صنبه</t>
        </is>
      </c>
      <c r="E275" s="78" t="inlineStr">
        <is>
          <t>جازان</t>
        </is>
      </c>
      <c r="F275" s="78" t="inlineStr">
        <is>
          <t>أبو عريش</t>
        </is>
      </c>
      <c r="G275" s="78" t="inlineStr">
        <is>
          <t>تحت 12</t>
        </is>
      </c>
      <c r="H275" s="78" t="n">
        <v>1</v>
      </c>
    </row>
    <row r="276">
      <c r="B276" s="78" t="inlineStr">
        <is>
          <t>M230</t>
        </is>
      </c>
      <c r="C276" s="78" t="n">
        <v>228</v>
      </c>
      <c r="D276" s="78" t="inlineStr">
        <is>
          <t>الفرسان -حاكمة ابوعريش</t>
        </is>
      </c>
      <c r="E276" s="78" t="inlineStr">
        <is>
          <t>جازان</t>
        </is>
      </c>
      <c r="F276" s="78" t="inlineStr">
        <is>
          <t>أبو عريش</t>
        </is>
      </c>
      <c r="G276" s="78" t="inlineStr">
        <is>
          <t>تحت 12</t>
        </is>
      </c>
      <c r="H276" s="78" t="n">
        <v>1</v>
      </c>
    </row>
    <row r="277">
      <c r="B277" s="78" t="inlineStr">
        <is>
          <t>M277</t>
        </is>
      </c>
      <c r="C277" s="78" t="n">
        <v>275</v>
      </c>
      <c r="D277" s="78" t="inlineStr">
        <is>
          <t>الرشيد حاكمة ابو عريش</t>
        </is>
      </c>
      <c r="E277" s="78" t="inlineStr">
        <is>
          <t>جازان</t>
        </is>
      </c>
      <c r="F277" s="78" t="inlineStr">
        <is>
          <t>أبو عريش</t>
        </is>
      </c>
      <c r="G277" s="78" t="inlineStr">
        <is>
          <t>تحت 12</t>
        </is>
      </c>
      <c r="H277" s="78" t="n">
        <v>1</v>
      </c>
    </row>
    <row r="278">
      <c r="B278" s="78" t="inlineStr">
        <is>
          <t>M286</t>
        </is>
      </c>
      <c r="C278" s="78" t="n">
        <v>284</v>
      </c>
      <c r="D278" s="78" t="inlineStr">
        <is>
          <t>الامل ابو نورة جازان</t>
        </is>
      </c>
      <c r="E278" s="78" t="inlineStr">
        <is>
          <t>جازان</t>
        </is>
      </c>
      <c r="F278" s="78" t="inlineStr">
        <is>
          <t>أبو عريش</t>
        </is>
      </c>
      <c r="G278" s="78" t="inlineStr">
        <is>
          <t>تحت 12</t>
        </is>
      </c>
      <c r="H278" s="78" t="n">
        <v>1</v>
      </c>
    </row>
    <row r="279">
      <c r="B279" s="78" t="inlineStr">
        <is>
          <t>M301</t>
        </is>
      </c>
      <c r="C279" s="78" t="n">
        <v>299</v>
      </c>
      <c r="D279" s="78" t="inlineStr">
        <is>
          <t>النخبة بالبديع والقرفي</t>
        </is>
      </c>
      <c r="E279" s="78" t="inlineStr">
        <is>
          <t>جازان</t>
        </is>
      </c>
      <c r="F279" s="78" t="inlineStr">
        <is>
          <t>أبو عريش</t>
        </is>
      </c>
      <c r="G279" s="78" t="inlineStr">
        <is>
          <t>تحت 12</t>
        </is>
      </c>
      <c r="H279" s="78" t="n">
        <v>1</v>
      </c>
    </row>
    <row r="280">
      <c r="B280" s="78" t="inlineStr">
        <is>
          <t>M526</t>
        </is>
      </c>
      <c r="C280" s="78" t="n">
        <v>524</v>
      </c>
      <c r="D280" s="78" t="inlineStr">
        <is>
          <t>نابولي الخشل</t>
        </is>
      </c>
      <c r="E280" s="78" t="inlineStr">
        <is>
          <t>جازان</t>
        </is>
      </c>
      <c r="F280" s="78" t="inlineStr">
        <is>
          <t>أبو عريش</t>
        </is>
      </c>
      <c r="G280" s="78" t="inlineStr">
        <is>
          <t>تحت 12</t>
        </is>
      </c>
      <c r="H280" s="78" t="n">
        <v>1</v>
      </c>
    </row>
    <row r="281">
      <c r="B281" s="78" t="inlineStr">
        <is>
          <t>N99</t>
        </is>
      </c>
      <c r="C281" s="78" t="n">
        <v>97</v>
      </c>
      <c r="D281" s="78" t="inlineStr">
        <is>
          <t xml:space="preserve">سهم المهدج </t>
        </is>
      </c>
      <c r="E281" s="78" t="inlineStr">
        <is>
          <t>جازان</t>
        </is>
      </c>
      <c r="F281" s="78" t="inlineStr">
        <is>
          <t>أبو عريش</t>
        </is>
      </c>
      <c r="G281" s="78" t="inlineStr">
        <is>
          <t>تحت 11</t>
        </is>
      </c>
      <c r="H281" s="78" t="n">
        <v>1</v>
      </c>
    </row>
    <row r="282">
      <c r="B282" s="78" t="inlineStr">
        <is>
          <t>N102</t>
        </is>
      </c>
      <c r="C282" s="78" t="n">
        <v>100</v>
      </c>
      <c r="D282" s="78" t="inlineStr">
        <is>
          <t>ملكي الزباره</t>
        </is>
      </c>
      <c r="E282" s="78" t="inlineStr">
        <is>
          <t>جازان</t>
        </is>
      </c>
      <c r="F282" s="78" t="inlineStr">
        <is>
          <t>أبو عريش</t>
        </is>
      </c>
      <c r="G282" s="78" t="inlineStr">
        <is>
          <t>تحت 11</t>
        </is>
      </c>
      <c r="H282" s="78" t="n">
        <v>1</v>
      </c>
    </row>
    <row r="283">
      <c r="B283" s="78" t="inlineStr">
        <is>
          <t>N141</t>
        </is>
      </c>
      <c r="C283" s="78" t="n">
        <v>139</v>
      </c>
      <c r="D283" s="78" t="inlineStr">
        <is>
          <t xml:space="preserve">البواسل-العارضة </t>
        </is>
      </c>
      <c r="E283" s="78" t="inlineStr">
        <is>
          <t>جازان</t>
        </is>
      </c>
      <c r="F283" s="78" t="inlineStr">
        <is>
          <t>أبو عريش</t>
        </is>
      </c>
      <c r="G283" s="78" t="inlineStr">
        <is>
          <t>تحت 11</t>
        </is>
      </c>
      <c r="H283" s="78" t="n">
        <v>1</v>
      </c>
    </row>
    <row r="284">
      <c r="B284" s="78" t="inlineStr">
        <is>
          <t>N153</t>
        </is>
      </c>
      <c r="C284" s="78" t="n">
        <v>151</v>
      </c>
      <c r="D284" s="78" t="inlineStr">
        <is>
          <t>ملكي صنبه</t>
        </is>
      </c>
      <c r="E284" s="78" t="inlineStr">
        <is>
          <t>جازان</t>
        </is>
      </c>
      <c r="F284" s="78" t="inlineStr">
        <is>
          <t>أبو عريش</t>
        </is>
      </c>
      <c r="G284" s="78" t="inlineStr">
        <is>
          <t>تحت 11</t>
        </is>
      </c>
      <c r="H284" s="78" t="n">
        <v>1</v>
      </c>
    </row>
    <row r="285">
      <c r="B285" s="78" t="inlineStr">
        <is>
          <t>N230</t>
        </is>
      </c>
      <c r="C285" s="78" t="n">
        <v>228</v>
      </c>
      <c r="D285" s="78" t="inlineStr">
        <is>
          <t>الفرسان -حاكمة ابوعريش</t>
        </is>
      </c>
      <c r="E285" s="78" t="inlineStr">
        <is>
          <t>جازان</t>
        </is>
      </c>
      <c r="F285" s="78" t="inlineStr">
        <is>
          <t>أبو عريش</t>
        </is>
      </c>
      <c r="G285" s="78" t="inlineStr">
        <is>
          <t>تحت 11</t>
        </is>
      </c>
      <c r="H285" s="78" t="n">
        <v>1</v>
      </c>
    </row>
    <row r="286">
      <c r="B286" s="78" t="inlineStr">
        <is>
          <t>N277</t>
        </is>
      </c>
      <c r="C286" s="78" t="n">
        <v>275</v>
      </c>
      <c r="D286" s="78" t="inlineStr">
        <is>
          <t>الرشيد حاكمة ابو عريش</t>
        </is>
      </c>
      <c r="E286" s="78" t="inlineStr">
        <is>
          <t>جازان</t>
        </is>
      </c>
      <c r="F286" s="78" t="inlineStr">
        <is>
          <t>أبو عريش</t>
        </is>
      </c>
      <c r="G286" s="78" t="inlineStr">
        <is>
          <t>تحت 11</t>
        </is>
      </c>
      <c r="H286" s="78" t="n">
        <v>1</v>
      </c>
    </row>
    <row r="287">
      <c r="B287" s="78" t="inlineStr">
        <is>
          <t>N286</t>
        </is>
      </c>
      <c r="C287" s="78" t="n">
        <v>284</v>
      </c>
      <c r="D287" s="78" t="inlineStr">
        <is>
          <t>الامل ابو نورة جازان</t>
        </is>
      </c>
      <c r="E287" s="78" t="inlineStr">
        <is>
          <t>جازان</t>
        </is>
      </c>
      <c r="F287" s="78" t="inlineStr">
        <is>
          <t>أبو عريش</t>
        </is>
      </c>
      <c r="G287" s="78" t="inlineStr">
        <is>
          <t>تحت 11</t>
        </is>
      </c>
      <c r="H287" s="78" t="n">
        <v>1</v>
      </c>
    </row>
    <row r="288">
      <c r="B288" s="78" t="inlineStr">
        <is>
          <t>N301</t>
        </is>
      </c>
      <c r="C288" s="78" t="n">
        <v>299</v>
      </c>
      <c r="D288" s="78" t="inlineStr">
        <is>
          <t>النخبة بالبديع والقرفي</t>
        </is>
      </c>
      <c r="E288" s="78" t="inlineStr">
        <is>
          <t>جازان</t>
        </is>
      </c>
      <c r="F288" s="78" t="inlineStr">
        <is>
          <t>أبو عريش</t>
        </is>
      </c>
      <c r="G288" s="78" t="inlineStr">
        <is>
          <t>تحت 11</t>
        </is>
      </c>
      <c r="H288" s="78" t="n">
        <v>1</v>
      </c>
    </row>
    <row r="289">
      <c r="B289" s="78" t="inlineStr">
        <is>
          <t>N526</t>
        </is>
      </c>
      <c r="C289" s="78" t="n">
        <v>524</v>
      </c>
      <c r="D289" s="78" t="inlineStr">
        <is>
          <t>نابولي الخشل</t>
        </is>
      </c>
      <c r="E289" s="78" t="inlineStr">
        <is>
          <t>جازان</t>
        </is>
      </c>
      <c r="F289" s="78" t="inlineStr">
        <is>
          <t>أبو عريش</t>
        </is>
      </c>
      <c r="G289" s="78" t="inlineStr">
        <is>
          <t>تحت 11</t>
        </is>
      </c>
      <c r="H289" s="78" t="n">
        <v>1</v>
      </c>
    </row>
    <row r="290">
      <c r="B290" s="78" t="inlineStr">
        <is>
          <t>O99</t>
        </is>
      </c>
      <c r="C290" s="78" t="n">
        <v>97</v>
      </c>
      <c r="D290" s="78" t="inlineStr">
        <is>
          <t xml:space="preserve">سهم المهدج </t>
        </is>
      </c>
      <c r="E290" s="78" t="inlineStr">
        <is>
          <t>جازان</t>
        </is>
      </c>
      <c r="F290" s="78" t="inlineStr">
        <is>
          <t>أبو عريش</t>
        </is>
      </c>
      <c r="G290" s="78" t="inlineStr">
        <is>
          <t>تحت 9</t>
        </is>
      </c>
      <c r="H290" s="78" t="n">
        <v>1</v>
      </c>
    </row>
    <row r="291">
      <c r="B291" s="78" t="inlineStr">
        <is>
          <t>O102</t>
        </is>
      </c>
      <c r="C291" s="78" t="n">
        <v>100</v>
      </c>
      <c r="D291" s="78" t="inlineStr">
        <is>
          <t>ملكي الزباره</t>
        </is>
      </c>
      <c r="E291" s="78" t="inlineStr">
        <is>
          <t>جازان</t>
        </is>
      </c>
      <c r="F291" s="78" t="inlineStr">
        <is>
          <t>أبو عريش</t>
        </is>
      </c>
      <c r="G291" s="78" t="inlineStr">
        <is>
          <t>تحت 9</t>
        </is>
      </c>
      <c r="H291" s="78" t="n">
        <v>1</v>
      </c>
    </row>
    <row r="292">
      <c r="B292" s="78" t="inlineStr">
        <is>
          <t>O141</t>
        </is>
      </c>
      <c r="C292" s="78" t="n">
        <v>139</v>
      </c>
      <c r="D292" s="78" t="inlineStr">
        <is>
          <t xml:space="preserve">البواسل-العارضة </t>
        </is>
      </c>
      <c r="E292" s="78" t="inlineStr">
        <is>
          <t>جازان</t>
        </is>
      </c>
      <c r="F292" s="78" t="inlineStr">
        <is>
          <t>أبو عريش</t>
        </is>
      </c>
      <c r="G292" s="78" t="inlineStr">
        <is>
          <t>تحت 9</t>
        </is>
      </c>
      <c r="H292" s="78" t="n">
        <v>1</v>
      </c>
    </row>
    <row r="293">
      <c r="B293" s="78" t="inlineStr">
        <is>
          <t>O153</t>
        </is>
      </c>
      <c r="C293" s="78" t="n">
        <v>151</v>
      </c>
      <c r="D293" s="78" t="inlineStr">
        <is>
          <t>ملكي صنبه</t>
        </is>
      </c>
      <c r="E293" s="78" t="inlineStr">
        <is>
          <t>جازان</t>
        </is>
      </c>
      <c r="F293" s="78" t="inlineStr">
        <is>
          <t>أبو عريش</t>
        </is>
      </c>
      <c r="G293" s="78" t="inlineStr">
        <is>
          <t>تحت 9</t>
        </is>
      </c>
      <c r="H293" s="78" t="n">
        <v>1</v>
      </c>
    </row>
    <row r="294">
      <c r="B294" s="78" t="inlineStr">
        <is>
          <t>O230</t>
        </is>
      </c>
      <c r="C294" s="78" t="n">
        <v>228</v>
      </c>
      <c r="D294" s="78" t="inlineStr">
        <is>
          <t>الفرسان -حاكمة ابوعريش</t>
        </is>
      </c>
      <c r="E294" s="78" t="inlineStr">
        <is>
          <t>جازان</t>
        </is>
      </c>
      <c r="F294" s="78" t="inlineStr">
        <is>
          <t>أبو عريش</t>
        </is>
      </c>
      <c r="G294" s="78" t="inlineStr">
        <is>
          <t>تحت 9</t>
        </is>
      </c>
      <c r="H294" s="78" t="n">
        <v>1</v>
      </c>
    </row>
    <row r="295">
      <c r="B295" s="78" t="inlineStr">
        <is>
          <t>O277</t>
        </is>
      </c>
      <c r="C295" s="78" t="n">
        <v>275</v>
      </c>
      <c r="D295" s="78" t="inlineStr">
        <is>
          <t>الرشيد حاكمة ابو عريش</t>
        </is>
      </c>
      <c r="E295" s="78" t="inlineStr">
        <is>
          <t>جازان</t>
        </is>
      </c>
      <c r="F295" s="78" t="inlineStr">
        <is>
          <t>أبو عريش</t>
        </is>
      </c>
      <c r="G295" s="78" t="inlineStr">
        <is>
          <t>تحت 9</t>
        </is>
      </c>
      <c r="H295" s="78" t="n">
        <v>1</v>
      </c>
    </row>
    <row r="296">
      <c r="B296" s="78" t="inlineStr">
        <is>
          <t>O286</t>
        </is>
      </c>
      <c r="C296" s="78" t="n">
        <v>284</v>
      </c>
      <c r="D296" s="78" t="inlineStr">
        <is>
          <t>الامل ابو نورة جازان</t>
        </is>
      </c>
      <c r="E296" s="78" t="inlineStr">
        <is>
          <t>جازان</t>
        </is>
      </c>
      <c r="F296" s="78" t="inlineStr">
        <is>
          <t>أبو عريش</t>
        </is>
      </c>
      <c r="G296" s="78" t="inlineStr">
        <is>
          <t>تحت 9</t>
        </is>
      </c>
      <c r="H296" s="78" t="n">
        <v>1</v>
      </c>
    </row>
    <row r="297">
      <c r="B297" s="78" t="inlineStr">
        <is>
          <t>O301</t>
        </is>
      </c>
      <c r="C297" s="78" t="n">
        <v>299</v>
      </c>
      <c r="D297" s="78" t="inlineStr">
        <is>
          <t>النخبة بالبديع والقرفي</t>
        </is>
      </c>
      <c r="E297" s="78" t="inlineStr">
        <is>
          <t>جازان</t>
        </is>
      </c>
      <c r="F297" s="78" t="inlineStr">
        <is>
          <t>أبو عريش</t>
        </is>
      </c>
      <c r="G297" s="78" t="inlineStr">
        <is>
          <t>تحت 9</t>
        </is>
      </c>
      <c r="H297" s="78" t="n">
        <v>1</v>
      </c>
    </row>
    <row r="298">
      <c r="B298" s="78" t="inlineStr">
        <is>
          <t>O526</t>
        </is>
      </c>
      <c r="C298" s="78" t="n">
        <v>524</v>
      </c>
      <c r="D298" s="78" t="inlineStr">
        <is>
          <t>نابولي الخشل</t>
        </is>
      </c>
      <c r="E298" s="78" t="inlineStr">
        <is>
          <t>جازان</t>
        </is>
      </c>
      <c r="F298" s="78" t="inlineStr">
        <is>
          <t>أبو عريش</t>
        </is>
      </c>
      <c r="G298" s="78" t="inlineStr">
        <is>
          <t>تحت 9</t>
        </is>
      </c>
      <c r="H298" s="78" t="n">
        <v>1</v>
      </c>
    </row>
    <row r="299">
      <c r="B299" s="78" t="inlineStr">
        <is>
          <t>P99</t>
        </is>
      </c>
      <c r="C299" s="78" t="n">
        <v>97</v>
      </c>
      <c r="D299" s="78" t="inlineStr">
        <is>
          <t xml:space="preserve">سهم المهدج </t>
        </is>
      </c>
      <c r="E299" s="78" t="inlineStr">
        <is>
          <t>جازان</t>
        </is>
      </c>
      <c r="F299" s="78" t="inlineStr">
        <is>
          <t>أبو عريش</t>
        </is>
      </c>
      <c r="G299" s="78" t="inlineStr">
        <is>
          <t>تحت 7</t>
        </is>
      </c>
      <c r="H299" s="78" t="n">
        <v>1</v>
      </c>
    </row>
    <row r="300">
      <c r="B300" s="78" t="inlineStr">
        <is>
          <t>P102</t>
        </is>
      </c>
      <c r="C300" s="78" t="n">
        <v>100</v>
      </c>
      <c r="D300" s="78" t="inlineStr">
        <is>
          <t>ملكي الزباره</t>
        </is>
      </c>
      <c r="E300" s="78" t="inlineStr">
        <is>
          <t>جازان</t>
        </is>
      </c>
      <c r="F300" s="78" t="inlineStr">
        <is>
          <t>أبو عريش</t>
        </is>
      </c>
      <c r="G300" s="78" t="inlineStr">
        <is>
          <t>تحت 7</t>
        </is>
      </c>
      <c r="H300" s="78" t="n">
        <v>1</v>
      </c>
    </row>
    <row r="301">
      <c r="B301" s="78" t="inlineStr">
        <is>
          <t>P141</t>
        </is>
      </c>
      <c r="C301" s="78" t="n">
        <v>139</v>
      </c>
      <c r="D301" s="78" t="inlineStr">
        <is>
          <t xml:space="preserve">البواسل-العارضة </t>
        </is>
      </c>
      <c r="E301" s="78" t="inlineStr">
        <is>
          <t>جازان</t>
        </is>
      </c>
      <c r="F301" s="78" t="inlineStr">
        <is>
          <t>أبو عريش</t>
        </is>
      </c>
      <c r="G301" s="78" t="inlineStr">
        <is>
          <t>تحت 7</t>
        </is>
      </c>
      <c r="H301" s="78" t="n">
        <v>1</v>
      </c>
    </row>
    <row r="302">
      <c r="B302" s="78" t="inlineStr">
        <is>
          <t>P153</t>
        </is>
      </c>
      <c r="C302" s="78" t="n">
        <v>151</v>
      </c>
      <c r="D302" s="78" t="inlineStr">
        <is>
          <t>ملكي صنبه</t>
        </is>
      </c>
      <c r="E302" s="78" t="inlineStr">
        <is>
          <t>جازان</t>
        </is>
      </c>
      <c r="F302" s="78" t="inlineStr">
        <is>
          <t>أبو عريش</t>
        </is>
      </c>
      <c r="G302" s="78" t="inlineStr">
        <is>
          <t>تحت 7</t>
        </is>
      </c>
      <c r="H302" s="78" t="n">
        <v>1</v>
      </c>
    </row>
    <row r="303">
      <c r="B303" s="78" t="inlineStr">
        <is>
          <t>P230</t>
        </is>
      </c>
      <c r="C303" s="78" t="n">
        <v>228</v>
      </c>
      <c r="D303" s="78" t="inlineStr">
        <is>
          <t>الفرسان -حاكمة ابوعريش</t>
        </is>
      </c>
      <c r="E303" s="78" t="inlineStr">
        <is>
          <t>جازان</t>
        </is>
      </c>
      <c r="F303" s="78" t="inlineStr">
        <is>
          <t>أبو عريش</t>
        </is>
      </c>
      <c r="G303" s="78" t="inlineStr">
        <is>
          <t>تحت 7</t>
        </is>
      </c>
      <c r="H303" s="78" t="n">
        <v>1</v>
      </c>
    </row>
    <row r="304">
      <c r="B304" s="78" t="inlineStr">
        <is>
          <t>P277</t>
        </is>
      </c>
      <c r="C304" s="78" t="n">
        <v>275</v>
      </c>
      <c r="D304" s="78" t="inlineStr">
        <is>
          <t>الرشيد حاكمة ابو عريش</t>
        </is>
      </c>
      <c r="E304" s="78" t="inlineStr">
        <is>
          <t>جازان</t>
        </is>
      </c>
      <c r="F304" s="78" t="inlineStr">
        <is>
          <t>أبو عريش</t>
        </is>
      </c>
      <c r="G304" s="78" t="inlineStr">
        <is>
          <t>تحت 7</t>
        </is>
      </c>
      <c r="H304" s="78" t="n">
        <v>1</v>
      </c>
    </row>
    <row r="305">
      <c r="B305" s="78" t="inlineStr">
        <is>
          <t>P286</t>
        </is>
      </c>
      <c r="C305" s="78" t="n">
        <v>284</v>
      </c>
      <c r="D305" s="78" t="inlineStr">
        <is>
          <t>الامل ابو نورة جازان</t>
        </is>
      </c>
      <c r="E305" s="78" t="inlineStr">
        <is>
          <t>جازان</t>
        </is>
      </c>
      <c r="F305" s="78" t="inlineStr">
        <is>
          <t>أبو عريش</t>
        </is>
      </c>
      <c r="G305" s="78" t="inlineStr">
        <is>
          <t>تحت 7</t>
        </is>
      </c>
      <c r="H305" s="78" t="n">
        <v>1</v>
      </c>
    </row>
    <row r="306">
      <c r="B306" s="78" t="inlineStr">
        <is>
          <t>P301</t>
        </is>
      </c>
      <c r="C306" s="78" t="n">
        <v>299</v>
      </c>
      <c r="D306" s="78" t="inlineStr">
        <is>
          <t>النخبة بالبديع والقرفي</t>
        </is>
      </c>
      <c r="E306" s="78" t="inlineStr">
        <is>
          <t>جازان</t>
        </is>
      </c>
      <c r="F306" s="78" t="inlineStr">
        <is>
          <t>أبو عريش</t>
        </is>
      </c>
      <c r="G306" s="78" t="inlineStr">
        <is>
          <t>تحت 7</t>
        </is>
      </c>
      <c r="H306" s="78" t="n">
        <v>1</v>
      </c>
    </row>
    <row r="307">
      <c r="B307" s="78" t="inlineStr">
        <is>
          <t>P526</t>
        </is>
      </c>
      <c r="C307" s="78" t="n">
        <v>524</v>
      </c>
      <c r="D307" s="78" t="inlineStr">
        <is>
          <t>نابولي الخشل</t>
        </is>
      </c>
      <c r="E307" s="78" t="inlineStr">
        <is>
          <t>جازان</t>
        </is>
      </c>
      <c r="F307" s="78" t="inlineStr">
        <is>
          <t>أبو عريش</t>
        </is>
      </c>
      <c r="G307" s="78" t="inlineStr">
        <is>
          <t>تحت 7</t>
        </is>
      </c>
      <c r="H307" s="78" t="n">
        <v>1</v>
      </c>
    </row>
    <row r="308">
      <c r="B308" s="78" t="inlineStr">
        <is>
          <t>Q99</t>
        </is>
      </c>
      <c r="C308" s="78" t="n">
        <v>97</v>
      </c>
      <c r="D308" s="78" t="inlineStr">
        <is>
          <t xml:space="preserve">سهم المهدج </t>
        </is>
      </c>
      <c r="E308" s="78" t="inlineStr">
        <is>
          <t>جازان</t>
        </is>
      </c>
      <c r="F308" s="78" t="inlineStr">
        <is>
          <t>أبو عريش</t>
        </is>
      </c>
      <c r="G308" s="78" t="inlineStr">
        <is>
          <t>تحت 5</t>
        </is>
      </c>
      <c r="H308" s="78" t="n">
        <v>1</v>
      </c>
    </row>
    <row r="309">
      <c r="B309" s="78" t="inlineStr">
        <is>
          <t>Q102</t>
        </is>
      </c>
      <c r="C309" s="78" t="n">
        <v>100</v>
      </c>
      <c r="D309" s="78" t="inlineStr">
        <is>
          <t>ملكي الزباره</t>
        </is>
      </c>
      <c r="E309" s="78" t="inlineStr">
        <is>
          <t>جازان</t>
        </is>
      </c>
      <c r="F309" s="78" t="inlineStr">
        <is>
          <t>أبو عريش</t>
        </is>
      </c>
      <c r="G309" s="78" t="inlineStr">
        <is>
          <t>تحت 5</t>
        </is>
      </c>
      <c r="H309" s="78" t="n">
        <v>1</v>
      </c>
    </row>
    <row r="310">
      <c r="B310" s="78" t="inlineStr">
        <is>
          <t>Q141</t>
        </is>
      </c>
      <c r="C310" s="78" t="n">
        <v>139</v>
      </c>
      <c r="D310" s="78" t="inlineStr">
        <is>
          <t xml:space="preserve">البواسل-العارضة </t>
        </is>
      </c>
      <c r="E310" s="78" t="inlineStr">
        <is>
          <t>جازان</t>
        </is>
      </c>
      <c r="F310" s="78" t="inlineStr">
        <is>
          <t>أبو عريش</t>
        </is>
      </c>
      <c r="G310" s="78" t="inlineStr">
        <is>
          <t>تحت 5</t>
        </is>
      </c>
      <c r="H310" s="78" t="n">
        <v>1</v>
      </c>
    </row>
    <row r="311">
      <c r="B311" s="78" t="inlineStr">
        <is>
          <t>Q153</t>
        </is>
      </c>
      <c r="C311" s="78" t="n">
        <v>151</v>
      </c>
      <c r="D311" s="78" t="inlineStr">
        <is>
          <t>ملكي صنبه</t>
        </is>
      </c>
      <c r="E311" s="78" t="inlineStr">
        <is>
          <t>جازان</t>
        </is>
      </c>
      <c r="F311" s="78" t="inlineStr">
        <is>
          <t>أبو عريش</t>
        </is>
      </c>
      <c r="G311" s="78" t="inlineStr">
        <is>
          <t>تحت 5</t>
        </is>
      </c>
      <c r="H311" s="78" t="n">
        <v>1</v>
      </c>
    </row>
    <row r="312">
      <c r="B312" s="78" t="inlineStr">
        <is>
          <t>Q230</t>
        </is>
      </c>
      <c r="C312" s="78" t="n">
        <v>228</v>
      </c>
      <c r="D312" s="78" t="inlineStr">
        <is>
          <t>الفرسان -حاكمة ابوعريش</t>
        </is>
      </c>
      <c r="E312" s="78" t="inlineStr">
        <is>
          <t>جازان</t>
        </is>
      </c>
      <c r="F312" s="78" t="inlineStr">
        <is>
          <t>أبو عريش</t>
        </is>
      </c>
      <c r="G312" s="78" t="inlineStr">
        <is>
          <t>تحت 5</t>
        </is>
      </c>
      <c r="H312" s="78" t="n">
        <v>1</v>
      </c>
    </row>
    <row r="313">
      <c r="B313" s="78" t="inlineStr">
        <is>
          <t>Q277</t>
        </is>
      </c>
      <c r="C313" s="78" t="n">
        <v>275</v>
      </c>
      <c r="D313" s="78" t="inlineStr">
        <is>
          <t>الرشيد حاكمة ابو عريش</t>
        </is>
      </c>
      <c r="E313" s="78" t="inlineStr">
        <is>
          <t>جازان</t>
        </is>
      </c>
      <c r="F313" s="78" t="inlineStr">
        <is>
          <t>أبو عريش</t>
        </is>
      </c>
      <c r="G313" s="78" t="inlineStr">
        <is>
          <t>تحت 5</t>
        </is>
      </c>
      <c r="H313" s="78" t="n">
        <v>1</v>
      </c>
    </row>
    <row r="314">
      <c r="B314" s="78" t="inlineStr">
        <is>
          <t>Q286</t>
        </is>
      </c>
      <c r="C314" s="78" t="n">
        <v>284</v>
      </c>
      <c r="D314" s="78" t="inlineStr">
        <is>
          <t>الامل ابو نورة جازان</t>
        </is>
      </c>
      <c r="E314" s="78" t="inlineStr">
        <is>
          <t>جازان</t>
        </is>
      </c>
      <c r="F314" s="78" t="inlineStr">
        <is>
          <t>أبو عريش</t>
        </is>
      </c>
      <c r="G314" s="78" t="inlineStr">
        <is>
          <t>تحت 5</t>
        </is>
      </c>
      <c r="H314" s="78" t="n">
        <v>1</v>
      </c>
    </row>
    <row r="315">
      <c r="B315" s="78" t="inlineStr">
        <is>
          <t>Q301</t>
        </is>
      </c>
      <c r="C315" s="78" t="n">
        <v>299</v>
      </c>
      <c r="D315" s="78" t="inlineStr">
        <is>
          <t>النخبة بالبديع والقرفي</t>
        </is>
      </c>
      <c r="E315" s="78" t="inlineStr">
        <is>
          <t>جازان</t>
        </is>
      </c>
      <c r="F315" s="78" t="inlineStr">
        <is>
          <t>أبو عريش</t>
        </is>
      </c>
      <c r="G315" s="78" t="inlineStr">
        <is>
          <t>تحت 5</t>
        </is>
      </c>
      <c r="H315" s="78" t="n">
        <v>1</v>
      </c>
    </row>
    <row r="316">
      <c r="B316" s="78" t="inlineStr">
        <is>
          <t>Q526</t>
        </is>
      </c>
      <c r="C316" s="78" t="n">
        <v>524</v>
      </c>
      <c r="D316" s="78" t="inlineStr">
        <is>
          <t>نابولي الخشل</t>
        </is>
      </c>
      <c r="E316" s="78" t="inlineStr">
        <is>
          <t>جازان</t>
        </is>
      </c>
      <c r="F316" s="78" t="inlineStr">
        <is>
          <t>أبو عريش</t>
        </is>
      </c>
      <c r="G316" s="78" t="inlineStr">
        <is>
          <t>تحت 5</t>
        </is>
      </c>
      <c r="H316" s="78" t="n">
        <v>1</v>
      </c>
    </row>
    <row r="317">
      <c r="B317" s="78" t="inlineStr">
        <is>
          <t>O105</t>
        </is>
      </c>
      <c r="C317" s="78" t="n">
        <v>103</v>
      </c>
      <c r="D317" s="78" t="inlineStr">
        <is>
          <t>النسور الاحساء</t>
        </is>
      </c>
      <c r="E317" s="78" t="inlineStr">
        <is>
          <t>الشرقية</t>
        </is>
      </c>
      <c r="F317" s="78" t="inlineStr">
        <is>
          <t>الأحساء</t>
        </is>
      </c>
      <c r="G317" s="78" t="inlineStr">
        <is>
          <t>تحت 9</t>
        </is>
      </c>
      <c r="H317" s="78" t="n">
        <v>1</v>
      </c>
    </row>
    <row r="318">
      <c r="B318" s="78" t="inlineStr">
        <is>
          <t>O106</t>
        </is>
      </c>
      <c r="C318" s="78" t="n">
        <v>104</v>
      </c>
      <c r="D318" s="78" t="inlineStr">
        <is>
          <t>الازدهار</t>
        </is>
      </c>
      <c r="E318" s="78" t="inlineStr">
        <is>
          <t>الشرقية</t>
        </is>
      </c>
      <c r="F318" s="78" t="inlineStr">
        <is>
          <t>الأحساء</t>
        </is>
      </c>
      <c r="G318" s="78" t="inlineStr">
        <is>
          <t>تحت 9</t>
        </is>
      </c>
      <c r="H318" s="78" t="n">
        <v>1</v>
      </c>
    </row>
    <row r="319">
      <c r="B319" s="78" t="inlineStr">
        <is>
          <t>O235</t>
        </is>
      </c>
      <c r="C319" s="78" t="n">
        <v>233</v>
      </c>
      <c r="D319" s="78" t="inlineStr">
        <is>
          <t xml:space="preserve">العهد الاسكان </t>
        </is>
      </c>
      <c r="E319" s="78" t="inlineStr">
        <is>
          <t>الشرقية</t>
        </is>
      </c>
      <c r="F319" s="78" t="inlineStr">
        <is>
          <t>الأحساء</t>
        </is>
      </c>
      <c r="G319" s="78" t="inlineStr">
        <is>
          <t>تحت 9</t>
        </is>
      </c>
      <c r="H319" s="78" t="n">
        <v>1</v>
      </c>
    </row>
    <row r="320">
      <c r="B320" s="78" t="inlineStr">
        <is>
          <t>O279</t>
        </is>
      </c>
      <c r="C320" s="78" t="n">
        <v>277</v>
      </c>
      <c r="D320" s="78" t="inlineStr">
        <is>
          <t>فريق النبراس</t>
        </is>
      </c>
      <c r="E320" s="78" t="inlineStr">
        <is>
          <t>الشرقية</t>
        </is>
      </c>
      <c r="F320" s="78" t="inlineStr">
        <is>
          <t>الأحساء</t>
        </is>
      </c>
      <c r="G320" s="78" t="inlineStr">
        <is>
          <t>تحت 9</t>
        </is>
      </c>
      <c r="H320" s="78" t="n">
        <v>1</v>
      </c>
    </row>
    <row r="321">
      <c r="B321" s="78" t="inlineStr">
        <is>
          <t>O415</t>
        </is>
      </c>
      <c r="C321" s="78" t="n">
        <v>413</v>
      </c>
      <c r="D321" s="78" t="inlineStr">
        <is>
          <t>شباب الطرف</t>
        </is>
      </c>
      <c r="E321" s="78" t="inlineStr">
        <is>
          <t>الشرقية</t>
        </is>
      </c>
      <c r="F321" s="78" t="inlineStr">
        <is>
          <t>الأحساء</t>
        </is>
      </c>
      <c r="G321" s="78" t="inlineStr">
        <is>
          <t>تحت 9</t>
        </is>
      </c>
      <c r="H321" s="78" t="n">
        <v>1</v>
      </c>
    </row>
    <row r="322">
      <c r="B322" s="78" t="inlineStr">
        <is>
          <t>O450</t>
        </is>
      </c>
      <c r="C322" s="78" t="n">
        <v>448</v>
      </c>
      <c r="D322" s="78" t="inlineStr">
        <is>
          <t>فريق النجوم</t>
        </is>
      </c>
      <c r="E322" s="78" t="inlineStr">
        <is>
          <t>الشرقية</t>
        </is>
      </c>
      <c r="F322" s="78" t="inlineStr">
        <is>
          <t>الأحساء</t>
        </is>
      </c>
      <c r="G322" s="78" t="inlineStr">
        <is>
          <t>تحت 9</t>
        </is>
      </c>
      <c r="H322" s="78" t="n">
        <v>1</v>
      </c>
    </row>
    <row r="323">
      <c r="B323" s="78" t="inlineStr">
        <is>
          <t>P105</t>
        </is>
      </c>
      <c r="C323" s="78" t="n">
        <v>103</v>
      </c>
      <c r="D323" s="78" t="inlineStr">
        <is>
          <t>النسور الاحساء</t>
        </is>
      </c>
      <c r="E323" s="78" t="inlineStr">
        <is>
          <t>الشرقية</t>
        </is>
      </c>
      <c r="F323" s="78" t="inlineStr">
        <is>
          <t>الأحساء</t>
        </is>
      </c>
      <c r="G323" s="78" t="inlineStr">
        <is>
          <t>تحت 7</t>
        </is>
      </c>
      <c r="H323" s="78" t="n">
        <v>1</v>
      </c>
    </row>
    <row r="324">
      <c r="B324" s="78" t="inlineStr">
        <is>
          <t>K117</t>
        </is>
      </c>
      <c r="C324" s="78" t="n">
        <v>115</v>
      </c>
      <c r="D324" s="78" t="inlineStr">
        <is>
          <t xml:space="preserve">الانتصار العالية </t>
        </is>
      </c>
      <c r="E324" s="78" t="inlineStr">
        <is>
          <t>جازان</t>
        </is>
      </c>
      <c r="F324" s="78" t="inlineStr">
        <is>
          <t>صبيا</t>
        </is>
      </c>
      <c r="G324" s="78" t="inlineStr">
        <is>
          <t>تحت 14</t>
        </is>
      </c>
      <c r="H324" s="78" t="n">
        <v>1</v>
      </c>
    </row>
    <row r="325">
      <c r="B325" s="78" t="inlineStr">
        <is>
          <t>K144</t>
        </is>
      </c>
      <c r="C325" s="78" t="n">
        <v>142</v>
      </c>
      <c r="D325" s="78" t="inlineStr">
        <is>
          <t xml:space="preserve">الامل بالظبية </t>
        </is>
      </c>
      <c r="E325" s="78" t="inlineStr">
        <is>
          <t>جازان</t>
        </is>
      </c>
      <c r="F325" s="78" t="inlineStr">
        <is>
          <t>صبيا</t>
        </is>
      </c>
      <c r="G325" s="78" t="inlineStr">
        <is>
          <t>تحت 14</t>
        </is>
      </c>
      <c r="H325" s="78" t="n">
        <v>1</v>
      </c>
    </row>
    <row r="326">
      <c r="B326" s="78" t="inlineStr">
        <is>
          <t>K155</t>
        </is>
      </c>
      <c r="C326" s="78" t="n">
        <v>153</v>
      </c>
      <c r="D326" s="78" t="inlineStr">
        <is>
          <t xml:space="preserve">القادسية بصبيا </t>
        </is>
      </c>
      <c r="E326" s="78" t="inlineStr">
        <is>
          <t>جازان</t>
        </is>
      </c>
      <c r="F326" s="78" t="inlineStr">
        <is>
          <t>صبيا</t>
        </is>
      </c>
      <c r="G326" s="78" t="inlineStr">
        <is>
          <t>تحت 14</t>
        </is>
      </c>
      <c r="H326" s="78" t="n">
        <v>1</v>
      </c>
    </row>
    <row r="327">
      <c r="B327" s="78" t="inlineStr">
        <is>
          <t>K229</t>
        </is>
      </c>
      <c r="C327" s="78" t="n">
        <v>227</v>
      </c>
      <c r="D327" s="78" t="inlineStr">
        <is>
          <t>فريق العربي -بصبيا</t>
        </is>
      </c>
      <c r="E327" s="78" t="inlineStr">
        <is>
          <t>جازان</t>
        </is>
      </c>
      <c r="F327" s="78" t="inlineStr">
        <is>
          <t>صبيا</t>
        </is>
      </c>
      <c r="G327" s="78" t="inlineStr">
        <is>
          <t>تحت 14</t>
        </is>
      </c>
      <c r="H327" s="78" t="n">
        <v>1</v>
      </c>
    </row>
    <row r="328">
      <c r="B328" s="78" t="inlineStr">
        <is>
          <t>K232</t>
        </is>
      </c>
      <c r="C328" s="78" t="n">
        <v>230</v>
      </c>
      <c r="D328" s="78" t="inlineStr">
        <is>
          <t>الاسماعيلي الطاهرية</t>
        </is>
      </c>
      <c r="E328" s="78" t="inlineStr">
        <is>
          <t>جازان</t>
        </is>
      </c>
      <c r="F328" s="78" t="inlineStr">
        <is>
          <t>صبيا</t>
        </is>
      </c>
      <c r="G328" s="78" t="inlineStr">
        <is>
          <t>تحت 14</t>
        </is>
      </c>
      <c r="H328" s="78" t="n">
        <v>1</v>
      </c>
    </row>
    <row r="329">
      <c r="B329" s="78" t="inlineStr">
        <is>
          <t>K236</t>
        </is>
      </c>
      <c r="C329" s="78" t="n">
        <v>234</v>
      </c>
      <c r="D329" s="78" t="inlineStr">
        <is>
          <t>فريق الطموح</t>
        </is>
      </c>
      <c r="E329" s="78" t="inlineStr">
        <is>
          <t>جازان</t>
        </is>
      </c>
      <c r="F329" s="78" t="inlineStr">
        <is>
          <t>صبيا</t>
        </is>
      </c>
      <c r="G329" s="78" t="inlineStr">
        <is>
          <t>تحت 14</t>
        </is>
      </c>
      <c r="H329" s="78" t="n">
        <v>1</v>
      </c>
    </row>
    <row r="330">
      <c r="B330" s="78" t="inlineStr">
        <is>
          <t>K243</t>
        </is>
      </c>
      <c r="C330" s="78" t="n">
        <v>241</v>
      </c>
      <c r="D330" s="78" t="inlineStr">
        <is>
          <t>النخبة صبيا</t>
        </is>
      </c>
      <c r="E330" s="78" t="inlineStr">
        <is>
          <t>جازان</t>
        </is>
      </c>
      <c r="F330" s="78" t="inlineStr">
        <is>
          <t>صبيا</t>
        </is>
      </c>
      <c r="G330" s="78" t="inlineStr">
        <is>
          <t>تحت 14</t>
        </is>
      </c>
      <c r="H330" s="78" t="n">
        <v>1</v>
      </c>
    </row>
    <row r="331">
      <c r="B331" s="78" t="inlineStr">
        <is>
          <t>K387</t>
        </is>
      </c>
      <c r="C331" s="78" t="n">
        <v>385</v>
      </c>
      <c r="D331" s="78" t="inlineStr">
        <is>
          <t>ضيعة العزيين الابتدائية والمتوسطة</t>
        </is>
      </c>
      <c r="E331" s="78" t="inlineStr">
        <is>
          <t>جازان</t>
        </is>
      </c>
      <c r="F331" s="78" t="inlineStr">
        <is>
          <t>صبيا</t>
        </is>
      </c>
      <c r="G331" s="78" t="inlineStr">
        <is>
          <t>تحت 14</t>
        </is>
      </c>
      <c r="H331" s="78" t="n">
        <v>1</v>
      </c>
    </row>
    <row r="332">
      <c r="B332" s="78" t="inlineStr">
        <is>
          <t>L117</t>
        </is>
      </c>
      <c r="C332" s="78" t="n">
        <v>115</v>
      </c>
      <c r="D332" s="78" t="inlineStr">
        <is>
          <t xml:space="preserve">الانتصار العالية </t>
        </is>
      </c>
      <c r="E332" s="78" t="inlineStr">
        <is>
          <t>جازان</t>
        </is>
      </c>
      <c r="F332" s="78" t="inlineStr">
        <is>
          <t>صبيا</t>
        </is>
      </c>
      <c r="G332" s="78" t="inlineStr">
        <is>
          <t>تحت 13</t>
        </is>
      </c>
      <c r="H332" s="78" t="n">
        <v>1</v>
      </c>
    </row>
    <row r="333">
      <c r="B333" s="78" t="inlineStr">
        <is>
          <t>L144</t>
        </is>
      </c>
      <c r="C333" s="78" t="n">
        <v>142</v>
      </c>
      <c r="D333" s="78" t="inlineStr">
        <is>
          <t xml:space="preserve">الامل بالظبية </t>
        </is>
      </c>
      <c r="E333" s="78" t="inlineStr">
        <is>
          <t>جازان</t>
        </is>
      </c>
      <c r="F333" s="78" t="inlineStr">
        <is>
          <t>صبيا</t>
        </is>
      </c>
      <c r="G333" s="78" t="inlineStr">
        <is>
          <t>تحت 13</t>
        </is>
      </c>
      <c r="H333" s="78" t="n">
        <v>1</v>
      </c>
    </row>
    <row r="334">
      <c r="B334" s="78" t="inlineStr">
        <is>
          <t>L155</t>
        </is>
      </c>
      <c r="C334" s="78" t="n">
        <v>153</v>
      </c>
      <c r="D334" s="78" t="inlineStr">
        <is>
          <t xml:space="preserve">القادسية بصبيا </t>
        </is>
      </c>
      <c r="E334" s="78" t="inlineStr">
        <is>
          <t>جازان</t>
        </is>
      </c>
      <c r="F334" s="78" t="inlineStr">
        <is>
          <t>صبيا</t>
        </is>
      </c>
      <c r="G334" s="78" t="inlineStr">
        <is>
          <t>تحت 13</t>
        </is>
      </c>
      <c r="H334" s="78" t="n">
        <v>1</v>
      </c>
    </row>
    <row r="335">
      <c r="B335" s="78" t="inlineStr">
        <is>
          <t>L229</t>
        </is>
      </c>
      <c r="C335" s="78" t="n">
        <v>227</v>
      </c>
      <c r="D335" s="78" t="inlineStr">
        <is>
          <t>فريق العربي -بصبيا</t>
        </is>
      </c>
      <c r="E335" s="78" t="inlineStr">
        <is>
          <t>جازان</t>
        </is>
      </c>
      <c r="F335" s="78" t="inlineStr">
        <is>
          <t>صبيا</t>
        </is>
      </c>
      <c r="G335" s="78" t="inlineStr">
        <is>
          <t>تحت 13</t>
        </is>
      </c>
      <c r="H335" s="78" t="n">
        <v>1</v>
      </c>
    </row>
    <row r="336">
      <c r="B336" s="78" t="inlineStr">
        <is>
          <t>L232</t>
        </is>
      </c>
      <c r="C336" s="78" t="n">
        <v>230</v>
      </c>
      <c r="D336" s="78" t="inlineStr">
        <is>
          <t>الاسماعيلي الطاهرية</t>
        </is>
      </c>
      <c r="E336" s="78" t="inlineStr">
        <is>
          <t>جازان</t>
        </is>
      </c>
      <c r="F336" s="78" t="inlineStr">
        <is>
          <t>صبيا</t>
        </is>
      </c>
      <c r="G336" s="78" t="inlineStr">
        <is>
          <t>تحت 13</t>
        </is>
      </c>
      <c r="H336" s="78" t="n">
        <v>1</v>
      </c>
    </row>
    <row r="337">
      <c r="B337" s="78" t="inlineStr">
        <is>
          <t>L236</t>
        </is>
      </c>
      <c r="C337" s="78" t="n">
        <v>234</v>
      </c>
      <c r="D337" s="78" t="inlineStr">
        <is>
          <t>فريق الطموح</t>
        </is>
      </c>
      <c r="E337" s="78" t="inlineStr">
        <is>
          <t>جازان</t>
        </is>
      </c>
      <c r="F337" s="78" t="inlineStr">
        <is>
          <t>صبيا</t>
        </is>
      </c>
      <c r="G337" s="78" t="inlineStr">
        <is>
          <t>تحت 13</t>
        </is>
      </c>
      <c r="H337" s="78" t="n">
        <v>1</v>
      </c>
    </row>
    <row r="338">
      <c r="B338" s="78" t="inlineStr">
        <is>
          <t>L243</t>
        </is>
      </c>
      <c r="C338" s="78" t="n">
        <v>241</v>
      </c>
      <c r="D338" s="78" t="inlineStr">
        <is>
          <t>النخبة صبيا</t>
        </is>
      </c>
      <c r="E338" s="78" t="inlineStr">
        <is>
          <t>جازان</t>
        </is>
      </c>
      <c r="F338" s="78" t="inlineStr">
        <is>
          <t>صبيا</t>
        </is>
      </c>
      <c r="G338" s="78" t="inlineStr">
        <is>
          <t>تحت 13</t>
        </is>
      </c>
      <c r="H338" s="78" t="n">
        <v>1</v>
      </c>
    </row>
    <row r="339">
      <c r="B339" s="78" t="inlineStr">
        <is>
          <t>M117</t>
        </is>
      </c>
      <c r="C339" s="78" t="n">
        <v>115</v>
      </c>
      <c r="D339" s="78" t="inlineStr">
        <is>
          <t xml:space="preserve">الانتصار العالية </t>
        </is>
      </c>
      <c r="E339" s="78" t="inlineStr">
        <is>
          <t>جازان</t>
        </is>
      </c>
      <c r="F339" s="78" t="inlineStr">
        <is>
          <t>صبيا</t>
        </is>
      </c>
      <c r="G339" s="78" t="inlineStr">
        <is>
          <t>تحت 12</t>
        </is>
      </c>
      <c r="H339" s="78" t="n">
        <v>1</v>
      </c>
    </row>
    <row r="340">
      <c r="B340" s="78" t="inlineStr">
        <is>
          <t>M144</t>
        </is>
      </c>
      <c r="C340" s="78" t="n">
        <v>142</v>
      </c>
      <c r="D340" s="78" t="inlineStr">
        <is>
          <t xml:space="preserve">الامل بالظبية </t>
        </is>
      </c>
      <c r="E340" s="78" t="inlineStr">
        <is>
          <t>جازان</t>
        </is>
      </c>
      <c r="F340" s="78" t="inlineStr">
        <is>
          <t>صبيا</t>
        </is>
      </c>
      <c r="G340" s="78" t="inlineStr">
        <is>
          <t>تحت 12</t>
        </is>
      </c>
      <c r="H340" s="78" t="n">
        <v>1</v>
      </c>
    </row>
    <row r="341">
      <c r="B341" s="78" t="inlineStr">
        <is>
          <t>M155</t>
        </is>
      </c>
      <c r="C341" s="78" t="n">
        <v>153</v>
      </c>
      <c r="D341" s="78" t="inlineStr">
        <is>
          <t xml:space="preserve">القادسية بصبيا </t>
        </is>
      </c>
      <c r="E341" s="78" t="inlineStr">
        <is>
          <t>جازان</t>
        </is>
      </c>
      <c r="F341" s="78" t="inlineStr">
        <is>
          <t>صبيا</t>
        </is>
      </c>
      <c r="G341" s="78" t="inlineStr">
        <is>
          <t>تحت 12</t>
        </is>
      </c>
      <c r="H341" s="78" t="n">
        <v>1</v>
      </c>
    </row>
    <row r="342">
      <c r="B342" s="78" t="inlineStr">
        <is>
          <t>M175</t>
        </is>
      </c>
      <c r="C342" s="78" t="n">
        <v>173</v>
      </c>
      <c r="D342" s="78" t="inlineStr">
        <is>
          <t>شباب الاهلي</t>
        </is>
      </c>
      <c r="E342" s="78" t="inlineStr">
        <is>
          <t>جازان</t>
        </is>
      </c>
      <c r="F342" s="78" t="inlineStr">
        <is>
          <t>صبيا</t>
        </is>
      </c>
      <c r="G342" s="78" t="inlineStr">
        <is>
          <t>تحت 12</t>
        </is>
      </c>
      <c r="H342" s="78" t="n">
        <v>1</v>
      </c>
    </row>
    <row r="343">
      <c r="B343" s="78" t="inlineStr">
        <is>
          <t>M177</t>
        </is>
      </c>
      <c r="C343" s="78" t="n">
        <v>175</v>
      </c>
      <c r="D343" s="78" t="inlineStr">
        <is>
          <t>الشهيد</t>
        </is>
      </c>
      <c r="E343" s="78" t="inlineStr">
        <is>
          <t>جازان</t>
        </is>
      </c>
      <c r="F343" s="78" t="inlineStr">
        <is>
          <t>صبيا</t>
        </is>
      </c>
      <c r="G343" s="78" t="inlineStr">
        <is>
          <t>تحت 12</t>
        </is>
      </c>
      <c r="H343" s="78" t="n">
        <v>1</v>
      </c>
    </row>
    <row r="344">
      <c r="B344" s="78" t="inlineStr">
        <is>
          <t>M185</t>
        </is>
      </c>
      <c r="C344" s="78" t="n">
        <v>183</v>
      </c>
      <c r="D344" s="78" t="inlineStr">
        <is>
          <t xml:space="preserve">سدرة الباحر </t>
        </is>
      </c>
      <c r="E344" s="78" t="inlineStr">
        <is>
          <t>جازان</t>
        </is>
      </c>
      <c r="F344" s="78" t="inlineStr">
        <is>
          <t>صبيا</t>
        </is>
      </c>
      <c r="G344" s="78" t="inlineStr">
        <is>
          <t>تحت 12</t>
        </is>
      </c>
      <c r="H344" s="78" t="n">
        <v>1</v>
      </c>
    </row>
    <row r="345">
      <c r="B345" s="78" t="inlineStr">
        <is>
          <t>M229</t>
        </is>
      </c>
      <c r="C345" s="78" t="n">
        <v>227</v>
      </c>
      <c r="D345" s="78" t="inlineStr">
        <is>
          <t>فريق العربي -بصبيا</t>
        </is>
      </c>
      <c r="E345" s="78" t="inlineStr">
        <is>
          <t>جازان</t>
        </is>
      </c>
      <c r="F345" s="78" t="inlineStr">
        <is>
          <t>صبيا</t>
        </is>
      </c>
      <c r="G345" s="78" t="inlineStr">
        <is>
          <t>تحت 12</t>
        </is>
      </c>
      <c r="H345" s="78" t="n">
        <v>1</v>
      </c>
    </row>
    <row r="346">
      <c r="B346" s="78" t="inlineStr">
        <is>
          <t>M232</t>
        </is>
      </c>
      <c r="C346" s="78" t="n">
        <v>230</v>
      </c>
      <c r="D346" s="78" t="inlineStr">
        <is>
          <t>الاسماعيلي الطاهرية</t>
        </is>
      </c>
      <c r="E346" s="78" t="inlineStr">
        <is>
          <t>جازان</t>
        </is>
      </c>
      <c r="F346" s="78" t="inlineStr">
        <is>
          <t>صبيا</t>
        </is>
      </c>
      <c r="G346" s="78" t="inlineStr">
        <is>
          <t>تحت 12</t>
        </is>
      </c>
      <c r="H346" s="78" t="n">
        <v>1</v>
      </c>
    </row>
    <row r="347">
      <c r="B347" s="78" t="inlineStr">
        <is>
          <t>M236</t>
        </is>
      </c>
      <c r="C347" s="78" t="n">
        <v>234</v>
      </c>
      <c r="D347" s="78" t="inlineStr">
        <is>
          <t>فريق الطموح</t>
        </is>
      </c>
      <c r="E347" s="78" t="inlineStr">
        <is>
          <t>جازان</t>
        </is>
      </c>
      <c r="F347" s="78" t="inlineStr">
        <is>
          <t>صبيا</t>
        </is>
      </c>
      <c r="G347" s="78" t="inlineStr">
        <is>
          <t>تحت 12</t>
        </is>
      </c>
      <c r="H347" s="78" t="n">
        <v>1</v>
      </c>
    </row>
    <row r="348">
      <c r="B348" s="78" t="inlineStr">
        <is>
          <t>M243</t>
        </is>
      </c>
      <c r="C348" s="78" t="n">
        <v>241</v>
      </c>
      <c r="D348" s="78" t="inlineStr">
        <is>
          <t>النخبة صبيا</t>
        </is>
      </c>
      <c r="E348" s="78" t="inlineStr">
        <is>
          <t>جازان</t>
        </is>
      </c>
      <c r="F348" s="78" t="inlineStr">
        <is>
          <t>صبيا</t>
        </is>
      </c>
      <c r="G348" s="78" t="inlineStr">
        <is>
          <t>تحت 12</t>
        </is>
      </c>
      <c r="H348" s="78" t="n">
        <v>1</v>
      </c>
    </row>
    <row r="349">
      <c r="B349" s="78" t="inlineStr">
        <is>
          <t>N117</t>
        </is>
      </c>
      <c r="C349" s="78" t="n">
        <v>115</v>
      </c>
      <c r="D349" s="78" t="inlineStr">
        <is>
          <t xml:space="preserve">الانتصار العالية </t>
        </is>
      </c>
      <c r="E349" s="78" t="inlineStr">
        <is>
          <t>جازان</t>
        </is>
      </c>
      <c r="F349" s="78" t="inlineStr">
        <is>
          <t>صبيا</t>
        </is>
      </c>
      <c r="G349" s="78" t="inlineStr">
        <is>
          <t>تحت 11</t>
        </is>
      </c>
      <c r="H349" s="78" t="n">
        <v>1</v>
      </c>
    </row>
    <row r="350">
      <c r="B350" s="78" t="inlineStr">
        <is>
          <t>N144</t>
        </is>
      </c>
      <c r="C350" s="78" t="n">
        <v>142</v>
      </c>
      <c r="D350" s="78" t="inlineStr">
        <is>
          <t xml:space="preserve">الامل بالظبية </t>
        </is>
      </c>
      <c r="E350" s="78" t="inlineStr">
        <is>
          <t>جازان</t>
        </is>
      </c>
      <c r="F350" s="78" t="inlineStr">
        <is>
          <t>صبيا</t>
        </is>
      </c>
      <c r="G350" s="78" t="inlineStr">
        <is>
          <t>تحت 11</t>
        </is>
      </c>
      <c r="H350" s="78" t="n">
        <v>1</v>
      </c>
    </row>
    <row r="351">
      <c r="B351" s="78" t="inlineStr">
        <is>
          <t>N155</t>
        </is>
      </c>
      <c r="C351" s="78" t="n">
        <v>153</v>
      </c>
      <c r="D351" s="78" t="inlineStr">
        <is>
          <t xml:space="preserve">القادسية بصبيا </t>
        </is>
      </c>
      <c r="E351" s="78" t="inlineStr">
        <is>
          <t>جازان</t>
        </is>
      </c>
      <c r="F351" s="78" t="inlineStr">
        <is>
          <t>صبيا</t>
        </is>
      </c>
      <c r="G351" s="78" t="inlineStr">
        <is>
          <t>تحت 11</t>
        </is>
      </c>
      <c r="H351" s="78" t="n">
        <v>1</v>
      </c>
    </row>
    <row r="352">
      <c r="B352" s="78" t="inlineStr">
        <is>
          <t>N175</t>
        </is>
      </c>
      <c r="C352" s="78" t="n">
        <v>173</v>
      </c>
      <c r="D352" s="78" t="inlineStr">
        <is>
          <t>شباب الاهلي</t>
        </is>
      </c>
      <c r="E352" s="78" t="inlineStr">
        <is>
          <t>جازان</t>
        </is>
      </c>
      <c r="F352" s="78" t="inlineStr">
        <is>
          <t>صبيا</t>
        </is>
      </c>
      <c r="G352" s="78" t="inlineStr">
        <is>
          <t>تحت 11</t>
        </is>
      </c>
      <c r="H352" s="78" t="n">
        <v>1</v>
      </c>
    </row>
    <row r="353">
      <c r="B353" s="78" t="inlineStr">
        <is>
          <t>N177</t>
        </is>
      </c>
      <c r="C353" s="78" t="n">
        <v>175</v>
      </c>
      <c r="D353" s="78" t="inlineStr">
        <is>
          <t>الشهيد</t>
        </is>
      </c>
      <c r="E353" s="78" t="inlineStr">
        <is>
          <t>جازان</t>
        </is>
      </c>
      <c r="F353" s="78" t="inlineStr">
        <is>
          <t>صبيا</t>
        </is>
      </c>
      <c r="G353" s="78" t="inlineStr">
        <is>
          <t>تحت 11</t>
        </is>
      </c>
      <c r="H353" s="78" t="n">
        <v>1</v>
      </c>
    </row>
    <row r="354">
      <c r="B354" s="78" t="inlineStr">
        <is>
          <t>N185</t>
        </is>
      </c>
      <c r="C354" s="78" t="n">
        <v>183</v>
      </c>
      <c r="D354" s="78" t="inlineStr">
        <is>
          <t xml:space="preserve">سدرة الباحر </t>
        </is>
      </c>
      <c r="E354" s="78" t="inlineStr">
        <is>
          <t>جازان</t>
        </is>
      </c>
      <c r="F354" s="78" t="inlineStr">
        <is>
          <t>صبيا</t>
        </is>
      </c>
      <c r="G354" s="78" t="inlineStr">
        <is>
          <t>تحت 11</t>
        </is>
      </c>
      <c r="H354" s="78" t="n">
        <v>1</v>
      </c>
    </row>
    <row r="355">
      <c r="B355" s="78" t="inlineStr">
        <is>
          <t>N229</t>
        </is>
      </c>
      <c r="C355" s="78" t="n">
        <v>227</v>
      </c>
      <c r="D355" s="78" t="inlineStr">
        <is>
          <t>فريق العربي -بصبيا</t>
        </is>
      </c>
      <c r="E355" s="78" t="inlineStr">
        <is>
          <t>جازان</t>
        </is>
      </c>
      <c r="F355" s="78" t="inlineStr">
        <is>
          <t>صبيا</t>
        </is>
      </c>
      <c r="G355" s="78" t="inlineStr">
        <is>
          <t>تحت 11</t>
        </is>
      </c>
      <c r="H355" s="78" t="n">
        <v>1</v>
      </c>
    </row>
    <row r="356">
      <c r="B356" s="78" t="inlineStr">
        <is>
          <t>N232</t>
        </is>
      </c>
      <c r="C356" s="78" t="n">
        <v>230</v>
      </c>
      <c r="D356" s="78" t="inlineStr">
        <is>
          <t>الاسماعيلي الطاهرية</t>
        </is>
      </c>
      <c r="E356" s="78" t="inlineStr">
        <is>
          <t>جازان</t>
        </is>
      </c>
      <c r="F356" s="78" t="inlineStr">
        <is>
          <t>صبيا</t>
        </is>
      </c>
      <c r="G356" s="78" t="inlineStr">
        <is>
          <t>تحت 11</t>
        </is>
      </c>
      <c r="H356" s="78" t="n">
        <v>1</v>
      </c>
    </row>
    <row r="357">
      <c r="B357" s="78" t="inlineStr">
        <is>
          <t>N236</t>
        </is>
      </c>
      <c r="C357" s="78" t="n">
        <v>234</v>
      </c>
      <c r="D357" s="78" t="inlineStr">
        <is>
          <t>فريق الطموح</t>
        </is>
      </c>
      <c r="E357" s="78" t="inlineStr">
        <is>
          <t>جازان</t>
        </is>
      </c>
      <c r="F357" s="78" t="inlineStr">
        <is>
          <t>صبيا</t>
        </is>
      </c>
      <c r="G357" s="78" t="inlineStr">
        <is>
          <t>تحت 11</t>
        </is>
      </c>
      <c r="H357" s="78" t="n">
        <v>1</v>
      </c>
    </row>
    <row r="358">
      <c r="B358" s="78" t="inlineStr">
        <is>
          <t>N243</t>
        </is>
      </c>
      <c r="C358" s="78" t="n">
        <v>241</v>
      </c>
      <c r="D358" s="78" t="inlineStr">
        <is>
          <t>النخبة صبيا</t>
        </is>
      </c>
      <c r="E358" s="78" t="inlineStr">
        <is>
          <t>جازان</t>
        </is>
      </c>
      <c r="F358" s="78" t="inlineStr">
        <is>
          <t>صبيا</t>
        </is>
      </c>
      <c r="G358" s="78" t="inlineStr">
        <is>
          <t>تحت 11</t>
        </is>
      </c>
      <c r="H358" s="78" t="n">
        <v>1</v>
      </c>
    </row>
    <row r="359">
      <c r="B359" s="78" t="inlineStr">
        <is>
          <t>O117</t>
        </is>
      </c>
      <c r="C359" s="78" t="n">
        <v>115</v>
      </c>
      <c r="D359" s="78" t="inlineStr">
        <is>
          <t xml:space="preserve">الانتصار العالية </t>
        </is>
      </c>
      <c r="E359" s="78" t="inlineStr">
        <is>
          <t>جازان</t>
        </is>
      </c>
      <c r="F359" s="78" t="inlineStr">
        <is>
          <t>صبيا</t>
        </is>
      </c>
      <c r="G359" s="78" t="inlineStr">
        <is>
          <t>تحت 9</t>
        </is>
      </c>
      <c r="H359" s="78" t="n">
        <v>1</v>
      </c>
    </row>
    <row r="360">
      <c r="B360" s="78" t="inlineStr">
        <is>
          <t>O144</t>
        </is>
      </c>
      <c r="C360" s="78" t="n">
        <v>142</v>
      </c>
      <c r="D360" s="78" t="inlineStr">
        <is>
          <t xml:space="preserve">الامل بالظبية </t>
        </is>
      </c>
      <c r="E360" s="78" t="inlineStr">
        <is>
          <t>جازان</t>
        </is>
      </c>
      <c r="F360" s="78" t="inlineStr">
        <is>
          <t>صبيا</t>
        </is>
      </c>
      <c r="G360" s="78" t="inlineStr">
        <is>
          <t>تحت 9</t>
        </is>
      </c>
      <c r="H360" s="78" t="n">
        <v>1</v>
      </c>
    </row>
    <row r="361">
      <c r="B361" s="78" t="inlineStr">
        <is>
          <t>O155</t>
        </is>
      </c>
      <c r="C361" s="78" t="n">
        <v>153</v>
      </c>
      <c r="D361" s="78" t="inlineStr">
        <is>
          <t xml:space="preserve">القادسية بصبيا </t>
        </is>
      </c>
      <c r="E361" s="78" t="inlineStr">
        <is>
          <t>جازان</t>
        </is>
      </c>
      <c r="F361" s="78" t="inlineStr">
        <is>
          <t>صبيا</t>
        </is>
      </c>
      <c r="G361" s="78" t="inlineStr">
        <is>
          <t>تحت 9</t>
        </is>
      </c>
      <c r="H361" s="78" t="n">
        <v>1</v>
      </c>
    </row>
    <row r="362">
      <c r="B362" s="78" t="inlineStr">
        <is>
          <t>O175</t>
        </is>
      </c>
      <c r="C362" s="78" t="n">
        <v>173</v>
      </c>
      <c r="D362" s="78" t="inlineStr">
        <is>
          <t>شباب الاهلي</t>
        </is>
      </c>
      <c r="E362" s="78" t="inlineStr">
        <is>
          <t>جازان</t>
        </is>
      </c>
      <c r="F362" s="78" t="inlineStr">
        <is>
          <t>صبيا</t>
        </is>
      </c>
      <c r="G362" s="78" t="inlineStr">
        <is>
          <t>تحت 9</t>
        </is>
      </c>
      <c r="H362" s="78" t="n">
        <v>1</v>
      </c>
    </row>
    <row r="363">
      <c r="B363" s="78" t="inlineStr">
        <is>
          <t>O177</t>
        </is>
      </c>
      <c r="C363" s="78" t="n">
        <v>175</v>
      </c>
      <c r="D363" s="78" t="inlineStr">
        <is>
          <t>الشهيد</t>
        </is>
      </c>
      <c r="E363" s="78" t="inlineStr">
        <is>
          <t>جازان</t>
        </is>
      </c>
      <c r="F363" s="78" t="inlineStr">
        <is>
          <t>صبيا</t>
        </is>
      </c>
      <c r="G363" s="78" t="inlineStr">
        <is>
          <t>تحت 9</t>
        </is>
      </c>
      <c r="H363" s="78" t="n">
        <v>1</v>
      </c>
    </row>
    <row r="364">
      <c r="B364" s="78" t="inlineStr">
        <is>
          <t>O185</t>
        </is>
      </c>
      <c r="C364" s="78" t="n">
        <v>183</v>
      </c>
      <c r="D364" s="78" t="inlineStr">
        <is>
          <t xml:space="preserve">سدرة الباحر </t>
        </is>
      </c>
      <c r="E364" s="78" t="inlineStr">
        <is>
          <t>جازان</t>
        </is>
      </c>
      <c r="F364" s="78" t="inlineStr">
        <is>
          <t>صبيا</t>
        </is>
      </c>
      <c r="G364" s="78" t="inlineStr">
        <is>
          <t>تحت 9</t>
        </is>
      </c>
      <c r="H364" s="78" t="n">
        <v>1</v>
      </c>
    </row>
    <row r="365">
      <c r="B365" s="78" t="inlineStr">
        <is>
          <t>O229</t>
        </is>
      </c>
      <c r="C365" s="78" t="n">
        <v>227</v>
      </c>
      <c r="D365" s="78" t="inlineStr">
        <is>
          <t>فريق العربي -بصبيا</t>
        </is>
      </c>
      <c r="E365" s="78" t="inlineStr">
        <is>
          <t>جازان</t>
        </is>
      </c>
      <c r="F365" s="78" t="inlineStr">
        <is>
          <t>صبيا</t>
        </is>
      </c>
      <c r="G365" s="78" t="inlineStr">
        <is>
          <t>تحت 9</t>
        </is>
      </c>
      <c r="H365" s="78" t="n">
        <v>1</v>
      </c>
    </row>
    <row r="366">
      <c r="B366" s="78" t="inlineStr">
        <is>
          <t>O232</t>
        </is>
      </c>
      <c r="C366" s="78" t="n">
        <v>230</v>
      </c>
      <c r="D366" s="78" t="inlineStr">
        <is>
          <t>الاسماعيلي الطاهرية</t>
        </is>
      </c>
      <c r="E366" s="78" t="inlineStr">
        <is>
          <t>جازان</t>
        </is>
      </c>
      <c r="F366" s="78" t="inlineStr">
        <is>
          <t>صبيا</t>
        </is>
      </c>
      <c r="G366" s="78" t="inlineStr">
        <is>
          <t>تحت 9</t>
        </is>
      </c>
      <c r="H366" s="78" t="n">
        <v>1</v>
      </c>
    </row>
    <row r="367">
      <c r="B367" s="78" t="inlineStr">
        <is>
          <t>O236</t>
        </is>
      </c>
      <c r="C367" s="78" t="n">
        <v>234</v>
      </c>
      <c r="D367" s="78" t="inlineStr">
        <is>
          <t>فريق الطموح</t>
        </is>
      </c>
      <c r="E367" s="78" t="inlineStr">
        <is>
          <t>جازان</t>
        </is>
      </c>
      <c r="F367" s="78" t="inlineStr">
        <is>
          <t>صبيا</t>
        </is>
      </c>
      <c r="G367" s="78" t="inlineStr">
        <is>
          <t>تحت 9</t>
        </is>
      </c>
      <c r="H367" s="78" t="n">
        <v>1</v>
      </c>
    </row>
    <row r="368">
      <c r="B368" s="78" t="inlineStr">
        <is>
          <t>O243</t>
        </is>
      </c>
      <c r="C368" s="78" t="n">
        <v>241</v>
      </c>
      <c r="D368" s="78" t="inlineStr">
        <is>
          <t>النخبة صبيا</t>
        </is>
      </c>
      <c r="E368" s="78" t="inlineStr">
        <is>
          <t>جازان</t>
        </is>
      </c>
      <c r="F368" s="78" t="inlineStr">
        <is>
          <t>صبيا</t>
        </is>
      </c>
      <c r="G368" s="78" t="inlineStr">
        <is>
          <t>تحت 9</t>
        </is>
      </c>
      <c r="H368" s="78" t="n">
        <v>1</v>
      </c>
    </row>
    <row r="369">
      <c r="B369" s="78" t="inlineStr">
        <is>
          <t>P117</t>
        </is>
      </c>
      <c r="C369" s="78" t="n">
        <v>115</v>
      </c>
      <c r="D369" s="78" t="inlineStr">
        <is>
          <t xml:space="preserve">الانتصار العالية </t>
        </is>
      </c>
      <c r="E369" s="78" t="inlineStr">
        <is>
          <t>جازان</t>
        </is>
      </c>
      <c r="F369" s="78" t="inlineStr">
        <is>
          <t>صبيا</t>
        </is>
      </c>
      <c r="G369" s="78" t="inlineStr">
        <is>
          <t>تحت 7</t>
        </is>
      </c>
      <c r="H369" s="78" t="n">
        <v>1</v>
      </c>
    </row>
    <row r="370">
      <c r="B370" s="78" t="inlineStr">
        <is>
          <t>P144</t>
        </is>
      </c>
      <c r="C370" s="78" t="n">
        <v>142</v>
      </c>
      <c r="D370" s="78" t="inlineStr">
        <is>
          <t xml:space="preserve">الامل بالظبية </t>
        </is>
      </c>
      <c r="E370" s="78" t="inlineStr">
        <is>
          <t>جازان</t>
        </is>
      </c>
      <c r="F370" s="78" t="inlineStr">
        <is>
          <t>صبيا</t>
        </is>
      </c>
      <c r="G370" s="78" t="inlineStr">
        <is>
          <t>تحت 7</t>
        </is>
      </c>
      <c r="H370" s="78" t="n">
        <v>1</v>
      </c>
    </row>
    <row r="371">
      <c r="B371" s="78" t="inlineStr">
        <is>
          <t>P155</t>
        </is>
      </c>
      <c r="C371" s="78" t="n">
        <v>153</v>
      </c>
      <c r="D371" s="78" t="inlineStr">
        <is>
          <t xml:space="preserve">القادسية بصبيا </t>
        </is>
      </c>
      <c r="E371" s="78" t="inlineStr">
        <is>
          <t>جازان</t>
        </is>
      </c>
      <c r="F371" s="78" t="inlineStr">
        <is>
          <t>صبيا</t>
        </is>
      </c>
      <c r="G371" s="78" t="inlineStr">
        <is>
          <t>تحت 7</t>
        </is>
      </c>
      <c r="H371" s="78" t="n">
        <v>1</v>
      </c>
    </row>
    <row r="372">
      <c r="B372" s="78" t="inlineStr">
        <is>
          <t>P175</t>
        </is>
      </c>
      <c r="C372" s="78" t="n">
        <v>173</v>
      </c>
      <c r="D372" s="78" t="inlineStr">
        <is>
          <t>شباب الاهلي</t>
        </is>
      </c>
      <c r="E372" s="78" t="inlineStr">
        <is>
          <t>جازان</t>
        </is>
      </c>
      <c r="F372" s="78" t="inlineStr">
        <is>
          <t>صبيا</t>
        </is>
      </c>
      <c r="G372" s="78" t="inlineStr">
        <is>
          <t>تحت 7</t>
        </is>
      </c>
      <c r="H372" s="78" t="n">
        <v>1</v>
      </c>
    </row>
    <row r="373">
      <c r="B373" s="78" t="inlineStr">
        <is>
          <t>P177</t>
        </is>
      </c>
      <c r="C373" s="78" t="n">
        <v>175</v>
      </c>
      <c r="D373" s="78" t="inlineStr">
        <is>
          <t>الشهيد</t>
        </is>
      </c>
      <c r="E373" s="78" t="inlineStr">
        <is>
          <t>جازان</t>
        </is>
      </c>
      <c r="F373" s="78" t="inlineStr">
        <is>
          <t>صبيا</t>
        </is>
      </c>
      <c r="G373" s="78" t="inlineStr">
        <is>
          <t>تحت 7</t>
        </is>
      </c>
      <c r="H373" s="78" t="n">
        <v>1</v>
      </c>
    </row>
    <row r="374">
      <c r="B374" s="78" t="inlineStr">
        <is>
          <t>P185</t>
        </is>
      </c>
      <c r="C374" s="78" t="n">
        <v>183</v>
      </c>
      <c r="D374" s="78" t="inlineStr">
        <is>
          <t xml:space="preserve">سدرة الباحر </t>
        </is>
      </c>
      <c r="E374" s="78" t="inlineStr">
        <is>
          <t>جازان</t>
        </is>
      </c>
      <c r="F374" s="78" t="inlineStr">
        <is>
          <t>صبيا</t>
        </is>
      </c>
      <c r="G374" s="78" t="inlineStr">
        <is>
          <t>تحت 7</t>
        </is>
      </c>
      <c r="H374" s="78" t="n">
        <v>1</v>
      </c>
    </row>
    <row r="375">
      <c r="B375" s="78" t="inlineStr">
        <is>
          <t>P229</t>
        </is>
      </c>
      <c r="C375" s="78" t="n">
        <v>227</v>
      </c>
      <c r="D375" s="78" t="inlineStr">
        <is>
          <t>فريق العربي -بصبيا</t>
        </is>
      </c>
      <c r="E375" s="78" t="inlineStr">
        <is>
          <t>جازان</t>
        </is>
      </c>
      <c r="F375" s="78" t="inlineStr">
        <is>
          <t>صبيا</t>
        </is>
      </c>
      <c r="G375" s="78" t="inlineStr">
        <is>
          <t>تحت 7</t>
        </is>
      </c>
      <c r="H375" s="78" t="n">
        <v>1</v>
      </c>
    </row>
    <row r="376">
      <c r="B376" s="78" t="inlineStr">
        <is>
          <t>P232</t>
        </is>
      </c>
      <c r="C376" s="78" t="n">
        <v>230</v>
      </c>
      <c r="D376" s="78" t="inlineStr">
        <is>
          <t>الاسماعيلي الطاهرية</t>
        </is>
      </c>
      <c r="E376" s="78" t="inlineStr">
        <is>
          <t>جازان</t>
        </is>
      </c>
      <c r="F376" s="78" t="inlineStr">
        <is>
          <t>صبيا</t>
        </is>
      </c>
      <c r="G376" s="78" t="inlineStr">
        <is>
          <t>تحت 7</t>
        </is>
      </c>
      <c r="H376" s="78" t="n">
        <v>1</v>
      </c>
    </row>
    <row r="377">
      <c r="B377" s="78" t="inlineStr">
        <is>
          <t>P243</t>
        </is>
      </c>
      <c r="C377" s="78" t="n">
        <v>241</v>
      </c>
      <c r="D377" s="78" t="inlineStr">
        <is>
          <t>النخبة صبيا</t>
        </is>
      </c>
      <c r="E377" s="78" t="inlineStr">
        <is>
          <t>جازان</t>
        </is>
      </c>
      <c r="F377" s="78" t="inlineStr">
        <is>
          <t>صبيا</t>
        </is>
      </c>
      <c r="G377" s="78" t="inlineStr">
        <is>
          <t>تحت 7</t>
        </is>
      </c>
      <c r="H377" s="78" t="n">
        <v>1</v>
      </c>
    </row>
    <row r="378">
      <c r="B378" s="78" t="inlineStr">
        <is>
          <t>Q117</t>
        </is>
      </c>
      <c r="C378" s="78" t="n">
        <v>115</v>
      </c>
      <c r="D378" s="78" t="inlineStr">
        <is>
          <t xml:space="preserve">الانتصار العالية </t>
        </is>
      </c>
      <c r="E378" s="78" t="inlineStr">
        <is>
          <t>جازان</t>
        </is>
      </c>
      <c r="F378" s="78" t="inlineStr">
        <is>
          <t>صبيا</t>
        </is>
      </c>
      <c r="G378" s="78" t="inlineStr">
        <is>
          <t>تحت 5</t>
        </is>
      </c>
      <c r="H378" s="78" t="n">
        <v>1</v>
      </c>
    </row>
    <row r="379">
      <c r="B379" s="78" t="inlineStr">
        <is>
          <t>Q144</t>
        </is>
      </c>
      <c r="C379" s="78" t="n">
        <v>142</v>
      </c>
      <c r="D379" s="78" t="inlineStr">
        <is>
          <t xml:space="preserve">الامل بالظبية </t>
        </is>
      </c>
      <c r="E379" s="78" t="inlineStr">
        <is>
          <t>جازان</t>
        </is>
      </c>
      <c r="F379" s="78" t="inlineStr">
        <is>
          <t>صبيا</t>
        </is>
      </c>
      <c r="G379" s="78" t="inlineStr">
        <is>
          <t>تحت 5</t>
        </is>
      </c>
      <c r="H379" s="78" t="n">
        <v>1</v>
      </c>
    </row>
    <row r="380">
      <c r="B380" s="78" t="inlineStr">
        <is>
          <t>Q155</t>
        </is>
      </c>
      <c r="C380" s="78" t="n">
        <v>153</v>
      </c>
      <c r="D380" s="78" t="inlineStr">
        <is>
          <t xml:space="preserve">القادسية بصبيا </t>
        </is>
      </c>
      <c r="E380" s="78" t="inlineStr">
        <is>
          <t>جازان</t>
        </is>
      </c>
      <c r="F380" s="78" t="inlineStr">
        <is>
          <t>صبيا</t>
        </is>
      </c>
      <c r="G380" s="78" t="inlineStr">
        <is>
          <t>تحت 5</t>
        </is>
      </c>
      <c r="H380" s="78" t="n">
        <v>1</v>
      </c>
    </row>
    <row r="381">
      <c r="B381" s="78" t="inlineStr">
        <is>
          <t>Q175</t>
        </is>
      </c>
      <c r="C381" s="78" t="n">
        <v>173</v>
      </c>
      <c r="D381" s="78" t="inlineStr">
        <is>
          <t>شباب الاهلي</t>
        </is>
      </c>
      <c r="E381" s="78" t="inlineStr">
        <is>
          <t>جازان</t>
        </is>
      </c>
      <c r="F381" s="78" t="inlineStr">
        <is>
          <t>صبيا</t>
        </is>
      </c>
      <c r="G381" s="78" t="inlineStr">
        <is>
          <t>تحت 5</t>
        </is>
      </c>
      <c r="H381" s="78" t="n">
        <v>1</v>
      </c>
    </row>
    <row r="382">
      <c r="B382" s="78" t="inlineStr">
        <is>
          <t>Q177</t>
        </is>
      </c>
      <c r="C382" s="78" t="n">
        <v>175</v>
      </c>
      <c r="D382" s="78" t="inlineStr">
        <is>
          <t>الشهيد</t>
        </is>
      </c>
      <c r="E382" s="78" t="inlineStr">
        <is>
          <t>جازان</t>
        </is>
      </c>
      <c r="F382" s="78" t="inlineStr">
        <is>
          <t>صبيا</t>
        </is>
      </c>
      <c r="G382" s="78" t="inlineStr">
        <is>
          <t>تحت 5</t>
        </is>
      </c>
      <c r="H382" s="78" t="n">
        <v>1</v>
      </c>
    </row>
    <row r="383">
      <c r="B383" s="78" t="inlineStr">
        <is>
          <t>Q185</t>
        </is>
      </c>
      <c r="C383" s="78" t="n">
        <v>183</v>
      </c>
      <c r="D383" s="78" t="inlineStr">
        <is>
          <t xml:space="preserve">سدرة الباحر </t>
        </is>
      </c>
      <c r="E383" s="78" t="inlineStr">
        <is>
          <t>جازان</t>
        </is>
      </c>
      <c r="F383" s="78" t="inlineStr">
        <is>
          <t>صبيا</t>
        </is>
      </c>
      <c r="G383" s="78" t="inlineStr">
        <is>
          <t>تحت 5</t>
        </is>
      </c>
      <c r="H383" s="78" t="n">
        <v>1</v>
      </c>
    </row>
    <row r="384">
      <c r="B384" s="78" t="inlineStr">
        <is>
          <t>Q229</t>
        </is>
      </c>
      <c r="C384" s="78" t="n">
        <v>227</v>
      </c>
      <c r="D384" s="78" t="inlineStr">
        <is>
          <t>فريق العربي -بصبيا</t>
        </is>
      </c>
      <c r="E384" s="78" t="inlineStr">
        <is>
          <t>جازان</t>
        </is>
      </c>
      <c r="F384" s="78" t="inlineStr">
        <is>
          <t>صبيا</t>
        </is>
      </c>
      <c r="G384" s="78" t="inlineStr">
        <is>
          <t>تحت 5</t>
        </is>
      </c>
      <c r="H384" s="78" t="n">
        <v>1</v>
      </c>
    </row>
    <row r="385">
      <c r="B385" s="78" t="inlineStr">
        <is>
          <t>Q232</t>
        </is>
      </c>
      <c r="C385" s="78" t="n">
        <v>230</v>
      </c>
      <c r="D385" s="78" t="inlineStr">
        <is>
          <t>الاسماعيلي الطاهرية</t>
        </is>
      </c>
      <c r="E385" s="78" t="inlineStr">
        <is>
          <t>جازان</t>
        </is>
      </c>
      <c r="F385" s="78" t="inlineStr">
        <is>
          <t>صبيا</t>
        </is>
      </c>
      <c r="G385" s="78" t="inlineStr">
        <is>
          <t>تحت 5</t>
        </is>
      </c>
      <c r="H385" s="78" t="n">
        <v>1</v>
      </c>
    </row>
    <row r="386">
      <c r="B386" s="78" t="inlineStr">
        <is>
          <t>Q243</t>
        </is>
      </c>
      <c r="C386" s="78" t="n">
        <v>241</v>
      </c>
      <c r="D386" s="78" t="inlineStr">
        <is>
          <t>النخبة صبيا</t>
        </is>
      </c>
      <c r="E386" s="78" t="inlineStr">
        <is>
          <t>جازان</t>
        </is>
      </c>
      <c r="F386" s="78" t="inlineStr">
        <is>
          <t>صبيا</t>
        </is>
      </c>
      <c r="G386" s="78" t="inlineStr">
        <is>
          <t>تحت 5</t>
        </is>
      </c>
      <c r="H386" s="78" t="n">
        <v>1</v>
      </c>
    </row>
    <row r="387">
      <c r="B387" s="78" t="inlineStr">
        <is>
          <t>K162</t>
        </is>
      </c>
      <c r="C387" s="78" t="n">
        <v>160</v>
      </c>
      <c r="D387" s="78" t="inlineStr">
        <is>
          <t>فالكون الطائف</t>
        </is>
      </c>
      <c r="E387" s="78" t="inlineStr">
        <is>
          <t>مكة المكرمة</t>
        </is>
      </c>
      <c r="F387" s="78" t="inlineStr">
        <is>
          <t>الطائف</t>
        </is>
      </c>
      <c r="G387" s="78" t="inlineStr">
        <is>
          <t>تحت 14</t>
        </is>
      </c>
      <c r="H387" s="78" t="n">
        <v>1</v>
      </c>
    </row>
    <row r="388">
      <c r="B388" s="78" t="inlineStr">
        <is>
          <t>K295</t>
        </is>
      </c>
      <c r="C388" s="78" t="n">
        <v>293</v>
      </c>
      <c r="D388" s="78" t="inlineStr">
        <is>
          <t>نجوم الطائف</t>
        </is>
      </c>
      <c r="E388" s="78" t="inlineStr">
        <is>
          <t>مكة المكرمة</t>
        </is>
      </c>
      <c r="F388" s="78" t="inlineStr">
        <is>
          <t>الطائف</t>
        </is>
      </c>
      <c r="G388" s="78" t="inlineStr">
        <is>
          <t>تحت 14</t>
        </is>
      </c>
      <c r="H388" s="78" t="n">
        <v>1</v>
      </c>
    </row>
    <row r="389">
      <c r="B389" s="78" t="inlineStr">
        <is>
          <t>K411</t>
        </is>
      </c>
      <c r="C389" s="78" t="n">
        <v>409</v>
      </c>
      <c r="D389" s="78" t="inlineStr">
        <is>
          <t>مركز و اكاديمية مواهب الطائف</t>
        </is>
      </c>
      <c r="E389" s="78" t="inlineStr">
        <is>
          <t>مكة المكرمة</t>
        </is>
      </c>
      <c r="F389" s="78" t="inlineStr">
        <is>
          <t>الطائف</t>
        </is>
      </c>
      <c r="G389" s="78" t="inlineStr">
        <is>
          <t>تحت 14</t>
        </is>
      </c>
      <c r="H389" s="78" t="n">
        <v>1</v>
      </c>
    </row>
    <row r="390">
      <c r="B390" s="78" t="inlineStr">
        <is>
          <t>K420</t>
        </is>
      </c>
      <c r="C390" s="78" t="n">
        <v>418</v>
      </c>
      <c r="D390" s="78" t="inlineStr">
        <is>
          <t>اكادمية إنتر الطائف</t>
        </is>
      </c>
      <c r="E390" s="78" t="inlineStr">
        <is>
          <t>مكة المكرمة</t>
        </is>
      </c>
      <c r="F390" s="78" t="inlineStr">
        <is>
          <t>الطائف</t>
        </is>
      </c>
      <c r="G390" s="78" t="inlineStr">
        <is>
          <t>تحت 14</t>
        </is>
      </c>
      <c r="H390" s="78" t="n">
        <v>1</v>
      </c>
    </row>
    <row r="391">
      <c r="B391" s="78" t="inlineStr">
        <is>
          <t>K543</t>
        </is>
      </c>
      <c r="C391" s="78" t="n">
        <v>541</v>
      </c>
      <c r="D391" s="78" t="inlineStr">
        <is>
          <t>ميونخ</t>
        </is>
      </c>
      <c r="E391" s="78" t="inlineStr">
        <is>
          <t>مكة المكرمة</t>
        </is>
      </c>
      <c r="F391" s="78" t="inlineStr">
        <is>
          <t>الطائف</t>
        </is>
      </c>
      <c r="G391" s="78" t="inlineStr">
        <is>
          <t>تحت 14</t>
        </is>
      </c>
      <c r="H391" s="78" t="n">
        <v>1</v>
      </c>
    </row>
    <row r="392">
      <c r="B392" s="78" t="inlineStr">
        <is>
          <t>K562</t>
        </is>
      </c>
      <c r="C392" s="78" t="n">
        <v>560</v>
      </c>
      <c r="D392" s="78" t="inlineStr">
        <is>
          <t>الهدا</t>
        </is>
      </c>
      <c r="E392" s="78" t="inlineStr">
        <is>
          <t>مكة المكرمة</t>
        </is>
      </c>
      <c r="F392" s="78" t="inlineStr">
        <is>
          <t>الطائف</t>
        </is>
      </c>
      <c r="G392" s="78" t="inlineStr">
        <is>
          <t>تحت 14</t>
        </is>
      </c>
      <c r="H392" s="78" t="n">
        <v>1</v>
      </c>
    </row>
    <row r="393">
      <c r="B393" s="78" t="inlineStr">
        <is>
          <t>K174</t>
        </is>
      </c>
      <c r="C393" s="78" t="n">
        <v>172</v>
      </c>
      <c r="D393" s="78" t="inlineStr">
        <is>
          <t>أحلام المضايا</t>
        </is>
      </c>
      <c r="E393" s="78" t="inlineStr">
        <is>
          <t>جازان</t>
        </is>
      </c>
      <c r="F393" s="78" t="inlineStr">
        <is>
          <t>جيزان</t>
        </is>
      </c>
      <c r="G393" s="78" t="inlineStr">
        <is>
          <t>تحت 14</t>
        </is>
      </c>
      <c r="H393" s="78" t="n">
        <v>1</v>
      </c>
    </row>
    <row r="394">
      <c r="B394" s="78" t="inlineStr">
        <is>
          <t>K239</t>
        </is>
      </c>
      <c r="C394" s="78" t="n">
        <v>237</v>
      </c>
      <c r="D394" s="78" t="inlineStr">
        <is>
          <t>قائم العقم</t>
        </is>
      </c>
      <c r="E394" s="78" t="inlineStr">
        <is>
          <t>جازان</t>
        </is>
      </c>
      <c r="F394" s="78" t="inlineStr">
        <is>
          <t>جيزان</t>
        </is>
      </c>
      <c r="G394" s="78" t="inlineStr">
        <is>
          <t>تحت 14</t>
        </is>
      </c>
      <c r="H394" s="78" t="n">
        <v>1</v>
      </c>
    </row>
    <row r="395">
      <c r="B395" s="78" t="inlineStr">
        <is>
          <t>K281</t>
        </is>
      </c>
      <c r="C395" s="78" t="n">
        <v>279</v>
      </c>
      <c r="D395" s="78" t="inlineStr">
        <is>
          <t>الخالف</t>
        </is>
      </c>
      <c r="E395" s="78" t="inlineStr">
        <is>
          <t>جازان</t>
        </is>
      </c>
      <c r="F395" s="78" t="inlineStr">
        <is>
          <t>جيزان</t>
        </is>
      </c>
      <c r="G395" s="78" t="inlineStr">
        <is>
          <t>تحت 14</t>
        </is>
      </c>
      <c r="H395" s="78" t="n">
        <v>1</v>
      </c>
    </row>
    <row r="396">
      <c r="B396" s="78" t="inlineStr">
        <is>
          <t>K563</t>
        </is>
      </c>
      <c r="C396" s="78" t="n">
        <v>561</v>
      </c>
      <c r="D396" s="78" t="inlineStr">
        <is>
          <t>برازيل الحديقة</t>
        </is>
      </c>
      <c r="E396" s="78" t="inlineStr">
        <is>
          <t>جازان</t>
        </is>
      </c>
      <c r="F396" s="78" t="inlineStr">
        <is>
          <t>جيزان</t>
        </is>
      </c>
      <c r="G396" s="78" t="inlineStr">
        <is>
          <t>تحت 14</t>
        </is>
      </c>
      <c r="H396" s="78" t="n">
        <v>1</v>
      </c>
    </row>
    <row r="397">
      <c r="B397" s="78" t="inlineStr">
        <is>
          <t>K629</t>
        </is>
      </c>
      <c r="C397" s="78" t="n">
        <v>627</v>
      </c>
      <c r="D397" s="78" t="inlineStr">
        <is>
          <t>النخبة الهواة</t>
        </is>
      </c>
      <c r="E397" s="78" t="inlineStr">
        <is>
          <t>جازان</t>
        </is>
      </c>
      <c r="F397" s="78" t="inlineStr">
        <is>
          <t>جيزان</t>
        </is>
      </c>
      <c r="G397" s="78" t="inlineStr">
        <is>
          <t>تحت 14</t>
        </is>
      </c>
      <c r="H397" s="78" t="n">
        <v>1</v>
      </c>
    </row>
    <row r="398">
      <c r="B398" s="78" t="inlineStr">
        <is>
          <t>K634</t>
        </is>
      </c>
      <c r="C398" s="78" t="n">
        <v>632</v>
      </c>
      <c r="D398" s="78" t="inlineStr">
        <is>
          <t>السهم هواة جازان</t>
        </is>
      </c>
      <c r="E398" s="78" t="inlineStr">
        <is>
          <t>جازان</t>
        </is>
      </c>
      <c r="F398" s="78" t="inlineStr">
        <is>
          <t>جيزان</t>
        </is>
      </c>
      <c r="G398" s="78" t="inlineStr">
        <is>
          <t>تحت 14</t>
        </is>
      </c>
      <c r="H398" s="78" t="n">
        <v>1</v>
      </c>
    </row>
    <row r="399">
      <c r="B399" s="78" t="inlineStr">
        <is>
          <t>L174</t>
        </is>
      </c>
      <c r="C399" s="78" t="n">
        <v>172</v>
      </c>
      <c r="D399" s="78" t="inlineStr">
        <is>
          <t>أحلام المضايا</t>
        </is>
      </c>
      <c r="E399" s="78" t="inlineStr">
        <is>
          <t>جازان</t>
        </is>
      </c>
      <c r="F399" s="78" t="inlineStr">
        <is>
          <t>جيزان</t>
        </is>
      </c>
      <c r="G399" s="78" t="inlineStr">
        <is>
          <t>تحت 13</t>
        </is>
      </c>
      <c r="H399" s="78" t="n">
        <v>1</v>
      </c>
    </row>
    <row r="400">
      <c r="B400" s="78" t="inlineStr">
        <is>
          <t>L239</t>
        </is>
      </c>
      <c r="C400" s="78" t="n">
        <v>237</v>
      </c>
      <c r="D400" s="78" t="inlineStr">
        <is>
          <t>قائم العقم</t>
        </is>
      </c>
      <c r="E400" s="78" t="inlineStr">
        <is>
          <t>جازان</t>
        </is>
      </c>
      <c r="F400" s="78" t="inlineStr">
        <is>
          <t>جيزان</t>
        </is>
      </c>
      <c r="G400" s="78" t="inlineStr">
        <is>
          <t>تحت 13</t>
        </is>
      </c>
      <c r="H400" s="78" t="n">
        <v>1</v>
      </c>
    </row>
    <row r="401">
      <c r="B401" s="78" t="inlineStr">
        <is>
          <t>L281</t>
        </is>
      </c>
      <c r="C401" s="78" t="n">
        <v>279</v>
      </c>
      <c r="D401" s="78" t="inlineStr">
        <is>
          <t>الخالف</t>
        </is>
      </c>
      <c r="E401" s="78" t="inlineStr">
        <is>
          <t>جازان</t>
        </is>
      </c>
      <c r="F401" s="78" t="inlineStr">
        <is>
          <t>جيزان</t>
        </is>
      </c>
      <c r="G401" s="78" t="inlineStr">
        <is>
          <t>تحت 13</t>
        </is>
      </c>
      <c r="H401" s="78" t="n">
        <v>1</v>
      </c>
    </row>
    <row r="402">
      <c r="B402" s="78" t="inlineStr">
        <is>
          <t>L431</t>
        </is>
      </c>
      <c r="C402" s="78" t="n">
        <v>429</v>
      </c>
      <c r="D402" s="78" t="inlineStr">
        <is>
          <t>النمور السوداء</t>
        </is>
      </c>
      <c r="E402" s="78" t="inlineStr">
        <is>
          <t>جازان</t>
        </is>
      </c>
      <c r="F402" s="78" t="inlineStr">
        <is>
          <t>جيزان</t>
        </is>
      </c>
      <c r="G402" s="78" t="inlineStr">
        <is>
          <t>تحت 13</t>
        </is>
      </c>
      <c r="H402" s="78" t="n">
        <v>1</v>
      </c>
    </row>
    <row r="403">
      <c r="B403" s="78" t="inlineStr">
        <is>
          <t>L563</t>
        </is>
      </c>
      <c r="C403" s="78" t="n">
        <v>561</v>
      </c>
      <c r="D403" s="78" t="inlineStr">
        <is>
          <t>برازيل الحديقة</t>
        </is>
      </c>
      <c r="E403" s="78" t="inlineStr">
        <is>
          <t>جازان</t>
        </is>
      </c>
      <c r="F403" s="78" t="inlineStr">
        <is>
          <t>جيزان</t>
        </is>
      </c>
      <c r="G403" s="78" t="inlineStr">
        <is>
          <t>تحت 13</t>
        </is>
      </c>
      <c r="H403" s="78" t="n">
        <v>1</v>
      </c>
    </row>
    <row r="404">
      <c r="B404" s="78" t="inlineStr">
        <is>
          <t>L629</t>
        </is>
      </c>
      <c r="C404" s="78" t="n">
        <v>627</v>
      </c>
      <c r="D404" s="78" t="inlineStr">
        <is>
          <t>النخبة الهواة</t>
        </is>
      </c>
      <c r="E404" s="78" t="inlineStr">
        <is>
          <t>جازان</t>
        </is>
      </c>
      <c r="F404" s="78" t="inlineStr">
        <is>
          <t>جيزان</t>
        </is>
      </c>
      <c r="G404" s="78" t="inlineStr">
        <is>
          <t>تحت 13</t>
        </is>
      </c>
      <c r="H404" s="78" t="n">
        <v>1</v>
      </c>
    </row>
    <row r="405">
      <c r="B405" s="78" t="inlineStr">
        <is>
          <t>L634</t>
        </is>
      </c>
      <c r="C405" s="78" t="n">
        <v>632</v>
      </c>
      <c r="D405" s="78" t="inlineStr">
        <is>
          <t>السهم هواة جازان</t>
        </is>
      </c>
      <c r="E405" s="78" t="inlineStr">
        <is>
          <t>جازان</t>
        </is>
      </c>
      <c r="F405" s="78" t="inlineStr">
        <is>
          <t>جيزان</t>
        </is>
      </c>
      <c r="G405" s="78" t="inlineStr">
        <is>
          <t>تحت 13</t>
        </is>
      </c>
      <c r="H405" s="78" t="n">
        <v>1</v>
      </c>
    </row>
    <row r="406">
      <c r="B406" s="78" t="inlineStr">
        <is>
          <t>M174</t>
        </is>
      </c>
      <c r="C406" s="78" t="n">
        <v>172</v>
      </c>
      <c r="D406" s="78" t="inlineStr">
        <is>
          <t>أحلام المضايا</t>
        </is>
      </c>
      <c r="E406" s="78" t="inlineStr">
        <is>
          <t>جازان</t>
        </is>
      </c>
      <c r="F406" s="78" t="inlineStr">
        <is>
          <t>جيزان</t>
        </is>
      </c>
      <c r="G406" s="78" t="inlineStr">
        <is>
          <t>تحت 12</t>
        </is>
      </c>
      <c r="H406" s="78" t="n">
        <v>1</v>
      </c>
    </row>
    <row r="407">
      <c r="B407" s="78" t="inlineStr">
        <is>
          <t>M239</t>
        </is>
      </c>
      <c r="C407" s="78" t="n">
        <v>237</v>
      </c>
      <c r="D407" s="78" t="inlineStr">
        <is>
          <t>قائم العقم</t>
        </is>
      </c>
      <c r="E407" s="78" t="inlineStr">
        <is>
          <t>جازان</t>
        </is>
      </c>
      <c r="F407" s="78" t="inlineStr">
        <is>
          <t>جيزان</t>
        </is>
      </c>
      <c r="G407" s="78" t="inlineStr">
        <is>
          <t>تحت 12</t>
        </is>
      </c>
      <c r="H407" s="78" t="n">
        <v>1</v>
      </c>
    </row>
    <row r="408">
      <c r="B408" s="78" t="inlineStr">
        <is>
          <t>M281</t>
        </is>
      </c>
      <c r="C408" s="78" t="n">
        <v>279</v>
      </c>
      <c r="D408" s="78" t="inlineStr">
        <is>
          <t>الخالف</t>
        </is>
      </c>
      <c r="E408" s="78" t="inlineStr">
        <is>
          <t>جازان</t>
        </is>
      </c>
      <c r="F408" s="78" t="inlineStr">
        <is>
          <t>جيزان</t>
        </is>
      </c>
      <c r="G408" s="78" t="inlineStr">
        <is>
          <t>تحت 12</t>
        </is>
      </c>
      <c r="H408" s="78" t="n">
        <v>1</v>
      </c>
    </row>
    <row r="409">
      <c r="B409" s="78" t="inlineStr">
        <is>
          <t>M563</t>
        </is>
      </c>
      <c r="C409" s="78" t="n">
        <v>561</v>
      </c>
      <c r="D409" s="78" t="inlineStr">
        <is>
          <t>برازيل الحديقة</t>
        </is>
      </c>
      <c r="E409" s="78" t="inlineStr">
        <is>
          <t>جازان</t>
        </is>
      </c>
      <c r="F409" s="78" t="inlineStr">
        <is>
          <t>جيزان</t>
        </is>
      </c>
      <c r="G409" s="78" t="inlineStr">
        <is>
          <t>تحت 12</t>
        </is>
      </c>
      <c r="H409" s="78" t="n">
        <v>1</v>
      </c>
    </row>
    <row r="410">
      <c r="B410" s="78" t="inlineStr">
        <is>
          <t>M629</t>
        </is>
      </c>
      <c r="C410" s="78" t="n">
        <v>627</v>
      </c>
      <c r="D410" s="78" t="inlineStr">
        <is>
          <t>النخبة الهواة</t>
        </is>
      </c>
      <c r="E410" s="78" t="inlineStr">
        <is>
          <t>جازان</t>
        </is>
      </c>
      <c r="F410" s="78" t="inlineStr">
        <is>
          <t>جيزان</t>
        </is>
      </c>
      <c r="G410" s="78" t="inlineStr">
        <is>
          <t>تحت 12</t>
        </is>
      </c>
      <c r="H410" s="78" t="n">
        <v>1</v>
      </c>
    </row>
    <row r="411">
      <c r="B411" s="78" t="inlineStr">
        <is>
          <t>M634</t>
        </is>
      </c>
      <c r="C411" s="78" t="n">
        <v>632</v>
      </c>
      <c r="D411" s="78" t="inlineStr">
        <is>
          <t>السهم هواة جازان</t>
        </is>
      </c>
      <c r="E411" s="78" t="inlineStr">
        <is>
          <t>جازان</t>
        </is>
      </c>
      <c r="F411" s="78" t="inlineStr">
        <is>
          <t>جيزان</t>
        </is>
      </c>
      <c r="G411" s="78" t="inlineStr">
        <is>
          <t>تحت 12</t>
        </is>
      </c>
      <c r="H411" s="78" t="n">
        <v>1</v>
      </c>
    </row>
    <row r="412">
      <c r="B412" s="78" t="inlineStr">
        <is>
          <t>N174</t>
        </is>
      </c>
      <c r="C412" s="78" t="n">
        <v>172</v>
      </c>
      <c r="D412" s="78" t="inlineStr">
        <is>
          <t>أحلام المضايا</t>
        </is>
      </c>
      <c r="E412" s="78" t="inlineStr">
        <is>
          <t>جازان</t>
        </is>
      </c>
      <c r="F412" s="78" t="inlineStr">
        <is>
          <t>جيزان</t>
        </is>
      </c>
      <c r="G412" s="78" t="inlineStr">
        <is>
          <t>تحت 11</t>
        </is>
      </c>
      <c r="H412" s="78" t="n">
        <v>1</v>
      </c>
    </row>
    <row r="413">
      <c r="B413" s="78" t="inlineStr">
        <is>
          <t>N239</t>
        </is>
      </c>
      <c r="C413" s="78" t="n">
        <v>237</v>
      </c>
      <c r="D413" s="78" t="inlineStr">
        <is>
          <t>قائم العقم</t>
        </is>
      </c>
      <c r="E413" s="78" t="inlineStr">
        <is>
          <t>جازان</t>
        </is>
      </c>
      <c r="F413" s="78" t="inlineStr">
        <is>
          <t>جيزان</t>
        </is>
      </c>
      <c r="G413" s="78" t="inlineStr">
        <is>
          <t>تحت 11</t>
        </is>
      </c>
      <c r="H413" s="78" t="n">
        <v>1</v>
      </c>
    </row>
    <row r="414">
      <c r="B414" s="78" t="inlineStr">
        <is>
          <t>N281</t>
        </is>
      </c>
      <c r="C414" s="78" t="n">
        <v>279</v>
      </c>
      <c r="D414" s="78" t="inlineStr">
        <is>
          <t>الخالف</t>
        </is>
      </c>
      <c r="E414" s="78" t="inlineStr">
        <is>
          <t>جازان</t>
        </is>
      </c>
      <c r="F414" s="78" t="inlineStr">
        <is>
          <t>جيزان</t>
        </is>
      </c>
      <c r="G414" s="78" t="inlineStr">
        <is>
          <t>تحت 11</t>
        </is>
      </c>
      <c r="H414" s="78" t="n">
        <v>1</v>
      </c>
    </row>
    <row r="415">
      <c r="B415" s="78" t="inlineStr">
        <is>
          <t>N563</t>
        </is>
      </c>
      <c r="C415" s="78" t="n">
        <v>561</v>
      </c>
      <c r="D415" s="78" t="inlineStr">
        <is>
          <t>برازيل الحديقة</t>
        </is>
      </c>
      <c r="E415" s="78" t="inlineStr">
        <is>
          <t>جازان</t>
        </is>
      </c>
      <c r="F415" s="78" t="inlineStr">
        <is>
          <t>جيزان</t>
        </is>
      </c>
      <c r="G415" s="78" t="inlineStr">
        <is>
          <t>تحت 11</t>
        </is>
      </c>
      <c r="H415" s="78" t="n">
        <v>1</v>
      </c>
    </row>
    <row r="416">
      <c r="B416" s="78" t="inlineStr">
        <is>
          <t>N629</t>
        </is>
      </c>
      <c r="C416" s="78" t="n">
        <v>627</v>
      </c>
      <c r="D416" s="78" t="inlineStr">
        <is>
          <t>النخبة الهواة</t>
        </is>
      </c>
      <c r="E416" s="78" t="inlineStr">
        <is>
          <t>جازان</t>
        </is>
      </c>
      <c r="F416" s="78" t="inlineStr">
        <is>
          <t>جيزان</t>
        </is>
      </c>
      <c r="G416" s="78" t="inlineStr">
        <is>
          <t>تحت 11</t>
        </is>
      </c>
      <c r="H416" s="78" t="n">
        <v>1</v>
      </c>
    </row>
    <row r="417">
      <c r="B417" s="78" t="inlineStr">
        <is>
          <t>N634</t>
        </is>
      </c>
      <c r="C417" s="78" t="n">
        <v>632</v>
      </c>
      <c r="D417" s="78" t="inlineStr">
        <is>
          <t>السهم هواة جازان</t>
        </is>
      </c>
      <c r="E417" s="78" t="inlineStr">
        <is>
          <t>جازان</t>
        </is>
      </c>
      <c r="F417" s="78" t="inlineStr">
        <is>
          <t>جيزان</t>
        </is>
      </c>
      <c r="G417" s="78" t="inlineStr">
        <is>
          <t>تحت 11</t>
        </is>
      </c>
      <c r="H417" s="78" t="n">
        <v>1</v>
      </c>
    </row>
    <row r="418">
      <c r="B418" s="78" t="inlineStr">
        <is>
          <t>O174</t>
        </is>
      </c>
      <c r="C418" s="78" t="n">
        <v>172</v>
      </c>
      <c r="D418" s="78" t="inlineStr">
        <is>
          <t>أحلام المضايا</t>
        </is>
      </c>
      <c r="E418" s="78" t="inlineStr">
        <is>
          <t>جازان</t>
        </is>
      </c>
      <c r="F418" s="78" t="inlineStr">
        <is>
          <t>جيزان</t>
        </is>
      </c>
      <c r="G418" s="78" t="inlineStr">
        <is>
          <t>تحت 9</t>
        </is>
      </c>
      <c r="H418" s="78" t="n">
        <v>1</v>
      </c>
    </row>
    <row r="419">
      <c r="B419" s="78" t="inlineStr">
        <is>
          <t>O239</t>
        </is>
      </c>
      <c r="C419" s="78" t="n">
        <v>237</v>
      </c>
      <c r="D419" s="78" t="inlineStr">
        <is>
          <t>قائم العقم</t>
        </is>
      </c>
      <c r="E419" s="78" t="inlineStr">
        <is>
          <t>جازان</t>
        </is>
      </c>
      <c r="F419" s="78" t="inlineStr">
        <is>
          <t>جيزان</t>
        </is>
      </c>
      <c r="G419" s="78" t="inlineStr">
        <is>
          <t>تحت 9</t>
        </is>
      </c>
      <c r="H419" s="78" t="n">
        <v>1</v>
      </c>
    </row>
    <row r="420">
      <c r="B420" s="78" t="inlineStr">
        <is>
          <t>O281</t>
        </is>
      </c>
      <c r="C420" s="78" t="n">
        <v>279</v>
      </c>
      <c r="D420" s="78" t="inlineStr">
        <is>
          <t>الخالف</t>
        </is>
      </c>
      <c r="E420" s="78" t="inlineStr">
        <is>
          <t>جازان</t>
        </is>
      </c>
      <c r="F420" s="78" t="inlineStr">
        <is>
          <t>جيزان</t>
        </is>
      </c>
      <c r="G420" s="78" t="inlineStr">
        <is>
          <t>تحت 9</t>
        </is>
      </c>
      <c r="H420" s="78" t="n">
        <v>1</v>
      </c>
    </row>
    <row r="421">
      <c r="B421" s="78" t="inlineStr">
        <is>
          <t>O629</t>
        </is>
      </c>
      <c r="C421" s="78" t="n">
        <v>627</v>
      </c>
      <c r="D421" s="78" t="inlineStr">
        <is>
          <t>النخبة الهواة</t>
        </is>
      </c>
      <c r="E421" s="78" t="inlineStr">
        <is>
          <t>جازان</t>
        </is>
      </c>
      <c r="F421" s="78" t="inlineStr">
        <is>
          <t>جيزان</t>
        </is>
      </c>
      <c r="G421" s="78" t="inlineStr">
        <is>
          <t>تحت 9</t>
        </is>
      </c>
      <c r="H421" s="78" t="n">
        <v>1</v>
      </c>
    </row>
    <row r="422">
      <c r="B422" s="78" t="inlineStr">
        <is>
          <t>O634</t>
        </is>
      </c>
      <c r="C422" s="78" t="n">
        <v>632</v>
      </c>
      <c r="D422" s="78" t="inlineStr">
        <is>
          <t>السهم هواة جازان</t>
        </is>
      </c>
      <c r="E422" s="78" t="inlineStr">
        <is>
          <t>جازان</t>
        </is>
      </c>
      <c r="F422" s="78" t="inlineStr">
        <is>
          <t>جيزان</t>
        </is>
      </c>
      <c r="G422" s="78" t="inlineStr">
        <is>
          <t>تحت 9</t>
        </is>
      </c>
      <c r="H422" s="78" t="n">
        <v>1</v>
      </c>
    </row>
    <row r="423">
      <c r="B423" s="78" t="inlineStr">
        <is>
          <t>K187</t>
        </is>
      </c>
      <c r="C423" s="78" t="n">
        <v>185</v>
      </c>
      <c r="D423" s="78" t="inlineStr">
        <is>
          <t xml:space="preserve">متوسطة ابو هريرة </t>
        </is>
      </c>
      <c r="E423" s="78" t="inlineStr">
        <is>
          <t>القصيم</t>
        </is>
      </c>
      <c r="F423" s="78" t="inlineStr">
        <is>
          <t>عنيزة</t>
        </is>
      </c>
      <c r="G423" s="78" t="inlineStr">
        <is>
          <t>تحت 14</t>
        </is>
      </c>
      <c r="H423" s="78" t="n">
        <v>1</v>
      </c>
    </row>
    <row r="424">
      <c r="B424" s="78" t="inlineStr">
        <is>
          <t>K386</t>
        </is>
      </c>
      <c r="C424" s="78" t="n">
        <v>384</v>
      </c>
      <c r="D424" s="78" t="inlineStr">
        <is>
          <t>الامتياز</t>
        </is>
      </c>
      <c r="E424" s="78" t="inlineStr">
        <is>
          <t>القصيم</t>
        </is>
      </c>
      <c r="F424" s="78" t="inlineStr">
        <is>
          <t>بريدة</t>
        </is>
      </c>
      <c r="G424" s="78" t="inlineStr">
        <is>
          <t>تحت 14</t>
        </is>
      </c>
      <c r="H424" s="78" t="n">
        <v>1</v>
      </c>
    </row>
    <row r="425">
      <c r="B425" s="78" t="inlineStr">
        <is>
          <t>L187</t>
        </is>
      </c>
      <c r="C425" s="78" t="n">
        <v>185</v>
      </c>
      <c r="D425" s="78" t="inlineStr">
        <is>
          <t xml:space="preserve">متوسطة ابو هريرة </t>
        </is>
      </c>
      <c r="E425" s="78" t="inlineStr">
        <is>
          <t>القصيم</t>
        </is>
      </c>
      <c r="F425" s="78" t="inlineStr">
        <is>
          <t>عنيزة</t>
        </is>
      </c>
      <c r="G425" s="78" t="inlineStr">
        <is>
          <t>تحت 13</t>
        </is>
      </c>
      <c r="H425" s="78" t="n">
        <v>1</v>
      </c>
    </row>
    <row r="426">
      <c r="B426" s="78" t="inlineStr">
        <is>
          <t>L386</t>
        </is>
      </c>
      <c r="C426" s="78" t="n">
        <v>384</v>
      </c>
      <c r="D426" s="78" t="inlineStr">
        <is>
          <t>الامتياز</t>
        </is>
      </c>
      <c r="E426" s="78" t="inlineStr">
        <is>
          <t>القصيم</t>
        </is>
      </c>
      <c r="F426" s="78" t="inlineStr">
        <is>
          <t>بريدة</t>
        </is>
      </c>
      <c r="G426" s="78" t="inlineStr">
        <is>
          <t>تحت 13</t>
        </is>
      </c>
      <c r="H426" s="78" t="n">
        <v>1</v>
      </c>
    </row>
    <row r="427">
      <c r="B427" s="78" t="inlineStr">
        <is>
          <t>N203</t>
        </is>
      </c>
      <c r="C427" s="78" t="n">
        <v>201</v>
      </c>
      <c r="D427" s="78" t="inlineStr">
        <is>
          <t>إلياس</t>
        </is>
      </c>
      <c r="E427" s="78" t="inlineStr">
        <is>
          <t>مكة المكرمة</t>
        </is>
      </c>
      <c r="F427" s="78" t="inlineStr">
        <is>
          <t>جدة</t>
        </is>
      </c>
      <c r="G427" s="78" t="inlineStr">
        <is>
          <t>تحت 11</t>
        </is>
      </c>
      <c r="H427" s="78" t="n">
        <v>1</v>
      </c>
    </row>
    <row r="428">
      <c r="B428" s="78" t="inlineStr">
        <is>
          <t>N378</t>
        </is>
      </c>
      <c r="C428" s="78" t="n">
        <v>376</v>
      </c>
      <c r="D428" s="78" t="inlineStr">
        <is>
          <t>بنفيكا جدة</t>
        </is>
      </c>
      <c r="E428" s="78" t="inlineStr">
        <is>
          <t>مكة المكرمة</t>
        </is>
      </c>
      <c r="F428" s="78" t="inlineStr">
        <is>
          <t>جدة</t>
        </is>
      </c>
      <c r="G428" s="78" t="inlineStr">
        <is>
          <t>تحت 11</t>
        </is>
      </c>
      <c r="H428" s="78" t="n">
        <v>1</v>
      </c>
    </row>
    <row r="429">
      <c r="B429" s="78" t="inlineStr">
        <is>
          <t>N482</t>
        </is>
      </c>
      <c r="C429" s="78" t="n">
        <v>480</v>
      </c>
      <c r="D429" s="78" t="inlineStr">
        <is>
          <t>فريق الجوهرة جدة</t>
        </is>
      </c>
      <c r="E429" s="78" t="inlineStr">
        <is>
          <t>مكة المكرمة</t>
        </is>
      </c>
      <c r="F429" s="78" t="inlineStr">
        <is>
          <t>جدة</t>
        </is>
      </c>
      <c r="G429" s="78" t="inlineStr">
        <is>
          <t>تحت 11</t>
        </is>
      </c>
      <c r="H429" s="78" t="n">
        <v>1</v>
      </c>
    </row>
    <row r="430">
      <c r="B430" s="78" t="inlineStr">
        <is>
          <t>N585</t>
        </is>
      </c>
      <c r="C430" s="78" t="n">
        <v>583</v>
      </c>
      <c r="D430" s="78" t="inlineStr">
        <is>
          <t xml:space="preserve">مدرسة ابن حوقل </t>
        </is>
      </c>
      <c r="E430" s="78" t="inlineStr">
        <is>
          <t>مكة المكرمة</t>
        </is>
      </c>
      <c r="F430" s="78" t="inlineStr">
        <is>
          <t>جدة</t>
        </is>
      </c>
      <c r="G430" s="78" t="inlineStr">
        <is>
          <t>تحت 11</t>
        </is>
      </c>
      <c r="H430" s="78" t="n">
        <v>1</v>
      </c>
    </row>
    <row r="431">
      <c r="B431" s="78" t="inlineStr">
        <is>
          <t>N610</t>
        </is>
      </c>
      <c r="C431" s="78" t="n">
        <v>608</v>
      </c>
      <c r="D431" s="78" t="inlineStr">
        <is>
          <t>فريق وكامي</t>
        </is>
      </c>
      <c r="E431" s="78" t="inlineStr">
        <is>
          <t>مكة المكرمة</t>
        </is>
      </c>
      <c r="F431" s="78" t="inlineStr">
        <is>
          <t>جدة</t>
        </is>
      </c>
      <c r="G431" s="78" t="inlineStr">
        <is>
          <t>تحت 11</t>
        </is>
      </c>
      <c r="H431" s="78" t="n">
        <v>1</v>
      </c>
    </row>
    <row r="432">
      <c r="B432" s="78" t="inlineStr">
        <is>
          <t>N645</t>
        </is>
      </c>
      <c r="C432" s="78" t="n">
        <v>643</v>
      </c>
      <c r="D432" s="78" t="inlineStr">
        <is>
          <t>JISA</t>
        </is>
      </c>
      <c r="E432" s="78" t="inlineStr">
        <is>
          <t>مكة المكرمة</t>
        </is>
      </c>
      <c r="F432" s="78" t="inlineStr">
        <is>
          <t>جدة</t>
        </is>
      </c>
      <c r="G432" s="78" t="inlineStr">
        <is>
          <t>تحت 11</t>
        </is>
      </c>
      <c r="H432" s="78" t="n">
        <v>1</v>
      </c>
    </row>
    <row r="433">
      <c r="B433" s="78" t="inlineStr">
        <is>
          <t>N655</t>
        </is>
      </c>
      <c r="C433" s="78" t="n">
        <v>653</v>
      </c>
      <c r="D433" s="78" t="inlineStr">
        <is>
          <t xml:space="preserve">تعاون جدة </t>
        </is>
      </c>
      <c r="E433" s="78" t="inlineStr">
        <is>
          <t>مكة المكرمة</t>
        </is>
      </c>
      <c r="F433" s="78" t="inlineStr">
        <is>
          <t>جدة</t>
        </is>
      </c>
      <c r="G433" s="78" t="inlineStr">
        <is>
          <t>تحت 11</t>
        </is>
      </c>
      <c r="H433" s="78" t="n">
        <v>1</v>
      </c>
    </row>
    <row r="434">
      <c r="B434" s="78" t="inlineStr">
        <is>
          <t>N670</t>
        </is>
      </c>
      <c r="C434" s="78" t="n">
        <v>668</v>
      </c>
      <c r="D434" s="78" t="inlineStr">
        <is>
          <t xml:space="preserve">مدرسة الروابي الخضراء العالمية </t>
        </is>
      </c>
      <c r="E434" s="78" t="inlineStr">
        <is>
          <t>مكة المكرمة</t>
        </is>
      </c>
      <c r="F434" s="78" t="inlineStr">
        <is>
          <t>جدة</t>
        </is>
      </c>
      <c r="G434" s="78" t="inlineStr">
        <is>
          <t>تحت 11</t>
        </is>
      </c>
      <c r="H434" s="78" t="n">
        <v>1</v>
      </c>
    </row>
    <row r="435">
      <c r="B435" s="78" t="inlineStr">
        <is>
          <t>N686</t>
        </is>
      </c>
      <c r="C435" s="78" t="n">
        <v>684</v>
      </c>
      <c r="D435" s="78" t="inlineStr">
        <is>
          <t>الاسطورة</t>
        </is>
      </c>
      <c r="E435" s="78" t="inlineStr">
        <is>
          <t>مكة المكرمة</t>
        </is>
      </c>
      <c r="F435" s="78" t="inlineStr">
        <is>
          <t>جدة</t>
        </is>
      </c>
      <c r="G435" s="78" t="inlineStr">
        <is>
          <t>تحت 11</t>
        </is>
      </c>
      <c r="H435" s="78" t="n">
        <v>1</v>
      </c>
    </row>
    <row r="436">
      <c r="B436" s="78" t="inlineStr">
        <is>
          <t>M205</t>
        </is>
      </c>
      <c r="C436" s="78" t="n">
        <v>203</v>
      </c>
      <c r="D436" s="78" t="inlineStr">
        <is>
          <t>القصيعة ون</t>
        </is>
      </c>
      <c r="E436" s="78" t="inlineStr">
        <is>
          <t>القصيم</t>
        </is>
      </c>
      <c r="F436" s="78" t="inlineStr">
        <is>
          <t>بريدة</t>
        </is>
      </c>
      <c r="G436" s="78" t="inlineStr">
        <is>
          <t>تحت 12</t>
        </is>
      </c>
      <c r="H436" s="78" t="n">
        <v>1</v>
      </c>
    </row>
    <row r="437">
      <c r="B437" s="78" t="inlineStr">
        <is>
          <t>M380</t>
        </is>
      </c>
      <c r="C437" s="78" t="n">
        <v>378</v>
      </c>
      <c r="D437" s="78" t="inlineStr">
        <is>
          <t xml:space="preserve">الامام البخاري </t>
        </is>
      </c>
      <c r="E437" s="78" t="inlineStr">
        <is>
          <t>القصيم</t>
        </is>
      </c>
      <c r="F437" s="78" t="inlineStr">
        <is>
          <t>عنيزة</t>
        </is>
      </c>
      <c r="G437" s="78" t="inlineStr">
        <is>
          <t>تحت 12</t>
        </is>
      </c>
      <c r="H437" s="78" t="n">
        <v>1</v>
      </c>
    </row>
    <row r="438">
      <c r="B438" s="78" t="inlineStr">
        <is>
          <t>M386</t>
        </is>
      </c>
      <c r="C438" s="78" t="n">
        <v>384</v>
      </c>
      <c r="D438" s="78" t="inlineStr">
        <is>
          <t>الامتياز</t>
        </is>
      </c>
      <c r="E438" s="78" t="inlineStr">
        <is>
          <t>القصيم</t>
        </is>
      </c>
      <c r="F438" s="78" t="inlineStr">
        <is>
          <t>بريدة</t>
        </is>
      </c>
      <c r="G438" s="78" t="inlineStr">
        <is>
          <t>تحت 12</t>
        </is>
      </c>
      <c r="H438" s="78" t="n">
        <v>1</v>
      </c>
    </row>
    <row r="439">
      <c r="B439" s="78" t="inlineStr">
        <is>
          <t>O205</t>
        </is>
      </c>
      <c r="C439" s="78" t="n">
        <v>203</v>
      </c>
      <c r="D439" s="78" t="inlineStr">
        <is>
          <t>القصيعة ون</t>
        </is>
      </c>
      <c r="E439" s="78" t="inlineStr">
        <is>
          <t>القصيم</t>
        </is>
      </c>
      <c r="F439" s="78" t="inlineStr">
        <is>
          <t>بريدة</t>
        </is>
      </c>
      <c r="G439" s="78" t="inlineStr">
        <is>
          <t>تحت 9</t>
        </is>
      </c>
      <c r="H439" s="78" t="n">
        <v>1</v>
      </c>
    </row>
    <row r="440">
      <c r="B440" s="78" t="inlineStr">
        <is>
          <t>O386</t>
        </is>
      </c>
      <c r="C440" s="78" t="n">
        <v>384</v>
      </c>
      <c r="D440" s="78" t="inlineStr">
        <is>
          <t>الامتياز</t>
        </is>
      </c>
      <c r="E440" s="78" t="inlineStr">
        <is>
          <t>القصيم</t>
        </is>
      </c>
      <c r="F440" s="78" t="inlineStr">
        <is>
          <t>بريدة</t>
        </is>
      </c>
      <c r="G440" s="78" t="inlineStr">
        <is>
          <t>تحت 9</t>
        </is>
      </c>
      <c r="H440" s="78" t="n">
        <v>1</v>
      </c>
    </row>
    <row r="441">
      <c r="B441" s="78" t="inlineStr">
        <is>
          <t>O545</t>
        </is>
      </c>
      <c r="C441" s="78" t="n">
        <v>543</v>
      </c>
      <c r="D441" s="78" t="inlineStr">
        <is>
          <t>اكاديمية حلم الرياضة</t>
        </is>
      </c>
      <c r="E441" s="78" t="inlineStr">
        <is>
          <t>القصيم</t>
        </is>
      </c>
      <c r="F441" s="78" t="inlineStr">
        <is>
          <t>المذنب</t>
        </is>
      </c>
      <c r="G441" s="78" t="inlineStr">
        <is>
          <t>تحت 9</t>
        </is>
      </c>
      <c r="H441" s="78" t="n">
        <v>1</v>
      </c>
    </row>
    <row r="442">
      <c r="B442" s="78" t="inlineStr">
        <is>
          <t>L206</t>
        </is>
      </c>
      <c r="C442" s="78" t="n">
        <v>204</v>
      </c>
      <c r="D442" s="78" t="inlineStr">
        <is>
          <t>مدرسة هارون الرشيد</t>
        </is>
      </c>
      <c r="E442" s="78" t="inlineStr">
        <is>
          <t>الجوف</t>
        </is>
      </c>
      <c r="F442" s="78" t="inlineStr">
        <is>
          <t>سكاكا</t>
        </is>
      </c>
      <c r="G442" s="78" t="inlineStr">
        <is>
          <t>تحت 13</t>
        </is>
      </c>
      <c r="H442" s="78" t="n">
        <v>1</v>
      </c>
    </row>
    <row r="443">
      <c r="B443" s="78" t="inlineStr">
        <is>
          <t>L382</t>
        </is>
      </c>
      <c r="C443" s="78" t="n">
        <v>380</v>
      </c>
      <c r="D443" s="78" t="inlineStr">
        <is>
          <t xml:space="preserve">مدرسة ابن تيمية </t>
        </is>
      </c>
      <c r="E443" s="78" t="inlineStr">
        <is>
          <t>الجوف</t>
        </is>
      </c>
      <c r="F443" s="78" t="inlineStr">
        <is>
          <t>سكاكا</t>
        </is>
      </c>
      <c r="G443" s="78" t="inlineStr">
        <is>
          <t>تحت 13</t>
        </is>
      </c>
      <c r="H443" s="78" t="n">
        <v>1</v>
      </c>
    </row>
    <row r="444">
      <c r="B444" s="78" t="inlineStr">
        <is>
          <t>L631</t>
        </is>
      </c>
      <c r="C444" s="78" t="n">
        <v>629</v>
      </c>
      <c r="D444" s="78" t="inlineStr">
        <is>
          <t>فريق العباس</t>
        </is>
      </c>
      <c r="E444" s="78" t="inlineStr">
        <is>
          <t>الجوف</t>
        </is>
      </c>
      <c r="F444" s="78" t="inlineStr">
        <is>
          <t>سكاكا</t>
        </is>
      </c>
      <c r="G444" s="78" t="inlineStr">
        <is>
          <t>تحت 13</t>
        </is>
      </c>
      <c r="H444" s="78" t="n">
        <v>1</v>
      </c>
    </row>
    <row r="445">
      <c r="B445" s="78" t="inlineStr">
        <is>
          <t>L690</t>
        </is>
      </c>
      <c r="C445" s="78" t="n">
        <v>688</v>
      </c>
      <c r="D445" s="78" t="inlineStr">
        <is>
          <t>القمه</t>
        </is>
      </c>
      <c r="E445" s="78" t="inlineStr">
        <is>
          <t>الجوف</t>
        </is>
      </c>
      <c r="F445" s="78" t="inlineStr">
        <is>
          <t>سكاكا</t>
        </is>
      </c>
      <c r="G445" s="78" t="inlineStr">
        <is>
          <t>تحت 13</t>
        </is>
      </c>
      <c r="H445" s="78" t="n">
        <v>1</v>
      </c>
    </row>
    <row r="446">
      <c r="B446" s="78" t="inlineStr">
        <is>
          <t>M206</t>
        </is>
      </c>
      <c r="C446" s="78" t="n">
        <v>204</v>
      </c>
      <c r="D446" s="78" t="inlineStr">
        <is>
          <t>مدرسة هارون الرشيد</t>
        </is>
      </c>
      <c r="E446" s="78" t="inlineStr">
        <is>
          <t>الجوف</t>
        </is>
      </c>
      <c r="F446" s="78" t="inlineStr">
        <is>
          <t>سكاكا</t>
        </is>
      </c>
      <c r="G446" s="78" t="inlineStr">
        <is>
          <t>تحت 12</t>
        </is>
      </c>
      <c r="H446" s="78" t="n">
        <v>1</v>
      </c>
    </row>
    <row r="447">
      <c r="B447" s="78" t="inlineStr">
        <is>
          <t>M382</t>
        </is>
      </c>
      <c r="C447" s="78" t="n">
        <v>380</v>
      </c>
      <c r="D447" s="78" t="inlineStr">
        <is>
          <t xml:space="preserve">مدرسة ابن تيمية </t>
        </is>
      </c>
      <c r="E447" s="78" t="inlineStr">
        <is>
          <t>الجوف</t>
        </is>
      </c>
      <c r="F447" s="78" t="inlineStr">
        <is>
          <t>سكاكا</t>
        </is>
      </c>
      <c r="G447" s="78" t="inlineStr">
        <is>
          <t>تحت 12</t>
        </is>
      </c>
      <c r="H447" s="78" t="n">
        <v>1</v>
      </c>
    </row>
    <row r="448">
      <c r="B448" s="78" t="inlineStr">
        <is>
          <t>M690</t>
        </is>
      </c>
      <c r="C448" s="78" t="n">
        <v>688</v>
      </c>
      <c r="D448" s="78" t="inlineStr">
        <is>
          <t>القمه</t>
        </is>
      </c>
      <c r="E448" s="78" t="inlineStr">
        <is>
          <t>الجوف</t>
        </is>
      </c>
      <c r="F448" s="78" t="inlineStr">
        <is>
          <t>سكاكا</t>
        </is>
      </c>
      <c r="G448" s="78" t="inlineStr">
        <is>
          <t>تحت 12</t>
        </is>
      </c>
      <c r="H448" s="78" t="n">
        <v>1</v>
      </c>
    </row>
    <row r="449">
      <c r="B449" s="78" t="inlineStr">
        <is>
          <t>K218</t>
        </is>
      </c>
      <c r="C449" s="78" t="n">
        <v>216</v>
      </c>
      <c r="D449" s="78" t="inlineStr">
        <is>
          <t>السوق بالقحمة</t>
        </is>
      </c>
      <c r="E449" s="78" t="inlineStr">
        <is>
          <t>مكة المكرمة</t>
        </is>
      </c>
      <c r="F449" s="78" t="inlineStr">
        <is>
          <t>القنفذة</t>
        </is>
      </c>
      <c r="G449" s="78" t="inlineStr">
        <is>
          <t>تحت 14</t>
        </is>
      </c>
      <c r="H449" s="78" t="n">
        <v>1</v>
      </c>
    </row>
    <row r="450">
      <c r="B450" s="78" t="inlineStr">
        <is>
          <t>K220</t>
        </is>
      </c>
      <c r="C450" s="78" t="n">
        <v>218</v>
      </c>
      <c r="D450" s="78" t="inlineStr">
        <is>
          <t>نادي الشعاع الرياضي</t>
        </is>
      </c>
      <c r="E450" s="78" t="inlineStr">
        <is>
          <t>مكة المكرمة</t>
        </is>
      </c>
      <c r="F450" s="78" t="inlineStr">
        <is>
          <t>القنفذة</t>
        </is>
      </c>
      <c r="G450" s="78" t="inlineStr">
        <is>
          <t>تحت 14</t>
        </is>
      </c>
      <c r="H450" s="78" t="n">
        <v>1</v>
      </c>
    </row>
    <row r="451">
      <c r="B451" s="78" t="inlineStr">
        <is>
          <t>K297</t>
        </is>
      </c>
      <c r="C451" s="78" t="n">
        <v>295</v>
      </c>
      <c r="D451" s="78" t="inlineStr">
        <is>
          <t>الشارقة بالقوز</t>
        </is>
      </c>
      <c r="E451" s="78" t="inlineStr">
        <is>
          <t>مكة المكرمة</t>
        </is>
      </c>
      <c r="F451" s="78" t="inlineStr">
        <is>
          <t>القنفذة</t>
        </is>
      </c>
      <c r="G451" s="78" t="inlineStr">
        <is>
          <t>تحت 14</t>
        </is>
      </c>
      <c r="H451" s="78" t="n">
        <v>1</v>
      </c>
    </row>
    <row r="452">
      <c r="B452" s="78" t="inlineStr">
        <is>
          <t>L220</t>
        </is>
      </c>
      <c r="C452" s="78" t="n">
        <v>218</v>
      </c>
      <c r="D452" s="78" t="inlineStr">
        <is>
          <t>نادي الشعاع الرياضي</t>
        </is>
      </c>
      <c r="E452" s="78" t="inlineStr">
        <is>
          <t>مكة المكرمة</t>
        </is>
      </c>
      <c r="F452" s="78" t="inlineStr">
        <is>
          <t>القنفذة</t>
        </is>
      </c>
      <c r="G452" s="78" t="inlineStr">
        <is>
          <t>تحت 13</t>
        </is>
      </c>
      <c r="H452" s="78" t="n">
        <v>1</v>
      </c>
    </row>
    <row r="453">
      <c r="B453" s="78" t="inlineStr">
        <is>
          <t>L297</t>
        </is>
      </c>
      <c r="C453" s="78" t="n">
        <v>295</v>
      </c>
      <c r="D453" s="78" t="inlineStr">
        <is>
          <t>الشارقة بالقوز</t>
        </is>
      </c>
      <c r="E453" s="78" t="inlineStr">
        <is>
          <t>مكة المكرمة</t>
        </is>
      </c>
      <c r="F453" s="78" t="inlineStr">
        <is>
          <t>القنفذة</t>
        </is>
      </c>
      <c r="G453" s="78" t="inlineStr">
        <is>
          <t>تحت 13</t>
        </is>
      </c>
      <c r="H453" s="78" t="n">
        <v>1</v>
      </c>
    </row>
    <row r="454">
      <c r="B454" s="78" t="inlineStr">
        <is>
          <t>M220</t>
        </is>
      </c>
      <c r="C454" s="78" t="n">
        <v>218</v>
      </c>
      <c r="D454" s="78" t="inlineStr">
        <is>
          <t>نادي الشعاع الرياضي</t>
        </is>
      </c>
      <c r="E454" s="78" t="inlineStr">
        <is>
          <t>مكة المكرمة</t>
        </is>
      </c>
      <c r="F454" s="78" t="inlineStr">
        <is>
          <t>القنفذة</t>
        </is>
      </c>
      <c r="G454" s="78" t="inlineStr">
        <is>
          <t>تحت 12</t>
        </is>
      </c>
      <c r="H454" s="78" t="n">
        <v>1</v>
      </c>
    </row>
    <row r="455">
      <c r="B455" s="78" t="inlineStr">
        <is>
          <t>M297</t>
        </is>
      </c>
      <c r="C455" s="78" t="n">
        <v>295</v>
      </c>
      <c r="D455" s="78" t="inlineStr">
        <is>
          <t>الشارقة بالقوز</t>
        </is>
      </c>
      <c r="E455" s="78" t="inlineStr">
        <is>
          <t>مكة المكرمة</t>
        </is>
      </c>
      <c r="F455" s="78" t="inlineStr">
        <is>
          <t>القنفذة</t>
        </is>
      </c>
      <c r="G455" s="78" t="inlineStr">
        <is>
          <t>تحت 12</t>
        </is>
      </c>
      <c r="H455" s="78" t="n">
        <v>1</v>
      </c>
    </row>
    <row r="456">
      <c r="B456" s="78" t="inlineStr">
        <is>
          <t>N220</t>
        </is>
      </c>
      <c r="C456" s="78" t="n">
        <v>218</v>
      </c>
      <c r="D456" s="78" t="inlineStr">
        <is>
          <t>نادي الشعاع الرياضي</t>
        </is>
      </c>
      <c r="E456" s="78" t="inlineStr">
        <is>
          <t>مكة المكرمة</t>
        </is>
      </c>
      <c r="F456" s="78" t="inlineStr">
        <is>
          <t>القنفذة</t>
        </is>
      </c>
      <c r="G456" s="78" t="inlineStr">
        <is>
          <t>تحت 11</t>
        </is>
      </c>
      <c r="H456" s="78" t="n">
        <v>1</v>
      </c>
    </row>
    <row r="457">
      <c r="B457" s="78" t="inlineStr">
        <is>
          <t>N297</t>
        </is>
      </c>
      <c r="C457" s="78" t="n">
        <v>295</v>
      </c>
      <c r="D457" s="78" t="inlineStr">
        <is>
          <t>الشارقة بالقوز</t>
        </is>
      </c>
      <c r="E457" s="78" t="inlineStr">
        <is>
          <t>مكة المكرمة</t>
        </is>
      </c>
      <c r="F457" s="78" t="inlineStr">
        <is>
          <t>القنفذة</t>
        </is>
      </c>
      <c r="G457" s="78" t="inlineStr">
        <is>
          <t>تحت 11</t>
        </is>
      </c>
      <c r="H457" s="78" t="n">
        <v>1</v>
      </c>
    </row>
    <row r="458">
      <c r="B458" s="78" t="inlineStr">
        <is>
          <t>P239</t>
        </is>
      </c>
      <c r="C458" s="78" t="n">
        <v>237</v>
      </c>
      <c r="D458" s="78" t="inlineStr">
        <is>
          <t>قائم العقم</t>
        </is>
      </c>
      <c r="E458" s="78" t="inlineStr">
        <is>
          <t>جازان</t>
        </is>
      </c>
      <c r="F458" s="78" t="inlineStr">
        <is>
          <t>جيزان</t>
        </is>
      </c>
      <c r="G458" s="78" t="inlineStr">
        <is>
          <t>تحت 7</t>
        </is>
      </c>
      <c r="H458" s="78" t="n">
        <v>1</v>
      </c>
    </row>
    <row r="459">
      <c r="B459" s="78" t="inlineStr">
        <is>
          <t>P281</t>
        </is>
      </c>
      <c r="C459" s="78" t="n">
        <v>279</v>
      </c>
      <c r="D459" s="78" t="inlineStr">
        <is>
          <t>الخالف</t>
        </is>
      </c>
      <c r="E459" s="78" t="inlineStr">
        <is>
          <t>جازان</t>
        </is>
      </c>
      <c r="F459" s="78" t="inlineStr">
        <is>
          <t>جيزان</t>
        </is>
      </c>
      <c r="G459" s="78" t="inlineStr">
        <is>
          <t>تحت 7</t>
        </is>
      </c>
      <c r="H459" s="78" t="n">
        <v>1</v>
      </c>
    </row>
    <row r="460">
      <c r="B460" s="78" t="inlineStr">
        <is>
          <t>P629</t>
        </is>
      </c>
      <c r="C460" s="78" t="n">
        <v>627</v>
      </c>
      <c r="D460" s="78" t="inlineStr">
        <is>
          <t>النخبة الهواة</t>
        </is>
      </c>
      <c r="E460" s="78" t="inlineStr">
        <is>
          <t>جازان</t>
        </is>
      </c>
      <c r="F460" s="78" t="inlineStr">
        <is>
          <t>جيزان</t>
        </is>
      </c>
      <c r="G460" s="78" t="inlineStr">
        <is>
          <t>تحت 7</t>
        </is>
      </c>
      <c r="H460" s="78" t="n">
        <v>1</v>
      </c>
    </row>
    <row r="461">
      <c r="B461" s="78" t="inlineStr">
        <is>
          <t>P634</t>
        </is>
      </c>
      <c r="C461" s="78" t="n">
        <v>632</v>
      </c>
      <c r="D461" s="78" t="inlineStr">
        <is>
          <t>السهم هواة جازان</t>
        </is>
      </c>
      <c r="E461" s="78" t="inlineStr">
        <is>
          <t>جازان</t>
        </is>
      </c>
      <c r="F461" s="78" t="inlineStr">
        <is>
          <t>جيزان</t>
        </is>
      </c>
      <c r="G461" s="78" t="inlineStr">
        <is>
          <t>تحت 7</t>
        </is>
      </c>
      <c r="H461" s="78" t="n">
        <v>1</v>
      </c>
    </row>
    <row r="462">
      <c r="B462" s="78" t="inlineStr">
        <is>
          <t>Q239</t>
        </is>
      </c>
      <c r="C462" s="78" t="n">
        <v>237</v>
      </c>
      <c r="D462" s="78" t="inlineStr">
        <is>
          <t>قائم العقم</t>
        </is>
      </c>
      <c r="E462" s="78" t="inlineStr">
        <is>
          <t>جازان</t>
        </is>
      </c>
      <c r="F462" s="78" t="inlineStr">
        <is>
          <t>جيزان</t>
        </is>
      </c>
      <c r="G462" s="78" t="inlineStr">
        <is>
          <t>تحت 5</t>
        </is>
      </c>
      <c r="H462" s="78" t="n">
        <v>1</v>
      </c>
    </row>
    <row r="463">
      <c r="B463" s="78" t="inlineStr">
        <is>
          <t>Q281</t>
        </is>
      </c>
      <c r="C463" s="78" t="n">
        <v>279</v>
      </c>
      <c r="D463" s="78" t="inlineStr">
        <is>
          <t>الخالف</t>
        </is>
      </c>
      <c r="E463" s="78" t="inlineStr">
        <is>
          <t>جازان</t>
        </is>
      </c>
      <c r="F463" s="78" t="inlineStr">
        <is>
          <t>جيزان</t>
        </is>
      </c>
      <c r="G463" s="78" t="inlineStr">
        <is>
          <t>تحت 5</t>
        </is>
      </c>
      <c r="H463" s="78" t="n">
        <v>1</v>
      </c>
    </row>
    <row r="464">
      <c r="B464" s="78" t="inlineStr">
        <is>
          <t>Q629</t>
        </is>
      </c>
      <c r="C464" s="78" t="n">
        <v>627</v>
      </c>
      <c r="D464" s="78" t="inlineStr">
        <is>
          <t>النخبة الهواة</t>
        </is>
      </c>
      <c r="E464" s="78" t="inlineStr">
        <is>
          <t>جازان</t>
        </is>
      </c>
      <c r="F464" s="78" t="inlineStr">
        <is>
          <t>جيزان</t>
        </is>
      </c>
      <c r="G464" s="78" t="inlineStr">
        <is>
          <t>تحت 5</t>
        </is>
      </c>
      <c r="H464" s="78" t="n">
        <v>1</v>
      </c>
    </row>
    <row r="465">
      <c r="B465" s="78" t="inlineStr">
        <is>
          <t>K247</t>
        </is>
      </c>
      <c r="C465" s="78" t="n">
        <v>245</v>
      </c>
      <c r="D465" s="78" t="inlineStr">
        <is>
          <t>LAVER ACADMY</t>
        </is>
      </c>
      <c r="E465" s="78" t="inlineStr">
        <is>
          <t>مكة المكرمة</t>
        </is>
      </c>
      <c r="F465" s="78" t="inlineStr">
        <is>
          <t>جدة</t>
        </is>
      </c>
      <c r="G465" s="78" t="inlineStr">
        <is>
          <t>تحت 14</t>
        </is>
      </c>
      <c r="H465" s="78" t="n">
        <v>1</v>
      </c>
    </row>
    <row r="466">
      <c r="B466" s="78" t="inlineStr">
        <is>
          <t>K482</t>
        </is>
      </c>
      <c r="C466" s="78" t="n">
        <v>480</v>
      </c>
      <c r="D466" s="78" t="inlineStr">
        <is>
          <t>فريق الجوهرة جدة</t>
        </is>
      </c>
      <c r="E466" s="78" t="inlineStr">
        <is>
          <t>مكة المكرمة</t>
        </is>
      </c>
      <c r="F466" s="78" t="inlineStr">
        <is>
          <t>جدة</t>
        </is>
      </c>
      <c r="G466" s="78" t="inlineStr">
        <is>
          <t>تحت 14</t>
        </is>
      </c>
      <c r="H466" s="78" t="n">
        <v>1</v>
      </c>
    </row>
    <row r="467">
      <c r="B467" s="78" t="inlineStr">
        <is>
          <t>K604</t>
        </is>
      </c>
      <c r="C467" s="78" t="n">
        <v>602</v>
      </c>
      <c r="D467" s="78" t="inlineStr">
        <is>
          <t>متوسطة المجد</t>
        </is>
      </c>
      <c r="E467" s="78" t="inlineStr">
        <is>
          <t>مكة المكرمة</t>
        </is>
      </c>
      <c r="F467" s="78" t="inlineStr">
        <is>
          <t>جدة</t>
        </is>
      </c>
      <c r="G467" s="78" t="inlineStr">
        <is>
          <t>تحت 14</t>
        </is>
      </c>
      <c r="H467" s="78" t="n">
        <v>1</v>
      </c>
    </row>
    <row r="468">
      <c r="B468" s="78" t="inlineStr">
        <is>
          <t>K655</t>
        </is>
      </c>
      <c r="C468" s="78" t="n">
        <v>653</v>
      </c>
      <c r="D468" s="78" t="inlineStr">
        <is>
          <t xml:space="preserve">تعاون جدة </t>
        </is>
      </c>
      <c r="E468" s="78" t="inlineStr">
        <is>
          <t>مكة المكرمة</t>
        </is>
      </c>
      <c r="F468" s="78" t="inlineStr">
        <is>
          <t>جدة</t>
        </is>
      </c>
      <c r="G468" s="78" t="inlineStr">
        <is>
          <t>تحت 14</t>
        </is>
      </c>
      <c r="H468" s="78" t="n">
        <v>1</v>
      </c>
    </row>
    <row r="469">
      <c r="B469" s="78" t="inlineStr">
        <is>
          <t>K658</t>
        </is>
      </c>
      <c r="C469" s="78" t="n">
        <v>656</v>
      </c>
      <c r="D469" s="78" t="inlineStr">
        <is>
          <t>عبق العلم</t>
        </is>
      </c>
      <c r="E469" s="78" t="inlineStr">
        <is>
          <t>مكة المكرمة</t>
        </is>
      </c>
      <c r="F469" s="78" t="inlineStr">
        <is>
          <t>جدة</t>
        </is>
      </c>
      <c r="G469" s="78" t="inlineStr">
        <is>
          <t>تحت 14</t>
        </is>
      </c>
      <c r="H469" s="78" t="n">
        <v>1</v>
      </c>
    </row>
    <row r="470">
      <c r="B470" s="78" t="inlineStr">
        <is>
          <t>K670</t>
        </is>
      </c>
      <c r="C470" s="78" t="n">
        <v>668</v>
      </c>
      <c r="D470" s="78" t="inlineStr">
        <is>
          <t xml:space="preserve">مدرسة الروابي الخضراء العالمية </t>
        </is>
      </c>
      <c r="E470" s="78" t="inlineStr">
        <is>
          <t>مكة المكرمة</t>
        </is>
      </c>
      <c r="F470" s="78" t="inlineStr">
        <is>
          <t>جدة</t>
        </is>
      </c>
      <c r="G470" s="78" t="inlineStr">
        <is>
          <t>تحت 14</t>
        </is>
      </c>
      <c r="H470" s="78" t="n">
        <v>1</v>
      </c>
    </row>
    <row r="471">
      <c r="B471" s="78" t="inlineStr">
        <is>
          <t>K686</t>
        </is>
      </c>
      <c r="C471" s="78" t="n">
        <v>684</v>
      </c>
      <c r="D471" s="78" t="inlineStr">
        <is>
          <t>الاسطورة</t>
        </is>
      </c>
      <c r="E471" s="78" t="inlineStr">
        <is>
          <t>مكة المكرمة</t>
        </is>
      </c>
      <c r="F471" s="78" t="inlineStr">
        <is>
          <t>جدة</t>
        </is>
      </c>
      <c r="G471" s="78" t="inlineStr">
        <is>
          <t>تحت 14</t>
        </is>
      </c>
      <c r="H471" s="78" t="n">
        <v>1</v>
      </c>
    </row>
    <row r="472">
      <c r="B472" s="78" t="inlineStr">
        <is>
          <t>K697</t>
        </is>
      </c>
      <c r="C472" s="78" t="n">
        <v>695</v>
      </c>
      <c r="D472" s="78" t="inlineStr">
        <is>
          <t>مجمع الامير محمد بن سعود الكبير</t>
        </is>
      </c>
      <c r="E472" s="78" t="inlineStr">
        <is>
          <t>مكة المكرمة</t>
        </is>
      </c>
      <c r="F472" s="78" t="inlineStr">
        <is>
          <t>جدة</t>
        </is>
      </c>
      <c r="G472" s="78" t="inlineStr">
        <is>
          <t>تحت 14</t>
        </is>
      </c>
      <c r="H472" s="78" t="n">
        <v>1</v>
      </c>
    </row>
    <row r="473">
      <c r="B473" s="78" t="inlineStr">
        <is>
          <t>K698</t>
        </is>
      </c>
      <c r="C473" s="78" t="n">
        <v>696</v>
      </c>
      <c r="D473" s="78" t="inlineStr">
        <is>
          <t>EIS</t>
        </is>
      </c>
      <c r="E473" s="78" t="inlineStr">
        <is>
          <t>مكة المكرمة</t>
        </is>
      </c>
      <c r="F473" s="78" t="inlineStr">
        <is>
          <t>جدة</t>
        </is>
      </c>
      <c r="G473" s="78" t="inlineStr">
        <is>
          <t>تحت 14</t>
        </is>
      </c>
      <c r="H473" s="78" t="n">
        <v>1</v>
      </c>
    </row>
    <row r="474">
      <c r="B474" s="78" t="inlineStr">
        <is>
          <t>K249</t>
        </is>
      </c>
      <c r="C474" s="78" t="n">
        <v>247</v>
      </c>
      <c r="D474" s="78" t="inlineStr">
        <is>
          <t>فريق عبدالرحمن صالح الرشيدي</t>
        </is>
      </c>
      <c r="E474" s="78" t="inlineStr">
        <is>
          <t>حائل</t>
        </is>
      </c>
      <c r="F474" s="78" t="inlineStr">
        <is>
          <t>حائل</t>
        </is>
      </c>
      <c r="G474" s="78" t="inlineStr">
        <is>
          <t>تحت 14</t>
        </is>
      </c>
      <c r="H474" s="78" t="n">
        <v>1</v>
      </c>
    </row>
    <row r="475">
      <c r="B475" s="78" t="inlineStr">
        <is>
          <t>L250</t>
        </is>
      </c>
      <c r="C475" s="78" t="n">
        <v>248</v>
      </c>
      <c r="D475" s="78" t="inlineStr">
        <is>
          <t>نادي ساس الرياضي</t>
        </is>
      </c>
      <c r="E475" s="78" t="inlineStr">
        <is>
          <t>الرياض</t>
        </is>
      </c>
      <c r="F475" s="78" t="inlineStr">
        <is>
          <t>الرياض</t>
        </is>
      </c>
      <c r="G475" s="78" t="inlineStr">
        <is>
          <t>تحت 13</t>
        </is>
      </c>
      <c r="H475" s="78" t="n">
        <v>1</v>
      </c>
    </row>
    <row r="476">
      <c r="B476" s="78" t="inlineStr">
        <is>
          <t>L583</t>
        </is>
      </c>
      <c r="C476" s="78" t="n">
        <v>581</v>
      </c>
      <c r="D476" s="78" t="inlineStr">
        <is>
          <t>اكاديمية فراس</t>
        </is>
      </c>
      <c r="E476" s="78" t="inlineStr">
        <is>
          <t>الرياض</t>
        </is>
      </c>
      <c r="F476" s="78" t="inlineStr">
        <is>
          <t>الرياض</t>
        </is>
      </c>
      <c r="G476" s="78" t="inlineStr">
        <is>
          <t>تحت 13</t>
        </is>
      </c>
      <c r="H476" s="78" t="n">
        <v>1</v>
      </c>
    </row>
    <row r="477">
      <c r="B477" s="78" t="inlineStr">
        <is>
          <t>L593</t>
        </is>
      </c>
      <c r="C477" s="78" t="n">
        <v>591</v>
      </c>
      <c r="D477" s="78" t="inlineStr">
        <is>
          <t>مدارس الاوزون العالمية</t>
        </is>
      </c>
      <c r="E477" s="78" t="inlineStr">
        <is>
          <t>الرياض</t>
        </is>
      </c>
      <c r="F477" s="78" t="inlineStr">
        <is>
          <t>الرياض</t>
        </is>
      </c>
      <c r="G477" s="78" t="inlineStr">
        <is>
          <t>تحت 13</t>
        </is>
      </c>
      <c r="H477" s="78" t="n">
        <v>1</v>
      </c>
    </row>
    <row r="478">
      <c r="B478" s="78" t="inlineStr">
        <is>
          <t>L607</t>
        </is>
      </c>
      <c r="C478" s="78" t="n">
        <v>605</v>
      </c>
      <c r="D478" s="78" t="inlineStr">
        <is>
          <t>الرقي</t>
        </is>
      </c>
      <c r="E478" s="78" t="inlineStr">
        <is>
          <t>الرياض</t>
        </is>
      </c>
      <c r="F478" s="78" t="inlineStr">
        <is>
          <t>الرياض</t>
        </is>
      </c>
      <c r="G478" s="78" t="inlineStr">
        <is>
          <t>تحت 13</t>
        </is>
      </c>
      <c r="H478" s="78" t="n">
        <v>1</v>
      </c>
    </row>
    <row r="479">
      <c r="B479" s="78" t="inlineStr">
        <is>
          <t>M250</t>
        </is>
      </c>
      <c r="C479" s="78" t="n">
        <v>248</v>
      </c>
      <c r="D479" s="78" t="inlineStr">
        <is>
          <t>نادي ساس الرياضي</t>
        </is>
      </c>
      <c r="E479" s="78" t="inlineStr">
        <is>
          <t>الرياض</t>
        </is>
      </c>
      <c r="F479" s="78" t="inlineStr">
        <is>
          <t>الرياض</t>
        </is>
      </c>
      <c r="G479" s="78" t="inlineStr">
        <is>
          <t>تحت 12</t>
        </is>
      </c>
      <c r="H479" s="78" t="n">
        <v>1</v>
      </c>
    </row>
    <row r="480">
      <c r="B480" s="78" t="inlineStr">
        <is>
          <t>M553</t>
        </is>
      </c>
      <c r="C480" s="78" t="n">
        <v>551</v>
      </c>
      <c r="D480" s="78" t="inlineStr">
        <is>
          <t xml:space="preserve">فريق ابتدائية شروق التربية </t>
        </is>
      </c>
      <c r="E480" s="78" t="inlineStr">
        <is>
          <t>الرياض</t>
        </is>
      </c>
      <c r="F480" s="78" t="inlineStr">
        <is>
          <t>الرياض</t>
        </is>
      </c>
      <c r="G480" s="78" t="inlineStr">
        <is>
          <t>تحت 12</t>
        </is>
      </c>
      <c r="H480" s="78" t="n">
        <v>1</v>
      </c>
    </row>
    <row r="481">
      <c r="B481" s="78" t="inlineStr">
        <is>
          <t>M568</t>
        </is>
      </c>
      <c r="C481" s="78" t="n">
        <v>566</v>
      </c>
      <c r="D481" s="78" t="inlineStr">
        <is>
          <t>ابطال التعلم</t>
        </is>
      </c>
      <c r="E481" s="78" t="inlineStr">
        <is>
          <t>الرياض</t>
        </is>
      </c>
      <c r="F481" s="78" t="inlineStr">
        <is>
          <t>الرياض</t>
        </is>
      </c>
      <c r="G481" s="78" t="inlineStr">
        <is>
          <t>تحت 12</t>
        </is>
      </c>
      <c r="H481" s="78" t="n">
        <v>1</v>
      </c>
    </row>
    <row r="482">
      <c r="B482" s="78" t="inlineStr">
        <is>
          <t>M583</t>
        </is>
      </c>
      <c r="C482" s="78" t="n">
        <v>581</v>
      </c>
      <c r="D482" s="78" t="inlineStr">
        <is>
          <t>اكاديمية فراس</t>
        </is>
      </c>
      <c r="E482" s="78" t="inlineStr">
        <is>
          <t>الرياض</t>
        </is>
      </c>
      <c r="F482" s="78" t="inlineStr">
        <is>
          <t>الرياض</t>
        </is>
      </c>
      <c r="G482" s="78" t="inlineStr">
        <is>
          <t>تحت 12</t>
        </is>
      </c>
      <c r="H482" s="78" t="n">
        <v>1</v>
      </c>
    </row>
    <row r="483">
      <c r="B483" s="78" t="inlineStr">
        <is>
          <t>M587</t>
        </is>
      </c>
      <c r="C483" s="78" t="n">
        <v>585</v>
      </c>
      <c r="D483" s="78" t="inlineStr">
        <is>
          <t xml:space="preserve">المدينة الاكاديمية </t>
        </is>
      </c>
      <c r="E483" s="78" t="inlineStr">
        <is>
          <t>الرياض</t>
        </is>
      </c>
      <c r="F483" s="78" t="inlineStr">
        <is>
          <t>الرياض</t>
        </is>
      </c>
      <c r="G483" s="78" t="inlineStr">
        <is>
          <t>تحت 12</t>
        </is>
      </c>
      <c r="H483" s="78" t="n">
        <v>1</v>
      </c>
    </row>
    <row r="484">
      <c r="B484" s="78" t="inlineStr">
        <is>
          <t>M593</t>
        </is>
      </c>
      <c r="C484" s="78" t="n">
        <v>591</v>
      </c>
      <c r="D484" s="78" t="inlineStr">
        <is>
          <t>مدارس الاوزون العالمية</t>
        </is>
      </c>
      <c r="E484" s="78" t="inlineStr">
        <is>
          <t>الرياض</t>
        </is>
      </c>
      <c r="F484" s="78" t="inlineStr">
        <is>
          <t>الرياض</t>
        </is>
      </c>
      <c r="G484" s="78" t="inlineStr">
        <is>
          <t>تحت 12</t>
        </is>
      </c>
      <c r="H484" s="78" t="n">
        <v>1</v>
      </c>
    </row>
    <row r="485">
      <c r="B485" s="78" t="inlineStr">
        <is>
          <t>M603</t>
        </is>
      </c>
      <c r="C485" s="78" t="n">
        <v>601</v>
      </c>
      <c r="D485" s="78" t="inlineStr">
        <is>
          <t>ابتدائية الرقي الاهلية</t>
        </is>
      </c>
      <c r="E485" s="78" t="inlineStr">
        <is>
          <t>الرياض</t>
        </is>
      </c>
      <c r="F485" s="78" t="inlineStr">
        <is>
          <t>الرياض</t>
        </is>
      </c>
      <c r="G485" s="78" t="inlineStr">
        <is>
          <t>تحت 12</t>
        </is>
      </c>
      <c r="H485" s="78" t="n">
        <v>1</v>
      </c>
    </row>
    <row r="486">
      <c r="B486" s="78" t="inlineStr">
        <is>
          <t>M607</t>
        </is>
      </c>
      <c r="C486" s="78" t="n">
        <v>605</v>
      </c>
      <c r="D486" s="78" t="inlineStr">
        <is>
          <t>الرقي</t>
        </is>
      </c>
      <c r="E486" s="78" t="inlineStr">
        <is>
          <t>الرياض</t>
        </is>
      </c>
      <c r="F486" s="78" t="inlineStr">
        <is>
          <t>الرياض</t>
        </is>
      </c>
      <c r="G486" s="78" t="inlineStr">
        <is>
          <t>تحت 12</t>
        </is>
      </c>
      <c r="H486" s="78" t="n">
        <v>1</v>
      </c>
    </row>
    <row r="487">
      <c r="B487" s="78" t="inlineStr">
        <is>
          <t>M608</t>
        </is>
      </c>
      <c r="C487" s="78" t="n">
        <v>606</v>
      </c>
      <c r="D487" s="78" t="inlineStr">
        <is>
          <t>اسراري لكرة القدم مرحلة ابتدائية</t>
        </is>
      </c>
      <c r="E487" s="78" t="inlineStr">
        <is>
          <t>الرياض</t>
        </is>
      </c>
      <c r="F487" s="78" t="inlineStr">
        <is>
          <t>الرياض</t>
        </is>
      </c>
      <c r="G487" s="78" t="inlineStr">
        <is>
          <t>تحت 12</t>
        </is>
      </c>
      <c r="H487" s="78" t="n">
        <v>1</v>
      </c>
    </row>
    <row r="488">
      <c r="B488" s="78" t="inlineStr">
        <is>
          <t>M612</t>
        </is>
      </c>
      <c r="C488" s="78" t="n">
        <v>610</v>
      </c>
      <c r="D488" s="78" t="inlineStr">
        <is>
          <t xml:space="preserve">مدارس التربية النموذجية </t>
        </is>
      </c>
      <c r="E488" s="78" t="inlineStr">
        <is>
          <t>الرياض</t>
        </is>
      </c>
      <c r="F488" s="78" t="inlineStr">
        <is>
          <t>الرياض</t>
        </is>
      </c>
      <c r="G488" s="78" t="inlineStr">
        <is>
          <t>تحت 12</t>
        </is>
      </c>
      <c r="H488" s="78" t="n">
        <v>1</v>
      </c>
    </row>
    <row r="489">
      <c r="B489" s="78" t="inlineStr">
        <is>
          <t>N250</t>
        </is>
      </c>
      <c r="C489" s="78" t="n">
        <v>248</v>
      </c>
      <c r="D489" s="78" t="inlineStr">
        <is>
          <t>نادي ساس الرياضي</t>
        </is>
      </c>
      <c r="E489" s="78" t="inlineStr">
        <is>
          <t>الرياض</t>
        </is>
      </c>
      <c r="F489" s="78" t="inlineStr">
        <is>
          <t>الرياض</t>
        </is>
      </c>
      <c r="G489" s="78" t="inlineStr">
        <is>
          <t>تحت 11</t>
        </is>
      </c>
      <c r="H489" s="78" t="n">
        <v>1</v>
      </c>
    </row>
    <row r="490">
      <c r="B490" s="78" t="inlineStr">
        <is>
          <t>N553</t>
        </is>
      </c>
      <c r="C490" s="78" t="n">
        <v>551</v>
      </c>
      <c r="D490" s="78" t="inlineStr">
        <is>
          <t xml:space="preserve">فريق ابتدائية شروق التربية </t>
        </is>
      </c>
      <c r="E490" s="78" t="inlineStr">
        <is>
          <t>الرياض</t>
        </is>
      </c>
      <c r="F490" s="78" t="inlineStr">
        <is>
          <t>الرياض</t>
        </is>
      </c>
      <c r="G490" s="78" t="inlineStr">
        <is>
          <t>تحت 11</t>
        </is>
      </c>
      <c r="H490" s="78" t="n">
        <v>1</v>
      </c>
    </row>
    <row r="491">
      <c r="B491" s="78" t="inlineStr">
        <is>
          <t>N573</t>
        </is>
      </c>
      <c r="C491" s="78" t="n">
        <v>571</v>
      </c>
      <c r="D491" s="78" t="inlineStr">
        <is>
          <t>دبلومه مدارس الرقي</t>
        </is>
      </c>
      <c r="E491" s="78" t="inlineStr">
        <is>
          <t>الرياض</t>
        </is>
      </c>
      <c r="F491" s="78" t="inlineStr">
        <is>
          <t>الرياض</t>
        </is>
      </c>
      <c r="G491" s="78" t="inlineStr">
        <is>
          <t>تحت 11</t>
        </is>
      </c>
      <c r="H491" s="78" t="n">
        <v>1</v>
      </c>
    </row>
    <row r="492">
      <c r="B492" s="78" t="inlineStr">
        <is>
          <t>N593</t>
        </is>
      </c>
      <c r="C492" s="78" t="n">
        <v>591</v>
      </c>
      <c r="D492" s="78" t="inlineStr">
        <is>
          <t>مدارس الاوزون العالمية</t>
        </is>
      </c>
      <c r="E492" s="78" t="inlineStr">
        <is>
          <t>الرياض</t>
        </is>
      </c>
      <c r="F492" s="78" t="inlineStr">
        <is>
          <t>الرياض</t>
        </is>
      </c>
      <c r="G492" s="78" t="inlineStr">
        <is>
          <t>تحت 11</t>
        </is>
      </c>
      <c r="H492" s="78" t="n">
        <v>1</v>
      </c>
    </row>
    <row r="493">
      <c r="B493" s="78" t="inlineStr">
        <is>
          <t>N601</t>
        </is>
      </c>
      <c r="C493" s="78" t="n">
        <v>599</v>
      </c>
      <c r="D493" s="78" t="inlineStr">
        <is>
          <t>الاشبال</t>
        </is>
      </c>
      <c r="E493" s="78" t="inlineStr">
        <is>
          <t>الرياض</t>
        </is>
      </c>
      <c r="F493" s="78" t="inlineStr">
        <is>
          <t>الرياض</t>
        </is>
      </c>
      <c r="G493" s="78" t="inlineStr">
        <is>
          <t>تحت 11</t>
        </is>
      </c>
      <c r="H493" s="78" t="n">
        <v>1</v>
      </c>
    </row>
    <row r="494">
      <c r="B494" s="78" t="inlineStr">
        <is>
          <t>N612</t>
        </is>
      </c>
      <c r="C494" s="78" t="n">
        <v>610</v>
      </c>
      <c r="D494" s="78" t="inlineStr">
        <is>
          <t xml:space="preserve">مدارس التربية النموذجية </t>
        </is>
      </c>
      <c r="E494" s="78" t="inlineStr">
        <is>
          <t>الرياض</t>
        </is>
      </c>
      <c r="F494" s="78" t="inlineStr">
        <is>
          <t>الرياض</t>
        </is>
      </c>
      <c r="G494" s="78" t="inlineStr">
        <is>
          <t>تحت 11</t>
        </is>
      </c>
      <c r="H494" s="78" t="n">
        <v>1</v>
      </c>
    </row>
    <row r="495">
      <c r="B495" s="78" t="inlineStr">
        <is>
          <t>N700</t>
        </is>
      </c>
      <c r="C495" s="78" t="n">
        <v>698</v>
      </c>
      <c r="D495" s="78" t="inlineStr">
        <is>
          <t>هلال الهواة</t>
        </is>
      </c>
      <c r="E495" s="78" t="inlineStr">
        <is>
          <t>الرياض</t>
        </is>
      </c>
      <c r="F495" s="78" t="inlineStr">
        <is>
          <t>الرياض</t>
        </is>
      </c>
      <c r="G495" s="78" t="inlineStr">
        <is>
          <t>تحت 11</t>
        </is>
      </c>
      <c r="H495" s="78" t="n">
        <v>1</v>
      </c>
    </row>
    <row r="496">
      <c r="B496" s="78" t="inlineStr">
        <is>
          <t>K257</t>
        </is>
      </c>
      <c r="C496" s="78" t="n">
        <v>255</v>
      </c>
      <c r="D496" s="78" t="inlineStr">
        <is>
          <t>فريق العميد</t>
        </is>
      </c>
      <c r="E496" s="78" t="inlineStr">
        <is>
          <t>المدينة المنورة</t>
        </is>
      </c>
      <c r="F496" s="78" t="inlineStr">
        <is>
          <t>المدينة المنورة</t>
        </is>
      </c>
      <c r="G496" s="78" t="inlineStr">
        <is>
          <t>تحت 14</t>
        </is>
      </c>
      <c r="H496" s="78" t="n">
        <v>1</v>
      </c>
    </row>
    <row r="497">
      <c r="B497" s="78" t="inlineStr">
        <is>
          <t>K275</t>
        </is>
      </c>
      <c r="C497" s="78" t="n">
        <v>273</v>
      </c>
      <c r="D497" s="78" t="inlineStr">
        <is>
          <t xml:space="preserve">الترجي المدينة المنورة </t>
        </is>
      </c>
      <c r="E497" s="78" t="inlineStr">
        <is>
          <t>المدينة المنورة</t>
        </is>
      </c>
      <c r="F497" s="78" t="inlineStr">
        <is>
          <t>المدينة المنورة</t>
        </is>
      </c>
      <c r="G497" s="78" t="inlineStr">
        <is>
          <t>تحت 14</t>
        </is>
      </c>
      <c r="H497" s="78" t="n">
        <v>1</v>
      </c>
    </row>
    <row r="498">
      <c r="B498" s="78" t="inlineStr">
        <is>
          <t>K329</t>
        </is>
      </c>
      <c r="C498" s="78" t="n">
        <v>327</v>
      </c>
      <c r="D498" s="78" t="inlineStr">
        <is>
          <t>البرج</t>
        </is>
      </c>
      <c r="E498" s="78" t="inlineStr">
        <is>
          <t>المدينة المنورة</t>
        </is>
      </c>
      <c r="F498" s="78" t="inlineStr">
        <is>
          <t>المدينة المنورة</t>
        </is>
      </c>
      <c r="G498" s="78" t="inlineStr">
        <is>
          <t>تحت 14</t>
        </is>
      </c>
      <c r="H498" s="78" t="n">
        <v>1</v>
      </c>
    </row>
    <row r="499">
      <c r="B499" s="78" t="inlineStr">
        <is>
          <t>K555</t>
        </is>
      </c>
      <c r="C499" s="78" t="n">
        <v>553</v>
      </c>
      <c r="D499" s="78" t="inlineStr">
        <is>
          <t>اكاديمية سامبا الرياضية</t>
        </is>
      </c>
      <c r="E499" s="78" t="inlineStr">
        <is>
          <t>المدينة المنورة</t>
        </is>
      </c>
      <c r="F499" s="78" t="inlineStr">
        <is>
          <t>المدينة المنورة</t>
        </is>
      </c>
      <c r="G499" s="78" t="inlineStr">
        <is>
          <t>تحت 14</t>
        </is>
      </c>
      <c r="H499" s="78" t="n">
        <v>1</v>
      </c>
    </row>
    <row r="500">
      <c r="B500" s="78" t="inlineStr">
        <is>
          <t>L257</t>
        </is>
      </c>
      <c r="C500" s="78" t="n">
        <v>255</v>
      </c>
      <c r="D500" s="78" t="inlineStr">
        <is>
          <t>فريق العميد</t>
        </is>
      </c>
      <c r="E500" s="78" t="inlineStr">
        <is>
          <t>المدينة المنورة</t>
        </is>
      </c>
      <c r="F500" s="78" t="inlineStr">
        <is>
          <t>المدينة المنورة</t>
        </is>
      </c>
      <c r="G500" s="78" t="inlineStr">
        <is>
          <t>تحت 13</t>
        </is>
      </c>
      <c r="H500" s="78" t="n">
        <v>1</v>
      </c>
    </row>
    <row r="501">
      <c r="B501" s="78" t="inlineStr">
        <is>
          <t>L275</t>
        </is>
      </c>
      <c r="C501" s="78" t="n">
        <v>273</v>
      </c>
      <c r="D501" s="78" t="inlineStr">
        <is>
          <t xml:space="preserve">الترجي المدينة المنورة </t>
        </is>
      </c>
      <c r="E501" s="78" t="inlineStr">
        <is>
          <t>المدينة المنورة</t>
        </is>
      </c>
      <c r="F501" s="78" t="inlineStr">
        <is>
          <t>المدينة المنورة</t>
        </is>
      </c>
      <c r="G501" s="78" t="inlineStr">
        <is>
          <t>تحت 13</t>
        </is>
      </c>
      <c r="H501" s="78" t="n">
        <v>1</v>
      </c>
    </row>
    <row r="502">
      <c r="B502" s="78" t="inlineStr">
        <is>
          <t>L329</t>
        </is>
      </c>
      <c r="C502" s="78" t="n">
        <v>327</v>
      </c>
      <c r="D502" s="78" t="inlineStr">
        <is>
          <t>البرج</t>
        </is>
      </c>
      <c r="E502" s="78" t="inlineStr">
        <is>
          <t>المدينة المنورة</t>
        </is>
      </c>
      <c r="F502" s="78" t="inlineStr">
        <is>
          <t>المدينة المنورة</t>
        </is>
      </c>
      <c r="G502" s="78" t="inlineStr">
        <is>
          <t>تحت 13</t>
        </is>
      </c>
      <c r="H502" s="78" t="n">
        <v>1</v>
      </c>
    </row>
    <row r="503">
      <c r="B503" s="78" t="inlineStr">
        <is>
          <t>L555</t>
        </is>
      </c>
      <c r="C503" s="78" t="n">
        <v>553</v>
      </c>
      <c r="D503" s="78" t="inlineStr">
        <is>
          <t>اكاديمية سامبا الرياضية</t>
        </is>
      </c>
      <c r="E503" s="78" t="inlineStr">
        <is>
          <t>المدينة المنورة</t>
        </is>
      </c>
      <c r="F503" s="78" t="inlineStr">
        <is>
          <t>المدينة المنورة</t>
        </is>
      </c>
      <c r="G503" s="78" t="inlineStr">
        <is>
          <t>تحت 13</t>
        </is>
      </c>
      <c r="H503" s="78" t="n">
        <v>1</v>
      </c>
    </row>
    <row r="504">
      <c r="B504" s="78" t="inlineStr">
        <is>
          <t>M257</t>
        </is>
      </c>
      <c r="C504" s="78" t="n">
        <v>255</v>
      </c>
      <c r="D504" s="78" t="inlineStr">
        <is>
          <t>فريق العميد</t>
        </is>
      </c>
      <c r="E504" s="78" t="inlineStr">
        <is>
          <t>المدينة المنورة</t>
        </is>
      </c>
      <c r="F504" s="78" t="inlineStr">
        <is>
          <t>المدينة المنورة</t>
        </is>
      </c>
      <c r="G504" s="78" t="inlineStr">
        <is>
          <t>تحت 12</t>
        </is>
      </c>
      <c r="H504" s="78" t="n">
        <v>1</v>
      </c>
    </row>
    <row r="505">
      <c r="B505" s="78" t="inlineStr">
        <is>
          <t>M275</t>
        </is>
      </c>
      <c r="C505" s="78" t="n">
        <v>273</v>
      </c>
      <c r="D505" s="78" t="inlineStr">
        <is>
          <t xml:space="preserve">الترجي المدينة المنورة </t>
        </is>
      </c>
      <c r="E505" s="78" t="inlineStr">
        <is>
          <t>المدينة المنورة</t>
        </is>
      </c>
      <c r="F505" s="78" t="inlineStr">
        <is>
          <t>المدينة المنورة</t>
        </is>
      </c>
      <c r="G505" s="78" t="inlineStr">
        <is>
          <t>تحت 12</t>
        </is>
      </c>
      <c r="H505" s="78" t="n">
        <v>1</v>
      </c>
    </row>
    <row r="506">
      <c r="B506" s="78" t="inlineStr">
        <is>
          <t>M329</t>
        </is>
      </c>
      <c r="C506" s="78" t="n">
        <v>327</v>
      </c>
      <c r="D506" s="78" t="inlineStr">
        <is>
          <t>البرج</t>
        </is>
      </c>
      <c r="E506" s="78" t="inlineStr">
        <is>
          <t>المدينة المنورة</t>
        </is>
      </c>
      <c r="F506" s="78" t="inlineStr">
        <is>
          <t>المدينة المنورة</t>
        </is>
      </c>
      <c r="G506" s="78" t="inlineStr">
        <is>
          <t>تحت 12</t>
        </is>
      </c>
      <c r="H506" s="78" t="n">
        <v>1</v>
      </c>
    </row>
    <row r="507">
      <c r="B507" s="78" t="inlineStr">
        <is>
          <t>M555</t>
        </is>
      </c>
      <c r="C507" s="78" t="n">
        <v>553</v>
      </c>
      <c r="D507" s="78" t="inlineStr">
        <is>
          <t>اكاديمية سامبا الرياضية</t>
        </is>
      </c>
      <c r="E507" s="78" t="inlineStr">
        <is>
          <t>المدينة المنورة</t>
        </is>
      </c>
      <c r="F507" s="78" t="inlineStr">
        <is>
          <t>المدينة المنورة</t>
        </is>
      </c>
      <c r="G507" s="78" t="inlineStr">
        <is>
          <t>تحت 12</t>
        </is>
      </c>
      <c r="H507" s="78" t="n">
        <v>1</v>
      </c>
    </row>
    <row r="508">
      <c r="B508" s="78" t="inlineStr">
        <is>
          <t>N257</t>
        </is>
      </c>
      <c r="C508" s="78" t="n">
        <v>255</v>
      </c>
      <c r="D508" s="78" t="inlineStr">
        <is>
          <t>فريق العميد</t>
        </is>
      </c>
      <c r="E508" s="78" t="inlineStr">
        <is>
          <t>المدينة المنورة</t>
        </is>
      </c>
      <c r="F508" s="78" t="inlineStr">
        <is>
          <t>المدينة المنورة</t>
        </is>
      </c>
      <c r="G508" s="78" t="inlineStr">
        <is>
          <t>تحت 11</t>
        </is>
      </c>
      <c r="H508" s="78" t="n">
        <v>1</v>
      </c>
    </row>
    <row r="509">
      <c r="B509" s="78" t="inlineStr">
        <is>
          <t>N275</t>
        </is>
      </c>
      <c r="C509" s="78" t="n">
        <v>273</v>
      </c>
      <c r="D509" s="78" t="inlineStr">
        <is>
          <t xml:space="preserve">الترجي المدينة المنورة </t>
        </is>
      </c>
      <c r="E509" s="78" t="inlineStr">
        <is>
          <t>المدينة المنورة</t>
        </is>
      </c>
      <c r="F509" s="78" t="inlineStr">
        <is>
          <t>المدينة المنورة</t>
        </is>
      </c>
      <c r="G509" s="78" t="inlineStr">
        <is>
          <t>تحت 11</t>
        </is>
      </c>
      <c r="H509" s="78" t="n">
        <v>1</v>
      </c>
    </row>
    <row r="510">
      <c r="B510" s="78" t="inlineStr">
        <is>
          <t>N329</t>
        </is>
      </c>
      <c r="C510" s="78" t="n">
        <v>327</v>
      </c>
      <c r="D510" s="78" t="inlineStr">
        <is>
          <t>البرج</t>
        </is>
      </c>
      <c r="E510" s="78" t="inlineStr">
        <is>
          <t>المدينة المنورة</t>
        </is>
      </c>
      <c r="F510" s="78" t="inlineStr">
        <is>
          <t>المدينة المنورة</t>
        </is>
      </c>
      <c r="G510" s="78" t="inlineStr">
        <is>
          <t>تحت 11</t>
        </is>
      </c>
      <c r="H510" s="78" t="n">
        <v>1</v>
      </c>
    </row>
    <row r="511">
      <c r="B511" s="78" t="inlineStr">
        <is>
          <t>N555</t>
        </is>
      </c>
      <c r="C511" s="78" t="n">
        <v>553</v>
      </c>
      <c r="D511" s="78" t="inlineStr">
        <is>
          <t>اكاديمية سامبا الرياضية</t>
        </is>
      </c>
      <c r="E511" s="78" t="inlineStr">
        <is>
          <t>المدينة المنورة</t>
        </is>
      </c>
      <c r="F511" s="78" t="inlineStr">
        <is>
          <t>المدينة المنورة</t>
        </is>
      </c>
      <c r="G511" s="78" t="inlineStr">
        <is>
          <t>تحت 11</t>
        </is>
      </c>
      <c r="H511" s="78" t="n">
        <v>1</v>
      </c>
    </row>
    <row r="512">
      <c r="B512" s="78" t="inlineStr">
        <is>
          <t>O257</t>
        </is>
      </c>
      <c r="C512" s="78" t="n">
        <v>255</v>
      </c>
      <c r="D512" s="78" t="inlineStr">
        <is>
          <t>فريق العميد</t>
        </is>
      </c>
      <c r="E512" s="78" t="inlineStr">
        <is>
          <t>المدينة المنورة</t>
        </is>
      </c>
      <c r="F512" s="78" t="inlineStr">
        <is>
          <t>المدينة المنورة</t>
        </is>
      </c>
      <c r="G512" s="78" t="inlineStr">
        <is>
          <t>تحت 9</t>
        </is>
      </c>
      <c r="H512" s="78" t="n">
        <v>1</v>
      </c>
    </row>
    <row r="513">
      <c r="B513" s="78" t="inlineStr">
        <is>
          <t>O275</t>
        </is>
      </c>
      <c r="C513" s="78" t="n">
        <v>273</v>
      </c>
      <c r="D513" s="78" t="inlineStr">
        <is>
          <t xml:space="preserve">الترجي المدينة المنورة </t>
        </is>
      </c>
      <c r="E513" s="78" t="inlineStr">
        <is>
          <t>المدينة المنورة</t>
        </is>
      </c>
      <c r="F513" s="78" t="inlineStr">
        <is>
          <t>المدينة المنورة</t>
        </is>
      </c>
      <c r="G513" s="78" t="inlineStr">
        <is>
          <t>تحت 9</t>
        </is>
      </c>
      <c r="H513" s="78" t="n">
        <v>1</v>
      </c>
    </row>
    <row r="514">
      <c r="B514" s="78" t="inlineStr">
        <is>
          <t>O329</t>
        </is>
      </c>
      <c r="C514" s="78" t="n">
        <v>327</v>
      </c>
      <c r="D514" s="78" t="inlineStr">
        <is>
          <t>البرج</t>
        </is>
      </c>
      <c r="E514" s="78" t="inlineStr">
        <is>
          <t>المدينة المنورة</t>
        </is>
      </c>
      <c r="F514" s="78" t="inlineStr">
        <is>
          <t>المدينة المنورة</t>
        </is>
      </c>
      <c r="G514" s="78" t="inlineStr">
        <is>
          <t>تحت 9</t>
        </is>
      </c>
      <c r="H514" s="78" t="n">
        <v>1</v>
      </c>
    </row>
    <row r="515">
      <c r="B515" s="78" t="inlineStr">
        <is>
          <t>L295</t>
        </is>
      </c>
      <c r="C515" s="78" t="n">
        <v>293</v>
      </c>
      <c r="D515" s="78" t="inlineStr">
        <is>
          <t>نجوم الطائف</t>
        </is>
      </c>
      <c r="E515" s="78" t="inlineStr">
        <is>
          <t>مكة المكرمة</t>
        </is>
      </c>
      <c r="F515" s="78" t="inlineStr">
        <is>
          <t>الطائف</t>
        </is>
      </c>
      <c r="G515" s="78" t="inlineStr">
        <is>
          <t>تحت 13</t>
        </is>
      </c>
      <c r="H515" s="78" t="n">
        <v>1</v>
      </c>
    </row>
    <row r="516">
      <c r="B516" s="78" t="inlineStr">
        <is>
          <t>L411</t>
        </is>
      </c>
      <c r="C516" s="78" t="n">
        <v>409</v>
      </c>
      <c r="D516" s="78" t="inlineStr">
        <is>
          <t>مركز و اكاديمية مواهب الطائف</t>
        </is>
      </c>
      <c r="E516" s="78" t="inlineStr">
        <is>
          <t>مكة المكرمة</t>
        </is>
      </c>
      <c r="F516" s="78" t="inlineStr">
        <is>
          <t>الطائف</t>
        </is>
      </c>
      <c r="G516" s="78" t="inlineStr">
        <is>
          <t>تحت 13</t>
        </is>
      </c>
      <c r="H516" s="78" t="n">
        <v>1</v>
      </c>
    </row>
    <row r="517">
      <c r="B517" s="78" t="inlineStr">
        <is>
          <t>L420</t>
        </is>
      </c>
      <c r="C517" s="78" t="n">
        <v>418</v>
      </c>
      <c r="D517" s="78" t="inlineStr">
        <is>
          <t>اكادمية إنتر الطائف</t>
        </is>
      </c>
      <c r="E517" s="78" t="inlineStr">
        <is>
          <t>مكة المكرمة</t>
        </is>
      </c>
      <c r="F517" s="78" t="inlineStr">
        <is>
          <t>الطائف</t>
        </is>
      </c>
      <c r="G517" s="78" t="inlineStr">
        <is>
          <t>تحت 13</t>
        </is>
      </c>
      <c r="H517" s="78" t="n">
        <v>1</v>
      </c>
    </row>
    <row r="518">
      <c r="B518" s="78" t="inlineStr">
        <is>
          <t>L562</t>
        </is>
      </c>
      <c r="C518" s="78" t="n">
        <v>560</v>
      </c>
      <c r="D518" s="78" t="inlineStr">
        <is>
          <t>الهدا</t>
        </is>
      </c>
      <c r="E518" s="78" t="inlineStr">
        <is>
          <t>مكة المكرمة</t>
        </is>
      </c>
      <c r="F518" s="78" t="inlineStr">
        <is>
          <t>الطائف</t>
        </is>
      </c>
      <c r="G518" s="78" t="inlineStr">
        <is>
          <t>تحت 13</t>
        </is>
      </c>
      <c r="H518" s="78" t="n">
        <v>1</v>
      </c>
    </row>
    <row r="519">
      <c r="B519" s="78" t="inlineStr">
        <is>
          <t>M295</t>
        </is>
      </c>
      <c r="C519" s="78" t="n">
        <v>293</v>
      </c>
      <c r="D519" s="78" t="inlineStr">
        <is>
          <t>نجوم الطائف</t>
        </is>
      </c>
      <c r="E519" s="78" t="inlineStr">
        <is>
          <t>مكة المكرمة</t>
        </is>
      </c>
      <c r="F519" s="78" t="inlineStr">
        <is>
          <t>الطائف</t>
        </is>
      </c>
      <c r="G519" s="78" t="inlineStr">
        <is>
          <t>تحت 12</t>
        </is>
      </c>
      <c r="H519" s="78" t="n">
        <v>1</v>
      </c>
    </row>
    <row r="520">
      <c r="B520" s="78" t="inlineStr">
        <is>
          <t>M411</t>
        </is>
      </c>
      <c r="C520" s="78" t="n">
        <v>409</v>
      </c>
      <c r="D520" s="78" t="inlineStr">
        <is>
          <t>مركز و اكاديمية مواهب الطائف</t>
        </is>
      </c>
      <c r="E520" s="78" t="inlineStr">
        <is>
          <t>مكة المكرمة</t>
        </is>
      </c>
      <c r="F520" s="78" t="inlineStr">
        <is>
          <t>الطائف</t>
        </is>
      </c>
      <c r="G520" s="78" t="inlineStr">
        <is>
          <t>تحت 12</t>
        </is>
      </c>
      <c r="H520" s="78" t="n">
        <v>1</v>
      </c>
    </row>
    <row r="521">
      <c r="B521" s="78" t="inlineStr">
        <is>
          <t>M420</t>
        </is>
      </c>
      <c r="C521" s="78" t="n">
        <v>418</v>
      </c>
      <c r="D521" s="78" t="inlineStr">
        <is>
          <t>اكادمية إنتر الطائف</t>
        </is>
      </c>
      <c r="E521" s="78" t="inlineStr">
        <is>
          <t>مكة المكرمة</t>
        </is>
      </c>
      <c r="F521" s="78" t="inlineStr">
        <is>
          <t>الطائف</t>
        </is>
      </c>
      <c r="G521" s="78" t="inlineStr">
        <is>
          <t>تحت 12</t>
        </is>
      </c>
      <c r="H521" s="78" t="n">
        <v>1</v>
      </c>
    </row>
    <row r="522">
      <c r="B522" s="78" t="inlineStr">
        <is>
          <t>M562</t>
        </is>
      </c>
      <c r="C522" s="78" t="n">
        <v>560</v>
      </c>
      <c r="D522" s="78" t="inlineStr">
        <is>
          <t>الهدا</t>
        </is>
      </c>
      <c r="E522" s="78" t="inlineStr">
        <is>
          <t>مكة المكرمة</t>
        </is>
      </c>
      <c r="F522" s="78" t="inlineStr">
        <is>
          <t>الطائف</t>
        </is>
      </c>
      <c r="G522" s="78" t="inlineStr">
        <is>
          <t>تحت 12</t>
        </is>
      </c>
      <c r="H522" s="78" t="n">
        <v>1</v>
      </c>
    </row>
    <row r="523">
      <c r="B523" s="78" t="inlineStr">
        <is>
          <t>N295</t>
        </is>
      </c>
      <c r="C523" s="78" t="n">
        <v>293</v>
      </c>
      <c r="D523" s="78" t="inlineStr">
        <is>
          <t>نجوم الطائف</t>
        </is>
      </c>
      <c r="E523" s="78" t="inlineStr">
        <is>
          <t>مكة المكرمة</t>
        </is>
      </c>
      <c r="F523" s="78" t="inlineStr">
        <is>
          <t>الطائف</t>
        </is>
      </c>
      <c r="G523" s="78" t="inlineStr">
        <is>
          <t>تحت 11</t>
        </is>
      </c>
      <c r="H523" s="78" t="n">
        <v>1</v>
      </c>
    </row>
    <row r="524">
      <c r="B524" s="78" t="inlineStr">
        <is>
          <t>N420</t>
        </is>
      </c>
      <c r="C524" s="78" t="n">
        <v>418</v>
      </c>
      <c r="D524" s="78" t="inlineStr">
        <is>
          <t>اكادمية إنتر الطائف</t>
        </is>
      </c>
      <c r="E524" s="78" t="inlineStr">
        <is>
          <t>مكة المكرمة</t>
        </is>
      </c>
      <c r="F524" s="78" t="inlineStr">
        <is>
          <t>الطائف</t>
        </is>
      </c>
      <c r="G524" s="78" t="inlineStr">
        <is>
          <t>تحت 11</t>
        </is>
      </c>
      <c r="H524" s="78" t="n">
        <v>1</v>
      </c>
    </row>
    <row r="525">
      <c r="B525" s="78" t="inlineStr">
        <is>
          <t>N562</t>
        </is>
      </c>
      <c r="C525" s="78" t="n">
        <v>560</v>
      </c>
      <c r="D525" s="78" t="inlineStr">
        <is>
          <t>الهدا</t>
        </is>
      </c>
      <c r="E525" s="78" t="inlineStr">
        <is>
          <t>مكة المكرمة</t>
        </is>
      </c>
      <c r="F525" s="78" t="inlineStr">
        <is>
          <t>الطائف</t>
        </is>
      </c>
      <c r="G525" s="78" t="inlineStr">
        <is>
          <t>تحت 11</t>
        </is>
      </c>
      <c r="H525" s="78" t="n">
        <v>1</v>
      </c>
    </row>
    <row r="526">
      <c r="B526" s="78" t="inlineStr">
        <is>
          <t>O295</t>
        </is>
      </c>
      <c r="C526" s="78" t="n">
        <v>293</v>
      </c>
      <c r="D526" s="78" t="inlineStr">
        <is>
          <t>نجوم الطائف</t>
        </is>
      </c>
      <c r="E526" s="78" t="inlineStr">
        <is>
          <t>مكة المكرمة</t>
        </is>
      </c>
      <c r="F526" s="78" t="inlineStr">
        <is>
          <t>الطائف</t>
        </is>
      </c>
      <c r="G526" s="78" t="inlineStr">
        <is>
          <t>تحت 9</t>
        </is>
      </c>
      <c r="H526" s="78" t="n">
        <v>1</v>
      </c>
    </row>
    <row r="527">
      <c r="B527" s="78" t="inlineStr">
        <is>
          <t>O411</t>
        </is>
      </c>
      <c r="C527" s="78" t="n">
        <v>409</v>
      </c>
      <c r="D527" s="78" t="inlineStr">
        <is>
          <t>مركز و اكاديمية مواهب الطائف</t>
        </is>
      </c>
      <c r="E527" s="78" t="inlineStr">
        <is>
          <t>مكة المكرمة</t>
        </is>
      </c>
      <c r="F527" s="78" t="inlineStr">
        <is>
          <t>الطائف</t>
        </is>
      </c>
      <c r="G527" s="78" t="inlineStr">
        <is>
          <t>تحت 9</t>
        </is>
      </c>
      <c r="H527" s="78" t="n">
        <v>1</v>
      </c>
    </row>
    <row r="528">
      <c r="B528" s="78" t="inlineStr">
        <is>
          <t>O420</t>
        </is>
      </c>
      <c r="C528" s="78" t="n">
        <v>418</v>
      </c>
      <c r="D528" s="78" t="inlineStr">
        <is>
          <t>اكادمية إنتر الطائف</t>
        </is>
      </c>
      <c r="E528" s="78" t="inlineStr">
        <is>
          <t>مكة المكرمة</t>
        </is>
      </c>
      <c r="F528" s="78" t="inlineStr">
        <is>
          <t>الطائف</t>
        </is>
      </c>
      <c r="G528" s="78" t="inlineStr">
        <is>
          <t>تحت 9</t>
        </is>
      </c>
      <c r="H528" s="78" t="n">
        <v>1</v>
      </c>
    </row>
    <row r="529">
      <c r="B529" s="78" t="inlineStr">
        <is>
          <t>O297</t>
        </is>
      </c>
      <c r="C529" s="78" t="n">
        <v>295</v>
      </c>
      <c r="D529" s="78" t="inlineStr">
        <is>
          <t>الشارقة بالقوز</t>
        </is>
      </c>
      <c r="E529" s="78" t="inlineStr">
        <is>
          <t>مكة المكرمة</t>
        </is>
      </c>
      <c r="F529" s="78" t="inlineStr">
        <is>
          <t>القنفذة</t>
        </is>
      </c>
      <c r="G529" s="78" t="inlineStr">
        <is>
          <t>تحت 9</t>
        </is>
      </c>
      <c r="H529" s="78" t="n">
        <v>1</v>
      </c>
    </row>
    <row r="530">
      <c r="B530" s="78" t="inlineStr">
        <is>
          <t>K310</t>
        </is>
      </c>
      <c r="C530" s="78" t="n">
        <v>308</v>
      </c>
      <c r="D530" s="78" t="inlineStr">
        <is>
          <t>اكاديمية اجيال الابطال</t>
        </is>
      </c>
      <c r="E530" s="78" t="inlineStr">
        <is>
          <t>مكة المكرمة</t>
        </is>
      </c>
      <c r="F530" s="78" t="inlineStr">
        <is>
          <t>مكة المكرمة</t>
        </is>
      </c>
      <c r="G530" s="78" t="inlineStr">
        <is>
          <t>تحت 14</t>
        </is>
      </c>
      <c r="H530" s="78" t="n">
        <v>1</v>
      </c>
    </row>
    <row r="531">
      <c r="B531" s="78" t="inlineStr">
        <is>
          <t>K313</t>
        </is>
      </c>
      <c r="C531" s="78" t="n">
        <v>311</v>
      </c>
      <c r="D531" s="78" t="inlineStr">
        <is>
          <t>تجربة جديدة</t>
        </is>
      </c>
      <c r="E531" s="78" t="inlineStr">
        <is>
          <t>مكة المكرمة</t>
        </is>
      </c>
      <c r="F531" s="78" t="inlineStr">
        <is>
          <t>مكة المكرمة</t>
        </is>
      </c>
      <c r="G531" s="78" t="inlineStr">
        <is>
          <t>تحت 14</t>
        </is>
      </c>
      <c r="H531" s="78" t="n">
        <v>1</v>
      </c>
    </row>
    <row r="532">
      <c r="B532" s="78" t="inlineStr">
        <is>
          <t>K435</t>
        </is>
      </c>
      <c r="C532" s="78" t="n">
        <v>433</v>
      </c>
      <c r="D532" s="78" t="inlineStr">
        <is>
          <t>شعاع المعرفة</t>
        </is>
      </c>
      <c r="E532" s="78" t="inlineStr">
        <is>
          <t>مكة المكرمة</t>
        </is>
      </c>
      <c r="F532" s="78" t="inlineStr">
        <is>
          <t>مكة المكرمة</t>
        </is>
      </c>
      <c r="G532" s="78" t="inlineStr">
        <is>
          <t>تحت 14</t>
        </is>
      </c>
      <c r="H532" s="78" t="n">
        <v>1</v>
      </c>
    </row>
    <row r="533">
      <c r="B533" s="78" t="inlineStr">
        <is>
          <t>K455</t>
        </is>
      </c>
      <c r="C533" s="78" t="n">
        <v>453</v>
      </c>
      <c r="D533" s="78" t="inlineStr">
        <is>
          <t xml:space="preserve">هواة النصر </t>
        </is>
      </c>
      <c r="E533" s="78" t="inlineStr">
        <is>
          <t>مكة المكرمة</t>
        </is>
      </c>
      <c r="F533" s="78" t="inlineStr">
        <is>
          <t>الجموم</t>
        </is>
      </c>
      <c r="G533" s="78" t="inlineStr">
        <is>
          <t>تحت 14</t>
        </is>
      </c>
      <c r="H533" s="78" t="n">
        <v>1</v>
      </c>
    </row>
    <row r="534">
      <c r="B534" s="78" t="inlineStr">
        <is>
          <t>K734</t>
        </is>
      </c>
      <c r="C534" s="78" t="n">
        <v>732</v>
      </c>
      <c r="D534" s="78" t="inlineStr">
        <is>
          <t>اكاديمية التحدي - مكة المكرمة</t>
        </is>
      </c>
      <c r="E534" s="78" t="inlineStr">
        <is>
          <t>مكة المكرمة</t>
        </is>
      </c>
      <c r="F534" s="78" t="inlineStr">
        <is>
          <t>مكة المكرمة</t>
        </is>
      </c>
      <c r="G534" s="78" t="inlineStr">
        <is>
          <t>تحت 14</t>
        </is>
      </c>
      <c r="H534" s="78" t="n">
        <v>1</v>
      </c>
    </row>
    <row r="535">
      <c r="B535" s="78" t="inlineStr">
        <is>
          <t>L310</t>
        </is>
      </c>
      <c r="C535" s="78" t="n">
        <v>308</v>
      </c>
      <c r="D535" s="78" t="inlineStr">
        <is>
          <t>اكاديمية اجيال الابطال</t>
        </is>
      </c>
      <c r="E535" s="78" t="inlineStr">
        <is>
          <t>مكة المكرمة</t>
        </is>
      </c>
      <c r="F535" s="78" t="inlineStr">
        <is>
          <t>مكة المكرمة</t>
        </is>
      </c>
      <c r="G535" s="78" t="inlineStr">
        <is>
          <t>تحت 13</t>
        </is>
      </c>
      <c r="H535" s="78" t="n">
        <v>1</v>
      </c>
    </row>
    <row r="536">
      <c r="B536" s="78" t="inlineStr">
        <is>
          <t>L734</t>
        </is>
      </c>
      <c r="C536" s="78" t="n">
        <v>732</v>
      </c>
      <c r="D536" s="78" t="inlineStr">
        <is>
          <t>اكاديمية التحدي - مكة المكرمة</t>
        </is>
      </c>
      <c r="E536" s="78" t="inlineStr">
        <is>
          <t>مكة المكرمة</t>
        </is>
      </c>
      <c r="F536" s="78" t="inlineStr">
        <is>
          <t>مكة المكرمة</t>
        </is>
      </c>
      <c r="G536" s="78" t="inlineStr">
        <is>
          <t>تحت 13</t>
        </is>
      </c>
      <c r="H536" s="78" t="n">
        <v>1</v>
      </c>
    </row>
    <row r="537">
      <c r="B537" s="78" t="inlineStr">
        <is>
          <t>M310</t>
        </is>
      </c>
      <c r="C537" s="78" t="n">
        <v>308</v>
      </c>
      <c r="D537" s="78" t="inlineStr">
        <is>
          <t>اكاديمية اجيال الابطال</t>
        </is>
      </c>
      <c r="E537" s="78" t="inlineStr">
        <is>
          <t>مكة المكرمة</t>
        </is>
      </c>
      <c r="F537" s="78" t="inlineStr">
        <is>
          <t>مكة المكرمة</t>
        </is>
      </c>
      <c r="G537" s="78" t="inlineStr">
        <is>
          <t>تحت 12</t>
        </is>
      </c>
      <c r="H537" s="78" t="n">
        <v>1</v>
      </c>
    </row>
    <row r="538">
      <c r="B538" s="78" t="inlineStr">
        <is>
          <t>M734</t>
        </is>
      </c>
      <c r="C538" s="78" t="n">
        <v>732</v>
      </c>
      <c r="D538" s="78" t="inlineStr">
        <is>
          <t>اكاديمية التحدي - مكة المكرمة</t>
        </is>
      </c>
      <c r="E538" s="78" t="inlineStr">
        <is>
          <t>مكة المكرمة</t>
        </is>
      </c>
      <c r="F538" s="78" t="inlineStr">
        <is>
          <t>مكة المكرمة</t>
        </is>
      </c>
      <c r="G538" s="78" t="inlineStr">
        <is>
          <t>تحت 12</t>
        </is>
      </c>
      <c r="H538" s="78" t="n">
        <v>1</v>
      </c>
    </row>
    <row r="539">
      <c r="B539" s="78" t="inlineStr">
        <is>
          <t>N310</t>
        </is>
      </c>
      <c r="C539" s="78" t="n">
        <v>308</v>
      </c>
      <c r="D539" s="78" t="inlineStr">
        <is>
          <t>اكاديمية اجيال الابطال</t>
        </is>
      </c>
      <c r="E539" s="78" t="inlineStr">
        <is>
          <t>مكة المكرمة</t>
        </is>
      </c>
      <c r="F539" s="78" t="inlineStr">
        <is>
          <t>مكة المكرمة</t>
        </is>
      </c>
      <c r="G539" s="78" t="inlineStr">
        <is>
          <t>تحت 11</t>
        </is>
      </c>
      <c r="H539" s="78" t="n">
        <v>1</v>
      </c>
    </row>
    <row r="540">
      <c r="B540" s="78" t="inlineStr">
        <is>
          <t>N734</t>
        </is>
      </c>
      <c r="C540" s="78" t="n">
        <v>732</v>
      </c>
      <c r="D540" s="78" t="inlineStr">
        <is>
          <t>اكاديمية التحدي - مكة المكرمة</t>
        </is>
      </c>
      <c r="E540" s="78" t="inlineStr">
        <is>
          <t>مكة المكرمة</t>
        </is>
      </c>
      <c r="F540" s="78" t="inlineStr">
        <is>
          <t>مكة المكرمة</t>
        </is>
      </c>
      <c r="G540" s="78" t="inlineStr">
        <is>
          <t>تحت 11</t>
        </is>
      </c>
      <c r="H540" s="78" t="n">
        <v>1</v>
      </c>
    </row>
    <row r="541">
      <c r="B541" s="78" t="inlineStr">
        <is>
          <t>O310</t>
        </is>
      </c>
      <c r="C541" s="78" t="n">
        <v>308</v>
      </c>
      <c r="D541" s="78" t="inlineStr">
        <is>
          <t>اكاديمية اجيال الابطال</t>
        </is>
      </c>
      <c r="E541" s="78" t="inlineStr">
        <is>
          <t>مكة المكرمة</t>
        </is>
      </c>
      <c r="F541" s="78" t="inlineStr">
        <is>
          <t>مكة المكرمة</t>
        </is>
      </c>
      <c r="G541" s="78" t="inlineStr">
        <is>
          <t>تحت 9</t>
        </is>
      </c>
      <c r="H541" s="78" t="n">
        <v>1</v>
      </c>
    </row>
    <row r="542">
      <c r="B542" s="78" t="inlineStr">
        <is>
          <t>O734</t>
        </is>
      </c>
      <c r="C542" s="78" t="n">
        <v>732</v>
      </c>
      <c r="D542" s="78" t="inlineStr">
        <is>
          <t>اكاديمية التحدي - مكة المكرمة</t>
        </is>
      </c>
      <c r="E542" s="78" t="inlineStr">
        <is>
          <t>مكة المكرمة</t>
        </is>
      </c>
      <c r="F542" s="78" t="inlineStr">
        <is>
          <t>مكة المكرمة</t>
        </is>
      </c>
      <c r="G542" s="78" t="inlineStr">
        <is>
          <t>تحت 9</t>
        </is>
      </c>
      <c r="H542" s="78" t="n">
        <v>1</v>
      </c>
    </row>
    <row r="543">
      <c r="B543" s="78" t="inlineStr">
        <is>
          <t>P310</t>
        </is>
      </c>
      <c r="C543" s="78" t="n">
        <v>308</v>
      </c>
      <c r="D543" s="78" t="inlineStr">
        <is>
          <t>اكاديمية اجيال الابطال</t>
        </is>
      </c>
      <c r="E543" s="78" t="inlineStr">
        <is>
          <t>مكة المكرمة</t>
        </is>
      </c>
      <c r="F543" s="78" t="inlineStr">
        <is>
          <t>مكة المكرمة</t>
        </is>
      </c>
      <c r="G543" s="78" t="inlineStr">
        <is>
          <t>تحت 7</t>
        </is>
      </c>
      <c r="H543" s="78" t="n">
        <v>1</v>
      </c>
    </row>
    <row r="544">
      <c r="B544" s="78" t="inlineStr">
        <is>
          <t>P734</t>
        </is>
      </c>
      <c r="C544" s="78" t="n">
        <v>732</v>
      </c>
      <c r="D544" s="78" t="inlineStr">
        <is>
          <t>اكاديمية التحدي - مكة المكرمة</t>
        </is>
      </c>
      <c r="E544" s="78" t="inlineStr">
        <is>
          <t>مكة المكرمة</t>
        </is>
      </c>
      <c r="F544" s="78" t="inlineStr">
        <is>
          <t>مكة المكرمة</t>
        </is>
      </c>
      <c r="G544" s="78" t="inlineStr">
        <is>
          <t>تحت 7</t>
        </is>
      </c>
      <c r="H544" s="78" t="n">
        <v>1</v>
      </c>
    </row>
    <row r="545">
      <c r="B545" s="78" t="inlineStr">
        <is>
          <t>Q310</t>
        </is>
      </c>
      <c r="C545" s="78" t="n">
        <v>308</v>
      </c>
      <c r="D545" s="78" t="inlineStr">
        <is>
          <t>اكاديمية اجيال الابطال</t>
        </is>
      </c>
      <c r="E545" s="78" t="inlineStr">
        <is>
          <t>مكة المكرمة</t>
        </is>
      </c>
      <c r="F545" s="78" t="inlineStr">
        <is>
          <t>مكة المكرمة</t>
        </is>
      </c>
      <c r="G545" s="78" t="inlineStr">
        <is>
          <t>تحت 5</t>
        </is>
      </c>
      <c r="H545" s="78" t="n">
        <v>1</v>
      </c>
    </row>
    <row r="546">
      <c r="B546" s="78" t="inlineStr">
        <is>
          <t>Q313</t>
        </is>
      </c>
      <c r="C546" s="78" t="n">
        <v>311</v>
      </c>
      <c r="D546" s="78" t="inlineStr">
        <is>
          <t>تجربة جديدة</t>
        </is>
      </c>
      <c r="E546" s="78" t="inlineStr">
        <is>
          <t>مكة المكرمة</t>
        </is>
      </c>
      <c r="F546" s="78" t="inlineStr">
        <is>
          <t>مكة المكرمة</t>
        </is>
      </c>
      <c r="G546" s="78" t="inlineStr">
        <is>
          <t>تحت 5</t>
        </is>
      </c>
      <c r="H546" s="78" t="n">
        <v>2</v>
      </c>
    </row>
    <row r="547">
      <c r="B547" s="78" t="inlineStr">
        <is>
          <t>Q734</t>
        </is>
      </c>
      <c r="C547" s="78" t="n">
        <v>732</v>
      </c>
      <c r="D547" s="78" t="inlineStr">
        <is>
          <t>اكاديمية التحدي - مكة المكرمة</t>
        </is>
      </c>
      <c r="E547" s="78" t="inlineStr">
        <is>
          <t>مكة المكرمة</t>
        </is>
      </c>
      <c r="F547" s="78" t="inlineStr">
        <is>
          <t>مكة المكرمة</t>
        </is>
      </c>
      <c r="G547" s="78" t="inlineStr">
        <is>
          <t>تحت 5</t>
        </is>
      </c>
      <c r="H547" s="78" t="n">
        <v>1</v>
      </c>
    </row>
    <row r="548">
      <c r="B548" s="78" t="inlineStr">
        <is>
          <t>K334</t>
        </is>
      </c>
      <c r="C548" s="78" t="n">
        <v>332</v>
      </c>
      <c r="D548" s="78" t="inlineStr">
        <is>
          <t>الامل الباحة</t>
        </is>
      </c>
      <c r="E548" s="78" t="inlineStr">
        <is>
          <t>الباحة</t>
        </is>
      </c>
      <c r="F548" s="78" t="inlineStr">
        <is>
          <t>الباحة</t>
        </is>
      </c>
      <c r="G548" s="78" t="inlineStr">
        <is>
          <t>تحت 14</t>
        </is>
      </c>
      <c r="H548" s="78" t="n">
        <v>1</v>
      </c>
    </row>
    <row r="549">
      <c r="B549" s="78" t="inlineStr">
        <is>
          <t>K436</t>
        </is>
      </c>
      <c r="C549" s="78" t="n">
        <v>434</v>
      </c>
      <c r="D549" s="78" t="inlineStr">
        <is>
          <t>جمعية الابرشي</t>
        </is>
      </c>
      <c r="E549" s="78" t="inlineStr">
        <is>
          <t>الباحة</t>
        </is>
      </c>
      <c r="F549" s="78" t="inlineStr">
        <is>
          <t>بلجرشي</t>
        </is>
      </c>
      <c r="G549" s="78" t="inlineStr">
        <is>
          <t>تحت 14</t>
        </is>
      </c>
      <c r="H549" s="78" t="n">
        <v>1</v>
      </c>
    </row>
    <row r="550">
      <c r="B550" s="78" t="inlineStr">
        <is>
          <t>L334</t>
        </is>
      </c>
      <c r="C550" s="78" t="n">
        <v>332</v>
      </c>
      <c r="D550" s="78" t="inlineStr">
        <is>
          <t>الامل الباحة</t>
        </is>
      </c>
      <c r="E550" s="78" t="inlineStr">
        <is>
          <t>الباحة</t>
        </is>
      </c>
      <c r="F550" s="78" t="inlineStr">
        <is>
          <t>الباحة</t>
        </is>
      </c>
      <c r="G550" s="78" t="inlineStr">
        <is>
          <t>تحت 13</t>
        </is>
      </c>
      <c r="H550" s="78" t="n">
        <v>1</v>
      </c>
    </row>
    <row r="551">
      <c r="B551" s="78" t="inlineStr">
        <is>
          <t>M334</t>
        </is>
      </c>
      <c r="C551" s="78" t="n">
        <v>332</v>
      </c>
      <c r="D551" s="78" t="inlineStr">
        <is>
          <t>الامل الباحة</t>
        </is>
      </c>
      <c r="E551" s="78" t="inlineStr">
        <is>
          <t>الباحة</t>
        </is>
      </c>
      <c r="F551" s="78" t="inlineStr">
        <is>
          <t>الباحة</t>
        </is>
      </c>
      <c r="G551" s="78" t="inlineStr">
        <is>
          <t>تحت 12</t>
        </is>
      </c>
      <c r="H551" s="78" t="n">
        <v>1</v>
      </c>
    </row>
    <row r="552">
      <c r="B552" s="78" t="inlineStr">
        <is>
          <t>M436</t>
        </is>
      </c>
      <c r="C552" s="78" t="n">
        <v>434</v>
      </c>
      <c r="D552" s="78" t="inlineStr">
        <is>
          <t>جمعية الابرشي</t>
        </is>
      </c>
      <c r="E552" s="78" t="inlineStr">
        <is>
          <t>الباحة</t>
        </is>
      </c>
      <c r="F552" s="78" t="inlineStr">
        <is>
          <t>بلجرشي</t>
        </is>
      </c>
      <c r="G552" s="78" t="inlineStr">
        <is>
          <t>تحت 12</t>
        </is>
      </c>
      <c r="H552" s="78" t="n">
        <v>1</v>
      </c>
    </row>
    <row r="553">
      <c r="B553" s="78" t="inlineStr">
        <is>
          <t>O334</t>
        </is>
      </c>
      <c r="C553" s="78" t="n">
        <v>332</v>
      </c>
      <c r="D553" s="78" t="inlineStr">
        <is>
          <t>الامل الباحة</t>
        </is>
      </c>
      <c r="E553" s="78" t="inlineStr">
        <is>
          <t>الباحة</t>
        </is>
      </c>
      <c r="F553" s="78" t="inlineStr">
        <is>
          <t>الباحة</t>
        </is>
      </c>
      <c r="G553" s="78" t="inlineStr">
        <is>
          <t>تحت 9</t>
        </is>
      </c>
      <c r="H553" s="78" t="n">
        <v>1</v>
      </c>
    </row>
    <row r="554">
      <c r="B554" s="78" t="inlineStr">
        <is>
          <t>O436</t>
        </is>
      </c>
      <c r="C554" s="78" t="n">
        <v>434</v>
      </c>
      <c r="D554" s="78" t="inlineStr">
        <is>
          <t>جمعية الابرشي</t>
        </is>
      </c>
      <c r="E554" s="78" t="inlineStr">
        <is>
          <t>الباحة</t>
        </is>
      </c>
      <c r="F554" s="78" t="inlineStr">
        <is>
          <t>بلجرشي</t>
        </is>
      </c>
      <c r="G554" s="78" t="inlineStr">
        <is>
          <t>تحت 9</t>
        </is>
      </c>
      <c r="H554" s="78" t="n">
        <v>1</v>
      </c>
    </row>
    <row r="555">
      <c r="B555" s="78" t="inlineStr">
        <is>
          <t>P334</t>
        </is>
      </c>
      <c r="C555" s="78" t="n">
        <v>332</v>
      </c>
      <c r="D555" s="78" t="inlineStr">
        <is>
          <t>الامل الباحة</t>
        </is>
      </c>
      <c r="E555" s="78" t="inlineStr">
        <is>
          <t>الباحة</t>
        </is>
      </c>
      <c r="F555" s="78" t="inlineStr">
        <is>
          <t>الباحة</t>
        </is>
      </c>
      <c r="G555" s="78" t="inlineStr">
        <is>
          <t>تحت 7</t>
        </is>
      </c>
      <c r="H555" s="78" t="n">
        <v>1</v>
      </c>
    </row>
    <row r="556">
      <c r="B556" s="78" t="inlineStr">
        <is>
          <t>K347</t>
        </is>
      </c>
      <c r="C556" s="78" t="n">
        <v>345</v>
      </c>
      <c r="D556" s="78" t="inlineStr">
        <is>
          <t xml:space="preserve">التربية النموذجية </t>
        </is>
      </c>
      <c r="E556" s="78" t="inlineStr">
        <is>
          <t>الرياض</t>
        </is>
      </c>
      <c r="F556" s="78" t="inlineStr">
        <is>
          <t>الرياض</t>
        </is>
      </c>
      <c r="G556" s="78" t="inlineStr">
        <is>
          <t>تحت 14</t>
        </is>
      </c>
      <c r="H556" s="78" t="n">
        <v>1</v>
      </c>
    </row>
    <row r="557">
      <c r="B557" s="78" t="inlineStr">
        <is>
          <t>K476</t>
        </is>
      </c>
      <c r="C557" s="78" t="n">
        <v>474</v>
      </c>
      <c r="D557" s="78" t="inlineStr">
        <is>
          <t>مدرسة عبدالرحمن بن ثوبان</t>
        </is>
      </c>
      <c r="E557" s="78" t="inlineStr">
        <is>
          <t>الرياض</t>
        </is>
      </c>
      <c r="F557" s="78" t="inlineStr">
        <is>
          <t>الرياض</t>
        </is>
      </c>
      <c r="G557" s="78" t="inlineStr">
        <is>
          <t>تحت 14</t>
        </is>
      </c>
      <c r="H557" s="78" t="n">
        <v>1</v>
      </c>
    </row>
    <row r="558">
      <c r="B558" s="78" t="inlineStr">
        <is>
          <t>K493</t>
        </is>
      </c>
      <c r="C558" s="78" t="n">
        <v>491</v>
      </c>
      <c r="D558" s="78" t="inlineStr">
        <is>
          <t>براعم لبن</t>
        </is>
      </c>
      <c r="E558" s="78" t="inlineStr">
        <is>
          <t>الرياض</t>
        </is>
      </c>
      <c r="F558" s="78" t="inlineStr">
        <is>
          <t>الرياض</t>
        </is>
      </c>
      <c r="G558" s="78" t="inlineStr">
        <is>
          <t>تحت 14</t>
        </is>
      </c>
      <c r="H558" s="78" t="n">
        <v>1</v>
      </c>
    </row>
    <row r="559">
      <c r="B559" s="78" t="inlineStr">
        <is>
          <t>K567</t>
        </is>
      </c>
      <c r="C559" s="78" t="n">
        <v>565</v>
      </c>
      <c r="D559" s="78" t="inlineStr">
        <is>
          <t>اجيال اليرموك</t>
        </is>
      </c>
      <c r="E559" s="78" t="inlineStr">
        <is>
          <t>الرياض</t>
        </is>
      </c>
      <c r="F559" s="78" t="inlineStr">
        <is>
          <t>الرياض</t>
        </is>
      </c>
      <c r="G559" s="78" t="inlineStr">
        <is>
          <t>تحت 14</t>
        </is>
      </c>
      <c r="H559" s="78" t="n">
        <v>1</v>
      </c>
    </row>
    <row r="560">
      <c r="B560" s="78" t="inlineStr">
        <is>
          <t>K579</t>
        </is>
      </c>
      <c r="C560" s="78" t="n">
        <v>577</v>
      </c>
      <c r="D560" s="78" t="inlineStr">
        <is>
          <t>متوسطة الثغر النموذجية الاهلية</t>
        </is>
      </c>
      <c r="E560" s="78" t="inlineStr">
        <is>
          <t>الرياض</t>
        </is>
      </c>
      <c r="F560" s="78" t="inlineStr">
        <is>
          <t>الرياض</t>
        </is>
      </c>
      <c r="G560" s="78" t="inlineStr">
        <is>
          <t>تحت 14</t>
        </is>
      </c>
      <c r="H560" s="78" t="n">
        <v>1</v>
      </c>
    </row>
    <row r="561">
      <c r="B561" s="78" t="inlineStr">
        <is>
          <t>K583</t>
        </is>
      </c>
      <c r="C561" s="78" t="n">
        <v>581</v>
      </c>
      <c r="D561" s="78" t="inlineStr">
        <is>
          <t>اكاديمية فراس</t>
        </is>
      </c>
      <c r="E561" s="78" t="inlineStr">
        <is>
          <t>الرياض</t>
        </is>
      </c>
      <c r="F561" s="78" t="inlineStr">
        <is>
          <t>الرياض</t>
        </is>
      </c>
      <c r="G561" s="78" t="inlineStr">
        <is>
          <t>تحت 14</t>
        </is>
      </c>
      <c r="H561" s="78" t="n">
        <v>1</v>
      </c>
    </row>
    <row r="562">
      <c r="B562" s="78" t="inlineStr">
        <is>
          <t>K593</t>
        </is>
      </c>
      <c r="C562" s="78" t="n">
        <v>591</v>
      </c>
      <c r="D562" s="78" t="inlineStr">
        <is>
          <t>مدارس الاوزون العالمية</t>
        </is>
      </c>
      <c r="E562" s="78" t="inlineStr">
        <is>
          <t>الرياض</t>
        </is>
      </c>
      <c r="F562" s="78" t="inlineStr">
        <is>
          <t>الرياض</t>
        </is>
      </c>
      <c r="G562" s="78" t="inlineStr">
        <is>
          <t>تحت 14</t>
        </is>
      </c>
      <c r="H562" s="78" t="n">
        <v>1</v>
      </c>
    </row>
    <row r="563">
      <c r="B563" s="78" t="inlineStr">
        <is>
          <t>K607</t>
        </is>
      </c>
      <c r="C563" s="78" t="n">
        <v>605</v>
      </c>
      <c r="D563" s="78" t="inlineStr">
        <is>
          <t>الرقي</t>
        </is>
      </c>
      <c r="E563" s="78" t="inlineStr">
        <is>
          <t>الرياض</t>
        </is>
      </c>
      <c r="F563" s="78" t="inlineStr">
        <is>
          <t>الرياض</t>
        </is>
      </c>
      <c r="G563" s="78" t="inlineStr">
        <is>
          <t>تحت 14</t>
        </is>
      </c>
      <c r="H563" s="78" t="n">
        <v>1</v>
      </c>
    </row>
    <row r="564">
      <c r="B564" s="78" t="inlineStr">
        <is>
          <t>K609</t>
        </is>
      </c>
      <c r="C564" s="78" t="n">
        <v>607</v>
      </c>
      <c r="D564" s="78" t="inlineStr">
        <is>
          <t>البلوز</t>
        </is>
      </c>
      <c r="E564" s="78" t="inlineStr">
        <is>
          <t>الرياض</t>
        </is>
      </c>
      <c r="F564" s="78" t="inlineStr">
        <is>
          <t>الرياض</t>
        </is>
      </c>
      <c r="G564" s="78" t="inlineStr">
        <is>
          <t>تحت 14</t>
        </is>
      </c>
      <c r="H564" s="78" t="n">
        <v>1</v>
      </c>
    </row>
    <row r="565">
      <c r="B565" s="78" t="inlineStr">
        <is>
          <t>K612</t>
        </is>
      </c>
      <c r="C565" s="78" t="n">
        <v>610</v>
      </c>
      <c r="D565" s="78" t="inlineStr">
        <is>
          <t xml:space="preserve">مدارس التربية النموذجية </t>
        </is>
      </c>
      <c r="E565" s="78" t="inlineStr">
        <is>
          <t>الرياض</t>
        </is>
      </c>
      <c r="F565" s="78" t="inlineStr">
        <is>
          <t>الرياض</t>
        </is>
      </c>
      <c r="G565" s="78" t="inlineStr">
        <is>
          <t>تحت 14</t>
        </is>
      </c>
      <c r="H565" s="78" t="n">
        <v>1</v>
      </c>
    </row>
    <row r="566">
      <c r="B566" s="78" t="inlineStr">
        <is>
          <t>N348</t>
        </is>
      </c>
      <c r="C566" s="78" t="n">
        <v>346</v>
      </c>
      <c r="D566" s="78" t="inlineStr">
        <is>
          <t>فريق الهواة</t>
        </is>
      </c>
      <c r="E566" s="78" t="inlineStr">
        <is>
          <t>الشرقية</t>
        </is>
      </c>
      <c r="F566" s="78" t="inlineStr">
        <is>
          <t>الظهران</t>
        </is>
      </c>
      <c r="G566" s="78" t="inlineStr">
        <is>
          <t>تحت 11</t>
        </is>
      </c>
      <c r="H566" s="78" t="n">
        <v>1</v>
      </c>
    </row>
    <row r="567">
      <c r="B567" s="78" t="inlineStr">
        <is>
          <t>N426</t>
        </is>
      </c>
      <c r="C567" s="78" t="n">
        <v>424</v>
      </c>
      <c r="D567" s="78" t="inlineStr">
        <is>
          <t>Saudi internatioanl school</t>
        </is>
      </c>
      <c r="E567" s="78" t="inlineStr">
        <is>
          <t>الشرقية</t>
        </is>
      </c>
      <c r="F567" s="78" t="inlineStr">
        <is>
          <t>الخبر</t>
        </is>
      </c>
      <c r="G567" s="78" t="inlineStr">
        <is>
          <t>تحت 11</t>
        </is>
      </c>
      <c r="H567" s="78" t="n">
        <v>1</v>
      </c>
    </row>
    <row r="568">
      <c r="B568" s="78" t="inlineStr">
        <is>
          <t>N460</t>
        </is>
      </c>
      <c r="C568" s="78" t="n">
        <v>458</v>
      </c>
      <c r="D568" s="78" t="inlineStr">
        <is>
          <t>اكاديميه اهدافي الخبر</t>
        </is>
      </c>
      <c r="E568" s="78" t="inlineStr">
        <is>
          <t>الشرقية</t>
        </is>
      </c>
      <c r="F568" s="78" t="inlineStr">
        <is>
          <t>الخبر</t>
        </is>
      </c>
      <c r="G568" s="78" t="inlineStr">
        <is>
          <t>تحت 11</t>
        </is>
      </c>
      <c r="H568" s="78" t="n">
        <v>1</v>
      </c>
    </row>
    <row r="569">
      <c r="B569" s="78" t="inlineStr">
        <is>
          <t>L378</t>
        </is>
      </c>
      <c r="C569" s="78" t="n">
        <v>376</v>
      </c>
      <c r="D569" s="78" t="inlineStr">
        <is>
          <t>بنفيكا جدة</t>
        </is>
      </c>
      <c r="E569" s="78" t="inlineStr">
        <is>
          <t>مكة المكرمة</t>
        </is>
      </c>
      <c r="F569" s="78" t="inlineStr">
        <is>
          <t>جدة</t>
        </is>
      </c>
      <c r="G569" s="78" t="inlineStr">
        <is>
          <t>تحت 13</t>
        </is>
      </c>
      <c r="H569" s="78" t="n">
        <v>1</v>
      </c>
    </row>
    <row r="570">
      <c r="B570" s="78" t="inlineStr">
        <is>
          <t>L482</t>
        </is>
      </c>
      <c r="C570" s="78" t="n">
        <v>480</v>
      </c>
      <c r="D570" s="78" t="inlineStr">
        <is>
          <t>فريق الجوهرة جدة</t>
        </is>
      </c>
      <c r="E570" s="78" t="inlineStr">
        <is>
          <t>مكة المكرمة</t>
        </is>
      </c>
      <c r="F570" s="78" t="inlineStr">
        <is>
          <t>جدة</t>
        </is>
      </c>
      <c r="G570" s="78" t="inlineStr">
        <is>
          <t>تحت 13</t>
        </is>
      </c>
      <c r="H570" s="78" t="n">
        <v>1</v>
      </c>
    </row>
    <row r="571">
      <c r="B571" s="78" t="inlineStr">
        <is>
          <t>L580</t>
        </is>
      </c>
      <c r="C571" s="78" t="n">
        <v>578</v>
      </c>
      <c r="D571" s="78" t="inlineStr">
        <is>
          <t>نجوم بن العاص</t>
        </is>
      </c>
      <c r="E571" s="78" t="inlineStr">
        <is>
          <t>مكة المكرمة</t>
        </is>
      </c>
      <c r="F571" s="78" t="inlineStr">
        <is>
          <t>جدة</t>
        </is>
      </c>
      <c r="G571" s="78" t="inlineStr">
        <is>
          <t>تحت 13</t>
        </is>
      </c>
      <c r="H571" s="78" t="n">
        <v>1</v>
      </c>
    </row>
    <row r="572">
      <c r="B572" s="78" t="inlineStr">
        <is>
          <t>L604</t>
        </is>
      </c>
      <c r="C572" s="78" t="n">
        <v>602</v>
      </c>
      <c r="D572" s="78" t="inlineStr">
        <is>
          <t>متوسطة المجد</t>
        </is>
      </c>
      <c r="E572" s="78" t="inlineStr">
        <is>
          <t>مكة المكرمة</t>
        </is>
      </c>
      <c r="F572" s="78" t="inlineStr">
        <is>
          <t>جدة</t>
        </is>
      </c>
      <c r="G572" s="78" t="inlineStr">
        <is>
          <t>تحت 13</t>
        </is>
      </c>
      <c r="H572" s="78" t="n">
        <v>1</v>
      </c>
    </row>
    <row r="573">
      <c r="B573" s="78" t="inlineStr">
        <is>
          <t>L610</t>
        </is>
      </c>
      <c r="C573" s="78" t="n">
        <v>608</v>
      </c>
      <c r="D573" s="78" t="inlineStr">
        <is>
          <t>فريق وكامي</t>
        </is>
      </c>
      <c r="E573" s="78" t="inlineStr">
        <is>
          <t>مكة المكرمة</t>
        </is>
      </c>
      <c r="F573" s="78" t="inlineStr">
        <is>
          <t>جدة</t>
        </is>
      </c>
      <c r="G573" s="78" t="inlineStr">
        <is>
          <t>تحت 13</t>
        </is>
      </c>
      <c r="H573" s="78" t="n">
        <v>1</v>
      </c>
    </row>
    <row r="574">
      <c r="B574" s="78" t="inlineStr">
        <is>
          <t>L655</t>
        </is>
      </c>
      <c r="C574" s="78" t="n">
        <v>653</v>
      </c>
      <c r="D574" s="78" t="inlineStr">
        <is>
          <t xml:space="preserve">تعاون جدة </t>
        </is>
      </c>
      <c r="E574" s="78" t="inlineStr">
        <is>
          <t>مكة المكرمة</t>
        </is>
      </c>
      <c r="F574" s="78" t="inlineStr">
        <is>
          <t>جدة</t>
        </is>
      </c>
      <c r="G574" s="78" t="inlineStr">
        <is>
          <t>تحت 13</t>
        </is>
      </c>
      <c r="H574" s="78" t="n">
        <v>1</v>
      </c>
    </row>
    <row r="575">
      <c r="B575" s="78" t="inlineStr">
        <is>
          <t>L670</t>
        </is>
      </c>
      <c r="C575" s="78" t="n">
        <v>668</v>
      </c>
      <c r="D575" s="78" t="inlineStr">
        <is>
          <t xml:space="preserve">مدرسة الروابي الخضراء العالمية </t>
        </is>
      </c>
      <c r="E575" s="78" t="inlineStr">
        <is>
          <t>مكة المكرمة</t>
        </is>
      </c>
      <c r="F575" s="78" t="inlineStr">
        <is>
          <t>جدة</t>
        </is>
      </c>
      <c r="G575" s="78" t="inlineStr">
        <is>
          <t>تحت 13</t>
        </is>
      </c>
      <c r="H575" s="78" t="n">
        <v>1</v>
      </c>
    </row>
    <row r="576">
      <c r="B576" s="78" t="inlineStr">
        <is>
          <t>L686</t>
        </is>
      </c>
      <c r="C576" s="78" t="n">
        <v>684</v>
      </c>
      <c r="D576" s="78" t="inlineStr">
        <is>
          <t>الاسطورة</t>
        </is>
      </c>
      <c r="E576" s="78" t="inlineStr">
        <is>
          <t>مكة المكرمة</t>
        </is>
      </c>
      <c r="F576" s="78" t="inlineStr">
        <is>
          <t>جدة</t>
        </is>
      </c>
      <c r="G576" s="78" t="inlineStr">
        <is>
          <t>تحت 13</t>
        </is>
      </c>
      <c r="H576" s="78" t="n">
        <v>1</v>
      </c>
    </row>
    <row r="577">
      <c r="B577" s="78" t="inlineStr">
        <is>
          <t>L697</t>
        </is>
      </c>
      <c r="C577" s="78" t="n">
        <v>695</v>
      </c>
      <c r="D577" s="78" t="inlineStr">
        <is>
          <t>مجمع الامير محمد بن سعود الكبير</t>
        </is>
      </c>
      <c r="E577" s="78" t="inlineStr">
        <is>
          <t>مكة المكرمة</t>
        </is>
      </c>
      <c r="F577" s="78" t="inlineStr">
        <is>
          <t>جدة</t>
        </is>
      </c>
      <c r="G577" s="78" t="inlineStr">
        <is>
          <t>تحت 13</t>
        </is>
      </c>
      <c r="H577" s="78" t="n">
        <v>1</v>
      </c>
    </row>
    <row r="578">
      <c r="B578" s="78" t="inlineStr">
        <is>
          <t>M378</t>
        </is>
      </c>
      <c r="C578" s="78" t="n">
        <v>376</v>
      </c>
      <c r="D578" s="78" t="inlineStr">
        <is>
          <t>بنفيكا جدة</t>
        </is>
      </c>
      <c r="E578" s="78" t="inlineStr">
        <is>
          <t>مكة المكرمة</t>
        </is>
      </c>
      <c r="F578" s="78" t="inlineStr">
        <is>
          <t>جدة</t>
        </is>
      </c>
      <c r="G578" s="78" t="inlineStr">
        <is>
          <t>تحت 12</t>
        </is>
      </c>
      <c r="H578" s="78" t="n">
        <v>1</v>
      </c>
    </row>
    <row r="579">
      <c r="B579" s="78" t="inlineStr">
        <is>
          <t>M482</t>
        </is>
      </c>
      <c r="C579" s="78" t="n">
        <v>480</v>
      </c>
      <c r="D579" s="78" t="inlineStr">
        <is>
          <t>فريق الجوهرة جدة</t>
        </is>
      </c>
      <c r="E579" s="78" t="inlineStr">
        <is>
          <t>مكة المكرمة</t>
        </is>
      </c>
      <c r="F579" s="78" t="inlineStr">
        <is>
          <t>جدة</t>
        </is>
      </c>
      <c r="G579" s="78" t="inlineStr">
        <is>
          <t>تحت 12</t>
        </is>
      </c>
      <c r="H579" s="78" t="n">
        <v>1</v>
      </c>
    </row>
    <row r="580">
      <c r="B580" s="78" t="inlineStr">
        <is>
          <t>M581</t>
        </is>
      </c>
      <c r="C580" s="78" t="n">
        <v>579</v>
      </c>
      <c r="D580" s="78" t="inlineStr">
        <is>
          <t>مدرسة الثغر الابتدائي بالخالدية</t>
        </is>
      </c>
      <c r="E580" s="78" t="inlineStr">
        <is>
          <t>مكة المكرمة</t>
        </is>
      </c>
      <c r="F580" s="78" t="inlineStr">
        <is>
          <t>جدة</t>
        </is>
      </c>
      <c r="G580" s="78" t="inlineStr">
        <is>
          <t>تحت 12</t>
        </is>
      </c>
      <c r="H580" s="78" t="n">
        <v>1</v>
      </c>
    </row>
    <row r="581">
      <c r="B581" s="78" t="inlineStr">
        <is>
          <t>M586</t>
        </is>
      </c>
      <c r="C581" s="78" t="n">
        <v>584</v>
      </c>
      <c r="D581" s="78" t="inlineStr">
        <is>
          <t>سعد بن الربيع</t>
        </is>
      </c>
      <c r="E581" s="78" t="inlineStr">
        <is>
          <t>مكة المكرمة</t>
        </is>
      </c>
      <c r="F581" s="78" t="inlineStr">
        <is>
          <t>جدة</t>
        </is>
      </c>
      <c r="G581" s="78" t="inlineStr">
        <is>
          <t>تحت 12</t>
        </is>
      </c>
      <c r="H581" s="78" t="n">
        <v>1</v>
      </c>
    </row>
    <row r="582">
      <c r="B582" s="78" t="inlineStr">
        <is>
          <t>M604</t>
        </is>
      </c>
      <c r="C582" s="78" t="n">
        <v>602</v>
      </c>
      <c r="D582" s="78" t="inlineStr">
        <is>
          <t>متوسطة المجد</t>
        </is>
      </c>
      <c r="E582" s="78" t="inlineStr">
        <is>
          <t>مكة المكرمة</t>
        </is>
      </c>
      <c r="F582" s="78" t="inlineStr">
        <is>
          <t>جدة</t>
        </is>
      </c>
      <c r="G582" s="78" t="inlineStr">
        <is>
          <t>تحت 12</t>
        </is>
      </c>
      <c r="H582" s="78" t="n">
        <v>1</v>
      </c>
    </row>
    <row r="583">
      <c r="B583" s="78" t="inlineStr">
        <is>
          <t>M610</t>
        </is>
      </c>
      <c r="C583" s="78" t="n">
        <v>608</v>
      </c>
      <c r="D583" s="78" t="inlineStr">
        <is>
          <t>فريق وكامي</t>
        </is>
      </c>
      <c r="E583" s="78" t="inlineStr">
        <is>
          <t>مكة المكرمة</t>
        </is>
      </c>
      <c r="F583" s="78" t="inlineStr">
        <is>
          <t>جدة</t>
        </is>
      </c>
      <c r="G583" s="78" t="inlineStr">
        <is>
          <t>تحت 12</t>
        </is>
      </c>
      <c r="H583" s="78" t="n">
        <v>1</v>
      </c>
    </row>
    <row r="584">
      <c r="B584" s="78" t="inlineStr">
        <is>
          <t>M643</t>
        </is>
      </c>
      <c r="C584" s="78" t="n">
        <v>641</v>
      </c>
      <c r="D584" s="78" t="inlineStr">
        <is>
          <t>فرسان ابي عبيدة عامر بن الجراح</t>
        </is>
      </c>
      <c r="E584" s="78" t="inlineStr">
        <is>
          <t>مكة المكرمة</t>
        </is>
      </c>
      <c r="F584" s="78" t="inlineStr">
        <is>
          <t>جدة</t>
        </is>
      </c>
      <c r="G584" s="78" t="inlineStr">
        <is>
          <t>تحت 12</t>
        </is>
      </c>
      <c r="H584" s="78" t="n">
        <v>1</v>
      </c>
    </row>
    <row r="585">
      <c r="B585" s="78" t="inlineStr">
        <is>
          <t>M645</t>
        </is>
      </c>
      <c r="C585" s="78" t="n">
        <v>643</v>
      </c>
      <c r="D585" s="78" t="inlineStr">
        <is>
          <t>JISA</t>
        </is>
      </c>
      <c r="E585" s="78" t="inlineStr">
        <is>
          <t>مكة المكرمة</t>
        </is>
      </c>
      <c r="F585" s="78" t="inlineStr">
        <is>
          <t>جدة</t>
        </is>
      </c>
      <c r="G585" s="78" t="inlineStr">
        <is>
          <t>تحت 12</t>
        </is>
      </c>
      <c r="H585" s="78" t="n">
        <v>1</v>
      </c>
    </row>
    <row r="586">
      <c r="B586" s="78" t="inlineStr">
        <is>
          <t>M655</t>
        </is>
      </c>
      <c r="C586" s="78" t="n">
        <v>653</v>
      </c>
      <c r="D586" s="78" t="inlineStr">
        <is>
          <t xml:space="preserve">تعاون جدة </t>
        </is>
      </c>
      <c r="E586" s="78" t="inlineStr">
        <is>
          <t>مكة المكرمة</t>
        </is>
      </c>
      <c r="F586" s="78" t="inlineStr">
        <is>
          <t>جدة</t>
        </is>
      </c>
      <c r="G586" s="78" t="inlineStr">
        <is>
          <t>تحت 12</t>
        </is>
      </c>
      <c r="H586" s="78" t="n">
        <v>1</v>
      </c>
    </row>
    <row r="587">
      <c r="B587" s="78" t="inlineStr">
        <is>
          <t>M670</t>
        </is>
      </c>
      <c r="C587" s="78" t="n">
        <v>668</v>
      </c>
      <c r="D587" s="78" t="inlineStr">
        <is>
          <t xml:space="preserve">مدرسة الروابي الخضراء العالمية </t>
        </is>
      </c>
      <c r="E587" s="78" t="inlineStr">
        <is>
          <t>مكة المكرمة</t>
        </is>
      </c>
      <c r="F587" s="78" t="inlineStr">
        <is>
          <t>جدة</t>
        </is>
      </c>
      <c r="G587" s="78" t="inlineStr">
        <is>
          <t>تحت 12</t>
        </is>
      </c>
      <c r="H587" s="78" t="n">
        <v>1</v>
      </c>
    </row>
    <row r="588">
      <c r="B588" s="78" t="inlineStr">
        <is>
          <t>M686</t>
        </is>
      </c>
      <c r="C588" s="78" t="n">
        <v>684</v>
      </c>
      <c r="D588" s="78" t="inlineStr">
        <is>
          <t>الاسطورة</t>
        </is>
      </c>
      <c r="E588" s="78" t="inlineStr">
        <is>
          <t>مكة المكرمة</t>
        </is>
      </c>
      <c r="F588" s="78" t="inlineStr">
        <is>
          <t>جدة</t>
        </is>
      </c>
      <c r="G588" s="78" t="inlineStr">
        <is>
          <t>تحت 12</t>
        </is>
      </c>
      <c r="H588" s="78" t="n">
        <v>1</v>
      </c>
    </row>
    <row r="589">
      <c r="B589" s="78" t="inlineStr">
        <is>
          <t>O378</t>
        </is>
      </c>
      <c r="C589" s="78" t="n">
        <v>376</v>
      </c>
      <c r="D589" s="78" t="inlineStr">
        <is>
          <t>بنفيكا جدة</t>
        </is>
      </c>
      <c r="E589" s="78" t="inlineStr">
        <is>
          <t>مكة المكرمة</t>
        </is>
      </c>
      <c r="F589" s="78" t="inlineStr">
        <is>
          <t>جدة</t>
        </is>
      </c>
      <c r="G589" s="78" t="inlineStr">
        <is>
          <t>تحت 9</t>
        </is>
      </c>
      <c r="H589" s="78" t="n">
        <v>1</v>
      </c>
    </row>
    <row r="590">
      <c r="B590" s="78" t="inlineStr">
        <is>
          <t>O482</t>
        </is>
      </c>
      <c r="C590" s="78" t="n">
        <v>480</v>
      </c>
      <c r="D590" s="78" t="inlineStr">
        <is>
          <t>فريق الجوهرة جدة</t>
        </is>
      </c>
      <c r="E590" s="78" t="inlineStr">
        <is>
          <t>مكة المكرمة</t>
        </is>
      </c>
      <c r="F590" s="78" t="inlineStr">
        <is>
          <t>جدة</t>
        </is>
      </c>
      <c r="G590" s="78" t="inlineStr">
        <is>
          <t>تحت 9</t>
        </is>
      </c>
      <c r="H590" s="78" t="n">
        <v>1</v>
      </c>
    </row>
    <row r="591">
      <c r="B591" s="78" t="inlineStr">
        <is>
          <t>O686</t>
        </is>
      </c>
      <c r="C591" s="78" t="n">
        <v>684</v>
      </c>
      <c r="D591" s="78" t="inlineStr">
        <is>
          <t>الاسطورة</t>
        </is>
      </c>
      <c r="E591" s="78" t="inlineStr">
        <is>
          <t>مكة المكرمة</t>
        </is>
      </c>
      <c r="F591" s="78" t="inlineStr">
        <is>
          <t>جدة</t>
        </is>
      </c>
      <c r="G591" s="78" t="inlineStr">
        <is>
          <t>تحت 9</t>
        </is>
      </c>
      <c r="H591" s="78" t="n">
        <v>1</v>
      </c>
    </row>
    <row r="592">
      <c r="B592" s="78" t="inlineStr">
        <is>
          <t>N380</t>
        </is>
      </c>
      <c r="C592" s="78" t="n">
        <v>378</v>
      </c>
      <c r="D592" s="78" t="inlineStr">
        <is>
          <t xml:space="preserve">الامام البخاري </t>
        </is>
      </c>
      <c r="E592" s="78" t="inlineStr">
        <is>
          <t>القصيم</t>
        </is>
      </c>
      <c r="F592" s="78" t="inlineStr">
        <is>
          <t>عنيزة</t>
        </is>
      </c>
      <c r="G592" s="78" t="inlineStr">
        <is>
          <t>تحت 11</t>
        </is>
      </c>
      <c r="H592" s="78" t="n">
        <v>1</v>
      </c>
    </row>
    <row r="593">
      <c r="B593" s="78" t="inlineStr">
        <is>
          <t>N386</t>
        </is>
      </c>
      <c r="C593" s="78" t="n">
        <v>384</v>
      </c>
      <c r="D593" s="78" t="inlineStr">
        <is>
          <t>الامتياز</t>
        </is>
      </c>
      <c r="E593" s="78" t="inlineStr">
        <is>
          <t>القصيم</t>
        </is>
      </c>
      <c r="F593" s="78" t="inlineStr">
        <is>
          <t>بريدة</t>
        </is>
      </c>
      <c r="G593" s="78" t="inlineStr">
        <is>
          <t>تحت 11</t>
        </is>
      </c>
      <c r="H593" s="78" t="n">
        <v>1</v>
      </c>
    </row>
    <row r="594">
      <c r="B594" s="78" t="inlineStr">
        <is>
          <t>K382</t>
        </is>
      </c>
      <c r="C594" s="78" t="n">
        <v>380</v>
      </c>
      <c r="D594" s="78" t="inlineStr">
        <is>
          <t xml:space="preserve">مدرسة ابن تيمية </t>
        </is>
      </c>
      <c r="E594" s="78" t="inlineStr">
        <is>
          <t>الجوف</t>
        </is>
      </c>
      <c r="F594" s="78" t="inlineStr">
        <is>
          <t>سكاكا</t>
        </is>
      </c>
      <c r="G594" s="78" t="inlineStr">
        <is>
          <t>تحت 14</t>
        </is>
      </c>
      <c r="H594" s="78" t="n">
        <v>1</v>
      </c>
    </row>
    <row r="595">
      <c r="B595" s="78" t="inlineStr">
        <is>
          <t>K631</t>
        </is>
      </c>
      <c r="C595" s="78" t="n">
        <v>629</v>
      </c>
      <c r="D595" s="78" t="inlineStr">
        <is>
          <t>فريق العباس</t>
        </is>
      </c>
      <c r="E595" s="78" t="inlineStr">
        <is>
          <t>الجوف</t>
        </is>
      </c>
      <c r="F595" s="78" t="inlineStr">
        <is>
          <t>سكاكا</t>
        </is>
      </c>
      <c r="G595" s="78" t="inlineStr">
        <is>
          <t>تحت 14</t>
        </is>
      </c>
      <c r="H595" s="78" t="n">
        <v>1</v>
      </c>
    </row>
    <row r="596">
      <c r="B596" s="78" t="inlineStr">
        <is>
          <t>K690</t>
        </is>
      </c>
      <c r="C596" s="78" t="n">
        <v>688</v>
      </c>
      <c r="D596" s="78" t="inlineStr">
        <is>
          <t>القمه</t>
        </is>
      </c>
      <c r="E596" s="78" t="inlineStr">
        <is>
          <t>الجوف</t>
        </is>
      </c>
      <c r="F596" s="78" t="inlineStr">
        <is>
          <t>سكاكا</t>
        </is>
      </c>
      <c r="G596" s="78" t="inlineStr">
        <is>
          <t>تحت 14</t>
        </is>
      </c>
      <c r="H596" s="78" t="n">
        <v>1</v>
      </c>
    </row>
    <row r="597">
      <c r="B597" s="78" t="inlineStr">
        <is>
          <t>N382</t>
        </is>
      </c>
      <c r="C597" s="78" t="n">
        <v>380</v>
      </c>
      <c r="D597" s="78" t="inlineStr">
        <is>
          <t xml:space="preserve">مدرسة ابن تيمية </t>
        </is>
      </c>
      <c r="E597" s="78" t="inlineStr">
        <is>
          <t>الجوف</t>
        </is>
      </c>
      <c r="F597" s="78" t="inlineStr">
        <is>
          <t>سكاكا</t>
        </is>
      </c>
      <c r="G597" s="78" t="inlineStr">
        <is>
          <t>تحت 11</t>
        </is>
      </c>
      <c r="H597" s="78" t="n">
        <v>1</v>
      </c>
    </row>
    <row r="598">
      <c r="B598" s="78" t="inlineStr">
        <is>
          <t>N690</t>
        </is>
      </c>
      <c r="C598" s="78" t="n">
        <v>688</v>
      </c>
      <c r="D598" s="78" t="inlineStr">
        <is>
          <t>القمه</t>
        </is>
      </c>
      <c r="E598" s="78" t="inlineStr">
        <is>
          <t>الجوف</t>
        </is>
      </c>
      <c r="F598" s="78" t="inlineStr">
        <is>
          <t>سكاكا</t>
        </is>
      </c>
      <c r="G598" s="78" t="inlineStr">
        <is>
          <t>تحت 11</t>
        </is>
      </c>
      <c r="H598" s="78" t="n">
        <v>1</v>
      </c>
    </row>
    <row r="599">
      <c r="B599" s="78" t="inlineStr">
        <is>
          <t>O382</t>
        </is>
      </c>
      <c r="C599" s="78" t="n">
        <v>380</v>
      </c>
      <c r="D599" s="78" t="inlineStr">
        <is>
          <t xml:space="preserve">مدرسة ابن تيمية </t>
        </is>
      </c>
      <c r="E599" s="78" t="inlineStr">
        <is>
          <t>الجوف</t>
        </is>
      </c>
      <c r="F599" s="78" t="inlineStr">
        <is>
          <t>سكاكا</t>
        </is>
      </c>
      <c r="G599" s="78" t="inlineStr">
        <is>
          <t>تحت 9</t>
        </is>
      </c>
      <c r="H599" s="78" t="n">
        <v>1</v>
      </c>
    </row>
    <row r="600">
      <c r="B600" s="78" t="inlineStr">
        <is>
          <t>O690</t>
        </is>
      </c>
      <c r="C600" s="78" t="n">
        <v>688</v>
      </c>
      <c r="D600" s="78" t="inlineStr">
        <is>
          <t>القمه</t>
        </is>
      </c>
      <c r="E600" s="78" t="inlineStr">
        <is>
          <t>الجوف</t>
        </is>
      </c>
      <c r="F600" s="78" t="inlineStr">
        <is>
          <t>سكاكا</t>
        </is>
      </c>
      <c r="G600" s="78" t="inlineStr">
        <is>
          <t>تحت 9</t>
        </is>
      </c>
      <c r="H600" s="78" t="n">
        <v>1</v>
      </c>
    </row>
    <row r="601">
      <c r="B601" s="78" t="inlineStr">
        <is>
          <t>N383</t>
        </is>
      </c>
      <c r="C601" s="78" t="n">
        <v>381</v>
      </c>
      <c r="D601" s="78" t="inlineStr">
        <is>
          <t>الاهلي عسير</t>
        </is>
      </c>
      <c r="E601" s="78" t="inlineStr">
        <is>
          <t>عسير</t>
        </is>
      </c>
      <c r="F601" s="78" t="inlineStr">
        <is>
          <t>خميس مشيط</t>
        </is>
      </c>
      <c r="G601" s="78" t="inlineStr">
        <is>
          <t>تحت 11</t>
        </is>
      </c>
      <c r="H601" s="78" t="n">
        <v>1</v>
      </c>
    </row>
    <row r="602">
      <c r="B602" s="78" t="inlineStr">
        <is>
          <t>N478</t>
        </is>
      </c>
      <c r="C602" s="78" t="n">
        <v>476</v>
      </c>
      <c r="D602" s="78" t="inlineStr">
        <is>
          <t xml:space="preserve">AZ  </t>
        </is>
      </c>
      <c r="E602" s="78" t="inlineStr">
        <is>
          <t>عسير</t>
        </is>
      </c>
      <c r="F602" s="78" t="inlineStr">
        <is>
          <t>أبها</t>
        </is>
      </c>
      <c r="G602" s="78" t="inlineStr">
        <is>
          <t>تحت 11</t>
        </is>
      </c>
      <c r="H602" s="78" t="n">
        <v>1</v>
      </c>
    </row>
    <row r="603">
      <c r="B603" s="78" t="inlineStr">
        <is>
          <t>O383</t>
        </is>
      </c>
      <c r="C603" s="78" t="n">
        <v>381</v>
      </c>
      <c r="D603" s="78" t="inlineStr">
        <is>
          <t>الاهلي عسير</t>
        </is>
      </c>
      <c r="E603" s="78" t="inlineStr">
        <is>
          <t>عسير</t>
        </is>
      </c>
      <c r="F603" s="78" t="inlineStr">
        <is>
          <t>خميس مشيط</t>
        </is>
      </c>
      <c r="G603" s="78" t="inlineStr">
        <is>
          <t>تحت 9</t>
        </is>
      </c>
      <c r="H603" s="78" t="n">
        <v>1</v>
      </c>
    </row>
    <row r="604">
      <c r="B604" s="78" t="inlineStr">
        <is>
          <t>O478</t>
        </is>
      </c>
      <c r="C604" s="78" t="n">
        <v>476</v>
      </c>
      <c r="D604" s="78" t="inlineStr">
        <is>
          <t xml:space="preserve">AZ  </t>
        </is>
      </c>
      <c r="E604" s="78" t="inlineStr">
        <is>
          <t>عسير</t>
        </is>
      </c>
      <c r="F604" s="78" t="inlineStr">
        <is>
          <t>أبها</t>
        </is>
      </c>
      <c r="G604" s="78" t="inlineStr">
        <is>
          <t>تحت 9</t>
        </is>
      </c>
      <c r="H604" s="78" t="n">
        <v>1</v>
      </c>
    </row>
    <row r="605">
      <c r="B605" s="78" t="inlineStr">
        <is>
          <t>P420</t>
        </is>
      </c>
      <c r="C605" s="78" t="n">
        <v>418</v>
      </c>
      <c r="D605" s="78" t="inlineStr">
        <is>
          <t>اكادمية إنتر الطائف</t>
        </is>
      </c>
      <c r="E605" s="78" t="inlineStr">
        <is>
          <t>مكة المكرمة</t>
        </is>
      </c>
      <c r="F605" s="78" t="inlineStr">
        <is>
          <t>الطائف</t>
        </is>
      </c>
      <c r="G605" s="78" t="inlineStr">
        <is>
          <t>تحت 7</t>
        </is>
      </c>
      <c r="H605" s="78" t="n">
        <v>1</v>
      </c>
    </row>
    <row r="606">
      <c r="B606" s="78" t="inlineStr">
        <is>
          <t>Q420</t>
        </is>
      </c>
      <c r="C606" s="78" t="n">
        <v>418</v>
      </c>
      <c r="D606" s="78" t="inlineStr">
        <is>
          <t>اكادمية إنتر الطائف</t>
        </is>
      </c>
      <c r="E606" s="78" t="inlineStr">
        <is>
          <t>مكة المكرمة</t>
        </is>
      </c>
      <c r="F606" s="78" t="inlineStr">
        <is>
          <t>الطائف</t>
        </is>
      </c>
      <c r="G606" s="78" t="inlineStr">
        <is>
          <t>تحت 5</t>
        </is>
      </c>
      <c r="H606" s="78" t="n">
        <v>1</v>
      </c>
    </row>
    <row r="607">
      <c r="B607" s="78" t="inlineStr">
        <is>
          <t>K425</t>
        </is>
      </c>
      <c r="C607" s="78" t="n">
        <v>423</v>
      </c>
      <c r="D607" s="78" t="inlineStr">
        <is>
          <t>مدرسة العلوم والفنون العالمية</t>
        </is>
      </c>
      <c r="E607" s="78" t="inlineStr">
        <is>
          <t>الشرقية</t>
        </is>
      </c>
      <c r="F607" s="78" t="inlineStr">
        <is>
          <t>الدمام</t>
        </is>
      </c>
      <c r="G607" s="78" t="inlineStr">
        <is>
          <t>تحت 14</t>
        </is>
      </c>
      <c r="H607" s="78" t="n">
        <v>1</v>
      </c>
    </row>
    <row r="608">
      <c r="B608" s="78" t="inlineStr">
        <is>
          <t>K458</t>
        </is>
      </c>
      <c r="C608" s="78" t="n">
        <v>456</v>
      </c>
      <c r="D608" s="78" t="inlineStr">
        <is>
          <t>التميز</t>
        </is>
      </c>
      <c r="E608" s="78" t="inlineStr">
        <is>
          <t>الشرقية</t>
        </is>
      </c>
      <c r="F608" s="78" t="inlineStr">
        <is>
          <t>الدمام</t>
        </is>
      </c>
      <c r="G608" s="78" t="inlineStr">
        <is>
          <t>تحت 14</t>
        </is>
      </c>
      <c r="H608" s="78" t="n">
        <v>1</v>
      </c>
    </row>
    <row r="609">
      <c r="B609" s="78" t="inlineStr">
        <is>
          <t>K460</t>
        </is>
      </c>
      <c r="C609" s="78" t="n">
        <v>458</v>
      </c>
      <c r="D609" s="78" t="inlineStr">
        <is>
          <t>اكاديميه اهدافي الخبر</t>
        </is>
      </c>
      <c r="E609" s="78" t="inlineStr">
        <is>
          <t>الشرقية</t>
        </is>
      </c>
      <c r="F609" s="78" t="inlineStr">
        <is>
          <t>الخبر</t>
        </is>
      </c>
      <c r="G609" s="78" t="inlineStr">
        <is>
          <t>تحت 14</t>
        </is>
      </c>
      <c r="H609" s="78" t="n">
        <v>1</v>
      </c>
    </row>
    <row r="610">
      <c r="B610" s="78" t="inlineStr">
        <is>
          <t>L425</t>
        </is>
      </c>
      <c r="C610" s="78" t="n">
        <v>423</v>
      </c>
      <c r="D610" s="78" t="inlineStr">
        <is>
          <t>مدرسة العلوم والفنون العالمية</t>
        </is>
      </c>
      <c r="E610" s="78" t="inlineStr">
        <is>
          <t>الشرقية</t>
        </is>
      </c>
      <c r="F610" s="78" t="inlineStr">
        <is>
          <t>الدمام</t>
        </is>
      </c>
      <c r="G610" s="78" t="inlineStr">
        <is>
          <t>تحت 13</t>
        </is>
      </c>
      <c r="H610" s="78" t="n">
        <v>1</v>
      </c>
    </row>
    <row r="611">
      <c r="B611" s="78" t="inlineStr">
        <is>
          <t>L460</t>
        </is>
      </c>
      <c r="C611" s="78" t="n">
        <v>458</v>
      </c>
      <c r="D611" s="78" t="inlineStr">
        <is>
          <t>اكاديميه اهدافي الخبر</t>
        </is>
      </c>
      <c r="E611" s="78" t="inlineStr">
        <is>
          <t>الشرقية</t>
        </is>
      </c>
      <c r="F611" s="78" t="inlineStr">
        <is>
          <t>الخبر</t>
        </is>
      </c>
      <c r="G611" s="78" t="inlineStr">
        <is>
          <t>تحت 13</t>
        </is>
      </c>
      <c r="H611" s="78" t="n">
        <v>1</v>
      </c>
    </row>
    <row r="612">
      <c r="B612" s="78" t="inlineStr">
        <is>
          <t>L475</t>
        </is>
      </c>
      <c r="C612" s="78" t="n">
        <v>473</v>
      </c>
      <c r="D612" s="78" t="inlineStr">
        <is>
          <t>رجالي</t>
        </is>
      </c>
      <c r="E612" s="78" t="inlineStr">
        <is>
          <t>الشرقية</t>
        </is>
      </c>
      <c r="F612" s="78" t="inlineStr">
        <is>
          <t>الدمام</t>
        </is>
      </c>
      <c r="G612" s="78" t="inlineStr">
        <is>
          <t>تحت 13</t>
        </is>
      </c>
      <c r="H612" s="78" t="n">
        <v>1</v>
      </c>
    </row>
    <row r="613">
      <c r="B613" s="78" t="inlineStr">
        <is>
          <t>M426</t>
        </is>
      </c>
      <c r="C613" s="78" t="n">
        <v>424</v>
      </c>
      <c r="D613" s="78" t="inlineStr">
        <is>
          <t>Saudi internatioanl school</t>
        </is>
      </c>
      <c r="E613" s="78" t="inlineStr">
        <is>
          <t>الشرقية</t>
        </is>
      </c>
      <c r="F613" s="78" t="inlineStr">
        <is>
          <t>الخبر</t>
        </is>
      </c>
      <c r="G613" s="78" t="inlineStr">
        <is>
          <t>تحت 12</t>
        </is>
      </c>
      <c r="H613" s="78" t="n">
        <v>1</v>
      </c>
    </row>
    <row r="614">
      <c r="B614" s="78" t="inlineStr">
        <is>
          <t>M460</t>
        </is>
      </c>
      <c r="C614" s="78" t="n">
        <v>458</v>
      </c>
      <c r="D614" s="78" t="inlineStr">
        <is>
          <t>اكاديميه اهدافي الخبر</t>
        </is>
      </c>
      <c r="E614" s="78" t="inlineStr">
        <is>
          <t>الشرقية</t>
        </is>
      </c>
      <c r="F614" s="78" t="inlineStr">
        <is>
          <t>الخبر</t>
        </is>
      </c>
      <c r="G614" s="78" t="inlineStr">
        <is>
          <t>تحت 12</t>
        </is>
      </c>
      <c r="H614" s="78" t="n">
        <v>1</v>
      </c>
    </row>
    <row r="615">
      <c r="B615" s="78" t="inlineStr">
        <is>
          <t>K439</t>
        </is>
      </c>
      <c r="C615" s="78" t="n">
        <v>437</v>
      </c>
      <c r="D615" s="78" t="inlineStr">
        <is>
          <t>فريق المستقبل</t>
        </is>
      </c>
      <c r="E615" s="78" t="inlineStr">
        <is>
          <t>نجران</t>
        </is>
      </c>
      <c r="F615" s="78" t="inlineStr">
        <is>
          <t>شرورة</t>
        </is>
      </c>
      <c r="G615" s="78" t="inlineStr">
        <is>
          <t>تحت 14</t>
        </is>
      </c>
      <c r="H615" s="78" t="n">
        <v>1</v>
      </c>
    </row>
    <row r="616">
      <c r="B616" s="78" t="inlineStr">
        <is>
          <t>K483</t>
        </is>
      </c>
      <c r="C616" s="78" t="n">
        <v>481</v>
      </c>
      <c r="D616" s="78" t="inlineStr">
        <is>
          <t>تحدي شرورة</t>
        </is>
      </c>
      <c r="E616" s="78" t="inlineStr">
        <is>
          <t>نجران</t>
        </is>
      </c>
      <c r="F616" s="78" t="inlineStr">
        <is>
          <t>شرورة</t>
        </is>
      </c>
      <c r="G616" s="78" t="inlineStr">
        <is>
          <t>تحت 14</t>
        </is>
      </c>
      <c r="H616" s="78" t="n">
        <v>1</v>
      </c>
    </row>
    <row r="617">
      <c r="B617" s="78" t="inlineStr">
        <is>
          <t>M439</t>
        </is>
      </c>
      <c r="C617" s="78" t="n">
        <v>437</v>
      </c>
      <c r="D617" s="78" t="inlineStr">
        <is>
          <t>فريق المستقبل</t>
        </is>
      </c>
      <c r="E617" s="78" t="inlineStr">
        <is>
          <t>نجران</t>
        </is>
      </c>
      <c r="F617" s="78" t="inlineStr">
        <is>
          <t>شرورة</t>
        </is>
      </c>
      <c r="G617" s="78" t="inlineStr">
        <is>
          <t>تحت 12</t>
        </is>
      </c>
      <c r="H617" s="78" t="n">
        <v>1</v>
      </c>
    </row>
    <row r="618">
      <c r="B618" s="78" t="inlineStr">
        <is>
          <t>M483</t>
        </is>
      </c>
      <c r="C618" s="78" t="n">
        <v>481</v>
      </c>
      <c r="D618" s="78" t="inlineStr">
        <is>
          <t>تحدي شرورة</t>
        </is>
      </c>
      <c r="E618" s="78" t="inlineStr">
        <is>
          <t>نجران</t>
        </is>
      </c>
      <c r="F618" s="78" t="inlineStr">
        <is>
          <t>شرورة</t>
        </is>
      </c>
      <c r="G618" s="78" t="inlineStr">
        <is>
          <t>تحت 12</t>
        </is>
      </c>
      <c r="H618" s="78" t="n">
        <v>1</v>
      </c>
    </row>
    <row r="619">
      <c r="B619" s="78" t="inlineStr">
        <is>
          <t>N439</t>
        </is>
      </c>
      <c r="C619" s="78" t="n">
        <v>437</v>
      </c>
      <c r="D619" s="78" t="inlineStr">
        <is>
          <t>فريق المستقبل</t>
        </is>
      </c>
      <c r="E619" s="78" t="inlineStr">
        <is>
          <t>نجران</t>
        </is>
      </c>
      <c r="F619" s="78" t="inlineStr">
        <is>
          <t>شرورة</t>
        </is>
      </c>
      <c r="G619" s="78" t="inlineStr">
        <is>
          <t>تحت 11</t>
        </is>
      </c>
      <c r="H619" s="78" t="n">
        <v>1</v>
      </c>
    </row>
    <row r="620">
      <c r="B620" s="78" t="inlineStr">
        <is>
          <t>N483</t>
        </is>
      </c>
      <c r="C620" s="78" t="n">
        <v>481</v>
      </c>
      <c r="D620" s="78" t="inlineStr">
        <is>
          <t>تحدي شرورة</t>
        </is>
      </c>
      <c r="E620" s="78" t="inlineStr">
        <is>
          <t>نجران</t>
        </is>
      </c>
      <c r="F620" s="78" t="inlineStr">
        <is>
          <t>شرورة</t>
        </is>
      </c>
      <c r="G620" s="78" t="inlineStr">
        <is>
          <t>تحت 11</t>
        </is>
      </c>
      <c r="H620" s="78" t="n">
        <v>1</v>
      </c>
    </row>
    <row r="621">
      <c r="B621" s="78" t="inlineStr">
        <is>
          <t>Q439</t>
        </is>
      </c>
      <c r="C621" s="78" t="n">
        <v>437</v>
      </c>
      <c r="D621" s="78" t="inlineStr">
        <is>
          <t>فريق المستقبل</t>
        </is>
      </c>
      <c r="E621" s="78" t="inlineStr">
        <is>
          <t>نجران</t>
        </is>
      </c>
      <c r="F621" s="78" t="inlineStr">
        <is>
          <t>شرورة</t>
        </is>
      </c>
      <c r="G621" s="78" t="inlineStr">
        <is>
          <t>تحت 5</t>
        </is>
      </c>
      <c r="H621" s="78" t="n">
        <v>1</v>
      </c>
    </row>
    <row r="622">
      <c r="B622" s="78" t="inlineStr">
        <is>
          <t>Q483</t>
        </is>
      </c>
      <c r="C622" s="78" t="n">
        <v>481</v>
      </c>
      <c r="D622" s="78" t="inlineStr">
        <is>
          <t>تحدي شرورة</t>
        </is>
      </c>
      <c r="E622" s="78" t="inlineStr">
        <is>
          <t>نجران</t>
        </is>
      </c>
      <c r="F622" s="78" t="inlineStr">
        <is>
          <t>شرورة</t>
        </is>
      </c>
      <c r="G622" s="78" t="inlineStr">
        <is>
          <t>تحت 5</t>
        </is>
      </c>
      <c r="H622" s="78" t="n">
        <v>1</v>
      </c>
    </row>
    <row r="623">
      <c r="B623" s="78" t="inlineStr">
        <is>
          <t>K456</t>
        </is>
      </c>
      <c r="C623" s="78" t="n">
        <v>454</v>
      </c>
      <c r="D623" s="78" t="inlineStr">
        <is>
          <t>نجوم الأجيال</t>
        </is>
      </c>
      <c r="E623" s="78" t="inlineStr">
        <is>
          <t>عسير</t>
        </is>
      </c>
      <c r="F623" s="78" t="inlineStr">
        <is>
          <t>أبها</t>
        </is>
      </c>
      <c r="G623" s="78" t="inlineStr">
        <is>
          <t>تحت 14</t>
        </is>
      </c>
      <c r="H623" s="78" t="n">
        <v>1</v>
      </c>
    </row>
    <row r="624">
      <c r="B624" s="78" t="inlineStr">
        <is>
          <t>O460</t>
        </is>
      </c>
      <c r="C624" s="78" t="n">
        <v>458</v>
      </c>
      <c r="D624" s="78" t="inlineStr">
        <is>
          <t>اكاديميه اهدافي الخبر</t>
        </is>
      </c>
      <c r="E624" s="78" t="inlineStr">
        <is>
          <t>الشرقية</t>
        </is>
      </c>
      <c r="F624" s="78" t="inlineStr">
        <is>
          <t>الخبر</t>
        </is>
      </c>
      <c r="G624" s="78" t="inlineStr">
        <is>
          <t>تحت 9</t>
        </is>
      </c>
      <c r="H624" s="78" t="n">
        <v>1</v>
      </c>
    </row>
    <row r="625">
      <c r="B625" s="78" t="inlineStr">
        <is>
          <t>K462</t>
        </is>
      </c>
      <c r="C625" s="78" t="n">
        <v>460</v>
      </c>
      <c r="D625" s="78" t="inlineStr">
        <is>
          <t>اكاديميه اهدافي الخرج</t>
        </is>
      </c>
      <c r="E625" s="78" t="inlineStr">
        <is>
          <t>الرياض</t>
        </is>
      </c>
      <c r="F625" s="78" t="inlineStr">
        <is>
          <t>الخرج</t>
        </is>
      </c>
      <c r="G625" s="78" t="inlineStr">
        <is>
          <t>تحت 14</t>
        </is>
      </c>
      <c r="H625" s="78" t="n">
        <v>1</v>
      </c>
    </row>
    <row r="626">
      <c r="B626" s="78" t="inlineStr">
        <is>
          <t>K602</t>
        </is>
      </c>
      <c r="C626" s="78" t="n">
        <v>600</v>
      </c>
      <c r="D626" s="78" t="inlineStr">
        <is>
          <t xml:space="preserve">اكاديمية زيزو </t>
        </is>
      </c>
      <c r="E626" s="78" t="inlineStr">
        <is>
          <t>الرياض</t>
        </is>
      </c>
      <c r="F626" s="78" t="inlineStr">
        <is>
          <t>الخرج</t>
        </is>
      </c>
      <c r="G626" s="78" t="inlineStr">
        <is>
          <t>تحت 14</t>
        </is>
      </c>
      <c r="H626" s="78" t="n">
        <v>1</v>
      </c>
    </row>
    <row r="627">
      <c r="B627" s="78" t="inlineStr">
        <is>
          <t>K606</t>
        </is>
      </c>
      <c r="C627" s="78" t="n">
        <v>604</v>
      </c>
      <c r="D627" s="78" t="inlineStr">
        <is>
          <t>فريق نكون</t>
        </is>
      </c>
      <c r="E627" s="78" t="inlineStr">
        <is>
          <t>الرياض</t>
        </is>
      </c>
      <c r="F627" s="78" t="inlineStr">
        <is>
          <t>الخرج</t>
        </is>
      </c>
      <c r="G627" s="78" t="inlineStr">
        <is>
          <t>تحت 14</t>
        </is>
      </c>
      <c r="H627" s="78" t="n">
        <v>1</v>
      </c>
    </row>
    <row r="628">
      <c r="B628" s="78" t="inlineStr">
        <is>
          <t>L462</t>
        </is>
      </c>
      <c r="C628" s="78" t="n">
        <v>460</v>
      </c>
      <c r="D628" s="78" t="inlineStr">
        <is>
          <t>اكاديميه اهدافي الخرج</t>
        </is>
      </c>
      <c r="E628" s="78" t="inlineStr">
        <is>
          <t>الرياض</t>
        </is>
      </c>
      <c r="F628" s="78" t="inlineStr">
        <is>
          <t>الخرج</t>
        </is>
      </c>
      <c r="G628" s="78" t="inlineStr">
        <is>
          <t>تحت 13</t>
        </is>
      </c>
      <c r="H628" s="78" t="n">
        <v>1</v>
      </c>
    </row>
    <row r="629">
      <c r="B629" s="78" t="inlineStr">
        <is>
          <t>M462</t>
        </is>
      </c>
      <c r="C629" s="78" t="n">
        <v>460</v>
      </c>
      <c r="D629" s="78" t="inlineStr">
        <is>
          <t>اكاديميه اهدافي الخرج</t>
        </is>
      </c>
      <c r="E629" s="78" t="inlineStr">
        <is>
          <t>الرياض</t>
        </is>
      </c>
      <c r="F629" s="78" t="inlineStr">
        <is>
          <t>الخرج</t>
        </is>
      </c>
      <c r="G629" s="78" t="inlineStr">
        <is>
          <t>تحت 12</t>
        </is>
      </c>
      <c r="H629" s="78" t="n">
        <v>1</v>
      </c>
    </row>
    <row r="630">
      <c r="B630" s="78" t="inlineStr">
        <is>
          <t>N462</t>
        </is>
      </c>
      <c r="C630" s="78" t="n">
        <v>460</v>
      </c>
      <c r="D630" s="78" t="inlineStr">
        <is>
          <t>اكاديميه اهدافي الخرج</t>
        </is>
      </c>
      <c r="E630" s="78" t="inlineStr">
        <is>
          <t>الرياض</t>
        </is>
      </c>
      <c r="F630" s="78" t="inlineStr">
        <is>
          <t>الخرج</t>
        </is>
      </c>
      <c r="G630" s="78" t="inlineStr">
        <is>
          <t>تحت 11</t>
        </is>
      </c>
      <c r="H630" s="78" t="n">
        <v>1</v>
      </c>
    </row>
    <row r="631">
      <c r="B631" s="78" t="inlineStr">
        <is>
          <t>N592</t>
        </is>
      </c>
      <c r="C631" s="78" t="n">
        <v>590</v>
      </c>
      <c r="D631" s="78" t="inlineStr">
        <is>
          <t>الزعيم</t>
        </is>
      </c>
      <c r="E631" s="78" t="inlineStr">
        <is>
          <t>الرياض</t>
        </is>
      </c>
      <c r="F631" s="78" t="inlineStr">
        <is>
          <t>الخرج</t>
        </is>
      </c>
      <c r="G631" s="78" t="inlineStr">
        <is>
          <t>تحت 11</t>
        </is>
      </c>
      <c r="H631" s="78" t="n">
        <v>1</v>
      </c>
    </row>
    <row r="632">
      <c r="B632" s="78" t="inlineStr">
        <is>
          <t>N602</t>
        </is>
      </c>
      <c r="C632" s="78" t="n">
        <v>600</v>
      </c>
      <c r="D632" s="78" t="inlineStr">
        <is>
          <t xml:space="preserve">اكاديمية زيزو </t>
        </is>
      </c>
      <c r="E632" s="78" t="inlineStr">
        <is>
          <t>الرياض</t>
        </is>
      </c>
      <c r="F632" s="78" t="inlineStr">
        <is>
          <t>الخرج</t>
        </is>
      </c>
      <c r="G632" s="78" t="inlineStr">
        <is>
          <t>تحت 11</t>
        </is>
      </c>
      <c r="H632" s="78" t="n">
        <v>1</v>
      </c>
    </row>
    <row r="633">
      <c r="B633" s="78" t="inlineStr">
        <is>
          <t>O477</t>
        </is>
      </c>
      <c r="C633" s="78" t="n">
        <v>475</v>
      </c>
      <c r="D633" s="78" t="inlineStr">
        <is>
          <t>مدرسة الفراء</t>
        </is>
      </c>
      <c r="E633" s="78" t="inlineStr">
        <is>
          <t>الرياض</t>
        </is>
      </c>
      <c r="F633" s="78" t="inlineStr">
        <is>
          <t>الرياض</t>
        </is>
      </c>
      <c r="G633" s="78" t="inlineStr">
        <is>
          <t>تحت 9</t>
        </is>
      </c>
      <c r="H633" s="78" t="n">
        <v>1</v>
      </c>
    </row>
    <row r="634">
      <c r="B634" s="78" t="inlineStr">
        <is>
          <t>O553</t>
        </is>
      </c>
      <c r="C634" s="78" t="n">
        <v>551</v>
      </c>
      <c r="D634" s="78" t="inlineStr">
        <is>
          <t xml:space="preserve">فريق ابتدائية شروق التربية </t>
        </is>
      </c>
      <c r="E634" s="78" t="inlineStr">
        <is>
          <t>الرياض</t>
        </is>
      </c>
      <c r="F634" s="78" t="inlineStr">
        <is>
          <t>الرياض</t>
        </is>
      </c>
      <c r="G634" s="78" t="inlineStr">
        <is>
          <t>تحت 9</t>
        </is>
      </c>
      <c r="H634" s="78" t="n">
        <v>1</v>
      </c>
    </row>
    <row r="635">
      <c r="B635" s="78" t="inlineStr">
        <is>
          <t>O578</t>
        </is>
      </c>
      <c r="C635" s="78" t="n">
        <v>576</v>
      </c>
      <c r="D635" s="78" t="inlineStr">
        <is>
          <t>فريق القوه</t>
        </is>
      </c>
      <c r="E635" s="78" t="inlineStr">
        <is>
          <t>الرياض</t>
        </is>
      </c>
      <c r="F635" s="78" t="inlineStr">
        <is>
          <t>الرياض</t>
        </is>
      </c>
      <c r="G635" s="78" t="inlineStr">
        <is>
          <t>تحت 9</t>
        </is>
      </c>
      <c r="H635" s="78" t="n">
        <v>1</v>
      </c>
    </row>
    <row r="636">
      <c r="B636" s="78" t="inlineStr">
        <is>
          <t>O583</t>
        </is>
      </c>
      <c r="C636" s="78" t="n">
        <v>581</v>
      </c>
      <c r="D636" s="78" t="inlineStr">
        <is>
          <t>اكاديمية فراس</t>
        </is>
      </c>
      <c r="E636" s="78" t="inlineStr">
        <is>
          <t>الرياض</t>
        </is>
      </c>
      <c r="F636" s="78" t="inlineStr">
        <is>
          <t>الرياض</t>
        </is>
      </c>
      <c r="G636" s="78" t="inlineStr">
        <is>
          <t>تحت 9</t>
        </is>
      </c>
      <c r="H636" s="78" t="n">
        <v>1</v>
      </c>
    </row>
    <row r="637">
      <c r="B637" s="78" t="inlineStr">
        <is>
          <t>O593</t>
        </is>
      </c>
      <c r="C637" s="78" t="n">
        <v>591</v>
      </c>
      <c r="D637" s="78" t="inlineStr">
        <is>
          <t>مدارس الاوزون العالمية</t>
        </is>
      </c>
      <c r="E637" s="78" t="inlineStr">
        <is>
          <t>الرياض</t>
        </is>
      </c>
      <c r="F637" s="78" t="inlineStr">
        <is>
          <t>الرياض</t>
        </is>
      </c>
      <c r="G637" s="78" t="inlineStr">
        <is>
          <t>تحت 9</t>
        </is>
      </c>
      <c r="H637" s="78" t="n">
        <v>1</v>
      </c>
    </row>
    <row r="638">
      <c r="B638" s="78" t="inlineStr">
        <is>
          <t>O596</t>
        </is>
      </c>
      <c r="C638" s="78" t="n">
        <v>594</v>
      </c>
      <c r="D638" s="78" t="inlineStr">
        <is>
          <t>مدارس دانة العلوم</t>
        </is>
      </c>
      <c r="E638" s="78" t="inlineStr">
        <is>
          <t>الرياض</t>
        </is>
      </c>
      <c r="F638" s="78" t="inlineStr">
        <is>
          <t>الرياض</t>
        </is>
      </c>
      <c r="G638" s="78" t="inlineStr">
        <is>
          <t>تحت 9</t>
        </is>
      </c>
      <c r="H638" s="78" t="n">
        <v>1</v>
      </c>
    </row>
    <row r="639">
      <c r="B639" s="78" t="inlineStr">
        <is>
          <t>O612</t>
        </is>
      </c>
      <c r="C639" s="78" t="n">
        <v>610</v>
      </c>
      <c r="D639" s="78" t="inlineStr">
        <is>
          <t xml:space="preserve">مدارس التربية النموذجية </t>
        </is>
      </c>
      <c r="E639" s="78" t="inlineStr">
        <is>
          <t>الرياض</t>
        </is>
      </c>
      <c r="F639" s="78" t="inlineStr">
        <is>
          <t>الرياض</t>
        </is>
      </c>
      <c r="G639" s="78" t="inlineStr">
        <is>
          <t>تحت 9</t>
        </is>
      </c>
      <c r="H639" s="78" t="n">
        <v>1</v>
      </c>
    </row>
    <row r="640">
      <c r="B640" s="78" t="inlineStr">
        <is>
          <t>O700</t>
        </is>
      </c>
      <c r="C640" s="78" t="n">
        <v>698</v>
      </c>
      <c r="D640" s="78" t="inlineStr">
        <is>
          <t>هلال الهواة</t>
        </is>
      </c>
      <c r="E640" s="78" t="inlineStr">
        <is>
          <t>الرياض</t>
        </is>
      </c>
      <c r="F640" s="78" t="inlineStr">
        <is>
          <t>الرياض</t>
        </is>
      </c>
      <c r="G640" s="78" t="inlineStr">
        <is>
          <t>تحت 9</t>
        </is>
      </c>
      <c r="H640" s="78" t="n">
        <v>1</v>
      </c>
    </row>
    <row r="641">
      <c r="B641" s="78" t="inlineStr">
        <is>
          <t>P478</t>
        </is>
      </c>
      <c r="C641" s="78" t="n">
        <v>476</v>
      </c>
      <c r="D641" s="78" t="inlineStr">
        <is>
          <t xml:space="preserve">AZ  </t>
        </is>
      </c>
      <c r="E641" s="78" t="inlineStr">
        <is>
          <t>عسير</t>
        </is>
      </c>
      <c r="F641" s="78" t="inlineStr">
        <is>
          <t>أبها</t>
        </is>
      </c>
      <c r="G641" s="78" t="inlineStr">
        <is>
          <t>تحت 7</t>
        </is>
      </c>
      <c r="H641" s="78" t="n">
        <v>1</v>
      </c>
    </row>
    <row r="642">
      <c r="B642" s="78" t="inlineStr">
        <is>
          <t>K480</t>
        </is>
      </c>
      <c r="C642" s="78" t="n">
        <v>478</v>
      </c>
      <c r="D642" s="78" t="inlineStr">
        <is>
          <t xml:space="preserve">الزلفي بلو </t>
        </is>
      </c>
      <c r="E642" s="78" t="inlineStr">
        <is>
          <t>الرياض</t>
        </is>
      </c>
      <c r="F642" s="78" t="inlineStr">
        <is>
          <t>الزلفي</t>
        </is>
      </c>
      <c r="G642" s="78" t="inlineStr">
        <is>
          <t>تحت 14</t>
        </is>
      </c>
      <c r="H642" s="78" t="n">
        <v>1</v>
      </c>
    </row>
    <row r="643">
      <c r="B643" s="78" t="inlineStr">
        <is>
          <t>K505</t>
        </is>
      </c>
      <c r="C643" s="78" t="n">
        <v>503</v>
      </c>
      <c r="D643" s="78" t="inlineStr">
        <is>
          <t>السابق</t>
        </is>
      </c>
      <c r="E643" s="78" t="inlineStr">
        <is>
          <t>الرياض</t>
        </is>
      </c>
      <c r="F643" s="78" t="inlineStr">
        <is>
          <t>الزلفي</t>
        </is>
      </c>
      <c r="G643" s="78" t="inlineStr">
        <is>
          <t>تحت 14</t>
        </is>
      </c>
      <c r="H643" s="78" t="n">
        <v>1</v>
      </c>
    </row>
    <row r="644">
      <c r="B644" s="78" t="inlineStr">
        <is>
          <t>K506</t>
        </is>
      </c>
      <c r="C644" s="78" t="n">
        <v>504</v>
      </c>
      <c r="D644" s="78" t="inlineStr">
        <is>
          <t>طواحين سمنان</t>
        </is>
      </c>
      <c r="E644" s="78" t="inlineStr">
        <is>
          <t>الرياض</t>
        </is>
      </c>
      <c r="F644" s="78" t="inlineStr">
        <is>
          <t>الزلفي</t>
        </is>
      </c>
      <c r="G644" s="78" t="inlineStr">
        <is>
          <t>تحت 14</t>
        </is>
      </c>
      <c r="H644" s="78" t="n">
        <v>1</v>
      </c>
    </row>
    <row r="645">
      <c r="B645" s="78" t="inlineStr">
        <is>
          <t>K512</t>
        </is>
      </c>
      <c r="C645" s="78" t="n">
        <v>510</v>
      </c>
      <c r="D645" s="78" t="inlineStr">
        <is>
          <t>الحيطان</t>
        </is>
      </c>
      <c r="E645" s="78" t="inlineStr">
        <is>
          <t>الرياض</t>
        </is>
      </c>
      <c r="F645" s="78" t="inlineStr">
        <is>
          <t>الزلفي</t>
        </is>
      </c>
      <c r="G645" s="78" t="inlineStr">
        <is>
          <t>تحت 14</t>
        </is>
      </c>
      <c r="H645" s="78" t="n">
        <v>1</v>
      </c>
    </row>
    <row r="646">
      <c r="B646" s="78" t="inlineStr">
        <is>
          <t>K513</t>
        </is>
      </c>
      <c r="C646" s="78" t="n">
        <v>511</v>
      </c>
      <c r="D646" s="78" t="inlineStr">
        <is>
          <t>الخالدية بالزلفي</t>
        </is>
      </c>
      <c r="E646" s="78" t="inlineStr">
        <is>
          <t>الرياض</t>
        </is>
      </c>
      <c r="F646" s="78" t="inlineStr">
        <is>
          <t>الزلفي</t>
        </is>
      </c>
      <c r="G646" s="78" t="inlineStr">
        <is>
          <t>تحت 14</t>
        </is>
      </c>
      <c r="H646" s="78" t="n">
        <v>1</v>
      </c>
    </row>
    <row r="647">
      <c r="B647" s="78" t="inlineStr">
        <is>
          <t>K515</t>
        </is>
      </c>
      <c r="C647" s="78" t="n">
        <v>513</v>
      </c>
      <c r="D647" s="78" t="inlineStr">
        <is>
          <t>الزلفاوي</t>
        </is>
      </c>
      <c r="E647" s="78" t="inlineStr">
        <is>
          <t>الرياض</t>
        </is>
      </c>
      <c r="F647" s="78" t="inlineStr">
        <is>
          <t>الزلفي</t>
        </is>
      </c>
      <c r="G647" s="78" t="inlineStr">
        <is>
          <t>تحت 14</t>
        </is>
      </c>
      <c r="H647" s="78" t="n">
        <v>1</v>
      </c>
    </row>
    <row r="648">
      <c r="B648" s="78" t="inlineStr">
        <is>
          <t>K516</t>
        </is>
      </c>
      <c r="C648" s="78" t="n">
        <v>514</v>
      </c>
      <c r="D648" s="78" t="inlineStr">
        <is>
          <t>الامل الزلفي</t>
        </is>
      </c>
      <c r="E648" s="78" t="inlineStr">
        <is>
          <t>الرياض</t>
        </is>
      </c>
      <c r="F648" s="78" t="inlineStr">
        <is>
          <t>الزلفي</t>
        </is>
      </c>
      <c r="G648" s="78" t="inlineStr">
        <is>
          <t>تحت 14</t>
        </is>
      </c>
      <c r="H648" s="78" t="n">
        <v>1</v>
      </c>
    </row>
    <row r="649">
      <c r="B649" s="78" t="inlineStr">
        <is>
          <t>K517</t>
        </is>
      </c>
      <c r="C649" s="78" t="n">
        <v>515</v>
      </c>
      <c r="D649" s="78" t="inlineStr">
        <is>
          <t>النسور</t>
        </is>
      </c>
      <c r="E649" s="78" t="inlineStr">
        <is>
          <t>الرياض</t>
        </is>
      </c>
      <c r="F649" s="78" t="inlineStr">
        <is>
          <t>الزلفي</t>
        </is>
      </c>
      <c r="G649" s="78" t="inlineStr">
        <is>
          <t>تحت 14</t>
        </is>
      </c>
      <c r="H649" s="78" t="n">
        <v>1</v>
      </c>
    </row>
    <row r="650">
      <c r="B650" s="78" t="inlineStr">
        <is>
          <t>K518</t>
        </is>
      </c>
      <c r="C650" s="78" t="n">
        <v>516</v>
      </c>
      <c r="D650" s="78" t="inlineStr">
        <is>
          <t>صقور الزلفي</t>
        </is>
      </c>
      <c r="E650" s="78" t="inlineStr">
        <is>
          <t>الرياض</t>
        </is>
      </c>
      <c r="F650" s="78" t="inlineStr">
        <is>
          <t>الزلفي</t>
        </is>
      </c>
      <c r="G650" s="78" t="inlineStr">
        <is>
          <t>تحت 14</t>
        </is>
      </c>
      <c r="H650" s="78" t="n">
        <v>1</v>
      </c>
    </row>
    <row r="651">
      <c r="B651" s="78" t="inlineStr">
        <is>
          <t>K521</t>
        </is>
      </c>
      <c r="C651" s="78" t="n">
        <v>519</v>
      </c>
      <c r="D651" s="78" t="inlineStr">
        <is>
          <t>اعتمد</t>
        </is>
      </c>
      <c r="E651" s="78" t="inlineStr">
        <is>
          <t>الرياض</t>
        </is>
      </c>
      <c r="F651" s="78" t="inlineStr">
        <is>
          <t>الزلفي</t>
        </is>
      </c>
      <c r="G651" s="78" t="inlineStr">
        <is>
          <t>تحت 14</t>
        </is>
      </c>
      <c r="H651" s="78" t="n">
        <v>1</v>
      </c>
    </row>
    <row r="652">
      <c r="B652" s="78" t="inlineStr">
        <is>
          <t>K524</t>
        </is>
      </c>
      <c r="C652" s="78" t="n">
        <v>522</v>
      </c>
      <c r="D652" s="78" t="inlineStr">
        <is>
          <t>شباب الملك فيصل</t>
        </is>
      </c>
      <c r="E652" s="78" t="inlineStr">
        <is>
          <t>الرياض</t>
        </is>
      </c>
      <c r="F652" s="78" t="inlineStr">
        <is>
          <t>الزلفي</t>
        </is>
      </c>
      <c r="G652" s="78" t="inlineStr">
        <is>
          <t>تحت 14</t>
        </is>
      </c>
      <c r="H652" s="78" t="n">
        <v>1</v>
      </c>
    </row>
    <row r="653">
      <c r="B653" s="78" t="inlineStr">
        <is>
          <t>K539</t>
        </is>
      </c>
      <c r="C653" s="78" t="n">
        <v>537</v>
      </c>
      <c r="D653" s="78" t="inlineStr">
        <is>
          <t>توتنهام الزلفي</t>
        </is>
      </c>
      <c r="E653" s="78" t="inlineStr">
        <is>
          <t>الرياض</t>
        </is>
      </c>
      <c r="F653" s="78" t="inlineStr">
        <is>
          <t>الزلفي</t>
        </is>
      </c>
      <c r="G653" s="78" t="inlineStr">
        <is>
          <t>تحت 14</t>
        </is>
      </c>
      <c r="H653" s="78" t="n">
        <v>1</v>
      </c>
    </row>
    <row r="654">
      <c r="B654" s="78" t="inlineStr">
        <is>
          <t>K588</t>
        </is>
      </c>
      <c r="C654" s="78" t="n">
        <v>586</v>
      </c>
      <c r="D654" s="78" t="inlineStr">
        <is>
          <t>نجمات</t>
        </is>
      </c>
      <c r="E654" s="78" t="inlineStr">
        <is>
          <t>الرياض</t>
        </is>
      </c>
      <c r="F654" s="78" t="inlineStr">
        <is>
          <t>الزلفي</t>
        </is>
      </c>
      <c r="G654" s="78" t="inlineStr">
        <is>
          <t>تحت 14</t>
        </is>
      </c>
      <c r="H654" s="78" t="n">
        <v>1</v>
      </c>
    </row>
    <row r="655">
      <c r="B655" s="78" t="inlineStr">
        <is>
          <t>P482</t>
        </is>
      </c>
      <c r="C655" s="78" t="n">
        <v>480</v>
      </c>
      <c r="D655" s="78" t="inlineStr">
        <is>
          <t>فريق الجوهرة جدة</t>
        </is>
      </c>
      <c r="E655" s="78" t="inlineStr">
        <is>
          <t>مكة المكرمة</t>
        </is>
      </c>
      <c r="F655" s="78" t="inlineStr">
        <is>
          <t>جدة</t>
        </is>
      </c>
      <c r="G655" s="78" t="inlineStr">
        <is>
          <t>تحت 7</t>
        </is>
      </c>
      <c r="H655" s="78" t="n">
        <v>1</v>
      </c>
    </row>
    <row r="656">
      <c r="B656" s="78" t="inlineStr">
        <is>
          <t>P686</t>
        </is>
      </c>
      <c r="C656" s="78" t="n">
        <v>684</v>
      </c>
      <c r="D656" s="78" t="inlineStr">
        <is>
          <t>الاسطورة</t>
        </is>
      </c>
      <c r="E656" s="78" t="inlineStr">
        <is>
          <t>مكة المكرمة</t>
        </is>
      </c>
      <c r="F656" s="78" t="inlineStr">
        <is>
          <t>جدة</t>
        </is>
      </c>
      <c r="G656" s="78" t="inlineStr">
        <is>
          <t>تحت 7</t>
        </is>
      </c>
      <c r="H656" s="78" t="n">
        <v>1</v>
      </c>
    </row>
    <row r="657">
      <c r="B657" s="78" t="inlineStr">
        <is>
          <t>Q482</t>
        </is>
      </c>
      <c r="C657" s="78" t="n">
        <v>480</v>
      </c>
      <c r="D657" s="78" t="inlineStr">
        <is>
          <t>فريق الجوهرة جدة</t>
        </is>
      </c>
      <c r="E657" s="78" t="inlineStr">
        <is>
          <t>مكة المكرمة</t>
        </is>
      </c>
      <c r="F657" s="78" t="inlineStr">
        <is>
          <t>جدة</t>
        </is>
      </c>
      <c r="G657" s="78" t="inlineStr">
        <is>
          <t>تحت 5</t>
        </is>
      </c>
      <c r="H657" s="78" t="n">
        <v>1</v>
      </c>
    </row>
    <row r="658">
      <c r="B658" s="78" t="inlineStr">
        <is>
          <t>Q668</t>
        </is>
      </c>
      <c r="C658" s="78" t="n">
        <v>666</v>
      </c>
      <c r="D658" s="78" t="inlineStr">
        <is>
          <t>اكاديمية الاتحاد مدارس AGS</t>
        </is>
      </c>
      <c r="E658" s="78" t="inlineStr">
        <is>
          <t>مكة المكرمة</t>
        </is>
      </c>
      <c r="F658" s="78" t="inlineStr">
        <is>
          <t>جدة</t>
        </is>
      </c>
      <c r="G658" s="78" t="inlineStr">
        <is>
          <t>تحت 5</t>
        </is>
      </c>
      <c r="H658" s="78" t="n">
        <v>1</v>
      </c>
    </row>
    <row r="659">
      <c r="B659" s="78" t="inlineStr">
        <is>
          <t>Q686</t>
        </is>
      </c>
      <c r="C659" s="78" t="n">
        <v>684</v>
      </c>
      <c r="D659" s="78" t="inlineStr">
        <is>
          <t>الاسطورة</t>
        </is>
      </c>
      <c r="E659" s="78" t="inlineStr">
        <is>
          <t>مكة المكرمة</t>
        </is>
      </c>
      <c r="F659" s="78" t="inlineStr">
        <is>
          <t>جدة</t>
        </is>
      </c>
      <c r="G659" s="78" t="inlineStr">
        <is>
          <t>تحت 5</t>
        </is>
      </c>
      <c r="H659" s="78" t="n">
        <v>1</v>
      </c>
    </row>
    <row r="660">
      <c r="B660" s="78" t="inlineStr">
        <is>
          <t>Q698</t>
        </is>
      </c>
      <c r="C660" s="78" t="n">
        <v>696</v>
      </c>
      <c r="D660" s="78" t="inlineStr">
        <is>
          <t>EIS</t>
        </is>
      </c>
      <c r="E660" s="78" t="inlineStr">
        <is>
          <t>مكة المكرمة</t>
        </is>
      </c>
      <c r="F660" s="78" t="inlineStr">
        <is>
          <t>جدة</t>
        </is>
      </c>
      <c r="G660" s="78" t="inlineStr">
        <is>
          <t>تحت 5</t>
        </is>
      </c>
      <c r="H660" s="78" t="n">
        <v>1</v>
      </c>
    </row>
    <row r="661">
      <c r="B661" s="78" t="inlineStr">
        <is>
          <t>M507</t>
        </is>
      </c>
      <c r="C661" s="78" t="n">
        <v>505</v>
      </c>
      <c r="D661" s="78" t="inlineStr">
        <is>
          <t>طواحين المر</t>
        </is>
      </c>
      <c r="E661" s="78" t="inlineStr">
        <is>
          <t>الرياض</t>
        </is>
      </c>
      <c r="F661" s="78" t="inlineStr">
        <is>
          <t>الزلفي</t>
        </is>
      </c>
      <c r="G661" s="78" t="inlineStr">
        <is>
          <t>تحت 12</t>
        </is>
      </c>
      <c r="H661" s="78" t="n">
        <v>1</v>
      </c>
    </row>
    <row r="662">
      <c r="B662" s="78" t="inlineStr">
        <is>
          <t>M514</t>
        </is>
      </c>
      <c r="C662" s="78" t="n">
        <v>512</v>
      </c>
      <c r="D662" s="78" t="inlineStr">
        <is>
          <t>الصقور</t>
        </is>
      </c>
      <c r="E662" s="78" t="inlineStr">
        <is>
          <t>الرياض</t>
        </is>
      </c>
      <c r="F662" s="78" t="inlineStr">
        <is>
          <t>الزلفي</t>
        </is>
      </c>
      <c r="G662" s="78" t="inlineStr">
        <is>
          <t>تحت 12</t>
        </is>
      </c>
      <c r="H662" s="78" t="n">
        <v>1</v>
      </c>
    </row>
    <row r="663">
      <c r="B663" s="78" t="inlineStr">
        <is>
          <t>M519</t>
        </is>
      </c>
      <c r="C663" s="78" t="n">
        <v>517</v>
      </c>
      <c r="D663" s="78" t="inlineStr">
        <is>
          <t>اليونايتد</t>
        </is>
      </c>
      <c r="E663" s="78" t="inlineStr">
        <is>
          <t>الرياض</t>
        </is>
      </c>
      <c r="F663" s="78" t="inlineStr">
        <is>
          <t>الزلفي</t>
        </is>
      </c>
      <c r="G663" s="78" t="inlineStr">
        <is>
          <t>تحت 12</t>
        </is>
      </c>
      <c r="H663" s="78" t="n">
        <v>1</v>
      </c>
    </row>
    <row r="664">
      <c r="B664" s="78" t="inlineStr">
        <is>
          <t>M522</t>
        </is>
      </c>
      <c r="C664" s="78" t="n">
        <v>520</v>
      </c>
      <c r="D664" s="78" t="inlineStr">
        <is>
          <t>اسر</t>
        </is>
      </c>
      <c r="E664" s="78" t="inlineStr">
        <is>
          <t>الرياض</t>
        </is>
      </c>
      <c r="F664" s="78" t="inlineStr">
        <is>
          <t>الزلفي</t>
        </is>
      </c>
      <c r="G664" s="78" t="inlineStr">
        <is>
          <t>تحت 12</t>
        </is>
      </c>
      <c r="H664" s="78" t="n">
        <v>1</v>
      </c>
    </row>
    <row r="665">
      <c r="B665" s="78" t="inlineStr">
        <is>
          <t>K533</t>
        </is>
      </c>
      <c r="C665" s="78" t="n">
        <v>531</v>
      </c>
      <c r="D665" s="78" t="inlineStr">
        <is>
          <t>روما بحفر الباطن</t>
        </is>
      </c>
      <c r="E665" s="78" t="inlineStr">
        <is>
          <t>الشرقية</t>
        </is>
      </c>
      <c r="F665" s="78" t="inlineStr">
        <is>
          <t>حفر الباطن</t>
        </is>
      </c>
      <c r="G665" s="78" t="inlineStr">
        <is>
          <t>تحت 14</t>
        </is>
      </c>
      <c r="H665" s="78" t="n">
        <v>1</v>
      </c>
    </row>
    <row r="666">
      <c r="B666" s="78" t="inlineStr">
        <is>
          <t>L533</t>
        </is>
      </c>
      <c r="C666" s="78" t="n">
        <v>531</v>
      </c>
      <c r="D666" s="78" t="inlineStr">
        <is>
          <t>روما بحفر الباطن</t>
        </is>
      </c>
      <c r="E666" s="78" t="inlineStr">
        <is>
          <t>الشرقية</t>
        </is>
      </c>
      <c r="F666" s="78" t="inlineStr">
        <is>
          <t>حفر الباطن</t>
        </is>
      </c>
      <c r="G666" s="78" t="inlineStr">
        <is>
          <t>تحت 13</t>
        </is>
      </c>
      <c r="H666" s="78" t="n">
        <v>1</v>
      </c>
    </row>
    <row r="667">
      <c r="B667" s="78" t="inlineStr">
        <is>
          <t>M533</t>
        </is>
      </c>
      <c r="C667" s="78" t="n">
        <v>531</v>
      </c>
      <c r="D667" s="78" t="inlineStr">
        <is>
          <t>روما بحفر الباطن</t>
        </is>
      </c>
      <c r="E667" s="78" t="inlineStr">
        <is>
          <t>الشرقية</t>
        </is>
      </c>
      <c r="F667" s="78" t="inlineStr">
        <is>
          <t>حفر الباطن</t>
        </is>
      </c>
      <c r="G667" s="78" t="inlineStr">
        <is>
          <t>تحت 12</t>
        </is>
      </c>
      <c r="H667" s="78" t="n">
        <v>1</v>
      </c>
    </row>
    <row r="668">
      <c r="B668" s="78" t="inlineStr">
        <is>
          <t>N533</t>
        </is>
      </c>
      <c r="C668" s="78" t="n">
        <v>531</v>
      </c>
      <c r="D668" s="78" t="inlineStr">
        <is>
          <t>روما بحفر الباطن</t>
        </is>
      </c>
      <c r="E668" s="78" t="inlineStr">
        <is>
          <t>الشرقية</t>
        </is>
      </c>
      <c r="F668" s="78" t="inlineStr">
        <is>
          <t>حفر الباطن</t>
        </is>
      </c>
      <c r="G668" s="78" t="inlineStr">
        <is>
          <t>تحت 11</t>
        </is>
      </c>
      <c r="H668" s="78" t="n">
        <v>1</v>
      </c>
    </row>
    <row r="669">
      <c r="B669" s="78" t="inlineStr">
        <is>
          <t>O533</t>
        </is>
      </c>
      <c r="C669" s="78" t="n">
        <v>531</v>
      </c>
      <c r="D669" s="78" t="inlineStr">
        <is>
          <t>روما بحفر الباطن</t>
        </is>
      </c>
      <c r="E669" s="78" t="inlineStr">
        <is>
          <t>الشرقية</t>
        </is>
      </c>
      <c r="F669" s="78" t="inlineStr">
        <is>
          <t>حفر الباطن</t>
        </is>
      </c>
      <c r="G669" s="78" t="inlineStr">
        <is>
          <t>تحت 9</t>
        </is>
      </c>
      <c r="H669" s="78" t="n">
        <v>1</v>
      </c>
    </row>
    <row r="670">
      <c r="B670" s="78" t="inlineStr">
        <is>
          <t>P533</t>
        </is>
      </c>
      <c r="C670" s="78" t="n">
        <v>531</v>
      </c>
      <c r="D670" s="78" t="inlineStr">
        <is>
          <t>روما بحفر الباطن</t>
        </is>
      </c>
      <c r="E670" s="78" t="inlineStr">
        <is>
          <t>الشرقية</t>
        </is>
      </c>
      <c r="F670" s="78" t="inlineStr">
        <is>
          <t>حفر الباطن</t>
        </is>
      </c>
      <c r="G670" s="78" t="inlineStr">
        <is>
          <t>تحت 7</t>
        </is>
      </c>
      <c r="H670" s="78" t="n">
        <v>1</v>
      </c>
    </row>
    <row r="671">
      <c r="B671" s="78" t="inlineStr">
        <is>
          <t>Q533</t>
        </is>
      </c>
      <c r="C671" s="78" t="n">
        <v>531</v>
      </c>
      <c r="D671" s="78" t="inlineStr">
        <is>
          <t>روما بحفر الباطن</t>
        </is>
      </c>
      <c r="E671" s="78" t="inlineStr">
        <is>
          <t>الشرقية</t>
        </is>
      </c>
      <c r="F671" s="78" t="inlineStr">
        <is>
          <t>حفر الباطن</t>
        </is>
      </c>
      <c r="G671" s="78" t="inlineStr">
        <is>
          <t>تحت 5</t>
        </is>
      </c>
      <c r="H671" s="78" t="n">
        <v>1</v>
      </c>
    </row>
    <row r="672">
      <c r="B672" s="78" t="inlineStr">
        <is>
          <t>P545</t>
        </is>
      </c>
      <c r="C672" s="78" t="n">
        <v>543</v>
      </c>
      <c r="D672" s="78" t="inlineStr">
        <is>
          <t>اكاديمية حلم الرياضة</t>
        </is>
      </c>
      <c r="E672" s="78" t="inlineStr">
        <is>
          <t>القصيم</t>
        </is>
      </c>
      <c r="F672" s="78" t="inlineStr">
        <is>
          <t>المذنب</t>
        </is>
      </c>
      <c r="G672" s="78" t="inlineStr">
        <is>
          <t>تحت 7</t>
        </is>
      </c>
      <c r="H672" s="78" t="n">
        <v>1</v>
      </c>
    </row>
    <row r="673">
      <c r="B673" s="78" t="inlineStr">
        <is>
          <t>P612</t>
        </is>
      </c>
      <c r="C673" s="78" t="n">
        <v>610</v>
      </c>
      <c r="D673" s="78" t="inlineStr">
        <is>
          <t xml:space="preserve">مدارس التربية النموذجية </t>
        </is>
      </c>
      <c r="E673" s="78" t="inlineStr">
        <is>
          <t>الرياض</t>
        </is>
      </c>
      <c r="F673" s="78" t="inlineStr">
        <is>
          <t>الرياض</t>
        </is>
      </c>
      <c r="G673" s="78" t="inlineStr">
        <is>
          <t>تحت 7</t>
        </is>
      </c>
      <c r="H673" s="78" t="n">
        <v>1</v>
      </c>
    </row>
    <row r="674">
      <c r="B674" s="78" t="inlineStr">
        <is>
          <t>P654</t>
        </is>
      </c>
      <c r="C674" s="78" t="n">
        <v>652</v>
      </c>
      <c r="D674" s="78" t="inlineStr">
        <is>
          <t>براعم الشارقة</t>
        </is>
      </c>
      <c r="E674" s="78" t="inlineStr">
        <is>
          <t>الرياض</t>
        </is>
      </c>
      <c r="F674" s="78" t="inlineStr">
        <is>
          <t>الرياض</t>
        </is>
      </c>
      <c r="G674" s="78" t="inlineStr">
        <is>
          <t>تحت 7</t>
        </is>
      </c>
      <c r="H674" s="78" t="n">
        <v>1</v>
      </c>
    </row>
    <row r="675">
      <c r="B675" s="78" t="inlineStr">
        <is>
          <t>P700</t>
        </is>
      </c>
      <c r="C675" s="78" t="n">
        <v>698</v>
      </c>
      <c r="D675" s="78" t="inlineStr">
        <is>
          <t>هلال الهواة</t>
        </is>
      </c>
      <c r="E675" s="78" t="inlineStr">
        <is>
          <t>الرياض</t>
        </is>
      </c>
      <c r="F675" s="78" t="inlineStr">
        <is>
          <t>الرياض</t>
        </is>
      </c>
      <c r="G675" s="78" t="inlineStr">
        <is>
          <t>تحت 7</t>
        </is>
      </c>
      <c r="H675" s="78" t="n">
        <v>1</v>
      </c>
    </row>
    <row r="676">
      <c r="B676" s="78" t="inlineStr">
        <is>
          <t>Q612</t>
        </is>
      </c>
      <c r="C676" s="78" t="n">
        <v>610</v>
      </c>
      <c r="D676" s="78" t="inlineStr">
        <is>
          <t xml:space="preserve">مدارس التربية النموذجية </t>
        </is>
      </c>
      <c r="E676" s="78" t="inlineStr">
        <is>
          <t>الرياض</t>
        </is>
      </c>
      <c r="F676" s="78" t="inlineStr">
        <is>
          <t>الرياض</t>
        </is>
      </c>
      <c r="G676" s="78" t="inlineStr">
        <is>
          <t>تحت 5</t>
        </is>
      </c>
      <c r="H676" s="78" t="n">
        <v>1</v>
      </c>
    </row>
    <row r="677">
      <c r="B677" s="78" t="inlineStr">
        <is>
          <t>O632</t>
        </is>
      </c>
      <c r="C677" s="78" t="n">
        <v>630</v>
      </c>
      <c r="D677" s="78" t="inlineStr">
        <is>
          <t>روما الجوف</t>
        </is>
      </c>
      <c r="E677" s="78" t="inlineStr">
        <is>
          <t>الجوف</t>
        </is>
      </c>
      <c r="F677" s="78" t="inlineStr">
        <is>
          <t>القريات</t>
        </is>
      </c>
      <c r="G677" s="78" t="inlineStr">
        <is>
          <t>تحت 9</t>
        </is>
      </c>
      <c r="H677" s="78" t="n">
        <v>1</v>
      </c>
    </row>
    <row r="678">
      <c r="B678" s="78" t="inlineStr">
        <is>
          <t>O637</t>
        </is>
      </c>
      <c r="C678" s="78" t="n">
        <v>635</v>
      </c>
      <c r="D678" s="78" t="inlineStr">
        <is>
          <t>كاف</t>
        </is>
      </c>
      <c r="E678" s="78" t="inlineStr">
        <is>
          <t>الجوف</t>
        </is>
      </c>
      <c r="F678" s="78" t="inlineStr">
        <is>
          <t>القريات</t>
        </is>
      </c>
      <c r="G678" s="78" t="inlineStr">
        <is>
          <t>تحت 9</t>
        </is>
      </c>
      <c r="H678" s="78" t="n">
        <v>1</v>
      </c>
    </row>
    <row r="679">
      <c r="B679" s="78" t="inlineStr">
        <is>
          <t>O688</t>
        </is>
      </c>
      <c r="C679" s="78" t="n">
        <v>686</v>
      </c>
      <c r="D679" s="78" t="inlineStr">
        <is>
          <t>فلامنجو الجوف</t>
        </is>
      </c>
      <c r="E679" s="78" t="inlineStr">
        <is>
          <t>الجوف</t>
        </is>
      </c>
      <c r="F679" s="78" t="inlineStr">
        <is>
          <t>القريات</t>
        </is>
      </c>
      <c r="G679" s="78" t="inlineStr">
        <is>
          <t>تحت 9</t>
        </is>
      </c>
      <c r="H679" s="78" t="n">
        <v>1</v>
      </c>
    </row>
    <row r="680">
      <c r="B680" s="78" t="inlineStr">
        <is>
          <t>P632</t>
        </is>
      </c>
      <c r="C680" s="78" t="n">
        <v>630</v>
      </c>
      <c r="D680" s="78" t="inlineStr">
        <is>
          <t>روما الجوف</t>
        </is>
      </c>
      <c r="E680" s="78" t="inlineStr">
        <is>
          <t>الجوف</t>
        </is>
      </c>
      <c r="F680" s="78" t="inlineStr">
        <is>
          <t>القريات</t>
        </is>
      </c>
      <c r="G680" s="78" t="inlineStr">
        <is>
          <t>تحت 7</t>
        </is>
      </c>
      <c r="H680" s="78" t="n">
        <v>1</v>
      </c>
    </row>
    <row r="681">
      <c r="B681" s="78" t="inlineStr">
        <is>
          <t>P637</t>
        </is>
      </c>
      <c r="C681" s="78" t="n">
        <v>635</v>
      </c>
      <c r="D681" s="78" t="inlineStr">
        <is>
          <t>كاف</t>
        </is>
      </c>
      <c r="E681" s="78" t="inlineStr">
        <is>
          <t>الجوف</t>
        </is>
      </c>
      <c r="F681" s="78" t="inlineStr">
        <is>
          <t>القريات</t>
        </is>
      </c>
      <c r="G681" s="78" t="inlineStr">
        <is>
          <t>تحت 7</t>
        </is>
      </c>
      <c r="H681" s="78" t="n">
        <v>1</v>
      </c>
    </row>
    <row r="682">
      <c r="B682" s="78" t="inlineStr">
        <is>
          <t>P688</t>
        </is>
      </c>
      <c r="C682" s="78" t="n">
        <v>686</v>
      </c>
      <c r="D682" s="78" t="inlineStr">
        <is>
          <t>فلامنجو الجوف</t>
        </is>
      </c>
      <c r="E682" s="78" t="inlineStr">
        <is>
          <t>الجوف</t>
        </is>
      </c>
      <c r="F682" s="78" t="inlineStr">
        <is>
          <t>القريات</t>
        </is>
      </c>
      <c r="G682" s="78" t="inlineStr">
        <is>
          <t>تحت 7</t>
        </is>
      </c>
      <c r="H682" s="78" t="n">
        <v>1</v>
      </c>
    </row>
    <row r="683">
      <c r="B683" s="78" t="inlineStr">
        <is>
          <t>Q632</t>
        </is>
      </c>
      <c r="C683" s="78" t="n">
        <v>630</v>
      </c>
      <c r="D683" s="78" t="inlineStr">
        <is>
          <t>روما الجوف</t>
        </is>
      </c>
      <c r="E683" s="78" t="inlineStr">
        <is>
          <t>الجوف</t>
        </is>
      </c>
      <c r="F683" s="78" t="inlineStr">
        <is>
          <t>القريات</t>
        </is>
      </c>
      <c r="G683" s="78" t="inlineStr">
        <is>
          <t>تحت 5</t>
        </is>
      </c>
      <c r="H683" s="78" t="n">
        <v>1</v>
      </c>
    </row>
    <row r="684">
      <c r="B684" s="78" t="inlineStr">
        <is>
          <t>Q637</t>
        </is>
      </c>
      <c r="C684" s="78" t="n">
        <v>635</v>
      </c>
      <c r="D684" s="78" t="inlineStr">
        <is>
          <t>كاف</t>
        </is>
      </c>
      <c r="E684" s="78" t="inlineStr">
        <is>
          <t>الجوف</t>
        </is>
      </c>
      <c r="F684" s="78" t="inlineStr">
        <is>
          <t>القريات</t>
        </is>
      </c>
      <c r="G684" s="78" t="inlineStr">
        <is>
          <t>تحت 5</t>
        </is>
      </c>
      <c r="H684" s="78" t="n">
        <v>1</v>
      </c>
    </row>
    <row r="685">
      <c r="B685" s="78" t="inlineStr">
        <is>
          <t>Q688</t>
        </is>
      </c>
      <c r="C685" s="78" t="n">
        <v>686</v>
      </c>
      <c r="D685" s="78" t="inlineStr">
        <is>
          <t>فلامنجو الجوف</t>
        </is>
      </c>
      <c r="E685" s="78" t="inlineStr">
        <is>
          <t>الجوف</t>
        </is>
      </c>
      <c r="F685" s="78" t="inlineStr">
        <is>
          <t>القريات</t>
        </is>
      </c>
      <c r="G685" s="78" t="inlineStr">
        <is>
          <t>تحت 5</t>
        </is>
      </c>
      <c r="H685" s="78" t="n">
        <v>1</v>
      </c>
    </row>
    <row r="686">
      <c r="B686" s="78" t="inlineStr">
        <is>
          <t>L633</t>
        </is>
      </c>
      <c r="C686" s="78" t="n">
        <v>631</v>
      </c>
      <c r="D686" s="78" t="inlineStr">
        <is>
          <t>الوادي</t>
        </is>
      </c>
      <c r="E686" s="78" t="inlineStr">
        <is>
          <t>الجوف</t>
        </is>
      </c>
      <c r="F686" s="78" t="inlineStr">
        <is>
          <t>طبرجل</t>
        </is>
      </c>
      <c r="G686" s="78" t="inlineStr">
        <is>
          <t>تحت 13</t>
        </is>
      </c>
      <c r="H686" s="78" t="n">
        <v>1</v>
      </c>
    </row>
    <row r="687">
      <c r="B687" s="78" t="inlineStr">
        <is>
          <t>L635</t>
        </is>
      </c>
      <c r="C687" s="78" t="n">
        <v>633</v>
      </c>
      <c r="D687" s="78" t="inlineStr">
        <is>
          <t>ارسنال الجوف</t>
        </is>
      </c>
      <c r="E687" s="78" t="inlineStr">
        <is>
          <t>الجوف</t>
        </is>
      </c>
      <c r="F687" s="78" t="inlineStr">
        <is>
          <t>طبرجل</t>
        </is>
      </c>
      <c r="G687" s="78" t="inlineStr">
        <is>
          <t>تحت 13</t>
        </is>
      </c>
      <c r="H687" s="78" t="n">
        <v>1</v>
      </c>
    </row>
    <row r="688">
      <c r="B688" s="78" t="inlineStr">
        <is>
          <t>N633</t>
        </is>
      </c>
      <c r="C688" s="78" t="n">
        <v>631</v>
      </c>
      <c r="D688" s="78" t="inlineStr">
        <is>
          <t>الوادي</t>
        </is>
      </c>
      <c r="E688" s="78" t="inlineStr">
        <is>
          <t>الجوف</t>
        </is>
      </c>
      <c r="F688" s="78" t="inlineStr">
        <is>
          <t>طبرجل</t>
        </is>
      </c>
      <c r="G688" s="78" t="inlineStr">
        <is>
          <t>تحت 11</t>
        </is>
      </c>
      <c r="H688" s="78" t="n">
        <v>1</v>
      </c>
    </row>
    <row r="689">
      <c r="B689" s="78" t="inlineStr">
        <is>
          <t>N635</t>
        </is>
      </c>
      <c r="C689" s="78" t="n">
        <v>633</v>
      </c>
      <c r="D689" s="78" t="inlineStr">
        <is>
          <t>ارسنال الجوف</t>
        </is>
      </c>
      <c r="E689" s="78" t="inlineStr">
        <is>
          <t>الجوف</t>
        </is>
      </c>
      <c r="F689" s="78" t="inlineStr">
        <is>
          <t>طبرجل</t>
        </is>
      </c>
      <c r="G689" s="78" t="inlineStr">
        <is>
          <t>تحت 11</t>
        </is>
      </c>
      <c r="H689" s="78" t="n">
        <v>1</v>
      </c>
    </row>
    <row r="690">
      <c r="B690" s="78" t="inlineStr">
        <is>
          <t>O635</t>
        </is>
      </c>
      <c r="C690" s="78" t="n">
        <v>633</v>
      </c>
      <c r="D690" s="78" t="inlineStr">
        <is>
          <t>ارسنال الجوف</t>
        </is>
      </c>
      <c r="E690" s="78" t="inlineStr">
        <is>
          <t>الجوف</t>
        </is>
      </c>
      <c r="F690" s="78" t="inlineStr">
        <is>
          <t>طبرجل</t>
        </is>
      </c>
      <c r="G690" s="78" t="inlineStr">
        <is>
          <t>تحت 9</t>
        </is>
      </c>
      <c r="H690" s="78" t="n">
        <v>1</v>
      </c>
    </row>
    <row r="691">
      <c r="B691" s="78" t="inlineStr">
        <is>
          <t>M647</t>
        </is>
      </c>
      <c r="C691" s="78" t="n">
        <v>645</v>
      </c>
      <c r="D691" s="78" t="inlineStr">
        <is>
          <t>افاق الهواة</t>
        </is>
      </c>
      <c r="E691" s="78" t="inlineStr">
        <is>
          <t>الشرقية</t>
        </is>
      </c>
      <c r="F691" s="78" t="inlineStr">
        <is>
          <t>الخفجي</t>
        </is>
      </c>
      <c r="G691" s="78" t="inlineStr">
        <is>
          <t>تحت 12</t>
        </is>
      </c>
      <c r="H691" s="78" t="n">
        <v>1</v>
      </c>
    </row>
    <row r="692">
      <c r="B692" s="78" t="inlineStr">
        <is>
          <t>P690</t>
        </is>
      </c>
      <c r="C692" s="78" t="n">
        <v>688</v>
      </c>
      <c r="D692" s="78" t="inlineStr">
        <is>
          <t>القمه</t>
        </is>
      </c>
      <c r="E692" s="78" t="inlineStr">
        <is>
          <t>الجوف</t>
        </is>
      </c>
      <c r="F692" s="78" t="inlineStr">
        <is>
          <t>سكاكا</t>
        </is>
      </c>
      <c r="G692" s="78" t="inlineStr">
        <is>
          <t>تحت 7</t>
        </is>
      </c>
      <c r="H692" s="78" t="n">
        <v>1</v>
      </c>
    </row>
    <row r="693">
      <c r="B693" s="78" t="inlineStr">
        <is>
          <t>Q690</t>
        </is>
      </c>
      <c r="C693" s="78" t="n">
        <v>688</v>
      </c>
      <c r="D693" s="78" t="inlineStr">
        <is>
          <t>القمه</t>
        </is>
      </c>
      <c r="E693" s="78" t="inlineStr">
        <is>
          <t>الجوف</t>
        </is>
      </c>
      <c r="F693" s="78" t="inlineStr">
        <is>
          <t>سكاكا</t>
        </is>
      </c>
      <c r="G693" s="78" t="inlineStr">
        <is>
          <t>تحت 5</t>
        </is>
      </c>
      <c r="H693" s="78" t="n">
        <v>1</v>
      </c>
    </row>
    <row r="694">
      <c r="B694" s="78" t="inlineStr">
        <is>
          <t>L742</t>
        </is>
      </c>
      <c r="C694" s="78" t="n">
        <v>740</v>
      </c>
      <c r="D694" s="78" t="inlineStr">
        <is>
          <t>سامبا تبوك</t>
        </is>
      </c>
      <c r="E694" s="78" t="inlineStr">
        <is>
          <t>تبوك</t>
        </is>
      </c>
      <c r="F694" s="78" t="inlineStr">
        <is>
          <t>تبوك</t>
        </is>
      </c>
      <c r="G694" s="78" t="inlineStr">
        <is>
          <t>تحت 13</t>
        </is>
      </c>
      <c r="H694" s="78" t="n">
        <v>1</v>
      </c>
    </row>
    <row r="695">
      <c r="B695" s="78" t="inlineStr">
        <is>
          <t>M742</t>
        </is>
      </c>
      <c r="C695" s="78" t="n">
        <v>740</v>
      </c>
      <c r="D695" s="78" t="inlineStr">
        <is>
          <t>سامبا تبوك</t>
        </is>
      </c>
      <c r="E695" s="78" t="inlineStr">
        <is>
          <t>تبوك</t>
        </is>
      </c>
      <c r="F695" s="78" t="inlineStr">
        <is>
          <t>تبوك</t>
        </is>
      </c>
      <c r="G695" s="78" t="inlineStr">
        <is>
          <t>تحت 12</t>
        </is>
      </c>
      <c r="H695" s="78" t="n">
        <v>1</v>
      </c>
    </row>
    <row r="696">
      <c r="B696" s="78" t="inlineStr">
        <is>
          <t>N742</t>
        </is>
      </c>
      <c r="C696" s="78" t="n">
        <v>740</v>
      </c>
      <c r="D696" s="78" t="inlineStr">
        <is>
          <t>سامبا تبوك</t>
        </is>
      </c>
      <c r="E696" s="78" t="inlineStr">
        <is>
          <t>تبوك</t>
        </is>
      </c>
      <c r="F696" s="78" t="inlineStr">
        <is>
          <t>تبوك</t>
        </is>
      </c>
      <c r="G696" s="78" t="inlineStr">
        <is>
          <t>تحت 11</t>
        </is>
      </c>
      <c r="H696" s="78" t="n">
        <v>1</v>
      </c>
    </row>
    <row r="697">
      <c r="B697" s="78" t="inlineStr">
        <is>
          <t>O348</t>
        </is>
      </c>
      <c r="C697" s="78" t="e">
        <v>#REF!</v>
      </c>
      <c r="D697" s="78" t="inlineStr">
        <is>
          <t>فريق المستقبل</t>
        </is>
      </c>
      <c r="E697" s="78" t="inlineStr">
        <is>
          <t>نجران</t>
        </is>
      </c>
      <c r="F697" s="78" t="inlineStr">
        <is>
          <t>شرورة</t>
        </is>
      </c>
      <c r="G697" s="78" t="inlineStr">
        <is>
          <t>تحت 9</t>
        </is>
      </c>
      <c r="H697" s="78" t="n">
        <v>1</v>
      </c>
    </row>
    <row r="698">
      <c r="B698" s="78" t="inlineStr">
        <is>
          <t>P348</t>
        </is>
      </c>
      <c r="C698" s="78" t="e">
        <v>#REF!</v>
      </c>
      <c r="D698" s="78" t="inlineStr">
        <is>
          <t>فريق المستقبل</t>
        </is>
      </c>
      <c r="E698" s="78" t="inlineStr">
        <is>
          <t>نجران</t>
        </is>
      </c>
      <c r="F698" s="78" t="inlineStr">
        <is>
          <t>شرورة</t>
        </is>
      </c>
      <c r="G698" s="78" t="inlineStr">
        <is>
          <t>تحت 7</t>
        </is>
      </c>
      <c r="H698" s="78" t="n">
        <v>1</v>
      </c>
    </row>
    <row r="699">
      <c r="B699" s="78" t="inlineStr">
        <is>
          <t>K362</t>
        </is>
      </c>
      <c r="C699" s="78" t="e">
        <v>#REF!</v>
      </c>
      <c r="D699" s="78" t="inlineStr">
        <is>
          <t>ال علئ</t>
        </is>
      </c>
      <c r="E699" s="78" t="inlineStr">
        <is>
          <t>نجران</t>
        </is>
      </c>
      <c r="F699" s="78" t="inlineStr">
        <is>
          <t>حبونا</t>
        </is>
      </c>
      <c r="G699" s="78" t="inlineStr">
        <is>
          <t>تحت 14</t>
        </is>
      </c>
      <c r="H699" s="78" t="n">
        <v>1</v>
      </c>
    </row>
    <row r="700">
      <c r="B700" s="78" t="inlineStr">
        <is>
          <t>O366</t>
        </is>
      </c>
      <c r="C700" s="78" t="e">
        <v>#REF!</v>
      </c>
      <c r="D700" s="78" t="inlineStr">
        <is>
          <t>اكاديميه اهدافي الخرج</t>
        </is>
      </c>
      <c r="E700" s="78" t="inlineStr">
        <is>
          <t>الرياض</t>
        </is>
      </c>
      <c r="F700" s="78" t="inlineStr">
        <is>
          <t>الخرج</t>
        </is>
      </c>
      <c r="G700" s="78" t="inlineStr">
        <is>
          <t>تحت 9</t>
        </is>
      </c>
      <c r="H700" s="78" t="n">
        <v>1</v>
      </c>
    </row>
    <row r="701">
      <c r="B701" s="78" t="inlineStr">
        <is>
          <t>O381</t>
        </is>
      </c>
      <c r="C701" s="78" t="e">
        <v>#REF!</v>
      </c>
      <c r="D701" s="78" t="inlineStr">
        <is>
          <t>تحدي شرورة</t>
        </is>
      </c>
      <c r="E701" s="78" t="inlineStr">
        <is>
          <t>نجران</t>
        </is>
      </c>
      <c r="F701" s="78" t="inlineStr">
        <is>
          <t>شرورة</t>
        </is>
      </c>
      <c r="G701" s="78" t="inlineStr">
        <is>
          <t>تحت 9</t>
        </is>
      </c>
      <c r="H701" s="78" t="n">
        <v>1</v>
      </c>
    </row>
    <row r="702">
      <c r="B702" s="78" t="inlineStr">
        <is>
          <t>P381</t>
        </is>
      </c>
      <c r="C702" s="78" t="e">
        <v>#REF!</v>
      </c>
      <c r="D702" s="78" t="inlineStr">
        <is>
          <t>تحدي شرورة</t>
        </is>
      </c>
      <c r="E702" s="78" t="inlineStr">
        <is>
          <t>نجران</t>
        </is>
      </c>
      <c r="F702" s="78" t="inlineStr">
        <is>
          <t>شرورة</t>
        </is>
      </c>
      <c r="G702" s="78" t="inlineStr">
        <is>
          <t>تحت 7</t>
        </is>
      </c>
      <c r="H702" s="78" t="n">
        <v>1</v>
      </c>
    </row>
    <row r="703">
      <c r="B703" s="78" t="inlineStr">
        <is>
          <t>K477</t>
        </is>
      </c>
      <c r="C703" s="78" t="e">
        <v>#REF!</v>
      </c>
      <c r="D703" s="78" t="inlineStr">
        <is>
          <t>روما الجوف</t>
        </is>
      </c>
      <c r="E703" s="78" t="inlineStr">
        <is>
          <t>الجوف</t>
        </is>
      </c>
      <c r="F703" s="78" t="inlineStr">
        <is>
          <t>القريات</t>
        </is>
      </c>
      <c r="G703" s="78" t="inlineStr">
        <is>
          <t>تحت 14</t>
        </is>
      </c>
      <c r="H703" s="78" t="n">
        <v>1</v>
      </c>
    </row>
    <row r="704">
      <c r="B704" s="78" t="inlineStr">
        <is>
          <t>L477</t>
        </is>
      </c>
      <c r="C704" s="78" t="e">
        <v>#REF!</v>
      </c>
      <c r="D704" s="78" t="inlineStr">
        <is>
          <t>روما الجوف</t>
        </is>
      </c>
      <c r="E704" s="78" t="inlineStr">
        <is>
          <t>الجوف</t>
        </is>
      </c>
      <c r="F704" s="78" t="inlineStr">
        <is>
          <t>القريات</t>
        </is>
      </c>
      <c r="G704" s="78" t="inlineStr">
        <is>
          <t>تحت 13</t>
        </is>
      </c>
      <c r="H704" s="78" t="n">
        <v>1</v>
      </c>
    </row>
    <row r="705">
      <c r="B705" s="78" t="inlineStr">
        <is>
          <t>M477</t>
        </is>
      </c>
      <c r="C705" s="78" t="e">
        <v>#REF!</v>
      </c>
      <c r="D705" s="78" t="inlineStr">
        <is>
          <t>روما الجوف</t>
        </is>
      </c>
      <c r="E705" s="78" t="inlineStr">
        <is>
          <t>الجوف</t>
        </is>
      </c>
      <c r="F705" s="78" t="inlineStr">
        <is>
          <t>القريات</t>
        </is>
      </c>
      <c r="G705" s="78" t="inlineStr">
        <is>
          <t>تحت 12</t>
        </is>
      </c>
      <c r="H705" s="78" t="n">
        <v>1</v>
      </c>
    </row>
    <row r="706">
      <c r="B706" s="78" t="inlineStr">
        <is>
          <t>N477</t>
        </is>
      </c>
      <c r="C706" s="78" t="e">
        <v>#REF!</v>
      </c>
      <c r="D706" s="78" t="inlineStr">
        <is>
          <t>روما الجوف</t>
        </is>
      </c>
      <c r="E706" s="78" t="inlineStr">
        <is>
          <t>الجوف</t>
        </is>
      </c>
      <c r="F706" s="78" t="inlineStr">
        <is>
          <t>القريات</t>
        </is>
      </c>
      <c r="G706" s="78" t="inlineStr">
        <is>
          <t>تحت 11</t>
        </is>
      </c>
      <c r="H706" s="78" t="n">
        <v>1</v>
      </c>
    </row>
    <row r="707">
      <c r="B707" s="78" t="inlineStr">
        <is>
          <t>K478</t>
        </is>
      </c>
      <c r="C707" s="78" t="e">
        <v>#REF!</v>
      </c>
      <c r="D707" s="78" t="inlineStr">
        <is>
          <t>الوادي</t>
        </is>
      </c>
      <c r="E707" s="78" t="inlineStr">
        <is>
          <t>الجوف</t>
        </is>
      </c>
      <c r="F707" s="78" t="inlineStr">
        <is>
          <t>طبرجل</t>
        </is>
      </c>
      <c r="G707" s="78" t="inlineStr">
        <is>
          <t>تحت 14</t>
        </is>
      </c>
      <c r="H707" s="78" t="n">
        <v>1</v>
      </c>
    </row>
    <row r="708">
      <c r="B708" s="78" t="inlineStr">
        <is>
          <t>M478</t>
        </is>
      </c>
      <c r="C708" s="78" t="e">
        <v>#REF!</v>
      </c>
      <c r="D708" s="78" t="inlineStr">
        <is>
          <t>الوادي</t>
        </is>
      </c>
      <c r="E708" s="78" t="inlineStr">
        <is>
          <t>الجوف</t>
        </is>
      </c>
      <c r="F708" s="78" t="inlineStr">
        <is>
          <t>طبرجل</t>
        </is>
      </c>
      <c r="G708" s="78" t="inlineStr">
        <is>
          <t>تحت 12</t>
        </is>
      </c>
      <c r="H708" s="78" t="n">
        <v>1</v>
      </c>
    </row>
    <row r="709">
      <c r="B709" s="78" t="inlineStr">
        <is>
          <t>K479</t>
        </is>
      </c>
      <c r="C709" s="78" t="e">
        <v>#REF!</v>
      </c>
      <c r="D709" s="78" t="inlineStr">
        <is>
          <t>ارسنال الجوف</t>
        </is>
      </c>
      <c r="E709" s="78" t="inlineStr">
        <is>
          <t>الجوف</t>
        </is>
      </c>
      <c r="F709" s="78" t="inlineStr">
        <is>
          <t>طبرجل</t>
        </is>
      </c>
      <c r="G709" s="78" t="inlineStr">
        <is>
          <t>تحت 14</t>
        </is>
      </c>
      <c r="H709" s="78" t="n">
        <v>1</v>
      </c>
    </row>
    <row r="710">
      <c r="B710" s="78" t="inlineStr">
        <is>
          <t>M479</t>
        </is>
      </c>
      <c r="C710" s="78" t="e">
        <v>#REF!</v>
      </c>
      <c r="D710" s="78" t="inlineStr">
        <is>
          <t>ارسنال الجوف</t>
        </is>
      </c>
      <c r="E710" s="78" t="inlineStr">
        <is>
          <t>الجوف</t>
        </is>
      </c>
      <c r="F710" s="78" t="inlineStr">
        <is>
          <t>طبرجل</t>
        </is>
      </c>
      <c r="G710" s="78" t="inlineStr">
        <is>
          <t>تحت 12</t>
        </is>
      </c>
      <c r="H710" s="78" t="n">
        <v>1</v>
      </c>
    </row>
    <row r="711">
      <c r="B711" s="78" t="inlineStr">
        <is>
          <t>P479</t>
        </is>
      </c>
      <c r="C711" s="78" t="e">
        <v>#REF!</v>
      </c>
      <c r="D711" s="78" t="inlineStr">
        <is>
          <t>ارسنال الجوف</t>
        </is>
      </c>
      <c r="E711" s="78" t="inlineStr">
        <is>
          <t>الجوف</t>
        </is>
      </c>
      <c r="F711" s="78" t="inlineStr">
        <is>
          <t>طبرجل</t>
        </is>
      </c>
      <c r="G711" s="78" t="inlineStr">
        <is>
          <t>تحت 7</t>
        </is>
      </c>
      <c r="H711" s="78" t="n">
        <v>1</v>
      </c>
    </row>
    <row r="712">
      <c r="B712" s="78" t="inlineStr">
        <is>
          <t>Q479</t>
        </is>
      </c>
      <c r="C712" s="78" t="e">
        <v>#REF!</v>
      </c>
      <c r="D712" s="78" t="inlineStr">
        <is>
          <t>ارسنال الجوف</t>
        </is>
      </c>
      <c r="E712" s="78" t="inlineStr">
        <is>
          <t>الجوف</t>
        </is>
      </c>
      <c r="F712" s="78" t="inlineStr">
        <is>
          <t>طبرجل</t>
        </is>
      </c>
      <c r="G712" s="78" t="inlineStr">
        <is>
          <t>تحت 5</t>
        </is>
      </c>
      <c r="H712" s="78" t="n">
        <v>1</v>
      </c>
    </row>
    <row r="713">
      <c r="B713" s="78" t="inlineStr">
        <is>
          <t>K481</t>
        </is>
      </c>
      <c r="C713" s="78" t="e">
        <v>#REF!</v>
      </c>
      <c r="D713" s="78" t="inlineStr">
        <is>
          <t>كاف</t>
        </is>
      </c>
      <c r="E713" s="78" t="inlineStr">
        <is>
          <t>الجوف</t>
        </is>
      </c>
      <c r="F713" s="78" t="inlineStr">
        <is>
          <t>القريات</t>
        </is>
      </c>
      <c r="G713" s="78" t="inlineStr">
        <is>
          <t>تحت 14</t>
        </is>
      </c>
      <c r="H713" s="78" t="n">
        <v>1</v>
      </c>
    </row>
    <row r="714">
      <c r="B714" s="78" t="inlineStr">
        <is>
          <t>L481</t>
        </is>
      </c>
      <c r="C714" s="78" t="e">
        <v>#REF!</v>
      </c>
      <c r="D714" s="78" t="inlineStr">
        <is>
          <t>كاف</t>
        </is>
      </c>
      <c r="E714" s="78" t="inlineStr">
        <is>
          <t>الجوف</t>
        </is>
      </c>
      <c r="F714" s="78" t="inlineStr">
        <is>
          <t>القريات</t>
        </is>
      </c>
      <c r="G714" s="78" t="inlineStr">
        <is>
          <t>تحت 13</t>
        </is>
      </c>
      <c r="H714" s="78" t="n">
        <v>1</v>
      </c>
    </row>
    <row r="715">
      <c r="B715" s="78" t="inlineStr">
        <is>
          <t>M481</t>
        </is>
      </c>
      <c r="C715" s="78" t="e">
        <v>#REF!</v>
      </c>
      <c r="D715" s="78" t="inlineStr">
        <is>
          <t>كاف</t>
        </is>
      </c>
      <c r="E715" s="78" t="inlineStr">
        <is>
          <t>الجوف</t>
        </is>
      </c>
      <c r="F715" s="78" t="inlineStr">
        <is>
          <t>القريات</t>
        </is>
      </c>
      <c r="G715" s="78" t="inlineStr">
        <is>
          <t>تحت 12</t>
        </is>
      </c>
      <c r="H715" s="78" t="n">
        <v>1</v>
      </c>
    </row>
    <row r="716">
      <c r="B716" s="78" t="inlineStr">
        <is>
          <t>N481</t>
        </is>
      </c>
      <c r="C716" s="78" t="e">
        <v>#REF!</v>
      </c>
      <c r="D716" s="78" t="inlineStr">
        <is>
          <t>كاف</t>
        </is>
      </c>
      <c r="E716" s="78" t="inlineStr">
        <is>
          <t>الجوف</t>
        </is>
      </c>
      <c r="F716" s="78" t="inlineStr">
        <is>
          <t>القريات</t>
        </is>
      </c>
      <c r="G716" s="78" t="inlineStr">
        <is>
          <t>تحت 11</t>
        </is>
      </c>
      <c r="H716" s="78" t="n">
        <v>1</v>
      </c>
    </row>
    <row r="717">
      <c r="B717" s="78" t="inlineStr">
        <is>
          <t>O492</t>
        </is>
      </c>
      <c r="C717" s="78" t="e">
        <v>#REF!</v>
      </c>
      <c r="D717" s="78" t="inlineStr">
        <is>
          <t>ركائز التعليم</t>
        </is>
      </c>
      <c r="E717" s="78" t="inlineStr">
        <is>
          <t>الرياض</t>
        </is>
      </c>
      <c r="F717" s="78" t="inlineStr">
        <is>
          <t>الدوادمي</t>
        </is>
      </c>
      <c r="G717" s="78" t="inlineStr">
        <is>
          <t>تحت 9</t>
        </is>
      </c>
      <c r="H717" s="78" t="n">
        <v>1</v>
      </c>
    </row>
    <row r="718">
      <c r="B718" s="78" t="inlineStr">
        <is>
          <t>K523</t>
        </is>
      </c>
      <c r="C718" s="78" t="e">
        <v>#REF!</v>
      </c>
      <c r="D718" s="78" t="inlineStr">
        <is>
          <t>فلامنجو الجوف</t>
        </is>
      </c>
      <c r="E718" s="78" t="inlineStr">
        <is>
          <t>الجوف</t>
        </is>
      </c>
      <c r="F718" s="78" t="inlineStr">
        <is>
          <t>القريات</t>
        </is>
      </c>
      <c r="G718" s="78" t="inlineStr">
        <is>
          <t>تحت 14</t>
        </is>
      </c>
      <c r="H718" s="78" t="n">
        <v>1</v>
      </c>
    </row>
    <row r="719">
      <c r="B719" s="78" t="inlineStr">
        <is>
          <t>L523</t>
        </is>
      </c>
      <c r="C719" s="78" t="e">
        <v>#REF!</v>
      </c>
      <c r="D719" s="78" t="inlineStr">
        <is>
          <t>فلامنجو الجوف</t>
        </is>
      </c>
      <c r="E719" s="78" t="inlineStr">
        <is>
          <t>الجوف</t>
        </is>
      </c>
      <c r="F719" s="78" t="inlineStr">
        <is>
          <t>القريات</t>
        </is>
      </c>
      <c r="G719" s="78" t="inlineStr">
        <is>
          <t>تحت 13</t>
        </is>
      </c>
      <c r="H719" s="78" t="n">
        <v>1</v>
      </c>
    </row>
    <row r="720">
      <c r="B720" s="78" t="inlineStr">
        <is>
          <t>M523</t>
        </is>
      </c>
      <c r="C720" s="78" t="e">
        <v>#REF!</v>
      </c>
      <c r="D720" s="78" t="inlineStr">
        <is>
          <t>فلامنجو الجوف</t>
        </is>
      </c>
      <c r="E720" s="78" t="inlineStr">
        <is>
          <t>الجوف</t>
        </is>
      </c>
      <c r="F720" s="78" t="inlineStr">
        <is>
          <t>القريات</t>
        </is>
      </c>
      <c r="G720" s="78" t="inlineStr">
        <is>
          <t>تحت 12</t>
        </is>
      </c>
      <c r="H720" s="78" t="n">
        <v>1</v>
      </c>
    </row>
    <row r="721">
      <c r="B721" s="78" t="inlineStr">
        <is>
          <t>N523</t>
        </is>
      </c>
      <c r="C721" s="78" t="e">
        <v>#REF!</v>
      </c>
      <c r="D721" s="78" t="inlineStr">
        <is>
          <t>فلامنجو الجوف</t>
        </is>
      </c>
      <c r="E721" s="78" t="inlineStr">
        <is>
          <t>الجوف</t>
        </is>
      </c>
      <c r="F721" s="78" t="inlineStr">
        <is>
          <t>القريات</t>
        </is>
      </c>
      <c r="G721" s="78" t="inlineStr">
        <is>
          <t>تحت 11</t>
        </is>
      </c>
      <c r="H721" s="78" t="n">
        <v>1</v>
      </c>
    </row>
    <row r="722">
      <c r="B722" s="78" t="inlineStr">
        <is>
          <t>O531</t>
        </is>
      </c>
      <c r="C722" s="78" t="e">
        <v>#REF!</v>
      </c>
      <c r="D722" s="78" t="inlineStr">
        <is>
          <t>FUTURE4</t>
        </is>
      </c>
      <c r="E722" s="78" t="inlineStr">
        <is>
          <t>الرياض</t>
        </is>
      </c>
      <c r="F722" s="78" t="inlineStr">
        <is>
          <t>الدوادمي</t>
        </is>
      </c>
      <c r="G722" s="78" t="inlineStr">
        <is>
          <t>تحت 9</t>
        </is>
      </c>
      <c r="H722" s="78" t="n">
        <v>1</v>
      </c>
    </row>
    <row r="723">
      <c r="B723" s="78" t="inlineStr">
        <is>
          <t>K255</t>
        </is>
      </c>
      <c r="C723" s="78" t="e">
        <v>#REF!</v>
      </c>
      <c r="D723" s="78" t="inlineStr">
        <is>
          <t>الصحاري</t>
        </is>
      </c>
      <c r="E723" s="78" t="inlineStr">
        <is>
          <t>نجران</t>
        </is>
      </c>
      <c r="F723" s="78" t="inlineStr">
        <is>
          <t>شرورة</t>
        </is>
      </c>
      <c r="G723" s="78" t="inlineStr">
        <is>
          <t>تحت 14</t>
        </is>
      </c>
      <c r="H723" s="78" t="n">
        <v>1</v>
      </c>
    </row>
    <row r="724">
      <c r="B724" s="78" t="inlineStr">
        <is>
          <t>M255</t>
        </is>
      </c>
      <c r="C724" s="78" t="e">
        <v>#REF!</v>
      </c>
      <c r="D724" s="78" t="inlineStr">
        <is>
          <t>الصحاري</t>
        </is>
      </c>
      <c r="E724" s="78" t="inlineStr">
        <is>
          <t>نجران</t>
        </is>
      </c>
      <c r="F724" s="78" t="inlineStr">
        <is>
          <t>شرورة</t>
        </is>
      </c>
      <c r="G724" s="78" t="inlineStr">
        <is>
          <t>تحت 12</t>
        </is>
      </c>
      <c r="H724" s="78" t="n">
        <v>1</v>
      </c>
    </row>
    <row r="725">
      <c r="B725" s="78" t="inlineStr">
        <is>
          <t>N255</t>
        </is>
      </c>
      <c r="C725" s="78" t="e">
        <v>#REF!</v>
      </c>
      <c r="D725" s="78" t="inlineStr">
        <is>
          <t>الصحاري</t>
        </is>
      </c>
      <c r="E725" s="78" t="inlineStr">
        <is>
          <t>نجران</t>
        </is>
      </c>
      <c r="F725" s="78" t="inlineStr">
        <is>
          <t>شرورة</t>
        </is>
      </c>
      <c r="G725" s="78" t="inlineStr">
        <is>
          <t>تحت 11</t>
        </is>
      </c>
      <c r="H725" s="78" t="n">
        <v>1</v>
      </c>
    </row>
    <row r="726">
      <c r="B726" s="78" t="inlineStr">
        <is>
          <t>K256</t>
        </is>
      </c>
      <c r="C726" s="78" t="e">
        <v>#REF!</v>
      </c>
      <c r="D726" s="78" t="inlineStr">
        <is>
          <t>جوهرة المستقبل</t>
        </is>
      </c>
      <c r="E726" s="78" t="inlineStr">
        <is>
          <t>نجران</t>
        </is>
      </c>
      <c r="F726" s="78" t="inlineStr">
        <is>
          <t>شرورة</t>
        </is>
      </c>
      <c r="G726" s="78" t="inlineStr">
        <is>
          <t>تحت 14</t>
        </is>
      </c>
      <c r="H726" s="78" t="n">
        <v>1</v>
      </c>
    </row>
    <row r="727">
      <c r="B727" s="78" t="inlineStr">
        <is>
          <t>M256</t>
        </is>
      </c>
      <c r="C727" s="78" t="e">
        <v>#REF!</v>
      </c>
      <c r="D727" s="78" t="inlineStr">
        <is>
          <t>جوهرة المستقبل</t>
        </is>
      </c>
      <c r="E727" s="78" t="inlineStr">
        <is>
          <t>نجران</t>
        </is>
      </c>
      <c r="F727" s="78" t="inlineStr">
        <is>
          <t>شرورة</t>
        </is>
      </c>
      <c r="G727" s="78" t="inlineStr">
        <is>
          <t>تحت 12</t>
        </is>
      </c>
      <c r="H727" s="78" t="n">
        <v>2</v>
      </c>
    </row>
    <row r="728">
      <c r="B728" s="78" t="inlineStr">
        <is>
          <t>N256</t>
        </is>
      </c>
      <c r="C728" s="78" t="e">
        <v>#REF!</v>
      </c>
      <c r="D728" s="78" t="inlineStr">
        <is>
          <t>جوهرة المستقبل</t>
        </is>
      </c>
      <c r="E728" s="78" t="inlineStr">
        <is>
          <t>نجران</t>
        </is>
      </c>
      <c r="F728" s="78" t="inlineStr">
        <is>
          <t>شرورة</t>
        </is>
      </c>
      <c r="G728" s="78" t="inlineStr">
        <is>
          <t>تحت 11</t>
        </is>
      </c>
      <c r="H728" s="78" t="n">
        <v>2</v>
      </c>
    </row>
    <row r="729">
      <c r="B729" s="78" t="inlineStr">
        <is>
          <t>L418</t>
        </is>
      </c>
      <c r="C729" s="78" t="e">
        <v>#REF!</v>
      </c>
      <c r="D729" s="78" t="inlineStr">
        <is>
          <t>R20</t>
        </is>
      </c>
      <c r="E729" s="78" t="inlineStr">
        <is>
          <t>الجوف</t>
        </is>
      </c>
      <c r="F729" s="78" t="inlineStr">
        <is>
          <t>طبرجل</t>
        </is>
      </c>
      <c r="G729" s="78" t="inlineStr">
        <is>
          <t>تحت 13</t>
        </is>
      </c>
      <c r="H729" s="78" t="n">
        <v>1</v>
      </c>
    </row>
    <row r="730">
      <c r="B730" s="78" t="inlineStr">
        <is>
          <t>N418</t>
        </is>
      </c>
      <c r="C730" s="78" t="e">
        <v>#REF!</v>
      </c>
      <c r="D730" s="78" t="inlineStr">
        <is>
          <t>R20</t>
        </is>
      </c>
      <c r="E730" s="78" t="inlineStr">
        <is>
          <t>الجوف</t>
        </is>
      </c>
      <c r="F730" s="78" t="inlineStr">
        <is>
          <t>طبرجل</t>
        </is>
      </c>
      <c r="G730" s="78" t="inlineStr">
        <is>
          <t>تحت 11</t>
        </is>
      </c>
      <c r="H730" s="78" t="n">
        <v>1</v>
      </c>
    </row>
    <row r="731">
      <c r="B731" s="78" t="inlineStr">
        <is>
          <t>L419</t>
        </is>
      </c>
      <c r="C731" s="78" t="e">
        <v>#REF!</v>
      </c>
      <c r="D731" s="78" t="inlineStr">
        <is>
          <t>طبرجل</t>
        </is>
      </c>
      <c r="E731" s="78" t="inlineStr">
        <is>
          <t>الجوف</t>
        </is>
      </c>
      <c r="F731" s="78" t="inlineStr">
        <is>
          <t>طبرجل</t>
        </is>
      </c>
      <c r="G731" s="78" t="inlineStr">
        <is>
          <t>تحت 13</t>
        </is>
      </c>
      <c r="H731" s="78" t="n">
        <v>1</v>
      </c>
    </row>
    <row r="732">
      <c r="B732" s="78" t="inlineStr">
        <is>
          <t>N419</t>
        </is>
      </c>
      <c r="C732" s="78" t="e">
        <v>#REF!</v>
      </c>
      <c r="D732" s="78" t="inlineStr">
        <is>
          <t>طبرجل</t>
        </is>
      </c>
      <c r="E732" s="78" t="inlineStr">
        <is>
          <t>الجوف</t>
        </is>
      </c>
      <c r="F732" s="78" t="inlineStr">
        <is>
          <t>طبرجل</t>
        </is>
      </c>
      <c r="G732" s="78" t="inlineStr">
        <is>
          <t>تحت 11</t>
        </is>
      </c>
      <c r="H732" s="78" t="n">
        <v>1</v>
      </c>
    </row>
    <row r="733">
      <c r="B733" s="78" t="inlineStr">
        <is>
          <t>L421</t>
        </is>
      </c>
      <c r="C733" s="78" t="e">
        <v>#REF!</v>
      </c>
      <c r="D733" s="78" t="inlineStr">
        <is>
          <t>شمال الوادي</t>
        </is>
      </c>
      <c r="E733" s="78" t="inlineStr">
        <is>
          <t>الجوف</t>
        </is>
      </c>
      <c r="F733" s="78" t="inlineStr">
        <is>
          <t>طبرجل</t>
        </is>
      </c>
      <c r="G733" s="78" t="inlineStr">
        <is>
          <t>تحت 13</t>
        </is>
      </c>
      <c r="H733" s="78" t="n">
        <v>1</v>
      </c>
    </row>
    <row r="734">
      <c r="B734" s="78" t="inlineStr">
        <is>
          <t>N421</t>
        </is>
      </c>
      <c r="C734" s="78" t="e">
        <v>#REF!</v>
      </c>
      <c r="D734" s="78" t="inlineStr">
        <is>
          <t>شمال الوادي</t>
        </is>
      </c>
      <c r="E734" s="78" t="inlineStr">
        <is>
          <t>الجوف</t>
        </is>
      </c>
      <c r="F734" s="78" t="inlineStr">
        <is>
          <t>طبرجل</t>
        </is>
      </c>
      <c r="G734" s="78" t="inlineStr">
        <is>
          <t>تحت 11</t>
        </is>
      </c>
      <c r="H734" s="78" t="n">
        <v>1</v>
      </c>
    </row>
    <row r="735">
      <c r="B735" s="78" t="inlineStr">
        <is>
          <t>K425</t>
        </is>
      </c>
      <c r="C735" s="78" t="e">
        <v>#REF!</v>
      </c>
      <c r="D735" s="78" t="inlineStr">
        <is>
          <t>نادي السهام</t>
        </is>
      </c>
      <c r="E735" s="78" t="inlineStr">
        <is>
          <t>نجران</t>
        </is>
      </c>
      <c r="F735" s="78" t="inlineStr">
        <is>
          <t>شرورة</t>
        </is>
      </c>
      <c r="G735" s="78" t="inlineStr">
        <is>
          <t>تحت 14</t>
        </is>
      </c>
      <c r="H735" s="78" t="n">
        <v>1</v>
      </c>
    </row>
    <row r="736">
      <c r="B736" s="78" t="inlineStr">
        <is>
          <t>M425</t>
        </is>
      </c>
      <c r="C736" s="78" t="e">
        <v>#REF!</v>
      </c>
      <c r="D736" s="78" t="inlineStr">
        <is>
          <t>نادي السهام</t>
        </is>
      </c>
      <c r="E736" s="78" t="inlineStr">
        <is>
          <t>نجران</t>
        </is>
      </c>
      <c r="F736" s="78" t="inlineStr">
        <is>
          <t>شرورة</t>
        </is>
      </c>
      <c r="G736" s="78" t="inlineStr">
        <is>
          <t>تحت 12</t>
        </is>
      </c>
      <c r="H736" s="78" t="n">
        <v>1</v>
      </c>
    </row>
    <row r="737">
      <c r="B737" s="78" t="inlineStr">
        <is>
          <t>N425</t>
        </is>
      </c>
      <c r="C737" s="78" t="e">
        <v>#REF!</v>
      </c>
      <c r="D737" s="78" t="inlineStr">
        <is>
          <t>نادي السهام</t>
        </is>
      </c>
      <c r="E737" s="78" t="inlineStr">
        <is>
          <t>نجران</t>
        </is>
      </c>
      <c r="F737" s="78" t="inlineStr">
        <is>
          <t>شرورة</t>
        </is>
      </c>
      <c r="G737" s="78" t="inlineStr">
        <is>
          <t>تحت 11</t>
        </is>
      </c>
      <c r="H737" s="78" t="n">
        <v>1</v>
      </c>
    </row>
    <row r="738">
      <c r="B738" s="78" t="inlineStr">
        <is>
          <t>L457</t>
        </is>
      </c>
      <c r="C738" s="78" t="e">
        <v>#REF!</v>
      </c>
      <c r="D738" s="78" t="inlineStr">
        <is>
          <t>اكاديمية البندر</t>
        </is>
      </c>
      <c r="E738" s="78" t="inlineStr">
        <is>
          <t>الجوف</t>
        </is>
      </c>
      <c r="F738" s="78" t="inlineStr">
        <is>
          <t>طبرجل</t>
        </is>
      </c>
      <c r="G738" s="78" t="inlineStr">
        <is>
          <t>تحت 13</t>
        </is>
      </c>
      <c r="H738" s="78" t="n">
        <v>1</v>
      </c>
    </row>
    <row r="739">
      <c r="B739" s="78" t="inlineStr">
        <is>
          <t>N457</t>
        </is>
      </c>
      <c r="C739" s="78" t="e">
        <v>#REF!</v>
      </c>
      <c r="D739" s="78" t="inlineStr">
        <is>
          <t>اكاديمية البندر</t>
        </is>
      </c>
      <c r="E739" s="78" t="inlineStr">
        <is>
          <t>الجوف</t>
        </is>
      </c>
      <c r="F739" s="78" t="inlineStr">
        <is>
          <t>طبرجل</t>
        </is>
      </c>
      <c r="G739" s="78" t="inlineStr">
        <is>
          <t>تحت 11</t>
        </is>
      </c>
      <c r="H739" s="78" t="n">
        <v>1</v>
      </c>
    </row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Alnajjar</dc:creator>
  <dcterms:created xsi:type="dcterms:W3CDTF">2026-08-03T06:23:51Z</dcterms:created>
  <dcterms:modified xsi:type="dcterms:W3CDTF">2026-10-04T14:27:32Z</dcterms:modified>
  <cp:lastModifiedBy>Hassan Alhayek</cp:lastModifiedBy>
  <cp:lastPrinted>2026-10-04T11:18:38Z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0x010100AFBC82852503AF4EAB2EF5018DE9DEC7</vt:lpwstr>
  </property>
  <property name="MediaServiceImageTags" fmtid="{D5CDD505-2E9C-101B-9397-08002B2CF9AE}" pid="3">
    <vt:lpwstr/>
  </property>
</Properties>
</file>