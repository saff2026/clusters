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reativeartistsagencygbr.sharepoint.com/sites/NFSIMPLEMENTATIONSAFF/Shared Documents/04 Deliverables WIP/SAFF 2025 Plan/Competitions restructure/Youth Competitions/Analysis/Schedule Analysis/"/>
    </mc:Choice>
  </mc:AlternateContent>
  <xr:revisionPtr revIDLastSave="21743" documentId="8_{424DDBB3-633A-47D0-8370-E711FD386E5A}" xr6:coauthVersionLast="47" xr6:coauthVersionMax="47" xr10:uidLastSave="{0BE3C4B8-076F-4087-BC6B-14EB532093F7}"/>
  <bookViews>
    <workbookView xWindow="28680" yWindow="-120" windowWidth="29040" windowHeight="15720" tabRatio="887" firstSheet="2" activeTab="16" xr2:uid="{00000000-000D-0000-FFFF-FFFF00000000}"/>
  </bookViews>
  <sheets>
    <sheet name="أسماء المجموعات" sheetId="78" r:id="rId1"/>
    <sheet name="المدخلات" sheetId="16" r:id="rId2"/>
    <sheet name="المبادئ" sheetId="50" r:id="rId3"/>
    <sheet name="ملخص البطولات" sheetId="15" r:id="rId4"/>
    <sheet name="ملخص المجموعات" sheetId="80" r:id="rId5"/>
    <sheet name="5 فرق" sheetId="74" r:id="rId6"/>
    <sheet name="6 فرق" sheetId="2" r:id="rId7"/>
    <sheet name="7 فرق" sheetId="67" r:id="rId8"/>
    <sheet name="8 فرق" sheetId="6" r:id="rId9"/>
    <sheet name="9 فرق" sheetId="68" r:id="rId10"/>
    <sheet name="11 فريقًا" sheetId="75" r:id="rId11"/>
    <sheet name="12 فريقًا" sheetId="60" r:id="rId12"/>
    <sheet name="13 فريقًا" sheetId="71" r:id="rId13"/>
    <sheet name="15 فريقًا" sheetId="76" r:id="rId14"/>
    <sheet name="16 فريقًا" sheetId="77" r:id="rId15"/>
    <sheet name="17 فريقًا" sheetId="69" r:id="rId16"/>
    <sheet name="22 فريقًا" sheetId="61" r:id="rId17"/>
    <sheet name="الحكام" sheetId="81" r:id="rId18"/>
    <sheet name="حكام تحت 5 تفصيلي" sheetId="83" r:id="rId19"/>
  </sheets>
  <externalReferences>
    <externalReference r:id="rId20"/>
  </externalReferences>
  <definedNames>
    <definedName name="الحد_الأدنى">[1]المدخلات!$N$3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3" l="1"/>
  <c r="B5" i="83"/>
  <c r="B6" i="83"/>
  <c r="B7" i="83"/>
  <c r="B8" i="83"/>
  <c r="B9" i="83"/>
  <c r="B10" i="83"/>
  <c r="B11" i="83"/>
  <c r="B12" i="83"/>
  <c r="B13" i="83"/>
  <c r="B14" i="83"/>
  <c r="B15" i="83"/>
  <c r="B16" i="83"/>
  <c r="B17" i="83"/>
  <c r="B18" i="83"/>
  <c r="B19" i="83"/>
  <c r="B20" i="83"/>
  <c r="B21" i="83"/>
  <c r="B22" i="83"/>
  <c r="B23" i="83"/>
  <c r="B24" i="83"/>
  <c r="A4" i="83"/>
  <c r="C25" i="83" s="1"/>
  <c r="C4" i="83"/>
  <c r="D4" i="83" s="1"/>
  <c r="E4" i="83"/>
  <c r="G4" i="83"/>
  <c r="A5" i="83"/>
  <c r="C5" i="83"/>
  <c r="D5" i="83"/>
  <c r="E5" i="83"/>
  <c r="F5" i="83"/>
  <c r="G5" i="83"/>
  <c r="A6" i="83"/>
  <c r="C6" i="83"/>
  <c r="D6" i="83" s="1"/>
  <c r="E6" i="83"/>
  <c r="A7" i="83"/>
  <c r="C7" i="83"/>
  <c r="D7" i="83"/>
  <c r="E7" i="83"/>
  <c r="F7" i="83"/>
  <c r="G7" i="83"/>
  <c r="H7" i="83"/>
  <c r="A8" i="83"/>
  <c r="C8" i="83"/>
  <c r="D8" i="83" s="1"/>
  <c r="E8" i="83"/>
  <c r="G8" i="83"/>
  <c r="A9" i="83"/>
  <c r="C9" i="83"/>
  <c r="D9" i="83" s="1"/>
  <c r="A10" i="83"/>
  <c r="C10" i="83"/>
  <c r="D10" i="83" s="1"/>
  <c r="E10" i="83"/>
  <c r="G10" i="83"/>
  <c r="A11" i="83"/>
  <c r="C11" i="83"/>
  <c r="D11" i="83"/>
  <c r="E11" i="83"/>
  <c r="G11" i="83"/>
  <c r="A12" i="83"/>
  <c r="C12" i="83"/>
  <c r="D12" i="83" s="1"/>
  <c r="E12" i="83"/>
  <c r="G12" i="83"/>
  <c r="A13" i="83"/>
  <c r="C13" i="83"/>
  <c r="D13" i="83"/>
  <c r="E13" i="83"/>
  <c r="G13" i="83"/>
  <c r="A14" i="83"/>
  <c r="C14" i="83"/>
  <c r="D14" i="83" s="1"/>
  <c r="E14" i="83"/>
  <c r="G14" i="83"/>
  <c r="A15" i="83"/>
  <c r="C15" i="83"/>
  <c r="D15" i="83"/>
  <c r="E15" i="83"/>
  <c r="F15" i="83"/>
  <c r="G15" i="83"/>
  <c r="A16" i="83"/>
  <c r="C16" i="83"/>
  <c r="D16" i="83" s="1"/>
  <c r="E16" i="83"/>
  <c r="G16" i="83"/>
  <c r="A17" i="83"/>
  <c r="C17" i="83"/>
  <c r="G17" i="83" s="1"/>
  <c r="D17" i="83"/>
  <c r="E17" i="83"/>
  <c r="F17" i="83"/>
  <c r="H17" i="83" s="1"/>
  <c r="A18" i="83"/>
  <c r="C18" i="83"/>
  <c r="D18" i="83" s="1"/>
  <c r="E18" i="83"/>
  <c r="G18" i="83"/>
  <c r="A19" i="83"/>
  <c r="C19" i="83"/>
  <c r="D19" i="83"/>
  <c r="E19" i="83"/>
  <c r="F19" i="83"/>
  <c r="G19" i="83"/>
  <c r="H19" i="83"/>
  <c r="A20" i="83"/>
  <c r="C20" i="83"/>
  <c r="D20" i="83" s="1"/>
  <c r="E20" i="83"/>
  <c r="G20" i="83"/>
  <c r="A21" i="83"/>
  <c r="C21" i="83"/>
  <c r="D21" i="83"/>
  <c r="E21" i="83"/>
  <c r="F21" i="83" s="1"/>
  <c r="G21" i="83"/>
  <c r="A22" i="83"/>
  <c r="C22" i="83"/>
  <c r="D22" i="83" s="1"/>
  <c r="E22" i="83"/>
  <c r="G22" i="83"/>
  <c r="A23" i="83"/>
  <c r="C23" i="83"/>
  <c r="D23" i="83" s="1"/>
  <c r="A24" i="83"/>
  <c r="C24" i="83"/>
  <c r="D24" i="83" s="1"/>
  <c r="E24" i="83"/>
  <c r="G24" i="83"/>
  <c r="I5" i="81"/>
  <c r="D5" i="81" s="1"/>
  <c r="M4" i="81"/>
  <c r="N4" i="81"/>
  <c r="O4" i="81"/>
  <c r="I4" i="81" s="1"/>
  <c r="D4" i="81" s="1"/>
  <c r="P4" i="81"/>
  <c r="Q4" i="81"/>
  <c r="R4" i="81"/>
  <c r="S4" i="81"/>
  <c r="M5" i="81"/>
  <c r="N5" i="81"/>
  <c r="O5" i="81"/>
  <c r="P5" i="81"/>
  <c r="Q5" i="81"/>
  <c r="R5" i="81"/>
  <c r="S5" i="81"/>
  <c r="M6" i="81"/>
  <c r="N6" i="81"/>
  <c r="O6" i="81"/>
  <c r="P6" i="81"/>
  <c r="Q6" i="81"/>
  <c r="I6" i="81" s="1"/>
  <c r="D6" i="81" s="1"/>
  <c r="R6" i="81"/>
  <c r="S6" i="81"/>
  <c r="M7" i="81"/>
  <c r="I7" i="81" s="1"/>
  <c r="D7" i="81" s="1"/>
  <c r="E7" i="81" s="1"/>
  <c r="N7" i="81"/>
  <c r="O7" i="81"/>
  <c r="P7" i="81"/>
  <c r="Q7" i="81"/>
  <c r="R7" i="81"/>
  <c r="S7" i="81"/>
  <c r="M8" i="81"/>
  <c r="I8" i="81" s="1"/>
  <c r="D8" i="81" s="1"/>
  <c r="N8" i="81"/>
  <c r="O8" i="81"/>
  <c r="P8" i="81"/>
  <c r="Q8" i="81"/>
  <c r="R8" i="81"/>
  <c r="S8" i="81"/>
  <c r="M9" i="81"/>
  <c r="I9" i="81" s="1"/>
  <c r="D9" i="81" s="1"/>
  <c r="E9" i="81" s="1"/>
  <c r="N9" i="81"/>
  <c r="O9" i="81"/>
  <c r="P9" i="81"/>
  <c r="Q9" i="81"/>
  <c r="R9" i="81"/>
  <c r="S9" i="81"/>
  <c r="M10" i="81"/>
  <c r="I10" i="81" s="1"/>
  <c r="D10" i="81" s="1"/>
  <c r="N10" i="81"/>
  <c r="O10" i="81"/>
  <c r="P10" i="81"/>
  <c r="Q10" i="81"/>
  <c r="R10" i="81"/>
  <c r="S10" i="81"/>
  <c r="M11" i="81"/>
  <c r="I11" i="81" s="1"/>
  <c r="D11" i="81" s="1"/>
  <c r="E11" i="81" s="1"/>
  <c r="N11" i="81"/>
  <c r="O11" i="81"/>
  <c r="P11" i="81"/>
  <c r="Q11" i="81"/>
  <c r="R11" i="81"/>
  <c r="S11" i="81"/>
  <c r="M12" i="81"/>
  <c r="I12" i="81" s="1"/>
  <c r="D12" i="81" s="1"/>
  <c r="N12" i="81"/>
  <c r="O12" i="81"/>
  <c r="P12" i="81"/>
  <c r="Q12" i="81"/>
  <c r="R12" i="81"/>
  <c r="S12" i="81"/>
  <c r="M13" i="81"/>
  <c r="N13" i="81"/>
  <c r="O13" i="81"/>
  <c r="P13" i="81"/>
  <c r="Q13" i="81"/>
  <c r="I13" i="81" s="1"/>
  <c r="D13" i="81" s="1"/>
  <c r="E13" i="81" s="1"/>
  <c r="R13" i="81"/>
  <c r="S13" i="81"/>
  <c r="M14" i="81"/>
  <c r="I14" i="81" s="1"/>
  <c r="D14" i="81" s="1"/>
  <c r="N14" i="81"/>
  <c r="O14" i="81"/>
  <c r="P14" i="81"/>
  <c r="Q14" i="81"/>
  <c r="R14" i="81"/>
  <c r="S14" i="81"/>
  <c r="M15" i="81"/>
  <c r="N15" i="81"/>
  <c r="O15" i="81"/>
  <c r="P15" i="81"/>
  <c r="Q15" i="81"/>
  <c r="R15" i="81"/>
  <c r="I15" i="81" s="1"/>
  <c r="D15" i="81" s="1"/>
  <c r="E15" i="81" s="1"/>
  <c r="S15" i="81"/>
  <c r="H4" i="81"/>
  <c r="H5" i="81"/>
  <c r="H6" i="81"/>
  <c r="H7" i="81"/>
  <c r="H8" i="81"/>
  <c r="H9" i="81"/>
  <c r="H10" i="81"/>
  <c r="H11" i="81"/>
  <c r="H12" i="81"/>
  <c r="H13" i="81"/>
  <c r="H14" i="81"/>
  <c r="H15" i="81"/>
  <c r="B16" i="81"/>
  <c r="A4" i="81"/>
  <c r="B4" i="81"/>
  <c r="C4" i="81"/>
  <c r="A5" i="81"/>
  <c r="B5" i="81"/>
  <c r="F5" i="81" s="1"/>
  <c r="C5" i="81"/>
  <c r="A6" i="81"/>
  <c r="B6" i="81"/>
  <c r="C6" i="81"/>
  <c r="A7" i="81"/>
  <c r="B7" i="81"/>
  <c r="F7" i="81" s="1"/>
  <c r="C7" i="81"/>
  <c r="A8" i="81"/>
  <c r="B8" i="81"/>
  <c r="C8" i="81"/>
  <c r="A9" i="81"/>
  <c r="B9" i="81"/>
  <c r="F9" i="81" s="1"/>
  <c r="C9" i="81"/>
  <c r="A10" i="81"/>
  <c r="B10" i="81"/>
  <c r="C10" i="81"/>
  <c r="A11" i="81"/>
  <c r="B11" i="81"/>
  <c r="F11" i="81" s="1"/>
  <c r="C11" i="81"/>
  <c r="A12" i="81"/>
  <c r="B12" i="81"/>
  <c r="C12" i="81"/>
  <c r="A13" i="81"/>
  <c r="B13" i="81"/>
  <c r="F13" i="81" s="1"/>
  <c r="C13" i="81"/>
  <c r="A14" i="81"/>
  <c r="B14" i="81"/>
  <c r="C14" i="81"/>
  <c r="A15" i="81"/>
  <c r="B15" i="81"/>
  <c r="F15" i="81" s="1"/>
  <c r="C15" i="81"/>
  <c r="H5" i="83" l="1"/>
  <c r="H21" i="83"/>
  <c r="F18" i="83"/>
  <c r="H18" i="83" s="1"/>
  <c r="H15" i="83"/>
  <c r="G9" i="83"/>
  <c r="F6" i="83"/>
  <c r="H6" i="83" s="1"/>
  <c r="F11" i="83"/>
  <c r="H11" i="83" s="1"/>
  <c r="F16" i="83"/>
  <c r="G23" i="83"/>
  <c r="E23" i="83"/>
  <c r="F23" i="83" s="1"/>
  <c r="H23" i="83" s="1"/>
  <c r="E9" i="83"/>
  <c r="F9" i="83" s="1"/>
  <c r="H9" i="83" s="1"/>
  <c r="F13" i="83"/>
  <c r="H13" i="83" s="1"/>
  <c r="G6" i="83"/>
  <c r="F24" i="83"/>
  <c r="H24" i="83" s="1"/>
  <c r="F14" i="83"/>
  <c r="H14" i="83" s="1"/>
  <c r="F10" i="83"/>
  <c r="H10" i="83" s="1"/>
  <c r="F20" i="83"/>
  <c r="H20" i="83" s="1"/>
  <c r="F12" i="83"/>
  <c r="H12" i="83" s="1"/>
  <c r="F22" i="83"/>
  <c r="H22" i="83" s="1"/>
  <c r="F4" i="83"/>
  <c r="H16" i="83"/>
  <c r="D25" i="83"/>
  <c r="F8" i="83"/>
  <c r="H8" i="83" s="1"/>
  <c r="E6" i="81"/>
  <c r="G6" i="81" s="1"/>
  <c r="J6" i="81" s="1"/>
  <c r="E8" i="81"/>
  <c r="G8" i="81" s="1"/>
  <c r="J8" i="81" s="1"/>
  <c r="E10" i="81"/>
  <c r="G10" i="81" s="1"/>
  <c r="J10" i="81" s="1"/>
  <c r="E5" i="81"/>
  <c r="E14" i="81"/>
  <c r="G14" i="81" s="1"/>
  <c r="J14" i="81" s="1"/>
  <c r="E4" i="81"/>
  <c r="G4" i="81" s="1"/>
  <c r="J4" i="81" s="1"/>
  <c r="E12" i="81"/>
  <c r="G12" i="81" s="1"/>
  <c r="J12" i="81" s="1"/>
  <c r="G15" i="81"/>
  <c r="J15" i="81" s="1"/>
  <c r="G13" i="81"/>
  <c r="J13" i="81" s="1"/>
  <c r="G11" i="81"/>
  <c r="J11" i="81" s="1"/>
  <c r="G9" i="81"/>
  <c r="J9" i="81" s="1"/>
  <c r="G7" i="81"/>
  <c r="J7" i="81" s="1"/>
  <c r="G5" i="81"/>
  <c r="J5" i="81" s="1"/>
  <c r="F14" i="81"/>
  <c r="F12" i="81"/>
  <c r="F10" i="81"/>
  <c r="F8" i="81"/>
  <c r="F6" i="81"/>
  <c r="F4" i="81"/>
  <c r="F16" i="81" s="1"/>
  <c r="H4" i="83" l="1"/>
  <c r="H25" i="83" s="1"/>
  <c r="A27" i="83" s="1"/>
  <c r="F25" i="83"/>
  <c r="J16" i="81"/>
  <c r="G16" i="81"/>
  <c r="J9" i="80" l="1"/>
  <c r="J7" i="80"/>
  <c r="J5" i="80"/>
  <c r="J4" i="80"/>
  <c r="A4" i="80" l="1"/>
  <c r="C4" i="80" s="1"/>
  <c r="B4" i="80"/>
  <c r="D4" i="80"/>
  <c r="E4" i="80" s="1"/>
  <c r="G4" i="80"/>
  <c r="H4" i="80" s="1"/>
  <c r="I4" i="80"/>
  <c r="A5" i="80"/>
  <c r="G5" i="80" s="1"/>
  <c r="B5" i="80"/>
  <c r="C5" i="80"/>
  <c r="D5" i="80"/>
  <c r="I5" i="80"/>
  <c r="A6" i="80"/>
  <c r="C6" i="80" s="1"/>
  <c r="B6" i="80"/>
  <c r="D6" i="80"/>
  <c r="G6" i="80"/>
  <c r="H6" i="80"/>
  <c r="I6" i="80"/>
  <c r="A7" i="80"/>
  <c r="B7" i="80"/>
  <c r="C7" i="80"/>
  <c r="D7" i="80"/>
  <c r="G7" i="80"/>
  <c r="H7" i="80"/>
  <c r="I7" i="80"/>
  <c r="A8" i="80"/>
  <c r="C8" i="80" s="1"/>
  <c r="B8" i="80"/>
  <c r="D8" i="80"/>
  <c r="I8" i="80"/>
  <c r="A9" i="80"/>
  <c r="G9" i="80" s="1"/>
  <c r="B9" i="80"/>
  <c r="C9" i="80"/>
  <c r="D9" i="80"/>
  <c r="I9" i="80"/>
  <c r="G14" i="15"/>
  <c r="F14" i="15"/>
  <c r="E14" i="15"/>
  <c r="D14" i="15"/>
  <c r="G12" i="15"/>
  <c r="F12" i="15"/>
  <c r="E12" i="15"/>
  <c r="D12" i="15"/>
  <c r="B66" i="69"/>
  <c r="B65" i="69"/>
  <c r="B64" i="69"/>
  <c r="B63" i="69"/>
  <c r="B62" i="69"/>
  <c r="B61" i="69"/>
  <c r="B60" i="69"/>
  <c r="B59" i="69"/>
  <c r="B58" i="69"/>
  <c r="S4" i="69" a="1"/>
  <c r="S4" i="69" s="1"/>
  <c r="T4" i="69" a="1"/>
  <c r="T4" i="69" s="1"/>
  <c r="U4" i="69" a="1"/>
  <c r="U4" i="69" s="1"/>
  <c r="V4" i="69" a="1"/>
  <c r="V4" i="69" s="1"/>
  <c r="S5" i="69" a="1"/>
  <c r="S5" i="69"/>
  <c r="T5" i="69" a="1"/>
  <c r="T5" i="69"/>
  <c r="U5" i="69" a="1"/>
  <c r="U5" i="69" s="1"/>
  <c r="V5" i="69" a="1"/>
  <c r="V5" i="69" s="1"/>
  <c r="S6" i="69" a="1"/>
  <c r="S6" i="69" s="1"/>
  <c r="T6" i="69" a="1"/>
  <c r="T6" i="69" s="1"/>
  <c r="U6" i="69" a="1"/>
  <c r="U6" i="69" s="1"/>
  <c r="V6" i="69" a="1"/>
  <c r="V6" i="69" s="1"/>
  <c r="S7" i="69" a="1"/>
  <c r="S7" i="69" s="1"/>
  <c r="T7" i="69" a="1"/>
  <c r="T7" i="69" s="1"/>
  <c r="U7" i="69" a="1"/>
  <c r="U7" i="69"/>
  <c r="V7" i="69" a="1"/>
  <c r="V7" i="69"/>
  <c r="S8" i="69" a="1"/>
  <c r="S8" i="69" s="1"/>
  <c r="T8" i="69" a="1"/>
  <c r="T8" i="69" s="1"/>
  <c r="U8" i="69" a="1"/>
  <c r="U8" i="69" s="1"/>
  <c r="V8" i="69" a="1"/>
  <c r="V8" i="69"/>
  <c r="S9" i="69" a="1"/>
  <c r="S9" i="69" s="1"/>
  <c r="W9" i="69" s="1"/>
  <c r="T9" i="69" a="1"/>
  <c r="T9" i="69"/>
  <c r="U9" i="69" a="1"/>
  <c r="U9" i="69"/>
  <c r="V9" i="69" a="1"/>
  <c r="V9" i="69"/>
  <c r="S10" i="69" a="1"/>
  <c r="S10" i="69"/>
  <c r="T10" i="69" a="1"/>
  <c r="T10" i="69" s="1"/>
  <c r="U10" i="69" a="1"/>
  <c r="U10" i="69" s="1"/>
  <c r="V10" i="69" a="1"/>
  <c r="V10" i="69" s="1"/>
  <c r="S11" i="69" a="1"/>
  <c r="S11" i="69"/>
  <c r="T11" i="69" a="1"/>
  <c r="T11" i="69"/>
  <c r="W11" i="69" s="1"/>
  <c r="U11" i="69" a="1"/>
  <c r="U11" i="69"/>
  <c r="V11" i="69" a="1"/>
  <c r="V11" i="69" s="1"/>
  <c r="S12" i="69" a="1"/>
  <c r="S12" i="69" s="1"/>
  <c r="T12" i="69" a="1"/>
  <c r="T12" i="69" s="1"/>
  <c r="U12" i="69" a="1"/>
  <c r="U12" i="69" s="1"/>
  <c r="V12" i="69" a="1"/>
  <c r="V12" i="69" s="1"/>
  <c r="S13" i="69" a="1"/>
  <c r="S13" i="69"/>
  <c r="T13" i="69" a="1"/>
  <c r="T13" i="69" s="1"/>
  <c r="U13" i="69" a="1"/>
  <c r="U13" i="69" s="1"/>
  <c r="V13" i="69" a="1"/>
  <c r="V13" i="69"/>
  <c r="S14" i="69" a="1"/>
  <c r="S14" i="69" s="1"/>
  <c r="T14" i="69" a="1"/>
  <c r="T14" i="69" s="1"/>
  <c r="U14" i="69" a="1"/>
  <c r="U14" i="69" s="1"/>
  <c r="V14" i="69" a="1"/>
  <c r="V14" i="69" s="1"/>
  <c r="S15" i="69" a="1"/>
  <c r="S15" i="69" s="1"/>
  <c r="W15" i="69" s="1"/>
  <c r="T15" i="69" a="1"/>
  <c r="T15" i="69" s="1"/>
  <c r="U15" i="69" a="1"/>
  <c r="U15" i="69"/>
  <c r="V15" i="69" a="1"/>
  <c r="V15" i="69"/>
  <c r="S16" i="69" a="1"/>
  <c r="S16" i="69" s="1"/>
  <c r="T16" i="69" a="1"/>
  <c r="T16" i="69" s="1"/>
  <c r="U16" i="69" a="1"/>
  <c r="U16" i="69"/>
  <c r="V16" i="69" a="1"/>
  <c r="V16" i="69"/>
  <c r="S17" i="69" a="1"/>
  <c r="S17" i="69"/>
  <c r="T17" i="69" a="1"/>
  <c r="T17" i="69" s="1"/>
  <c r="W17" i="69" s="1"/>
  <c r="U17" i="69" a="1"/>
  <c r="U17" i="69"/>
  <c r="V17" i="69" a="1"/>
  <c r="V17" i="69"/>
  <c r="S18" i="69" a="1"/>
  <c r="S18" i="69" s="1"/>
  <c r="T18" i="69" a="1"/>
  <c r="T18" i="69" s="1"/>
  <c r="U18" i="69" a="1"/>
  <c r="U18" i="69" s="1"/>
  <c r="V18" i="69" a="1"/>
  <c r="V18" i="69" s="1"/>
  <c r="S19" i="69" a="1"/>
  <c r="S19" i="69" s="1"/>
  <c r="T19" i="69" a="1"/>
  <c r="T19" i="69" s="1"/>
  <c r="U19" i="69" a="1"/>
  <c r="U19" i="69" s="1"/>
  <c r="V19" i="69" a="1"/>
  <c r="V19" i="69" s="1"/>
  <c r="S20" i="69" a="1"/>
  <c r="S20" i="69" s="1"/>
  <c r="T20" i="69" a="1"/>
  <c r="T20" i="69" s="1"/>
  <c r="U20" i="69" a="1"/>
  <c r="U20" i="69" s="1"/>
  <c r="V20" i="69" a="1"/>
  <c r="V20" i="69" s="1"/>
  <c r="P4" i="69"/>
  <c r="P5" i="69"/>
  <c r="P6" i="69"/>
  <c r="P7" i="69"/>
  <c r="P8" i="69"/>
  <c r="P9" i="69"/>
  <c r="P10" i="69"/>
  <c r="P11" i="69"/>
  <c r="P12" i="69"/>
  <c r="P13" i="69"/>
  <c r="P14" i="69"/>
  <c r="P15" i="69"/>
  <c r="P16" i="69"/>
  <c r="P17" i="69"/>
  <c r="P18" i="69"/>
  <c r="P19" i="69"/>
  <c r="P20" i="69"/>
  <c r="P21" i="69"/>
  <c r="P22" i="69"/>
  <c r="P23" i="69"/>
  <c r="P24" i="69"/>
  <c r="P25" i="69"/>
  <c r="P26" i="69"/>
  <c r="P27" i="69"/>
  <c r="P28" i="69"/>
  <c r="P29" i="69"/>
  <c r="P30" i="69"/>
  <c r="P31" i="69"/>
  <c r="P32" i="69"/>
  <c r="P33" i="69"/>
  <c r="P34" i="69"/>
  <c r="P35" i="69"/>
  <c r="P36" i="69"/>
  <c r="P37" i="69"/>
  <c r="P38" i="69"/>
  <c r="P39" i="69"/>
  <c r="P40" i="69"/>
  <c r="P41" i="69"/>
  <c r="P42" i="69"/>
  <c r="P43" i="69"/>
  <c r="P44" i="69"/>
  <c r="P45" i="69"/>
  <c r="P46" i="69"/>
  <c r="P47" i="69"/>
  <c r="P48" i="69"/>
  <c r="P49" i="69"/>
  <c r="P50" i="69"/>
  <c r="P51" i="69"/>
  <c r="P52" i="69"/>
  <c r="P53" i="69"/>
  <c r="P54" i="69"/>
  <c r="P55" i="69"/>
  <c r="P56" i="69"/>
  <c r="P57" i="69"/>
  <c r="P58" i="69"/>
  <c r="P59" i="69"/>
  <c r="P60" i="69"/>
  <c r="P61" i="69"/>
  <c r="P62" i="69"/>
  <c r="P63" i="69"/>
  <c r="P64" i="69"/>
  <c r="P65" i="69"/>
  <c r="P66" i="69"/>
  <c r="M58" i="69"/>
  <c r="L58" i="69"/>
  <c r="K58" i="69"/>
  <c r="M49" i="69"/>
  <c r="L49" i="69"/>
  <c r="K49" i="69"/>
  <c r="M40" i="69"/>
  <c r="L40" i="69"/>
  <c r="K40" i="69"/>
  <c r="M31" i="69"/>
  <c r="L31" i="69"/>
  <c r="K31" i="69"/>
  <c r="M22" i="69"/>
  <c r="L22" i="69"/>
  <c r="K22" i="69"/>
  <c r="M13" i="69"/>
  <c r="L13" i="69"/>
  <c r="K13" i="69"/>
  <c r="M4" i="69"/>
  <c r="L4" i="69"/>
  <c r="K4" i="69"/>
  <c r="B66" i="76"/>
  <c r="B65" i="76"/>
  <c r="B64" i="76"/>
  <c r="B63" i="76"/>
  <c r="B62" i="76"/>
  <c r="B61" i="76"/>
  <c r="B60" i="76"/>
  <c r="B59" i="76"/>
  <c r="B58" i="76"/>
  <c r="P4" i="76" a="1"/>
  <c r="P4" i="76" s="1"/>
  <c r="Q4" i="76" a="1"/>
  <c r="Q4" i="76" s="1"/>
  <c r="R4" i="76" a="1"/>
  <c r="R4" i="76" s="1"/>
  <c r="S4" i="76" a="1"/>
  <c r="S4" i="76" s="1"/>
  <c r="P5" i="76" a="1"/>
  <c r="P5" i="76"/>
  <c r="Q5" i="76" a="1"/>
  <c r="Q5" i="76" s="1"/>
  <c r="R5" i="76" a="1"/>
  <c r="R5" i="76" s="1"/>
  <c r="S5" i="76" a="1"/>
  <c r="S5" i="76" s="1"/>
  <c r="P6" i="76" a="1"/>
  <c r="P6" i="76" s="1"/>
  <c r="Q6" i="76" a="1"/>
  <c r="Q6" i="76" s="1"/>
  <c r="R6" i="76" a="1"/>
  <c r="R6" i="76" s="1"/>
  <c r="S6" i="76" a="1"/>
  <c r="S6" i="76" s="1"/>
  <c r="P7" i="76" a="1"/>
  <c r="P7" i="76" s="1"/>
  <c r="T7" i="76" s="1"/>
  <c r="Q7" i="76" a="1"/>
  <c r="Q7" i="76" s="1"/>
  <c r="R7" i="76" a="1"/>
  <c r="R7" i="76" s="1"/>
  <c r="S7" i="76" a="1"/>
  <c r="S7" i="76"/>
  <c r="P8" i="76" a="1"/>
  <c r="P8" i="76" s="1"/>
  <c r="Q8" i="76" a="1"/>
  <c r="Q8" i="76" s="1"/>
  <c r="R8" i="76" a="1"/>
  <c r="R8" i="76"/>
  <c r="S8" i="76" a="1"/>
  <c r="S8" i="76"/>
  <c r="P9" i="76" a="1"/>
  <c r="P9" i="76" s="1"/>
  <c r="T9" i="76" s="1"/>
  <c r="Q9" i="76" a="1"/>
  <c r="Q9" i="76"/>
  <c r="R9" i="76" a="1"/>
  <c r="R9" i="76"/>
  <c r="S9" i="76" a="1"/>
  <c r="S9" i="76"/>
  <c r="P10" i="76" a="1"/>
  <c r="P10" i="76"/>
  <c r="Q10" i="76" a="1"/>
  <c r="Q10" i="76" s="1"/>
  <c r="R10" i="76" a="1"/>
  <c r="R10" i="76" s="1"/>
  <c r="S10" i="76" a="1"/>
  <c r="S10" i="76" s="1"/>
  <c r="P11" i="76" a="1"/>
  <c r="P11" i="76" s="1"/>
  <c r="Q11" i="76" a="1"/>
  <c r="Q11" i="76"/>
  <c r="R11" i="76" a="1"/>
  <c r="R11" i="76"/>
  <c r="S11" i="76" a="1"/>
  <c r="S11" i="76" s="1"/>
  <c r="P12" i="76" a="1"/>
  <c r="P12" i="76" s="1"/>
  <c r="Q12" i="76" a="1"/>
  <c r="Q12" i="76" s="1"/>
  <c r="R12" i="76" a="1"/>
  <c r="R12" i="76" s="1"/>
  <c r="S12" i="76" a="1"/>
  <c r="S12" i="76"/>
  <c r="P13" i="76" a="1"/>
  <c r="P13" i="76"/>
  <c r="Q13" i="76" a="1"/>
  <c r="Q13" i="76" s="1"/>
  <c r="R13" i="76" a="1"/>
  <c r="R13" i="76"/>
  <c r="S13" i="76" a="1"/>
  <c r="S13" i="76"/>
  <c r="P14" i="76" a="1"/>
  <c r="P14" i="76" s="1"/>
  <c r="Q14" i="76" a="1"/>
  <c r="Q14" i="76" s="1"/>
  <c r="R14" i="76" a="1"/>
  <c r="R14" i="76" s="1"/>
  <c r="S14" i="76" a="1"/>
  <c r="S14" i="76"/>
  <c r="P15" i="76" a="1"/>
  <c r="P15" i="76" s="1"/>
  <c r="Q15" i="76" a="1"/>
  <c r="Q15" i="76" s="1"/>
  <c r="R15" i="76" a="1"/>
  <c r="R15" i="76"/>
  <c r="S15" i="76" a="1"/>
  <c r="S15" i="76"/>
  <c r="P16" i="76" a="1"/>
  <c r="P16" i="76" s="1"/>
  <c r="Q16" i="76" a="1"/>
  <c r="Q16" i="76" s="1"/>
  <c r="R16" i="76" a="1"/>
  <c r="R16" i="76"/>
  <c r="S16" i="76" a="1"/>
  <c r="S16" i="76" s="1"/>
  <c r="P17" i="76" a="1"/>
  <c r="P17" i="76"/>
  <c r="Q17" i="76" a="1"/>
  <c r="Q17" i="76" s="1"/>
  <c r="T17" i="76" s="1"/>
  <c r="R17" i="76" a="1"/>
  <c r="R17" i="76"/>
  <c r="S17" i="76" a="1"/>
  <c r="S17" i="76"/>
  <c r="P18" i="76" a="1"/>
  <c r="P18" i="76" s="1"/>
  <c r="Q18" i="76" a="1"/>
  <c r="Q18" i="76" s="1"/>
  <c r="R18" i="76" a="1"/>
  <c r="R18" i="76" s="1"/>
  <c r="S18" i="76" a="1"/>
  <c r="S18" i="76" s="1"/>
  <c r="M4" i="76"/>
  <c r="M5" i="76"/>
  <c r="M6" i="76"/>
  <c r="M7" i="76"/>
  <c r="M8" i="76"/>
  <c r="M9" i="76"/>
  <c r="M10" i="76"/>
  <c r="M11" i="76"/>
  <c r="M12" i="76"/>
  <c r="M13" i="76"/>
  <c r="M14" i="76"/>
  <c r="M15" i="76"/>
  <c r="M16" i="76"/>
  <c r="M17" i="76"/>
  <c r="M18" i="76"/>
  <c r="M19" i="76"/>
  <c r="M20" i="76"/>
  <c r="M21" i="76"/>
  <c r="M22" i="76"/>
  <c r="M23" i="76"/>
  <c r="M24" i="76"/>
  <c r="M25" i="76"/>
  <c r="M26" i="76"/>
  <c r="M27" i="76"/>
  <c r="M28" i="76"/>
  <c r="M29" i="76"/>
  <c r="M30" i="76"/>
  <c r="M31" i="76"/>
  <c r="M32" i="76"/>
  <c r="M33" i="76"/>
  <c r="M34" i="76"/>
  <c r="M35" i="76"/>
  <c r="M36" i="76"/>
  <c r="M37" i="76"/>
  <c r="M38" i="76"/>
  <c r="M39" i="76"/>
  <c r="M40" i="76"/>
  <c r="M41" i="76"/>
  <c r="M42" i="76"/>
  <c r="M43" i="76"/>
  <c r="M44" i="76"/>
  <c r="M45" i="76"/>
  <c r="M46" i="76"/>
  <c r="M47" i="76"/>
  <c r="M48" i="76"/>
  <c r="M49" i="76"/>
  <c r="M50" i="76"/>
  <c r="M51" i="76"/>
  <c r="M52" i="76"/>
  <c r="M53" i="76"/>
  <c r="M54" i="76"/>
  <c r="M55" i="76"/>
  <c r="M56" i="76"/>
  <c r="M57" i="76"/>
  <c r="M58" i="76"/>
  <c r="M59" i="76"/>
  <c r="M60" i="76"/>
  <c r="M61" i="76"/>
  <c r="M62" i="76"/>
  <c r="M63" i="76"/>
  <c r="M64" i="76"/>
  <c r="M65" i="76"/>
  <c r="M66" i="76"/>
  <c r="K58" i="76"/>
  <c r="J58" i="76"/>
  <c r="I58" i="76"/>
  <c r="K49" i="76"/>
  <c r="J49" i="76"/>
  <c r="I49" i="76"/>
  <c r="K40" i="76"/>
  <c r="J40" i="76"/>
  <c r="I40" i="76"/>
  <c r="K31" i="76"/>
  <c r="J31" i="76"/>
  <c r="I31" i="76"/>
  <c r="K22" i="76"/>
  <c r="J22" i="76"/>
  <c r="I22" i="76"/>
  <c r="K13" i="76"/>
  <c r="J13" i="76"/>
  <c r="I13" i="76"/>
  <c r="K4" i="76"/>
  <c r="J4" i="76"/>
  <c r="I4" i="76"/>
  <c r="E7" i="80" l="1"/>
  <c r="F7" i="80" s="1"/>
  <c r="H9" i="80"/>
  <c r="E9" i="80"/>
  <c r="F9" i="80" s="1"/>
  <c r="E5" i="80"/>
  <c r="F5" i="80" s="1"/>
  <c r="H5" i="80"/>
  <c r="F4" i="80"/>
  <c r="E6" i="80"/>
  <c r="G8" i="80"/>
  <c r="W6" i="69"/>
  <c r="W19" i="69"/>
  <c r="W18" i="69"/>
  <c r="W8" i="69"/>
  <c r="W14" i="69"/>
  <c r="W10" i="69"/>
  <c r="W5" i="69"/>
  <c r="W16" i="69"/>
  <c r="W13" i="69"/>
  <c r="W20" i="69"/>
  <c r="W12" i="69"/>
  <c r="W7" i="69"/>
  <c r="W4" i="69"/>
  <c r="T16" i="76"/>
  <c r="T18" i="76"/>
  <c r="T13" i="76"/>
  <c r="T6" i="76"/>
  <c r="T5" i="76"/>
  <c r="T14" i="76"/>
  <c r="T10" i="76"/>
  <c r="T8" i="76"/>
  <c r="T15" i="76"/>
  <c r="T11" i="76"/>
  <c r="T12" i="76"/>
  <c r="T4" i="76"/>
  <c r="F6" i="80" l="1"/>
  <c r="J6" i="80" s="1"/>
  <c r="E8" i="80"/>
  <c r="H8" i="80"/>
  <c r="B31" i="15"/>
  <c r="C31" i="15"/>
  <c r="D31" i="15"/>
  <c r="E31" i="15" s="1"/>
  <c r="D15" i="15"/>
  <c r="E15" i="15"/>
  <c r="F15" i="15"/>
  <c r="G15" i="15"/>
  <c r="H15" i="15"/>
  <c r="K15" i="15"/>
  <c r="L15" i="15" s="1"/>
  <c r="H12" i="15"/>
  <c r="K12" i="15"/>
  <c r="B27" i="15"/>
  <c r="C27" i="15"/>
  <c r="D27" i="15"/>
  <c r="E27" i="15"/>
  <c r="F27" i="15" s="1"/>
  <c r="D11" i="15"/>
  <c r="E11" i="15"/>
  <c r="F11" i="15"/>
  <c r="G11" i="15"/>
  <c r="H11" i="15"/>
  <c r="K11" i="15"/>
  <c r="L11" i="15" s="1"/>
  <c r="B26" i="15"/>
  <c r="E26" i="15" s="1"/>
  <c r="F26" i="15" s="1"/>
  <c r="C26" i="15"/>
  <c r="D26" i="15"/>
  <c r="D10" i="15"/>
  <c r="E10" i="15"/>
  <c r="F10" i="15"/>
  <c r="G10" i="15"/>
  <c r="H10" i="15"/>
  <c r="K10" i="15"/>
  <c r="L10" i="15" s="1"/>
  <c r="R26" i="61"/>
  <c r="R4" i="61" a="1"/>
  <c r="R4" i="61" s="1"/>
  <c r="S4" i="61" a="1"/>
  <c r="S4" i="61" s="1"/>
  <c r="T4" i="61" a="1"/>
  <c r="T4" i="61" s="1"/>
  <c r="U4" i="61" a="1"/>
  <c r="U4" i="61" s="1"/>
  <c r="R5" i="61" a="1"/>
  <c r="R5" i="61"/>
  <c r="S5" i="61" a="1"/>
  <c r="S5" i="61" s="1"/>
  <c r="T5" i="61" a="1"/>
  <c r="T5" i="61" s="1"/>
  <c r="U5" i="61" a="1"/>
  <c r="U5" i="61" s="1"/>
  <c r="R6" i="61" a="1"/>
  <c r="R6" i="61" s="1"/>
  <c r="S6" i="61" a="1"/>
  <c r="S6" i="61" s="1"/>
  <c r="T6" i="61" a="1"/>
  <c r="T6" i="61" s="1"/>
  <c r="U6" i="61" a="1"/>
  <c r="U6" i="61" s="1"/>
  <c r="R7" i="61" a="1"/>
  <c r="R7" i="61" s="1"/>
  <c r="S7" i="61" a="1"/>
  <c r="S7" i="61" s="1"/>
  <c r="T7" i="61" a="1"/>
  <c r="T7" i="61"/>
  <c r="U7" i="61" a="1"/>
  <c r="U7" i="61" s="1"/>
  <c r="R8" i="61" a="1"/>
  <c r="R8" i="61" s="1"/>
  <c r="S8" i="61" a="1"/>
  <c r="S8" i="61" s="1"/>
  <c r="T8" i="61" a="1"/>
  <c r="T8" i="61" s="1"/>
  <c r="U8" i="61" a="1"/>
  <c r="U8" i="61" s="1"/>
  <c r="R9" i="61" a="1"/>
  <c r="R9" i="61" s="1"/>
  <c r="S9" i="61" a="1"/>
  <c r="S9" i="61" s="1"/>
  <c r="T9" i="61" a="1"/>
  <c r="T9" i="61" s="1"/>
  <c r="U9" i="61" a="1"/>
  <c r="U9" i="61" s="1"/>
  <c r="R10" i="61" a="1"/>
  <c r="R10" i="61"/>
  <c r="S10" i="61" a="1"/>
  <c r="S10" i="61" s="1"/>
  <c r="T10" i="61" a="1"/>
  <c r="T10" i="61" s="1"/>
  <c r="U10" i="61" a="1"/>
  <c r="U10" i="61" s="1"/>
  <c r="R11" i="61" a="1"/>
  <c r="R11" i="61"/>
  <c r="S11" i="61" a="1"/>
  <c r="S11" i="61" s="1"/>
  <c r="T11" i="61" a="1"/>
  <c r="T11" i="61" s="1"/>
  <c r="U11" i="61" a="1"/>
  <c r="U11" i="61" s="1"/>
  <c r="R12" i="61" a="1"/>
  <c r="R12" i="61" s="1"/>
  <c r="S12" i="61" a="1"/>
  <c r="S12" i="61" s="1"/>
  <c r="T12" i="61" a="1"/>
  <c r="T12" i="61" s="1"/>
  <c r="U12" i="61" a="1"/>
  <c r="U12" i="61" s="1"/>
  <c r="R13" i="61" a="1"/>
  <c r="R13" i="61"/>
  <c r="S13" i="61" a="1"/>
  <c r="S13" i="61" s="1"/>
  <c r="T13" i="61" a="1"/>
  <c r="T13" i="61" s="1"/>
  <c r="U13" i="61" a="1"/>
  <c r="U13" i="61" s="1"/>
  <c r="R14" i="61" a="1"/>
  <c r="R14" i="61" s="1"/>
  <c r="S14" i="61" a="1"/>
  <c r="S14" i="61" s="1"/>
  <c r="T14" i="61" a="1"/>
  <c r="T14" i="61" s="1"/>
  <c r="U14" i="61" a="1"/>
  <c r="U14" i="61" s="1"/>
  <c r="R15" i="61" a="1"/>
  <c r="R15" i="61" s="1"/>
  <c r="S15" i="61" a="1"/>
  <c r="S15" i="61" s="1"/>
  <c r="T15" i="61" a="1"/>
  <c r="T15" i="61" s="1"/>
  <c r="U15" i="61" a="1"/>
  <c r="U15" i="61"/>
  <c r="R16" i="61" a="1"/>
  <c r="R16" i="61"/>
  <c r="S16" i="61" a="1"/>
  <c r="S16" i="61" s="1"/>
  <c r="T16" i="61" a="1"/>
  <c r="T16" i="61" s="1"/>
  <c r="U16" i="61" a="1"/>
  <c r="U16" i="61" s="1"/>
  <c r="R17" i="61" a="1"/>
  <c r="R17" i="61" s="1"/>
  <c r="S17" i="61" a="1"/>
  <c r="S17" i="61"/>
  <c r="T17" i="61" a="1"/>
  <c r="T17" i="61" s="1"/>
  <c r="U17" i="61" a="1"/>
  <c r="U17" i="61" s="1"/>
  <c r="R18" i="61" a="1"/>
  <c r="R18" i="61"/>
  <c r="S18" i="61" a="1"/>
  <c r="S18" i="61" s="1"/>
  <c r="T18" i="61" a="1"/>
  <c r="T18" i="61" s="1"/>
  <c r="U18" i="61" a="1"/>
  <c r="U18" i="61" s="1"/>
  <c r="R19" i="61" a="1"/>
  <c r="R19" i="61"/>
  <c r="S19" i="61" a="1"/>
  <c r="S19" i="61" s="1"/>
  <c r="T19" i="61" a="1"/>
  <c r="T19" i="61" s="1"/>
  <c r="U19" i="61" a="1"/>
  <c r="U19" i="61"/>
  <c r="R20" i="61" a="1"/>
  <c r="R20" i="61" s="1"/>
  <c r="S20" i="61" a="1"/>
  <c r="S20" i="61" s="1"/>
  <c r="T20" i="61" a="1"/>
  <c r="T20" i="61" s="1"/>
  <c r="U20" i="61" a="1"/>
  <c r="U20" i="61" s="1"/>
  <c r="R21" i="61" a="1"/>
  <c r="R21" i="61" s="1"/>
  <c r="S21" i="61" a="1"/>
  <c r="S21" i="61" s="1"/>
  <c r="T21" i="61" a="1"/>
  <c r="T21" i="61" s="1"/>
  <c r="U21" i="61" a="1"/>
  <c r="U21" i="61" s="1"/>
  <c r="R22" i="61" a="1"/>
  <c r="R22" i="61" s="1"/>
  <c r="S22" i="61" a="1"/>
  <c r="S22" i="61" s="1"/>
  <c r="T22" i="61" a="1"/>
  <c r="T22" i="61"/>
  <c r="U22" i="61" a="1"/>
  <c r="U22" i="61" s="1"/>
  <c r="R23" i="61" a="1"/>
  <c r="R23" i="61" s="1"/>
  <c r="S23" i="61" a="1"/>
  <c r="S23" i="61" s="1"/>
  <c r="T23" i="61" a="1"/>
  <c r="T23" i="61"/>
  <c r="U23" i="61" a="1"/>
  <c r="U23" i="61" s="1"/>
  <c r="R24" i="61" a="1"/>
  <c r="R24" i="61"/>
  <c r="S24" i="61" a="1"/>
  <c r="S24" i="61"/>
  <c r="T24" i="61" a="1"/>
  <c r="T24" i="61" s="1"/>
  <c r="U24" i="61" a="1"/>
  <c r="U24" i="61" s="1"/>
  <c r="R25" i="61" a="1"/>
  <c r="R25" i="61" s="1"/>
  <c r="S25" i="61" a="1"/>
  <c r="S25" i="61"/>
  <c r="T25" i="61" a="1"/>
  <c r="T25" i="61" s="1"/>
  <c r="U25" i="61" a="1"/>
  <c r="U25" i="61" s="1"/>
  <c r="O4" i="61"/>
  <c r="O5" i="61"/>
  <c r="O6" i="61"/>
  <c r="O7" i="61"/>
  <c r="O8" i="61"/>
  <c r="O9" i="61"/>
  <c r="O10" i="61"/>
  <c r="O11" i="61"/>
  <c r="O12" i="61"/>
  <c r="O13" i="61"/>
  <c r="O14" i="61"/>
  <c r="O15" i="61"/>
  <c r="O16" i="61"/>
  <c r="O17" i="61"/>
  <c r="O18" i="61"/>
  <c r="O19" i="61"/>
  <c r="O20" i="61"/>
  <c r="O21" i="61"/>
  <c r="O22" i="61"/>
  <c r="O23" i="61"/>
  <c r="O24" i="61"/>
  <c r="O25" i="61"/>
  <c r="O26" i="61"/>
  <c r="O27" i="61"/>
  <c r="O28" i="61"/>
  <c r="O29" i="61"/>
  <c r="O30" i="61"/>
  <c r="O31" i="61"/>
  <c r="O32" i="61"/>
  <c r="O33" i="61"/>
  <c r="O34" i="61"/>
  <c r="O35" i="61"/>
  <c r="O36" i="61"/>
  <c r="O37" i="61"/>
  <c r="O38" i="61"/>
  <c r="O39" i="61"/>
  <c r="O40" i="61"/>
  <c r="O41" i="61"/>
  <c r="O42" i="61"/>
  <c r="O43" i="61"/>
  <c r="O44" i="61"/>
  <c r="O45" i="61"/>
  <c r="O46" i="61"/>
  <c r="O47" i="61"/>
  <c r="O48" i="61"/>
  <c r="B4" i="61"/>
  <c r="J15" i="15" s="1"/>
  <c r="K4" i="61"/>
  <c r="L4" i="61"/>
  <c r="M4" i="61"/>
  <c r="B5" i="61"/>
  <c r="B6" i="61"/>
  <c r="B7" i="61"/>
  <c r="B8" i="61"/>
  <c r="B9" i="61"/>
  <c r="B10" i="61"/>
  <c r="B11" i="61"/>
  <c r="B12" i="61"/>
  <c r="B13" i="61"/>
  <c r="K13" i="61"/>
  <c r="L13" i="61"/>
  <c r="M13" i="61"/>
  <c r="B14" i="61"/>
  <c r="B15" i="61"/>
  <c r="B16" i="61"/>
  <c r="B17" i="61"/>
  <c r="B18" i="61"/>
  <c r="B19" i="61"/>
  <c r="B20" i="61"/>
  <c r="B21" i="61"/>
  <c r="B22" i="61"/>
  <c r="K22" i="61"/>
  <c r="L22" i="61"/>
  <c r="M22" i="61"/>
  <c r="B23" i="61"/>
  <c r="B24" i="61"/>
  <c r="B25" i="61"/>
  <c r="B26" i="61"/>
  <c r="B27" i="61"/>
  <c r="B28" i="61"/>
  <c r="B29" i="61"/>
  <c r="B30" i="61"/>
  <c r="B31" i="61"/>
  <c r="K31" i="61"/>
  <c r="L31" i="61"/>
  <c r="M31" i="61"/>
  <c r="B32" i="61"/>
  <c r="B33" i="61"/>
  <c r="B34" i="61"/>
  <c r="B35" i="61"/>
  <c r="B36" i="61"/>
  <c r="B37" i="61"/>
  <c r="B38" i="61"/>
  <c r="B39" i="61"/>
  <c r="B40" i="61"/>
  <c r="K40" i="61"/>
  <c r="L40" i="61"/>
  <c r="M40" i="61"/>
  <c r="B41" i="61"/>
  <c r="B42" i="61"/>
  <c r="B43" i="61"/>
  <c r="B44" i="61"/>
  <c r="B45" i="61"/>
  <c r="B46" i="61"/>
  <c r="B47" i="61"/>
  <c r="B48" i="61"/>
  <c r="B4" i="76"/>
  <c r="B5" i="76"/>
  <c r="B6" i="76"/>
  <c r="B7" i="76"/>
  <c r="B8" i="76"/>
  <c r="B9" i="76"/>
  <c r="B10" i="76"/>
  <c r="B11" i="76"/>
  <c r="B12" i="76"/>
  <c r="B13" i="76"/>
  <c r="B14" i="76"/>
  <c r="B15" i="76"/>
  <c r="B16" i="76"/>
  <c r="B17" i="76"/>
  <c r="B18" i="76"/>
  <c r="B19" i="76"/>
  <c r="B20" i="76"/>
  <c r="B21" i="76"/>
  <c r="B22" i="76"/>
  <c r="B23" i="76"/>
  <c r="B24" i="76"/>
  <c r="B25" i="76"/>
  <c r="B26" i="76"/>
  <c r="B27" i="76"/>
  <c r="B28" i="76"/>
  <c r="B29" i="76"/>
  <c r="B30" i="76"/>
  <c r="B31" i="76"/>
  <c r="B32" i="76"/>
  <c r="B33" i="76"/>
  <c r="B34" i="76"/>
  <c r="B35" i="76"/>
  <c r="B36" i="76"/>
  <c r="B37" i="76"/>
  <c r="B38" i="76"/>
  <c r="B39" i="76"/>
  <c r="B40" i="76"/>
  <c r="B41" i="76"/>
  <c r="B42" i="76"/>
  <c r="B43" i="76"/>
  <c r="B44" i="76"/>
  <c r="B45" i="76"/>
  <c r="B46" i="76"/>
  <c r="B47" i="76"/>
  <c r="B48" i="76"/>
  <c r="B49" i="76"/>
  <c r="B50" i="76"/>
  <c r="B51" i="76"/>
  <c r="B52" i="76"/>
  <c r="B53" i="76"/>
  <c r="B54" i="76"/>
  <c r="B55" i="76"/>
  <c r="B56" i="76"/>
  <c r="B57" i="76"/>
  <c r="O17" i="71"/>
  <c r="O4" i="71" a="1"/>
  <c r="O4" i="71" s="1"/>
  <c r="P4" i="71" a="1"/>
  <c r="P4" i="71" s="1"/>
  <c r="Q4" i="71" a="1"/>
  <c r="Q4" i="71" s="1"/>
  <c r="R4" i="71" a="1"/>
  <c r="R4" i="71" s="1"/>
  <c r="O5" i="71" a="1"/>
  <c r="O5" i="71"/>
  <c r="P5" i="71" a="1"/>
  <c r="P5" i="71" s="1"/>
  <c r="Q5" i="71" a="1"/>
  <c r="Q5" i="71" s="1"/>
  <c r="R5" i="71" a="1"/>
  <c r="R5" i="71" s="1"/>
  <c r="O6" i="71" a="1"/>
  <c r="O6" i="71" s="1"/>
  <c r="P6" i="71" a="1"/>
  <c r="P6" i="71" s="1"/>
  <c r="Q6" i="71" a="1"/>
  <c r="Q6" i="71" s="1"/>
  <c r="R6" i="71" a="1"/>
  <c r="R6" i="71" s="1"/>
  <c r="O7" i="71" a="1"/>
  <c r="O7" i="71" s="1"/>
  <c r="P7" i="71" a="1"/>
  <c r="P7" i="71" s="1"/>
  <c r="Q7" i="71" a="1"/>
  <c r="Q7" i="71" s="1"/>
  <c r="R7" i="71" a="1"/>
  <c r="R7" i="71" s="1"/>
  <c r="O8" i="71" a="1"/>
  <c r="O8" i="71" s="1"/>
  <c r="P8" i="71" a="1"/>
  <c r="P8" i="71" s="1"/>
  <c r="Q8" i="71" a="1"/>
  <c r="Q8" i="71" s="1"/>
  <c r="R8" i="71" a="1"/>
  <c r="R8" i="71"/>
  <c r="O9" i="71" a="1"/>
  <c r="O9" i="71"/>
  <c r="P9" i="71" a="1"/>
  <c r="P9" i="71" s="1"/>
  <c r="Q9" i="71" a="1"/>
  <c r="Q9" i="71"/>
  <c r="R9" i="71" a="1"/>
  <c r="R9" i="71"/>
  <c r="O10" i="71" a="1"/>
  <c r="O10" i="71"/>
  <c r="P10" i="71" a="1"/>
  <c r="P10" i="71" s="1"/>
  <c r="Q10" i="71" a="1"/>
  <c r="Q10" i="71" s="1"/>
  <c r="R10" i="71" a="1"/>
  <c r="R10" i="71" s="1"/>
  <c r="O11" i="71" a="1"/>
  <c r="O11" i="71" s="1"/>
  <c r="P11" i="71" a="1"/>
  <c r="P11" i="71" s="1"/>
  <c r="Q11" i="71" a="1"/>
  <c r="Q11" i="71" s="1"/>
  <c r="R11" i="71" a="1"/>
  <c r="R11" i="71" s="1"/>
  <c r="O12" i="71" a="1"/>
  <c r="O12" i="71" s="1"/>
  <c r="P12" i="71" a="1"/>
  <c r="P12" i="71" s="1"/>
  <c r="Q12" i="71" a="1"/>
  <c r="Q12" i="71" s="1"/>
  <c r="R12" i="71" a="1"/>
  <c r="R12" i="71" s="1"/>
  <c r="O13" i="71" a="1"/>
  <c r="O13" i="71" s="1"/>
  <c r="P13" i="71" a="1"/>
  <c r="P13" i="71" s="1"/>
  <c r="Q13" i="71" a="1"/>
  <c r="Q13" i="71" s="1"/>
  <c r="R13" i="71" a="1"/>
  <c r="R13" i="71" s="1"/>
  <c r="O14" i="71" a="1"/>
  <c r="O14" i="71" s="1"/>
  <c r="P14" i="71" a="1"/>
  <c r="P14" i="71" s="1"/>
  <c r="Q14" i="71" a="1"/>
  <c r="Q14" i="71" s="1"/>
  <c r="R14" i="71" a="1"/>
  <c r="R14" i="71" s="1"/>
  <c r="O15" i="71" a="1"/>
  <c r="O15" i="71" s="1"/>
  <c r="P15" i="71" a="1"/>
  <c r="P15" i="71" s="1"/>
  <c r="Q15" i="71" a="1"/>
  <c r="Q15" i="71" s="1"/>
  <c r="R15" i="71" a="1"/>
  <c r="R15" i="71" s="1"/>
  <c r="O16" i="71" a="1"/>
  <c r="O16" i="71" s="1"/>
  <c r="P16" i="71" a="1"/>
  <c r="P16" i="71"/>
  <c r="Q16" i="71" a="1"/>
  <c r="Q16" i="71" s="1"/>
  <c r="R16" i="71" a="1"/>
  <c r="R16" i="71" s="1"/>
  <c r="L4" i="71"/>
  <c r="L5" i="71"/>
  <c r="L6" i="71"/>
  <c r="L7" i="71"/>
  <c r="L8" i="71"/>
  <c r="L9" i="71"/>
  <c r="L10" i="71"/>
  <c r="L11" i="71"/>
  <c r="L12" i="71"/>
  <c r="L13" i="71"/>
  <c r="L14" i="71"/>
  <c r="L15" i="71"/>
  <c r="L16" i="71"/>
  <c r="L17" i="71"/>
  <c r="L18" i="71"/>
  <c r="L19" i="71"/>
  <c r="L20" i="71"/>
  <c r="L21" i="71"/>
  <c r="L22" i="71"/>
  <c r="L23" i="71"/>
  <c r="L24" i="71"/>
  <c r="L25" i="71"/>
  <c r="L26" i="71"/>
  <c r="L27" i="71"/>
  <c r="L28" i="71"/>
  <c r="L29" i="71"/>
  <c r="L30" i="71"/>
  <c r="L31" i="71"/>
  <c r="L32" i="71"/>
  <c r="L33" i="71"/>
  <c r="L34" i="71"/>
  <c r="L35" i="71"/>
  <c r="L36" i="71"/>
  <c r="L37" i="71"/>
  <c r="L38" i="71"/>
  <c r="L39" i="71"/>
  <c r="L40" i="71"/>
  <c r="L41" i="71"/>
  <c r="L42" i="71"/>
  <c r="L43" i="71"/>
  <c r="L44" i="71"/>
  <c r="L45" i="71"/>
  <c r="L46" i="71"/>
  <c r="L47" i="71"/>
  <c r="L48" i="71"/>
  <c r="L49" i="71"/>
  <c r="L50" i="71"/>
  <c r="L51" i="71"/>
  <c r="L52" i="71"/>
  <c r="L53" i="71"/>
  <c r="L54" i="71"/>
  <c r="L55" i="71"/>
  <c r="L56" i="71"/>
  <c r="L57" i="71"/>
  <c r="B4" i="71"/>
  <c r="J11" i="15" s="1"/>
  <c r="H4" i="71"/>
  <c r="I4" i="71"/>
  <c r="J4" i="71"/>
  <c r="B5" i="71"/>
  <c r="B6" i="71"/>
  <c r="B7" i="71"/>
  <c r="B8" i="71"/>
  <c r="B9" i="71"/>
  <c r="B10" i="71"/>
  <c r="B11" i="71"/>
  <c r="B12" i="71"/>
  <c r="B13" i="71"/>
  <c r="H13" i="71"/>
  <c r="I13" i="71"/>
  <c r="J13" i="71"/>
  <c r="B14" i="71"/>
  <c r="B15" i="71"/>
  <c r="B16" i="71"/>
  <c r="B17" i="71"/>
  <c r="B18" i="71"/>
  <c r="B19" i="71"/>
  <c r="B20" i="71"/>
  <c r="B21" i="71"/>
  <c r="B22" i="71"/>
  <c r="H22" i="71"/>
  <c r="I22" i="71"/>
  <c r="J22" i="71"/>
  <c r="B23" i="71"/>
  <c r="B24" i="71"/>
  <c r="B25" i="71"/>
  <c r="B26" i="71"/>
  <c r="B27" i="71"/>
  <c r="B28" i="71"/>
  <c r="B29" i="71"/>
  <c r="B30" i="71"/>
  <c r="B31" i="71"/>
  <c r="H31" i="71"/>
  <c r="I31" i="71"/>
  <c r="J31" i="71"/>
  <c r="B32" i="71"/>
  <c r="B33" i="71"/>
  <c r="B34" i="71"/>
  <c r="B35" i="71"/>
  <c r="B36" i="71"/>
  <c r="B37" i="71"/>
  <c r="B38" i="71"/>
  <c r="B39" i="71"/>
  <c r="B40" i="71"/>
  <c r="H40" i="71"/>
  <c r="I40" i="71"/>
  <c r="J40" i="71"/>
  <c r="B41" i="71"/>
  <c r="B42" i="71"/>
  <c r="B43" i="71"/>
  <c r="B44" i="71"/>
  <c r="B45" i="71"/>
  <c r="B46" i="71"/>
  <c r="B47" i="71"/>
  <c r="B48" i="71"/>
  <c r="B49" i="71"/>
  <c r="H49" i="71"/>
  <c r="I49" i="71"/>
  <c r="J49" i="71"/>
  <c r="B50" i="71"/>
  <c r="B51" i="71"/>
  <c r="B52" i="71"/>
  <c r="B53" i="71"/>
  <c r="B54" i="71"/>
  <c r="B55" i="71"/>
  <c r="B56" i="71"/>
  <c r="B57" i="71"/>
  <c r="P16" i="60"/>
  <c r="P4" i="60" a="1"/>
  <c r="P4" i="60" s="1"/>
  <c r="Q4" i="60" a="1"/>
  <c r="Q4" i="60" s="1"/>
  <c r="R4" i="60" a="1"/>
  <c r="R4" i="60" s="1"/>
  <c r="S4" i="60" a="1"/>
  <c r="S4" i="60" s="1"/>
  <c r="P5" i="60" a="1"/>
  <c r="P5" i="60"/>
  <c r="Q5" i="60" a="1"/>
  <c r="Q5" i="60" s="1"/>
  <c r="R5" i="60" a="1"/>
  <c r="R5" i="60" s="1"/>
  <c r="S5" i="60" a="1"/>
  <c r="S5" i="60" s="1"/>
  <c r="P6" i="60" a="1"/>
  <c r="P6" i="60" s="1"/>
  <c r="Q6" i="60" a="1"/>
  <c r="Q6" i="60" s="1"/>
  <c r="R6" i="60" a="1"/>
  <c r="R6" i="60" s="1"/>
  <c r="S6" i="60" a="1"/>
  <c r="S6" i="60" s="1"/>
  <c r="P7" i="60" a="1"/>
  <c r="P7" i="60" s="1"/>
  <c r="Q7" i="60" a="1"/>
  <c r="Q7" i="60" s="1"/>
  <c r="R7" i="60" a="1"/>
  <c r="R7" i="60"/>
  <c r="S7" i="60" a="1"/>
  <c r="S7" i="60" s="1"/>
  <c r="P8" i="60" a="1"/>
  <c r="P8" i="60"/>
  <c r="Q8" i="60" a="1"/>
  <c r="Q8" i="60" s="1"/>
  <c r="R8" i="60" a="1"/>
  <c r="R8" i="60"/>
  <c r="S8" i="60" a="1"/>
  <c r="S8" i="60" s="1"/>
  <c r="P9" i="60" a="1"/>
  <c r="P9" i="60" s="1"/>
  <c r="Q9" i="60" a="1"/>
  <c r="Q9" i="60"/>
  <c r="R9" i="60" a="1"/>
  <c r="R9" i="60" s="1"/>
  <c r="S9" i="60" a="1"/>
  <c r="S9" i="60" s="1"/>
  <c r="P10" i="60" a="1"/>
  <c r="P10" i="60"/>
  <c r="Q10" i="60" a="1"/>
  <c r="Q10" i="60" s="1"/>
  <c r="R10" i="60" a="1"/>
  <c r="R10" i="60" s="1"/>
  <c r="S10" i="60" a="1"/>
  <c r="S10" i="60" s="1"/>
  <c r="P11" i="60" a="1"/>
  <c r="P11" i="60"/>
  <c r="Q11" i="60" a="1"/>
  <c r="Q11" i="60" s="1"/>
  <c r="R11" i="60" a="1"/>
  <c r="R11" i="60" s="1"/>
  <c r="S11" i="60" a="1"/>
  <c r="S11" i="60" s="1"/>
  <c r="P12" i="60" a="1"/>
  <c r="P12" i="60" s="1"/>
  <c r="Q12" i="60" a="1"/>
  <c r="Q12" i="60" s="1"/>
  <c r="R12" i="60" a="1"/>
  <c r="R12" i="60" s="1"/>
  <c r="S12" i="60" a="1"/>
  <c r="S12" i="60" s="1"/>
  <c r="P13" i="60" a="1"/>
  <c r="P13" i="60" s="1"/>
  <c r="Q13" i="60" a="1"/>
  <c r="Q13" i="60" s="1"/>
  <c r="R13" i="60" a="1"/>
  <c r="R13" i="60" s="1"/>
  <c r="S13" i="60" a="1"/>
  <c r="S13" i="60" s="1"/>
  <c r="P14" i="60" a="1"/>
  <c r="P14" i="60" s="1"/>
  <c r="Q14" i="60" a="1"/>
  <c r="Q14" i="60" s="1"/>
  <c r="R14" i="60" a="1"/>
  <c r="R14" i="60" s="1"/>
  <c r="S14" i="60" a="1"/>
  <c r="S14" i="60" s="1"/>
  <c r="P15" i="60" a="1"/>
  <c r="P15" i="60"/>
  <c r="Q15" i="60" a="1"/>
  <c r="Q15" i="60" s="1"/>
  <c r="R15" i="60" a="1"/>
  <c r="R15" i="60" s="1"/>
  <c r="S15" i="60" a="1"/>
  <c r="S15" i="60" s="1"/>
  <c r="M4" i="60"/>
  <c r="M5" i="60"/>
  <c r="M6" i="60"/>
  <c r="M7" i="60"/>
  <c r="M8" i="60"/>
  <c r="M9" i="60"/>
  <c r="M10" i="60"/>
  <c r="M11" i="60"/>
  <c r="M12" i="60"/>
  <c r="M13" i="60"/>
  <c r="M14" i="60"/>
  <c r="M15" i="60"/>
  <c r="M16" i="60"/>
  <c r="M17" i="60"/>
  <c r="M18" i="60"/>
  <c r="M19" i="60"/>
  <c r="M20" i="60"/>
  <c r="M21" i="60"/>
  <c r="M22" i="60"/>
  <c r="M23" i="60"/>
  <c r="M24" i="60"/>
  <c r="M25" i="60"/>
  <c r="M26" i="60"/>
  <c r="M27" i="60"/>
  <c r="M28" i="60"/>
  <c r="M29" i="60"/>
  <c r="M30" i="60"/>
  <c r="M31" i="60"/>
  <c r="M32" i="60"/>
  <c r="M33" i="60"/>
  <c r="M34" i="60"/>
  <c r="M35" i="60"/>
  <c r="M36" i="60"/>
  <c r="M37" i="60"/>
  <c r="M38" i="60"/>
  <c r="M39" i="60"/>
  <c r="M40" i="60"/>
  <c r="M41" i="60"/>
  <c r="M42" i="60"/>
  <c r="M43" i="60"/>
  <c r="M44" i="60"/>
  <c r="M45" i="60"/>
  <c r="M46" i="60"/>
  <c r="M47" i="60"/>
  <c r="M48" i="60"/>
  <c r="M49" i="60"/>
  <c r="M50" i="60"/>
  <c r="M51" i="60"/>
  <c r="M52" i="60"/>
  <c r="M53" i="60"/>
  <c r="M54" i="60"/>
  <c r="M55" i="60"/>
  <c r="M56" i="60"/>
  <c r="M57" i="60"/>
  <c r="B4" i="60"/>
  <c r="I4" i="60"/>
  <c r="J4" i="60"/>
  <c r="K4" i="60"/>
  <c r="B5" i="60"/>
  <c r="B6" i="60"/>
  <c r="J10" i="15" s="1"/>
  <c r="B7" i="60"/>
  <c r="B8" i="60"/>
  <c r="B9" i="60"/>
  <c r="B10" i="60"/>
  <c r="B11" i="60"/>
  <c r="B12" i="60"/>
  <c r="B13" i="60"/>
  <c r="I13" i="60"/>
  <c r="J13" i="60"/>
  <c r="K13" i="60"/>
  <c r="B14" i="60"/>
  <c r="B15" i="60"/>
  <c r="B16" i="60"/>
  <c r="B17" i="60"/>
  <c r="B18" i="60"/>
  <c r="B19" i="60"/>
  <c r="B20" i="60"/>
  <c r="B21" i="60"/>
  <c r="B22" i="60"/>
  <c r="I22" i="60"/>
  <c r="J22" i="60"/>
  <c r="K22" i="60"/>
  <c r="B23" i="60"/>
  <c r="B24" i="60"/>
  <c r="B25" i="60"/>
  <c r="B26" i="60"/>
  <c r="B27" i="60"/>
  <c r="B28" i="60"/>
  <c r="B29" i="60"/>
  <c r="B30" i="60"/>
  <c r="B31" i="60"/>
  <c r="I31" i="60"/>
  <c r="J31" i="60"/>
  <c r="K31" i="60"/>
  <c r="B32" i="60"/>
  <c r="B33" i="60"/>
  <c r="B34" i="60"/>
  <c r="B35" i="60"/>
  <c r="B36" i="60"/>
  <c r="B37" i="60"/>
  <c r="B38" i="60"/>
  <c r="B39" i="60"/>
  <c r="B40" i="60"/>
  <c r="I40" i="60"/>
  <c r="J40" i="60"/>
  <c r="K40" i="60"/>
  <c r="B41" i="60"/>
  <c r="B42" i="60"/>
  <c r="B43" i="60"/>
  <c r="B44" i="60"/>
  <c r="B45" i="60"/>
  <c r="B46" i="60"/>
  <c r="B47" i="60"/>
  <c r="B48" i="60"/>
  <c r="B49" i="60"/>
  <c r="I49" i="60"/>
  <c r="J49" i="60"/>
  <c r="K49" i="60"/>
  <c r="B50" i="60"/>
  <c r="B51" i="60"/>
  <c r="B52" i="60"/>
  <c r="B53" i="60"/>
  <c r="B54" i="60"/>
  <c r="B55" i="60"/>
  <c r="B56" i="60"/>
  <c r="B57" i="60"/>
  <c r="F8" i="80" l="1"/>
  <c r="J8" i="80"/>
  <c r="I15" i="15"/>
  <c r="I11" i="15"/>
  <c r="J12" i="15"/>
  <c r="I12" i="15" s="1"/>
  <c r="I10" i="15"/>
  <c r="L12" i="15"/>
  <c r="F31" i="15"/>
  <c r="U26" i="61"/>
  <c r="T26" i="61"/>
  <c r="S26" i="61"/>
  <c r="V13" i="61"/>
  <c r="V5" i="61"/>
  <c r="V14" i="61"/>
  <c r="V9" i="61"/>
  <c r="V11" i="61"/>
  <c r="V16" i="61"/>
  <c r="V6" i="61"/>
  <c r="V18" i="61"/>
  <c r="V21" i="61"/>
  <c r="V23" i="61"/>
  <c r="V10" i="61"/>
  <c r="V8" i="61"/>
  <c r="V15" i="61"/>
  <c r="V12" i="61"/>
  <c r="V17" i="61"/>
  <c r="V25" i="61"/>
  <c r="V20" i="61"/>
  <c r="V22" i="61"/>
  <c r="V7" i="61"/>
  <c r="V24" i="61"/>
  <c r="V19" i="61"/>
  <c r="V4" i="61"/>
  <c r="R17" i="71"/>
  <c r="Q17" i="71"/>
  <c r="P17" i="71"/>
  <c r="S15" i="71"/>
  <c r="S9" i="71"/>
  <c r="S5" i="71"/>
  <c r="S14" i="71"/>
  <c r="S6" i="71"/>
  <c r="S16" i="71"/>
  <c r="S11" i="71"/>
  <c r="S13" i="71"/>
  <c r="S10" i="71"/>
  <c r="S8" i="71"/>
  <c r="S12" i="71"/>
  <c r="S7" i="71"/>
  <c r="S4" i="71"/>
  <c r="S16" i="60"/>
  <c r="R16" i="60"/>
  <c r="Q16" i="60"/>
  <c r="T15" i="60"/>
  <c r="T11" i="60"/>
  <c r="T9" i="60"/>
  <c r="T14" i="60"/>
  <c r="T13" i="60"/>
  <c r="T8" i="60"/>
  <c r="T10" i="60"/>
  <c r="T12" i="60"/>
  <c r="T5" i="60"/>
  <c r="T6" i="60"/>
  <c r="T7" i="60"/>
  <c r="T4" i="60"/>
  <c r="S19" i="76" l="1"/>
  <c r="C28" i="15" s="1"/>
  <c r="R19" i="76"/>
  <c r="B28" i="15" s="1"/>
  <c r="Q19" i="76"/>
  <c r="P19" i="76"/>
  <c r="V26" i="61"/>
  <c r="S17" i="71"/>
  <c r="T16" i="60"/>
  <c r="T19" i="76" l="1"/>
  <c r="D28" i="15" s="1"/>
  <c r="E28" i="15" s="1"/>
  <c r="F28" i="15" s="1"/>
  <c r="D9" i="15"/>
  <c r="E9" i="15"/>
  <c r="F9" i="15"/>
  <c r="G9" i="15"/>
  <c r="H9" i="15"/>
  <c r="K9" i="15"/>
  <c r="L9" i="15" s="1"/>
  <c r="D8" i="15"/>
  <c r="E8" i="15"/>
  <c r="G8" i="15" s="1"/>
  <c r="F8" i="15"/>
  <c r="H8" i="15"/>
  <c r="K8" i="15"/>
  <c r="L8" i="15"/>
  <c r="D6" i="15"/>
  <c r="E6" i="15"/>
  <c r="G6" i="15" s="1"/>
  <c r="F6" i="15"/>
  <c r="H6" i="15"/>
  <c r="K6" i="15"/>
  <c r="L6" i="15" s="1"/>
  <c r="D4" i="15"/>
  <c r="E4" i="15"/>
  <c r="F4" i="15"/>
  <c r="G4" i="15"/>
  <c r="H4" i="15"/>
  <c r="K4" i="15"/>
  <c r="L4" i="15" s="1"/>
  <c r="M15" i="75"/>
  <c r="M4" i="75" a="1"/>
  <c r="M4" i="75" s="1"/>
  <c r="M5" i="75" a="1"/>
  <c r="M5" i="75"/>
  <c r="M6" i="75" a="1"/>
  <c r="M6" i="75"/>
  <c r="M7" i="75" a="1"/>
  <c r="M7" i="75" s="1"/>
  <c r="M8" i="75" a="1"/>
  <c r="M8" i="75"/>
  <c r="M9" i="75" a="1"/>
  <c r="M9" i="75"/>
  <c r="M10" i="75" a="1"/>
  <c r="M10" i="75" s="1"/>
  <c r="M11" i="75" a="1"/>
  <c r="M11" i="75"/>
  <c r="M12" i="75" a="1"/>
  <c r="M12" i="75" s="1"/>
  <c r="M13" i="75" a="1"/>
  <c r="M13" i="75"/>
  <c r="M14" i="75" a="1"/>
  <c r="M14" i="75"/>
  <c r="J4" i="75"/>
  <c r="J5" i="75"/>
  <c r="J6" i="75"/>
  <c r="J7" i="75"/>
  <c r="J8" i="75"/>
  <c r="J9" i="75"/>
  <c r="J10" i="75"/>
  <c r="J11" i="75"/>
  <c r="J12" i="75"/>
  <c r="J13" i="75"/>
  <c r="J14" i="75"/>
  <c r="J15" i="75"/>
  <c r="J16" i="75"/>
  <c r="J17" i="75"/>
  <c r="J18" i="75"/>
  <c r="J19" i="75"/>
  <c r="J20" i="75"/>
  <c r="J21" i="75"/>
  <c r="J22" i="75"/>
  <c r="J23" i="75"/>
  <c r="J24" i="75"/>
  <c r="J25" i="75"/>
  <c r="J26" i="75"/>
  <c r="J27" i="75"/>
  <c r="J28" i="75"/>
  <c r="J29" i="75"/>
  <c r="J30" i="75"/>
  <c r="J31" i="75"/>
  <c r="J32" i="75"/>
  <c r="J33" i="75"/>
  <c r="J34" i="75"/>
  <c r="J35" i="75"/>
  <c r="J36" i="75"/>
  <c r="J37" i="75"/>
  <c r="J38" i="75"/>
  <c r="J39" i="75"/>
  <c r="J40" i="75"/>
  <c r="J41" i="75"/>
  <c r="J42" i="75"/>
  <c r="J43" i="75"/>
  <c r="J44" i="75"/>
  <c r="J45" i="75"/>
  <c r="J46" i="75"/>
  <c r="J47" i="75"/>
  <c r="J48" i="75"/>
  <c r="B4" i="75"/>
  <c r="J9" i="15" s="1"/>
  <c r="I9" i="15" s="1"/>
  <c r="G4" i="75"/>
  <c r="H4" i="75"/>
  <c r="B5" i="75"/>
  <c r="B6" i="75"/>
  <c r="B7" i="75"/>
  <c r="B8" i="75"/>
  <c r="B9" i="75"/>
  <c r="B10" i="75"/>
  <c r="B11" i="75"/>
  <c r="B12" i="75"/>
  <c r="B13" i="75"/>
  <c r="G13" i="75"/>
  <c r="H13" i="75"/>
  <c r="B14" i="75"/>
  <c r="B15" i="75"/>
  <c r="B16" i="75"/>
  <c r="B17" i="75"/>
  <c r="B18" i="75"/>
  <c r="B19" i="75"/>
  <c r="B20" i="75"/>
  <c r="B21" i="75"/>
  <c r="B22" i="75"/>
  <c r="G22" i="75"/>
  <c r="H22" i="75"/>
  <c r="B23" i="75"/>
  <c r="B24" i="75"/>
  <c r="B25" i="75"/>
  <c r="B26" i="75"/>
  <c r="B27" i="75"/>
  <c r="B28" i="75"/>
  <c r="B29" i="75"/>
  <c r="B30" i="75"/>
  <c r="B31" i="75"/>
  <c r="G31" i="75"/>
  <c r="H31" i="75"/>
  <c r="B32" i="75"/>
  <c r="B33" i="75"/>
  <c r="B34" i="75"/>
  <c r="B35" i="75"/>
  <c r="B36" i="75"/>
  <c r="B37" i="75"/>
  <c r="B38" i="75"/>
  <c r="B39" i="75"/>
  <c r="B40" i="75"/>
  <c r="G40" i="75"/>
  <c r="H40" i="75"/>
  <c r="B41" i="75"/>
  <c r="B42" i="75"/>
  <c r="B43" i="75"/>
  <c r="B44" i="75"/>
  <c r="B45" i="75"/>
  <c r="B46" i="75"/>
  <c r="B47" i="75"/>
  <c r="B48" i="75"/>
  <c r="L13" i="68"/>
  <c r="L4" i="68" a="1"/>
  <c r="L4" i="68" s="1"/>
  <c r="L5" i="68" a="1"/>
  <c r="L5" i="68"/>
  <c r="L6" i="68" a="1"/>
  <c r="L6" i="68"/>
  <c r="L7" i="68" a="1"/>
  <c r="L7" i="68" s="1"/>
  <c r="L8" i="68" a="1"/>
  <c r="L8" i="68"/>
  <c r="L9" i="68" a="1"/>
  <c r="L9" i="68"/>
  <c r="L10" i="68" a="1"/>
  <c r="L10" i="68"/>
  <c r="L11" i="68" a="1"/>
  <c r="L11" i="68"/>
  <c r="L12" i="68" a="1"/>
  <c r="L12" i="68" s="1"/>
  <c r="I4" i="68"/>
  <c r="I5" i="68"/>
  <c r="I6" i="68"/>
  <c r="I7" i="68"/>
  <c r="I8" i="68"/>
  <c r="I9" i="68"/>
  <c r="I10" i="68"/>
  <c r="I11" i="68"/>
  <c r="I12" i="68"/>
  <c r="I13" i="68"/>
  <c r="I14" i="68"/>
  <c r="I15" i="68"/>
  <c r="I16" i="68"/>
  <c r="I17" i="68"/>
  <c r="I18" i="68"/>
  <c r="I19" i="68"/>
  <c r="I20" i="68"/>
  <c r="I21" i="68"/>
  <c r="I22" i="68"/>
  <c r="I23" i="68"/>
  <c r="I24" i="68"/>
  <c r="I25" i="68"/>
  <c r="I26" i="68"/>
  <c r="I27" i="68"/>
  <c r="I28" i="68"/>
  <c r="I29" i="68"/>
  <c r="I30" i="68"/>
  <c r="I31" i="68"/>
  <c r="I32" i="68"/>
  <c r="I33" i="68"/>
  <c r="I34" i="68"/>
  <c r="I35" i="68"/>
  <c r="I36" i="68"/>
  <c r="I37" i="68"/>
  <c r="I38" i="68"/>
  <c r="I39" i="68"/>
  <c r="I40" i="68"/>
  <c r="I41" i="68"/>
  <c r="I42" i="68"/>
  <c r="I43" i="68"/>
  <c r="I44" i="68"/>
  <c r="I45" i="68"/>
  <c r="I46" i="68"/>
  <c r="I47" i="68"/>
  <c r="I48" i="68"/>
  <c r="I49" i="68"/>
  <c r="I50" i="68"/>
  <c r="I51" i="68"/>
  <c r="I52" i="68"/>
  <c r="I53" i="68"/>
  <c r="I54" i="68"/>
  <c r="I55" i="68"/>
  <c r="I56" i="68"/>
  <c r="I57" i="68"/>
  <c r="B4" i="68"/>
  <c r="J8" i="15" s="1"/>
  <c r="F4" i="68"/>
  <c r="G4" i="68"/>
  <c r="B5" i="68"/>
  <c r="B6" i="68"/>
  <c r="B7" i="68"/>
  <c r="B8" i="68"/>
  <c r="B9" i="68"/>
  <c r="B10" i="68"/>
  <c r="B11" i="68"/>
  <c r="B12" i="68"/>
  <c r="B13" i="68"/>
  <c r="F13" i="68"/>
  <c r="G13" i="68"/>
  <c r="B14" i="68"/>
  <c r="B15" i="68"/>
  <c r="B16" i="68"/>
  <c r="B17" i="68"/>
  <c r="B18" i="68"/>
  <c r="B19" i="68"/>
  <c r="B20" i="68"/>
  <c r="B21" i="68"/>
  <c r="B22" i="68"/>
  <c r="F22" i="68"/>
  <c r="G22" i="68"/>
  <c r="B23" i="68"/>
  <c r="B24" i="68"/>
  <c r="B25" i="68"/>
  <c r="B26" i="68"/>
  <c r="B27" i="68"/>
  <c r="B28" i="68"/>
  <c r="B29" i="68"/>
  <c r="B30" i="68"/>
  <c r="B31" i="68"/>
  <c r="F31" i="68"/>
  <c r="G31" i="68"/>
  <c r="B32" i="68"/>
  <c r="B33" i="68"/>
  <c r="B34" i="68"/>
  <c r="B35" i="68"/>
  <c r="B36" i="68"/>
  <c r="B37" i="68"/>
  <c r="B38" i="68"/>
  <c r="B39" i="68"/>
  <c r="B40" i="68"/>
  <c r="F40" i="68"/>
  <c r="G40" i="68"/>
  <c r="B41" i="68"/>
  <c r="B42" i="68"/>
  <c r="B43" i="68"/>
  <c r="B44" i="68"/>
  <c r="B45" i="68"/>
  <c r="B46" i="68"/>
  <c r="B47" i="68"/>
  <c r="B48" i="68"/>
  <c r="B49" i="68"/>
  <c r="F49" i="68"/>
  <c r="G49" i="68"/>
  <c r="B50" i="68"/>
  <c r="B51" i="68"/>
  <c r="B52" i="68"/>
  <c r="B53" i="68"/>
  <c r="B54" i="68"/>
  <c r="B55" i="68"/>
  <c r="B56" i="68"/>
  <c r="B57" i="68"/>
  <c r="K11" i="67"/>
  <c r="K4" i="67" a="1"/>
  <c r="K4" i="67" s="1"/>
  <c r="K5" i="67" a="1"/>
  <c r="K5" i="67" s="1"/>
  <c r="K6" i="67" a="1"/>
  <c r="K6" i="67" s="1"/>
  <c r="K7" i="67" a="1"/>
  <c r="K7" i="67" s="1"/>
  <c r="K8" i="67" a="1"/>
  <c r="K8" i="67"/>
  <c r="K9" i="67" a="1"/>
  <c r="K9" i="67"/>
  <c r="K10" i="67" a="1"/>
  <c r="K10" i="67"/>
  <c r="H4" i="67"/>
  <c r="H5" i="67"/>
  <c r="H6" i="67"/>
  <c r="H7" i="67"/>
  <c r="H8" i="67"/>
  <c r="H9" i="67"/>
  <c r="H10" i="67"/>
  <c r="H11" i="67"/>
  <c r="H12" i="67"/>
  <c r="H13" i="67"/>
  <c r="H14" i="67"/>
  <c r="H15" i="67"/>
  <c r="H16" i="67"/>
  <c r="H17" i="67"/>
  <c r="H18" i="67"/>
  <c r="H19" i="67"/>
  <c r="H20" i="67"/>
  <c r="H21" i="67"/>
  <c r="H22" i="67"/>
  <c r="H23" i="67"/>
  <c r="H24" i="67"/>
  <c r="H25" i="67"/>
  <c r="H26" i="67"/>
  <c r="H27" i="67"/>
  <c r="H28" i="67"/>
  <c r="H29" i="67"/>
  <c r="H30" i="67"/>
  <c r="H31" i="67"/>
  <c r="H32" i="67"/>
  <c r="H33" i="67"/>
  <c r="H34" i="67"/>
  <c r="H35" i="67"/>
  <c r="H36" i="67"/>
  <c r="H37" i="67"/>
  <c r="H38" i="67"/>
  <c r="H39" i="67"/>
  <c r="H40" i="67"/>
  <c r="H41" i="67"/>
  <c r="H42" i="67"/>
  <c r="H43" i="67"/>
  <c r="H44" i="67"/>
  <c r="H45" i="67"/>
  <c r="H46" i="67"/>
  <c r="H47" i="67"/>
  <c r="H48" i="67"/>
  <c r="H49" i="67"/>
  <c r="H50" i="67"/>
  <c r="H51" i="67"/>
  <c r="H52" i="67"/>
  <c r="H53" i="67"/>
  <c r="H54" i="67"/>
  <c r="H55" i="67"/>
  <c r="H56" i="67"/>
  <c r="H57" i="67"/>
  <c r="B4" i="67"/>
  <c r="J6" i="15" s="1"/>
  <c r="E4" i="67"/>
  <c r="F4" i="67"/>
  <c r="B5" i="67"/>
  <c r="B6" i="67"/>
  <c r="B7" i="67"/>
  <c r="B8" i="67"/>
  <c r="K12" i="67" s="1"/>
  <c r="B9" i="67"/>
  <c r="B10" i="67"/>
  <c r="B11" i="67"/>
  <c r="B12" i="67"/>
  <c r="B13" i="67"/>
  <c r="E13" i="67"/>
  <c r="F13" i="67"/>
  <c r="B14" i="67"/>
  <c r="B15" i="67"/>
  <c r="B16" i="67"/>
  <c r="B17" i="67"/>
  <c r="B18" i="67"/>
  <c r="B19" i="67"/>
  <c r="B20" i="67"/>
  <c r="B21" i="67"/>
  <c r="B22" i="67"/>
  <c r="E22" i="67"/>
  <c r="F22" i="67"/>
  <c r="B23" i="67"/>
  <c r="B24" i="67"/>
  <c r="B25" i="67"/>
  <c r="B26" i="67"/>
  <c r="B27" i="67"/>
  <c r="B28" i="67"/>
  <c r="B29" i="67"/>
  <c r="B30" i="67"/>
  <c r="B31" i="67"/>
  <c r="E31" i="67"/>
  <c r="F31" i="67"/>
  <c r="B32" i="67"/>
  <c r="B33" i="67"/>
  <c r="B34" i="67"/>
  <c r="B35" i="67"/>
  <c r="B36" i="67"/>
  <c r="B37" i="67"/>
  <c r="B38" i="67"/>
  <c r="B39" i="67"/>
  <c r="B40" i="67"/>
  <c r="E40" i="67"/>
  <c r="F40" i="67"/>
  <c r="B41" i="67"/>
  <c r="B42" i="67"/>
  <c r="B43" i="67"/>
  <c r="B44" i="67"/>
  <c r="B45" i="67"/>
  <c r="B46" i="67"/>
  <c r="B47" i="67"/>
  <c r="B48" i="67"/>
  <c r="B49" i="67"/>
  <c r="E49" i="67"/>
  <c r="F49" i="67"/>
  <c r="B50" i="67"/>
  <c r="B51" i="67"/>
  <c r="B52" i="67"/>
  <c r="B53" i="67"/>
  <c r="B54" i="67"/>
  <c r="B55" i="67"/>
  <c r="B56" i="67"/>
  <c r="B57" i="67"/>
  <c r="J9" i="74"/>
  <c r="J4" i="74" a="1"/>
  <c r="J4" i="74" s="1"/>
  <c r="J5" i="74" a="1"/>
  <c r="J5" i="74"/>
  <c r="J6" i="74" a="1"/>
  <c r="J6" i="74" s="1"/>
  <c r="J7" i="74" a="1"/>
  <c r="J7" i="74" s="1"/>
  <c r="J8" i="74" a="1"/>
  <c r="J8" i="74"/>
  <c r="G4" i="74"/>
  <c r="G5" i="74"/>
  <c r="G6" i="74"/>
  <c r="G7" i="74"/>
  <c r="G8" i="74"/>
  <c r="G9" i="74"/>
  <c r="G10" i="74"/>
  <c r="G11" i="74"/>
  <c r="G12" i="74"/>
  <c r="G13" i="74"/>
  <c r="G14" i="74"/>
  <c r="G15" i="74"/>
  <c r="G16" i="74"/>
  <c r="G17" i="74"/>
  <c r="G18" i="74"/>
  <c r="G19" i="74"/>
  <c r="G20" i="74"/>
  <c r="G21" i="74"/>
  <c r="G22" i="74"/>
  <c r="G23" i="74"/>
  <c r="G24" i="74"/>
  <c r="G25" i="74"/>
  <c r="G26" i="74"/>
  <c r="G27" i="74"/>
  <c r="G28" i="74"/>
  <c r="G29" i="74"/>
  <c r="G30" i="74"/>
  <c r="G31" i="74"/>
  <c r="G32" i="74"/>
  <c r="G33" i="74"/>
  <c r="G34" i="74"/>
  <c r="G35" i="74"/>
  <c r="G36" i="74"/>
  <c r="G37" i="74"/>
  <c r="G38" i="74"/>
  <c r="G39" i="74"/>
  <c r="G40" i="74"/>
  <c r="G41" i="74"/>
  <c r="G42" i="74"/>
  <c r="G43" i="74"/>
  <c r="G44" i="74"/>
  <c r="G45" i="74"/>
  <c r="G46" i="74"/>
  <c r="G47" i="74"/>
  <c r="G48" i="74"/>
  <c r="G49" i="74"/>
  <c r="G50" i="74"/>
  <c r="G51" i="74"/>
  <c r="G52" i="74"/>
  <c r="G53" i="74"/>
  <c r="G54" i="74"/>
  <c r="G55" i="74"/>
  <c r="G56" i="74"/>
  <c r="G57" i="74"/>
  <c r="G58" i="74"/>
  <c r="G59" i="74"/>
  <c r="G60" i="74"/>
  <c r="G61" i="74"/>
  <c r="G62" i="74"/>
  <c r="G63" i="74"/>
  <c r="G64" i="74"/>
  <c r="G65" i="74"/>
  <c r="G66" i="74"/>
  <c r="G67" i="74"/>
  <c r="G68" i="74"/>
  <c r="G69" i="74"/>
  <c r="G70" i="74"/>
  <c r="G71" i="74"/>
  <c r="G72" i="74"/>
  <c r="G73" i="74"/>
  <c r="B4" i="74"/>
  <c r="D4" i="74"/>
  <c r="E4" i="74"/>
  <c r="B5" i="74"/>
  <c r="J4" i="15" s="1"/>
  <c r="B6" i="74"/>
  <c r="B7" i="74"/>
  <c r="B8" i="74"/>
  <c r="B9" i="74"/>
  <c r="B10" i="74"/>
  <c r="B11" i="74"/>
  <c r="B12" i="74"/>
  <c r="B13" i="74"/>
  <c r="B14" i="74"/>
  <c r="D14" i="74"/>
  <c r="E14" i="74"/>
  <c r="B15" i="74"/>
  <c r="B16" i="74"/>
  <c r="B17" i="74"/>
  <c r="B18" i="74"/>
  <c r="B19" i="74"/>
  <c r="B20" i="74"/>
  <c r="B21" i="74"/>
  <c r="B22" i="74"/>
  <c r="B23" i="74"/>
  <c r="B24" i="74"/>
  <c r="D24" i="74"/>
  <c r="E24" i="74"/>
  <c r="B25" i="74"/>
  <c r="B26" i="74"/>
  <c r="B27" i="74"/>
  <c r="B28" i="74"/>
  <c r="B29" i="74"/>
  <c r="B30" i="74"/>
  <c r="B31" i="74"/>
  <c r="B32" i="74"/>
  <c r="B33" i="74"/>
  <c r="B34" i="74"/>
  <c r="D34" i="74"/>
  <c r="E34" i="74"/>
  <c r="B35" i="74"/>
  <c r="B36" i="74"/>
  <c r="B37" i="74"/>
  <c r="B38" i="74"/>
  <c r="B39" i="74"/>
  <c r="B40" i="74"/>
  <c r="B41" i="74"/>
  <c r="B42" i="74"/>
  <c r="B43" i="74"/>
  <c r="B44" i="74"/>
  <c r="D44" i="74"/>
  <c r="E44" i="74"/>
  <c r="B45" i="74"/>
  <c r="B46" i="74"/>
  <c r="B47" i="74"/>
  <c r="B48" i="74"/>
  <c r="B49" i="74"/>
  <c r="B50" i="74"/>
  <c r="B51" i="74"/>
  <c r="B52" i="74"/>
  <c r="B53" i="74"/>
  <c r="B54" i="74"/>
  <c r="D54" i="74"/>
  <c r="E54" i="74"/>
  <c r="B55" i="74"/>
  <c r="B56" i="74"/>
  <c r="B57" i="74"/>
  <c r="B58" i="74"/>
  <c r="B59" i="74"/>
  <c r="B60" i="74"/>
  <c r="B61" i="74"/>
  <c r="B62" i="74"/>
  <c r="B63" i="74"/>
  <c r="B64" i="74"/>
  <c r="D64" i="74"/>
  <c r="E64" i="74"/>
  <c r="B65" i="74"/>
  <c r="B66" i="74"/>
  <c r="B67" i="74"/>
  <c r="B68" i="74"/>
  <c r="B69" i="74"/>
  <c r="B70" i="74"/>
  <c r="B71" i="74"/>
  <c r="B72" i="74"/>
  <c r="B73" i="74"/>
  <c r="L5" i="67" l="1" a="1"/>
  <c r="L5" i="67" s="1"/>
  <c r="M10" i="67" a="1"/>
  <c r="M10" i="67" s="1"/>
  <c r="N10" i="67" a="1"/>
  <c r="N10" i="67" s="1"/>
  <c r="N5" i="67" a="1"/>
  <c r="N5" i="67" s="1"/>
  <c r="M8" i="67" a="1"/>
  <c r="M8" i="67" s="1"/>
  <c r="N8" i="67" a="1"/>
  <c r="N8" i="67" s="1"/>
  <c r="M6" i="67" a="1"/>
  <c r="M6" i="67" s="1"/>
  <c r="L6" i="67" a="1"/>
  <c r="L6" i="67" s="1"/>
  <c r="O6" i="67" s="1"/>
  <c r="N6" i="67" a="1"/>
  <c r="N6" i="67" s="1"/>
  <c r="L9" i="67" a="1"/>
  <c r="L9" i="67" s="1"/>
  <c r="O9" i="67" s="1"/>
  <c r="L4" i="67" a="1"/>
  <c r="L4" i="67" s="1"/>
  <c r="M9" i="67" a="1"/>
  <c r="M9" i="67" s="1"/>
  <c r="M7" i="67" a="1"/>
  <c r="M7" i="67" s="1"/>
  <c r="O7" i="67" s="1"/>
  <c r="L7" i="67" a="1"/>
  <c r="L7" i="67" s="1"/>
  <c r="N9" i="67" a="1"/>
  <c r="N9" i="67" s="1"/>
  <c r="M4" i="67" a="1"/>
  <c r="M4" i="67" s="1"/>
  <c r="M11" i="67" s="1"/>
  <c r="B22" i="15" s="1"/>
  <c r="L8" i="67" a="1"/>
  <c r="L8" i="67" s="1"/>
  <c r="O8" i="67" s="1"/>
  <c r="N4" i="67" a="1"/>
  <c r="N4" i="67" s="1"/>
  <c r="N11" i="67" s="1"/>
  <c r="C22" i="15" s="1"/>
  <c r="N7" i="67" a="1"/>
  <c r="N7" i="67" s="1"/>
  <c r="L10" i="67" a="1"/>
  <c r="L10" i="67" s="1"/>
  <c r="O10" i="67" s="1"/>
  <c r="M5" i="67" a="1"/>
  <c r="M5" i="67" s="1"/>
  <c r="O5" i="67" s="1"/>
  <c r="I6" i="15"/>
  <c r="M16" i="75"/>
  <c r="J10" i="74"/>
  <c r="I4" i="15"/>
  <c r="L14" i="68"/>
  <c r="I8" i="15"/>
  <c r="L11" i="67" l="1"/>
  <c r="L4" i="74" a="1"/>
  <c r="L4" i="74" s="1"/>
  <c r="L7" i="74" a="1"/>
  <c r="L7" i="74" s="1"/>
  <c r="M7" i="74" a="1"/>
  <c r="M7" i="74" s="1"/>
  <c r="M8" i="74" a="1"/>
  <c r="M8" i="74" s="1"/>
  <c r="K5" i="74" a="1"/>
  <c r="K5" i="74" s="1"/>
  <c r="N5" i="74" s="1"/>
  <c r="K8" i="74" a="1"/>
  <c r="K8" i="74" s="1"/>
  <c r="L5" i="74" a="1"/>
  <c r="L5" i="74" s="1"/>
  <c r="L8" i="74" a="1"/>
  <c r="L8" i="74" s="1"/>
  <c r="M5" i="74" a="1"/>
  <c r="M5" i="74" s="1"/>
  <c r="K6" i="74" a="1"/>
  <c r="K6" i="74" s="1"/>
  <c r="N6" i="74" s="1"/>
  <c r="L6" i="74" a="1"/>
  <c r="L6" i="74" s="1"/>
  <c r="M6" i="74" a="1"/>
  <c r="M6" i="74" s="1"/>
  <c r="K4" i="74" a="1"/>
  <c r="K4" i="74" s="1"/>
  <c r="K7" i="74" a="1"/>
  <c r="K7" i="74" s="1"/>
  <c r="M4" i="74" a="1"/>
  <c r="M4" i="74" s="1"/>
  <c r="O4" i="67"/>
  <c r="M5" i="68" a="1"/>
  <c r="M5" i="68" s="1"/>
  <c r="M10" i="68" a="1"/>
  <c r="M10" i="68" s="1"/>
  <c r="P10" i="68" s="1"/>
  <c r="N10" i="68" a="1"/>
  <c r="N10" i="68" s="1"/>
  <c r="O5" i="68" a="1"/>
  <c r="O5" i="68" s="1"/>
  <c r="M8" i="68" a="1"/>
  <c r="M8" i="68" s="1"/>
  <c r="O10" i="68" a="1"/>
  <c r="O10" i="68" s="1"/>
  <c r="N11" i="68" a="1"/>
  <c r="N11" i="68" s="1"/>
  <c r="N8" i="68" a="1"/>
  <c r="N8" i="68" s="1"/>
  <c r="O8" i="68" a="1"/>
  <c r="O8" i="68" s="1"/>
  <c r="M6" i="68" a="1"/>
  <c r="M6" i="68" s="1"/>
  <c r="M11" i="68" a="1"/>
  <c r="M11" i="68" s="1"/>
  <c r="P11" i="68" s="1"/>
  <c r="N6" i="68" a="1"/>
  <c r="N6" i="68" s="1"/>
  <c r="O6" i="68" a="1"/>
  <c r="O6" i="68" s="1"/>
  <c r="O11" i="68" a="1"/>
  <c r="O11" i="68" s="1"/>
  <c r="M4" i="68" a="1"/>
  <c r="M4" i="68" s="1"/>
  <c r="M9" i="68" a="1"/>
  <c r="M9" i="68" s="1"/>
  <c r="M7" i="68" a="1"/>
  <c r="M7" i="68" s="1"/>
  <c r="P7" i="68" s="1"/>
  <c r="N7" i="68" a="1"/>
  <c r="N7" i="68" s="1"/>
  <c r="N12" i="68" a="1"/>
  <c r="N12" i="68" s="1"/>
  <c r="N4" i="68" a="1"/>
  <c r="N4" i="68" s="1"/>
  <c r="M12" i="68" a="1"/>
  <c r="M12" i="68" s="1"/>
  <c r="N9" i="68" a="1"/>
  <c r="N9" i="68" s="1"/>
  <c r="O4" i="68" a="1"/>
  <c r="O4" i="68" s="1"/>
  <c r="O9" i="68" a="1"/>
  <c r="O9" i="68" s="1"/>
  <c r="O12" i="68" a="1"/>
  <c r="O12" i="68" s="1"/>
  <c r="N5" i="68" a="1"/>
  <c r="N5" i="68" s="1"/>
  <c r="O7" i="68" a="1"/>
  <c r="O7" i="68" s="1"/>
  <c r="O6" i="75" a="1"/>
  <c r="O6" i="75" s="1"/>
  <c r="O11" i="75" a="1"/>
  <c r="O11" i="75" s="1"/>
  <c r="N14" i="75" a="1"/>
  <c r="N14" i="75" s="1"/>
  <c r="Q14" i="75" s="1"/>
  <c r="N4" i="75" a="1"/>
  <c r="N4" i="75" s="1"/>
  <c r="P6" i="75" a="1"/>
  <c r="P6" i="75" s="1"/>
  <c r="P11" i="75" a="1"/>
  <c r="P11" i="75" s="1"/>
  <c r="O14" i="75" a="1"/>
  <c r="O14" i="75" s="1"/>
  <c r="O4" i="75" a="1"/>
  <c r="O4" i="75" s="1"/>
  <c r="N9" i="75" a="1"/>
  <c r="N9" i="75" s="1"/>
  <c r="Q9" i="75" s="1"/>
  <c r="P14" i="75" a="1"/>
  <c r="P14" i="75" s="1"/>
  <c r="O9" i="75" a="1"/>
  <c r="O9" i="75" s="1"/>
  <c r="N12" i="75" a="1"/>
  <c r="N12" i="75" s="1"/>
  <c r="Q12" i="75" s="1"/>
  <c r="P4" i="75" a="1"/>
  <c r="P4" i="75" s="1"/>
  <c r="N7" i="75" a="1"/>
  <c r="N7" i="75" s="1"/>
  <c r="O7" i="75" a="1"/>
  <c r="O7" i="75" s="1"/>
  <c r="P9" i="75" a="1"/>
  <c r="P9" i="75" s="1"/>
  <c r="O12" i="75" a="1"/>
  <c r="O12" i="75" s="1"/>
  <c r="P7" i="75" a="1"/>
  <c r="P7" i="75" s="1"/>
  <c r="P12" i="75" a="1"/>
  <c r="P12" i="75" s="1"/>
  <c r="N5" i="75" a="1"/>
  <c r="N5" i="75" s="1"/>
  <c r="N10" i="75" a="1"/>
  <c r="N10" i="75" s="1"/>
  <c r="O13" i="75" a="1"/>
  <c r="O13" i="75" s="1"/>
  <c r="O5" i="75" a="1"/>
  <c r="O5" i="75" s="1"/>
  <c r="P5" i="75" a="1"/>
  <c r="P5" i="75" s="1"/>
  <c r="N8" i="75" a="1"/>
  <c r="N8" i="75" s="1"/>
  <c r="O10" i="75" a="1"/>
  <c r="O10" i="75" s="1"/>
  <c r="N13" i="75" a="1"/>
  <c r="N13" i="75" s="1"/>
  <c r="P10" i="75" a="1"/>
  <c r="P10" i="75" s="1"/>
  <c r="O8" i="75" a="1"/>
  <c r="O8" i="75" s="1"/>
  <c r="P13" i="75" a="1"/>
  <c r="P13" i="75" s="1"/>
  <c r="N6" i="75" a="1"/>
  <c r="N6" i="75" s="1"/>
  <c r="Q6" i="75" s="1"/>
  <c r="P8" i="75" a="1"/>
  <c r="P8" i="75" s="1"/>
  <c r="N11" i="75" a="1"/>
  <c r="N11" i="75" s="1"/>
  <c r="Q11" i="75" s="1"/>
  <c r="U21" i="69"/>
  <c r="B30" i="15" s="1"/>
  <c r="T21" i="69"/>
  <c r="S21" i="69"/>
  <c r="V21" i="69"/>
  <c r="C30" i="15" s="1"/>
  <c r="O11" i="67"/>
  <c r="D22" i="15" s="1"/>
  <c r="E22" i="15" s="1"/>
  <c r="F22" i="15" s="1"/>
  <c r="K9" i="74" l="1"/>
  <c r="N4" i="74"/>
  <c r="Q8" i="75"/>
  <c r="P6" i="68"/>
  <c r="O13" i="68"/>
  <c r="C24" i="15" s="1"/>
  <c r="O15" i="75"/>
  <c r="B25" i="15" s="1"/>
  <c r="P12" i="68"/>
  <c r="Q10" i="75"/>
  <c r="N13" i="68"/>
  <c r="B24" i="15" s="1"/>
  <c r="Q5" i="75"/>
  <c r="P8" i="68"/>
  <c r="N8" i="74"/>
  <c r="Q4" i="75"/>
  <c r="Q15" i="75" s="1"/>
  <c r="D25" i="15" s="1"/>
  <c r="N15" i="75"/>
  <c r="P9" i="68"/>
  <c r="P4" i="68"/>
  <c r="M13" i="68"/>
  <c r="P5" i="68"/>
  <c r="Q7" i="75"/>
  <c r="M9" i="74"/>
  <c r="C20" i="15" s="1"/>
  <c r="L9" i="74"/>
  <c r="B20" i="15" s="1"/>
  <c r="Q13" i="75"/>
  <c r="P15" i="75"/>
  <c r="C25" i="15" s="1"/>
  <c r="N7" i="74"/>
  <c r="W21" i="69"/>
  <c r="D30" i="15" s="1"/>
  <c r="E30" i="15" s="1"/>
  <c r="F30" i="15" s="1"/>
  <c r="E25" i="15" l="1"/>
  <c r="F25" i="15" s="1"/>
  <c r="P13" i="68"/>
  <c r="D24" i="15" s="1"/>
  <c r="E24" i="15" s="1"/>
  <c r="F24" i="15" s="1"/>
  <c r="N9" i="74"/>
  <c r="D20" i="15" s="1"/>
  <c r="E20" i="15" s="1"/>
  <c r="F20" i="15" s="1"/>
  <c r="M16" i="15"/>
  <c r="B29" i="15"/>
  <c r="E29" i="15" s="1"/>
  <c r="D13" i="15"/>
  <c r="E13" i="15"/>
  <c r="F13" i="15"/>
  <c r="G13" i="15"/>
  <c r="H13" i="15"/>
  <c r="K13" i="15"/>
  <c r="L13" i="15" s="1"/>
  <c r="B4" i="77"/>
  <c r="J13" i="15" s="1"/>
  <c r="K4" i="77"/>
  <c r="L4" i="77"/>
  <c r="M4" i="77"/>
  <c r="B5" i="77"/>
  <c r="B6" i="77"/>
  <c r="B7" i="77"/>
  <c r="B8" i="77"/>
  <c r="B9" i="77"/>
  <c r="B10" i="77"/>
  <c r="B11" i="77"/>
  <c r="K11" i="77"/>
  <c r="L11" i="77"/>
  <c r="M11" i="77"/>
  <c r="B12" i="77"/>
  <c r="B13" i="77"/>
  <c r="B14" i="77"/>
  <c r="B15" i="77"/>
  <c r="B16" i="77"/>
  <c r="B17" i="77"/>
  <c r="B18" i="77"/>
  <c r="K18" i="77"/>
  <c r="L18" i="77"/>
  <c r="M18" i="77"/>
  <c r="B19" i="77"/>
  <c r="B20" i="77"/>
  <c r="B21" i="77"/>
  <c r="B22" i="77"/>
  <c r="B23" i="77"/>
  <c r="B24" i="77"/>
  <c r="B25" i="77"/>
  <c r="K25" i="77"/>
  <c r="L25" i="77"/>
  <c r="M25" i="77"/>
  <c r="B26" i="77"/>
  <c r="B27" i="77"/>
  <c r="B28" i="77"/>
  <c r="B29" i="77"/>
  <c r="B30" i="77"/>
  <c r="B31" i="77"/>
  <c r="B32" i="77"/>
  <c r="K32" i="77"/>
  <c r="L32" i="77"/>
  <c r="M32" i="77"/>
  <c r="B33" i="77"/>
  <c r="B34" i="77"/>
  <c r="B35" i="77"/>
  <c r="B36" i="77"/>
  <c r="B37" i="77"/>
  <c r="B38" i="77"/>
  <c r="B39" i="77"/>
  <c r="K39" i="77"/>
  <c r="L39" i="77"/>
  <c r="M39" i="77"/>
  <c r="B40" i="77"/>
  <c r="B41" i="77"/>
  <c r="B42" i="77"/>
  <c r="B43" i="77"/>
  <c r="B44" i="77"/>
  <c r="B45" i="77"/>
  <c r="B46" i="77"/>
  <c r="K46" i="77"/>
  <c r="L46" i="77"/>
  <c r="M46" i="77"/>
  <c r="B47" i="77"/>
  <c r="B48" i="77"/>
  <c r="B49" i="77"/>
  <c r="B50" i="77"/>
  <c r="B51" i="77"/>
  <c r="B52" i="77"/>
  <c r="I13" i="15" l="1"/>
  <c r="F29" i="15"/>
  <c r="E7" i="15" l="1"/>
  <c r="D7" i="15"/>
  <c r="E5" i="15"/>
  <c r="D5" i="15"/>
  <c r="H46" i="6"/>
  <c r="H39" i="6"/>
  <c r="H32" i="6"/>
  <c r="H25" i="6"/>
  <c r="H18" i="6"/>
  <c r="H11" i="6"/>
  <c r="H4" i="6"/>
  <c r="G39" i="2"/>
  <c r="G32" i="2"/>
  <c r="G25" i="2"/>
  <c r="G18" i="2"/>
  <c r="G11" i="2"/>
  <c r="G4" i="2"/>
  <c r="G7" i="15" l="1"/>
  <c r="G5" i="15"/>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F7" i="15" l="1"/>
  <c r="F5" i="15"/>
  <c r="K14" i="15"/>
  <c r="F36" i="15" s="1"/>
  <c r="F38" i="15" s="1"/>
  <c r="K7" i="15"/>
  <c r="K5" i="15"/>
  <c r="B4" i="6"/>
  <c r="G4" i="6"/>
  <c r="B5" i="6"/>
  <c r="B6" i="6"/>
  <c r="B7" i="6"/>
  <c r="B8" i="6"/>
  <c r="B9" i="6"/>
  <c r="B10" i="6"/>
  <c r="B11" i="6"/>
  <c r="G11" i="6"/>
  <c r="B12" i="6"/>
  <c r="B13" i="6"/>
  <c r="B14" i="6"/>
  <c r="B15" i="6"/>
  <c r="B16" i="6"/>
  <c r="B17" i="6"/>
  <c r="B18" i="6"/>
  <c r="G18" i="6"/>
  <c r="B19" i="6"/>
  <c r="B20" i="6"/>
  <c r="B21" i="6"/>
  <c r="B22" i="6"/>
  <c r="B23" i="6"/>
  <c r="B24" i="6"/>
  <c r="B25" i="6"/>
  <c r="G25" i="6"/>
  <c r="B26" i="6"/>
  <c r="B27" i="6"/>
  <c r="B28" i="6"/>
  <c r="B29" i="6"/>
  <c r="B30" i="6"/>
  <c r="B31" i="6"/>
  <c r="B32" i="6"/>
  <c r="G32" i="6"/>
  <c r="B33" i="6"/>
  <c r="B34" i="6"/>
  <c r="B35" i="6"/>
  <c r="B36" i="6"/>
  <c r="B37" i="6"/>
  <c r="B38" i="6"/>
  <c r="B39" i="6"/>
  <c r="G39" i="6"/>
  <c r="B40" i="6"/>
  <c r="B41" i="6"/>
  <c r="B42" i="6"/>
  <c r="B43" i="6"/>
  <c r="B44" i="6"/>
  <c r="B45" i="6"/>
  <c r="B46" i="6"/>
  <c r="G46" i="6"/>
  <c r="B47" i="6"/>
  <c r="B48" i="6"/>
  <c r="B49" i="6"/>
  <c r="B50" i="6"/>
  <c r="B51" i="6"/>
  <c r="B52" i="6"/>
  <c r="B4" i="2"/>
  <c r="F4" i="2"/>
  <c r="B5" i="2"/>
  <c r="B6" i="2"/>
  <c r="B7" i="2"/>
  <c r="B8" i="2"/>
  <c r="B9" i="2"/>
  <c r="B10" i="2"/>
  <c r="B11" i="2"/>
  <c r="F11" i="2"/>
  <c r="B12" i="2"/>
  <c r="B13" i="2"/>
  <c r="B14" i="2"/>
  <c r="B15" i="2"/>
  <c r="B16" i="2"/>
  <c r="B17" i="2"/>
  <c r="B18" i="2"/>
  <c r="F18" i="2"/>
  <c r="B19" i="2"/>
  <c r="B20" i="2"/>
  <c r="B21" i="2"/>
  <c r="B22" i="2"/>
  <c r="B23" i="2"/>
  <c r="B24" i="2"/>
  <c r="B25" i="2"/>
  <c r="F25" i="2"/>
  <c r="B26" i="2"/>
  <c r="B27" i="2"/>
  <c r="B28" i="2"/>
  <c r="B29" i="2"/>
  <c r="B30" i="2"/>
  <c r="B31" i="2"/>
  <c r="B32" i="2"/>
  <c r="F32" i="2"/>
  <c r="B33" i="2"/>
  <c r="B34" i="2"/>
  <c r="B35" i="2"/>
  <c r="B36" i="2"/>
  <c r="B37" i="2"/>
  <c r="B38" i="2"/>
  <c r="B39" i="2"/>
  <c r="F39" i="2"/>
  <c r="B40" i="2"/>
  <c r="B41" i="2"/>
  <c r="B42" i="2"/>
  <c r="B43" i="2"/>
  <c r="B44" i="2"/>
  <c r="B45" i="2"/>
  <c r="B46" i="2"/>
  <c r="B47" i="2"/>
  <c r="J7" i="15" l="1"/>
  <c r="J14" i="15"/>
  <c r="J5" i="15"/>
  <c r="E23" i="15" l="1"/>
  <c r="F23" i="15" s="1"/>
  <c r="E21" i="15"/>
  <c r="F21" i="15" s="1"/>
  <c r="L14" i="15" l="1"/>
  <c r="H14" i="15"/>
  <c r="L7" i="15"/>
  <c r="H7" i="15"/>
  <c r="L5" i="15"/>
  <c r="H5" i="15"/>
  <c r="F37" i="15" l="1"/>
  <c r="F35" i="15"/>
  <c r="I14" i="15"/>
  <c r="I5" i="15" l="1"/>
  <c r="I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Mohammed Alnajjar</author>
  </authors>
  <commentList>
    <comment ref="A6" authorId="0" shapeId="0" xr:uid="{3890D5AA-5849-464D-B81A-3137EB5AE9EA}">
      <text>
        <r>
          <rPr>
            <b/>
            <sz val="9"/>
            <color indexed="81"/>
            <rFont val="Tahoma"/>
          </rPr>
          <t>Mohammed Alnajjar:</t>
        </r>
        <r>
          <rPr>
            <sz val="9"/>
            <color indexed="81"/>
            <rFont val="Tahoma"/>
          </rPr>
          <t xml:space="preserve">
بعض البطولات تنتهي في 6 مهرجانات؛ العدد الفعلي لكل بطولة في عمود «عدد المهرجانات» في ورقة ملخص البطولات.</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Mohammed Alnajjar</author>
  </authors>
  <commentList>
    <comment ref="B19" authorId="0" shapeId="0" xr:uid="{A12E9A5C-D393-4961-B15E-1EC7072CAB6A}">
      <text>
        <r>
          <rPr>
            <b/>
            <sz val="9"/>
            <color indexed="81"/>
            <rFont val="Tahoma"/>
          </rPr>
          <t>Mohammed Alnajjar:</t>
        </r>
        <r>
          <rPr>
            <sz val="9"/>
            <color indexed="81"/>
            <rFont val="Tahoma"/>
          </rPr>
          <t xml:space="preserve">
أعداد فترات الراحة محسوبة من جداول المباريات الجديدة في هذا الملف (الفرق بين وقتي مباراتي الفريق المتتاليتين داخل المهرجان الواحد). الإجمالي يطابق مجموع (مباريات الفريق − عدد مهرجاناته) × عدد الفرق.</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<sst xmlns="http://schemas.openxmlformats.org/spreadsheetml/2006/main" count="3449" uniqueCount="676">
  <si>
    <t>اليوم</t>
  </si>
  <si>
    <t>الوقت</t>
  </si>
  <si>
    <t>ملعب 1</t>
  </si>
  <si>
    <t>ملعب 2</t>
  </si>
  <si>
    <t>ملعب 3</t>
  </si>
  <si>
    <t>اليوم 1</t>
  </si>
  <si>
    <t>اليوم 2</t>
  </si>
  <si>
    <t>اليوم 3</t>
  </si>
  <si>
    <t>اليوم 4</t>
  </si>
  <si>
    <t>اليوم 5</t>
  </si>
  <si>
    <t>اليوم 6</t>
  </si>
  <si>
    <t>اليوم 7</t>
  </si>
  <si>
    <t>ملعب 4</t>
  </si>
  <si>
    <t>عدد الفرق</t>
  </si>
  <si>
    <t>البند</t>
  </si>
  <si>
    <t>القيمة</t>
  </si>
  <si>
    <t>وقت بداية اليوم</t>
  </si>
  <si>
    <t>وقت البداية</t>
  </si>
  <si>
    <t>وقت النهاية</t>
  </si>
  <si>
    <t>مدة اليوم</t>
  </si>
  <si>
    <t>1 ضد 3</t>
  </si>
  <si>
    <t>11 ضد 12</t>
  </si>
  <si>
    <t>2 ضد 8</t>
  </si>
  <si>
    <t>6 ضد 9</t>
  </si>
  <si>
    <t>4 ضد 10</t>
  </si>
  <si>
    <t>5 ضد 7</t>
  </si>
  <si>
    <t>3 ضد 9</t>
  </si>
  <si>
    <t>8 ضد 10</t>
  </si>
  <si>
    <t>4 ضد 6</t>
  </si>
  <si>
    <t>9 ضد 12</t>
  </si>
  <si>
    <t>1 ضد 2</t>
  </si>
  <si>
    <t>10 ضد 11</t>
  </si>
  <si>
    <t>5 ضد 8</t>
  </si>
  <si>
    <t>6 ضد 7</t>
  </si>
  <si>
    <t>4 ضد 9</t>
  </si>
  <si>
    <t>7 ضد 12</t>
  </si>
  <si>
    <t>5 ضد 11</t>
  </si>
  <si>
    <t>2 ضد 3</t>
  </si>
  <si>
    <t>1 ضد 6</t>
  </si>
  <si>
    <t>4 ضد 8</t>
  </si>
  <si>
    <t>1 ضد 5</t>
  </si>
  <si>
    <t>6 ضد 10</t>
  </si>
  <si>
    <t>8 ضد 12</t>
  </si>
  <si>
    <t>4 ضد 7</t>
  </si>
  <si>
    <t>2 ضد 5</t>
  </si>
  <si>
    <t>7 ضد 8</t>
  </si>
  <si>
    <t>4 ضد 5</t>
  </si>
  <si>
    <t>1 ضد 7</t>
  </si>
  <si>
    <t>9 ضد 10</t>
  </si>
  <si>
    <t>8 ضد 11</t>
  </si>
  <si>
    <t>3 ضد 4</t>
  </si>
  <si>
    <t>7 ضد 9</t>
  </si>
  <si>
    <t>2 ضد 6</t>
  </si>
  <si>
    <t>5 ضد 10</t>
  </si>
  <si>
    <t>9 ضد 11</t>
  </si>
  <si>
    <t>5 ضد 6</t>
  </si>
  <si>
    <t>3 ضد 7</t>
  </si>
  <si>
    <t>3 ضد 8</t>
  </si>
  <si>
    <t>5 ضد 9</t>
  </si>
  <si>
    <t>6 ضد 8</t>
  </si>
  <si>
    <t>7 ضد 10</t>
  </si>
  <si>
    <t>2 ضد 7</t>
  </si>
  <si>
    <t>3 ضد 6</t>
  </si>
  <si>
    <t>1 ضد 4</t>
  </si>
  <si>
    <t>10 ضد 12</t>
  </si>
  <si>
    <t>7 ضد 11</t>
  </si>
  <si>
    <t>3 ضد 5</t>
  </si>
  <si>
    <t>8 ضد 9</t>
  </si>
  <si>
    <t>6 ضد 11</t>
  </si>
  <si>
    <t>1 ضد 8</t>
  </si>
  <si>
    <t>2 ضد 4</t>
  </si>
  <si>
    <t>8 ضد 13</t>
  </si>
  <si>
    <t>7 ضد 13</t>
  </si>
  <si>
    <t>12 ضد 13</t>
  </si>
  <si>
    <t>11 ضد 13</t>
  </si>
  <si>
    <t>10 ضد 13</t>
  </si>
  <si>
    <t>9 ضد 13</t>
  </si>
  <si>
    <t>10 ضد 14</t>
  </si>
  <si>
    <t>12 ضد 14</t>
  </si>
  <si>
    <t>11 ضد 14</t>
  </si>
  <si>
    <t>13 ضد 14</t>
  </si>
  <si>
    <t>مباريات كل فريق في اليوم</t>
  </si>
  <si>
    <t>مدة المباراة (دقيقة) — ثابت</t>
  </si>
  <si>
    <t>#</t>
  </si>
  <si>
    <t>المبدأ</t>
  </si>
  <si>
    <t>الشرح</t>
  </si>
  <si>
    <t>عدالة عدد المباريات</t>
  </si>
  <si>
    <t>المدخلات</t>
  </si>
  <si>
    <t>لا يلعب الفريق مباراتين ورا بعض</t>
  </si>
  <si>
    <t>9 ضد 17</t>
  </si>
  <si>
    <t>14 ضد 17</t>
  </si>
  <si>
    <t>16 ضد 17</t>
  </si>
  <si>
    <t>13 ضد 15</t>
  </si>
  <si>
    <t>13 ضد 16</t>
  </si>
  <si>
    <t>15 ضد 17</t>
  </si>
  <si>
    <t>12 ضد 17</t>
  </si>
  <si>
    <t>14 ضد 15</t>
  </si>
  <si>
    <t>10 ضد 17</t>
  </si>
  <si>
    <t>13 ضد 17</t>
  </si>
  <si>
    <t>12 ضد 16</t>
  </si>
  <si>
    <t>10 ضد 16</t>
  </si>
  <si>
    <t>15 ضد 16</t>
  </si>
  <si>
    <t>15 ضد 18</t>
  </si>
  <si>
    <t>12 ضد 15</t>
  </si>
  <si>
    <t>10 ضد 15</t>
  </si>
  <si>
    <t>14 ضد 16</t>
  </si>
  <si>
    <t>17 ضد 18</t>
  </si>
  <si>
    <t>11 ضد 16</t>
  </si>
  <si>
    <t>16 ضد 19</t>
  </si>
  <si>
    <t>13 ضد 18</t>
  </si>
  <si>
    <t>11 ضد 15</t>
  </si>
  <si>
    <t>12 ضد 19</t>
  </si>
  <si>
    <t>19 ضد 22</t>
  </si>
  <si>
    <t>13 ضد 22</t>
  </si>
  <si>
    <t>16 ضد 21</t>
  </si>
  <si>
    <t>15 ضد 22</t>
  </si>
  <si>
    <t>17 ضد 20</t>
  </si>
  <si>
    <t>15 ضد 20</t>
  </si>
  <si>
    <t>17 ضد 22</t>
  </si>
  <si>
    <t>20 ضد 21</t>
  </si>
  <si>
    <t>18 ضد 21</t>
  </si>
  <si>
    <t>14 ضد 21</t>
  </si>
  <si>
    <t>14 ضد 19</t>
  </si>
  <si>
    <t>19 ضد 20</t>
  </si>
  <si>
    <t>12 ضد 21</t>
  </si>
  <si>
    <t>مباريات كل فريق في الموسم</t>
  </si>
  <si>
    <t>21 ضد 22</t>
  </si>
  <si>
    <t>ملعب 1 (أ)</t>
  </si>
  <si>
    <t>ملعب 2 (أ)</t>
  </si>
  <si>
    <t>ملعب 3 (أ)</t>
  </si>
  <si>
    <t>ملعب 4 (أ)</t>
  </si>
  <si>
    <t>ملعب 5 (ب)</t>
  </si>
  <si>
    <t>ملعب 6 (ب)</t>
  </si>
  <si>
    <t>ملعب 7 (ب)</t>
  </si>
  <si>
    <t>ملعب 8 (ب)</t>
  </si>
  <si>
    <t>ملخص جداول المجموعات</t>
  </si>
  <si>
    <t>تقسيم المجموعات عند الأعداد الكبيرة</t>
  </si>
  <si>
    <t>جدول مباريات المجموعات التي فيها 6 فرق</t>
  </si>
  <si>
    <t>مجموع مباريات اليوم</t>
  </si>
  <si>
    <t>استراحة (لا توجد مباريات)</t>
  </si>
  <si>
    <t>جدول مباريات المجموعات التي فيها 8 فرق</t>
  </si>
  <si>
    <t>عدد الملاعب (5 ضد 5)</t>
  </si>
  <si>
    <t>ملاعب مصغّرة داخل الملعب القانوني — ثابت</t>
  </si>
  <si>
    <t>عدد الملاعب القانونية</t>
  </si>
  <si>
    <t>توزيع فترات الراحة بين مباراتي الفريق في المهرجان الواحد</t>
  </si>
  <si>
    <t>راحة 15 دقيقة</t>
  </si>
  <si>
    <t>راحة 30 دقيقة</t>
  </si>
  <si>
    <t>إجمالي فترات الراحة</t>
  </si>
  <si>
    <t>نسبة الراحة القصيرة</t>
  </si>
  <si>
    <t>عدد المجموعات</t>
  </si>
  <si>
    <t>توزيع الفرق في المجموعات</t>
  </si>
  <si>
    <t>راحة 45 دقيقة</t>
  </si>
  <si>
    <t>9 ضد 14</t>
  </si>
  <si>
    <t>9 ضد 16</t>
  </si>
  <si>
    <t>13 ضد 20</t>
  </si>
  <si>
    <t>9 ضد 15</t>
  </si>
  <si>
    <t>اكتمال الدورة قبل التكرار</t>
  </si>
  <si>
    <t>6 ضد 4</t>
  </si>
  <si>
    <t>5 ضد 3</t>
  </si>
  <si>
    <t>6 ضد 2</t>
  </si>
  <si>
    <t>4 ضد 2</t>
  </si>
  <si>
    <t>7 ضد 1</t>
  </si>
  <si>
    <t>6 ضد 1</t>
  </si>
  <si>
    <t>7 ضد 3</t>
  </si>
  <si>
    <t>8 ضد 6</t>
  </si>
  <si>
    <t>7 ضد 5</t>
  </si>
  <si>
    <t>8 ضد 4</t>
  </si>
  <si>
    <t>8 ضد 2</t>
  </si>
  <si>
    <t>8 ضد 1</t>
  </si>
  <si>
    <t>9 ضد 3</t>
  </si>
  <si>
    <t>مباريات كل فريق (أ)</t>
  </si>
  <si>
    <t>مباريات كل فريق (ب)</t>
  </si>
  <si>
    <t>12 ضد 10</t>
  </si>
  <si>
    <t>11 ضد 9</t>
  </si>
  <si>
    <t>12 ضد 8</t>
  </si>
  <si>
    <t>10 ضد 8</t>
  </si>
  <si>
    <t>11 ضد 2</t>
  </si>
  <si>
    <t>11 ضد 3</t>
  </si>
  <si>
    <t>جدول مباريات المجموعات التي فيها 17 فريقًا — أ: 8 فرق (1-8) | ب: 9 فرق (9-17)</t>
  </si>
  <si>
    <t>16 ضد 10</t>
  </si>
  <si>
    <t>15 ضد 9</t>
  </si>
  <si>
    <t>14 ضد 9</t>
  </si>
  <si>
    <t>16 ضد 14</t>
  </si>
  <si>
    <t>18 ضد 12</t>
  </si>
  <si>
    <t>15 ضد 13</t>
  </si>
  <si>
    <t>16 ضد 12</t>
  </si>
  <si>
    <t>14 ضد 12</t>
  </si>
  <si>
    <t>15 ضد 11</t>
  </si>
  <si>
    <t>13 ضد 11</t>
  </si>
  <si>
    <t>14 ضد 10</t>
  </si>
  <si>
    <t>21 ضد 15</t>
  </si>
  <si>
    <t>22 ضد 14</t>
  </si>
  <si>
    <t>20 ضد 14</t>
  </si>
  <si>
    <t>عدد الأدوار</t>
  </si>
  <si>
    <t>عدد المهرجانات</t>
  </si>
  <si>
    <t>طول اليوم وعدد الفترات</t>
  </si>
  <si>
    <t>عدالة المواجهات (تساوٍ تام)</t>
  </si>
  <si>
    <t>الحد الأقصى لعدد المهرجانات في الموسم — ثابت</t>
  </si>
  <si>
    <t>مستهدف مباريات الفريق في الموسم (حد أعلى) — ثابت</t>
  </si>
  <si>
    <t>مباريات الفريق في المهرجان الواحد — ثابت</t>
  </si>
  <si>
    <t>أ: 8 | ب: 9</t>
  </si>
  <si>
    <t>عدالة توزيع الأوقات</t>
  </si>
  <si>
    <t>2 ضد 11</t>
  </si>
  <si>
    <t>3 ضد 10</t>
  </si>
  <si>
    <t>1 ضد 11</t>
  </si>
  <si>
    <t>2 ضد 9</t>
  </si>
  <si>
    <t>1 ضد 10</t>
  </si>
  <si>
    <t>1 ضد 9</t>
  </si>
  <si>
    <t>9 ضد 7</t>
  </si>
  <si>
    <t>10 ضد 4</t>
  </si>
  <si>
    <t>4 ضد 11</t>
  </si>
  <si>
    <t>8 ضد 15</t>
  </si>
  <si>
    <t>13 ضد 9</t>
  </si>
  <si>
    <t>11 ضد 17</t>
  </si>
  <si>
    <t>توزيع مباريات الفريق على المهرجانات</t>
  </si>
  <si>
    <t>5 ضد 4</t>
  </si>
  <si>
    <t>التصنيف</t>
  </si>
  <si>
    <t>الفرق (1-6)</t>
  </si>
  <si>
    <t>الفرق (1-7)</t>
  </si>
  <si>
    <t>الفرق (1-8)</t>
  </si>
  <si>
    <t>الفرق (1-9)</t>
  </si>
  <si>
    <t>المجموعة أ (الفرق 1-8)</t>
  </si>
  <si>
    <t>المجموعة ب (الفرق 9-17)</t>
  </si>
  <si>
    <t>جدول مباريات المجموعات التي فيها 5 فرق</t>
  </si>
  <si>
    <t>4 ضد 3</t>
  </si>
  <si>
    <t>3 ضد 1</t>
  </si>
  <si>
    <t>الفرق (1-5)</t>
  </si>
  <si>
    <t>جدول مباريات المجموعات التي فيها 11 فريقًا</t>
  </si>
  <si>
    <t>5 ضد 2</t>
  </si>
  <si>
    <t>3 ضد 11</t>
  </si>
  <si>
    <t>2 ضد 10</t>
  </si>
  <si>
    <t>10 ضد 7</t>
  </si>
  <si>
    <t>الفرق (1-11)</t>
  </si>
  <si>
    <t>13 ضد 10</t>
  </si>
  <si>
    <t>8 ضد 14</t>
  </si>
  <si>
    <t>11 ضد 10</t>
  </si>
  <si>
    <t>4 ضد 1</t>
  </si>
  <si>
    <t>11 ضد 8</t>
  </si>
  <si>
    <t>جدول مباريات المجموعات التي فيها 16 فريقًا — أ: 8 فرق (1-8) | ب: 8 فرق (9-16)</t>
  </si>
  <si>
    <t>المجموعة ب (الفرق 9-16)</t>
  </si>
  <si>
    <t>أ: 8 | ب: 8</t>
  </si>
  <si>
    <t>عدد البطولات</t>
  </si>
  <si>
    <t>إجمالي عدد البطولات</t>
  </si>
  <si>
    <t>مبادئ بناء جداول المجموعات (من 5 إلى 22 فريقاً)</t>
  </si>
  <si>
    <t>لاعبو الفترة (عمود مساعد)</t>
  </si>
  <si>
    <t>الفريق</t>
  </si>
  <si>
    <t>عدد مبارياته</t>
  </si>
  <si>
    <t>مباريات متتالية</t>
  </si>
  <si>
    <t>راحة أطول من 30</t>
  </si>
  <si>
    <t>المجموع</t>
  </si>
  <si>
    <t>فترات اليوم</t>
  </si>
  <si>
    <t>جدول مباريات المجموعات التي فيها 7 فريقًا</t>
  </si>
  <si>
    <t>6 ضد 5</t>
  </si>
  <si>
    <t>جدول مباريات المجموعات التي فيها 9 فريقًا</t>
  </si>
  <si>
    <t>5 ضد 1</t>
  </si>
  <si>
    <t>6 ضد 3</t>
  </si>
  <si>
    <t>8 ضد 7</t>
  </si>
  <si>
    <t>10 ضد 5</t>
  </si>
  <si>
    <t>12 ضد 9</t>
  </si>
  <si>
    <t>12 ضد 11</t>
  </si>
  <si>
    <t>14 ضد 11</t>
  </si>
  <si>
    <t>لا يتكرّر على فريق بعينه أن يبدأ أوّل فترة كل يوم، ولا أن ينال راحة 30 دقيقة دائمًا. في المجموعات الزوجية تلعب كل الفرق في كل فترة فالعدالة تامة تلقائيًا. وفي المجموعات الفردية تُوزَّع الراحات ذات 30 دقيقة وأوقات البدء بالتناوب على الفرق قدر الإمكان، بحيث لا يزيد الفرق بين أي فريقين في عدد مرات راحة 30 دقيقة عن مرتين في الموسم (وعن مرة واحدة في مجموعة 7 فرق)، ويُعرض عدد الراحات لكل فريق في الجداول المساعدة الملحقة بكل ورقة.</t>
  </si>
  <si>
    <t>جدول مباريات المجموعات التي فيها 12 فريقًا — أ: 6 فرق (1-6) | ب: 6 فرق (7-12)</t>
  </si>
  <si>
    <t>ملعب 4 (ب)</t>
  </si>
  <si>
    <t>المجموعة أ (الفرق 1-6)</t>
  </si>
  <si>
    <t>المجموعة ب (الفرق 7-12)</t>
  </si>
  <si>
    <t>جدول مباريات المجموعات التي فيها 13 فريقًا — أ: 6 فرق (1-6) | ب: 7 فرق (7-13)</t>
  </si>
  <si>
    <t>المجموعة ب (الفرق 7-13)</t>
  </si>
  <si>
    <t>جدول مباريات المجموعات التي فيها 22 فريقًا — أ: 11 فرق (1-11) | ب: 11 فرق (12-22)</t>
  </si>
  <si>
    <t>13 ضد 21</t>
  </si>
  <si>
    <t>16 ضد 22</t>
  </si>
  <si>
    <t>19 ضد 18</t>
  </si>
  <si>
    <t>15 ضد 19</t>
  </si>
  <si>
    <t>15 ضد 12</t>
  </si>
  <si>
    <t>19 ضد 21</t>
  </si>
  <si>
    <t>18 ضد 22</t>
  </si>
  <si>
    <t>15 ضد 21</t>
  </si>
  <si>
    <t>17 ضد 21</t>
  </si>
  <si>
    <t>22 ضد 19</t>
  </si>
  <si>
    <t>16 ضد 20</t>
  </si>
  <si>
    <t>13 ضد 19</t>
  </si>
  <si>
    <t>16 ضد 18</t>
  </si>
  <si>
    <t>14 ضد 20</t>
  </si>
  <si>
    <t>18 ضد 20</t>
  </si>
  <si>
    <t>12 ضد 22</t>
  </si>
  <si>
    <t>19 ضد 12</t>
  </si>
  <si>
    <t>20 ضد 22</t>
  </si>
  <si>
    <t>14 ضد 18</t>
  </si>
  <si>
    <t>12 ضد 20</t>
  </si>
  <si>
    <t>17 ضد 19</t>
  </si>
  <si>
    <t>21 ضد 16</t>
  </si>
  <si>
    <t>16 ضد 13</t>
  </si>
  <si>
    <t>12 ضد 18</t>
  </si>
  <si>
    <t>22 ضد 21</t>
  </si>
  <si>
    <t>22 ضد 13</t>
  </si>
  <si>
    <t>14 ضد 22</t>
  </si>
  <si>
    <t>المجموعة أ (الفرق 1-11)</t>
  </si>
  <si>
    <t>المجموعة ب (الفرق 12-22)</t>
  </si>
  <si>
    <t>أ: 6 | ب: 6</t>
  </si>
  <si>
    <t>أ: 6 | ب: 7</t>
  </si>
  <si>
    <t>أ: 11 | ب: 11</t>
  </si>
  <si>
    <t>يُختار عدد الأدوار بأكبر قيمة يبقى معها (الأدوار × عدد الخصوم) أقل من أو يساوي 28 مباراة: 5 فرق ← 7 أدوار × 4 = 28؛ 6 فرق ← 5 أدوار × 5 = 25؛ 7 فرق ← 4 × 6 = 24؛ 8 فرق ← 4 × 7 = 28؛ 9 فرق ← 3 × 8 = 24؛ 11 فريقًا ← 2 × 10 = 20.</t>
  </si>
  <si>
    <t>يلتقي كل فريق بجميع خصومه في مجموعته مرة واحدة قبل أن يتكرر أي لقاء، ولا يتكرر لقاء الزوج نفسه داخل المهرجان الواحد إطلاقًا. وهذا متحقق في جميع المجموعات، ومنها المجموعات التي لا تنتهي فيها الدورة مع نهاية المهرجان (مجموعات 7 و11 مثلًا)، فتستمر الدورة من مهرجان إلى الذي يليه دون تكرار لأي لقاء قبل اكتمالها، مع الإبقاء على 4 مباريات لكل فريق في كل مهرجان.</t>
  </si>
  <si>
    <t>تحت 14</t>
  </si>
  <si>
    <t>مجموعة نجران</t>
  </si>
  <si>
    <t>نجران</t>
  </si>
  <si>
    <t>تحت 5</t>
  </si>
  <si>
    <t>مجموعة طبرجل</t>
  </si>
  <si>
    <t>طبرجل</t>
  </si>
  <si>
    <t>تحت 7</t>
  </si>
  <si>
    <t>تحت 9</t>
  </si>
  <si>
    <t>مجموعة الخرج</t>
  </si>
  <si>
    <t>الخرج</t>
  </si>
  <si>
    <t>تحت 12</t>
  </si>
  <si>
    <t>مجموعة شرورة</t>
  </si>
  <si>
    <t>شرورة</t>
  </si>
  <si>
    <t>مجموعة الدوادمي</t>
  </si>
  <si>
    <t>الدوادمي</t>
  </si>
  <si>
    <t>تحت 11</t>
  </si>
  <si>
    <t>مجموعة القريات</t>
  </si>
  <si>
    <t>القريات</t>
  </si>
  <si>
    <t>تحت 13</t>
  </si>
  <si>
    <t>مجموعة الباحة</t>
  </si>
  <si>
    <t>الباحة، العقيق</t>
  </si>
  <si>
    <t>الباحة، بلقرن، العقيق</t>
  </si>
  <si>
    <t>الباحة</t>
  </si>
  <si>
    <t>مجموعة حائل</t>
  </si>
  <si>
    <t>حائل</t>
  </si>
  <si>
    <t>الباحة، بلقرن</t>
  </si>
  <si>
    <t>مجموعة أبها</t>
  </si>
  <si>
    <t>أبها، خميس مشيط</t>
  </si>
  <si>
    <t>مجموعة الرس</t>
  </si>
  <si>
    <t>الرس، البدائع</t>
  </si>
  <si>
    <t>مجموعة جازان</t>
  </si>
  <si>
    <t>جيزان</t>
  </si>
  <si>
    <t>الخرج، الدلم</t>
  </si>
  <si>
    <t>مجموعة مركز الرفيعة</t>
  </si>
  <si>
    <t>مركز الرفيعة</t>
  </si>
  <si>
    <t>مجموعة القطيف</t>
  </si>
  <si>
    <t>القطيف</t>
  </si>
  <si>
    <t>مجموعة أحد المسارحة</t>
  </si>
  <si>
    <t>أحد المسارحة</t>
  </si>
  <si>
    <t>مجموعة أملج</t>
  </si>
  <si>
    <t>ينبع، أملج</t>
  </si>
  <si>
    <t>مجموعة تبوك</t>
  </si>
  <si>
    <t>تبوك</t>
  </si>
  <si>
    <t>مجموعة سكاكا</t>
  </si>
  <si>
    <t>سكاكا، دومة الجندل</t>
  </si>
  <si>
    <t>البكيرية، الرس، رياض الخبراء، البدائع</t>
  </si>
  <si>
    <t>مجموعة الدمام</t>
  </si>
  <si>
    <t>الخبر، الدمام، سيهات</t>
  </si>
  <si>
    <t>مجموعة صامطة</t>
  </si>
  <si>
    <t>صامطة</t>
  </si>
  <si>
    <t>مجموعة القنفذة</t>
  </si>
  <si>
    <t>القنفذة</t>
  </si>
  <si>
    <t>مجموعة المدينة المنورة</t>
  </si>
  <si>
    <t>المدينة المنورة</t>
  </si>
  <si>
    <t>مجموعة أبو عريش</t>
  </si>
  <si>
    <t>أبو عريش</t>
  </si>
  <si>
    <t>مجموعة القصيم</t>
  </si>
  <si>
    <t>بريدة، عيون الجواء، المذنب، عنيزة</t>
  </si>
  <si>
    <t>القطيف، الجبيل</t>
  </si>
  <si>
    <t>مجموعة الخبر</t>
  </si>
  <si>
    <t>الظهران، الخبر</t>
  </si>
  <si>
    <t>مجموعة الطائف</t>
  </si>
  <si>
    <t>الطائف</t>
  </si>
  <si>
    <t>حائل، سميراء</t>
  </si>
  <si>
    <t>القنفذة، الليث</t>
  </si>
  <si>
    <t>الظهران، الخبر، الدمام، سيهات</t>
  </si>
  <si>
    <t>مجموعة الخفجي</t>
  </si>
  <si>
    <t>الخفجي</t>
  </si>
  <si>
    <t>مجموعة الأحساء</t>
  </si>
  <si>
    <t>الأحساء</t>
  </si>
  <si>
    <t>مجموعة صبيا</t>
  </si>
  <si>
    <t>صبيا، ضمد</t>
  </si>
  <si>
    <t>الدمام، سيهات</t>
  </si>
  <si>
    <t>مجموعة مكة المكرمة</t>
  </si>
  <si>
    <t>مكة المكرمة</t>
  </si>
  <si>
    <t>مجموعة حفر الباطن</t>
  </si>
  <si>
    <t>حفر الباطن</t>
  </si>
  <si>
    <t>مجموعة الرياض</t>
  </si>
  <si>
    <t>الرياض</t>
  </si>
  <si>
    <t>مجموعة جدة</t>
  </si>
  <si>
    <t>جدة</t>
  </si>
  <si>
    <t>مكة المكرمة، الجموم</t>
  </si>
  <si>
    <t>عدد الملاعب اللازمة لتحت 5 (كل البطولات الـ 21)</t>
  </si>
  <si>
    <t>أكبر عدد ملاعب قانونية تحتاجه بطولة واحدة</t>
  </si>
  <si>
    <t>الملاعب المصغّرة إذا أُقيمت كل البطولات في وقت واحد</t>
  </si>
  <si>
    <t>الملاعب القانونية إذا أُقيمت كل البطولات في وقت واحد (لكل بطولة ما تحتاجه)</t>
  </si>
  <si>
    <t>الملاعب القانونية إذا رُتّبت الملاعب المصغّرة بلا هدر</t>
  </si>
  <si>
    <t>جدول مباريات المجموعات التي فيها 15 فريقًا — أ: 7 فرق (1-7) | ب: 8 فرق (8-15)</t>
  </si>
  <si>
    <t>ملعب 3 (ب)</t>
  </si>
  <si>
    <t>المجموعة أ (الفرق 1-7)</t>
  </si>
  <si>
    <t>المجموعة ب (الفرق 8-15)</t>
  </si>
  <si>
    <t>أ: 7 | ب: 8</t>
  </si>
  <si>
    <t>القاعدة الأهم: لا يلعب أي فريق مباراتين متتاليتين أبدًا؛ بين مباراتيه فترة راحة كاملة على الأقل (15 دقيقة)، والتتابع صفر في جميع البطولات. ولا توجد راحة 45 دقيقة (ولا أطول) في أي جدول — الصفر في كل الجداول. المجموعات الزوجية (6 و8، ومجموعتا 12 (6+6) و16 (8+8)، ومجموعة الستة في 13، ومجموعة الثمانية في 15 و17) راحتها 15 دقيقة فقط. أما المجموعات الفردية (5 و7 و9 و11، ومجموعة السبعة في 13 و15، ومجموعة التسعة في 17، ومجموعتا الأحد عشر في 22) فلا يمكن رياضيًا أن تكون راحتها كلها 15 دقيقة، لأن فريقًا واحدًا على الأقل يجلس في كل فترة؛ فتُوزَّع مباريات الفرق على فترات متناوبة، ويحصل بعض الفرق على راحة 30 دقيقة مرة واحدة أو أكثر في اليوم بدل 45 دقيقة، وهي أقل قيمة ممكنة (6 راحات من 30 دقيقة في اليوم لكل مجموعة فردية، و7 في مجموعة 5 فرق).</t>
  </si>
  <si>
    <t>المجموعة ذات العدد الزوجي: 7 فترات (4 فترات لعب + 3 استراحات)، وجميع فرقها تلعب في كل فترة لعب. المجموعة ذات العدد الفردي: 9 فترات (10 فترات في مجموعة 5 فرق)، يلعب في كل فترة بعض الفرق ويجلس الباقي، ويلعب كل فريق 4 مباريات في اليوم. والمهرجان الأخير وحده يختلف طوله تبعًا لمبارياته: 9 فترات لمجموعة الستة (5 مباريات بعد دمج المباراة الزائدة) في 6 و12 و13.</t>
  </si>
  <si>
    <t>4 مباريات لكل فريق في كل مهرجان، وكل فرق المجموعة الواحدة تلعب العدد نفسه في اليوم وفي الموسم، ولا يستريح أي فريق مهرجانًا كاملًا. وإذا بقيت مباراة واحدة للفريق في مهرجان مستقل، دُمجت مع المهرجان الذي قبله. فالمهرجان الأخير وحده قد يختلف: 5 مباريات لكل فريق في مجموعة الستة (6 و12 و13)؛ أما في 15 و17 فتلعب المجموعة الفردية (السبعة في 15، والتسعة في 17) 4 مباريات في كل مهرجان بما فيها الأخير، مثل المجموعة الزوجية معها، فيصل عدد مباريات كل فريق إلى 28 في الموسم؛ وفي المهرجان الأخير يبدأ دور جديد جزئي بعد اكتمال الأدوار الكاملة، دون تكرار أي لقاء داخل المهرجان الواحد. وعدد المهرجانات واحد لكل المجموعات داخل البطولة الواحدة.</t>
  </si>
  <si>
    <t>لكل مجموعة ملعب قانوني واحد (4 ملاعب مصغّرة)، وعدد الملاعب القانونية في البطولة لا يزيد على عدد مجموعاتها. لذلك تُقسّم الفرق التي تحتاج مجموعتها أكثر من 4 ملاعب مصغّرة إلى مجموعات فرعية بحيث يقترب ناتج (الأدوار × عدد الخصوم) من 28 مباراة دون تجاوزها، ولا تقل المجموعة عن 6 فرق، ويُفضل العدد الزوجي لإلغاء راحة 45 دقيقة. التقسيم المعتمد: 12 = 6 + 6، و13 = 6 + 7، و15 = 7 + 8، و16 = 8 + 8، و17 = 8 + 9، و22 = 11 + 11؛ وتبقى 5 و6 و7 و8 و9 و11 مجموعة واحدة. (الأعداد الفردية لا يمكن أن تخلو من مجموعة فردية واحدة على الأقل.)</t>
  </si>
  <si>
    <t>المجموعات المعتمدة في فئة تحت 5 — الفرق والملاعب والمباريات</t>
  </si>
  <si>
    <t>عدد الفرق في المجموعة</t>
  </si>
  <si>
    <t>مباريات المجموعة في اليوم</t>
  </si>
  <si>
    <t>إجمالي فترات اليوم (مع الاستراحات)</t>
  </si>
  <si>
    <t>فترات اللعب في اليوم</t>
  </si>
  <si>
    <t>أقل عدد ملاعب مصغّرة بحساب السعة</t>
  </si>
  <si>
    <t>نوع المجموعة</t>
  </si>
  <si>
    <t>أقصى مباريات مسموحة (فترة لعب للزوجية / فترتان متتاليتان للفردية)</t>
  </si>
  <si>
    <t>عدد الملاعب المصغّرة المطلوبة</t>
  </si>
  <si>
    <t>لماذا هذا العدد من الملاعب؟</t>
  </si>
  <si>
    <t>ملاحظة: مجموعة الستة تلعب في مهرجانها الأخير 5 مباريات لكل فريق (15 مباراة في اليوم) بنفس الملاعب الثلاثة؛ الأرقام أعلاه تخص اليوم العادي (4 مباريات لكل فريق).</t>
  </si>
  <si>
    <t>الملعب المصغّر = ربع الملعب القانوني (5 ضد 5)، ومدة المباراة 15 دقيقة.</t>
  </si>
  <si>
    <t>عدد الحكام لكل ملعب مصغّر — ثابت</t>
  </si>
  <si>
    <t>عدد الحكام في البطولة الواحدة</t>
  </si>
  <si>
    <t>ساعات الحكام للبطولة الواحدة</t>
  </si>
  <si>
    <t>إجمالي الحكام لكل النوع</t>
  </si>
  <si>
    <t>إجمالي ساعات الحكام لكل النوع</t>
  </si>
  <si>
    <t>الإجمالي</t>
  </si>
  <si>
    <t>ملاحظات:</t>
  </si>
  <si>
    <t>• كل البطولات تُقام في المهرجان نفسه، لذا إجمالي الحكام = مجموع (عدد البطولات × الملاعب المصغّرة لكل بطولة).</t>
  </si>
  <si>
    <t>عدد المهرجانات في البطولة</t>
  </si>
  <si>
    <t>إجمالي ساعات الحكام لكل النوع على مدار البطولة</t>
  </si>
  <si>
    <t>الحكام وساعات التحكيم — المهرجان الواحد والبطولة كاملة — فئة تحت 5</t>
  </si>
  <si>
    <t>أطول مهرجان (عدد الفترات)</t>
  </si>
  <si>
    <t>عدد الفترات في كل مهرجان (حساب مساعد)</t>
  </si>
  <si>
    <t>مدة أطول مهرجان (ساعة)</t>
  </si>
  <si>
    <t>• لكل ملعب مصغّر حكم واحد (قابل للتغيير من ورقة المدخلات)، ومدة الحكم = مدة أطول مهرجان في البطولة (بالفترات المحسوبة في M:S).</t>
  </si>
  <si>
    <t>• البطولة كاملة (العمود J) = ساعات المهرجان الواحد (G) × عدد المهرجانات (H)، بأطول مدة مهرجان لكل نوع.</t>
  </si>
  <si>
    <t>المجموعة</t>
  </si>
  <si>
    <t>عدد الحكام (الملاعب المصغّرة)</t>
  </si>
  <si>
    <t>إجمالي ساعات الحكام للبطولة كاملة</t>
  </si>
  <si>
    <t>عدد الحكام ومدة الحكم بالساعة – فئة تحت 5 (حكم واحد لكل ملعب مصغّر)</t>
  </si>
  <si>
    <t>إجمالي ساعات الحكام في المهرجان</t>
  </si>
  <si>
    <t>• أسماء المجموعات وعدد فرقها من Sheet1 (فئة تحت 5)، وباقي الأعمدة مربوطة بورقة الحكام حسب عدد الفرق.</t>
  </si>
  <si>
    <t>المدن</t>
  </si>
  <si>
    <t>مدة المهرجان (ساعة)</t>
  </si>
  <si>
    <t>توزيع الفرق على مجموعة طبرجل — يُعبّأ بأسماء الفرق</t>
  </si>
  <si>
    <t>توزيع الفرق على مجموعة حائل — يُعبّأ بأسماء الفرق</t>
  </si>
  <si>
    <t>توزيع الفرق على مجموعة القريات — يُعبّأ بأسماء الفرق</t>
  </si>
  <si>
    <t>توزيع الفرق على مجموعة شرورة — يُعبّأ بأسماء الفرق</t>
  </si>
  <si>
    <t>توزيع الفرق على مجموعة مركز الرفيعة — يُعبّأ بأسماء الفرق</t>
  </si>
  <si>
    <t>توزيع الفرق على مجموعة القطيف — يُعبّأ بأسماء الفرق</t>
  </si>
  <si>
    <t>توزيع الفرق على مجموعة الدمام (الخبر، الدمام، سيهات) — يُعبّأ بأسماء الفرق</t>
  </si>
  <si>
    <t>توزيع الفرق على مجموعة أحد المسارحة — يُعبّأ بأسماء الفرق</t>
  </si>
  <si>
    <t>توزيع الفرق على مجموعة صامطة — يُعبّأ بأسماء الفرق</t>
  </si>
  <si>
    <t>توزيع الفرق على مجموعة المدينة المنورة — يُعبّأ بأسماء الفرق</t>
  </si>
  <si>
    <t>توزيع الفرق على مجموعة جازان (جيزان) — يُعبّأ بأسماء الفرق</t>
  </si>
  <si>
    <t>توزيع الفرق على مجموعة أبو عريش — يُعبّأ بأسماء الفرق</t>
  </si>
  <si>
    <t>توزيع الفرق على مجموعة الطائف — يُعبّأ بأسماء الفرق</t>
  </si>
  <si>
    <t>توزيع الفرق على مجموعة الخفجي — يُعبّأ بأسماء الفرق</t>
  </si>
  <si>
    <t>توزيع الفرق على مجموعة سكاكا (سكاكا، دومة الجندل) — يُعبّأ بأسماء الفرق</t>
  </si>
  <si>
    <t>توزيع الفرق على مجموعة الأحساء — يُعبّأ بأسماء الفرق</t>
  </si>
  <si>
    <t>توزيع الفرق على مجموعة صبيا (صبيا، ضمد) — يُعبّأ بأسماء الفرق</t>
  </si>
  <si>
    <t>توزيع الفرق على مجموعة مكة المكرمة — يُعبّأ بأسماء الفرق</t>
  </si>
  <si>
    <t>توزيع الفرق على مجموعة حفر الباطن — يُعبّأ بأسماء الفرق</t>
  </si>
  <si>
    <t>توزيع الفرق على مجموعة الرياض — يُعبّأ بأسماء الفرق</t>
  </si>
  <si>
    <t>توزيع الفرق على مجموعة جدة — يُعبّأ بأسماء الفرق</t>
  </si>
  <si>
    <t>نادي</t>
  </si>
  <si>
    <t>R20</t>
  </si>
  <si>
    <t>أكاديمية</t>
  </si>
  <si>
    <t>شمال الوادي (1)</t>
  </si>
  <si>
    <t>شمال الوادي (2)</t>
  </si>
  <si>
    <t>اكاديمية البندر</t>
  </si>
  <si>
    <t>الطائي</t>
  </si>
  <si>
    <t>الجبلين</t>
  </si>
  <si>
    <t xml:space="preserve">الريان </t>
  </si>
  <si>
    <t>نادي جبة</t>
  </si>
  <si>
    <t>فيد</t>
  </si>
  <si>
    <t>تكتيك</t>
  </si>
  <si>
    <t>القريات (1)</t>
  </si>
  <si>
    <t>القريات (2)</t>
  </si>
  <si>
    <t>اشبيلية بارك الرياضية (1)</t>
  </si>
  <si>
    <t>اشبيلية بارك الرياضية (2)</t>
  </si>
  <si>
    <t>وولف</t>
  </si>
  <si>
    <t>هواة</t>
  </si>
  <si>
    <t>باريس الجوف</t>
  </si>
  <si>
    <t>الصحاري</t>
  </si>
  <si>
    <t>جوهرة المستقبل (1)</t>
  </si>
  <si>
    <t>جوهرة المستقبل (2)</t>
  </si>
  <si>
    <t>جوهرة المستقبل (3)</t>
  </si>
  <si>
    <t>جوهرة المستقبل (4)</t>
  </si>
  <si>
    <t>نادي السهام</t>
  </si>
  <si>
    <t xml:space="preserve">قرية العليا </t>
  </si>
  <si>
    <t>نخبة الصمان</t>
  </si>
  <si>
    <t>النخبوي</t>
  </si>
  <si>
    <t>اجيال اللهابه</t>
  </si>
  <si>
    <t>نجوم الرفاع</t>
  </si>
  <si>
    <t>مواهب الشيحية</t>
  </si>
  <si>
    <t>صقور الرفيعة</t>
  </si>
  <si>
    <t>الترجي</t>
  </si>
  <si>
    <t xml:space="preserve">مضر </t>
  </si>
  <si>
    <t>النور</t>
  </si>
  <si>
    <t>كات</t>
  </si>
  <si>
    <t xml:space="preserve">مواهب الدانة </t>
  </si>
  <si>
    <t>النجوم المضيئة</t>
  </si>
  <si>
    <t>اتش اس سبورت</t>
  </si>
  <si>
    <t>وينرز (1)</t>
  </si>
  <si>
    <t>وينرز (2)</t>
  </si>
  <si>
    <t>الخليج</t>
  </si>
  <si>
    <t>الثقبة</t>
  </si>
  <si>
    <t xml:space="preserve">قادسية الخبر </t>
  </si>
  <si>
    <t>اكاديمية اجيال التفوق</t>
  </si>
  <si>
    <t>اكاديمية رايت (1)</t>
  </si>
  <si>
    <t>اكاديمية رايت (2)</t>
  </si>
  <si>
    <t xml:space="preserve">الوسام </t>
  </si>
  <si>
    <t xml:space="preserve">الوحوش </t>
  </si>
  <si>
    <t xml:space="preserve">تعاون الشعفولية </t>
  </si>
  <si>
    <t>السويديه</t>
  </si>
  <si>
    <t>احلام النورس</t>
  </si>
  <si>
    <t>ساحل الوحلة</t>
  </si>
  <si>
    <t>جحا</t>
  </si>
  <si>
    <t>سمبدوريا المسارحة</t>
  </si>
  <si>
    <t xml:space="preserve">إتحاد صامطة </t>
  </si>
  <si>
    <t>التضامن</t>
  </si>
  <si>
    <t xml:space="preserve">تعاون ديحمة </t>
  </si>
  <si>
    <t xml:space="preserve">تعاون الطرشية </t>
  </si>
  <si>
    <t xml:space="preserve">زين المباركة </t>
  </si>
  <si>
    <t xml:space="preserve">سامبا الوتد </t>
  </si>
  <si>
    <t>أبو حجر</t>
  </si>
  <si>
    <t>نجوم صامطة</t>
  </si>
  <si>
    <t>الانصار (1)</t>
  </si>
  <si>
    <t>الانصار (2)</t>
  </si>
  <si>
    <t>الانصار (3)</t>
  </si>
  <si>
    <t>الانصار (4)</t>
  </si>
  <si>
    <t>أحد</t>
  </si>
  <si>
    <t>الكالتشيو</t>
  </si>
  <si>
    <t>واعي</t>
  </si>
  <si>
    <t>اكاديمية الليجا الرياضية</t>
  </si>
  <si>
    <t>اكاديمية نجوم الدعيثة</t>
  </si>
  <si>
    <t xml:space="preserve">ستار ون </t>
  </si>
  <si>
    <t>اكاديمية الزعيم</t>
  </si>
  <si>
    <t>سحار</t>
  </si>
  <si>
    <t>الجاردن</t>
  </si>
  <si>
    <t xml:space="preserve">العدايا </t>
  </si>
  <si>
    <t>النجوم بجازان</t>
  </si>
  <si>
    <t>سانتوس جيزان</t>
  </si>
  <si>
    <t>صقور الوادي</t>
  </si>
  <si>
    <t>فريق منشبة</t>
  </si>
  <si>
    <t xml:space="preserve">أمجاد الخشابية </t>
  </si>
  <si>
    <t>الكواكب ابو عريش</t>
  </si>
  <si>
    <t>مستقبل الخضراء</t>
  </si>
  <si>
    <t>شباب حاكمة ابي عريش</t>
  </si>
  <si>
    <t>الجوه</t>
  </si>
  <si>
    <t>احلام العبادلة</t>
  </si>
  <si>
    <t>صقور قامرة جازان</t>
  </si>
  <si>
    <t>الهلال الشرقي</t>
  </si>
  <si>
    <t xml:space="preserve">فريق الخليج بأبو عريش </t>
  </si>
  <si>
    <t>عكاظ</t>
  </si>
  <si>
    <t>الوداد الطائفي</t>
  </si>
  <si>
    <t xml:space="preserve">الأغر </t>
  </si>
  <si>
    <t xml:space="preserve">نجوم مجد </t>
  </si>
  <si>
    <t xml:space="preserve">فالكون </t>
  </si>
  <si>
    <t>نخبة بالطايف</t>
  </si>
  <si>
    <t>اكاديمية نجم الفرق</t>
  </si>
  <si>
    <t>اكاديمة السامبا</t>
  </si>
  <si>
    <t>سر النجوم</t>
  </si>
  <si>
    <t>برشا الشطبة</t>
  </si>
  <si>
    <t>اكاديمية الرواد بالطائف</t>
  </si>
  <si>
    <t>العلمين</t>
  </si>
  <si>
    <t>افاق الخفجي</t>
  </si>
  <si>
    <t>الفرسان</t>
  </si>
  <si>
    <t>اولمبي الحزم</t>
  </si>
  <si>
    <t>زعيم الخفجي</t>
  </si>
  <si>
    <t>ميلان الخفجي</t>
  </si>
  <si>
    <t xml:space="preserve">الايمان الرياضية </t>
  </si>
  <si>
    <t>السهم</t>
  </si>
  <si>
    <t>القانرز</t>
  </si>
  <si>
    <t>حزم الخفجي</t>
  </si>
  <si>
    <t>مدرسة اجيال الخفجي</t>
  </si>
  <si>
    <t>نابولي الخفجي</t>
  </si>
  <si>
    <t>الجندل (1)</t>
  </si>
  <si>
    <t>الجندل (3)</t>
  </si>
  <si>
    <t>الانطلاق (2)</t>
  </si>
  <si>
    <t>العروبة (2)</t>
  </si>
  <si>
    <t>أجيال الحياة</t>
  </si>
  <si>
    <t>الردع</t>
  </si>
  <si>
    <t>الجندل (2)</t>
  </si>
  <si>
    <t>الانطلاق (1)</t>
  </si>
  <si>
    <t>العروبة (1)</t>
  </si>
  <si>
    <t>نادي القلعة</t>
  </si>
  <si>
    <t>اكاديمية المواهب</t>
  </si>
  <si>
    <t>المتحد بالجوف</t>
  </si>
  <si>
    <t>العيون</t>
  </si>
  <si>
    <t>هجر</t>
  </si>
  <si>
    <t>أحلام المنصورة (2)</t>
  </si>
  <si>
    <t>اكاديمية الفوارس</t>
  </si>
  <si>
    <t>فوكس</t>
  </si>
  <si>
    <t xml:space="preserve">فريق الشهارين </t>
  </si>
  <si>
    <t>نادي الروضة</t>
  </si>
  <si>
    <t>أحلام المنصورة (1)</t>
  </si>
  <si>
    <t>اتحاد العزم</t>
  </si>
  <si>
    <t>اكاديمية لحن</t>
  </si>
  <si>
    <t>نجمة الهفوف</t>
  </si>
  <si>
    <t xml:space="preserve">الكواسر </t>
  </si>
  <si>
    <t>فريق هلال العيون</t>
  </si>
  <si>
    <t>الليث الابيض</t>
  </si>
  <si>
    <t>الجزيرة بالحسيني</t>
  </si>
  <si>
    <t>الشاطئ</t>
  </si>
  <si>
    <t xml:space="preserve">العروبة بجخيرة </t>
  </si>
  <si>
    <t xml:space="preserve">المحمدية </t>
  </si>
  <si>
    <t>جميما</t>
  </si>
  <si>
    <t xml:space="preserve">وفاق الجنوب </t>
  </si>
  <si>
    <t>الامجاد ضمد</t>
  </si>
  <si>
    <t xml:space="preserve">السالمية </t>
  </si>
  <si>
    <t xml:space="preserve">الصمود </t>
  </si>
  <si>
    <t>القاضي</t>
  </si>
  <si>
    <t>جريبة</t>
  </si>
  <si>
    <t>شباب ابو القعايد</t>
  </si>
  <si>
    <t>الوحدة</t>
  </si>
  <si>
    <t>الرؤية المحترفة  (2)</t>
  </si>
  <si>
    <t xml:space="preserve">اكاديمية أف 1 </t>
  </si>
  <si>
    <t>العاصمة البيضاء</t>
  </si>
  <si>
    <t xml:space="preserve">اوتو مكة </t>
  </si>
  <si>
    <t>عصر الاحتراف</t>
  </si>
  <si>
    <t>المجرة</t>
  </si>
  <si>
    <t>الرؤية المحترفة  (1)</t>
  </si>
  <si>
    <t>اكاديمية الأسياد</t>
  </si>
  <si>
    <t>أجيال الابطال الرياضية</t>
  </si>
  <si>
    <t>اكاديمية الكرة الراقية</t>
  </si>
  <si>
    <t>العطا تيم</t>
  </si>
  <si>
    <t>شباب الوادي</t>
  </si>
  <si>
    <t>نادي مدارس الفرسان الرياضي</t>
  </si>
  <si>
    <t>الباطن</t>
  </si>
  <si>
    <t>نادي الحفر</t>
  </si>
  <si>
    <t xml:space="preserve">اكاديمية السارية للمواهب </t>
  </si>
  <si>
    <t>اكاديمية النجم</t>
  </si>
  <si>
    <t xml:space="preserve">فيصل الدخيل </t>
  </si>
  <si>
    <t>مواهب الحفر</t>
  </si>
  <si>
    <t>الاختيار</t>
  </si>
  <si>
    <t>الوصل بحفر الباطن</t>
  </si>
  <si>
    <t>القيصومة</t>
  </si>
  <si>
    <t>اف ستة عشر العالمية</t>
  </si>
  <si>
    <t xml:space="preserve">اكاديمية المملكة </t>
  </si>
  <si>
    <t xml:space="preserve">القمة الرياضية </t>
  </si>
  <si>
    <t>مواهب اسباير</t>
  </si>
  <si>
    <t>مواهب السد</t>
  </si>
  <si>
    <t>التابلين حفر الباطن</t>
  </si>
  <si>
    <t>فريق اكاديمية الحفر</t>
  </si>
  <si>
    <t>النصر (1)</t>
  </si>
  <si>
    <t>الشباب</t>
  </si>
  <si>
    <t>الهلال</t>
  </si>
  <si>
    <t xml:space="preserve">مجد القنفذة </t>
  </si>
  <si>
    <t>اكاديمية الشنكل</t>
  </si>
  <si>
    <t>اكاديمية ستورم</t>
  </si>
  <si>
    <t xml:space="preserve">الوصل الرياضية </t>
  </si>
  <si>
    <t>اكادميه ميلانو</t>
  </si>
  <si>
    <t>النصر (2)</t>
  </si>
  <si>
    <t>الفذ</t>
  </si>
  <si>
    <t>ليجيندز</t>
  </si>
  <si>
    <t>نجوم الملاعب</t>
  </si>
  <si>
    <t xml:space="preserve"> هاي ليفل اوف برفورمانس</t>
  </si>
  <si>
    <t>اكاديمية اوليمبك</t>
  </si>
  <si>
    <t>النهج السعودي</t>
  </si>
  <si>
    <t>مواهب الشرق</t>
  </si>
  <si>
    <t>ريال اسبانيول</t>
  </si>
  <si>
    <t>نادي الاهلي السعودي (1)</t>
  </si>
  <si>
    <t>نادي الاهلي السعودي (3)</t>
  </si>
  <si>
    <t>القرية الاولومبية (1)</t>
  </si>
  <si>
    <t>المجد النموذجية (1)</t>
  </si>
  <si>
    <t>المملكة (1)</t>
  </si>
  <si>
    <t>الجوهرة المتحدة</t>
  </si>
  <si>
    <t xml:space="preserve">الكرة المشتعلة </t>
  </si>
  <si>
    <t xml:space="preserve">مواهب جدة </t>
  </si>
  <si>
    <t>اكاديمية التحدي جدة</t>
  </si>
  <si>
    <t>اكاديمية بلو باور جدة</t>
  </si>
  <si>
    <t>السنابل</t>
  </si>
  <si>
    <t>نادي الاهلي السعودي (2)</t>
  </si>
  <si>
    <t>نادي الاتحاد السعودي</t>
  </si>
  <si>
    <t>القرية الاولومبية (2)</t>
  </si>
  <si>
    <t>المجد النموذجية (2)</t>
  </si>
  <si>
    <t>المملكة (2)</t>
  </si>
  <si>
    <t>العالم الرياضية</t>
  </si>
  <si>
    <t>ساحة التحدي</t>
  </si>
  <si>
    <t>PARIS SAINT GERMAIN ACADEMY SAUDI ARABIA</t>
  </si>
  <si>
    <t xml:space="preserve">اكاديمية الترجي جدة </t>
  </si>
  <si>
    <t>اكاديمية جدة سيتي</t>
  </si>
  <si>
    <t>بي فايف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</si>
</sst>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1]h:mm\ AM/PM"/>
    <numFmt numFmtId="165" formatCode="&quot;مهرجان &quot;0"/>
  </numFmts>
  <fonts count="29">
    <font>
      <sz val="11"/>
      <color theme="1"/>
      <name val="Calibri"/>
      <family val="2"/>
      <scheme val="minor"/>
    </font>
    <font>
      <b/>
      <sz val="11"/>
      <color theme="1"/>
      <name val="Calibri"/>
      <family val="2"/>
      <scheme val="minor"/>
    </font>
    <font>
      <b/>
      <sz val="11"/>
      <color rgb="FF0000FF"/>
      <name val="Calibri"/>
      <family val="2"/>
      <scheme val="minor"/>
    </font>
    <font>
      <b/>
      <sz val="11"/>
      <color rgb="FF000000"/>
      <name val="Calibri"/>
      <family val="2"/>
      <scheme val="minor"/>
    </font>
    <font>
      <i/>
      <sz val="11"/>
      <color rgb="FF808080"/>
      <name val="Calibri"/>
      <family val="2"/>
      <scheme val="minor"/>
    </font>
    <font>
      <sz val="11"/>
      <color rgb="FF1F4E79"/>
      <name val="Calibri"/>
      <family val="2"/>
      <scheme val="minor"/>
    </font>
    <font>
      <sz val="9"/>
      <color rgb="FF808080"/>
      <name val="Calibri"/>
      <family val="2"/>
      <scheme val="minor"/>
    </font>
    <font>
      <b/>
      <sz val="14"/>
      <color rgb="FFFFFFFF"/>
      <name val="Calibri"/>
      <family val="2"/>
      <scheme val="minor"/>
    </font>
    <font>
      <b/>
      <sz val="12"/>
      <color rgb="FFFFFFFF"/>
      <name val="Calibri"/>
      <family val="2"/>
      <scheme val="minor"/>
    </font>
    <font>
      <sz val="9"/>
      <color indexed="81"/>
      <name val="Tahoma"/>
    </font>
    <font>
      <b/>
      <sz val="9"/>
      <color indexed="81"/>
      <name val="Tahoma"/>
    </font>
    <font>
      <sz val="11"/>
      <color rgb="FF000000"/>
      <name val="Calibri"/>
      <family val="2"/>
      <scheme val="minor"/>
    </font>
    <font>
      <sz val="11"/>
      <color rgb="FF808080"/>
      <name val="Calibri"/>
      <family val="2"/>
      <scheme val="minor"/>
    </font>
    <font>
      <b/>
      <sz val="14"/>
      <color rgb="FFFFFFFF"/>
      <name val="Calibri"/>
      <scheme val="minor"/>
    </font>
    <font>
      <sz val="11"/>
      <color theme="1"/>
      <name val="Calibri"/>
      <scheme val="minor"/>
    </font>
    <font>
      <b/>
      <sz val="11"/>
      <color theme="1"/>
      <name val="Calibri"/>
      <scheme val="minor"/>
    </font>
    <font>
      <b/>
      <sz val="11"/>
      <color rgb="FF000000"/>
      <name val="Calibri"/>
      <scheme val="minor"/>
    </font>
    <font>
      <sz val="11"/>
      <color rgb="FF1F4E79"/>
      <name val="Calibri"/>
      <scheme val="minor"/>
    </font>
    <font>
      <sz val="11"/>
      <color rgb="FF000000"/>
      <name val="Calibri"/>
      <scheme val="minor"/>
    </font>
    <font>
      <sz val="11"/>
      <color rgb="FF808080"/>
      <name val="Calibri"/>
      <scheme val="minor"/>
    </font>
    <font>
      <b/>
      <sz val="12"/>
      <color rgb="FFFFFFFF"/>
      <name val="Calibri"/>
      <scheme val="minor"/>
    </font>
    <font>
      <sz val="11"/>
      <color rgb="FF0000FF"/>
      <name val="Calibri"/>
      <family val="2"/>
      <scheme val="minor"/>
    </font>
    <font>
      <sz val="11"/>
      <color rgb="FF0000FF"/>
      <name val="Calibri"/>
      <scheme val="minor"/>
    </font>
    <font>
      <sz val="11"/>
      <name val="Carlito"/>
    </font>
    <font>
      <i/>
      <sz val="11"/>
      <color rgb="FF808080"/>
      <name val="Calibri"/>
      <scheme val="minor"/>
    </font>
    <font>
      <sz val="11"/>
      <color rgb="FF008000"/>
      <name val="Calibri"/>
      <scheme val="minor"/>
    </font>
    <font>
      <i/>
      <sz val="11"/>
      <color theme="1"/>
      <name val="Calibri"/>
      <scheme val="minor"/>
    </font>
    <font>
      <b/>
      <sz val="14"/>
      <color theme="1"/>
      <name val="Calibri"/>
      <family val="2"/>
      <scheme val="minor"/>
    </font>
    <font>
      <sz val="11"/>
      <color rgb="FF595959"/>
      <name val="Calibri"/>
      <family val="2"/>
      <scheme val="minor"/>
    </font>
  </fonts>
  <fills count="6">
    <fill>
      <patternFill patternType="none"/>
    </fill>
    <fill>
      <patternFill patternType="gray125"/>
    </fill>
    <fill>
      <patternFill patternType="solid">
        <fgColor rgb="FF1F4E79"/>
        <bgColor indexed="64"/>
      </patternFill>
    </fill>
    <fill>
      <patternFill patternType="solid">
        <fgColor rgb="FFD9E1F2"/>
        <bgColor indexed="64"/>
      </patternFill>
    </fill>
    <fill>
      <patternFill patternType="solid">
        <fgColor rgb="FFFFF2CC"/>
        <bgColor indexed="64"/>
      </patternFill>
    </fill>
    <fill>
      <patternFill patternType="solid">
        <fgColor rgb="FFEDEDED"/>
        <bgColor indexed="64"/>
      </patternFill>
    </fill>
  </fills>
  <borders count="13">
    <border>
      <left/>
      <right/>
      <top/>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style="thin">
        <color rgb="FF8EA9DB"/>
      </top>
      <bottom/>
      <diagonal/>
    </border>
    <border>
      <left style="thin">
        <color rgb="FF8EA9DB"/>
      </left>
      <right style="thin">
        <color rgb="FF8EA9DB"/>
      </right>
      <top/>
      <bottom style="thin">
        <color rgb="FF8EA9DB"/>
      </bottom>
      <diagonal/>
    </border>
    <border>
      <left/>
      <right/>
      <top/>
      <bottom style="thin">
        <color rgb="FF8EA9DB"/>
      </bottom>
      <diagonal/>
    </border>
    <border>
      <left style="thin">
        <color rgb="FF8EA9DB"/>
      </left>
      <right style="thin">
        <color rgb="FF8EA9DB"/>
      </right>
      <top/>
      <bottom/>
      <diagonal/>
    </border>
    <border>
      <left/>
      <right style="thin">
        <color rgb="FF8EA9DB"/>
      </right>
      <top style="thin">
        <color rgb="FF8EA9DB"/>
      </top>
      <bottom style="thin">
        <color rgb="FF8EA9DB"/>
      </bottom>
      <diagonal/>
    </border>
    <border>
      <left/>
      <right/>
      <top style="thin">
        <color rgb="FF8EA9DB"/>
      </top>
      <bottom/>
      <diagonal/>
    </border>
    <border>
      <left/>
      <right/>
      <top style="thin">
        <color rgb="FF8EA9DB"/>
      </top>
      <bottom style="thin">
        <color rgb="FF8EA9DB"/>
      </bottom>
      <diagonal/>
    </border>
    <border>
      <left style="thin">
        <color rgb="FF8EA9DB"/>
      </left>
      <right/>
      <top style="thin">
        <color rgb="FF8EA9DB"/>
      </top>
      <bottom style="thin">
        <color rgb="FF8EA9DB"/>
      </bottom>
      <diagonal/>
    </border>
    <border>
      <left style="thin">
        <color rgb="FF8EA9DB"/>
      </left>
      <right/>
      <top style="thin">
        <color rgb="FF8EA9DB"/>
      </top>
      <bottom/>
      <diagonal/>
    </border>
    <border>
      <left/>
      <right style="thin">
        <color rgb="FF8EA9DB"/>
      </right>
      <top style="thin">
        <color rgb="FF8EA9DB"/>
      </top>
      <bottom/>
      <diagonal/>
    </border>
    <border>
      <left style="thin">
        <color rgb="FF8EA9DB"/>
      </left>
      <right/>
      <top/>
      <bottom/>
      <diagonal/>
    </border>
  </borders>
  <cellStyleXfs count="2">
    <xf numFmtId="0" fontId="0" fillId="0" borderId="0"/>
    <xf numFmtId="0" fontId="23" fillId="0" borderId="0"/>
  </cellStyleXfs>
  <cellXfs count="137">
    <xf numFmtId="0" fontId="0" fillId="0" borderId="0" xfId="0"/>
    <xf numFmtId="1" fontId="0" fillId="0" borderId="1" xfId="0" applyNumberFormat="1" applyBorder="1" applyAlignment="1">
      <alignment horizontal="center" vertical="center" readingOrder="2"/>
    </xf>
    <xf numFmtId="0" fontId="6" fillId="0" borderId="0" xfId="0" applyFont="1" applyAlignment="1">
      <alignment horizontal="center"/>
    </xf>
    <xf numFmtId="0" fontId="6" fillId="0" borderId="0" xfId="0" applyFont="1" applyAlignment="1">
      <alignment horizontal="right"/>
    </xf>
    <xf numFmtId="0" fontId="0" fillId="0" borderId="0" xfId="0" applyAlignment="1">
      <alignment horizontal="right"/>
    </xf>
    <xf numFmtId="0" fontId="0" fillId="0" borderId="0" xfId="0" applyAlignment="1">
      <alignment vertical="center"/>
    </xf>
    <xf numFmtId="1" fontId="3" fillId="5" borderId="1" xfId="0" applyNumberFormat="1" applyFont="1" applyFill="1" applyBorder="1" applyAlignment="1">
      <alignment horizontal="center" vertical="center" readingOrder="2"/>
    </xf>
    <xf numFmtId="0" fontId="0" fillId="0" borderId="0" xfId="0" applyAlignment="1">
      <alignment vertical="center" readingOrder="2"/>
    </xf>
    <xf numFmtId="0" fontId="0" fillId="0" borderId="1" xfId="0" applyBorder="1" applyAlignment="1">
      <alignment horizontal="center" vertical="center" readingOrder="2"/>
    </xf>
    <xf numFmtId="0" fontId="3" fillId="3" borderId="1" xfId="0" applyFont="1" applyFill="1" applyBorder="1" applyAlignment="1">
      <alignment horizontal="center" vertical="center" wrapText="1" readingOrder="2"/>
    </xf>
    <xf numFmtId="0" fontId="5" fillId="0" borderId="1" xfId="0" applyFont="1" applyBorder="1" applyAlignment="1">
      <alignment horizontal="center" vertical="center" readingOrder="2"/>
    </xf>
    <xf numFmtId="0" fontId="0" fillId="0" borderId="1" xfId="0" applyBorder="1" applyAlignment="1">
      <alignment horizontal="right" vertical="center" wrapText="1" readingOrder="2"/>
    </xf>
    <xf numFmtId="20" fontId="0" fillId="0" borderId="1" xfId="0" applyNumberFormat="1" applyBorder="1" applyAlignment="1">
      <alignment horizontal="center" vertical="center" readingOrder="2"/>
    </xf>
    <xf numFmtId="9" fontId="0" fillId="0" borderId="1" xfId="0" applyNumberFormat="1" applyBorder="1" applyAlignment="1">
      <alignment horizontal="center" vertical="center" readingOrder="2"/>
    </xf>
    <xf numFmtId="164" fontId="0" fillId="0" borderId="1" xfId="0" applyNumberFormat="1" applyBorder="1" applyAlignment="1">
      <alignment horizontal="center" vertical="center" readingOrder="2"/>
    </xf>
    <xf numFmtId="0" fontId="0" fillId="0" borderId="3" xfId="0" applyBorder="1" applyAlignment="1">
      <alignment horizontal="center" vertical="center" readingOrder="2"/>
    </xf>
    <xf numFmtId="0" fontId="3" fillId="3" borderId="5" xfId="0" applyFont="1" applyFill="1" applyBorder="1" applyAlignment="1">
      <alignment horizontal="center" vertical="center" readingOrder="2"/>
    </xf>
    <xf numFmtId="0" fontId="0" fillId="0" borderId="3" xfId="0" applyBorder="1" applyAlignment="1">
      <alignment horizontal="right" vertical="center" wrapText="1" readingOrder="2"/>
    </xf>
    <xf numFmtId="1" fontId="3" fillId="5" borderId="3" xfId="0" applyNumberFormat="1" applyFont="1" applyFill="1" applyBorder="1" applyAlignment="1">
      <alignment horizontal="center" vertical="center" readingOrder="2"/>
    </xf>
    <xf numFmtId="0" fontId="0" fillId="0" borderId="5" xfId="0" applyBorder="1" applyAlignment="1">
      <alignment horizontal="center" vertical="center" readingOrder="2"/>
    </xf>
    <xf numFmtId="0" fontId="0" fillId="0" borderId="5" xfId="0" applyBorder="1" applyAlignment="1">
      <alignment horizontal="right" vertical="center" wrapText="1" readingOrder="2"/>
    </xf>
    <xf numFmtId="164" fontId="2" fillId="4" borderId="5" xfId="0" applyNumberFormat="1" applyFont="1" applyFill="1" applyBorder="1" applyAlignment="1">
      <alignment horizontal="center" vertical="center" readingOrder="2"/>
    </xf>
    <xf numFmtId="0" fontId="0" fillId="0" borderId="0" xfId="0" applyAlignment="1">
      <alignment horizontal="center" vertical="center" readingOrder="2"/>
    </xf>
    <xf numFmtId="0" fontId="1" fillId="3" borderId="1" xfId="0" applyFont="1" applyFill="1" applyBorder="1" applyAlignment="1">
      <alignment horizontal="center" vertical="center" wrapText="1" readingOrder="2"/>
    </xf>
    <xf numFmtId="0" fontId="0" fillId="0" borderId="0" xfId="0" applyAlignment="1">
      <alignment horizontal="center" readingOrder="2"/>
    </xf>
    <xf numFmtId="0" fontId="1" fillId="3" borderId="1" xfId="0" applyFont="1" applyFill="1" applyBorder="1" applyAlignment="1">
      <alignment horizontal="center" vertical="center" readingOrder="2"/>
    </xf>
    <xf numFmtId="0" fontId="1" fillId="0" borderId="5" xfId="0" applyFont="1" applyBorder="1" applyAlignment="1">
      <alignment horizontal="center" vertical="center" readingOrder="2"/>
    </xf>
    <xf numFmtId="0" fontId="1" fillId="0" borderId="3" xfId="0" applyFont="1" applyBorder="1" applyAlignment="1">
      <alignment horizontal="center" vertical="center" readingOrder="2"/>
    </xf>
    <xf numFmtId="0" fontId="0" fillId="0" borderId="1" xfId="0" applyBorder="1" applyAlignment="1">
      <alignment horizontal="center" vertical="center" wrapText="1" readingOrder="2"/>
    </xf>
    <xf numFmtId="0" fontId="3" fillId="0" borderId="5" xfId="0" applyFont="1" applyBorder="1" applyAlignment="1">
      <alignment horizontal="center" vertical="center" readingOrder="2"/>
    </xf>
    <xf numFmtId="0" fontId="3" fillId="0" borderId="3" xfId="0" applyFont="1" applyBorder="1" applyAlignment="1">
      <alignment horizontal="center" vertical="center" readingOrder="2"/>
    </xf>
    <xf numFmtId="0" fontId="3" fillId="0" borderId="1" xfId="0" applyFont="1" applyBorder="1" applyAlignment="1">
      <alignment horizontal="center" vertical="center" readingOrder="2"/>
    </xf>
    <xf numFmtId="0" fontId="1" fillId="0" borderId="1" xfId="0" applyFont="1" applyBorder="1" applyAlignment="1">
      <alignment horizontal="center" vertical="center" readingOrder="2"/>
    </xf>
    <xf numFmtId="0" fontId="0" fillId="0" borderId="0" xfId="0" applyAlignment="1">
      <alignment horizontal="center" vertical="center"/>
    </xf>
    <xf numFmtId="0" fontId="14" fillId="0" borderId="0" xfId="0" applyFont="1" applyAlignment="1">
      <alignment horizontal="center" vertical="center" readingOrder="2"/>
    </xf>
    <xf numFmtId="0" fontId="15" fillId="3" borderId="1" xfId="0" applyFont="1" applyFill="1" applyBorder="1" applyAlignment="1">
      <alignment horizontal="center" vertical="center" wrapText="1" readingOrder="2"/>
    </xf>
    <xf numFmtId="0" fontId="17" fillId="0" borderId="1" xfId="0" applyFont="1" applyBorder="1" applyAlignment="1">
      <alignment horizontal="center" vertical="center" readingOrder="2"/>
    </xf>
    <xf numFmtId="0" fontId="18" fillId="0" borderId="1" xfId="0" applyFont="1" applyBorder="1" applyAlignment="1">
      <alignment horizontal="center" vertical="center" readingOrder="2"/>
    </xf>
    <xf numFmtId="0" fontId="15" fillId="3" borderId="1" xfId="0" applyFont="1" applyFill="1" applyBorder="1" applyAlignment="1">
      <alignment horizontal="center" vertical="center" readingOrder="2"/>
    </xf>
    <xf numFmtId="0" fontId="14" fillId="0" borderId="1" xfId="0" applyFont="1" applyBorder="1" applyAlignment="1">
      <alignment horizontal="center" vertical="center" readingOrder="2"/>
    </xf>
    <xf numFmtId="0" fontId="21" fillId="0" borderId="1" xfId="0" applyFont="1" applyBorder="1" applyAlignment="1">
      <alignment horizontal="center" vertical="center" readingOrder="2"/>
    </xf>
    <xf numFmtId="1" fontId="21" fillId="0" borderId="1" xfId="0" applyNumberFormat="1" applyFont="1" applyBorder="1" applyAlignment="1">
      <alignment horizontal="center" vertical="center" readingOrder="2"/>
    </xf>
    <xf numFmtId="1" fontId="3" fillId="3" borderId="1" xfId="0" applyNumberFormat="1" applyFont="1" applyFill="1" applyBorder="1" applyAlignment="1">
      <alignment horizontal="center" vertical="center" readingOrder="2"/>
    </xf>
    <xf numFmtId="0" fontId="15" fillId="3" borderId="12" xfId="0" applyFont="1" applyFill="1" applyBorder="1" applyAlignment="1">
      <alignment horizontal="center" vertical="center" wrapText="1" readingOrder="2"/>
    </xf>
    <xf numFmtId="0" fontId="19" fillId="0" borderId="0" xfId="0" applyFont="1" applyAlignment="1">
      <alignment horizontal="center" vertical="center" readingOrder="2"/>
    </xf>
    <xf numFmtId="0" fontId="15" fillId="0" borderId="1" xfId="0" applyFont="1" applyBorder="1" applyAlignment="1">
      <alignment horizontal="center" vertical="center" readingOrder="2"/>
    </xf>
    <xf numFmtId="0" fontId="11" fillId="0" borderId="1" xfId="0" applyFont="1" applyBorder="1" applyAlignment="1">
      <alignment horizontal="center" vertical="center" readingOrder="2"/>
    </xf>
    <xf numFmtId="0" fontId="11" fillId="0" borderId="8" xfId="0" applyFont="1" applyBorder="1" applyAlignment="1">
      <alignment horizontal="center" vertical="center" readingOrder="2"/>
    </xf>
    <xf numFmtId="0" fontId="11" fillId="0" borderId="6" xfId="0" applyFont="1" applyBorder="1" applyAlignment="1">
      <alignment horizontal="center" vertical="center" readingOrder="2"/>
    </xf>
    <xf numFmtId="0" fontId="11" fillId="0" borderId="9" xfId="0" applyFont="1" applyBorder="1" applyAlignment="1">
      <alignment horizontal="center" vertical="center" readingOrder="2"/>
    </xf>
    <xf numFmtId="0" fontId="1" fillId="3" borderId="0" xfId="0" applyFont="1" applyFill="1" applyAlignment="1">
      <alignment horizontal="center" vertical="center" wrapText="1" readingOrder="2"/>
    </xf>
    <xf numFmtId="0" fontId="12" fillId="0" borderId="0" xfId="0" applyFont="1" applyAlignment="1">
      <alignment horizontal="center" vertical="center" readingOrder="2"/>
    </xf>
    <xf numFmtId="0" fontId="22" fillId="0" borderId="1" xfId="0" applyFont="1" applyBorder="1" applyAlignment="1">
      <alignment horizontal="center" vertical="center" readingOrder="2"/>
    </xf>
    <xf numFmtId="0" fontId="23" fillId="0" borderId="0" xfId="1"/>
    <xf numFmtId="1" fontId="3" fillId="0" borderId="1" xfId="0" applyNumberFormat="1" applyFont="1" applyBorder="1" applyAlignment="1">
      <alignment horizontal="center" vertical="center" readingOrder="2"/>
    </xf>
    <xf numFmtId="0" fontId="14" fillId="0" borderId="0" xfId="0" applyFont="1" applyAlignment="1">
      <alignment horizontal="center" vertical="center"/>
    </xf>
    <xf numFmtId="0" fontId="15"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25" fillId="0" borderId="1" xfId="0" applyFont="1" applyBorder="1" applyAlignment="1">
      <alignment horizontal="center" vertical="center" wrapText="1"/>
    </xf>
    <xf numFmtId="1" fontId="25" fillId="0" borderId="1" xfId="0" applyNumberFormat="1" applyFont="1" applyBorder="1" applyAlignment="1">
      <alignment horizontal="center" vertical="center" wrapText="1"/>
    </xf>
    <xf numFmtId="0" fontId="26" fillId="0" borderId="0" xfId="0" applyFont="1" applyAlignment="1">
      <alignment horizontal="right" vertical="center"/>
    </xf>
    <xf numFmtId="2" fontId="0" fillId="0" borderId="1" xfId="0" applyNumberFormat="1" applyBorder="1" applyAlignment="1">
      <alignment horizontal="center" vertical="center" readingOrder="2"/>
    </xf>
    <xf numFmtId="1" fontId="1" fillId="0" borderId="1" xfId="0" applyNumberFormat="1" applyFont="1" applyBorder="1" applyAlignment="1">
      <alignment horizontal="center" vertical="center" readingOrder="2"/>
    </xf>
    <xf numFmtId="2" fontId="1" fillId="0" borderId="1" xfId="0" applyNumberFormat="1" applyFont="1" applyBorder="1" applyAlignment="1">
      <alignment horizontal="center" vertical="center" readingOrder="2"/>
    </xf>
    <xf numFmtId="0" fontId="27" fillId="0" borderId="0" xfId="0" applyFont="1" applyAlignment="1">
      <alignment horizontal="center" vertical="center"/>
    </xf>
    <xf numFmtId="0" fontId="28" fillId="0" borderId="0" xfId="0" applyFont="1" applyAlignment="1">
      <alignment horizontal="right"/>
    </xf>
    <xf numFmtId="165" fontId="3" fillId="3" borderId="1" xfId="0" applyNumberFormat="1" applyFont="1" applyFill="1" applyBorder="1" applyAlignment="1">
      <alignment horizontal="center" vertical="center" wrapText="1" readingOrder="2"/>
    </xf>
    <xf numFmtId="0" fontId="1" fillId="0" borderId="0" xfId="0" applyFont="1" applyAlignment="1">
      <alignment horizontal="right"/>
    </xf>
    <xf numFmtId="0" fontId="1" fillId="0" borderId="1" xfId="0" applyFont="1" applyBorder="1" applyAlignment="1">
      <alignment horizontal="center" vertical="center" wrapText="1" readingOrder="2"/>
    </xf>
    <xf numFmtId="0" fontId="0" fillId="0" borderId="1" xfId="0" applyBorder="1" applyAlignment="1">
      <alignment horizontal="right" vertical="center" readingOrder="2"/>
    </xf>
    <xf numFmtId="0" fontId="4" fillId="0" borderId="9" xfId="0" applyFont="1" applyBorder="1" applyAlignment="1">
      <alignment horizontal="center" vertical="center" readingOrder="2"/>
    </xf>
    <xf numFmtId="0" fontId="4" fillId="0" borderId="8" xfId="0" applyFont="1" applyBorder="1" applyAlignment="1">
      <alignment horizontal="center" vertical="center" readingOrder="2"/>
    </xf>
    <xf numFmtId="0" fontId="4" fillId="0" borderId="6" xfId="0" applyFont="1" applyBorder="1" applyAlignment="1">
      <alignment horizontal="center" vertical="center" readingOrder="2"/>
    </xf>
    <xf numFmtId="0" fontId="1" fillId="5" borderId="2" xfId="0" applyFont="1" applyFill="1" applyBorder="1" applyAlignment="1">
      <alignment horizontal="center" vertical="center" readingOrder="2"/>
    </xf>
    <xf numFmtId="0" fontId="1" fillId="5" borderId="5" xfId="0" applyFont="1" applyFill="1" applyBorder="1" applyAlignment="1">
      <alignment horizontal="center" vertical="center" readingOrder="2"/>
    </xf>
    <xf numFmtId="0" fontId="1" fillId="5" borderId="3" xfId="0" applyFont="1" applyFill="1" applyBorder="1" applyAlignment="1">
      <alignment horizontal="center" vertical="center" readingOrder="2"/>
    </xf>
    <xf numFmtId="0" fontId="1" fillId="0" borderId="2" xfId="0" applyFont="1" applyBorder="1" applyAlignment="1">
      <alignment horizontal="center" vertical="center" readingOrder="2"/>
    </xf>
    <xf numFmtId="0" fontId="1" fillId="0" borderId="5" xfId="0" applyFont="1" applyBorder="1" applyAlignment="1">
      <alignment horizontal="center" vertical="center" readingOrder="2"/>
    </xf>
    <xf numFmtId="0" fontId="1" fillId="0" borderId="3" xfId="0" applyFont="1" applyBorder="1" applyAlignment="1">
      <alignment horizontal="center" vertical="center" readingOrder="2"/>
    </xf>
    <xf numFmtId="0" fontId="0" fillId="0" borderId="2" xfId="0" applyBorder="1" applyAlignment="1">
      <alignment horizontal="center" vertical="center" readingOrder="2"/>
    </xf>
    <xf numFmtId="0" fontId="0" fillId="0" borderId="5" xfId="0" applyBorder="1" applyAlignment="1">
      <alignment horizontal="center" vertical="center" readingOrder="2"/>
    </xf>
    <xf numFmtId="0" fontId="0" fillId="0" borderId="3" xfId="0" applyBorder="1" applyAlignment="1">
      <alignment horizontal="center" vertical="center" readingOrder="2"/>
    </xf>
    <xf numFmtId="0" fontId="7" fillId="2" borderId="0" xfId="0" applyFont="1" applyFill="1" applyAlignment="1">
      <alignment horizontal="center" vertical="center" readingOrder="2"/>
    </xf>
    <xf numFmtId="0" fontId="8" fillId="2" borderId="0" xfId="0" applyFont="1" applyFill="1" applyAlignment="1">
      <alignment horizontal="center" vertical="center" readingOrder="2"/>
    </xf>
    <xf numFmtId="0" fontId="1" fillId="3" borderId="1" xfId="0" applyFont="1" applyFill="1" applyBorder="1" applyAlignment="1">
      <alignment horizontal="center" vertical="center" wrapText="1" readingOrder="2"/>
    </xf>
    <xf numFmtId="0" fontId="0" fillId="0" borderId="1" xfId="0" applyBorder="1" applyAlignment="1">
      <alignment horizontal="center" vertical="center" wrapText="1"/>
    </xf>
    <xf numFmtId="0" fontId="7" fillId="2" borderId="0" xfId="0" applyFont="1" applyFill="1" applyAlignment="1">
      <alignment horizontal="right" vertical="center" readingOrder="2"/>
    </xf>
    <xf numFmtId="1" fontId="0" fillId="0" borderId="9" xfId="0" applyNumberFormat="1" applyBorder="1" applyAlignment="1">
      <alignment horizontal="center" vertical="center" wrapText="1" readingOrder="2"/>
    </xf>
    <xf numFmtId="1" fontId="0" fillId="0" borderId="8" xfId="0" applyNumberFormat="1" applyBorder="1" applyAlignment="1">
      <alignment horizontal="center" vertical="center" wrapText="1" readingOrder="2"/>
    </xf>
    <xf numFmtId="1" fontId="0" fillId="0" borderId="6" xfId="0" applyNumberFormat="1" applyBorder="1" applyAlignment="1">
      <alignment horizontal="center" vertical="center" wrapText="1" readingOrder="2"/>
    </xf>
    <xf numFmtId="0" fontId="8" fillId="2" borderId="10" xfId="0" applyFont="1" applyFill="1" applyBorder="1" applyAlignment="1">
      <alignment horizontal="center" vertical="center" readingOrder="2"/>
    </xf>
    <xf numFmtId="0" fontId="8" fillId="2" borderId="7" xfId="0" applyFont="1" applyFill="1" applyBorder="1" applyAlignment="1">
      <alignment horizontal="center" vertical="center" readingOrder="2"/>
    </xf>
    <xf numFmtId="0" fontId="0" fillId="0" borderId="7" xfId="0" applyBorder="1" applyAlignment="1">
      <alignment horizontal="center" vertical="center" readingOrder="2"/>
    </xf>
    <xf numFmtId="0" fontId="0" fillId="0" borderId="11" xfId="0" applyBorder="1" applyAlignment="1">
      <alignment horizontal="center" vertical="center" readingOrder="2"/>
    </xf>
    <xf numFmtId="0" fontId="0" fillId="0" borderId="4" xfId="0" applyBorder="1" applyAlignment="1">
      <alignment horizontal="center" vertical="center" readingOrder="2"/>
    </xf>
    <xf numFmtId="0" fontId="0" fillId="0" borderId="0" xfId="0" applyAlignment="1">
      <alignment horizontal="center" vertical="center" readingOrder="2"/>
    </xf>
    <xf numFmtId="0" fontId="7" fillId="2" borderId="9" xfId="0" applyFont="1" applyFill="1" applyBorder="1" applyAlignment="1">
      <alignment horizontal="center" vertical="center" readingOrder="2"/>
    </xf>
    <xf numFmtId="0" fontId="7" fillId="2" borderId="8" xfId="0" applyFont="1" applyFill="1" applyBorder="1" applyAlignment="1">
      <alignment horizontal="center" vertical="center" readingOrder="2"/>
    </xf>
    <xf numFmtId="0" fontId="1" fillId="3" borderId="9" xfId="0" applyFont="1" applyFill="1" applyBorder="1" applyAlignment="1">
      <alignment horizontal="center" vertical="center" readingOrder="2"/>
    </xf>
    <xf numFmtId="0" fontId="1" fillId="3" borderId="8" xfId="0" applyFont="1" applyFill="1" applyBorder="1" applyAlignment="1">
      <alignment horizontal="center" vertical="center" readingOrder="2"/>
    </xf>
    <xf numFmtId="0" fontId="1" fillId="3" borderId="6" xfId="0" applyFont="1" applyFill="1" applyBorder="1" applyAlignment="1">
      <alignment horizontal="center" vertical="center" readingOrder="2"/>
    </xf>
    <xf numFmtId="0" fontId="8" fillId="2" borderId="10"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11" xfId="0" applyFont="1" applyFill="1" applyBorder="1" applyAlignment="1">
      <alignment horizontal="center" vertical="center"/>
    </xf>
    <xf numFmtId="0" fontId="13" fillId="2" borderId="0" xfId="0" applyFont="1" applyFill="1" applyAlignment="1">
      <alignment horizontal="center" vertical="center"/>
    </xf>
    <xf numFmtId="0" fontId="14" fillId="0" borderId="1" xfId="0" applyFont="1" applyBorder="1" applyAlignment="1">
      <alignment horizontal="center" vertical="center" readingOrder="2"/>
    </xf>
    <xf numFmtId="0" fontId="16" fillId="5" borderId="1" xfId="0" applyFont="1" applyFill="1" applyBorder="1" applyAlignment="1">
      <alignment horizontal="center" vertical="center" readingOrder="2"/>
    </xf>
    <xf numFmtId="0" fontId="16" fillId="0" borderId="1" xfId="0" applyFont="1" applyBorder="1" applyAlignment="1">
      <alignment horizontal="center" vertical="center" readingOrder="2"/>
    </xf>
    <xf numFmtId="0" fontId="18" fillId="0" borderId="1" xfId="0" applyFont="1" applyBorder="1" applyAlignment="1">
      <alignment horizontal="center" vertical="center" readingOrder="2"/>
    </xf>
    <xf numFmtId="0" fontId="20" fillId="2" borderId="0" xfId="0" applyFont="1" applyFill="1" applyAlignment="1">
      <alignment horizontal="center" vertical="center" readingOrder="2"/>
    </xf>
    <xf numFmtId="0" fontId="15" fillId="3" borderId="1" xfId="0" applyFont="1" applyFill="1" applyBorder="1" applyAlignment="1">
      <alignment horizontal="center" vertical="center" readingOrder="2"/>
    </xf>
    <xf numFmtId="0" fontId="13" fillId="2" borderId="0" xfId="0" applyFont="1" applyFill="1" applyAlignment="1">
      <alignment horizontal="center" vertical="center" readingOrder="2"/>
    </xf>
    <xf numFmtId="0" fontId="0" fillId="0" borderId="8" xfId="0" applyBorder="1" applyAlignment="1">
      <alignment horizontal="center" vertical="center" readingOrder="2"/>
    </xf>
    <xf numFmtId="0" fontId="0" fillId="0" borderId="6" xfId="0" applyBorder="1" applyAlignment="1">
      <alignment horizontal="center" vertical="center" readingOrder="2"/>
    </xf>
    <xf numFmtId="0" fontId="19" fillId="0" borderId="1" xfId="0" applyFont="1" applyBorder="1" applyAlignment="1">
      <alignment horizontal="center" vertical="center" readingOrder="2"/>
    </xf>
    <xf numFmtId="0" fontId="0" fillId="0" borderId="9" xfId="0" applyBorder="1"/>
    <xf numFmtId="0" fontId="0" fillId="0" borderId="8" xfId="0" applyBorder="1"/>
    <xf numFmtId="0" fontId="0" fillId="0" borderId="6" xfId="0" applyBorder="1"/>
    <xf numFmtId="0" fontId="16" fillId="0" borderId="2" xfId="0" applyFont="1" applyBorder="1" applyAlignment="1">
      <alignment horizontal="center" vertical="center" readingOrder="2"/>
    </xf>
    <xf numFmtId="0" fontId="16" fillId="0" borderId="5" xfId="0" applyFont="1" applyBorder="1" applyAlignment="1">
      <alignment horizontal="center" vertical="center" readingOrder="2"/>
    </xf>
    <xf numFmtId="0" fontId="16" fillId="0" borderId="3" xfId="0" applyFont="1" applyBorder="1" applyAlignment="1">
      <alignment horizontal="center" vertical="center" readingOrder="2"/>
    </xf>
    <xf numFmtId="0" fontId="18" fillId="0" borderId="2" xfId="0" applyFont="1" applyBorder="1" applyAlignment="1">
      <alignment horizontal="center" vertical="center" readingOrder="2"/>
    </xf>
    <xf numFmtId="0" fontId="18" fillId="0" borderId="5" xfId="0" applyFont="1" applyBorder="1" applyAlignment="1">
      <alignment horizontal="center" vertical="center" readingOrder="2"/>
    </xf>
    <xf numFmtId="0" fontId="18" fillId="0" borderId="3" xfId="0" applyFont="1" applyBorder="1" applyAlignment="1">
      <alignment horizontal="center" vertical="center" readingOrder="2"/>
    </xf>
    <xf numFmtId="0" fontId="24" fillId="0" borderId="9" xfId="0" applyFont="1" applyBorder="1" applyAlignment="1">
      <alignment horizontal="center" vertical="center" readingOrder="2"/>
    </xf>
    <xf numFmtId="0" fontId="24" fillId="0" borderId="8" xfId="0" applyFont="1" applyBorder="1" applyAlignment="1">
      <alignment horizontal="center" vertical="center" readingOrder="2"/>
    </xf>
    <xf numFmtId="0" fontId="24" fillId="0" borderId="6" xfId="0" applyFont="1" applyBorder="1" applyAlignment="1">
      <alignment horizontal="center" vertical="center" readingOrder="2"/>
    </xf>
    <xf numFmtId="0" fontId="16" fillId="5" borderId="2" xfId="0" applyFont="1" applyFill="1" applyBorder="1" applyAlignment="1">
      <alignment horizontal="center" vertical="center" readingOrder="2"/>
    </xf>
    <xf numFmtId="0" fontId="16" fillId="5" borderId="5" xfId="0" applyFont="1" applyFill="1" applyBorder="1" applyAlignment="1">
      <alignment horizontal="center" vertical="center" readingOrder="2"/>
    </xf>
    <xf numFmtId="0" fontId="16" fillId="5" borderId="3" xfId="0" applyFont="1" applyFill="1" applyBorder="1" applyAlignment="1">
      <alignment horizontal="center" vertical="center" readingOrder="2"/>
    </xf>
    <xf numFmtId="0" fontId="0" fillId="5" borderId="2" xfId="0" applyFill="1" applyBorder="1" applyAlignment="1">
      <alignment horizontal="center" vertical="center"/>
    </xf>
    <xf numFmtId="0" fontId="0" fillId="5" borderId="5" xfId="0" applyFill="1" applyBorder="1" applyAlignment="1">
      <alignment horizontal="center" vertical="center"/>
    </xf>
    <xf numFmtId="0" fontId="0" fillId="5" borderId="3" xfId="0" applyFill="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27" fillId="0" borderId="0" xfId="0" applyFont="1" applyAlignment="1">
      <alignment horizontal="center" vertical="center"/>
    </xf>
  </cellXfs>
  <cellStyles count="2">
    <cellStyle name="Normal" xfId="0" builtinId="0"/>
    <cellStyle name="Normal 2" xfId="1" xr:uid="{47143D42-D001-4395-AD9C-A390E55514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creativeartistsagencygbr.sharepoint.com/sites/NFSIMPLEMENTATIONSAFF/Shared%20Documents/04%20Deliverables%20WIP/SAFF%202025%20Plan/Competitions%20restructure/Youth%20Competitions/Analysis/Club%20clustering/&#1578;&#1608;&#1586;&#1610;&#1593;%20&#1575;&#1604;&#1601;&#1585;&#1602;%20&#1593;&#1604;&#1609;%20&#1575;&#1604;&#1605;&#1580;&#1605;&#1608;&#1593;&#1575;&#1578;_2.xlsx" TargetMode="External"/><Relationship Id="rId2" Type="http://schemas.microsoft.com/office/2019/04/relationships/externalLinkLongPath" Target="/sites/NFSIMPLEMENTATIONSAFF/Shared%20Documents/04%20Deliverables%20WIP/SAFF%202025%20Plan/Competitions%20restructure/Youth%20Competitions/Analysis/Club%20clustering/&#1578;&#1608;&#1586;&#1610;&#1593;%20&#1575;&#1604;&#1601;&#1585;&#1602;%20&#1593;&#1604;&#1609;%20&#1575;&#1604;&#1605;&#1580;&#1605;&#1608;&#1593;&#1575;&#1578;_2.xlsx?005E5067" TargetMode="External"/><Relationship Id="rId1" Type="http://schemas.openxmlformats.org/officeDocument/2006/relationships/externalLinkPath" Target="file:///\\005E5067\&#1578;&#1608;&#1586;&#1610;&#1593;%20&#1575;&#1604;&#1601;&#1585;&#1602;%20&#1593;&#1604;&#1609;%20&#1575;&#1604;&#1605;&#1580;&#1605;&#1608;&#1593;&#1575;&#1578;_2.xlsx" TargetMode="External"/><Relationship Id="rId4" Type="http://schemas.openxmlformats.org/officeDocument/2006/relationships/externalLinkPath" Target="../Club%20clustering/&#1578;&#1608;&#1586;&#1610;&#1593;%20&#1575;&#1604;&#1601;&#1585;&#1602;%20&#1593;&#1604;&#1609;%20&#1575;&#1604;&#1605;&#1580;&#1605;&#1608;&#1593;&#1575;&#1578;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Sheet1"/>
      <sheetName val="عدد الملاعب_بناء على الجداول"/>
      <sheetName val="عدد الملاعب"/>
      <sheetName val="عدد المباريات"/>
      <sheetName val="عدد اللاعبين"/>
      <sheetName val="ملخص الفرق لكل مدينة"/>
      <sheetName val="ملخص المجموعات"/>
      <sheetName val="عدد الفرق لكل مدينة"/>
      <sheetName val="بيانات التسجيل"/>
      <sheetName val="المدخلات"/>
    </sheetNames>
    <sheetDataSet>
      <sheetData sheetId="0"/>
      <sheetData sheetId="1"/>
      <sheetData sheetId="2"/>
      <sheetData sheetId="3"/>
      <sheetData sheetId="4"/>
      <sheetData sheetId="5"/>
      <sheetData sheetId="6"/>
      <sheetData sheetId="7"/>
      <sheetData sheetId="8"/>
      <sheetData sheetId="9">
        <row r="3">
          <cell r="N3">
            <v>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025A7E-D0D1-42E7-8D7A-EE334EDF4F17}">
  <we:reference id="WA200009404" version="1.0.0.8" store="Omex" storeType="OMEX"/>
  <we:alternateReferences>
    <we:reference id="WA200009404" version="1.0.0.8" store="WA200009404" storeType="OMEX"/>
  </we:alternateReferences>
  <we:properties>
    <we:property name="claude.fileId" value="&quot;8cb26cc9-53fa-47d2-b20e-388639a1f141&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9BAA-2671-44E7-9556-20419A7A636B}">
  <dimension ref="B2:F185"/>
  <sheetViews>
    <sheetView rightToLeft="1" workbookViewId="0">
      <selection activeCell="G1" sqref="G1:G1048576"/>
    </sheetView>
  </sheetViews>
  <sheetFormatPr defaultRowHeight="14"/>
  <cols>
    <col min="1" max="16384" width="8.7265625" style="53"/>
  </cols>
  <sheetData>
    <row r="2" spans="2:6">
      <c r="B2" s="53" t="s">
        <v>303</v>
      </c>
      <c r="C2" s="53" t="s">
        <v>304</v>
      </c>
      <c r="D2" s="53">
        <v>1</v>
      </c>
      <c r="E2" s="53" t="s">
        <v>305</v>
      </c>
      <c r="F2" s="53">
        <v>5</v>
      </c>
    </row>
    <row r="3" spans="2:6">
      <c r="B3" s="53" t="s">
        <v>306</v>
      </c>
      <c r="C3" s="53" t="s">
        <v>307</v>
      </c>
      <c r="D3" s="53">
        <v>1</v>
      </c>
      <c r="E3" s="53" t="s">
        <v>308</v>
      </c>
      <c r="F3" s="53">
        <v>5</v>
      </c>
    </row>
    <row r="4" spans="2:6">
      <c r="B4" s="53" t="s">
        <v>309</v>
      </c>
      <c r="C4" s="53" t="s">
        <v>307</v>
      </c>
      <c r="D4" s="53">
        <v>1</v>
      </c>
      <c r="E4" s="53" t="s">
        <v>308</v>
      </c>
      <c r="F4" s="53">
        <v>5</v>
      </c>
    </row>
    <row r="5" spans="2:6">
      <c r="B5" s="53" t="s">
        <v>310</v>
      </c>
      <c r="C5" s="53" t="s">
        <v>311</v>
      </c>
      <c r="D5" s="53">
        <v>1</v>
      </c>
      <c r="E5" s="53" t="s">
        <v>312</v>
      </c>
      <c r="F5" s="53">
        <v>5</v>
      </c>
    </row>
    <row r="6" spans="2:6">
      <c r="B6" s="53" t="s">
        <v>313</v>
      </c>
      <c r="C6" s="53" t="s">
        <v>307</v>
      </c>
      <c r="D6" s="53">
        <v>1</v>
      </c>
      <c r="E6" s="53" t="s">
        <v>308</v>
      </c>
      <c r="F6" s="53">
        <v>5</v>
      </c>
    </row>
    <row r="7" spans="2:6">
      <c r="B7" s="53" t="s">
        <v>303</v>
      </c>
      <c r="C7" s="53" t="s">
        <v>307</v>
      </c>
      <c r="D7" s="53">
        <v>1</v>
      </c>
      <c r="E7" s="53" t="s">
        <v>308</v>
      </c>
      <c r="F7" s="53">
        <v>5</v>
      </c>
    </row>
    <row r="8" spans="2:6">
      <c r="B8" s="53" t="s">
        <v>309</v>
      </c>
      <c r="C8" s="53" t="s">
        <v>314</v>
      </c>
      <c r="D8" s="53">
        <v>1</v>
      </c>
      <c r="E8" s="53" t="s">
        <v>315</v>
      </c>
      <c r="F8" s="53">
        <v>5</v>
      </c>
    </row>
    <row r="9" spans="2:6">
      <c r="B9" s="53" t="s">
        <v>310</v>
      </c>
      <c r="C9" s="53" t="s">
        <v>314</v>
      </c>
      <c r="D9" s="53">
        <v>1</v>
      </c>
      <c r="E9" s="53" t="s">
        <v>315</v>
      </c>
      <c r="F9" s="53">
        <v>5</v>
      </c>
    </row>
    <row r="10" spans="2:6">
      <c r="B10" s="53" t="s">
        <v>310</v>
      </c>
      <c r="C10" s="53" t="s">
        <v>316</v>
      </c>
      <c r="D10" s="53">
        <v>1</v>
      </c>
      <c r="E10" s="53" t="s">
        <v>317</v>
      </c>
      <c r="F10" s="53">
        <v>5</v>
      </c>
    </row>
    <row r="11" spans="2:6">
      <c r="B11" s="53" t="s">
        <v>318</v>
      </c>
      <c r="C11" s="53" t="s">
        <v>319</v>
      </c>
      <c r="D11" s="53">
        <v>1</v>
      </c>
      <c r="E11" s="53" t="s">
        <v>320</v>
      </c>
      <c r="F11" s="53">
        <v>5</v>
      </c>
    </row>
    <row r="12" spans="2:6">
      <c r="B12" s="53" t="s">
        <v>313</v>
      </c>
      <c r="C12" s="53" t="s">
        <v>319</v>
      </c>
      <c r="D12" s="53">
        <v>1</v>
      </c>
      <c r="E12" s="53" t="s">
        <v>320</v>
      </c>
      <c r="F12" s="53">
        <v>5</v>
      </c>
    </row>
    <row r="13" spans="2:6">
      <c r="B13" s="53" t="s">
        <v>321</v>
      </c>
      <c r="C13" s="53" t="s">
        <v>319</v>
      </c>
      <c r="D13" s="53">
        <v>1</v>
      </c>
      <c r="E13" s="53" t="s">
        <v>320</v>
      </c>
      <c r="F13" s="53">
        <v>5</v>
      </c>
    </row>
    <row r="14" spans="2:6">
      <c r="B14" s="53" t="s">
        <v>303</v>
      </c>
      <c r="C14" s="53" t="s">
        <v>319</v>
      </c>
      <c r="D14" s="53">
        <v>1</v>
      </c>
      <c r="E14" s="53" t="s">
        <v>320</v>
      </c>
      <c r="F14" s="53">
        <v>5</v>
      </c>
    </row>
    <row r="15" spans="2:6">
      <c r="B15" s="53" t="s">
        <v>313</v>
      </c>
      <c r="C15" s="53" t="s">
        <v>322</v>
      </c>
      <c r="D15" s="53">
        <v>2</v>
      </c>
      <c r="E15" s="53" t="s">
        <v>323</v>
      </c>
      <c r="F15" s="53">
        <v>6</v>
      </c>
    </row>
    <row r="16" spans="2:6">
      <c r="B16" s="53" t="s">
        <v>321</v>
      </c>
      <c r="C16" s="53" t="s">
        <v>304</v>
      </c>
      <c r="D16" s="53">
        <v>1</v>
      </c>
      <c r="E16" s="53" t="s">
        <v>305</v>
      </c>
      <c r="F16" s="53">
        <v>6</v>
      </c>
    </row>
    <row r="17" spans="2:6">
      <c r="B17" s="53" t="s">
        <v>321</v>
      </c>
      <c r="C17" s="53" t="s">
        <v>322</v>
      </c>
      <c r="D17" s="53">
        <v>3</v>
      </c>
      <c r="E17" s="53" t="s">
        <v>324</v>
      </c>
      <c r="F17" s="53">
        <v>6</v>
      </c>
    </row>
    <row r="18" spans="2:6">
      <c r="B18" s="53" t="s">
        <v>303</v>
      </c>
      <c r="C18" s="53" t="s">
        <v>322</v>
      </c>
      <c r="D18" s="53">
        <v>1</v>
      </c>
      <c r="E18" s="53" t="s">
        <v>325</v>
      </c>
      <c r="F18" s="53">
        <v>6</v>
      </c>
    </row>
    <row r="19" spans="2:6">
      <c r="B19" s="53" t="s">
        <v>306</v>
      </c>
      <c r="C19" s="53" t="s">
        <v>326</v>
      </c>
      <c r="D19" s="53">
        <v>1</v>
      </c>
      <c r="E19" s="53" t="s">
        <v>327</v>
      </c>
      <c r="F19" s="53">
        <v>6</v>
      </c>
    </row>
    <row r="20" spans="2:6">
      <c r="B20" s="53" t="s">
        <v>306</v>
      </c>
      <c r="C20" s="53" t="s">
        <v>319</v>
      </c>
      <c r="D20" s="53">
        <v>1</v>
      </c>
      <c r="E20" s="53" t="s">
        <v>320</v>
      </c>
      <c r="F20" s="53">
        <v>6</v>
      </c>
    </row>
    <row r="21" spans="2:6">
      <c r="B21" s="53" t="s">
        <v>306</v>
      </c>
      <c r="C21" s="53" t="s">
        <v>314</v>
      </c>
      <c r="D21" s="53">
        <v>1</v>
      </c>
      <c r="E21" s="53" t="s">
        <v>315</v>
      </c>
      <c r="F21" s="53">
        <v>6</v>
      </c>
    </row>
    <row r="22" spans="2:6">
      <c r="B22" s="53" t="s">
        <v>309</v>
      </c>
      <c r="C22" s="53" t="s">
        <v>322</v>
      </c>
      <c r="D22" s="53">
        <v>2</v>
      </c>
      <c r="E22" s="53" t="s">
        <v>328</v>
      </c>
      <c r="F22" s="53">
        <v>6</v>
      </c>
    </row>
    <row r="23" spans="2:6">
      <c r="B23" s="53" t="s">
        <v>309</v>
      </c>
      <c r="C23" s="53" t="s">
        <v>329</v>
      </c>
      <c r="D23" s="53">
        <v>2</v>
      </c>
      <c r="E23" s="53" t="s">
        <v>330</v>
      </c>
      <c r="F23" s="53">
        <v>6</v>
      </c>
    </row>
    <row r="24" spans="2:6">
      <c r="B24" s="53" t="s">
        <v>310</v>
      </c>
      <c r="C24" s="53" t="s">
        <v>319</v>
      </c>
      <c r="D24" s="53">
        <v>1</v>
      </c>
      <c r="E24" s="53" t="s">
        <v>320</v>
      </c>
      <c r="F24" s="53">
        <v>6</v>
      </c>
    </row>
    <row r="25" spans="2:6">
      <c r="B25" s="53" t="s">
        <v>310</v>
      </c>
      <c r="C25" s="53" t="s">
        <v>307</v>
      </c>
      <c r="D25" s="53">
        <v>1</v>
      </c>
      <c r="E25" s="53" t="s">
        <v>308</v>
      </c>
      <c r="F25" s="53">
        <v>6</v>
      </c>
    </row>
    <row r="26" spans="2:6">
      <c r="B26" s="53" t="s">
        <v>321</v>
      </c>
      <c r="C26" s="53" t="s">
        <v>331</v>
      </c>
      <c r="D26" s="53">
        <v>2</v>
      </c>
      <c r="E26" s="53" t="s">
        <v>332</v>
      </c>
      <c r="F26" s="53">
        <v>7</v>
      </c>
    </row>
    <row r="27" spans="2:6">
      <c r="B27" s="53" t="s">
        <v>321</v>
      </c>
      <c r="C27" s="53" t="s">
        <v>333</v>
      </c>
      <c r="D27" s="53">
        <v>1</v>
      </c>
      <c r="E27" s="53" t="s">
        <v>334</v>
      </c>
      <c r="F27" s="53">
        <v>7</v>
      </c>
    </row>
    <row r="28" spans="2:6">
      <c r="B28" s="53" t="s">
        <v>303</v>
      </c>
      <c r="C28" s="53" t="s">
        <v>326</v>
      </c>
      <c r="D28" s="53">
        <v>1</v>
      </c>
      <c r="E28" s="53" t="s">
        <v>327</v>
      </c>
      <c r="F28" s="53">
        <v>7</v>
      </c>
    </row>
    <row r="29" spans="2:6">
      <c r="B29" s="53" t="s">
        <v>303</v>
      </c>
      <c r="C29" s="53" t="s">
        <v>311</v>
      </c>
      <c r="D29" s="53">
        <v>2</v>
      </c>
      <c r="E29" s="53" t="s">
        <v>335</v>
      </c>
      <c r="F29" s="53">
        <v>7</v>
      </c>
    </row>
    <row r="30" spans="2:6">
      <c r="B30" s="53" t="s">
        <v>306</v>
      </c>
      <c r="C30" s="53" t="s">
        <v>336</v>
      </c>
      <c r="D30" s="53">
        <v>1</v>
      </c>
      <c r="E30" s="53" t="s">
        <v>337</v>
      </c>
      <c r="F30" s="53">
        <v>7</v>
      </c>
    </row>
    <row r="31" spans="2:6">
      <c r="B31" s="53" t="s">
        <v>306</v>
      </c>
      <c r="C31" s="53" t="s">
        <v>338</v>
      </c>
      <c r="D31" s="53">
        <v>1</v>
      </c>
      <c r="E31" s="53" t="s">
        <v>339</v>
      </c>
      <c r="F31" s="53">
        <v>7</v>
      </c>
    </row>
    <row r="32" spans="2:6">
      <c r="B32" s="53" t="s">
        <v>309</v>
      </c>
      <c r="C32" s="53" t="s">
        <v>326</v>
      </c>
      <c r="D32" s="53">
        <v>1</v>
      </c>
      <c r="E32" s="53" t="s">
        <v>327</v>
      </c>
      <c r="F32" s="53">
        <v>7</v>
      </c>
    </row>
    <row r="33" spans="2:6">
      <c r="B33" s="53" t="s">
        <v>309</v>
      </c>
      <c r="C33" s="53" t="s">
        <v>336</v>
      </c>
      <c r="D33" s="53">
        <v>1</v>
      </c>
      <c r="E33" s="53" t="s">
        <v>337</v>
      </c>
      <c r="F33" s="53">
        <v>7</v>
      </c>
    </row>
    <row r="34" spans="2:6">
      <c r="B34" s="53" t="s">
        <v>309</v>
      </c>
      <c r="C34" s="53" t="s">
        <v>319</v>
      </c>
      <c r="D34" s="53">
        <v>1</v>
      </c>
      <c r="E34" s="53" t="s">
        <v>320</v>
      </c>
      <c r="F34" s="53">
        <v>7</v>
      </c>
    </row>
    <row r="35" spans="2:6">
      <c r="B35" s="53" t="s">
        <v>310</v>
      </c>
      <c r="C35" s="53" t="s">
        <v>336</v>
      </c>
      <c r="D35" s="53">
        <v>1</v>
      </c>
      <c r="E35" s="53" t="s">
        <v>337</v>
      </c>
      <c r="F35" s="53">
        <v>7</v>
      </c>
    </row>
    <row r="36" spans="2:6">
      <c r="B36" s="53" t="s">
        <v>310</v>
      </c>
      <c r="C36" s="53" t="s">
        <v>322</v>
      </c>
      <c r="D36" s="53">
        <v>3</v>
      </c>
      <c r="E36" s="53" t="s">
        <v>324</v>
      </c>
      <c r="F36" s="53">
        <v>7</v>
      </c>
    </row>
    <row r="37" spans="2:6">
      <c r="B37" s="53" t="s">
        <v>318</v>
      </c>
      <c r="C37" s="53" t="s">
        <v>340</v>
      </c>
      <c r="D37" s="53">
        <v>1</v>
      </c>
      <c r="E37" s="53" t="s">
        <v>341</v>
      </c>
      <c r="F37" s="53">
        <v>8</v>
      </c>
    </row>
    <row r="38" spans="2:6">
      <c r="B38" s="53" t="s">
        <v>313</v>
      </c>
      <c r="C38" s="53" t="s">
        <v>342</v>
      </c>
      <c r="D38" s="53">
        <v>2</v>
      </c>
      <c r="E38" s="53" t="s">
        <v>343</v>
      </c>
      <c r="F38" s="53">
        <v>8</v>
      </c>
    </row>
    <row r="39" spans="2:6">
      <c r="B39" s="53" t="s">
        <v>313</v>
      </c>
      <c r="C39" s="53" t="s">
        <v>336</v>
      </c>
      <c r="D39" s="53">
        <v>1</v>
      </c>
      <c r="E39" s="53" t="s">
        <v>337</v>
      </c>
      <c r="F39" s="53">
        <v>8</v>
      </c>
    </row>
    <row r="40" spans="2:6">
      <c r="B40" s="53" t="s">
        <v>313</v>
      </c>
      <c r="C40" s="53" t="s">
        <v>304</v>
      </c>
      <c r="D40" s="53">
        <v>1</v>
      </c>
      <c r="E40" s="53" t="s">
        <v>305</v>
      </c>
      <c r="F40" s="53">
        <v>8</v>
      </c>
    </row>
    <row r="41" spans="2:6">
      <c r="B41" s="53" t="s">
        <v>313</v>
      </c>
      <c r="C41" s="53" t="s">
        <v>340</v>
      </c>
      <c r="D41" s="53">
        <v>1</v>
      </c>
      <c r="E41" s="53" t="s">
        <v>341</v>
      </c>
      <c r="F41" s="53">
        <v>8</v>
      </c>
    </row>
    <row r="42" spans="2:6">
      <c r="B42" s="53" t="s">
        <v>321</v>
      </c>
      <c r="C42" s="53" t="s">
        <v>344</v>
      </c>
      <c r="D42" s="53">
        <v>1</v>
      </c>
      <c r="E42" s="53" t="s">
        <v>345</v>
      </c>
      <c r="F42" s="53">
        <v>8</v>
      </c>
    </row>
    <row r="43" spans="2:6">
      <c r="B43" s="53" t="s">
        <v>321</v>
      </c>
      <c r="C43" s="53" t="s">
        <v>326</v>
      </c>
      <c r="D43" s="53">
        <v>1</v>
      </c>
      <c r="E43" s="53" t="s">
        <v>327</v>
      </c>
      <c r="F43" s="53">
        <v>8</v>
      </c>
    </row>
    <row r="44" spans="2:6">
      <c r="B44" s="53" t="s">
        <v>321</v>
      </c>
      <c r="C44" s="53" t="s">
        <v>336</v>
      </c>
      <c r="D44" s="53">
        <v>1</v>
      </c>
      <c r="E44" s="53" t="s">
        <v>337</v>
      </c>
      <c r="F44" s="53">
        <v>8</v>
      </c>
    </row>
    <row r="45" spans="2:6">
      <c r="B45" s="53" t="s">
        <v>321</v>
      </c>
      <c r="C45" s="53" t="s">
        <v>311</v>
      </c>
      <c r="D45" s="53">
        <v>2</v>
      </c>
      <c r="E45" s="53" t="s">
        <v>335</v>
      </c>
      <c r="F45" s="53">
        <v>8</v>
      </c>
    </row>
    <row r="46" spans="2:6">
      <c r="B46" s="53" t="s">
        <v>321</v>
      </c>
      <c r="C46" s="53" t="s">
        <v>346</v>
      </c>
      <c r="D46" s="53">
        <v>2</v>
      </c>
      <c r="E46" s="53" t="s">
        <v>347</v>
      </c>
      <c r="F46" s="53">
        <v>8</v>
      </c>
    </row>
    <row r="47" spans="2:6">
      <c r="B47" s="53" t="s">
        <v>321</v>
      </c>
      <c r="C47" s="53" t="s">
        <v>340</v>
      </c>
      <c r="D47" s="53">
        <v>1</v>
      </c>
      <c r="E47" s="53" t="s">
        <v>341</v>
      </c>
      <c r="F47" s="53">
        <v>8</v>
      </c>
    </row>
    <row r="48" spans="2:6">
      <c r="B48" s="53" t="s">
        <v>303</v>
      </c>
      <c r="C48" s="53" t="s">
        <v>336</v>
      </c>
      <c r="D48" s="53">
        <v>1</v>
      </c>
      <c r="E48" s="53" t="s">
        <v>337</v>
      </c>
      <c r="F48" s="53">
        <v>8</v>
      </c>
    </row>
    <row r="49" spans="2:6">
      <c r="B49" s="53" t="s">
        <v>303</v>
      </c>
      <c r="C49" s="53" t="s">
        <v>331</v>
      </c>
      <c r="D49" s="53">
        <v>4</v>
      </c>
      <c r="E49" s="53" t="s">
        <v>348</v>
      </c>
      <c r="F49" s="53">
        <v>8</v>
      </c>
    </row>
    <row r="50" spans="2:6">
      <c r="B50" s="53" t="s">
        <v>303</v>
      </c>
      <c r="C50" s="53" t="s">
        <v>333</v>
      </c>
      <c r="D50" s="53">
        <v>1</v>
      </c>
      <c r="E50" s="53" t="s">
        <v>334</v>
      </c>
      <c r="F50" s="53">
        <v>8</v>
      </c>
    </row>
    <row r="51" spans="2:6">
      <c r="B51" s="53" t="s">
        <v>303</v>
      </c>
      <c r="C51" s="53" t="s">
        <v>340</v>
      </c>
      <c r="D51" s="53">
        <v>1</v>
      </c>
      <c r="E51" s="53" t="s">
        <v>341</v>
      </c>
      <c r="F51" s="53">
        <v>8</v>
      </c>
    </row>
    <row r="52" spans="2:6">
      <c r="B52" s="53" t="s">
        <v>306</v>
      </c>
      <c r="C52" s="53" t="s">
        <v>349</v>
      </c>
      <c r="D52" s="53">
        <v>3</v>
      </c>
      <c r="E52" s="53" t="s">
        <v>350</v>
      </c>
      <c r="F52" s="53">
        <v>8</v>
      </c>
    </row>
    <row r="53" spans="2:6">
      <c r="B53" s="53" t="s">
        <v>306</v>
      </c>
      <c r="C53" s="53" t="s">
        <v>340</v>
      </c>
      <c r="D53" s="53">
        <v>1</v>
      </c>
      <c r="E53" s="53" t="s">
        <v>341</v>
      </c>
      <c r="F53" s="53">
        <v>8</v>
      </c>
    </row>
    <row r="54" spans="2:6">
      <c r="B54" s="53" t="s">
        <v>306</v>
      </c>
      <c r="C54" s="53" t="s">
        <v>351</v>
      </c>
      <c r="D54" s="53">
        <v>1</v>
      </c>
      <c r="E54" s="53" t="s">
        <v>352</v>
      </c>
      <c r="F54" s="53">
        <v>8</v>
      </c>
    </row>
    <row r="55" spans="2:6">
      <c r="B55" s="53" t="s">
        <v>309</v>
      </c>
      <c r="C55" s="53" t="s">
        <v>333</v>
      </c>
      <c r="D55" s="53">
        <v>1</v>
      </c>
      <c r="E55" s="53" t="s">
        <v>334</v>
      </c>
      <c r="F55" s="53">
        <v>8</v>
      </c>
    </row>
    <row r="56" spans="2:6">
      <c r="B56" s="53" t="s">
        <v>309</v>
      </c>
      <c r="C56" s="53" t="s">
        <v>340</v>
      </c>
      <c r="D56" s="53">
        <v>1</v>
      </c>
      <c r="E56" s="53" t="s">
        <v>341</v>
      </c>
      <c r="F56" s="53">
        <v>8</v>
      </c>
    </row>
    <row r="57" spans="2:6">
      <c r="B57" s="53" t="s">
        <v>310</v>
      </c>
      <c r="C57" s="53" t="s">
        <v>331</v>
      </c>
      <c r="D57" s="53">
        <v>4</v>
      </c>
      <c r="E57" s="53" t="s">
        <v>348</v>
      </c>
      <c r="F57" s="53">
        <v>8</v>
      </c>
    </row>
    <row r="58" spans="2:6">
      <c r="B58" s="53" t="s">
        <v>310</v>
      </c>
      <c r="C58" s="53" t="s">
        <v>353</v>
      </c>
      <c r="D58" s="53">
        <v>1</v>
      </c>
      <c r="E58" s="53" t="s">
        <v>354</v>
      </c>
      <c r="F58" s="53">
        <v>8</v>
      </c>
    </row>
    <row r="59" spans="2:6">
      <c r="B59" s="53" t="s">
        <v>310</v>
      </c>
      <c r="C59" s="53" t="s">
        <v>340</v>
      </c>
      <c r="D59" s="53">
        <v>1</v>
      </c>
      <c r="E59" s="53" t="s">
        <v>341</v>
      </c>
      <c r="F59" s="53">
        <v>8</v>
      </c>
    </row>
    <row r="60" spans="2:6">
      <c r="B60" s="53" t="s">
        <v>318</v>
      </c>
      <c r="C60" s="53" t="s">
        <v>344</v>
      </c>
      <c r="D60" s="53">
        <v>1</v>
      </c>
      <c r="E60" s="53" t="s">
        <v>345</v>
      </c>
      <c r="F60" s="53">
        <v>9</v>
      </c>
    </row>
    <row r="61" spans="2:6">
      <c r="B61" s="53" t="s">
        <v>318</v>
      </c>
      <c r="C61" s="53" t="s">
        <v>336</v>
      </c>
      <c r="D61" s="53">
        <v>1</v>
      </c>
      <c r="E61" s="53" t="s">
        <v>337</v>
      </c>
      <c r="F61" s="53">
        <v>9</v>
      </c>
    </row>
    <row r="62" spans="2:6">
      <c r="B62" s="53" t="s">
        <v>313</v>
      </c>
      <c r="C62" s="53" t="s">
        <v>344</v>
      </c>
      <c r="D62" s="53">
        <v>1</v>
      </c>
      <c r="E62" s="53" t="s">
        <v>345</v>
      </c>
      <c r="F62" s="53">
        <v>9</v>
      </c>
    </row>
    <row r="63" spans="2:6">
      <c r="B63" s="53" t="s">
        <v>313</v>
      </c>
      <c r="C63" s="53" t="s">
        <v>346</v>
      </c>
      <c r="D63" s="53">
        <v>2</v>
      </c>
      <c r="E63" s="53" t="s">
        <v>347</v>
      </c>
      <c r="F63" s="53">
        <v>9</v>
      </c>
    </row>
    <row r="64" spans="2:6">
      <c r="B64" s="53" t="s">
        <v>303</v>
      </c>
      <c r="C64" s="53" t="s">
        <v>344</v>
      </c>
      <c r="D64" s="53">
        <v>1</v>
      </c>
      <c r="E64" s="53" t="s">
        <v>345</v>
      </c>
      <c r="F64" s="53">
        <v>9</v>
      </c>
    </row>
    <row r="65" spans="2:6">
      <c r="B65" s="53" t="s">
        <v>306</v>
      </c>
      <c r="C65" s="53" t="s">
        <v>355</v>
      </c>
      <c r="D65" s="53">
        <v>1</v>
      </c>
      <c r="E65" s="53" t="s">
        <v>356</v>
      </c>
      <c r="F65" s="53">
        <v>9</v>
      </c>
    </row>
    <row r="66" spans="2:6">
      <c r="B66" s="53" t="s">
        <v>306</v>
      </c>
      <c r="C66" s="53" t="s">
        <v>333</v>
      </c>
      <c r="D66" s="53">
        <v>1</v>
      </c>
      <c r="E66" s="53" t="s">
        <v>334</v>
      </c>
      <c r="F66" s="53">
        <v>9</v>
      </c>
    </row>
    <row r="67" spans="2:6">
      <c r="B67" s="53" t="s">
        <v>306</v>
      </c>
      <c r="C67" s="53" t="s">
        <v>357</v>
      </c>
      <c r="D67" s="53">
        <v>1</v>
      </c>
      <c r="E67" s="53" t="s">
        <v>358</v>
      </c>
      <c r="F67" s="53">
        <v>9</v>
      </c>
    </row>
    <row r="68" spans="2:6">
      <c r="B68" s="53" t="s">
        <v>309</v>
      </c>
      <c r="C68" s="53" t="s">
        <v>359</v>
      </c>
      <c r="D68" s="53">
        <v>4</v>
      </c>
      <c r="E68" s="53" t="s">
        <v>360</v>
      </c>
      <c r="F68" s="53">
        <v>9</v>
      </c>
    </row>
    <row r="69" spans="2:6">
      <c r="B69" s="53" t="s">
        <v>309</v>
      </c>
      <c r="C69" s="53" t="s">
        <v>351</v>
      </c>
      <c r="D69" s="53">
        <v>1</v>
      </c>
      <c r="E69" s="53" t="s">
        <v>352</v>
      </c>
      <c r="F69" s="53">
        <v>9</v>
      </c>
    </row>
    <row r="70" spans="2:6">
      <c r="B70" s="53" t="s">
        <v>310</v>
      </c>
      <c r="C70" s="53" t="s">
        <v>351</v>
      </c>
      <c r="D70" s="53">
        <v>1</v>
      </c>
      <c r="E70" s="53" t="s">
        <v>352</v>
      </c>
      <c r="F70" s="53">
        <v>9</v>
      </c>
    </row>
    <row r="71" spans="2:6">
      <c r="B71" s="53" t="s">
        <v>318</v>
      </c>
      <c r="C71" s="53" t="s">
        <v>346</v>
      </c>
      <c r="D71" s="53">
        <v>2</v>
      </c>
      <c r="E71" s="53" t="s">
        <v>347</v>
      </c>
      <c r="F71" s="53">
        <v>10</v>
      </c>
    </row>
    <row r="72" spans="2:6">
      <c r="B72" s="53" t="s">
        <v>318</v>
      </c>
      <c r="C72" s="53" t="s">
        <v>311</v>
      </c>
      <c r="D72" s="53">
        <v>2</v>
      </c>
      <c r="E72" s="53" t="s">
        <v>335</v>
      </c>
      <c r="F72" s="53">
        <v>10</v>
      </c>
    </row>
    <row r="73" spans="2:6">
      <c r="B73" s="53" t="s">
        <v>318</v>
      </c>
      <c r="C73" s="53" t="s">
        <v>329</v>
      </c>
      <c r="D73" s="53">
        <v>2</v>
      </c>
      <c r="E73" s="53" t="s">
        <v>330</v>
      </c>
      <c r="F73" s="53">
        <v>10</v>
      </c>
    </row>
    <row r="74" spans="2:6">
      <c r="B74" s="53" t="s">
        <v>318</v>
      </c>
      <c r="C74" s="53" t="s">
        <v>333</v>
      </c>
      <c r="D74" s="53">
        <v>1</v>
      </c>
      <c r="E74" s="53" t="s">
        <v>334</v>
      </c>
      <c r="F74" s="53">
        <v>10</v>
      </c>
    </row>
    <row r="75" spans="2:6">
      <c r="B75" s="53" t="s">
        <v>318</v>
      </c>
      <c r="C75" s="53" t="s">
        <v>357</v>
      </c>
      <c r="D75" s="53">
        <v>1</v>
      </c>
      <c r="E75" s="53" t="s">
        <v>358</v>
      </c>
      <c r="F75" s="53">
        <v>10</v>
      </c>
    </row>
    <row r="76" spans="2:6">
      <c r="B76" s="53" t="s">
        <v>318</v>
      </c>
      <c r="C76" s="53" t="s">
        <v>351</v>
      </c>
      <c r="D76" s="53">
        <v>1</v>
      </c>
      <c r="E76" s="53" t="s">
        <v>352</v>
      </c>
      <c r="F76" s="53">
        <v>10</v>
      </c>
    </row>
    <row r="77" spans="2:6">
      <c r="B77" s="53" t="s">
        <v>313</v>
      </c>
      <c r="C77" s="53" t="s">
        <v>357</v>
      </c>
      <c r="D77" s="53">
        <v>1</v>
      </c>
      <c r="E77" s="53" t="s">
        <v>358</v>
      </c>
      <c r="F77" s="53">
        <v>10</v>
      </c>
    </row>
    <row r="78" spans="2:6">
      <c r="B78" s="53" t="s">
        <v>313</v>
      </c>
      <c r="C78" s="53" t="s">
        <v>351</v>
      </c>
      <c r="D78" s="53">
        <v>1</v>
      </c>
      <c r="E78" s="53" t="s">
        <v>352</v>
      </c>
      <c r="F78" s="53">
        <v>10</v>
      </c>
    </row>
    <row r="79" spans="2:6">
      <c r="B79" s="53" t="s">
        <v>321</v>
      </c>
      <c r="C79" s="53" t="s">
        <v>329</v>
      </c>
      <c r="D79" s="53">
        <v>2</v>
      </c>
      <c r="E79" s="53" t="s">
        <v>330</v>
      </c>
      <c r="F79" s="53">
        <v>10</v>
      </c>
    </row>
    <row r="80" spans="2:6">
      <c r="B80" s="53" t="s">
        <v>321</v>
      </c>
      <c r="C80" s="53" t="s">
        <v>359</v>
      </c>
      <c r="D80" s="53">
        <v>4</v>
      </c>
      <c r="E80" s="53" t="s">
        <v>360</v>
      </c>
      <c r="F80" s="53">
        <v>10</v>
      </c>
    </row>
    <row r="81" spans="2:6">
      <c r="B81" s="53" t="s">
        <v>321</v>
      </c>
      <c r="C81" s="53" t="s">
        <v>338</v>
      </c>
      <c r="D81" s="53">
        <v>1</v>
      </c>
      <c r="E81" s="53" t="s">
        <v>339</v>
      </c>
      <c r="F81" s="53">
        <v>10</v>
      </c>
    </row>
    <row r="82" spans="2:6">
      <c r="B82" s="53" t="s">
        <v>321</v>
      </c>
      <c r="C82" s="53" t="s">
        <v>357</v>
      </c>
      <c r="D82" s="53">
        <v>1</v>
      </c>
      <c r="E82" s="53" t="s">
        <v>358</v>
      </c>
      <c r="F82" s="53">
        <v>10</v>
      </c>
    </row>
    <row r="83" spans="2:6">
      <c r="B83" s="53" t="s">
        <v>321</v>
      </c>
      <c r="C83" s="53" t="s">
        <v>351</v>
      </c>
      <c r="D83" s="53">
        <v>1</v>
      </c>
      <c r="E83" s="53" t="s">
        <v>352</v>
      </c>
      <c r="F83" s="53">
        <v>10</v>
      </c>
    </row>
    <row r="84" spans="2:6">
      <c r="B84" s="53" t="s">
        <v>303</v>
      </c>
      <c r="C84" s="53" t="s">
        <v>338</v>
      </c>
      <c r="D84" s="53">
        <v>2</v>
      </c>
      <c r="E84" s="53" t="s">
        <v>361</v>
      </c>
      <c r="F84" s="53">
        <v>10</v>
      </c>
    </row>
    <row r="85" spans="2:6">
      <c r="B85" s="53" t="s">
        <v>303</v>
      </c>
      <c r="C85" s="53" t="s">
        <v>351</v>
      </c>
      <c r="D85" s="53">
        <v>1</v>
      </c>
      <c r="E85" s="53" t="s">
        <v>352</v>
      </c>
      <c r="F85" s="53">
        <v>10</v>
      </c>
    </row>
    <row r="86" spans="2:6">
      <c r="B86" s="53" t="s">
        <v>303</v>
      </c>
      <c r="C86" s="53" t="s">
        <v>357</v>
      </c>
      <c r="D86" s="53">
        <v>1</v>
      </c>
      <c r="E86" s="53" t="s">
        <v>358</v>
      </c>
      <c r="F86" s="53">
        <v>10</v>
      </c>
    </row>
    <row r="87" spans="2:6">
      <c r="B87" s="53" t="s">
        <v>309</v>
      </c>
      <c r="C87" s="53" t="s">
        <v>338</v>
      </c>
      <c r="D87" s="53">
        <v>1</v>
      </c>
      <c r="E87" s="53" t="s">
        <v>339</v>
      </c>
      <c r="F87" s="53">
        <v>10</v>
      </c>
    </row>
    <row r="88" spans="2:6">
      <c r="B88" s="53" t="s">
        <v>309</v>
      </c>
      <c r="C88" s="53" t="s">
        <v>357</v>
      </c>
      <c r="D88" s="53">
        <v>1</v>
      </c>
      <c r="E88" s="53" t="s">
        <v>358</v>
      </c>
      <c r="F88" s="53">
        <v>10</v>
      </c>
    </row>
    <row r="89" spans="2:6">
      <c r="B89" s="53" t="s">
        <v>310</v>
      </c>
      <c r="C89" s="53" t="s">
        <v>357</v>
      </c>
      <c r="D89" s="53">
        <v>1</v>
      </c>
      <c r="E89" s="53" t="s">
        <v>358</v>
      </c>
      <c r="F89" s="53">
        <v>10</v>
      </c>
    </row>
    <row r="90" spans="2:6">
      <c r="B90" s="53" t="s">
        <v>318</v>
      </c>
      <c r="C90" s="53" t="s">
        <v>331</v>
      </c>
      <c r="D90" s="53">
        <v>4</v>
      </c>
      <c r="E90" s="53" t="s">
        <v>348</v>
      </c>
      <c r="F90" s="53">
        <v>11</v>
      </c>
    </row>
    <row r="91" spans="2:6">
      <c r="B91" s="53" t="s">
        <v>318</v>
      </c>
      <c r="C91" s="53" t="s">
        <v>362</v>
      </c>
      <c r="D91" s="53">
        <v>2</v>
      </c>
      <c r="E91" s="53" t="s">
        <v>363</v>
      </c>
      <c r="F91" s="53">
        <v>11</v>
      </c>
    </row>
    <row r="92" spans="2:6">
      <c r="B92" s="53" t="s">
        <v>313</v>
      </c>
      <c r="C92" s="53" t="s">
        <v>331</v>
      </c>
      <c r="D92" s="53">
        <v>4</v>
      </c>
      <c r="E92" s="53" t="s">
        <v>348</v>
      </c>
      <c r="F92" s="53">
        <v>11</v>
      </c>
    </row>
    <row r="93" spans="2:6">
      <c r="B93" s="53" t="s">
        <v>313</v>
      </c>
      <c r="C93" s="53" t="s">
        <v>333</v>
      </c>
      <c r="D93" s="53">
        <v>1</v>
      </c>
      <c r="E93" s="53" t="s">
        <v>334</v>
      </c>
      <c r="F93" s="53">
        <v>11</v>
      </c>
    </row>
    <row r="94" spans="2:6">
      <c r="B94" s="53" t="s">
        <v>303</v>
      </c>
      <c r="C94" s="53" t="s">
        <v>346</v>
      </c>
      <c r="D94" s="53">
        <v>2</v>
      </c>
      <c r="E94" s="53" t="s">
        <v>347</v>
      </c>
      <c r="F94" s="53">
        <v>11</v>
      </c>
    </row>
    <row r="95" spans="2:6">
      <c r="B95" s="53" t="s">
        <v>303</v>
      </c>
      <c r="C95" s="53" t="s">
        <v>353</v>
      </c>
      <c r="D95" s="53">
        <v>1</v>
      </c>
      <c r="E95" s="53" t="s">
        <v>354</v>
      </c>
      <c r="F95" s="53">
        <v>11</v>
      </c>
    </row>
    <row r="96" spans="2:6">
      <c r="B96" s="53" t="s">
        <v>306</v>
      </c>
      <c r="C96" s="53" t="s">
        <v>364</v>
      </c>
      <c r="D96" s="53">
        <v>1</v>
      </c>
      <c r="E96" s="53" t="s">
        <v>365</v>
      </c>
      <c r="F96" s="53">
        <v>11</v>
      </c>
    </row>
    <row r="97" spans="2:6">
      <c r="B97" s="53" t="s">
        <v>310</v>
      </c>
      <c r="C97" s="53" t="s">
        <v>329</v>
      </c>
      <c r="D97" s="53">
        <v>2</v>
      </c>
      <c r="E97" s="53" t="s">
        <v>330</v>
      </c>
      <c r="F97" s="53">
        <v>11</v>
      </c>
    </row>
    <row r="98" spans="2:6">
      <c r="B98" s="53" t="s">
        <v>310</v>
      </c>
      <c r="C98" s="53" t="s">
        <v>333</v>
      </c>
      <c r="D98" s="53">
        <v>1</v>
      </c>
      <c r="E98" s="53" t="s">
        <v>334</v>
      </c>
      <c r="F98" s="53">
        <v>11</v>
      </c>
    </row>
    <row r="99" spans="2:6">
      <c r="B99" s="53" t="s">
        <v>313</v>
      </c>
      <c r="C99" s="53" t="s">
        <v>326</v>
      </c>
      <c r="D99" s="53">
        <v>2</v>
      </c>
      <c r="E99" s="53" t="s">
        <v>366</v>
      </c>
      <c r="F99" s="53">
        <v>12</v>
      </c>
    </row>
    <row r="100" spans="2:6">
      <c r="B100" s="53" t="s">
        <v>313</v>
      </c>
      <c r="C100" s="53" t="s">
        <v>353</v>
      </c>
      <c r="D100" s="53">
        <v>2</v>
      </c>
      <c r="E100" s="53" t="s">
        <v>367</v>
      </c>
      <c r="F100" s="53">
        <v>12</v>
      </c>
    </row>
    <row r="101" spans="2:6">
      <c r="B101" s="53" t="s">
        <v>313</v>
      </c>
      <c r="C101" s="53" t="s">
        <v>362</v>
      </c>
      <c r="D101" s="53">
        <v>2</v>
      </c>
      <c r="E101" s="53" t="s">
        <v>363</v>
      </c>
      <c r="F101" s="53">
        <v>12</v>
      </c>
    </row>
    <row r="102" spans="2:6">
      <c r="B102" s="53" t="s">
        <v>303</v>
      </c>
      <c r="C102" s="53" t="s">
        <v>359</v>
      </c>
      <c r="D102" s="53">
        <v>4</v>
      </c>
      <c r="E102" s="53" t="s">
        <v>360</v>
      </c>
      <c r="F102" s="53">
        <v>12</v>
      </c>
    </row>
    <row r="103" spans="2:6">
      <c r="B103" s="53" t="s">
        <v>303</v>
      </c>
      <c r="C103" s="53" t="s">
        <v>349</v>
      </c>
      <c r="D103" s="53">
        <v>4</v>
      </c>
      <c r="E103" s="53" t="s">
        <v>368</v>
      </c>
      <c r="F103" s="53">
        <v>12</v>
      </c>
    </row>
    <row r="104" spans="2:6">
      <c r="B104" s="53" t="s">
        <v>306</v>
      </c>
      <c r="C104" s="53" t="s">
        <v>369</v>
      </c>
      <c r="D104" s="53">
        <v>1</v>
      </c>
      <c r="E104" s="53" t="s">
        <v>370</v>
      </c>
      <c r="F104" s="53">
        <v>12</v>
      </c>
    </row>
    <row r="105" spans="2:6">
      <c r="B105" s="53" t="s">
        <v>306</v>
      </c>
      <c r="C105" s="53" t="s">
        <v>346</v>
      </c>
      <c r="D105" s="53">
        <v>2</v>
      </c>
      <c r="E105" s="53" t="s">
        <v>347</v>
      </c>
      <c r="F105" s="53">
        <v>12</v>
      </c>
    </row>
    <row r="106" spans="2:6">
      <c r="B106" s="53" t="s">
        <v>309</v>
      </c>
      <c r="C106" s="53" t="s">
        <v>346</v>
      </c>
      <c r="D106" s="53">
        <v>2</v>
      </c>
      <c r="E106" s="53" t="s">
        <v>347</v>
      </c>
      <c r="F106" s="53">
        <v>12</v>
      </c>
    </row>
    <row r="107" spans="2:6">
      <c r="B107" s="53" t="s">
        <v>310</v>
      </c>
      <c r="C107" s="53" t="s">
        <v>326</v>
      </c>
      <c r="D107" s="53">
        <v>1</v>
      </c>
      <c r="E107" s="53" t="s">
        <v>327</v>
      </c>
      <c r="F107" s="53">
        <v>12</v>
      </c>
    </row>
    <row r="108" spans="2:6">
      <c r="B108" s="53" t="s">
        <v>318</v>
      </c>
      <c r="C108" s="53" t="s">
        <v>326</v>
      </c>
      <c r="D108" s="53">
        <v>2</v>
      </c>
      <c r="E108" s="53" t="s">
        <v>366</v>
      </c>
      <c r="F108" s="53">
        <v>13</v>
      </c>
    </row>
    <row r="109" spans="2:6">
      <c r="B109" s="53" t="s">
        <v>321</v>
      </c>
      <c r="C109" s="53" t="s">
        <v>353</v>
      </c>
      <c r="D109" s="53">
        <v>1</v>
      </c>
      <c r="E109" s="53" t="s">
        <v>354</v>
      </c>
      <c r="F109" s="53">
        <v>13</v>
      </c>
    </row>
    <row r="110" spans="2:6">
      <c r="B110" s="53" t="s">
        <v>321</v>
      </c>
      <c r="C110" s="53" t="s">
        <v>355</v>
      </c>
      <c r="D110" s="53">
        <v>1</v>
      </c>
      <c r="E110" s="53" t="s">
        <v>356</v>
      </c>
      <c r="F110" s="53">
        <v>13</v>
      </c>
    </row>
    <row r="111" spans="2:6">
      <c r="B111" s="53" t="s">
        <v>306</v>
      </c>
      <c r="C111" s="53" t="s">
        <v>371</v>
      </c>
      <c r="D111" s="53">
        <v>1</v>
      </c>
      <c r="E111" s="53" t="s">
        <v>372</v>
      </c>
      <c r="F111" s="53">
        <v>13</v>
      </c>
    </row>
    <row r="112" spans="2:6">
      <c r="B112" s="53" t="s">
        <v>306</v>
      </c>
      <c r="C112" s="53" t="s">
        <v>373</v>
      </c>
      <c r="D112" s="53">
        <v>2</v>
      </c>
      <c r="E112" s="53" t="s">
        <v>374</v>
      </c>
      <c r="F112" s="53">
        <v>13</v>
      </c>
    </row>
    <row r="113" spans="2:6">
      <c r="B113" s="53" t="s">
        <v>309</v>
      </c>
      <c r="C113" s="53" t="s">
        <v>369</v>
      </c>
      <c r="D113" s="53">
        <v>1</v>
      </c>
      <c r="E113" s="53" t="s">
        <v>370</v>
      </c>
      <c r="F113" s="53">
        <v>13</v>
      </c>
    </row>
    <row r="114" spans="2:6">
      <c r="B114" s="53" t="s">
        <v>309</v>
      </c>
      <c r="C114" s="53" t="s">
        <v>364</v>
      </c>
      <c r="D114" s="53">
        <v>1</v>
      </c>
      <c r="E114" s="53" t="s">
        <v>365</v>
      </c>
      <c r="F114" s="53">
        <v>13</v>
      </c>
    </row>
    <row r="115" spans="2:6">
      <c r="B115" s="53" t="s">
        <v>318</v>
      </c>
      <c r="C115" s="53" t="s">
        <v>349</v>
      </c>
      <c r="D115" s="53">
        <v>2</v>
      </c>
      <c r="E115" s="53" t="s">
        <v>375</v>
      </c>
      <c r="F115" s="53">
        <v>14</v>
      </c>
    </row>
    <row r="116" spans="2:6">
      <c r="B116" s="53" t="s">
        <v>318</v>
      </c>
      <c r="C116" s="53" t="s">
        <v>353</v>
      </c>
      <c r="D116" s="53">
        <v>2</v>
      </c>
      <c r="E116" s="53" t="s">
        <v>367</v>
      </c>
      <c r="F116" s="53">
        <v>14</v>
      </c>
    </row>
    <row r="117" spans="2:6">
      <c r="B117" s="53" t="s">
        <v>313</v>
      </c>
      <c r="C117" s="53" t="s">
        <v>349</v>
      </c>
      <c r="D117" s="53">
        <v>2</v>
      </c>
      <c r="E117" s="53" t="s">
        <v>375</v>
      </c>
      <c r="F117" s="53">
        <v>14</v>
      </c>
    </row>
    <row r="118" spans="2:6">
      <c r="B118" s="53" t="s">
        <v>313</v>
      </c>
      <c r="C118" s="53" t="s">
        <v>311</v>
      </c>
      <c r="D118" s="53">
        <v>2</v>
      </c>
      <c r="E118" s="53" t="s">
        <v>335</v>
      </c>
      <c r="F118" s="53">
        <v>14</v>
      </c>
    </row>
    <row r="119" spans="2:6">
      <c r="B119" s="53" t="s">
        <v>313</v>
      </c>
      <c r="C119" s="53" t="s">
        <v>359</v>
      </c>
      <c r="D119" s="53">
        <v>4</v>
      </c>
      <c r="E119" s="53" t="s">
        <v>360</v>
      </c>
      <c r="F119" s="53">
        <v>14</v>
      </c>
    </row>
    <row r="120" spans="2:6">
      <c r="B120" s="53" t="s">
        <v>321</v>
      </c>
      <c r="C120" s="53" t="s">
        <v>349</v>
      </c>
      <c r="D120" s="53">
        <v>4</v>
      </c>
      <c r="E120" s="53" t="s">
        <v>368</v>
      </c>
      <c r="F120" s="53">
        <v>14</v>
      </c>
    </row>
    <row r="121" spans="2:6">
      <c r="B121" s="53" t="s">
        <v>321</v>
      </c>
      <c r="C121" s="53" t="s">
        <v>373</v>
      </c>
      <c r="D121" s="53">
        <v>2</v>
      </c>
      <c r="E121" s="53" t="s">
        <v>374</v>
      </c>
      <c r="F121" s="53">
        <v>14</v>
      </c>
    </row>
    <row r="122" spans="2:6">
      <c r="B122" s="53" t="s">
        <v>303</v>
      </c>
      <c r="C122" s="53" t="s">
        <v>373</v>
      </c>
      <c r="D122" s="53">
        <v>2</v>
      </c>
      <c r="E122" s="53" t="s">
        <v>374</v>
      </c>
      <c r="F122" s="53">
        <v>14</v>
      </c>
    </row>
    <row r="123" spans="2:6">
      <c r="B123" s="53" t="s">
        <v>310</v>
      </c>
      <c r="C123" s="53" t="s">
        <v>369</v>
      </c>
      <c r="D123" s="53">
        <v>1</v>
      </c>
      <c r="E123" s="53" t="s">
        <v>370</v>
      </c>
      <c r="F123" s="53">
        <v>14</v>
      </c>
    </row>
    <row r="124" spans="2:6">
      <c r="B124" s="53" t="s">
        <v>310</v>
      </c>
      <c r="C124" s="53" t="s">
        <v>359</v>
      </c>
      <c r="D124" s="53">
        <v>4</v>
      </c>
      <c r="E124" s="53" t="s">
        <v>360</v>
      </c>
      <c r="F124" s="53">
        <v>14</v>
      </c>
    </row>
    <row r="125" spans="2:6">
      <c r="B125" s="53" t="s">
        <v>318</v>
      </c>
      <c r="C125" s="53" t="s">
        <v>369</v>
      </c>
      <c r="D125" s="53">
        <v>1</v>
      </c>
      <c r="E125" s="53" t="s">
        <v>370</v>
      </c>
      <c r="F125" s="53">
        <v>15</v>
      </c>
    </row>
    <row r="126" spans="2:6">
      <c r="B126" s="53" t="s">
        <v>318</v>
      </c>
      <c r="C126" s="53" t="s">
        <v>364</v>
      </c>
      <c r="D126" s="53">
        <v>1</v>
      </c>
      <c r="E126" s="53" t="s">
        <v>365</v>
      </c>
      <c r="F126" s="53">
        <v>15</v>
      </c>
    </row>
    <row r="127" spans="2:6">
      <c r="B127" s="53" t="s">
        <v>313</v>
      </c>
      <c r="C127" s="53" t="s">
        <v>329</v>
      </c>
      <c r="D127" s="53">
        <v>2</v>
      </c>
      <c r="E127" s="53" t="s">
        <v>330</v>
      </c>
      <c r="F127" s="53">
        <v>15</v>
      </c>
    </row>
    <row r="128" spans="2:6">
      <c r="B128" s="53" t="s">
        <v>313</v>
      </c>
      <c r="C128" s="53" t="s">
        <v>369</v>
      </c>
      <c r="D128" s="53">
        <v>1</v>
      </c>
      <c r="E128" s="53" t="s">
        <v>370</v>
      </c>
      <c r="F128" s="53">
        <v>15</v>
      </c>
    </row>
    <row r="129" spans="2:6">
      <c r="B129" s="53" t="s">
        <v>303</v>
      </c>
      <c r="C129" s="53" t="s">
        <v>329</v>
      </c>
      <c r="D129" s="53">
        <v>2</v>
      </c>
      <c r="E129" s="53" t="s">
        <v>330</v>
      </c>
      <c r="F129" s="53">
        <v>15</v>
      </c>
    </row>
    <row r="130" spans="2:6">
      <c r="B130" s="53" t="s">
        <v>303</v>
      </c>
      <c r="C130" s="53" t="s">
        <v>369</v>
      </c>
      <c r="D130" s="53">
        <v>1</v>
      </c>
      <c r="E130" s="53" t="s">
        <v>370</v>
      </c>
      <c r="F130" s="53">
        <v>15</v>
      </c>
    </row>
    <row r="131" spans="2:6">
      <c r="B131" s="53" t="s">
        <v>306</v>
      </c>
      <c r="C131" s="53" t="s">
        <v>376</v>
      </c>
      <c r="D131" s="53">
        <v>1</v>
      </c>
      <c r="E131" s="53" t="s">
        <v>377</v>
      </c>
      <c r="F131" s="53">
        <v>15</v>
      </c>
    </row>
    <row r="132" spans="2:6">
      <c r="B132" s="53" t="s">
        <v>309</v>
      </c>
      <c r="C132" s="53" t="s">
        <v>373</v>
      </c>
      <c r="D132" s="53">
        <v>2</v>
      </c>
      <c r="E132" s="53" t="s">
        <v>374</v>
      </c>
      <c r="F132" s="53">
        <v>15</v>
      </c>
    </row>
    <row r="133" spans="2:6">
      <c r="B133" s="53" t="s">
        <v>310</v>
      </c>
      <c r="C133" s="53" t="s">
        <v>338</v>
      </c>
      <c r="D133" s="53">
        <v>2</v>
      </c>
      <c r="E133" s="53" t="s">
        <v>361</v>
      </c>
      <c r="F133" s="53">
        <v>15</v>
      </c>
    </row>
    <row r="134" spans="2:6">
      <c r="B134" s="53" t="s">
        <v>310</v>
      </c>
      <c r="C134" s="53" t="s">
        <v>346</v>
      </c>
      <c r="D134" s="53">
        <v>2</v>
      </c>
      <c r="E134" s="53" t="s">
        <v>347</v>
      </c>
      <c r="F134" s="53">
        <v>15</v>
      </c>
    </row>
    <row r="135" spans="2:6">
      <c r="B135" s="53" t="s">
        <v>310</v>
      </c>
      <c r="C135" s="53" t="s">
        <v>364</v>
      </c>
      <c r="D135" s="53">
        <v>1</v>
      </c>
      <c r="E135" s="53" t="s">
        <v>365</v>
      </c>
      <c r="F135" s="53">
        <v>15</v>
      </c>
    </row>
    <row r="136" spans="2:6">
      <c r="B136" s="53" t="s">
        <v>318</v>
      </c>
      <c r="C136" s="53" t="s">
        <v>359</v>
      </c>
      <c r="D136" s="53">
        <v>4</v>
      </c>
      <c r="E136" s="53" t="s">
        <v>360</v>
      </c>
      <c r="F136" s="53">
        <v>16</v>
      </c>
    </row>
    <row r="137" spans="2:6">
      <c r="B137" s="53" t="s">
        <v>318</v>
      </c>
      <c r="C137" s="53" t="s">
        <v>338</v>
      </c>
      <c r="D137" s="53">
        <v>2</v>
      </c>
      <c r="E137" s="53" t="s">
        <v>361</v>
      </c>
      <c r="F137" s="53">
        <v>16</v>
      </c>
    </row>
    <row r="138" spans="2:6">
      <c r="B138" s="53" t="s">
        <v>318</v>
      </c>
      <c r="C138" s="53" t="s">
        <v>373</v>
      </c>
      <c r="D138" s="53">
        <v>2</v>
      </c>
      <c r="E138" s="53" t="s">
        <v>374</v>
      </c>
      <c r="F138" s="53">
        <v>16</v>
      </c>
    </row>
    <row r="139" spans="2:6">
      <c r="B139" s="53" t="s">
        <v>313</v>
      </c>
      <c r="C139" s="53" t="s">
        <v>364</v>
      </c>
      <c r="D139" s="53">
        <v>1</v>
      </c>
      <c r="E139" s="53" t="s">
        <v>365</v>
      </c>
      <c r="F139" s="53">
        <v>16</v>
      </c>
    </row>
    <row r="140" spans="2:6">
      <c r="B140" s="53" t="s">
        <v>313</v>
      </c>
      <c r="C140" s="53" t="s">
        <v>373</v>
      </c>
      <c r="D140" s="53">
        <v>2</v>
      </c>
      <c r="E140" s="53" t="s">
        <v>374</v>
      </c>
      <c r="F140" s="53">
        <v>16</v>
      </c>
    </row>
    <row r="141" spans="2:6">
      <c r="B141" s="53" t="s">
        <v>321</v>
      </c>
      <c r="C141" s="53" t="s">
        <v>369</v>
      </c>
      <c r="D141" s="53">
        <v>1</v>
      </c>
      <c r="E141" s="53" t="s">
        <v>370</v>
      </c>
      <c r="F141" s="53">
        <v>16</v>
      </c>
    </row>
    <row r="142" spans="2:6">
      <c r="B142" s="53" t="s">
        <v>321</v>
      </c>
      <c r="C142" s="53" t="s">
        <v>364</v>
      </c>
      <c r="D142" s="53">
        <v>1</v>
      </c>
      <c r="E142" s="53" t="s">
        <v>365</v>
      </c>
      <c r="F142" s="53">
        <v>16</v>
      </c>
    </row>
    <row r="143" spans="2:6">
      <c r="B143" s="53" t="s">
        <v>303</v>
      </c>
      <c r="C143" s="53" t="s">
        <v>355</v>
      </c>
      <c r="D143" s="53">
        <v>1</v>
      </c>
      <c r="E143" s="53" t="s">
        <v>356</v>
      </c>
      <c r="F143" s="53">
        <v>16</v>
      </c>
    </row>
    <row r="144" spans="2:6">
      <c r="B144" s="53" t="s">
        <v>306</v>
      </c>
      <c r="C144" s="53" t="s">
        <v>378</v>
      </c>
      <c r="D144" s="53">
        <v>1</v>
      </c>
      <c r="E144" s="53" t="s">
        <v>379</v>
      </c>
      <c r="F144" s="53">
        <v>16</v>
      </c>
    </row>
    <row r="145" spans="2:6">
      <c r="B145" s="53" t="s">
        <v>309</v>
      </c>
      <c r="C145" s="53" t="s">
        <v>355</v>
      </c>
      <c r="D145" s="53">
        <v>1</v>
      </c>
      <c r="E145" s="53" t="s">
        <v>356</v>
      </c>
      <c r="F145" s="53">
        <v>16</v>
      </c>
    </row>
    <row r="146" spans="2:6">
      <c r="B146" s="53" t="s">
        <v>309</v>
      </c>
      <c r="C146" s="53" t="s">
        <v>349</v>
      </c>
      <c r="D146" s="53">
        <v>4</v>
      </c>
      <c r="E146" s="53" t="s">
        <v>368</v>
      </c>
      <c r="F146" s="53">
        <v>16</v>
      </c>
    </row>
    <row r="147" spans="2:6">
      <c r="B147" s="53" t="s">
        <v>310</v>
      </c>
      <c r="C147" s="53" t="s">
        <v>373</v>
      </c>
      <c r="D147" s="53">
        <v>2</v>
      </c>
      <c r="E147" s="53" t="s">
        <v>374</v>
      </c>
      <c r="F147" s="53">
        <v>16</v>
      </c>
    </row>
    <row r="148" spans="2:6">
      <c r="B148" s="53" t="s">
        <v>321</v>
      </c>
      <c r="C148" s="53" t="s">
        <v>378</v>
      </c>
      <c r="D148" s="53">
        <v>1</v>
      </c>
      <c r="E148" s="53" t="s">
        <v>379</v>
      </c>
      <c r="F148" s="53">
        <v>17</v>
      </c>
    </row>
    <row r="149" spans="2:6">
      <c r="B149" s="53" t="s">
        <v>303</v>
      </c>
      <c r="C149" s="53" t="s">
        <v>364</v>
      </c>
      <c r="D149" s="53">
        <v>1</v>
      </c>
      <c r="E149" s="53" t="s">
        <v>365</v>
      </c>
      <c r="F149" s="53">
        <v>17</v>
      </c>
    </row>
    <row r="150" spans="2:6">
      <c r="B150" s="53" t="s">
        <v>306</v>
      </c>
      <c r="C150" s="53" t="s">
        <v>380</v>
      </c>
      <c r="D150" s="53">
        <v>1</v>
      </c>
      <c r="E150" s="53" t="s">
        <v>381</v>
      </c>
      <c r="F150" s="53">
        <v>17</v>
      </c>
    </row>
    <row r="151" spans="2:6">
      <c r="B151" s="53" t="s">
        <v>309</v>
      </c>
      <c r="C151" s="53" t="s">
        <v>378</v>
      </c>
      <c r="D151" s="53">
        <v>1</v>
      </c>
      <c r="E151" s="53" t="s">
        <v>379</v>
      </c>
      <c r="F151" s="53">
        <v>17</v>
      </c>
    </row>
    <row r="152" spans="2:6">
      <c r="B152" s="53" t="s">
        <v>313</v>
      </c>
      <c r="C152" s="53" t="s">
        <v>338</v>
      </c>
      <c r="D152" s="53">
        <v>2</v>
      </c>
      <c r="E152" s="53" t="s">
        <v>361</v>
      </c>
      <c r="F152" s="53">
        <v>18</v>
      </c>
    </row>
    <row r="153" spans="2:6">
      <c r="B153" s="53" t="s">
        <v>309</v>
      </c>
      <c r="C153" s="53" t="s">
        <v>371</v>
      </c>
      <c r="D153" s="53">
        <v>1</v>
      </c>
      <c r="E153" s="53" t="s">
        <v>372</v>
      </c>
      <c r="F153" s="53">
        <v>18</v>
      </c>
    </row>
    <row r="154" spans="2:6">
      <c r="B154" s="53" t="s">
        <v>303</v>
      </c>
      <c r="C154" s="53" t="s">
        <v>378</v>
      </c>
      <c r="D154" s="53">
        <v>1</v>
      </c>
      <c r="E154" s="53" t="s">
        <v>379</v>
      </c>
      <c r="F154" s="53">
        <v>19</v>
      </c>
    </row>
    <row r="155" spans="2:6">
      <c r="B155" s="53" t="s">
        <v>310</v>
      </c>
      <c r="C155" s="53" t="s">
        <v>378</v>
      </c>
      <c r="D155" s="53">
        <v>1</v>
      </c>
      <c r="E155" s="53" t="s">
        <v>379</v>
      </c>
      <c r="F155" s="53">
        <v>19</v>
      </c>
    </row>
    <row r="156" spans="2:6">
      <c r="B156" s="53" t="s">
        <v>318</v>
      </c>
      <c r="C156" s="53" t="s">
        <v>378</v>
      </c>
      <c r="D156" s="53">
        <v>1</v>
      </c>
      <c r="E156" s="53" t="s">
        <v>379</v>
      </c>
      <c r="F156" s="53">
        <v>21</v>
      </c>
    </row>
    <row r="157" spans="2:6">
      <c r="B157" s="53" t="s">
        <v>309</v>
      </c>
      <c r="C157" s="53" t="s">
        <v>376</v>
      </c>
      <c r="D157" s="53">
        <v>1</v>
      </c>
      <c r="E157" s="53" t="s">
        <v>377</v>
      </c>
      <c r="F157" s="53">
        <v>21</v>
      </c>
    </row>
    <row r="158" spans="2:6">
      <c r="B158" s="53" t="s">
        <v>313</v>
      </c>
      <c r="C158" s="53" t="s">
        <v>378</v>
      </c>
      <c r="D158" s="53">
        <v>1</v>
      </c>
      <c r="E158" s="53" t="s">
        <v>379</v>
      </c>
      <c r="F158" s="53">
        <v>22</v>
      </c>
    </row>
    <row r="159" spans="2:6">
      <c r="B159" s="53" t="s">
        <v>306</v>
      </c>
      <c r="C159" s="53" t="s">
        <v>382</v>
      </c>
      <c r="D159" s="53">
        <v>1</v>
      </c>
      <c r="E159" s="53" t="s">
        <v>383</v>
      </c>
      <c r="F159" s="53">
        <v>22</v>
      </c>
    </row>
    <row r="160" spans="2:6">
      <c r="B160" s="53" t="s">
        <v>318</v>
      </c>
      <c r="C160" s="53" t="s">
        <v>355</v>
      </c>
      <c r="D160" s="53">
        <v>1</v>
      </c>
      <c r="E160" s="53" t="s">
        <v>356</v>
      </c>
      <c r="F160" s="53">
        <v>23</v>
      </c>
    </row>
    <row r="161" spans="2:6">
      <c r="B161" s="53" t="s">
        <v>321</v>
      </c>
      <c r="C161" s="53" t="s">
        <v>376</v>
      </c>
      <c r="D161" s="53">
        <v>2</v>
      </c>
      <c r="E161" s="53" t="s">
        <v>384</v>
      </c>
      <c r="F161" s="53">
        <v>24</v>
      </c>
    </row>
    <row r="162" spans="2:6">
      <c r="B162" s="53" t="s">
        <v>313</v>
      </c>
      <c r="C162" s="53" t="s">
        <v>355</v>
      </c>
      <c r="D162" s="53">
        <v>1</v>
      </c>
      <c r="E162" s="53" t="s">
        <v>356</v>
      </c>
      <c r="F162" s="53">
        <v>25</v>
      </c>
    </row>
    <row r="163" spans="2:6">
      <c r="B163" s="53" t="s">
        <v>310</v>
      </c>
      <c r="C163" s="53" t="s">
        <v>355</v>
      </c>
      <c r="D163" s="53">
        <v>1</v>
      </c>
      <c r="E163" s="53" t="s">
        <v>356</v>
      </c>
      <c r="F163" s="53">
        <v>25</v>
      </c>
    </row>
    <row r="164" spans="2:6">
      <c r="B164" s="53" t="s">
        <v>303</v>
      </c>
      <c r="C164" s="53" t="s">
        <v>376</v>
      </c>
      <c r="D164" s="53">
        <v>2</v>
      </c>
      <c r="E164" s="53" t="s">
        <v>384</v>
      </c>
      <c r="F164" s="53">
        <v>26</v>
      </c>
    </row>
    <row r="165" spans="2:6">
      <c r="B165" s="53" t="s">
        <v>318</v>
      </c>
      <c r="C165" s="53" t="s">
        <v>376</v>
      </c>
      <c r="D165" s="53">
        <v>2</v>
      </c>
      <c r="E165" s="53" t="s">
        <v>384</v>
      </c>
      <c r="F165" s="53">
        <v>27</v>
      </c>
    </row>
    <row r="166" spans="2:6">
      <c r="B166" s="53" t="s">
        <v>313</v>
      </c>
      <c r="C166" s="53" t="s">
        <v>376</v>
      </c>
      <c r="D166" s="53">
        <v>2</v>
      </c>
      <c r="E166" s="53" t="s">
        <v>384</v>
      </c>
      <c r="F166" s="53">
        <v>27</v>
      </c>
    </row>
    <row r="167" spans="2:6">
      <c r="B167" s="53" t="s">
        <v>303</v>
      </c>
      <c r="C167" s="53" t="s">
        <v>371</v>
      </c>
      <c r="D167" s="53">
        <v>1</v>
      </c>
      <c r="E167" s="53" t="s">
        <v>372</v>
      </c>
      <c r="F167" s="53">
        <v>28</v>
      </c>
    </row>
    <row r="168" spans="2:6">
      <c r="B168" s="53" t="s">
        <v>310</v>
      </c>
      <c r="C168" s="53" t="s">
        <v>371</v>
      </c>
      <c r="D168" s="53">
        <v>1</v>
      </c>
      <c r="E168" s="53" t="s">
        <v>372</v>
      </c>
      <c r="F168" s="53">
        <v>28</v>
      </c>
    </row>
    <row r="169" spans="2:6">
      <c r="B169" s="53" t="s">
        <v>313</v>
      </c>
      <c r="C169" s="53" t="s">
        <v>371</v>
      </c>
      <c r="D169" s="53">
        <v>1</v>
      </c>
      <c r="E169" s="53" t="s">
        <v>372</v>
      </c>
      <c r="F169" s="53">
        <v>29</v>
      </c>
    </row>
    <row r="170" spans="2:6">
      <c r="B170" s="53" t="s">
        <v>321</v>
      </c>
      <c r="C170" s="53" t="s">
        <v>380</v>
      </c>
      <c r="D170" s="53">
        <v>1</v>
      </c>
      <c r="E170" s="53" t="s">
        <v>381</v>
      </c>
      <c r="F170" s="53">
        <v>29</v>
      </c>
    </row>
    <row r="171" spans="2:6">
      <c r="B171" s="53" t="s">
        <v>310</v>
      </c>
      <c r="C171" s="53" t="s">
        <v>376</v>
      </c>
      <c r="D171" s="53">
        <v>2</v>
      </c>
      <c r="E171" s="53" t="s">
        <v>384</v>
      </c>
      <c r="F171" s="53">
        <v>29</v>
      </c>
    </row>
    <row r="172" spans="2:6">
      <c r="B172" s="53" t="s">
        <v>309</v>
      </c>
      <c r="C172" s="53" t="s">
        <v>380</v>
      </c>
      <c r="D172" s="53">
        <v>1</v>
      </c>
      <c r="E172" s="53" t="s">
        <v>381</v>
      </c>
      <c r="F172" s="53">
        <v>30</v>
      </c>
    </row>
    <row r="173" spans="2:6">
      <c r="B173" s="53" t="s">
        <v>309</v>
      </c>
      <c r="C173" s="53" t="s">
        <v>382</v>
      </c>
      <c r="D173" s="53">
        <v>1</v>
      </c>
      <c r="E173" s="53" t="s">
        <v>383</v>
      </c>
      <c r="F173" s="53">
        <v>31</v>
      </c>
    </row>
    <row r="174" spans="2:6">
      <c r="B174" s="53" t="s">
        <v>310</v>
      </c>
      <c r="C174" s="53" t="s">
        <v>349</v>
      </c>
      <c r="D174" s="53">
        <v>4</v>
      </c>
      <c r="E174" s="53" t="s">
        <v>368</v>
      </c>
      <c r="F174" s="53">
        <v>31</v>
      </c>
    </row>
    <row r="175" spans="2:6">
      <c r="B175" s="53" t="s">
        <v>321</v>
      </c>
      <c r="C175" s="53" t="s">
        <v>382</v>
      </c>
      <c r="D175" s="53">
        <v>1</v>
      </c>
      <c r="E175" s="53" t="s">
        <v>383</v>
      </c>
      <c r="F175" s="53">
        <v>34</v>
      </c>
    </row>
    <row r="176" spans="2:6">
      <c r="B176" s="53" t="s">
        <v>321</v>
      </c>
      <c r="C176" s="53" t="s">
        <v>371</v>
      </c>
      <c r="D176" s="53">
        <v>1</v>
      </c>
      <c r="E176" s="53" t="s">
        <v>372</v>
      </c>
      <c r="F176" s="53">
        <v>34</v>
      </c>
    </row>
    <row r="177" spans="2:6">
      <c r="B177" s="53" t="s">
        <v>318</v>
      </c>
      <c r="C177" s="53" t="s">
        <v>371</v>
      </c>
      <c r="D177" s="53">
        <v>1</v>
      </c>
      <c r="E177" s="53" t="s">
        <v>372</v>
      </c>
      <c r="F177" s="53">
        <v>35</v>
      </c>
    </row>
    <row r="178" spans="2:6">
      <c r="B178" s="53" t="s">
        <v>303</v>
      </c>
      <c r="C178" s="53" t="s">
        <v>380</v>
      </c>
      <c r="D178" s="53">
        <v>1</v>
      </c>
      <c r="E178" s="53" t="s">
        <v>381</v>
      </c>
      <c r="F178" s="53">
        <v>38</v>
      </c>
    </row>
    <row r="179" spans="2:6">
      <c r="B179" s="53" t="s">
        <v>303</v>
      </c>
      <c r="C179" s="53" t="s">
        <v>382</v>
      </c>
      <c r="D179" s="53">
        <v>1</v>
      </c>
      <c r="E179" s="53" t="s">
        <v>383</v>
      </c>
      <c r="F179" s="53">
        <v>39</v>
      </c>
    </row>
    <row r="180" spans="2:6">
      <c r="B180" s="53" t="s">
        <v>310</v>
      </c>
      <c r="C180" s="53" t="s">
        <v>380</v>
      </c>
      <c r="D180" s="53">
        <v>1</v>
      </c>
      <c r="E180" s="53" t="s">
        <v>381</v>
      </c>
      <c r="F180" s="53">
        <v>40</v>
      </c>
    </row>
    <row r="181" spans="2:6">
      <c r="B181" s="53" t="s">
        <v>318</v>
      </c>
      <c r="C181" s="53" t="s">
        <v>380</v>
      </c>
      <c r="D181" s="53">
        <v>1</v>
      </c>
      <c r="E181" s="53" t="s">
        <v>381</v>
      </c>
      <c r="F181" s="53">
        <v>48</v>
      </c>
    </row>
    <row r="182" spans="2:6">
      <c r="B182" s="53" t="s">
        <v>313</v>
      </c>
      <c r="C182" s="53" t="s">
        <v>380</v>
      </c>
      <c r="D182" s="53">
        <v>1</v>
      </c>
      <c r="E182" s="53" t="s">
        <v>381</v>
      </c>
      <c r="F182" s="53">
        <v>49</v>
      </c>
    </row>
    <row r="183" spans="2:6">
      <c r="B183" s="53" t="s">
        <v>310</v>
      </c>
      <c r="C183" s="53" t="s">
        <v>382</v>
      </c>
      <c r="D183" s="53">
        <v>1</v>
      </c>
      <c r="E183" s="53" t="s">
        <v>383</v>
      </c>
      <c r="F183" s="53">
        <v>49</v>
      </c>
    </row>
    <row r="184" spans="2:6">
      <c r="B184" s="53" t="s">
        <v>318</v>
      </c>
      <c r="C184" s="53" t="s">
        <v>382</v>
      </c>
      <c r="D184" s="53">
        <v>1</v>
      </c>
      <c r="E184" s="53" t="s">
        <v>383</v>
      </c>
      <c r="F184" s="53">
        <v>52</v>
      </c>
    </row>
    <row r="185" spans="2:6">
      <c r="B185" s="53" t="s">
        <v>313</v>
      </c>
      <c r="C185" s="53" t="s">
        <v>382</v>
      </c>
      <c r="D185" s="53">
        <v>1</v>
      </c>
      <c r="E185" s="53" t="s">
        <v>383</v>
      </c>
      <c r="F185" s="53">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0F5F-C0EC-44ED-9404-D752A483FC8E}">
  <dimension ref="A1:B10"/>
  <sheetViews>
    <sheetView showGridLines="0" rightToLeft="1" zoomScale="154" workbookViewId="0">
      <pane ySplit="3" topLeftCell="A4" activePane="bottomLeft" state="frozen"/>
      <selection activeCell="M9" sqref="M9"/>
      <selection pane="bottomLeft" activeCell="B5" sqref="B5"/>
    </sheetView>
  </sheetViews>
  <sheetFormatPr defaultRowHeight="14.5"/>
  <cols>
    <col min="1" max="1" width="45.453125" customWidth="1"/>
    <col min="2" max="2" width="18.1796875" customWidth="1"/>
  </cols>
  <sheetData>
    <row r="1" spans="1:2" ht="26" customHeight="1">
      <c r="A1" s="82" t="s">
        <v>87</v>
      </c>
      <c r="B1" s="82"/>
    </row>
    <row r="2" spans="1:2" ht="8" customHeight="1">
      <c r="A2" s="22"/>
      <c r="B2" s="22"/>
    </row>
    <row r="3" spans="1:2" s="5" customFormat="1" ht="24" customHeight="1">
      <c r="A3" s="16" t="s">
        <v>14</v>
      </c>
      <c r="B3" s="16" t="s">
        <v>15</v>
      </c>
    </row>
    <row r="4" spans="1:2">
      <c r="A4" s="29" t="s">
        <v>16</v>
      </c>
      <c r="B4" s="21">
        <v>0.66666666666666663</v>
      </c>
    </row>
    <row r="5" spans="1:2">
      <c r="A5" s="30" t="s">
        <v>82</v>
      </c>
      <c r="B5" s="18">
        <v>15</v>
      </c>
    </row>
    <row r="6" spans="1:2">
      <c r="A6" s="31" t="s">
        <v>197</v>
      </c>
      <c r="B6" s="6">
        <v>7</v>
      </c>
    </row>
    <row r="7" spans="1:2">
      <c r="A7" s="31" t="s">
        <v>142</v>
      </c>
      <c r="B7" s="6">
        <v>4</v>
      </c>
    </row>
    <row r="8" spans="1:2">
      <c r="A8" s="31" t="s">
        <v>198</v>
      </c>
      <c r="B8" s="6">
        <v>28</v>
      </c>
    </row>
    <row r="9" spans="1:2">
      <c r="A9" s="31" t="s">
        <v>199</v>
      </c>
      <c r="B9" s="6">
        <v>4</v>
      </c>
    </row>
    <row r="10" spans="1:2">
      <c r="A10" s="31" t="s">
        <v>411</v>
      </c>
      <c r="B10" s="6">
        <v>1</v>
      </c>
    </row>
  </sheetData>
  <mergeCells count="1">
    <mergeCell ref="A1:B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6A63C-8763-4BF6-9266-2FA4F4F6BA25}">
  <dimension ref="A1:O199"/>
  <sheetViews>
    <sheetView showGridLines="0" rightToLeft="1" zoomScale="48" workbookViewId="0">
      <pane ySplit="3" topLeftCell="A4" activePane="bottomLeft" state="frozen"/>
      <selection activeCell="M9" sqref="M9"/>
      <selection pane="bottomLeft" activeCell="M9" sqref="M9"/>
    </sheetView>
  </sheetViews>
  <sheetFormatPr defaultRowHeight="14.5"/>
  <cols>
    <col min="1" max="1" width="7.26953125" customWidth="1"/>
    <col min="2" max="2" width="27.26953125" customWidth="1"/>
    <col min="3" max="3" width="87.26953125" customWidth="1"/>
    <col min="4" max="5" width="15.6328125" customWidth="1"/>
    <col min="6" max="6" width="16" customWidth="1"/>
    <col min="7" max="7" width="25.453125" customWidth="1"/>
    <col min="8" max="8" width="27.26953125" customWidth="1"/>
    <col min="9" max="16" width="5.453125" customWidth="1"/>
  </cols>
  <sheetData>
    <row r="1" spans="1:15" ht="26" customHeight="1">
      <c r="A1" s="82" t="s">
        <v>243</v>
      </c>
      <c r="B1" s="82"/>
      <c r="C1" s="86"/>
      <c r="O1" s="2"/>
    </row>
    <row r="2" spans="1:15" ht="8" customHeight="1">
      <c r="A2" s="22"/>
      <c r="B2" s="22"/>
      <c r="C2" s="7"/>
      <c r="O2" s="2"/>
    </row>
    <row r="3" spans="1:15" ht="24" customHeight="1">
      <c r="A3" s="16" t="s">
        <v>83</v>
      </c>
      <c r="B3" s="16" t="s">
        <v>84</v>
      </c>
      <c r="C3" s="16" t="s">
        <v>85</v>
      </c>
      <c r="O3" s="2"/>
    </row>
    <row r="4" spans="1:15" ht="101.5">
      <c r="A4" s="19">
        <v>1</v>
      </c>
      <c r="B4" s="26" t="s">
        <v>88</v>
      </c>
      <c r="C4" s="20" t="s">
        <v>395</v>
      </c>
      <c r="O4" s="2"/>
    </row>
    <row r="5" spans="1:15" ht="43.5">
      <c r="A5" s="15">
        <v>2</v>
      </c>
      <c r="B5" s="27" t="s">
        <v>195</v>
      </c>
      <c r="C5" s="17" t="s">
        <v>396</v>
      </c>
      <c r="O5" s="2"/>
    </row>
    <row r="6" spans="1:15" ht="87">
      <c r="A6" s="8">
        <v>3</v>
      </c>
      <c r="B6" s="32" t="s">
        <v>86</v>
      </c>
      <c r="C6" s="11" t="s">
        <v>397</v>
      </c>
      <c r="O6" s="2"/>
    </row>
    <row r="7" spans="1:15" ht="29">
      <c r="A7" s="8">
        <v>4</v>
      </c>
      <c r="B7" s="32" t="s">
        <v>196</v>
      </c>
      <c r="C7" s="11" t="s">
        <v>301</v>
      </c>
      <c r="O7" s="2"/>
    </row>
    <row r="8" spans="1:15" ht="72.5">
      <c r="A8" s="8">
        <v>5</v>
      </c>
      <c r="B8" s="32" t="s">
        <v>136</v>
      </c>
      <c r="C8" s="11" t="s">
        <v>398</v>
      </c>
      <c r="O8" s="2"/>
    </row>
    <row r="9" spans="1:15" ht="43.5">
      <c r="A9" s="8">
        <v>6</v>
      </c>
      <c r="B9" s="32" t="s">
        <v>156</v>
      </c>
      <c r="C9" s="11" t="s">
        <v>302</v>
      </c>
      <c r="O9" s="2"/>
    </row>
    <row r="10" spans="1:15" ht="58">
      <c r="A10" s="8">
        <v>7</v>
      </c>
      <c r="B10" s="32" t="s">
        <v>201</v>
      </c>
      <c r="C10" s="11" t="s">
        <v>261</v>
      </c>
      <c r="O10" s="2"/>
    </row>
    <row r="11" spans="1:15" ht="14.5" customHeight="1">
      <c r="O11" s="2"/>
    </row>
    <row r="12" spans="1:15">
      <c r="O12" s="2"/>
    </row>
    <row r="13" spans="1:15">
      <c r="O13" s="2"/>
    </row>
    <row r="14" spans="1:15">
      <c r="O14" s="2"/>
    </row>
    <row r="15" spans="1:15">
      <c r="O15" s="2"/>
    </row>
    <row r="16" spans="1:15">
      <c r="O16" s="2"/>
    </row>
    <row r="17" spans="15:15">
      <c r="O17" s="2"/>
    </row>
    <row r="18" spans="15:15" ht="14.5" customHeight="1">
      <c r="O18" s="2"/>
    </row>
    <row r="19" spans="15:15">
      <c r="O19" s="2"/>
    </row>
    <row r="20" spans="15:15">
      <c r="O20" s="2"/>
    </row>
    <row r="21" spans="15:15">
      <c r="O21" s="2"/>
    </row>
    <row r="22" spans="15:15">
      <c r="O22" s="2"/>
    </row>
    <row r="23" spans="15:15">
      <c r="O23" s="2"/>
    </row>
    <row r="24" spans="15:15">
      <c r="O24" s="2"/>
    </row>
    <row r="25" spans="15:15" ht="14.5" customHeight="1">
      <c r="O25" s="2"/>
    </row>
    <row r="26" spans="15:15">
      <c r="O26" s="2"/>
    </row>
    <row r="27" spans="15:15">
      <c r="O27" s="2"/>
    </row>
    <row r="28" spans="15:15">
      <c r="O28" s="2"/>
    </row>
    <row r="29" spans="15:15">
      <c r="O29" s="2"/>
    </row>
    <row r="30" spans="15:15">
      <c r="O30" s="2"/>
    </row>
    <row r="31" spans="15:15">
      <c r="O31" s="2"/>
    </row>
    <row r="32" spans="15:15" ht="14.5" customHeight="1">
      <c r="O32" s="2"/>
    </row>
    <row r="33" spans="15:15">
      <c r="O33" s="2"/>
    </row>
    <row r="34" spans="15:15">
      <c r="O34" s="2"/>
    </row>
    <row r="35" spans="15:15">
      <c r="O35" s="2"/>
    </row>
    <row r="36" spans="15:15">
      <c r="O36" s="2"/>
    </row>
    <row r="37" spans="15:15" ht="14.5" customHeight="1">
      <c r="O37" s="2"/>
    </row>
    <row r="38" spans="15:15">
      <c r="O38" s="2"/>
    </row>
    <row r="39" spans="15:15" ht="14.5" customHeight="1">
      <c r="O39" s="2"/>
    </row>
    <row r="40" spans="15:15">
      <c r="O40" s="2"/>
    </row>
    <row r="41" spans="15:15">
      <c r="O41" s="2"/>
    </row>
    <row r="42" spans="15:15" ht="14.5" customHeight="1">
      <c r="O42" s="2"/>
    </row>
    <row r="43" spans="15:15">
      <c r="O43" s="2"/>
    </row>
    <row r="44" spans="15:15">
      <c r="O44" s="2"/>
    </row>
    <row r="45" spans="15:15">
      <c r="O45" s="2"/>
    </row>
    <row r="46" spans="15:15" ht="14.5" customHeight="1">
      <c r="O46" s="2"/>
    </row>
    <row r="47" spans="15:15">
      <c r="O47" s="2"/>
    </row>
    <row r="48" spans="15:15">
      <c r="O48" s="2"/>
    </row>
    <row r="49" spans="15:15">
      <c r="O49" s="2"/>
    </row>
    <row r="50" spans="15:15">
      <c r="O50" s="2"/>
    </row>
    <row r="51" spans="15:15">
      <c r="O51" s="2"/>
    </row>
    <row r="52" spans="15:15">
      <c r="O52" s="2"/>
    </row>
    <row r="53" spans="15:15">
      <c r="O53" s="2"/>
    </row>
    <row r="54" spans="15:15">
      <c r="O54" s="2"/>
    </row>
    <row r="55" spans="15:15">
      <c r="O55" s="2"/>
    </row>
    <row r="56" spans="15:15">
      <c r="O56" s="2"/>
    </row>
    <row r="57" spans="15:15">
      <c r="O57" s="2"/>
    </row>
    <row r="58" spans="15:15">
      <c r="O58" s="2"/>
    </row>
    <row r="59" spans="15:15">
      <c r="O59" s="2"/>
    </row>
    <row r="60" spans="15:15">
      <c r="O60" s="2"/>
    </row>
    <row r="61" spans="15:15">
      <c r="O61" s="2"/>
    </row>
    <row r="62" spans="15:15">
      <c r="O62" s="2"/>
    </row>
    <row r="63" spans="15:15">
      <c r="O63" s="2"/>
    </row>
    <row r="64" spans="15:15">
      <c r="O64" s="2"/>
    </row>
    <row r="65" spans="8:15">
      <c r="O65" s="2"/>
    </row>
    <row r="66" spans="8:15">
      <c r="O66" s="2"/>
    </row>
    <row r="67" spans="8:15">
      <c r="O67" s="2"/>
    </row>
    <row r="68" spans="8:15">
      <c r="O68" s="2"/>
    </row>
    <row r="69" spans="8:15">
      <c r="O69" s="2"/>
    </row>
    <row r="70" spans="8:15">
      <c r="O70" s="2"/>
    </row>
    <row r="71" spans="8:15">
      <c r="O71" s="2"/>
    </row>
    <row r="72" spans="8:15">
      <c r="O72" s="2"/>
    </row>
    <row r="73" spans="8:15">
      <c r="O73" s="2"/>
    </row>
    <row r="74" spans="8:15">
      <c r="O74" s="2"/>
    </row>
    <row r="75" spans="8:15">
      <c r="O75" s="2"/>
    </row>
    <row r="76" spans="8:15">
      <c r="O76" s="2"/>
    </row>
    <row r="77" spans="8:15">
      <c r="H77" s="3"/>
      <c r="I77" s="2"/>
      <c r="J77" s="2"/>
      <c r="K77" s="2"/>
      <c r="L77" s="2"/>
      <c r="M77" s="2"/>
      <c r="N77" s="2"/>
      <c r="O77" s="2"/>
    </row>
    <row r="78" spans="8:15">
      <c r="H78" s="4"/>
    </row>
    <row r="79" spans="8:15">
      <c r="H79" s="4"/>
    </row>
    <row r="80" spans="8:15">
      <c r="H80" s="4"/>
    </row>
    <row r="81" spans="8:8">
      <c r="H81" s="4"/>
    </row>
    <row r="82" spans="8:8">
      <c r="H82" s="4"/>
    </row>
    <row r="83" spans="8:8">
      <c r="H83" s="4"/>
    </row>
    <row r="84" spans="8:8">
      <c r="H84" s="4"/>
    </row>
    <row r="85" spans="8:8">
      <c r="H85" s="4"/>
    </row>
    <row r="86" spans="8:8">
      <c r="H86" s="4"/>
    </row>
    <row r="87" spans="8:8">
      <c r="H87" s="4"/>
    </row>
    <row r="88" spans="8:8">
      <c r="H88" s="4"/>
    </row>
    <row r="89" spans="8:8">
      <c r="H89" s="4"/>
    </row>
    <row r="90" spans="8:8">
      <c r="H90" s="4"/>
    </row>
    <row r="91" spans="8:8">
      <c r="H91" s="4"/>
    </row>
    <row r="92" spans="8:8">
      <c r="H92" s="4"/>
    </row>
    <row r="93" spans="8:8">
      <c r="H93" s="4"/>
    </row>
    <row r="94" spans="8:8">
      <c r="H94" s="4"/>
    </row>
    <row r="95" spans="8:8">
      <c r="H95" s="4"/>
    </row>
    <row r="96" spans="8:8">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CF21-793A-4B82-A098-F01E85203569}">
  <dimension ref="A1:M38"/>
  <sheetViews>
    <sheetView showGridLines="0" rightToLeft="1" zoomScale="98" zoomScaleNormal="100" workbookViewId="0">
      <pane xSplit="2" ySplit="3" topLeftCell="C4" activePane="bottomRight" state="frozen"/>
      <selection activeCell="M9" sqref="M9"/>
      <selection pane="topRight" activeCell="M9" sqref="M9"/>
      <selection pane="bottomLeft" activeCell="M9" sqref="M9"/>
      <selection pane="bottomRight" activeCell="B10" sqref="B10:B15"/>
    </sheetView>
  </sheetViews>
  <sheetFormatPr defaultRowHeight="14.5"/>
  <cols>
    <col min="1" max="1" width="7.7265625" bestFit="1" customWidth="1"/>
    <col min="2" max="2" width="12.7265625" customWidth="1"/>
    <col min="3" max="3" width="20" customWidth="1"/>
    <col min="4" max="4" width="24.26953125" bestFit="1" customWidth="1"/>
    <col min="5" max="5" width="14.26953125" bestFit="1" customWidth="1"/>
    <col min="6" max="6" width="17.26953125" customWidth="1"/>
    <col min="7" max="7" width="82.1796875" bestFit="1" customWidth="1"/>
    <col min="8" max="9" width="18.1796875" customWidth="1"/>
    <col min="10" max="10" width="7.08984375" bestFit="1" customWidth="1"/>
    <col min="11" max="11" width="17.1796875" bestFit="1" customWidth="1"/>
    <col min="12" max="12" width="10.36328125" bestFit="1" customWidth="1"/>
    <col min="13" max="13" width="16.36328125" customWidth="1"/>
  </cols>
  <sheetData>
    <row r="1" spans="1:13" ht="26" customHeight="1">
      <c r="A1" s="96" t="s">
        <v>135</v>
      </c>
      <c r="B1" s="97"/>
      <c r="C1" s="97"/>
      <c r="D1" s="97"/>
      <c r="E1" s="97"/>
      <c r="F1" s="97"/>
      <c r="G1" s="97"/>
      <c r="H1" s="97"/>
      <c r="I1" s="97"/>
      <c r="J1" s="97"/>
      <c r="K1" s="97"/>
      <c r="L1" s="97"/>
    </row>
    <row r="2" spans="1:13" ht="8" customHeight="1">
      <c r="A2" s="22"/>
      <c r="B2" s="22"/>
      <c r="C2" s="22"/>
      <c r="D2" s="22"/>
      <c r="E2" s="22"/>
      <c r="F2" s="22"/>
      <c r="G2" s="22"/>
      <c r="H2" s="22"/>
      <c r="I2" s="22"/>
      <c r="J2" s="22"/>
      <c r="K2" s="22"/>
      <c r="L2" s="22"/>
    </row>
    <row r="3" spans="1:13" ht="34" customHeight="1">
      <c r="A3" s="9" t="s">
        <v>13</v>
      </c>
      <c r="B3" s="9" t="s">
        <v>149</v>
      </c>
      <c r="C3" s="9" t="s">
        <v>150</v>
      </c>
      <c r="D3" s="9" t="s">
        <v>193</v>
      </c>
      <c r="E3" s="9" t="s">
        <v>125</v>
      </c>
      <c r="F3" s="9" t="s">
        <v>194</v>
      </c>
      <c r="G3" s="9" t="s">
        <v>214</v>
      </c>
      <c r="H3" s="9" t="s">
        <v>17</v>
      </c>
      <c r="I3" s="9" t="s">
        <v>18</v>
      </c>
      <c r="J3" s="9" t="s">
        <v>19</v>
      </c>
      <c r="K3" s="9" t="s">
        <v>141</v>
      </c>
      <c r="L3" s="9" t="s">
        <v>143</v>
      </c>
      <c r="M3" s="9" t="s">
        <v>241</v>
      </c>
    </row>
    <row r="4" spans="1:13">
      <c r="A4" s="8">
        <v>5</v>
      </c>
      <c r="B4" s="8">
        <v>1</v>
      </c>
      <c r="C4" s="8">
        <v>5</v>
      </c>
      <c r="D4" s="8">
        <f>COUNTIF('5 فرق'!$C$4:$C$73,"* ضد *")*2/5/4</f>
        <v>7</v>
      </c>
      <c r="E4" s="8">
        <f>COUNTIF('5 فرق'!$C$4:$C$73,"* ضد *")*2/5</f>
        <v>28</v>
      </c>
      <c r="F4" s="8">
        <f>COUNTIF('5 فرق'!$A$4:$A$73,"اليوم *")</f>
        <v>7</v>
      </c>
      <c r="G4" s="11" t="str">
        <f>'5 فرق'!E4&amp;" مباريات في "&amp;COUNTIF('5 فرق'!$E$4:$E$73,'5 فرق'!E4)&amp;" مهرجانات"&amp;IF('5 فرق'!E64='5 فرق'!E4,"","، ثم "&amp;'5 فرق'!E64&amp;" مباريات في المهرجان الأخير")&amp;" (المجموع "&amp;E4&amp;")"</f>
        <v>4 مباريات في 7 مهرجانات (المجموع 28)</v>
      </c>
      <c r="H4" s="14">
        <f>المدخلات!$B$4</f>
        <v>0.66666666666666663</v>
      </c>
      <c r="I4" s="14">
        <f>H4+J4</f>
        <v>0.77083333333333326</v>
      </c>
      <c r="J4" s="12">
        <f>COUNTA('5 فرق'!B4:B13)*المدخلات!$B$5/1440</f>
        <v>0.10416666666666667</v>
      </c>
      <c r="K4" s="8">
        <f>COUNTIF('5 فرق'!$C$3:$C$3,"ملعب *")</f>
        <v>1</v>
      </c>
      <c r="L4" s="8">
        <f>ROUNDUP(K4/المدخلات!$B$7,0)</f>
        <v>1</v>
      </c>
      <c r="M4" s="41">
        <v>1</v>
      </c>
    </row>
    <row r="5" spans="1:13">
      <c r="A5" s="8">
        <v>6</v>
      </c>
      <c r="B5" s="8">
        <v>1</v>
      </c>
      <c r="C5" s="8">
        <v>6</v>
      </c>
      <c r="D5" s="8">
        <f>COUNTIF('6 فرق'!$C$4:$E$47,"* ضد *")*2/6/5</f>
        <v>5</v>
      </c>
      <c r="E5" s="8">
        <f>COUNTIF('6 فرق'!$C$4:$E$47,"* ضد *")*2/6</f>
        <v>25</v>
      </c>
      <c r="F5" s="8">
        <f>COUNTIF('6 فرق'!$A$4:$A$47,"اليوم *")</f>
        <v>6</v>
      </c>
      <c r="G5" s="11" t="str">
        <f>'6 فرق'!G4&amp;" مباريات في "&amp;COUNTIF('6 فرق'!$G$4:$G$47,'6 فرق'!G4)&amp;" مهرجانات"&amp;IF('6 فرق'!G39='6 فرق'!G4,"","، ثم "&amp;IF('6 فرق'!G39=1,"مباراة واحدة",IF('6 فرق'!G39=2,"مباراتان",'6 فرق'!G39&amp;" مباريات"))&amp;" في المهرجان الأخير")&amp;" (المجموع "&amp;E5&amp;")"</f>
        <v>4 مباريات في 5 مهرجانات، ثم 5 مباريات في المهرجان الأخير (المجموع 25)</v>
      </c>
      <c r="H5" s="14">
        <f>المدخلات!$B$4</f>
        <v>0.66666666666666663</v>
      </c>
      <c r="I5" s="14">
        <f t="shared" ref="I5:I14" si="0">H5+J5</f>
        <v>0.76041666666666663</v>
      </c>
      <c r="J5" s="12">
        <f>COUNTA('6 فرق'!B39:B47)*المدخلات!$B$5/1440</f>
        <v>9.375E-2</v>
      </c>
      <c r="K5" s="8">
        <f>COUNTIF('6 فرق'!$C$3:$E$3,"ملعب *")</f>
        <v>3</v>
      </c>
      <c r="L5" s="8">
        <f>ROUNDUP(K5/المدخلات!$B$7,0)</f>
        <v>1</v>
      </c>
      <c r="M5" s="41">
        <v>3</v>
      </c>
    </row>
    <row r="6" spans="1:13">
      <c r="A6" s="8">
        <v>7</v>
      </c>
      <c r="B6" s="8">
        <v>1</v>
      </c>
      <c r="C6" s="8">
        <v>7</v>
      </c>
      <c r="D6" s="8">
        <f>COUNTIF('7 فرق'!$C$4:$D$57,"* ضد *")*2/7/6</f>
        <v>4</v>
      </c>
      <c r="E6" s="8">
        <f>COUNTIF('7 فرق'!$C$4:$D$57,"* ضد *")*2/7</f>
        <v>24</v>
      </c>
      <c r="F6" s="8">
        <f>COUNTIF('7 فرق'!$A$4:$A$57,"اليوم *")</f>
        <v>6</v>
      </c>
      <c r="G6" s="11" t="str">
        <f>'7 فرق'!F4&amp;" مباريات في "&amp;COUNTIF('7 فرق'!$F$4:$F$57,'7 فرق'!F4)&amp;" مهرجانات"&amp;IF('7 فرق'!F49='7 فرق'!F4,"","، ثم "&amp;'7 فرق'!F49&amp;" مباريات في المهرجان الأخير")&amp;" (المجموع "&amp;E6&amp;")"</f>
        <v>4 مباريات في 6 مهرجانات (المجموع 24)</v>
      </c>
      <c r="H6" s="14">
        <f>المدخلات!$B$4</f>
        <v>0.66666666666666663</v>
      </c>
      <c r="I6" s="14">
        <f>H6+J6</f>
        <v>0.76041666666666663</v>
      </c>
      <c r="J6" s="12">
        <f>COUNTA('7 فرق'!B4:B12)*المدخلات!$B$5/1440</f>
        <v>9.375E-2</v>
      </c>
      <c r="K6" s="8">
        <f>COUNTIF('7 فرق'!$C$3:$D$3,"ملعب *")</f>
        <v>2</v>
      </c>
      <c r="L6" s="8">
        <f>ROUNDUP(K6/المدخلات!$B$7,0)</f>
        <v>1</v>
      </c>
      <c r="M6" s="41">
        <v>2</v>
      </c>
    </row>
    <row r="7" spans="1:13">
      <c r="A7" s="8">
        <v>8</v>
      </c>
      <c r="B7" s="8">
        <v>1</v>
      </c>
      <c r="C7" s="8">
        <v>8</v>
      </c>
      <c r="D7" s="8">
        <f>COUNTIF('8 فرق'!$C$4:$F$52,"* ضد *")*2/8/7</f>
        <v>4</v>
      </c>
      <c r="E7" s="8">
        <f>COUNTIF('8 فرق'!$C$4:$F$52,"* ضد *")*2/8</f>
        <v>28</v>
      </c>
      <c r="F7" s="8">
        <f>COUNTIF('8 فرق'!$A$4:$A$52,"اليوم *")</f>
        <v>7</v>
      </c>
      <c r="G7" s="11" t="str">
        <f>'8 فرق'!H4&amp;" مباريات في "&amp;COUNTIF('8 فرق'!$H$4:$H$52,'8 فرق'!H4)&amp;" مهرجانات"&amp;IF('8 فرق'!H46='8 فرق'!H4,"","، ثم "&amp;IF('8 فرق'!H46=1,"مباراة واحدة",IF('8 فرق'!H46=2,"مباراتان",'8 فرق'!H46&amp;" مباريات"))&amp;" في المهرجان الأخير")&amp;" (المجموع "&amp;E7&amp;")"</f>
        <v>4 مباريات في 7 مهرجانات (المجموع 28)</v>
      </c>
      <c r="H7" s="14">
        <f>المدخلات!$B$4</f>
        <v>0.66666666666666663</v>
      </c>
      <c r="I7" s="14">
        <f t="shared" si="0"/>
        <v>0.73958333333333326</v>
      </c>
      <c r="J7" s="12">
        <f>COUNTA('8 فرق'!B4:B10)*المدخلات!$B$5/1440</f>
        <v>7.2916666666666671E-2</v>
      </c>
      <c r="K7" s="8">
        <f>COUNTIF('8 فرق'!$C$3:$F$3,"ملعب *")</f>
        <v>4</v>
      </c>
      <c r="L7" s="8">
        <f>ROUNDUP(K7/المدخلات!$B$7,0)</f>
        <v>1</v>
      </c>
      <c r="M7" s="41">
        <v>3</v>
      </c>
    </row>
    <row r="8" spans="1:13">
      <c r="A8" s="8">
        <v>9</v>
      </c>
      <c r="B8" s="8">
        <v>1</v>
      </c>
      <c r="C8" s="8">
        <v>9</v>
      </c>
      <c r="D8" s="8">
        <f>COUNTIF('9 فرق'!$C$4:$E$57,"* ضد *")*2/9/8</f>
        <v>3</v>
      </c>
      <c r="E8" s="8">
        <f>COUNTIF('9 فرق'!$C$4:$E$57,"* ضد *")*2/9</f>
        <v>24</v>
      </c>
      <c r="F8" s="8">
        <f>COUNTIF('9 فرق'!$A$4:$A$57,"اليوم *")</f>
        <v>6</v>
      </c>
      <c r="G8" s="11" t="str">
        <f>'9 فرق'!G4&amp;" مباريات في "&amp;COUNTIF('9 فرق'!$G$4:$G$57,'9 فرق'!G4)&amp;" مهرجانات"&amp;IF('9 فرق'!G49='9 فرق'!G4,"","، ثم "&amp;'9 فرق'!G49&amp;" مباريات في المهرجان الأخير")&amp;" (المجموع "&amp;E8&amp;")"</f>
        <v>4 مباريات في 6 مهرجانات (المجموع 24)</v>
      </c>
      <c r="H8" s="14">
        <f>المدخلات!$B$4</f>
        <v>0.66666666666666663</v>
      </c>
      <c r="I8" s="14">
        <f t="shared" ref="I8:I13" si="1">H8+J8</f>
        <v>0.76041666666666663</v>
      </c>
      <c r="J8" s="12">
        <f>COUNTA('9 فرق'!B4:B12)*المدخلات!$B$5/1440</f>
        <v>9.375E-2</v>
      </c>
      <c r="K8" s="8">
        <f>COUNTIF('9 فرق'!$C$3:$E$3,"ملعب *")</f>
        <v>3</v>
      </c>
      <c r="L8" s="8">
        <f>ROUNDUP(K8/المدخلات!$B$7,0)</f>
        <v>1</v>
      </c>
      <c r="M8" s="41">
        <v>3</v>
      </c>
    </row>
    <row r="9" spans="1:13">
      <c r="A9" s="8">
        <v>11</v>
      </c>
      <c r="B9" s="8">
        <v>1</v>
      </c>
      <c r="C9" s="8">
        <v>11</v>
      </c>
      <c r="D9" s="8">
        <f>COUNTIF('11 فريقًا'!$C$4:$F$48,"* ضد *")*2/11/10</f>
        <v>2</v>
      </c>
      <c r="E9" s="8">
        <f>COUNTIF('11 فريقًا'!$C$4:$F$48,"* ضد *")*2/11</f>
        <v>20</v>
      </c>
      <c r="F9" s="8">
        <f>COUNTIF('11 فريقًا'!$A$4:$A$48,"اليوم *")</f>
        <v>5</v>
      </c>
      <c r="G9" s="11" t="str">
        <f>'11 فريقًا'!H4&amp;" مباريات في "&amp;COUNTIF('11 فريقًا'!$H$4:$H$48,'11 فريقًا'!H4)&amp;" مهرجانات"&amp;IF('11 فريقًا'!H40='11 فريقًا'!H4,"","، ثم "&amp;'11 فريقًا'!H40&amp;" مباريات في المهرجان الأخير")&amp;" (المجموع "&amp;E9&amp;")"</f>
        <v>4 مباريات في 5 مهرجانات (المجموع 20)</v>
      </c>
      <c r="H9" s="14">
        <f>المدخلات!$B$4</f>
        <v>0.66666666666666663</v>
      </c>
      <c r="I9" s="14">
        <f t="shared" si="1"/>
        <v>0.76041666666666663</v>
      </c>
      <c r="J9" s="12">
        <f>COUNTA('11 فريقًا'!B4:B12)*المدخلات!$B$5/1440</f>
        <v>9.375E-2</v>
      </c>
      <c r="K9" s="8">
        <f>COUNTIF('11 فريقًا'!$C$3:$F$3,"ملعب *")</f>
        <v>4</v>
      </c>
      <c r="L9" s="8">
        <f>ROUNDUP(K9/المدخلات!$B$7,0)</f>
        <v>1</v>
      </c>
      <c r="M9" s="41">
        <v>1</v>
      </c>
    </row>
    <row r="10" spans="1:13" ht="29">
      <c r="A10" s="8">
        <v>12</v>
      </c>
      <c r="B10" s="8">
        <v>2</v>
      </c>
      <c r="C10" s="8" t="s">
        <v>298</v>
      </c>
      <c r="D10" s="8" t="str">
        <f>COUNTIF('12 فريقًا'!$C$4:$E$57,"* ضد *")*2/6/5&amp;_xlfn.UNICHAR(8206)&amp;" + "&amp;_xlfn.UNICHAR(8206)&amp;COUNTIF('12 فريقًا'!$F$4:$H$57,"* ضد *")*2/6/5</f>
        <v>5‎ + ‎5</v>
      </c>
      <c r="E10" s="8" t="str">
        <f>COUNTIF('12 فريقًا'!$C$4:$E$57,"* ضد *")*2/6&amp;_xlfn.UNICHAR(8206)&amp;" + "&amp;_xlfn.UNICHAR(8206)&amp;COUNTIF('12 فريقًا'!$F$4:$H$57,"* ضد *")*2/6</f>
        <v>25‎ + ‎25</v>
      </c>
      <c r="F10" s="8">
        <f>COUNTIF('12 فريقًا'!$A$4:$A$57,"اليوم *")</f>
        <v>6</v>
      </c>
      <c r="G10" s="11" t="str">
        <f>"أ: "&amp;'12 فريقًا'!J4&amp;" مباريات في "&amp;COUNTIF('12 فريقًا'!$J$4:$J$57,'12 فريقًا'!J4)&amp;" مهرجانات"&amp;IF('12 فريقًا'!J49='12 فريقًا'!J4,"","، ثم "&amp;'12 فريقًا'!J49&amp;" مباريات في المهرجان الأخير")&amp;" (المجموع "&amp;SUM('12 فريقًا'!$J$4:$J$57)&amp;")"&amp;" | "&amp;"ب: "&amp;'12 فريقًا'!K4&amp;" مباريات في "&amp;COUNTIF('12 فريقًا'!$K$4:$K$57,'12 فريقًا'!K4)&amp;" مهرجانات"&amp;IF('12 فريقًا'!K49='12 فريقًا'!K4,"","، ثم "&amp;'12 فريقًا'!K49&amp;" مباريات في المهرجان الأخير")&amp;" (المجموع "&amp;SUM('12 فريقًا'!$K$4:$K$57)&amp;")"</f>
        <v>أ: 4 مباريات في 5 مهرجانات، ثم 5 مباريات في المهرجان الأخير (المجموع 25) | ب: 4 مباريات في 5 مهرجانات، ثم 5 مباريات في المهرجان الأخير (المجموع 25)</v>
      </c>
      <c r="H10" s="14">
        <f>المدخلات!$B$4</f>
        <v>0.66666666666666663</v>
      </c>
      <c r="I10" s="14">
        <f t="shared" si="1"/>
        <v>0.76041666666666663</v>
      </c>
      <c r="J10" s="12">
        <f>COUNTA('12 فريقًا'!B4:B12)*المدخلات!$B$5/1440</f>
        <v>9.375E-2</v>
      </c>
      <c r="K10" s="8">
        <f>COUNTIF('12 فريقًا'!$C$3:$H$3,"ملعب *")</f>
        <v>6</v>
      </c>
      <c r="L10" s="8">
        <f>ROUNDUP(K10/المدخلات!$B$7,0)</f>
        <v>2</v>
      </c>
      <c r="M10" s="41">
        <v>2</v>
      </c>
    </row>
    <row r="11" spans="1:13">
      <c r="A11" s="8">
        <v>13</v>
      </c>
      <c r="B11" s="8">
        <v>2</v>
      </c>
      <c r="C11" s="8" t="s">
        <v>299</v>
      </c>
      <c r="D11" s="8" t="str">
        <f>COUNTIF('13 فريقًا'!$C$4:$E$57,"* ضد *")*2/6/5&amp;_xlfn.UNICHAR(8206)&amp;" + "&amp;_xlfn.UNICHAR(8206)&amp;COUNTIF('13 فريقًا'!$F$4:$G$57,"* ضد *")*2/7/6</f>
        <v>5‎ + ‎4</v>
      </c>
      <c r="E11" s="8" t="str">
        <f>COUNTIF('13 فريقًا'!$C$4:$E$57,"* ضد *")*2/6&amp;_xlfn.UNICHAR(8206)&amp;" + "&amp;_xlfn.UNICHAR(8206)&amp;COUNTIF('13 فريقًا'!$F$4:$G$57,"* ضد *")*2/7</f>
        <v>25‎ + ‎24</v>
      </c>
      <c r="F11" s="8">
        <f>COUNTIF('13 فريقًا'!$A$4:$A$57,"اليوم *")</f>
        <v>6</v>
      </c>
      <c r="G11" s="11" t="str">
        <f>"أ: "&amp;'13 فريقًا'!I4&amp;" مباريات في "&amp;COUNTIF('13 فريقًا'!$I$4:$I$57,'13 فريقًا'!I4)&amp;" مهرجانات"&amp;IF('13 فريقًا'!I49='13 فريقًا'!I4,"","، ثم "&amp;'13 فريقًا'!I49&amp;" مباريات في المهرجان الأخير")&amp;" (المجموع "&amp;SUM('13 فريقًا'!$I$4:$I$57)&amp;")"&amp;" | "&amp;"ب: "&amp;'13 فريقًا'!J4&amp;" مباريات في "&amp;COUNTIF('13 فريقًا'!$J$4:$J$57,'13 فريقًا'!J4)&amp;" مهرجانات"&amp;IF('13 فريقًا'!J49='13 فريقًا'!J4,"","، ثم "&amp;'13 فريقًا'!J49&amp;" مباريات في المهرجان الأخير")&amp;" (المجموع "&amp;SUM('13 فريقًا'!$J$4:$J$57)&amp;")"</f>
        <v>أ: 4 مباريات في 5 مهرجانات، ثم 5 مباريات في المهرجان الأخير (المجموع 25) | ب: 4 مباريات في 6 مهرجانات (المجموع 24)</v>
      </c>
      <c r="H11" s="14">
        <f>المدخلات!$B$4</f>
        <v>0.66666666666666663</v>
      </c>
      <c r="I11" s="14">
        <f t="shared" si="1"/>
        <v>0.76041666666666663</v>
      </c>
      <c r="J11" s="12">
        <f>COUNTA('13 فريقًا'!B4:B12)*المدخلات!$B$5/1440</f>
        <v>9.375E-2</v>
      </c>
      <c r="K11" s="8">
        <f>COUNTIF('13 فريقًا'!$C$3:$G$3,"ملعب *")</f>
        <v>5</v>
      </c>
      <c r="L11" s="8">
        <f>ROUNDUP(K11/المدخلات!$B$7,0)</f>
        <v>2</v>
      </c>
      <c r="M11" s="41">
        <v>2</v>
      </c>
    </row>
    <row r="12" spans="1:13">
      <c r="A12" s="8">
        <v>15</v>
      </c>
      <c r="B12" s="8">
        <v>2</v>
      </c>
      <c r="C12" s="8" t="s">
        <v>394</v>
      </c>
      <c r="D12" s="8" t="str">
        <f>"أ: "&amp;INT(COUNTIF('15 فريقًا'!$C$4:$D$66,"* ضد *")*2/7/6)&amp;" أدوار"&amp;IF(MOD(COUNTIF('15 فريقًا'!$C$4:$D$66,"* ضد *")*2/7,6)=0,""," + "&amp;MOD(COUNTIF('15 فريقًا'!$C$4:$D$66,"* ضد *")*2/7,6)&amp;" مباريات")&amp;" | ب: "&amp;INT(COUNTIF('15 فريقًا'!$E$4:$H$66,"* ضد *")*2/8/7)&amp;" أدوار"&amp;IF(MOD(COUNTIF('15 فريقًا'!$E$4:$H$66,"* ضد *")*2/8,7)=0,""," + "&amp;MOD(COUNTIF('15 فريقًا'!$E$4:$H$66,"* ضد *")*2/8,7)&amp;" مباريات")</f>
        <v>أ: 4 أدوار + 4 مباريات | ب: 4 أدوار</v>
      </c>
      <c r="E12" s="8" t="str">
        <f>COUNTIF('15 فريقًا'!$C$4:$D$66,"* ضد *")*2/7&amp;_xlfn.UNICHAR(8206)&amp;" + "&amp;_xlfn.UNICHAR(8206)&amp;COUNTIF('15 فريقًا'!$E$4:$H$66,"* ضد *")*2/8</f>
        <v>28‎ + ‎28</v>
      </c>
      <c r="F12" s="8">
        <f>COUNTIF('15 فريقًا'!$A$4:$A$66,"اليوم *")</f>
        <v>7</v>
      </c>
      <c r="G12" s="11" t="str">
        <f>"أ: "&amp;'15 فريقًا'!J4&amp;" مباريات في "&amp;COUNTIF('15 فريقًا'!$J$4:$J$66,'15 فريقًا'!J4)&amp;" مهرجانات"&amp;IF('15 فريقًا'!J58='15 فريقًا'!J4,"","، ثم "&amp;'15 فريقًا'!J58&amp;" مباريات في المهرجان الأخير")&amp;" (المجموع "&amp;SUM('15 فريقًا'!$J$4:$J$66)&amp;")"&amp;" | "&amp;"ب: "&amp;'15 فريقًا'!K4&amp;" مباريات في "&amp;COUNTIF('15 فريقًا'!$K$4:$K$66,'15 فريقًا'!K4)&amp;" مهرجانات"&amp;IF('15 فريقًا'!K58='15 فريقًا'!K4,"","، ثم "&amp;'15 فريقًا'!K58&amp;" مباريات في المهرجان الأخير")&amp;" (المجموع "&amp;SUM('15 فريقًا'!$K$4:$K$66)&amp;")"</f>
        <v>أ: 4 مباريات في 7 مهرجانات (المجموع 28) | ب: 4 مباريات في 7 مهرجانات (المجموع 28)</v>
      </c>
      <c r="H12" s="14">
        <f>المدخلات!$B$4</f>
        <v>0.66666666666666663</v>
      </c>
      <c r="I12" s="14">
        <f t="shared" si="1"/>
        <v>0.76041666666666663</v>
      </c>
      <c r="J12" s="12">
        <f>COUNTA('15 فريقًا'!B4:B12)*المدخلات!$B$5/1440</f>
        <v>9.375E-2</v>
      </c>
      <c r="K12" s="8">
        <f>COUNTIF('15 فريقًا'!$C$3:$H$3,"ملعب *")</f>
        <v>6</v>
      </c>
      <c r="L12" s="8">
        <f>ROUNDUP(K12/المدخلات!$B$7,0)</f>
        <v>2</v>
      </c>
      <c r="M12" s="41">
        <v>1</v>
      </c>
    </row>
    <row r="13" spans="1:13">
      <c r="A13" s="8">
        <v>16</v>
      </c>
      <c r="B13" s="8">
        <v>2</v>
      </c>
      <c r="C13" s="8" t="s">
        <v>240</v>
      </c>
      <c r="D13" s="8" t="str">
        <f>COUNTIF('16 فريقًا'!$C$4:$F$52,"* ضد *")*2/8/7&amp;_xlfn.UNICHAR(8206)&amp;" + "&amp;_xlfn.UNICHAR(8206)&amp;COUNTIF('16 فريقًا'!$G$4:$J$52,"* ضد *")*2/8/7</f>
        <v>4‎ + ‎4</v>
      </c>
      <c r="E13" s="8" t="str">
        <f>COUNTIF('16 فريقًا'!$C$4:$F$52,"* ضد *")*2/8&amp;_xlfn.UNICHAR(8206)&amp;" + "&amp;_xlfn.UNICHAR(8206)&amp;COUNTIF('16 فريقًا'!$G$4:$J$52,"* ضد *")*2/8</f>
        <v>28‎ + ‎28</v>
      </c>
      <c r="F13" s="8">
        <f>COUNTIF('16 فريقًا'!$A$4:$A$52,"اليوم *")</f>
        <v>7</v>
      </c>
      <c r="G13" s="11" t="str">
        <f>"كل مجموعة: "&amp;'16 فريقًا'!L4&amp;" مباريات في "&amp;COUNTIF('16 فريقًا'!$L$4:$L$52,'16 فريقًا'!L4)&amp;" مهرجانات (المجموع "&amp;('16 فريقًا'!L4*COUNTIF('16 فريقًا'!$L$4:$L$52,'16 فريقًا'!L4))&amp;" لكل فريق)"</f>
        <v>كل مجموعة: 4 مباريات في 7 مهرجانات (المجموع 28 لكل فريق)</v>
      </c>
      <c r="H13" s="14">
        <f>المدخلات!$B$4</f>
        <v>0.66666666666666663</v>
      </c>
      <c r="I13" s="14">
        <f t="shared" si="1"/>
        <v>0.73958333333333326</v>
      </c>
      <c r="J13" s="12">
        <f>COUNTA('16 فريقًا'!B4:B10)*المدخلات!$B$5/1440</f>
        <v>7.2916666666666671E-2</v>
      </c>
      <c r="K13" s="8">
        <f>COUNTIF('16 فريقًا'!$C$3:$J$3,"ملعب *")</f>
        <v>8</v>
      </c>
      <c r="L13" s="8">
        <f>ROUNDUP(K13/المدخلات!$B$7,0)</f>
        <v>2</v>
      </c>
      <c r="M13" s="41">
        <v>1</v>
      </c>
    </row>
    <row r="14" spans="1:13">
      <c r="A14" s="8">
        <v>17</v>
      </c>
      <c r="B14" s="8">
        <v>2</v>
      </c>
      <c r="C14" s="8" t="s">
        <v>200</v>
      </c>
      <c r="D14" s="8" t="str">
        <f>"أ: "&amp;INT(COUNTIF('17 فريقًا'!$C$4:$F$66,"* ضد *")*2/8/7)&amp;" أدوار"&amp;IF(MOD(COUNTIF('17 فريقًا'!$C$4:$F$66,"* ضد *")*2/8,7)=0,""," + "&amp;MOD(COUNTIF('17 فريقًا'!$C$4:$F$66,"* ضد *")*2/8,7)&amp;" مباريات")&amp;" | ب: "&amp;INT(COUNTIF('17 فريقًا'!$G$4:$J$66,"* ضد *")*2/9/8)&amp;" أدوار"&amp;IF(MOD(COUNTIF('17 فريقًا'!$G$4:$J$66,"* ضد *")*2/9,8)=0,""," + "&amp;MOD(COUNTIF('17 فريقًا'!$G$4:$J$66,"* ضد *")*2/9,8)&amp;" مباريات")</f>
        <v>أ: 4 أدوار | ب: 3 أدوار + 4 مباريات</v>
      </c>
      <c r="E14" s="8" t="str">
        <f>COUNTIF('17 فريقًا'!$C$4:$F$66,"* ضد *")*2/8&amp;_xlfn.UNICHAR(8206)&amp;" + "&amp;_xlfn.UNICHAR(8206)&amp;COUNTIF('17 فريقًا'!$G$4:$J$66,"* ضد *")*2/9</f>
        <v>28‎ + ‎28</v>
      </c>
      <c r="F14" s="8">
        <f>COUNTIF('17 فريقًا'!$A$4:$A$66,"اليوم *")</f>
        <v>7</v>
      </c>
      <c r="G14" s="11" t="str">
        <f>"أ: "&amp;'17 فريقًا'!L4&amp;" مباريات في "&amp;COUNTIF('17 فريقًا'!$L$4:$L$66,'17 فريقًا'!L4)&amp;" مهرجانات"&amp;IF('17 فريقًا'!L58='17 فريقًا'!L4,"","، ثم "&amp;'17 فريقًا'!L58&amp;" مباريات في المهرجان الأخير")&amp;" (المجموع "&amp;SUM('17 فريقًا'!$L$4:$L$66)&amp;")"&amp;" | "&amp;"ب: "&amp;'17 فريقًا'!M4&amp;" مباريات في "&amp;COUNTIF('17 فريقًا'!$M$4:$M$66,'17 فريقًا'!M4)&amp;" مهرجانات"&amp;IF('17 فريقًا'!M58='17 فريقًا'!M4,"","، ثم "&amp;'17 فريقًا'!M58&amp;" مباريات في المهرجان الأخير")&amp;" (المجموع "&amp;SUM('17 فريقًا'!$M$4:$M$66)&amp;")"</f>
        <v>أ: 4 مباريات في 7 مهرجانات (المجموع 28) | ب: 4 مباريات في 7 مهرجانات (المجموع 28)</v>
      </c>
      <c r="H14" s="14">
        <f>المدخلات!$B$4</f>
        <v>0.66666666666666663</v>
      </c>
      <c r="I14" s="14">
        <f t="shared" si="0"/>
        <v>0.76041666666666663</v>
      </c>
      <c r="J14" s="12">
        <f>COUNTA('17 فريقًا'!B4:B12)*المدخلات!$B$5/1440</f>
        <v>9.375E-2</v>
      </c>
      <c r="K14" s="8">
        <f>COUNTIF('17 فريقًا'!$C$3:$J$3,"ملعب *")</f>
        <v>8</v>
      </c>
      <c r="L14" s="8">
        <f>ROUNDUP(K14/المدخلات!$B$7,0)</f>
        <v>2</v>
      </c>
      <c r="M14" s="41">
        <v>1</v>
      </c>
    </row>
    <row r="15" spans="1:13">
      <c r="A15" s="8">
        <v>22</v>
      </c>
      <c r="B15" s="8">
        <v>2</v>
      </c>
      <c r="C15" s="8" t="s">
        <v>300</v>
      </c>
      <c r="D15" s="8" t="str">
        <f>COUNTIF('22 فريقًا'!$C$4:$F$48,"* ضد *")*2/11/10&amp;_xlfn.UNICHAR(8206)&amp;" + "&amp;_xlfn.UNICHAR(8206)&amp;COUNTIF('22 فريقًا'!$G$4:$J$48,"* ضد *")*2/11/10</f>
        <v>2‎ + ‎2</v>
      </c>
      <c r="E15" s="8" t="str">
        <f>COUNTIF('22 فريقًا'!$C$4:$F$48,"* ضد *")*2/11&amp;_xlfn.UNICHAR(8206)&amp;" + "&amp;_xlfn.UNICHAR(8206)&amp;COUNTIF('22 فريقًا'!$G$4:$J$48,"* ضد *")*2/11</f>
        <v>20‎ + ‎20</v>
      </c>
      <c r="F15" s="8">
        <f>COUNTIF('22 فريقًا'!$A$4:$A$48,"اليوم *")</f>
        <v>5</v>
      </c>
      <c r="G15" s="11" t="str">
        <f>"أ: "&amp;'22 فريقًا'!L4&amp;" مباريات في "&amp;COUNTIF('22 فريقًا'!$L$4:$L$48,'22 فريقًا'!L4)&amp;" مهرجانات"&amp;IF('22 فريقًا'!L40='22 فريقًا'!L4,"","، ثم "&amp;'22 فريقًا'!L40&amp;" مباريات في المهرجان الأخير")&amp;" (المجموع "&amp;SUM('22 فريقًا'!$L$4:$L$48)&amp;")"&amp;" | "&amp;"ب: "&amp;'22 فريقًا'!M4&amp;" مباريات في "&amp;COUNTIF('22 فريقًا'!$M$4:$M$48,'22 فريقًا'!M4)&amp;" مهرجانات"&amp;IF('22 فريقًا'!M40='22 فريقًا'!M4,"","، ثم "&amp;'22 فريقًا'!M40&amp;" مباريات في المهرجان الأخير")&amp;" (المجموع "&amp;SUM('22 فريقًا'!$M$4:$M$48)&amp;")"</f>
        <v>أ: 4 مباريات في 5 مهرجانات (المجموع 20) | ب: 4 مباريات في 5 مهرجانات (المجموع 20)</v>
      </c>
      <c r="H15" s="14">
        <f>المدخلات!$B$4</f>
        <v>0.66666666666666663</v>
      </c>
      <c r="I15" s="14">
        <f>H15+J15</f>
        <v>0.76041666666666663</v>
      </c>
      <c r="J15" s="12">
        <f>COUNTA('22 فريقًا'!B4:B12)*المدخلات!$B$5/1440</f>
        <v>9.375E-2</v>
      </c>
      <c r="K15" s="8">
        <f>COUNTIF('22 فريقًا'!$C$3:$J$3,"ملعب *")</f>
        <v>8</v>
      </c>
      <c r="L15" s="8">
        <f>ROUNDUP(K15/المدخلات!$B$7,0)</f>
        <v>2</v>
      </c>
      <c r="M15" s="41">
        <v>1</v>
      </c>
    </row>
    <row r="16" spans="1:13" ht="14.5" customHeight="1">
      <c r="A16" s="98" t="s">
        <v>242</v>
      </c>
      <c r="B16" s="99"/>
      <c r="C16" s="99"/>
      <c r="D16" s="99"/>
      <c r="E16" s="99"/>
      <c r="F16" s="99"/>
      <c r="G16" s="99"/>
      <c r="H16" s="99"/>
      <c r="I16" s="99"/>
      <c r="J16" s="99"/>
      <c r="K16" s="99"/>
      <c r="L16" s="100"/>
      <c r="M16" s="42">
        <f>SUM(M4:M15)</f>
        <v>21</v>
      </c>
    </row>
    <row r="17" spans="1:12">
      <c r="A17" s="22"/>
      <c r="B17" s="22"/>
      <c r="C17" s="22"/>
      <c r="D17" s="22"/>
      <c r="E17" s="22"/>
      <c r="F17" s="22"/>
      <c r="G17" s="22"/>
      <c r="H17" s="22"/>
      <c r="I17" s="22"/>
      <c r="J17" s="22"/>
      <c r="K17" s="22"/>
      <c r="L17" s="22"/>
    </row>
    <row r="18" spans="1:12" ht="22" customHeight="1">
      <c r="A18" s="90" t="s">
        <v>144</v>
      </c>
      <c r="B18" s="91"/>
      <c r="C18" s="91"/>
      <c r="D18" s="92"/>
      <c r="E18" s="92"/>
      <c r="F18" s="93"/>
      <c r="G18" s="94"/>
      <c r="H18" s="95"/>
      <c r="I18" s="22"/>
      <c r="J18" s="22"/>
      <c r="K18" s="22"/>
      <c r="L18" s="22"/>
    </row>
    <row r="19" spans="1:12" ht="32" customHeight="1">
      <c r="A19" s="23" t="s">
        <v>13</v>
      </c>
      <c r="B19" s="23" t="s">
        <v>145</v>
      </c>
      <c r="C19" s="23" t="s">
        <v>146</v>
      </c>
      <c r="D19" s="23" t="s">
        <v>151</v>
      </c>
      <c r="E19" s="23" t="s">
        <v>147</v>
      </c>
      <c r="F19" s="23" t="s">
        <v>148</v>
      </c>
      <c r="G19" s="33"/>
      <c r="H19" s="33"/>
      <c r="I19" s="33"/>
      <c r="J19" s="22"/>
      <c r="K19" s="22"/>
      <c r="L19" s="22"/>
    </row>
    <row r="20" spans="1:12" ht="14.5" customHeight="1">
      <c r="A20" s="1">
        <v>5</v>
      </c>
      <c r="B20" s="1">
        <f>'5 فرق'!L9</f>
        <v>56</v>
      </c>
      <c r="C20" s="1">
        <f>'5 فرق'!M9</f>
        <v>49</v>
      </c>
      <c r="D20" s="1">
        <f>'5 فرق'!N9</f>
        <v>0</v>
      </c>
      <c r="E20" s="1">
        <f>B20+C20+D20</f>
        <v>105</v>
      </c>
      <c r="F20" s="13">
        <f>B20/E20</f>
        <v>0.53333333333333333</v>
      </c>
      <c r="G20" s="33"/>
      <c r="H20" s="33"/>
      <c r="I20" s="33"/>
      <c r="J20" s="22"/>
      <c r="K20" s="22"/>
      <c r="L20" s="22"/>
    </row>
    <row r="21" spans="1:12">
      <c r="A21" s="1">
        <v>6</v>
      </c>
      <c r="B21" s="1">
        <v>114</v>
      </c>
      <c r="C21" s="1">
        <v>0</v>
      </c>
      <c r="D21" s="1">
        <v>0</v>
      </c>
      <c r="E21" s="1">
        <f t="shared" ref="E21:E23" si="2">B21+C21+D21</f>
        <v>114</v>
      </c>
      <c r="F21" s="13">
        <f t="shared" ref="F21:F23" si="3">B21/E21</f>
        <v>1</v>
      </c>
      <c r="G21" s="33"/>
      <c r="H21" s="33"/>
      <c r="I21" s="33"/>
      <c r="J21" s="22"/>
      <c r="K21" s="22"/>
      <c r="L21" s="22"/>
    </row>
    <row r="22" spans="1:12">
      <c r="A22" s="1">
        <v>7</v>
      </c>
      <c r="B22" s="1">
        <f>'7 فرق'!M11</f>
        <v>90</v>
      </c>
      <c r="C22" s="1">
        <f>'7 فرق'!N11</f>
        <v>36</v>
      </c>
      <c r="D22" s="1">
        <f>'7 فرق'!O11</f>
        <v>0</v>
      </c>
      <c r="E22" s="1">
        <f>B22+C22+D22</f>
        <v>126</v>
      </c>
      <c r="F22" s="13">
        <f>B22/E22</f>
        <v>0.7142857142857143</v>
      </c>
      <c r="G22" s="33"/>
      <c r="H22" s="33"/>
      <c r="I22" s="33"/>
      <c r="J22" s="22"/>
      <c r="K22" s="22"/>
      <c r="L22" s="22"/>
    </row>
    <row r="23" spans="1:12">
      <c r="A23" s="1">
        <v>8</v>
      </c>
      <c r="B23" s="1">
        <v>168</v>
      </c>
      <c r="C23" s="1">
        <v>0</v>
      </c>
      <c r="D23" s="1">
        <v>0</v>
      </c>
      <c r="E23" s="1">
        <f t="shared" si="2"/>
        <v>168</v>
      </c>
      <c r="F23" s="13">
        <f t="shared" si="3"/>
        <v>1</v>
      </c>
      <c r="G23" s="33"/>
      <c r="H23" s="33"/>
      <c r="I23" s="33"/>
      <c r="J23" s="22"/>
      <c r="K23" s="22"/>
      <c r="L23" s="22"/>
    </row>
    <row r="24" spans="1:12">
      <c r="A24" s="1">
        <v>9</v>
      </c>
      <c r="B24" s="1">
        <f>'9 فرق'!N13</f>
        <v>126</v>
      </c>
      <c r="C24" s="1">
        <f>'9 فرق'!O13</f>
        <v>36</v>
      </c>
      <c r="D24" s="1">
        <f>'9 فرق'!P13</f>
        <v>0</v>
      </c>
      <c r="E24" s="1">
        <f t="shared" ref="E24:E31" si="4">B24+C24+D24</f>
        <v>162</v>
      </c>
      <c r="F24" s="13">
        <f t="shared" ref="F24:F31" si="5">B24/E24</f>
        <v>0.77777777777777779</v>
      </c>
      <c r="G24" s="33"/>
      <c r="H24" s="33"/>
      <c r="I24" s="33"/>
      <c r="J24" s="22"/>
      <c r="K24" s="22"/>
      <c r="L24" s="22"/>
    </row>
    <row r="25" spans="1:12" ht="14.5" customHeight="1">
      <c r="A25" s="1">
        <v>11</v>
      </c>
      <c r="B25" s="1">
        <f>'11 فريقًا'!O15</f>
        <v>135</v>
      </c>
      <c r="C25" s="1">
        <f>'11 فريقًا'!P15</f>
        <v>30</v>
      </c>
      <c r="D25" s="1">
        <f>'11 فريقًا'!Q15</f>
        <v>0</v>
      </c>
      <c r="E25" s="1">
        <f t="shared" si="4"/>
        <v>165</v>
      </c>
      <c r="F25" s="13">
        <f t="shared" si="5"/>
        <v>0.81818181818181823</v>
      </c>
      <c r="G25" s="33"/>
      <c r="H25" s="33"/>
      <c r="I25" s="33"/>
      <c r="J25" s="22"/>
      <c r="K25" s="22"/>
      <c r="L25" s="22"/>
    </row>
    <row r="26" spans="1:12">
      <c r="A26" s="1">
        <v>12</v>
      </c>
      <c r="B26" s="1">
        <f>'12 فريقًا'!R16</f>
        <v>228</v>
      </c>
      <c r="C26" s="1">
        <f>'12 فريقًا'!S16</f>
        <v>0</v>
      </c>
      <c r="D26" s="1">
        <f>'12 فريقًا'!T16</f>
        <v>0</v>
      </c>
      <c r="E26" s="1">
        <f t="shared" si="4"/>
        <v>228</v>
      </c>
      <c r="F26" s="13">
        <f t="shared" si="5"/>
        <v>1</v>
      </c>
      <c r="G26" s="33"/>
      <c r="H26" s="33"/>
      <c r="I26" s="33"/>
      <c r="J26" s="22"/>
      <c r="K26" s="22"/>
      <c r="L26" s="22"/>
    </row>
    <row r="27" spans="1:12">
      <c r="A27" s="1">
        <v>13</v>
      </c>
      <c r="B27" s="1">
        <f>'13 فريقًا'!Q17</f>
        <v>204</v>
      </c>
      <c r="C27" s="1">
        <f>'13 فريقًا'!R17</f>
        <v>36</v>
      </c>
      <c r="D27" s="1">
        <f>'13 فريقًا'!S17</f>
        <v>0</v>
      </c>
      <c r="E27" s="1">
        <f t="shared" si="4"/>
        <v>240</v>
      </c>
      <c r="F27" s="13">
        <f t="shared" si="5"/>
        <v>0.85</v>
      </c>
      <c r="G27" s="33"/>
      <c r="H27" s="33"/>
      <c r="I27" s="33"/>
      <c r="J27" s="22"/>
      <c r="K27" s="22"/>
      <c r="L27" s="22"/>
    </row>
    <row r="28" spans="1:12" ht="14.5" customHeight="1">
      <c r="A28" s="1">
        <v>15</v>
      </c>
      <c r="B28" s="1">
        <f>'15 فريقًا'!R19</f>
        <v>273</v>
      </c>
      <c r="C28" s="1">
        <f>'15 فريقًا'!S19</f>
        <v>42</v>
      </c>
      <c r="D28" s="1">
        <f>'15 فريقًا'!T19</f>
        <v>0</v>
      </c>
      <c r="E28" s="1">
        <f t="shared" si="4"/>
        <v>315</v>
      </c>
      <c r="F28" s="13">
        <f t="shared" si="5"/>
        <v>0.8666666666666667</v>
      </c>
      <c r="G28" s="33"/>
      <c r="H28" s="33"/>
      <c r="I28" s="33"/>
      <c r="J28" s="22"/>
      <c r="K28" s="22"/>
      <c r="L28" s="22"/>
    </row>
    <row r="29" spans="1:12" ht="14.5" customHeight="1">
      <c r="A29" s="1">
        <v>16</v>
      </c>
      <c r="B29" s="1">
        <f>(COUNTIF('16 فريقًا'!$C$4:$J$52,"* ضد *")*2/A29-F13)*A29</f>
        <v>336</v>
      </c>
      <c r="C29" s="1">
        <v>0</v>
      </c>
      <c r="D29" s="1">
        <v>0</v>
      </c>
      <c r="E29" s="1">
        <f t="shared" si="4"/>
        <v>336</v>
      </c>
      <c r="F29" s="13">
        <f t="shared" si="5"/>
        <v>1</v>
      </c>
      <c r="G29" s="33"/>
      <c r="H29" s="33"/>
      <c r="I29" s="33"/>
      <c r="J29" s="22"/>
      <c r="K29" s="22"/>
      <c r="L29" s="22"/>
    </row>
    <row r="30" spans="1:12">
      <c r="A30" s="1">
        <v>17</v>
      </c>
      <c r="B30" s="1">
        <f>'17 فريقًا'!U21</f>
        <v>307</v>
      </c>
      <c r="C30" s="1">
        <f>'17 فريقًا'!V21</f>
        <v>50</v>
      </c>
      <c r="D30" s="1">
        <f>'17 فريقًا'!W21</f>
        <v>0</v>
      </c>
      <c r="E30" s="1">
        <f t="shared" si="4"/>
        <v>357</v>
      </c>
      <c r="F30" s="13">
        <f t="shared" si="5"/>
        <v>0.85994397759103647</v>
      </c>
      <c r="G30" s="33"/>
      <c r="H30" s="33"/>
      <c r="I30" s="33"/>
      <c r="J30" s="22"/>
      <c r="K30" s="22"/>
      <c r="L30" s="22"/>
    </row>
    <row r="31" spans="1:12">
      <c r="A31" s="1">
        <v>22</v>
      </c>
      <c r="B31" s="1">
        <f>'22 فريقًا'!T26</f>
        <v>270</v>
      </c>
      <c r="C31" s="1">
        <f>'22 فريقًا'!U26</f>
        <v>60</v>
      </c>
      <c r="D31" s="1">
        <f>'22 فريقًا'!V26</f>
        <v>0</v>
      </c>
      <c r="E31" s="1">
        <f t="shared" si="4"/>
        <v>330</v>
      </c>
      <c r="F31" s="13">
        <f t="shared" si="5"/>
        <v>0.81818181818181823</v>
      </c>
      <c r="G31" s="33"/>
      <c r="H31" s="33"/>
      <c r="I31" s="33"/>
      <c r="J31" s="22"/>
      <c r="K31" s="22"/>
      <c r="L31" s="22"/>
    </row>
    <row r="34" spans="1:6" ht="22" customHeight="1">
      <c r="A34" s="101" t="s">
        <v>385</v>
      </c>
      <c r="B34" s="102"/>
      <c r="C34" s="102"/>
      <c r="D34" s="102"/>
      <c r="E34" s="102"/>
      <c r="F34" s="103"/>
    </row>
    <row r="35" spans="1:6" ht="18" customHeight="1">
      <c r="A35" s="87" t="s">
        <v>386</v>
      </c>
      <c r="B35" s="88"/>
      <c r="C35" s="88"/>
      <c r="D35" s="88"/>
      <c r="E35" s="89"/>
      <c r="F35" s="54">
        <f>MAX(L4:L15)</f>
        <v>2</v>
      </c>
    </row>
    <row r="36" spans="1:6" ht="18" customHeight="1">
      <c r="A36" s="87" t="s">
        <v>387</v>
      </c>
      <c r="B36" s="88"/>
      <c r="C36" s="88"/>
      <c r="D36" s="88"/>
      <c r="E36" s="89"/>
      <c r="F36" s="54">
        <f>SUMPRODUCT(K4:K15,M4:M15)</f>
        <v>91</v>
      </c>
    </row>
    <row r="37" spans="1:6" ht="18" customHeight="1">
      <c r="A37" s="87" t="s">
        <v>388</v>
      </c>
      <c r="B37" s="88"/>
      <c r="C37" s="88"/>
      <c r="D37" s="88"/>
      <c r="E37" s="89"/>
      <c r="F37" s="54">
        <f>SUMPRODUCT(L4:L15,M4:M15)</f>
        <v>29</v>
      </c>
    </row>
    <row r="38" spans="1:6" ht="18" customHeight="1">
      <c r="A38" s="87" t="s">
        <v>389</v>
      </c>
      <c r="B38" s="88"/>
      <c r="C38" s="88"/>
      <c r="D38" s="88"/>
      <c r="E38" s="89"/>
      <c r="F38" s="54">
        <f>ROUNDUP(F36/المدخلات!$B$7,0)</f>
        <v>23</v>
      </c>
    </row>
  </sheetData>
  <mergeCells count="8">
    <mergeCell ref="A36:E36"/>
    <mergeCell ref="A37:E37"/>
    <mergeCell ref="A38:E38"/>
    <mergeCell ref="A18:H18"/>
    <mergeCell ref="A1:L1"/>
    <mergeCell ref="A16:L16"/>
    <mergeCell ref="A34:F34"/>
    <mergeCell ref="A35:E3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FCB1-4F88-4957-AC50-1038AFE7CFCF}">
  <dimension ref="A1:J12"/>
  <sheetViews>
    <sheetView showGridLines="0" rightToLeft="1" workbookViewId="0">
      <pane ySplit="3" topLeftCell="A4" activePane="bottomLeft" state="frozen"/>
      <selection pane="bottomLeft" sqref="A1:J1"/>
    </sheetView>
  </sheetViews>
  <sheetFormatPr defaultRowHeight="14.5"/>
  <cols>
    <col min="1" max="7" width="17.26953125" customWidth="1"/>
    <col min="8" max="8" width="27.26953125" customWidth="1"/>
    <col min="9" max="9" width="17.26953125" customWidth="1"/>
    <col min="10" max="10" width="78.1796875" customWidth="1"/>
  </cols>
  <sheetData>
    <row r="1" spans="1:10" ht="28" customHeight="1">
      <c r="A1" s="104" t="s">
        <v>399</v>
      </c>
      <c r="B1" s="104"/>
      <c r="C1" s="104"/>
      <c r="D1" s="104"/>
      <c r="E1" s="104"/>
      <c r="F1" s="104"/>
      <c r="G1" s="104"/>
      <c r="H1" s="104"/>
      <c r="I1" s="104"/>
      <c r="J1" s="104"/>
    </row>
    <row r="2" spans="1:10">
      <c r="A2" s="55"/>
      <c r="B2" s="55"/>
      <c r="C2" s="55"/>
      <c r="D2" s="55"/>
      <c r="E2" s="55"/>
      <c r="F2" s="55"/>
      <c r="G2" s="55"/>
      <c r="H2" s="55"/>
      <c r="I2" s="55"/>
      <c r="J2" s="55"/>
    </row>
    <row r="3" spans="1:10" ht="62" customHeight="1">
      <c r="A3" s="56" t="s">
        <v>400</v>
      </c>
      <c r="B3" s="56" t="s">
        <v>81</v>
      </c>
      <c r="C3" s="56" t="s">
        <v>401</v>
      </c>
      <c r="D3" s="56" t="s">
        <v>402</v>
      </c>
      <c r="E3" s="56" t="s">
        <v>403</v>
      </c>
      <c r="F3" s="56" t="s">
        <v>404</v>
      </c>
      <c r="G3" s="56" t="s">
        <v>405</v>
      </c>
      <c r="H3" s="56" t="s">
        <v>406</v>
      </c>
      <c r="I3" s="56" t="s">
        <v>407</v>
      </c>
      <c r="J3" s="56" t="s">
        <v>408</v>
      </c>
    </row>
    <row r="4" spans="1:10" ht="62" customHeight="1">
      <c r="A4" s="58">
        <f>'ملخص البطولات'!A4</f>
        <v>5</v>
      </c>
      <c r="B4" s="59">
        <f>المدخلات!$B$9</f>
        <v>4</v>
      </c>
      <c r="C4" s="57">
        <f t="shared" ref="C4:C9" si="0">A4*B4/2</f>
        <v>10</v>
      </c>
      <c r="D4" s="57">
        <f>MATCH("اليوم 2",'5 فرق'!$A:$A,0)-MATCH("اليوم 1",'5 فرق'!$A:$A,0)</f>
        <v>10</v>
      </c>
      <c r="E4" s="57">
        <f t="shared" ref="E4:E9" si="1">IF(G4="زوجية",(D4+1)/2,D4)</f>
        <v>10</v>
      </c>
      <c r="F4" s="57">
        <f t="shared" ref="F4:F9" si="2">ROUNDUP(C4/E4,0)</f>
        <v>1</v>
      </c>
      <c r="G4" s="57" t="str">
        <f t="shared" ref="G4:G9" si="3">IF(MOD(A4,2)=0,"زوجية","فردية")</f>
        <v>فردية</v>
      </c>
      <c r="H4" s="57">
        <f t="shared" ref="H4:H9" si="4">IF(G4="زوجية",A4/2,INT(A4/2))</f>
        <v>2</v>
      </c>
      <c r="I4" s="58">
        <f>'ملخص البطولات'!K4</f>
        <v>1</v>
      </c>
      <c r="J4" s="57" t="str">
        <f t="shared" ref="J4:J9" si="5">IF(G4="زوجية","كل الفرق الـ "&amp;A4&amp;" تلعب في كل فترة لعب ("&amp;H4&amp;" مباريات متزامنة، كل مباراة على ملعب) ثم تأتي فترة استراحة قبل التالية، فالمطلوب "&amp;I4&amp;" ملاعب.","لا يلعب فريق مباراتين متتاليتين، فمجموع المباريات في أي فترتين متتاليتين لا يزيد على "&amp;H4&amp;"؛ ولتوزيع مباريات اليوم ("&amp;C4&amp;") على "&amp;E4&amp;" فترات لعب يكفي حسابيًا عدد ملاعب = "&amp;F4&amp;IF(I4&gt;F4,"، لكن الجدول يتناوب في بعض الأيام بين فترات فيها مباريات أكثر وأقل، فتبلغ الذروة "&amp;I4&amp;" ملاعب.","، وهذا ما تستخدمه المجموعة."))</f>
        <v>لا يلعب فريق مباراتين متتاليتين، فمجموع المباريات في أي فترتين متتاليتين لا يزيد على 2؛ ولتوزيع مباريات اليوم (10) على 10 فترات لعب يكفي حسابيًا عدد ملاعب = 1، وهذا ما تستخدمه المجموعة.</v>
      </c>
    </row>
    <row r="5" spans="1:10" ht="62" customHeight="1">
      <c r="A5" s="58">
        <f>'ملخص البطولات'!A5</f>
        <v>6</v>
      </c>
      <c r="B5" s="59">
        <f>المدخلات!$B$9</f>
        <v>4</v>
      </c>
      <c r="C5" s="57">
        <f t="shared" si="0"/>
        <v>12</v>
      </c>
      <c r="D5" s="57">
        <f>MATCH("اليوم 2",'6 فرق'!$A:$A,0)-MATCH("اليوم 1",'6 فرق'!$A:$A,0)</f>
        <v>7</v>
      </c>
      <c r="E5" s="57">
        <f t="shared" si="1"/>
        <v>4</v>
      </c>
      <c r="F5" s="57">
        <f t="shared" si="2"/>
        <v>3</v>
      </c>
      <c r="G5" s="57" t="str">
        <f t="shared" si="3"/>
        <v>زوجية</v>
      </c>
      <c r="H5" s="57">
        <f t="shared" si="4"/>
        <v>3</v>
      </c>
      <c r="I5" s="58">
        <f>'ملخص البطولات'!K5</f>
        <v>3</v>
      </c>
      <c r="J5" s="57" t="str">
        <f t="shared" si="5"/>
        <v>كل الفرق الـ 6 تلعب في كل فترة لعب (3 مباريات متزامنة، كل مباراة على ملعب) ثم تأتي فترة استراحة قبل التالية، فالمطلوب 3 ملاعب.</v>
      </c>
    </row>
    <row r="6" spans="1:10" ht="62" customHeight="1">
      <c r="A6" s="58">
        <f>'ملخص البطولات'!A6</f>
        <v>7</v>
      </c>
      <c r="B6" s="59">
        <f>المدخلات!$B$9</f>
        <v>4</v>
      </c>
      <c r="C6" s="57">
        <f t="shared" si="0"/>
        <v>14</v>
      </c>
      <c r="D6" s="57">
        <f>MATCH("اليوم 2",'7 فرق'!$A:$A,0)-MATCH("اليوم 1",'7 فرق'!$A:$A,0)</f>
        <v>9</v>
      </c>
      <c r="E6" s="57">
        <f t="shared" si="1"/>
        <v>9</v>
      </c>
      <c r="F6" s="57">
        <f t="shared" si="2"/>
        <v>2</v>
      </c>
      <c r="G6" s="57" t="str">
        <f t="shared" si="3"/>
        <v>فردية</v>
      </c>
      <c r="H6" s="57">
        <f t="shared" si="4"/>
        <v>3</v>
      </c>
      <c r="I6" s="58">
        <f>'ملخص البطولات'!K6</f>
        <v>2</v>
      </c>
      <c r="J6" s="57" t="str">
        <f t="shared" si="5"/>
        <v>لا يلعب فريق مباراتين متتاليتين، فمجموع المباريات في أي فترتين متتاليتين لا يزيد على 3؛ ولتوزيع مباريات اليوم (14) على 9 فترات لعب يكفي حسابيًا عدد ملاعب = 2، وهذا ما تستخدمه المجموعة.</v>
      </c>
    </row>
    <row r="7" spans="1:10" ht="62" customHeight="1">
      <c r="A7" s="58">
        <f>'ملخص البطولات'!A7</f>
        <v>8</v>
      </c>
      <c r="B7" s="59">
        <f>المدخلات!$B$9</f>
        <v>4</v>
      </c>
      <c r="C7" s="57">
        <f t="shared" si="0"/>
        <v>16</v>
      </c>
      <c r="D7" s="57">
        <f>MATCH("اليوم 2",'8 فرق'!$A:$A,0)-MATCH("اليوم 1",'8 فرق'!$A:$A,0)</f>
        <v>7</v>
      </c>
      <c r="E7" s="57">
        <f t="shared" si="1"/>
        <v>4</v>
      </c>
      <c r="F7" s="57">
        <f t="shared" si="2"/>
        <v>4</v>
      </c>
      <c r="G7" s="57" t="str">
        <f t="shared" si="3"/>
        <v>زوجية</v>
      </c>
      <c r="H7" s="57">
        <f t="shared" si="4"/>
        <v>4</v>
      </c>
      <c r="I7" s="58">
        <f>'ملخص البطولات'!K7</f>
        <v>4</v>
      </c>
      <c r="J7" s="57" t="str">
        <f t="shared" si="5"/>
        <v>كل الفرق الـ 8 تلعب في كل فترة لعب (4 مباريات متزامنة، كل مباراة على ملعب) ثم تأتي فترة استراحة قبل التالية، فالمطلوب 4 ملاعب.</v>
      </c>
    </row>
    <row r="8" spans="1:10" ht="62" customHeight="1">
      <c r="A8" s="58">
        <f>'ملخص البطولات'!A8</f>
        <v>9</v>
      </c>
      <c r="B8" s="59">
        <f>المدخلات!$B$9</f>
        <v>4</v>
      </c>
      <c r="C8" s="57">
        <f t="shared" si="0"/>
        <v>18</v>
      </c>
      <c r="D8" s="57">
        <f>MATCH("اليوم 2",'9 فرق'!$A:$A,0)-MATCH("اليوم 1",'9 فرق'!$A:$A,0)</f>
        <v>9</v>
      </c>
      <c r="E8" s="57">
        <f t="shared" si="1"/>
        <v>9</v>
      </c>
      <c r="F8" s="57">
        <f t="shared" si="2"/>
        <v>2</v>
      </c>
      <c r="G8" s="57" t="str">
        <f t="shared" si="3"/>
        <v>فردية</v>
      </c>
      <c r="H8" s="57">
        <f t="shared" si="4"/>
        <v>4</v>
      </c>
      <c r="I8" s="58">
        <f>'ملخص البطولات'!K8</f>
        <v>3</v>
      </c>
      <c r="J8" s="57" t="str">
        <f t="shared" si="5"/>
        <v>لا يلعب فريق مباراتين متتاليتين، فمجموع المباريات في أي فترتين متتاليتين لا يزيد على 4؛ ولتوزيع مباريات اليوم (18) على 9 فترات لعب يكفي حسابيًا عدد ملاعب = 2، لكن الجدول يتناوب في بعض الأيام بين فترات فيها مباريات أكثر وأقل، فتبلغ الذروة 3 ملاعب.</v>
      </c>
    </row>
    <row r="9" spans="1:10" ht="62" customHeight="1">
      <c r="A9" s="58">
        <f>'ملخص البطولات'!A9</f>
        <v>11</v>
      </c>
      <c r="B9" s="59">
        <f>المدخلات!$B$9</f>
        <v>4</v>
      </c>
      <c r="C9" s="57">
        <f t="shared" si="0"/>
        <v>22</v>
      </c>
      <c r="D9" s="57">
        <f>MATCH("اليوم 2",'11 فريقًا'!$A:$A,0)-MATCH("اليوم 1",'11 فريقًا'!$A:$A,0)</f>
        <v>9</v>
      </c>
      <c r="E9" s="57">
        <f t="shared" si="1"/>
        <v>9</v>
      </c>
      <c r="F9" s="57">
        <f t="shared" si="2"/>
        <v>3</v>
      </c>
      <c r="G9" s="57" t="str">
        <f t="shared" si="3"/>
        <v>فردية</v>
      </c>
      <c r="H9" s="57">
        <f t="shared" si="4"/>
        <v>5</v>
      </c>
      <c r="I9" s="58">
        <f>'ملخص البطولات'!K9</f>
        <v>4</v>
      </c>
      <c r="J9" s="57" t="str">
        <f t="shared" si="5"/>
        <v>لا يلعب فريق مباراتين متتاليتين، فمجموع المباريات في أي فترتين متتاليتين لا يزيد على 5؛ ولتوزيع مباريات اليوم (22) على 9 فترات لعب يكفي حسابيًا عدد ملاعب = 3، لكن الجدول يتناوب في بعض الأيام بين فترات فيها مباريات أكثر وأقل، فتبلغ الذروة 4 ملاعب.</v>
      </c>
    </row>
    <row r="10" spans="1:10">
      <c r="A10" s="55"/>
      <c r="B10" s="55"/>
      <c r="C10" s="55"/>
      <c r="D10" s="55"/>
      <c r="E10" s="55"/>
      <c r="F10" s="55"/>
      <c r="G10" s="55"/>
      <c r="H10" s="55"/>
      <c r="I10" s="55"/>
      <c r="J10" s="55"/>
    </row>
    <row r="11" spans="1:10">
      <c r="A11" s="60" t="s">
        <v>409</v>
      </c>
      <c r="B11" s="55"/>
      <c r="C11" s="55"/>
      <c r="D11" s="55"/>
      <c r="E11" s="55"/>
      <c r="F11" s="55"/>
      <c r="G11" s="55"/>
      <c r="H11" s="55"/>
      <c r="I11" s="55"/>
      <c r="J11" s="55"/>
    </row>
    <row r="12" spans="1:10">
      <c r="A12" s="60" t="s">
        <v>410</v>
      </c>
      <c r="B12" s="55"/>
      <c r="C12" s="55"/>
      <c r="D12" s="55"/>
      <c r="E12" s="55"/>
      <c r="F12" s="55"/>
      <c r="G12" s="55"/>
      <c r="H12" s="55"/>
      <c r="I12" s="55"/>
      <c r="J12" s="55"/>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735B-48E4-4F43-8503-09F195C76B2D}">
  <dimension ref="A1:N200"/>
  <sheetViews>
    <sheetView showGridLines="0" rightToLeft="1" workbookViewId="0">
      <pane ySplit="3" topLeftCell="A67" activePane="bottomLeft" state="frozen"/>
      <selection pane="bottomLeft" activeCell="F78" sqref="C78:G82"/>
    </sheetView>
  </sheetViews>
  <sheetFormatPr defaultRowHeight="14.5"/>
  <cols>
    <col min="1" max="1" width="10.90625" customWidth="1"/>
    <col min="2" max="2" width="17.26953125" customWidth="1"/>
    <col min="3" max="3" width="14.54296875" customWidth="1"/>
    <col min="4" max="5" width="15.453125" customWidth="1"/>
    <col min="6" max="6" width="4.54296875" customWidth="1"/>
    <col min="7" max="7" width="27.26953125" customWidth="1"/>
    <col min="8" max="8" width="4.54296875" customWidth="1"/>
    <col min="9" max="14" width="13.6328125" customWidth="1"/>
    <col min="15" max="52" width="11.6328125" customWidth="1"/>
  </cols>
  <sheetData>
    <row r="1" spans="1:14" ht="26" customHeight="1">
      <c r="A1" s="111" t="s">
        <v>223</v>
      </c>
      <c r="B1" s="111"/>
      <c r="C1" s="111"/>
      <c r="D1" s="111"/>
      <c r="E1" s="111"/>
      <c r="F1" s="34"/>
      <c r="G1" s="34"/>
      <c r="H1" s="34"/>
      <c r="I1" s="34"/>
      <c r="J1" s="34"/>
      <c r="K1" s="34"/>
      <c r="L1" s="34"/>
      <c r="M1" s="34"/>
      <c r="N1" s="34"/>
    </row>
    <row r="2" spans="1:14" ht="8" customHeight="1">
      <c r="A2" s="34"/>
      <c r="B2" s="34"/>
      <c r="C2" s="34"/>
      <c r="D2" s="34"/>
      <c r="E2" s="34"/>
      <c r="F2" s="34"/>
      <c r="G2" s="34"/>
      <c r="H2" s="34"/>
      <c r="I2" s="34"/>
      <c r="J2" s="34"/>
      <c r="K2" s="34"/>
      <c r="L2" s="34"/>
      <c r="M2" s="34"/>
      <c r="N2" s="34"/>
    </row>
    <row r="3" spans="1:14" ht="32" customHeight="1">
      <c r="A3" s="35" t="s">
        <v>0</v>
      </c>
      <c r="B3" s="35" t="s">
        <v>1</v>
      </c>
      <c r="C3" s="35" t="s">
        <v>2</v>
      </c>
      <c r="D3" s="35" t="s">
        <v>138</v>
      </c>
      <c r="E3" s="35" t="s">
        <v>81</v>
      </c>
      <c r="F3" s="34"/>
      <c r="G3" s="43" t="s">
        <v>244</v>
      </c>
      <c r="H3" s="34"/>
      <c r="I3" s="35" t="s">
        <v>245</v>
      </c>
      <c r="J3" s="35" t="s">
        <v>246</v>
      </c>
      <c r="K3" s="35" t="s">
        <v>247</v>
      </c>
      <c r="L3" s="35" t="s">
        <v>145</v>
      </c>
      <c r="M3" s="35" t="s">
        <v>146</v>
      </c>
      <c r="N3" s="35" t="s">
        <v>248</v>
      </c>
    </row>
    <row r="4" spans="1:14"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66</v>
      </c>
      <c r="D4" s="107">
        <f>COUNTIF(C4:C13,"* ضد *")</f>
        <v>10</v>
      </c>
      <c r="E4" s="108">
        <f>COUNTIF(C4:C13,"* ضد *")*2/5</f>
        <v>4</v>
      </c>
      <c r="F4" s="34"/>
      <c r="G4" s="44" t="str">
        <f t="shared" ref="G4:G35" si="0">_xlfn.TEXTJOIN(" ",TRUE,C4:C4)</f>
        <v>3 ضد 5</v>
      </c>
      <c r="H4" s="34"/>
      <c r="I4" s="39">
        <v>1</v>
      </c>
      <c r="J4" s="39" cm="1">
        <f t="array" ref="J4">SUMPRODUCT(--ISNUMBER(SEARCH(" "&amp;$I4&amp;" "," "&amp;G$4:G$73&amp;" ")))</f>
        <v>28</v>
      </c>
      <c r="K4" s="39" cm="1">
        <f t="array" ref="K4">SUMPRODUCT(--ISNUMBER(SEARCH(" "&amp;$I4&amp;" "," "&amp;G$4:G$72&amp;" ")),--ISNUMBER(SEARCH(" "&amp;$I4&amp;" "," "&amp;G$5:G$73&amp;" ")),--(MOD(ROW(G$4:G$72)-4,$J$10)&lt;=$J$10-2))</f>
        <v>0</v>
      </c>
      <c r="L4" s="39" cm="1">
        <f t="array" ref="L4">SUMPRODUCT(--ISNUMBER(SEARCH(" "&amp;$I4&amp;" "," "&amp;G$4:G$71&amp;" ")),--ISNUMBER(SEARCH(" "&amp;$I4&amp;" "," "&amp;G$6:G$73&amp;" ")),--(MOD(ROW(G$4:G$71)-4,$J$10)&lt;=$J$10-3))</f>
        <v>11</v>
      </c>
      <c r="M4" s="39" cm="1">
        <f t="array" ref="M4">SUMPRODUCT(--ISNUMBER(SEARCH(" "&amp;$I4&amp;" "," "&amp;G$4:G$70&amp;" ")),--ISNUMBER(SEARCH(" "&amp;$I4&amp;" "," "&amp;G$7:G$73&amp;" ")),--(MOD(ROW(G$4:G$70)-4,$J$10)&lt;=$J$10-4))</f>
        <v>10</v>
      </c>
      <c r="N4" s="39">
        <f>J4*3/4-K4-L4-M4</f>
        <v>0</v>
      </c>
    </row>
    <row r="5" spans="1:14"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37" t="s">
        <v>30</v>
      </c>
      <c r="D5" s="108"/>
      <c r="E5" s="108"/>
      <c r="F5" s="34"/>
      <c r="G5" s="44" t="str">
        <f t="shared" si="0"/>
        <v>1 ضد 2</v>
      </c>
      <c r="H5" s="34"/>
      <c r="I5" s="39">
        <v>2</v>
      </c>
      <c r="J5" s="39" cm="1">
        <f t="array" ref="J5">SUMPRODUCT(--ISNUMBER(SEARCH(" "&amp;$I5&amp;" "," "&amp;G$4:G$73&amp;" ")))</f>
        <v>28</v>
      </c>
      <c r="K5" s="39" cm="1">
        <f t="array" ref="K5">SUMPRODUCT(--ISNUMBER(SEARCH(" "&amp;$I5&amp;" "," "&amp;G$4:G$72&amp;" ")),--ISNUMBER(SEARCH(" "&amp;$I5&amp;" "," "&amp;G$5:G$73&amp;" ")),--(MOD(ROW(G$4:G$72)-4,$J$10)&lt;=$J$10-2))</f>
        <v>0</v>
      </c>
      <c r="L5" s="39" cm="1">
        <f t="array" ref="L5">SUMPRODUCT(--ISNUMBER(SEARCH(" "&amp;$I5&amp;" "," "&amp;G$4:G$71&amp;" ")),--ISNUMBER(SEARCH(" "&amp;$I5&amp;" "," "&amp;G$6:G$73&amp;" ")),--(MOD(ROW(G$4:G$71)-4,$J$10)&lt;=$J$10-3))</f>
        <v>10</v>
      </c>
      <c r="M5" s="39" cm="1">
        <f t="array" ref="M5">SUMPRODUCT(--ISNUMBER(SEARCH(" "&amp;$I5&amp;" "," "&amp;G$4:G$70&amp;" ")),--ISNUMBER(SEARCH(" "&amp;$I5&amp;" "," "&amp;G$7:G$73&amp;" ")),--(MOD(ROW(G$4:G$70)-4,$J$10)&lt;=$J$10-4))</f>
        <v>11</v>
      </c>
      <c r="N5" s="39">
        <f>J5*3/4-K5-L5-M5</f>
        <v>0</v>
      </c>
    </row>
    <row r="6" spans="1:14"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46</v>
      </c>
      <c r="D6" s="108"/>
      <c r="E6" s="108"/>
      <c r="F6" s="34"/>
      <c r="G6" s="44" t="str">
        <f t="shared" si="0"/>
        <v>4 ضد 5</v>
      </c>
      <c r="H6" s="34"/>
      <c r="I6" s="39">
        <v>3</v>
      </c>
      <c r="J6" s="39" cm="1">
        <f t="array" ref="J6">SUMPRODUCT(--ISNUMBER(SEARCH(" "&amp;$I6&amp;" "," "&amp;G$4:G$73&amp;" ")))</f>
        <v>28</v>
      </c>
      <c r="K6" s="39" cm="1">
        <f t="array" ref="K6">SUMPRODUCT(--ISNUMBER(SEARCH(" "&amp;$I6&amp;" "," "&amp;G$4:G$72&amp;" ")),--ISNUMBER(SEARCH(" "&amp;$I6&amp;" "," "&amp;G$5:G$73&amp;" ")),--(MOD(ROW(G$4:G$72)-4,$J$10)&lt;=$J$10-2))</f>
        <v>0</v>
      </c>
      <c r="L6" s="39" cm="1">
        <f t="array" ref="L6">SUMPRODUCT(--ISNUMBER(SEARCH(" "&amp;$I6&amp;" "," "&amp;G$4:G$71&amp;" ")),--ISNUMBER(SEARCH(" "&amp;$I6&amp;" "," "&amp;G$6:G$73&amp;" ")),--(MOD(ROW(G$4:G$71)-4,$J$10)&lt;=$J$10-3))</f>
        <v>12</v>
      </c>
      <c r="M6" s="39" cm="1">
        <f t="array" ref="M6">SUMPRODUCT(--ISNUMBER(SEARCH(" "&amp;$I6&amp;" "," "&amp;G$4:G$70&amp;" ")),--ISNUMBER(SEARCH(" "&amp;$I6&amp;" "," "&amp;G$7:G$73&amp;" ")),--(MOD(ROW(G$4:G$70)-4,$J$10)&lt;=$J$10-4))</f>
        <v>9</v>
      </c>
      <c r="N6" s="39">
        <f>J6*3/4-K6-L6-M6</f>
        <v>0</v>
      </c>
    </row>
    <row r="7" spans="1:14"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37" t="s">
        <v>37</v>
      </c>
      <c r="D7" s="108"/>
      <c r="E7" s="108"/>
      <c r="F7" s="34"/>
      <c r="G7" s="44" t="str">
        <f t="shared" si="0"/>
        <v>2 ضد 3</v>
      </c>
      <c r="H7" s="34"/>
      <c r="I7" s="39">
        <v>4</v>
      </c>
      <c r="J7" s="39" cm="1">
        <f t="array" ref="J7">SUMPRODUCT(--ISNUMBER(SEARCH(" "&amp;$I7&amp;" "," "&amp;G$4:G$73&amp;" ")))</f>
        <v>28</v>
      </c>
      <c r="K7" s="39" cm="1">
        <f t="array" ref="K7">SUMPRODUCT(--ISNUMBER(SEARCH(" "&amp;$I7&amp;" "," "&amp;G$4:G$72&amp;" ")),--ISNUMBER(SEARCH(" "&amp;$I7&amp;" "," "&amp;G$5:G$73&amp;" ")),--(MOD(ROW(G$4:G$72)-4,$J$10)&lt;=$J$10-2))</f>
        <v>0</v>
      </c>
      <c r="L7" s="39" cm="1">
        <f t="array" ref="L7">SUMPRODUCT(--ISNUMBER(SEARCH(" "&amp;$I7&amp;" "," "&amp;G$4:G$71&amp;" ")),--ISNUMBER(SEARCH(" "&amp;$I7&amp;" "," "&amp;G$6:G$73&amp;" ")),--(MOD(ROW(G$4:G$71)-4,$J$10)&lt;=$J$10-3))</f>
        <v>11</v>
      </c>
      <c r="M7" s="39" cm="1">
        <f t="array" ref="M7">SUMPRODUCT(--ISNUMBER(SEARCH(" "&amp;$I7&amp;" "," "&amp;G$4:G$70&amp;" ")),--ISNUMBER(SEARCH(" "&amp;$I7&amp;" "," "&amp;G$7:G$73&amp;" ")),--(MOD(ROW(G$4:G$70)-4,$J$10)&lt;=$J$10-4))</f>
        <v>10</v>
      </c>
      <c r="N7" s="39">
        <f>J7*3/4-K7-L7-M7</f>
        <v>0</v>
      </c>
    </row>
    <row r="8" spans="1:14"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63</v>
      </c>
      <c r="D8" s="108"/>
      <c r="E8" s="108"/>
      <c r="F8" s="34"/>
      <c r="G8" s="44" t="str">
        <f t="shared" si="0"/>
        <v>1 ضد 4</v>
      </c>
      <c r="H8" s="34"/>
      <c r="I8" s="39">
        <v>5</v>
      </c>
      <c r="J8" s="39" cm="1">
        <f t="array" ref="J8">SUMPRODUCT(--ISNUMBER(SEARCH(" "&amp;$I8&amp;" "," "&amp;G$4:G$73&amp;" ")))</f>
        <v>28</v>
      </c>
      <c r="K8" s="39" cm="1">
        <f t="array" ref="K8">SUMPRODUCT(--ISNUMBER(SEARCH(" "&amp;$I8&amp;" "," "&amp;G$4:G$72&amp;" ")),--ISNUMBER(SEARCH(" "&amp;$I8&amp;" "," "&amp;G$5:G$73&amp;" ")),--(MOD(ROW(G$4:G$72)-4,$J$10)&lt;=$J$10-2))</f>
        <v>0</v>
      </c>
      <c r="L8" s="39" cm="1">
        <f t="array" ref="L8">SUMPRODUCT(--ISNUMBER(SEARCH(" "&amp;$I8&amp;" "," "&amp;G$4:G$71&amp;" ")),--ISNUMBER(SEARCH(" "&amp;$I8&amp;" "," "&amp;G$6:G$73&amp;" ")),--(MOD(ROW(G$4:G$71)-4,$J$10)&lt;=$J$10-3))</f>
        <v>12</v>
      </c>
      <c r="M8" s="39" cm="1">
        <f t="array" ref="M8">SUMPRODUCT(--ISNUMBER(SEARCH(" "&amp;$I8&amp;" "," "&amp;G$4:G$70&amp;" ")),--ISNUMBER(SEARCH(" "&amp;$I8&amp;" "," "&amp;G$7:G$73&amp;" ")),--(MOD(ROW(G$4:G$70)-4,$J$10)&lt;=$J$10-4))</f>
        <v>9</v>
      </c>
      <c r="N8" s="39">
        <f>J8*3/4-K8-L8-M8</f>
        <v>0</v>
      </c>
    </row>
    <row r="9" spans="1:14"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37" t="s">
        <v>44</v>
      </c>
      <c r="D9" s="108"/>
      <c r="E9" s="108"/>
      <c r="F9" s="34"/>
      <c r="G9" s="44" t="str">
        <f t="shared" si="0"/>
        <v>2 ضد 5</v>
      </c>
      <c r="H9" s="34"/>
      <c r="I9" s="45" t="s">
        <v>249</v>
      </c>
      <c r="J9" s="45">
        <f>SUM(J4:J8)</f>
        <v>140</v>
      </c>
      <c r="K9" s="45">
        <f>SUM(K4:K8)</f>
        <v>0</v>
      </c>
      <c r="L9" s="45">
        <f>SUM(L4:L8)</f>
        <v>56</v>
      </c>
      <c r="M9" s="45">
        <f>SUM(M4:M8)</f>
        <v>49</v>
      </c>
      <c r="N9" s="45">
        <f>SUM(N4:N8)</f>
        <v>0</v>
      </c>
    </row>
    <row r="10" spans="1:14"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50</v>
      </c>
      <c r="D10" s="108"/>
      <c r="E10" s="108"/>
      <c r="F10" s="34"/>
      <c r="G10" s="44" t="str">
        <f t="shared" si="0"/>
        <v>3 ضد 4</v>
      </c>
      <c r="H10" s="34"/>
      <c r="I10" s="39" t="s">
        <v>250</v>
      </c>
      <c r="J10" s="39">
        <f>COUNTA($B$4:$B$73)/COUNTIF($A$4:$A$73,"اليوم *")</f>
        <v>10</v>
      </c>
      <c r="K10" s="39"/>
      <c r="L10" s="39"/>
      <c r="M10" s="39"/>
      <c r="N10" s="39"/>
    </row>
    <row r="11" spans="1:14" ht="14.5" customHeight="1">
      <c r="A11" s="106"/>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t="s">
        <v>40</v>
      </c>
      <c r="D11" s="108"/>
      <c r="E11" s="108"/>
      <c r="F11" s="34"/>
      <c r="G11" s="44" t="str">
        <f t="shared" si="0"/>
        <v>1 ضد 5</v>
      </c>
      <c r="H11" s="34"/>
      <c r="I11" s="34"/>
      <c r="J11" s="34"/>
      <c r="K11" s="34"/>
      <c r="L11" s="34"/>
      <c r="M11" s="34"/>
      <c r="N11" s="34"/>
    </row>
    <row r="12" spans="1:14" ht="14.5" customHeight="1">
      <c r="A12" s="106"/>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t="s">
        <v>70</v>
      </c>
      <c r="D12" s="108"/>
      <c r="E12" s="108"/>
      <c r="F12" s="34"/>
      <c r="G12" s="44" t="str">
        <f t="shared" si="0"/>
        <v>2 ضد 4</v>
      </c>
      <c r="H12" s="34"/>
      <c r="I12" s="34"/>
      <c r="J12" s="34"/>
      <c r="K12" s="34"/>
      <c r="L12" s="34"/>
      <c r="M12" s="34"/>
      <c r="N12" s="34"/>
    </row>
    <row r="13" spans="1:14" ht="14.5" customHeight="1">
      <c r="A13" s="106"/>
      <c r="B13" s="3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6:15–6:30 م</v>
      </c>
      <c r="C13" s="37" t="s">
        <v>20</v>
      </c>
      <c r="D13" s="108"/>
      <c r="E13" s="108"/>
      <c r="F13" s="34"/>
      <c r="G13" s="44" t="str">
        <f t="shared" si="0"/>
        <v>1 ضد 3</v>
      </c>
      <c r="H13" s="34"/>
      <c r="I13" s="34"/>
      <c r="J13" s="34"/>
      <c r="K13" s="34"/>
      <c r="L13" s="34"/>
      <c r="M13" s="34"/>
      <c r="N13" s="34"/>
    </row>
    <row r="14" spans="1:14" ht="14.5" customHeight="1">
      <c r="A14" s="106" t="s">
        <v>6</v>
      </c>
      <c r="B1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4" s="37" t="s">
        <v>63</v>
      </c>
      <c r="D14" s="107">
        <f>COUNTIF(C14:C23,"* ضد *")</f>
        <v>10</v>
      </c>
      <c r="E14" s="108">
        <f>COUNTIF(C14:C23,"* ضد *")*2/5</f>
        <v>4</v>
      </c>
      <c r="F14" s="34"/>
      <c r="G14" s="44" t="str">
        <f t="shared" si="0"/>
        <v>1 ضد 4</v>
      </c>
      <c r="H14" s="34"/>
      <c r="I14" s="34"/>
      <c r="J14" s="34"/>
      <c r="K14" s="34"/>
      <c r="L14" s="34"/>
      <c r="M14" s="34"/>
      <c r="N14" s="34"/>
    </row>
    <row r="15" spans="1:14" ht="14.5" customHeight="1">
      <c r="A15" s="106"/>
      <c r="B1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5" s="37" t="s">
        <v>44</v>
      </c>
      <c r="D15" s="108"/>
      <c r="E15" s="108"/>
      <c r="F15" s="34"/>
      <c r="G15" s="44" t="str">
        <f t="shared" si="0"/>
        <v>2 ضد 5</v>
      </c>
      <c r="H15" s="34"/>
      <c r="I15" s="34"/>
      <c r="J15" s="34"/>
      <c r="K15" s="34"/>
      <c r="L15" s="34"/>
      <c r="M15" s="34"/>
      <c r="N15" s="34"/>
    </row>
    <row r="16" spans="1:14" ht="14.5" customHeight="1">
      <c r="A16" s="106"/>
      <c r="B1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6" s="37" t="s">
        <v>20</v>
      </c>
      <c r="D16" s="108"/>
      <c r="E16" s="108"/>
      <c r="F16" s="34"/>
      <c r="G16" s="44" t="str">
        <f t="shared" si="0"/>
        <v>1 ضد 3</v>
      </c>
      <c r="H16" s="34"/>
      <c r="I16" s="34"/>
      <c r="J16" s="34"/>
      <c r="K16" s="34"/>
      <c r="L16" s="34"/>
      <c r="M16" s="34"/>
      <c r="N16" s="34"/>
    </row>
    <row r="17" spans="1:14" ht="14.5" customHeight="1">
      <c r="A17" s="106"/>
      <c r="B1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7" s="37" t="s">
        <v>46</v>
      </c>
      <c r="D17" s="108"/>
      <c r="E17" s="108"/>
      <c r="F17" s="34"/>
      <c r="G17" s="44" t="str">
        <f t="shared" si="0"/>
        <v>4 ضد 5</v>
      </c>
      <c r="H17" s="34"/>
      <c r="I17" s="34"/>
      <c r="J17" s="34"/>
      <c r="K17" s="34"/>
      <c r="L17" s="34"/>
      <c r="M17" s="34"/>
      <c r="N17" s="34"/>
    </row>
    <row r="18" spans="1:14" ht="14.5" customHeight="1">
      <c r="A18" s="106"/>
      <c r="B1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8" s="37" t="s">
        <v>37</v>
      </c>
      <c r="D18" s="108"/>
      <c r="E18" s="108"/>
      <c r="F18" s="34"/>
      <c r="G18" s="44" t="str">
        <f t="shared" si="0"/>
        <v>2 ضد 3</v>
      </c>
      <c r="H18" s="34"/>
      <c r="I18" s="34"/>
      <c r="J18" s="34"/>
      <c r="K18" s="34"/>
      <c r="L18" s="34"/>
      <c r="M18" s="34"/>
      <c r="N18" s="34"/>
    </row>
    <row r="19" spans="1:14" ht="14.5" customHeight="1">
      <c r="A19" s="106"/>
      <c r="B1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9" s="37" t="s">
        <v>40</v>
      </c>
      <c r="D19" s="108"/>
      <c r="E19" s="108"/>
      <c r="F19" s="34"/>
      <c r="G19" s="44" t="str">
        <f t="shared" si="0"/>
        <v>1 ضد 5</v>
      </c>
      <c r="H19" s="34"/>
      <c r="I19" s="34"/>
      <c r="J19" s="34"/>
      <c r="K19" s="34"/>
      <c r="L19" s="34"/>
      <c r="M19" s="34"/>
      <c r="N19" s="34"/>
    </row>
    <row r="20" spans="1:14" ht="14.5" customHeight="1">
      <c r="A20" s="106"/>
      <c r="B2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0" s="37" t="s">
        <v>50</v>
      </c>
      <c r="D20" s="108"/>
      <c r="E20" s="108"/>
      <c r="F20" s="34"/>
      <c r="G20" s="44" t="str">
        <f t="shared" si="0"/>
        <v>3 ضد 4</v>
      </c>
      <c r="H20" s="34"/>
      <c r="I20" s="34"/>
      <c r="J20" s="34"/>
      <c r="K20" s="34"/>
      <c r="L20" s="34"/>
      <c r="M20" s="34"/>
      <c r="N20" s="34"/>
    </row>
    <row r="21" spans="1:14" ht="14.5" customHeight="1">
      <c r="A21" s="106"/>
      <c r="B2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1" s="37" t="s">
        <v>30</v>
      </c>
      <c r="D21" s="108"/>
      <c r="E21" s="108"/>
      <c r="F21" s="34"/>
      <c r="G21" s="44" t="str">
        <f t="shared" si="0"/>
        <v>1 ضد 2</v>
      </c>
      <c r="H21" s="34"/>
      <c r="I21" s="34"/>
      <c r="J21" s="34"/>
      <c r="K21" s="34"/>
      <c r="L21" s="34"/>
      <c r="M21" s="34"/>
      <c r="N21" s="34"/>
    </row>
    <row r="22" spans="1:14" ht="14.5" customHeight="1">
      <c r="A22" s="106"/>
      <c r="B2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2" s="37" t="s">
        <v>66</v>
      </c>
      <c r="D22" s="108"/>
      <c r="E22" s="108"/>
      <c r="F22" s="34"/>
      <c r="G22" s="44" t="str">
        <f t="shared" si="0"/>
        <v>3 ضد 5</v>
      </c>
      <c r="H22" s="34"/>
      <c r="I22" s="34"/>
      <c r="J22" s="34"/>
      <c r="K22" s="34"/>
      <c r="L22" s="34"/>
      <c r="M22" s="34"/>
      <c r="N22" s="34"/>
    </row>
    <row r="23" spans="1:14" ht="14.5" customHeight="1">
      <c r="A23" s="106"/>
      <c r="B23" s="3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6:15–6:30 م</v>
      </c>
      <c r="C23" s="37" t="s">
        <v>70</v>
      </c>
      <c r="D23" s="108"/>
      <c r="E23" s="108"/>
      <c r="F23" s="34"/>
      <c r="G23" s="44" t="str">
        <f t="shared" si="0"/>
        <v>2 ضد 4</v>
      </c>
      <c r="H23" s="34"/>
      <c r="I23" s="34"/>
      <c r="J23" s="34"/>
      <c r="K23" s="34"/>
      <c r="L23" s="34"/>
      <c r="M23" s="34"/>
      <c r="N23" s="34"/>
    </row>
    <row r="24" spans="1:14" ht="14.5" customHeight="1">
      <c r="A24" s="106" t="s">
        <v>7</v>
      </c>
      <c r="B2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4" s="37" t="s">
        <v>44</v>
      </c>
      <c r="D24" s="107">
        <f>COUNTIF(C24:C33,"* ضد *")</f>
        <v>10</v>
      </c>
      <c r="E24" s="108">
        <f>COUNTIF(C24:C33,"* ضد *")*2/5</f>
        <v>4</v>
      </c>
      <c r="F24" s="34"/>
      <c r="G24" s="44" t="str">
        <f t="shared" si="0"/>
        <v>2 ضد 5</v>
      </c>
      <c r="H24" s="34"/>
      <c r="I24" s="34"/>
      <c r="J24" s="34"/>
      <c r="K24" s="34"/>
      <c r="L24" s="34"/>
      <c r="M24" s="34"/>
      <c r="N24" s="34"/>
    </row>
    <row r="25" spans="1:14" ht="14.5" customHeight="1">
      <c r="A25" s="106"/>
      <c r="B2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5" s="37" t="s">
        <v>63</v>
      </c>
      <c r="D25" s="108"/>
      <c r="E25" s="108"/>
      <c r="F25" s="34"/>
      <c r="G25" s="44" t="str">
        <f t="shared" si="0"/>
        <v>1 ضد 4</v>
      </c>
      <c r="H25" s="34"/>
      <c r="I25" s="34"/>
      <c r="J25" s="34"/>
      <c r="K25" s="34"/>
      <c r="L25" s="34"/>
      <c r="M25" s="34"/>
      <c r="N25" s="34"/>
    </row>
    <row r="26" spans="1:14" ht="14.5" customHeight="1">
      <c r="A26" s="106"/>
      <c r="B2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6" s="37" t="s">
        <v>37</v>
      </c>
      <c r="D26" s="108"/>
      <c r="E26" s="108"/>
      <c r="F26" s="34"/>
      <c r="G26" s="44" t="str">
        <f t="shared" si="0"/>
        <v>2 ضد 3</v>
      </c>
      <c r="H26" s="34"/>
      <c r="I26" s="34"/>
      <c r="J26" s="34"/>
      <c r="K26" s="34"/>
      <c r="L26" s="34"/>
      <c r="M26" s="34"/>
      <c r="N26" s="34"/>
    </row>
    <row r="27" spans="1:14" ht="14.5" customHeight="1">
      <c r="A27" s="106"/>
      <c r="B2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7" s="37" t="s">
        <v>46</v>
      </c>
      <c r="D27" s="108"/>
      <c r="E27" s="108"/>
      <c r="F27" s="34"/>
      <c r="G27" s="44" t="str">
        <f t="shared" si="0"/>
        <v>4 ضد 5</v>
      </c>
      <c r="H27" s="34"/>
      <c r="I27" s="34"/>
      <c r="J27" s="34"/>
      <c r="K27" s="34"/>
      <c r="L27" s="34"/>
      <c r="M27" s="34"/>
      <c r="N27" s="34"/>
    </row>
    <row r="28" spans="1:14" ht="14.5" customHeight="1">
      <c r="A28" s="106"/>
      <c r="B2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8" s="37" t="s">
        <v>20</v>
      </c>
      <c r="D28" s="108"/>
      <c r="E28" s="108"/>
      <c r="F28" s="34"/>
      <c r="G28" s="44" t="str">
        <f t="shared" si="0"/>
        <v>1 ضد 3</v>
      </c>
      <c r="H28" s="34"/>
      <c r="I28" s="34"/>
      <c r="J28" s="34"/>
      <c r="K28" s="34"/>
      <c r="L28" s="34"/>
      <c r="M28" s="34"/>
      <c r="N28" s="34"/>
    </row>
    <row r="29" spans="1:14" ht="14.5" customHeight="1">
      <c r="A29" s="106"/>
      <c r="B2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9" s="37" t="s">
        <v>70</v>
      </c>
      <c r="D29" s="108"/>
      <c r="E29" s="108"/>
      <c r="F29" s="34"/>
      <c r="G29" s="44" t="str">
        <f t="shared" si="0"/>
        <v>2 ضد 4</v>
      </c>
      <c r="H29" s="34"/>
      <c r="I29" s="34"/>
      <c r="J29" s="34"/>
      <c r="K29" s="34"/>
      <c r="L29" s="34"/>
      <c r="M29" s="34"/>
      <c r="N29" s="34"/>
    </row>
    <row r="30" spans="1:14" ht="14.5" customHeight="1">
      <c r="A30" s="106"/>
      <c r="B3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0" s="37" t="s">
        <v>66</v>
      </c>
      <c r="D30" s="108"/>
      <c r="E30" s="108"/>
      <c r="F30" s="34"/>
      <c r="G30" s="44" t="str">
        <f t="shared" si="0"/>
        <v>3 ضد 5</v>
      </c>
      <c r="H30" s="34"/>
      <c r="I30" s="34"/>
      <c r="J30" s="34"/>
      <c r="K30" s="34"/>
      <c r="L30" s="34"/>
      <c r="M30" s="34"/>
      <c r="N30" s="34"/>
    </row>
    <row r="31" spans="1:14" ht="14.5" customHeight="1">
      <c r="A31" s="106"/>
      <c r="B3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1" s="37" t="s">
        <v>30</v>
      </c>
      <c r="D31" s="108"/>
      <c r="E31" s="108"/>
      <c r="F31" s="34"/>
      <c r="G31" s="44" t="str">
        <f t="shared" si="0"/>
        <v>1 ضد 2</v>
      </c>
      <c r="H31" s="34"/>
      <c r="I31" s="34"/>
      <c r="J31" s="34"/>
      <c r="K31" s="34"/>
      <c r="L31" s="34"/>
      <c r="M31" s="34"/>
      <c r="N31" s="34"/>
    </row>
    <row r="32" spans="1:14" ht="14.5" customHeight="1">
      <c r="A32" s="106"/>
      <c r="B3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2" s="37" t="s">
        <v>50</v>
      </c>
      <c r="D32" s="108"/>
      <c r="E32" s="108"/>
      <c r="F32" s="34"/>
      <c r="G32" s="44" t="str">
        <f t="shared" si="0"/>
        <v>3 ضد 4</v>
      </c>
      <c r="H32" s="34"/>
      <c r="I32" s="34"/>
      <c r="J32" s="34"/>
      <c r="K32" s="34"/>
      <c r="L32" s="34"/>
      <c r="M32" s="34"/>
      <c r="N32" s="34"/>
    </row>
    <row r="33" spans="1:14" ht="14.5" customHeight="1">
      <c r="A33" s="106"/>
      <c r="B33" s="3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6:15–6:30 م</v>
      </c>
      <c r="C33" s="37" t="s">
        <v>40</v>
      </c>
      <c r="D33" s="108"/>
      <c r="E33" s="108"/>
      <c r="F33" s="34"/>
      <c r="G33" s="44" t="str">
        <f t="shared" si="0"/>
        <v>1 ضد 5</v>
      </c>
      <c r="H33" s="34"/>
      <c r="I33" s="34"/>
      <c r="J33" s="34"/>
      <c r="K33" s="34"/>
      <c r="L33" s="34"/>
      <c r="M33" s="34"/>
      <c r="N33" s="34"/>
    </row>
    <row r="34" spans="1:14" ht="14.5" customHeight="1">
      <c r="A34" s="106" t="s">
        <v>8</v>
      </c>
      <c r="B3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4" s="37" t="s">
        <v>37</v>
      </c>
      <c r="D34" s="107">
        <f>COUNTIF(C34:C43,"* ضد *")</f>
        <v>10</v>
      </c>
      <c r="E34" s="108">
        <f>COUNTIF(C34:C43,"* ضد *")*2/5</f>
        <v>4</v>
      </c>
      <c r="F34" s="34"/>
      <c r="G34" s="44" t="str">
        <f t="shared" si="0"/>
        <v>2 ضد 3</v>
      </c>
      <c r="H34" s="34"/>
      <c r="I34" s="34"/>
      <c r="J34" s="34"/>
      <c r="K34" s="34"/>
      <c r="L34" s="34"/>
      <c r="M34" s="34"/>
      <c r="N34" s="34"/>
    </row>
    <row r="35" spans="1:14" ht="14.5" customHeight="1">
      <c r="A35" s="106"/>
      <c r="B3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5" s="37" t="s">
        <v>63</v>
      </c>
      <c r="D35" s="108"/>
      <c r="E35" s="108"/>
      <c r="F35" s="34"/>
      <c r="G35" s="44" t="str">
        <f t="shared" si="0"/>
        <v>1 ضد 4</v>
      </c>
      <c r="H35" s="34"/>
      <c r="I35" s="34"/>
      <c r="J35" s="34"/>
      <c r="K35" s="34"/>
      <c r="L35" s="34"/>
      <c r="M35" s="34"/>
      <c r="N35" s="34"/>
    </row>
    <row r="36" spans="1:14" ht="14.5" customHeight="1">
      <c r="A36" s="106"/>
      <c r="B3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6" s="37" t="s">
        <v>44</v>
      </c>
      <c r="D36" s="108"/>
      <c r="E36" s="108"/>
      <c r="F36" s="34"/>
      <c r="G36" s="44" t="str">
        <f t="shared" ref="G36:G67" si="1">_xlfn.TEXTJOIN(" ",TRUE,C36:C36)</f>
        <v>2 ضد 5</v>
      </c>
      <c r="H36" s="34"/>
      <c r="I36" s="34"/>
      <c r="J36" s="34"/>
      <c r="K36" s="34"/>
      <c r="L36" s="34"/>
      <c r="M36" s="34"/>
      <c r="N36" s="34"/>
    </row>
    <row r="37" spans="1:14" ht="14.5" customHeight="1">
      <c r="A37" s="106"/>
      <c r="B3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7" s="37" t="s">
        <v>20</v>
      </c>
      <c r="D37" s="108"/>
      <c r="E37" s="108"/>
      <c r="F37" s="34"/>
      <c r="G37" s="44" t="str">
        <f t="shared" si="1"/>
        <v>1 ضد 3</v>
      </c>
      <c r="H37" s="34"/>
      <c r="I37" s="34"/>
      <c r="J37" s="34"/>
      <c r="K37" s="34"/>
      <c r="L37" s="34"/>
      <c r="M37" s="34"/>
      <c r="N37" s="34"/>
    </row>
    <row r="38" spans="1:14" ht="14.5" customHeight="1">
      <c r="A38" s="106"/>
      <c r="B3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8" s="37" t="s">
        <v>46</v>
      </c>
      <c r="D38" s="108"/>
      <c r="E38" s="108"/>
      <c r="F38" s="34"/>
      <c r="G38" s="44" t="str">
        <f t="shared" si="1"/>
        <v>4 ضد 5</v>
      </c>
      <c r="H38" s="34"/>
      <c r="I38" s="34"/>
      <c r="J38" s="34"/>
      <c r="K38" s="34"/>
      <c r="L38" s="34"/>
      <c r="M38" s="34"/>
      <c r="N38" s="34"/>
    </row>
    <row r="39" spans="1:14" ht="14.5" customHeight="1">
      <c r="A39" s="106"/>
      <c r="B3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9" s="37" t="s">
        <v>30</v>
      </c>
      <c r="D39" s="108"/>
      <c r="E39" s="108"/>
      <c r="F39" s="34"/>
      <c r="G39" s="44" t="str">
        <f t="shared" si="1"/>
        <v>1 ضد 2</v>
      </c>
      <c r="H39" s="34"/>
      <c r="I39" s="34"/>
      <c r="J39" s="34"/>
      <c r="K39" s="34"/>
      <c r="L39" s="34"/>
      <c r="M39" s="34"/>
      <c r="N39" s="34"/>
    </row>
    <row r="40" spans="1:14" ht="14.5" customHeight="1">
      <c r="A40" s="106"/>
      <c r="B4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0" s="37" t="s">
        <v>66</v>
      </c>
      <c r="D40" s="108"/>
      <c r="E40" s="108"/>
      <c r="F40" s="34"/>
      <c r="G40" s="44" t="str">
        <f t="shared" si="1"/>
        <v>3 ضد 5</v>
      </c>
      <c r="H40" s="34"/>
      <c r="I40" s="34"/>
      <c r="J40" s="34"/>
      <c r="K40" s="34"/>
      <c r="L40" s="34"/>
      <c r="M40" s="34"/>
      <c r="N40" s="34"/>
    </row>
    <row r="41" spans="1:14" ht="14.5" customHeight="1">
      <c r="A41" s="106"/>
      <c r="B4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1" s="37" t="s">
        <v>70</v>
      </c>
      <c r="D41" s="108"/>
      <c r="E41" s="108"/>
      <c r="F41" s="34"/>
      <c r="G41" s="44" t="str">
        <f t="shared" si="1"/>
        <v>2 ضد 4</v>
      </c>
      <c r="H41" s="34"/>
      <c r="I41" s="34"/>
      <c r="J41" s="34"/>
      <c r="K41" s="34"/>
      <c r="L41" s="34"/>
      <c r="M41" s="34"/>
      <c r="N41" s="34"/>
    </row>
    <row r="42" spans="1:14" ht="14.5" customHeight="1">
      <c r="A42" s="106"/>
      <c r="B4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2" s="37" t="s">
        <v>40</v>
      </c>
      <c r="D42" s="108"/>
      <c r="E42" s="108"/>
      <c r="F42" s="34"/>
      <c r="G42" s="44" t="str">
        <f t="shared" si="1"/>
        <v>1 ضد 5</v>
      </c>
      <c r="H42" s="34"/>
      <c r="I42" s="34"/>
      <c r="J42" s="34"/>
      <c r="K42" s="34"/>
      <c r="L42" s="34"/>
      <c r="M42" s="34"/>
      <c r="N42" s="34"/>
    </row>
    <row r="43" spans="1:14" ht="14.5" customHeight="1">
      <c r="A43" s="106"/>
      <c r="B43" s="3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6:15–6:30 م</v>
      </c>
      <c r="C43" s="37" t="s">
        <v>50</v>
      </c>
      <c r="D43" s="108"/>
      <c r="E43" s="108"/>
      <c r="F43" s="34"/>
      <c r="G43" s="44" t="str">
        <f t="shared" si="1"/>
        <v>3 ضد 4</v>
      </c>
      <c r="H43" s="34"/>
      <c r="I43" s="34"/>
      <c r="J43" s="34"/>
      <c r="K43" s="34"/>
      <c r="L43" s="34"/>
      <c r="M43" s="34"/>
      <c r="N43" s="34"/>
    </row>
    <row r="44" spans="1:14" ht="14.5" customHeight="1">
      <c r="A44" s="106" t="s">
        <v>9</v>
      </c>
      <c r="B4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4" s="37" t="s">
        <v>40</v>
      </c>
      <c r="D44" s="107">
        <f>COUNTIF(C44:C53,"* ضد *")</f>
        <v>10</v>
      </c>
      <c r="E44" s="108">
        <f>COUNTIF(C44:C53,"* ضد *")*2/5</f>
        <v>4</v>
      </c>
      <c r="F44" s="34"/>
      <c r="G44" s="44" t="str">
        <f t="shared" si="1"/>
        <v>1 ضد 5</v>
      </c>
      <c r="H44" s="34"/>
      <c r="I44" s="34"/>
      <c r="J44" s="34"/>
      <c r="K44" s="34"/>
      <c r="L44" s="34"/>
      <c r="M44" s="34"/>
      <c r="N44" s="34"/>
    </row>
    <row r="45" spans="1:14" ht="14.5" customHeight="1">
      <c r="A45" s="106"/>
      <c r="B4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5" s="37" t="s">
        <v>70</v>
      </c>
      <c r="D45" s="108"/>
      <c r="E45" s="108"/>
      <c r="F45" s="34"/>
      <c r="G45" s="44" t="str">
        <f t="shared" si="1"/>
        <v>2 ضد 4</v>
      </c>
      <c r="H45" s="34"/>
      <c r="I45" s="34"/>
      <c r="J45" s="34"/>
      <c r="K45" s="34"/>
      <c r="L45" s="34"/>
      <c r="M45" s="34"/>
      <c r="N45" s="34"/>
    </row>
    <row r="46" spans="1:14" ht="14.5" customHeight="1">
      <c r="A46" s="106"/>
      <c r="B4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6" s="37" t="s">
        <v>20</v>
      </c>
      <c r="D46" s="108"/>
      <c r="E46" s="108"/>
      <c r="F46" s="34"/>
      <c r="G46" s="44" t="str">
        <f t="shared" si="1"/>
        <v>1 ضد 3</v>
      </c>
      <c r="H46" s="34"/>
      <c r="I46" s="34"/>
      <c r="J46" s="34"/>
      <c r="K46" s="34"/>
      <c r="L46" s="34"/>
      <c r="M46" s="34"/>
      <c r="N46" s="34"/>
    </row>
    <row r="47" spans="1:14" ht="14.5" customHeight="1">
      <c r="A47" s="106"/>
      <c r="B4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7" s="37" t="s">
        <v>46</v>
      </c>
      <c r="D47" s="108"/>
      <c r="E47" s="108"/>
      <c r="F47" s="34"/>
      <c r="G47" s="44" t="str">
        <f t="shared" si="1"/>
        <v>4 ضد 5</v>
      </c>
      <c r="H47" s="34"/>
      <c r="I47" s="34"/>
      <c r="J47" s="34"/>
      <c r="K47" s="34"/>
      <c r="L47" s="34"/>
      <c r="M47" s="34"/>
      <c r="N47" s="34"/>
    </row>
    <row r="48" spans="1:14" ht="14.5" customHeight="1">
      <c r="A48" s="106"/>
      <c r="B4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8" s="37" t="s">
        <v>37</v>
      </c>
      <c r="D48" s="108"/>
      <c r="E48" s="108"/>
      <c r="F48" s="34"/>
      <c r="G48" s="44" t="str">
        <f t="shared" si="1"/>
        <v>2 ضد 3</v>
      </c>
      <c r="H48" s="34"/>
      <c r="I48" s="34"/>
      <c r="J48" s="34"/>
      <c r="K48" s="34"/>
      <c r="L48" s="34"/>
      <c r="M48" s="34"/>
      <c r="N48" s="34"/>
    </row>
    <row r="49" spans="1:14" ht="14.5" customHeight="1">
      <c r="A49" s="106"/>
      <c r="B4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9" s="37" t="s">
        <v>63</v>
      </c>
      <c r="D49" s="108"/>
      <c r="E49" s="108"/>
      <c r="F49" s="34"/>
      <c r="G49" s="44" t="str">
        <f t="shared" si="1"/>
        <v>1 ضد 4</v>
      </c>
      <c r="H49" s="34"/>
      <c r="I49" s="34"/>
      <c r="J49" s="34"/>
      <c r="K49" s="34"/>
      <c r="L49" s="34"/>
      <c r="M49" s="34"/>
      <c r="N49" s="34"/>
    </row>
    <row r="50" spans="1:14" ht="14.5" customHeight="1">
      <c r="A50" s="106"/>
      <c r="B5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0" s="37" t="s">
        <v>66</v>
      </c>
      <c r="D50" s="108"/>
      <c r="E50" s="108"/>
      <c r="F50" s="34"/>
      <c r="G50" s="44" t="str">
        <f t="shared" si="1"/>
        <v>3 ضد 5</v>
      </c>
      <c r="H50" s="34"/>
      <c r="I50" s="34"/>
      <c r="J50" s="34"/>
      <c r="K50" s="34"/>
      <c r="L50" s="34"/>
      <c r="M50" s="34"/>
      <c r="N50" s="34"/>
    </row>
    <row r="51" spans="1:14" ht="14.5" customHeight="1">
      <c r="A51" s="106"/>
      <c r="B5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51" s="37" t="s">
        <v>30</v>
      </c>
      <c r="D51" s="108"/>
      <c r="E51" s="108"/>
      <c r="F51" s="34"/>
      <c r="G51" s="44" t="str">
        <f t="shared" si="1"/>
        <v>1 ضد 2</v>
      </c>
      <c r="H51" s="34"/>
      <c r="I51" s="34"/>
      <c r="J51" s="34"/>
      <c r="K51" s="34"/>
      <c r="L51" s="34"/>
      <c r="M51" s="34"/>
      <c r="N51" s="34"/>
    </row>
    <row r="52" spans="1:14" ht="14.5" customHeight="1">
      <c r="A52" s="106"/>
      <c r="B5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52" s="37" t="s">
        <v>50</v>
      </c>
      <c r="D52" s="108"/>
      <c r="E52" s="108"/>
      <c r="F52" s="34"/>
      <c r="G52" s="44" t="str">
        <f t="shared" si="1"/>
        <v>3 ضد 4</v>
      </c>
      <c r="H52" s="34"/>
      <c r="I52" s="34"/>
      <c r="J52" s="34"/>
      <c r="K52" s="34"/>
      <c r="L52" s="34"/>
      <c r="M52" s="34"/>
      <c r="N52" s="34"/>
    </row>
    <row r="53" spans="1:14" ht="14.5" customHeight="1">
      <c r="A53" s="106"/>
      <c r="B53" s="3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6:15–6:30 م</v>
      </c>
      <c r="C53" s="37" t="s">
        <v>44</v>
      </c>
      <c r="D53" s="108"/>
      <c r="E53" s="108"/>
      <c r="F53" s="34"/>
      <c r="G53" s="44" t="str">
        <f t="shared" si="1"/>
        <v>2 ضد 5</v>
      </c>
      <c r="H53" s="34"/>
      <c r="I53" s="34"/>
      <c r="J53" s="34"/>
      <c r="K53" s="34"/>
      <c r="L53" s="34"/>
      <c r="M53" s="34"/>
      <c r="N53" s="34"/>
    </row>
    <row r="54" spans="1:14" ht="14.5" customHeight="1">
      <c r="A54" s="106" t="s">
        <v>10</v>
      </c>
      <c r="B5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54" s="37" t="s">
        <v>50</v>
      </c>
      <c r="D54" s="107">
        <f>COUNTIF(C54:C63,"* ضد *")</f>
        <v>10</v>
      </c>
      <c r="E54" s="108">
        <f>COUNTIF(C54:C63,"* ضد *")*2/5</f>
        <v>4</v>
      </c>
      <c r="F54" s="34"/>
      <c r="G54" s="44" t="str">
        <f t="shared" si="1"/>
        <v>3 ضد 4</v>
      </c>
      <c r="H54" s="34"/>
      <c r="I54" s="34"/>
      <c r="J54" s="34"/>
      <c r="K54" s="34"/>
      <c r="L54" s="34"/>
      <c r="M54" s="34"/>
      <c r="N54" s="34"/>
    </row>
    <row r="55" spans="1:14" ht="14.5" customHeight="1">
      <c r="A55" s="106"/>
      <c r="B5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5" s="37" t="s">
        <v>30</v>
      </c>
      <c r="D55" s="108"/>
      <c r="E55" s="108"/>
      <c r="F55" s="34"/>
      <c r="G55" s="44" t="str">
        <f t="shared" si="1"/>
        <v>1 ضد 2</v>
      </c>
      <c r="H55" s="34"/>
      <c r="I55" s="34"/>
      <c r="J55" s="34"/>
      <c r="K55" s="34"/>
      <c r="L55" s="34"/>
      <c r="M55" s="34"/>
      <c r="N55" s="34"/>
    </row>
    <row r="56" spans="1:14" ht="14.5" customHeight="1">
      <c r="A56" s="106"/>
      <c r="B5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56" s="37" t="s">
        <v>46</v>
      </c>
      <c r="D56" s="108"/>
      <c r="E56" s="108"/>
      <c r="F56" s="34"/>
      <c r="G56" s="44" t="str">
        <f t="shared" si="1"/>
        <v>4 ضد 5</v>
      </c>
      <c r="H56" s="34"/>
      <c r="I56" s="34"/>
      <c r="J56" s="34"/>
      <c r="K56" s="34"/>
      <c r="L56" s="34"/>
      <c r="M56" s="34"/>
      <c r="N56" s="34"/>
    </row>
    <row r="57" spans="1:14" ht="14.5" customHeight="1">
      <c r="A57" s="106"/>
      <c r="B5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57" s="37" t="s">
        <v>37</v>
      </c>
      <c r="D57" s="108"/>
      <c r="E57" s="108"/>
      <c r="F57" s="34"/>
      <c r="G57" s="44" t="str">
        <f t="shared" si="1"/>
        <v>2 ضد 3</v>
      </c>
      <c r="H57" s="34"/>
      <c r="I57" s="34"/>
      <c r="J57" s="34"/>
      <c r="K57" s="34"/>
      <c r="L57" s="34"/>
      <c r="M57" s="34"/>
      <c r="N57" s="34"/>
    </row>
    <row r="58" spans="1:14" ht="14.5" customHeight="1">
      <c r="A58" s="106"/>
      <c r="B5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8" s="37" t="s">
        <v>40</v>
      </c>
      <c r="D58" s="108"/>
      <c r="E58" s="108"/>
      <c r="F58" s="34"/>
      <c r="G58" s="44" t="str">
        <f t="shared" si="1"/>
        <v>1 ضد 5</v>
      </c>
      <c r="H58" s="34"/>
      <c r="I58" s="34"/>
      <c r="J58" s="34"/>
      <c r="K58" s="34"/>
      <c r="L58" s="34"/>
      <c r="M58" s="34"/>
      <c r="N58" s="34"/>
    </row>
    <row r="59" spans="1:14" ht="14.5" customHeight="1">
      <c r="A59" s="106"/>
      <c r="B5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9" s="37" t="s">
        <v>70</v>
      </c>
      <c r="D59" s="108"/>
      <c r="E59" s="108"/>
      <c r="F59" s="34"/>
      <c r="G59" s="44" t="str">
        <f t="shared" si="1"/>
        <v>2 ضد 4</v>
      </c>
      <c r="H59" s="34"/>
      <c r="I59" s="34"/>
      <c r="J59" s="34"/>
      <c r="K59" s="34"/>
      <c r="L59" s="34"/>
      <c r="M59" s="34"/>
      <c r="N59" s="34"/>
    </row>
    <row r="60" spans="1:14" ht="14.5" customHeight="1">
      <c r="A60" s="106"/>
      <c r="B6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60" s="37" t="s">
        <v>66</v>
      </c>
      <c r="D60" s="108"/>
      <c r="E60" s="108"/>
      <c r="F60" s="34"/>
      <c r="G60" s="44" t="str">
        <f t="shared" si="1"/>
        <v>3 ضد 5</v>
      </c>
      <c r="H60" s="34"/>
      <c r="I60" s="34"/>
      <c r="J60" s="34"/>
      <c r="K60" s="34"/>
      <c r="L60" s="34"/>
      <c r="M60" s="34"/>
      <c r="N60" s="34"/>
    </row>
    <row r="61" spans="1:14" ht="14.5" customHeight="1">
      <c r="A61" s="106"/>
      <c r="B6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61" s="37" t="s">
        <v>63</v>
      </c>
      <c r="D61" s="108"/>
      <c r="E61" s="108"/>
      <c r="F61" s="34"/>
      <c r="G61" s="44" t="str">
        <f t="shared" si="1"/>
        <v>1 ضد 4</v>
      </c>
      <c r="H61" s="34"/>
      <c r="I61" s="34"/>
      <c r="J61" s="34"/>
      <c r="K61" s="34"/>
      <c r="L61" s="34"/>
      <c r="M61" s="34"/>
      <c r="N61" s="34"/>
    </row>
    <row r="62" spans="1:14" ht="14.5" customHeight="1">
      <c r="A62" s="106"/>
      <c r="B6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62" s="37" t="s">
        <v>44</v>
      </c>
      <c r="D62" s="108"/>
      <c r="E62" s="108"/>
      <c r="F62" s="34"/>
      <c r="G62" s="44" t="str">
        <f t="shared" si="1"/>
        <v>2 ضد 5</v>
      </c>
      <c r="H62" s="34"/>
      <c r="I62" s="34"/>
      <c r="J62" s="34"/>
      <c r="K62" s="34"/>
      <c r="L62" s="34"/>
      <c r="M62" s="34"/>
      <c r="N62" s="34"/>
    </row>
    <row r="63" spans="1:14" ht="14.5" customHeight="1">
      <c r="A63" s="106"/>
      <c r="B63" s="3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6:15–6:30 م</v>
      </c>
      <c r="C63" s="37" t="s">
        <v>20</v>
      </c>
      <c r="D63" s="108"/>
      <c r="E63" s="108"/>
      <c r="F63" s="34"/>
      <c r="G63" s="44" t="str">
        <f t="shared" si="1"/>
        <v>1 ضد 3</v>
      </c>
      <c r="H63" s="34"/>
      <c r="I63" s="34"/>
      <c r="J63" s="34"/>
      <c r="K63" s="34"/>
      <c r="L63" s="34"/>
      <c r="M63" s="34"/>
      <c r="N63" s="34"/>
    </row>
    <row r="64" spans="1:14" ht="14.5" customHeight="1">
      <c r="A64" s="106" t="s">
        <v>11</v>
      </c>
      <c r="B6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64" s="37" t="s">
        <v>70</v>
      </c>
      <c r="D64" s="107">
        <f>COUNTIF(C64:C73,"* ضد *")</f>
        <v>10</v>
      </c>
      <c r="E64" s="108">
        <f>COUNTIF(C64:C73,"* ضد *")*2/5</f>
        <v>4</v>
      </c>
      <c r="F64" s="34"/>
      <c r="G64" s="44" t="str">
        <f t="shared" si="1"/>
        <v>2 ضد 4</v>
      </c>
      <c r="H64" s="34"/>
      <c r="I64" s="34"/>
      <c r="J64" s="34"/>
      <c r="K64" s="34"/>
      <c r="L64" s="34"/>
      <c r="M64" s="34"/>
      <c r="N64" s="34"/>
    </row>
    <row r="65" spans="1:14" ht="14.5" customHeight="1">
      <c r="A65" s="106"/>
      <c r="B6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65" s="37" t="s">
        <v>20</v>
      </c>
      <c r="D65" s="108"/>
      <c r="E65" s="108"/>
      <c r="F65" s="34"/>
      <c r="G65" s="44" t="str">
        <f t="shared" si="1"/>
        <v>1 ضد 3</v>
      </c>
      <c r="H65" s="34"/>
      <c r="I65" s="34"/>
      <c r="J65" s="34"/>
      <c r="K65" s="34"/>
      <c r="L65" s="34"/>
      <c r="M65" s="34"/>
      <c r="N65" s="34"/>
    </row>
    <row r="66" spans="1:14" ht="14.5" customHeight="1">
      <c r="A66" s="106"/>
      <c r="B6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6" s="37" t="s">
        <v>46</v>
      </c>
      <c r="D66" s="108"/>
      <c r="E66" s="108"/>
      <c r="F66" s="34"/>
      <c r="G66" s="44" t="str">
        <f t="shared" si="1"/>
        <v>4 ضد 5</v>
      </c>
      <c r="H66" s="34"/>
      <c r="I66" s="34"/>
      <c r="J66" s="34"/>
      <c r="K66" s="34"/>
      <c r="L66" s="34"/>
      <c r="M66" s="34"/>
      <c r="N66" s="34"/>
    </row>
    <row r="67" spans="1:14" ht="14.5" customHeight="1">
      <c r="A67" s="106"/>
      <c r="B6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67" s="37" t="s">
        <v>37</v>
      </c>
      <c r="D67" s="108"/>
      <c r="E67" s="108"/>
      <c r="F67" s="34"/>
      <c r="G67" s="44" t="str">
        <f t="shared" si="1"/>
        <v>2 ضد 3</v>
      </c>
      <c r="H67" s="34"/>
      <c r="I67" s="34"/>
      <c r="J67" s="34"/>
      <c r="K67" s="34"/>
      <c r="L67" s="34"/>
      <c r="M67" s="34"/>
      <c r="N67" s="34"/>
    </row>
    <row r="68" spans="1:14" ht="14.5" customHeight="1">
      <c r="A68" s="106"/>
      <c r="B6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68" s="37" t="s">
        <v>40</v>
      </c>
      <c r="D68" s="108"/>
      <c r="E68" s="108"/>
      <c r="F68" s="34"/>
      <c r="G68" s="44" t="str">
        <f t="shared" ref="G68:G73" si="2">_xlfn.TEXTJOIN(" ",TRUE,C68:C68)</f>
        <v>1 ضد 5</v>
      </c>
      <c r="H68" s="34"/>
      <c r="I68" s="34"/>
      <c r="J68" s="34"/>
      <c r="K68" s="34"/>
      <c r="L68" s="34"/>
      <c r="M68" s="34"/>
      <c r="N68" s="34"/>
    </row>
    <row r="69" spans="1:14" ht="14.5" customHeight="1">
      <c r="A69" s="106"/>
      <c r="B6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69" s="37" t="s">
        <v>50</v>
      </c>
      <c r="D69" s="108"/>
      <c r="E69" s="108"/>
      <c r="F69" s="34"/>
      <c r="G69" s="44" t="str">
        <f t="shared" si="2"/>
        <v>3 ضد 4</v>
      </c>
      <c r="H69" s="34"/>
      <c r="I69" s="34"/>
      <c r="J69" s="34"/>
      <c r="K69" s="34"/>
      <c r="L69" s="34"/>
      <c r="M69" s="34"/>
      <c r="N69" s="34"/>
    </row>
    <row r="70" spans="1:14" ht="14.5" customHeight="1">
      <c r="A70" s="106"/>
      <c r="B7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70" s="37" t="s">
        <v>30</v>
      </c>
      <c r="D70" s="108"/>
      <c r="E70" s="108"/>
      <c r="F70" s="34"/>
      <c r="G70" s="44" t="str">
        <f t="shared" si="2"/>
        <v>1 ضد 2</v>
      </c>
      <c r="H70" s="34"/>
      <c r="I70" s="34"/>
      <c r="J70" s="34"/>
      <c r="K70" s="34"/>
      <c r="L70" s="34"/>
      <c r="M70" s="34"/>
      <c r="N70" s="34"/>
    </row>
    <row r="71" spans="1:14" ht="14.5" customHeight="1">
      <c r="A71" s="106"/>
      <c r="B7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71" s="37" t="s">
        <v>66</v>
      </c>
      <c r="D71" s="108"/>
      <c r="E71" s="108"/>
      <c r="F71" s="34"/>
      <c r="G71" s="44" t="str">
        <f t="shared" si="2"/>
        <v>3 ضد 5</v>
      </c>
      <c r="H71" s="34"/>
      <c r="I71" s="34"/>
      <c r="J71" s="34"/>
      <c r="K71" s="34"/>
      <c r="L71" s="34"/>
      <c r="M71" s="34"/>
      <c r="N71" s="34"/>
    </row>
    <row r="72" spans="1:14" ht="14.5" customHeight="1">
      <c r="A72" s="106"/>
      <c r="B7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72" s="37" t="s">
        <v>63</v>
      </c>
      <c r="D72" s="108"/>
      <c r="E72" s="108"/>
      <c r="F72" s="34"/>
      <c r="G72" s="44" t="str">
        <f t="shared" si="2"/>
        <v>1 ضد 4</v>
      </c>
      <c r="H72" s="34"/>
      <c r="I72" s="34"/>
      <c r="J72" s="34"/>
      <c r="K72" s="34"/>
      <c r="L72" s="34"/>
      <c r="M72" s="34"/>
      <c r="N72" s="34"/>
    </row>
    <row r="73" spans="1:14" ht="14.5" customHeight="1">
      <c r="A73" s="106"/>
      <c r="B73" s="3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6:15–6:30 م</v>
      </c>
      <c r="C73" s="37" t="s">
        <v>44</v>
      </c>
      <c r="D73" s="108"/>
      <c r="E73" s="108"/>
      <c r="F73" s="34"/>
      <c r="G73" s="44" t="str">
        <f t="shared" si="2"/>
        <v>2 ضد 5</v>
      </c>
      <c r="H73" s="34"/>
      <c r="I73" s="34"/>
      <c r="J73" s="34"/>
      <c r="K73" s="34"/>
      <c r="L73" s="34"/>
      <c r="M73" s="34"/>
      <c r="N73" s="34"/>
    </row>
    <row r="74" spans="1:14" ht="15" customHeight="1">
      <c r="A74" s="34"/>
      <c r="B74" s="34"/>
      <c r="C74" s="34"/>
      <c r="D74" s="34"/>
      <c r="E74" s="34"/>
      <c r="F74" s="34"/>
      <c r="G74" s="34"/>
      <c r="H74" s="34"/>
      <c r="I74" s="34"/>
      <c r="J74" s="34"/>
      <c r="K74" s="34"/>
      <c r="L74" s="34"/>
      <c r="M74" s="34"/>
      <c r="N74" s="34"/>
    </row>
    <row r="75" spans="1:14" ht="15" customHeight="1">
      <c r="A75" s="34"/>
      <c r="B75" s="34"/>
      <c r="C75" s="34"/>
      <c r="D75" s="34"/>
      <c r="E75" s="34"/>
      <c r="F75" s="34"/>
      <c r="G75" s="34"/>
      <c r="H75" s="34"/>
      <c r="I75" s="34"/>
      <c r="J75" s="34"/>
      <c r="K75" s="34"/>
      <c r="L75" s="34"/>
      <c r="M75" s="34"/>
      <c r="N75" s="34"/>
    </row>
    <row r="76" spans="1:14" ht="15.5" customHeight="1">
      <c r="A76" s="34"/>
      <c r="B76" s="109" t="s">
        <v>435</v>
      </c>
      <c r="C76" s="109"/>
      <c r="D76" s="109"/>
      <c r="E76" s="109"/>
      <c r="F76" s="109"/>
      <c r="G76" s="109"/>
      <c r="H76" s="34"/>
      <c r="I76" s="34"/>
      <c r="J76" s="34"/>
      <c r="K76" s="34"/>
      <c r="L76" s="34"/>
      <c r="M76" s="34"/>
      <c r="N76" s="34"/>
    </row>
    <row r="77" spans="1:14" ht="14.5" customHeight="1">
      <c r="A77" s="34"/>
      <c r="B77" s="38" t="s">
        <v>83</v>
      </c>
      <c r="C77" s="110" t="s">
        <v>226</v>
      </c>
      <c r="D77" s="110"/>
      <c r="E77" s="110"/>
      <c r="F77" s="110" t="s">
        <v>216</v>
      </c>
      <c r="G77" s="110"/>
      <c r="H77" s="34"/>
      <c r="I77" s="34"/>
      <c r="J77" s="34"/>
      <c r="K77" s="34"/>
      <c r="L77" s="34"/>
      <c r="M77" s="34"/>
      <c r="N77" s="34"/>
    </row>
    <row r="78" spans="1:14" ht="14.5" customHeight="1">
      <c r="A78" s="34"/>
      <c r="B78" s="39">
        <v>1</v>
      </c>
      <c r="C78" s="105" t="s">
        <v>308</v>
      </c>
      <c r="D78" s="105"/>
      <c r="E78" s="105"/>
      <c r="F78" s="105" t="s">
        <v>456</v>
      </c>
      <c r="G78" s="105"/>
      <c r="H78" s="34"/>
      <c r="I78" s="34"/>
      <c r="J78" s="34"/>
      <c r="K78" s="34"/>
      <c r="L78" s="34"/>
      <c r="M78" s="34"/>
      <c r="N78" s="34"/>
    </row>
    <row r="79" spans="1:14" ht="14.5" customHeight="1">
      <c r="A79" s="34"/>
      <c r="B79" s="39">
        <v>2</v>
      </c>
      <c r="C79" s="105" t="s">
        <v>457</v>
      </c>
      <c r="D79" s="105"/>
      <c r="E79" s="105"/>
      <c r="F79" s="105" t="s">
        <v>458</v>
      </c>
      <c r="G79" s="105"/>
      <c r="H79" s="34"/>
      <c r="I79" s="34"/>
      <c r="J79" s="34"/>
      <c r="K79" s="34"/>
      <c r="L79" s="34"/>
      <c r="M79" s="34"/>
      <c r="N79" s="34"/>
    </row>
    <row r="80" spans="1:14" ht="14.5" customHeight="1">
      <c r="A80" s="34"/>
      <c r="B80" s="39">
        <v>3</v>
      </c>
      <c r="C80" s="105" t="s">
        <v>459</v>
      </c>
      <c r="D80" s="105"/>
      <c r="E80" s="105"/>
      <c r="F80" s="105" t="s">
        <v>458</v>
      </c>
      <c r="G80" s="105"/>
      <c r="H80" s="34"/>
      <c r="I80" s="34"/>
      <c r="J80" s="34"/>
      <c r="K80" s="34"/>
      <c r="L80" s="34"/>
      <c r="M80" s="34"/>
      <c r="N80" s="34"/>
    </row>
    <row r="81" spans="1:14" ht="14.5" customHeight="1">
      <c r="A81" s="34"/>
      <c r="B81" s="39">
        <v>4</v>
      </c>
      <c r="C81" s="105" t="s">
        <v>460</v>
      </c>
      <c r="D81" s="105"/>
      <c r="E81" s="105"/>
      <c r="F81" s="105" t="s">
        <v>458</v>
      </c>
      <c r="G81" s="105"/>
      <c r="H81" s="34"/>
      <c r="I81" s="34"/>
      <c r="J81" s="34"/>
      <c r="K81" s="34"/>
      <c r="L81" s="34"/>
      <c r="M81" s="34"/>
      <c r="N81" s="34"/>
    </row>
    <row r="82" spans="1:14" ht="14.5" customHeight="1">
      <c r="A82" s="34"/>
      <c r="B82" s="39">
        <v>5</v>
      </c>
      <c r="C82" s="105" t="s">
        <v>461</v>
      </c>
      <c r="D82" s="105"/>
      <c r="E82" s="105"/>
      <c r="F82" s="105" t="s">
        <v>458</v>
      </c>
      <c r="G82" s="105"/>
      <c r="H82" s="34"/>
      <c r="I82" s="34"/>
      <c r="J82" s="34"/>
      <c r="K82" s="34"/>
      <c r="L82" s="34"/>
      <c r="M82" s="34"/>
      <c r="N82" s="34"/>
    </row>
    <row r="83" spans="1:14" ht="15" customHeight="1"/>
    <row r="84" spans="1:14" ht="15" customHeight="1"/>
    <row r="85" spans="1:14" ht="15" customHeight="1"/>
    <row r="86" spans="1:14" ht="15" customHeight="1"/>
    <row r="87" spans="1:14" ht="15" customHeight="1"/>
    <row r="88" spans="1:14" ht="15" customHeight="1"/>
    <row r="89" spans="1:14" ht="15" customHeight="1"/>
    <row r="90" spans="1:14" ht="15" customHeight="1"/>
    <row r="91" spans="1:14" ht="15" customHeight="1"/>
    <row r="92" spans="1:14" ht="15" customHeight="1"/>
    <row r="93" spans="1:14" ht="15" customHeight="1"/>
    <row r="94" spans="1:14" ht="15" customHeight="1"/>
    <row r="95" spans="1:14" ht="15" customHeight="1"/>
    <row r="96" spans="1:14"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35">
    <mergeCell ref="A1:E1"/>
    <mergeCell ref="A14:A23"/>
    <mergeCell ref="D14:D23"/>
    <mergeCell ref="E14:E23"/>
    <mergeCell ref="A4:A13"/>
    <mergeCell ref="D4:D13"/>
    <mergeCell ref="E4:E13"/>
    <mergeCell ref="A34:A43"/>
    <mergeCell ref="D34:D43"/>
    <mergeCell ref="E34:E43"/>
    <mergeCell ref="A24:A33"/>
    <mergeCell ref="D24:D33"/>
    <mergeCell ref="E24:E33"/>
    <mergeCell ref="A54:A63"/>
    <mergeCell ref="D54:D63"/>
    <mergeCell ref="E54:E63"/>
    <mergeCell ref="A44:A53"/>
    <mergeCell ref="D44:D53"/>
    <mergeCell ref="E44:E53"/>
    <mergeCell ref="A64:A73"/>
    <mergeCell ref="D64:D73"/>
    <mergeCell ref="E64:E73"/>
    <mergeCell ref="B76:G76"/>
    <mergeCell ref="C77:E77"/>
    <mergeCell ref="F77:G77"/>
    <mergeCell ref="C81:E81"/>
    <mergeCell ref="F81:G81"/>
    <mergeCell ref="C82:E82"/>
    <mergeCell ref="F82:G82"/>
    <mergeCell ref="C78:E78"/>
    <mergeCell ref="F78:G78"/>
    <mergeCell ref="C79:E79"/>
    <mergeCell ref="F79:G79"/>
    <mergeCell ref="C80:E80"/>
    <mergeCell ref="F80:G8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7"/>
  <sheetViews>
    <sheetView showGridLines="0" rightToLeft="1" zoomScale="79" workbookViewId="0">
      <pane ySplit="3" topLeftCell="A47" activePane="bottomLeft" state="frozen"/>
      <selection pane="bottomLeft" activeCell="F72" sqref="C72:G77"/>
    </sheetView>
  </sheetViews>
  <sheetFormatPr defaultRowHeight="14.5"/>
  <cols>
    <col min="1" max="1" width="10.90625" style="24" customWidth="1"/>
    <col min="2" max="2" width="17.26953125" style="24" customWidth="1"/>
    <col min="3" max="5" width="14.54296875" style="24" customWidth="1"/>
    <col min="6" max="7" width="15.453125" style="24" customWidth="1"/>
    <col min="8" max="8" width="27.26953125" style="24" customWidth="1"/>
    <col min="9" max="16" width="5.453125" style="24" customWidth="1"/>
    <col min="17" max="16384" width="8.7265625" style="24"/>
  </cols>
  <sheetData>
    <row r="1" spans="1:7" ht="26" customHeight="1">
      <c r="A1" s="82" t="s">
        <v>137</v>
      </c>
      <c r="B1" s="82"/>
      <c r="C1" s="82"/>
      <c r="D1" s="82"/>
      <c r="E1" s="82"/>
      <c r="F1" s="82"/>
      <c r="G1" s="82"/>
    </row>
    <row r="2" spans="1:7" ht="8" customHeight="1">
      <c r="A2" s="22"/>
      <c r="B2" s="22"/>
      <c r="C2" s="22"/>
      <c r="D2" s="22"/>
      <c r="E2" s="22"/>
      <c r="F2" s="22"/>
      <c r="G2" s="22"/>
    </row>
    <row r="3" spans="1:7" ht="32" customHeight="1">
      <c r="A3" s="25" t="s">
        <v>0</v>
      </c>
      <c r="B3" s="25" t="s">
        <v>1</v>
      </c>
      <c r="C3" s="25" t="s">
        <v>2</v>
      </c>
      <c r="D3" s="25" t="s">
        <v>3</v>
      </c>
      <c r="E3" s="25" t="s">
        <v>4</v>
      </c>
      <c r="F3" s="25" t="s">
        <v>138</v>
      </c>
      <c r="G3" s="25" t="s">
        <v>81</v>
      </c>
    </row>
    <row r="4" spans="1:7" ht="14.5" customHeight="1">
      <c r="A4" s="73" t="s">
        <v>5</v>
      </c>
      <c r="B4"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8" t="s">
        <v>38</v>
      </c>
      <c r="D4" s="8" t="s">
        <v>44</v>
      </c>
      <c r="E4" s="8" t="s">
        <v>50</v>
      </c>
      <c r="F4" s="76">
        <f>COUNTIF(C4:E10,"* ضد *")</f>
        <v>12</v>
      </c>
      <c r="G4" s="79">
        <f>COUNTIF(C4:E10,"* ضد *")*2/6</f>
        <v>4</v>
      </c>
    </row>
    <row r="5" spans="1:7">
      <c r="A5" s="74"/>
      <c r="B5"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70" t="s">
        <v>139</v>
      </c>
      <c r="D5" s="112"/>
      <c r="E5" s="113"/>
      <c r="F5" s="80"/>
      <c r="G5" s="80"/>
    </row>
    <row r="6" spans="1:7">
      <c r="A6" s="74"/>
      <c r="B6"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8" t="s">
        <v>37</v>
      </c>
      <c r="D6" s="8" t="s">
        <v>157</v>
      </c>
      <c r="E6" s="8" t="s">
        <v>40</v>
      </c>
      <c r="F6" s="80"/>
      <c r="G6" s="80"/>
    </row>
    <row r="7" spans="1:7">
      <c r="A7" s="74"/>
      <c r="B7"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70" t="s">
        <v>139</v>
      </c>
      <c r="D7" s="112"/>
      <c r="E7" s="113"/>
      <c r="F7" s="80"/>
      <c r="G7" s="80"/>
    </row>
    <row r="8" spans="1:7">
      <c r="A8" s="74"/>
      <c r="B8"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8" t="s">
        <v>158</v>
      </c>
      <c r="D8" s="8" t="s">
        <v>63</v>
      </c>
      <c r="E8" s="8" t="s">
        <v>159</v>
      </c>
      <c r="F8" s="80"/>
      <c r="G8" s="80"/>
    </row>
    <row r="9" spans="1:7">
      <c r="A9" s="74"/>
      <c r="B9"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70" t="s">
        <v>139</v>
      </c>
      <c r="D9" s="112"/>
      <c r="E9" s="113"/>
      <c r="F9" s="80"/>
      <c r="G9" s="80"/>
    </row>
    <row r="10" spans="1:7">
      <c r="A10" s="75"/>
      <c r="B10"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8" t="s">
        <v>160</v>
      </c>
      <c r="D10" s="8" t="s">
        <v>20</v>
      </c>
      <c r="E10" s="8" t="s">
        <v>55</v>
      </c>
      <c r="F10" s="81"/>
      <c r="G10" s="81"/>
    </row>
    <row r="11" spans="1:7" ht="14.5" customHeight="1">
      <c r="A11" s="73" t="s">
        <v>6</v>
      </c>
      <c r="B11"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1" s="8" t="s">
        <v>46</v>
      </c>
      <c r="D11" s="8" t="s">
        <v>62</v>
      </c>
      <c r="E11" s="8" t="s">
        <v>30</v>
      </c>
      <c r="F11" s="76">
        <f>COUNTIF(C11:E17,"* ضد *")</f>
        <v>12</v>
      </c>
      <c r="G11" s="79">
        <f>COUNTIF(C11:E17,"* ضد *")*2/6</f>
        <v>4</v>
      </c>
    </row>
    <row r="12" spans="1:7">
      <c r="A12" s="74"/>
      <c r="B12"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2" s="70" t="s">
        <v>139</v>
      </c>
      <c r="D12" s="112"/>
      <c r="E12" s="113"/>
      <c r="F12" s="80"/>
      <c r="G12" s="80"/>
    </row>
    <row r="13" spans="1:7">
      <c r="A13" s="74"/>
      <c r="B13"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3" s="8" t="s">
        <v>38</v>
      </c>
      <c r="D13" s="8" t="s">
        <v>44</v>
      </c>
      <c r="E13" s="8" t="s">
        <v>50</v>
      </c>
      <c r="F13" s="80"/>
      <c r="G13" s="80"/>
    </row>
    <row r="14" spans="1:7">
      <c r="A14" s="74"/>
      <c r="B14"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4" s="70" t="s">
        <v>139</v>
      </c>
      <c r="D14" s="112"/>
      <c r="E14" s="113"/>
      <c r="F14" s="80"/>
      <c r="G14" s="80"/>
    </row>
    <row r="15" spans="1:7">
      <c r="A15" s="74"/>
      <c r="B15"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5" s="8" t="s">
        <v>40</v>
      </c>
      <c r="D15" s="8" t="s">
        <v>157</v>
      </c>
      <c r="E15" s="8" t="s">
        <v>37</v>
      </c>
      <c r="F15" s="80"/>
      <c r="G15" s="80"/>
    </row>
    <row r="16" spans="1:7">
      <c r="A16" s="74"/>
      <c r="B16"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6" s="70" t="s">
        <v>139</v>
      </c>
      <c r="D16" s="112"/>
      <c r="E16" s="113"/>
      <c r="F16" s="80"/>
      <c r="G16" s="80"/>
    </row>
    <row r="17" spans="1:7">
      <c r="A17" s="75"/>
      <c r="B17"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7" s="8" t="s">
        <v>159</v>
      </c>
      <c r="D17" s="8" t="s">
        <v>158</v>
      </c>
      <c r="E17" s="8" t="s">
        <v>63</v>
      </c>
      <c r="F17" s="81"/>
      <c r="G17" s="81"/>
    </row>
    <row r="18" spans="1:7" ht="14.5" customHeight="1">
      <c r="A18" s="73" t="s">
        <v>7</v>
      </c>
      <c r="B18"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8" s="8" t="s">
        <v>160</v>
      </c>
      <c r="D18" s="8" t="s">
        <v>20</v>
      </c>
      <c r="E18" s="8" t="s">
        <v>55</v>
      </c>
      <c r="F18" s="76">
        <f>COUNTIF(C18:E24,"* ضد *")</f>
        <v>12</v>
      </c>
      <c r="G18" s="79">
        <f>COUNTIF(C18:E24,"* ضد *")*2/6</f>
        <v>4</v>
      </c>
    </row>
    <row r="19" spans="1:7">
      <c r="A19" s="74"/>
      <c r="B19"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9" s="70" t="s">
        <v>139</v>
      </c>
      <c r="D19" s="112"/>
      <c r="E19" s="113"/>
      <c r="F19" s="80"/>
      <c r="G19" s="80"/>
    </row>
    <row r="20" spans="1:7">
      <c r="A20" s="74"/>
      <c r="B20"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0" s="8" t="s">
        <v>62</v>
      </c>
      <c r="D20" s="8" t="s">
        <v>30</v>
      </c>
      <c r="E20" s="8" t="s">
        <v>46</v>
      </c>
      <c r="F20" s="80"/>
      <c r="G20" s="80"/>
    </row>
    <row r="21" spans="1:7">
      <c r="A21" s="74"/>
      <c r="B21"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1" s="70" t="s">
        <v>139</v>
      </c>
      <c r="D21" s="112"/>
      <c r="E21" s="113"/>
      <c r="F21" s="80"/>
      <c r="G21" s="80"/>
    </row>
    <row r="22" spans="1:7">
      <c r="A22" s="74"/>
      <c r="B22"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2" s="8" t="s">
        <v>50</v>
      </c>
      <c r="D22" s="8" t="s">
        <v>44</v>
      </c>
      <c r="E22" s="8" t="s">
        <v>38</v>
      </c>
      <c r="F22" s="80"/>
      <c r="G22" s="80"/>
    </row>
    <row r="23" spans="1:7">
      <c r="A23" s="74"/>
      <c r="B23"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3" s="70" t="s">
        <v>139</v>
      </c>
      <c r="D23" s="112"/>
      <c r="E23" s="113"/>
      <c r="F23" s="80"/>
      <c r="G23" s="80"/>
    </row>
    <row r="24" spans="1:7">
      <c r="A24" s="75"/>
      <c r="B24"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4" s="8" t="s">
        <v>40</v>
      </c>
      <c r="D24" s="8" t="s">
        <v>157</v>
      </c>
      <c r="E24" s="8" t="s">
        <v>37</v>
      </c>
      <c r="F24" s="81"/>
      <c r="G24" s="81"/>
    </row>
    <row r="25" spans="1:7" ht="14.5" customHeight="1">
      <c r="A25" s="73" t="s">
        <v>8</v>
      </c>
      <c r="B25"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5" s="8" t="s">
        <v>63</v>
      </c>
      <c r="D25" s="8" t="s">
        <v>158</v>
      </c>
      <c r="E25" s="8" t="s">
        <v>159</v>
      </c>
      <c r="F25" s="76">
        <f>COUNTIF(C25:E31,"* ضد *")</f>
        <v>12</v>
      </c>
      <c r="G25" s="79">
        <f>COUNTIF(C25:E31,"* ضد *")*2/6</f>
        <v>4</v>
      </c>
    </row>
    <row r="26" spans="1:7">
      <c r="A26" s="74"/>
      <c r="B26"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6" s="70" t="s">
        <v>139</v>
      </c>
      <c r="D26" s="112"/>
      <c r="E26" s="113"/>
      <c r="F26" s="80"/>
      <c r="G26" s="80"/>
    </row>
    <row r="27" spans="1:7">
      <c r="A27" s="74"/>
      <c r="B27"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7" s="8" t="s">
        <v>55</v>
      </c>
      <c r="D27" s="8" t="s">
        <v>160</v>
      </c>
      <c r="E27" s="8" t="s">
        <v>20</v>
      </c>
      <c r="F27" s="80"/>
      <c r="G27" s="80"/>
    </row>
    <row r="28" spans="1:7">
      <c r="A28" s="74"/>
      <c r="B28"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8" s="70" t="s">
        <v>139</v>
      </c>
      <c r="D28" s="112"/>
      <c r="E28" s="113"/>
      <c r="F28" s="80"/>
      <c r="G28" s="80"/>
    </row>
    <row r="29" spans="1:7">
      <c r="A29" s="74"/>
      <c r="B29"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9" s="8" t="s">
        <v>62</v>
      </c>
      <c r="D29" s="8" t="s">
        <v>30</v>
      </c>
      <c r="E29" s="8" t="s">
        <v>46</v>
      </c>
      <c r="F29" s="80"/>
      <c r="G29" s="80"/>
    </row>
    <row r="30" spans="1:7">
      <c r="A30" s="74"/>
      <c r="B30"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0" s="70" t="s">
        <v>139</v>
      </c>
      <c r="D30" s="112"/>
      <c r="E30" s="113"/>
      <c r="F30" s="80"/>
      <c r="G30" s="80"/>
    </row>
    <row r="31" spans="1:7">
      <c r="A31" s="75"/>
      <c r="B31"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1" s="8" t="s">
        <v>44</v>
      </c>
      <c r="D31" s="8" t="s">
        <v>38</v>
      </c>
      <c r="E31" s="8" t="s">
        <v>50</v>
      </c>
      <c r="F31" s="81"/>
      <c r="G31" s="81"/>
    </row>
    <row r="32" spans="1:7" ht="14.5" customHeight="1">
      <c r="A32" s="73" t="s">
        <v>9</v>
      </c>
      <c r="B32"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2" s="8" t="s">
        <v>37</v>
      </c>
      <c r="D32" s="8" t="s">
        <v>157</v>
      </c>
      <c r="E32" s="8" t="s">
        <v>40</v>
      </c>
      <c r="F32" s="76">
        <f>COUNTIF(C32:E38,"* ضد *")</f>
        <v>12</v>
      </c>
      <c r="G32" s="79">
        <f>COUNTIF(C32:E38,"* ضد *")*2/6</f>
        <v>4</v>
      </c>
    </row>
    <row r="33" spans="1:7">
      <c r="A33" s="74"/>
      <c r="B33"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3" s="70" t="s">
        <v>139</v>
      </c>
      <c r="D33" s="112"/>
      <c r="E33" s="113"/>
      <c r="F33" s="80"/>
      <c r="G33" s="80"/>
    </row>
    <row r="34" spans="1:7">
      <c r="A34" s="74"/>
      <c r="B34"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4" s="8" t="s">
        <v>63</v>
      </c>
      <c r="D34" s="8" t="s">
        <v>158</v>
      </c>
      <c r="E34" s="8" t="s">
        <v>159</v>
      </c>
      <c r="F34" s="80"/>
      <c r="G34" s="80"/>
    </row>
    <row r="35" spans="1:7">
      <c r="A35" s="74"/>
      <c r="B35"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5" s="70" t="s">
        <v>139</v>
      </c>
      <c r="D35" s="112"/>
      <c r="E35" s="113"/>
      <c r="F35" s="80"/>
      <c r="G35" s="80"/>
    </row>
    <row r="36" spans="1:7">
      <c r="A36" s="74"/>
      <c r="B36"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6" s="8" t="s">
        <v>20</v>
      </c>
      <c r="D36" s="8" t="s">
        <v>160</v>
      </c>
      <c r="E36" s="8" t="s">
        <v>55</v>
      </c>
      <c r="F36" s="80"/>
      <c r="G36" s="80"/>
    </row>
    <row r="37" spans="1:7" ht="14.5" customHeight="1">
      <c r="A37" s="74"/>
      <c r="B37"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7" s="70" t="s">
        <v>139</v>
      </c>
      <c r="D37" s="112"/>
      <c r="E37" s="113"/>
      <c r="F37" s="80"/>
      <c r="G37" s="80"/>
    </row>
    <row r="38" spans="1:7">
      <c r="A38" s="75"/>
      <c r="B38"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8" s="8" t="s">
        <v>46</v>
      </c>
      <c r="D38" s="8" t="s">
        <v>62</v>
      </c>
      <c r="E38" s="8" t="s">
        <v>30</v>
      </c>
      <c r="F38" s="81"/>
      <c r="G38" s="81"/>
    </row>
    <row r="39" spans="1:7" ht="14.5" customHeight="1">
      <c r="A39" s="73" t="s">
        <v>10</v>
      </c>
      <c r="B39"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9" s="8" t="s">
        <v>44</v>
      </c>
      <c r="D39" s="8" t="s">
        <v>38</v>
      </c>
      <c r="E39" s="8" t="s">
        <v>50</v>
      </c>
      <c r="F39" s="76">
        <f>COUNTIF(C39:E47,"* ضد *")</f>
        <v>15</v>
      </c>
      <c r="G39" s="79">
        <f>COUNTIF(C39:E47,"* ضد *")*2/6</f>
        <v>5</v>
      </c>
    </row>
    <row r="40" spans="1:7">
      <c r="A40" s="74"/>
      <c r="B40"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0" s="70" t="s">
        <v>139</v>
      </c>
      <c r="D40" s="112"/>
      <c r="E40" s="113"/>
      <c r="F40" s="80"/>
      <c r="G40" s="80"/>
    </row>
    <row r="41" spans="1:7">
      <c r="A41" s="74"/>
      <c r="B41"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1" s="8" t="s">
        <v>157</v>
      </c>
      <c r="D41" s="8" t="s">
        <v>40</v>
      </c>
      <c r="E41" s="8" t="s">
        <v>37</v>
      </c>
      <c r="F41" s="80"/>
      <c r="G41" s="80"/>
    </row>
    <row r="42" spans="1:7" ht="14.5" customHeight="1">
      <c r="A42" s="74"/>
      <c r="B42"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2" s="70" t="s">
        <v>139</v>
      </c>
      <c r="D42" s="112"/>
      <c r="E42" s="113"/>
      <c r="F42" s="80"/>
      <c r="G42" s="80"/>
    </row>
    <row r="43" spans="1:7">
      <c r="A43" s="74"/>
      <c r="B43"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3" s="8" t="s">
        <v>159</v>
      </c>
      <c r="D43" s="8" t="s">
        <v>158</v>
      </c>
      <c r="E43" s="8" t="s">
        <v>63</v>
      </c>
      <c r="F43" s="80"/>
      <c r="G43" s="80"/>
    </row>
    <row r="44" spans="1:7">
      <c r="A44" s="74"/>
      <c r="B44"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4" s="70" t="s">
        <v>139</v>
      </c>
      <c r="D44" s="112"/>
      <c r="E44" s="113"/>
      <c r="F44" s="80"/>
      <c r="G44" s="80"/>
    </row>
    <row r="45" spans="1:7">
      <c r="A45" s="74"/>
      <c r="B45"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5" s="8" t="s">
        <v>20</v>
      </c>
      <c r="D45" s="8" t="s">
        <v>160</v>
      </c>
      <c r="E45" s="8" t="s">
        <v>55</v>
      </c>
      <c r="F45" s="80"/>
      <c r="G45" s="80"/>
    </row>
    <row r="46" spans="1:7" ht="14.5" customHeight="1">
      <c r="A46" s="74"/>
      <c r="B46"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6" s="70" t="s">
        <v>139</v>
      </c>
      <c r="D46" s="112"/>
      <c r="E46" s="113"/>
      <c r="F46" s="80"/>
      <c r="G46" s="80"/>
    </row>
    <row r="47" spans="1:7">
      <c r="A47" s="75"/>
      <c r="B47"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7" s="8" t="s">
        <v>30</v>
      </c>
      <c r="D47" s="8" t="s">
        <v>62</v>
      </c>
      <c r="E47" s="8" t="s">
        <v>46</v>
      </c>
      <c r="F47" s="81"/>
      <c r="G47" s="81"/>
    </row>
    <row r="48" spans="1:7">
      <c r="A48" s="22"/>
      <c r="B48" s="22"/>
      <c r="C48" s="22"/>
      <c r="D48" s="22"/>
      <c r="E48" s="22"/>
      <c r="F48" s="22"/>
      <c r="G48" s="22"/>
    </row>
    <row r="49" spans="1:26" ht="14.5" customHeight="1">
      <c r="A49" s="22"/>
      <c r="B49" s="22"/>
      <c r="C49" s="22"/>
      <c r="D49" s="22"/>
      <c r="E49" s="22"/>
      <c r="F49" s="22"/>
      <c r="G49" s="22"/>
    </row>
    <row r="50" spans="1:26" ht="15.5">
      <c r="A50" s="22"/>
      <c r="B50" s="83" t="s">
        <v>436</v>
      </c>
      <c r="C50" s="83"/>
      <c r="D50" s="83"/>
      <c r="E50" s="83"/>
      <c r="F50" s="83"/>
      <c r="G50" s="83"/>
    </row>
    <row r="51" spans="1:26">
      <c r="A51" s="22"/>
      <c r="B51" s="23" t="s">
        <v>83</v>
      </c>
      <c r="C51" s="84" t="s">
        <v>217</v>
      </c>
      <c r="D51" s="84"/>
      <c r="E51" s="84"/>
      <c r="F51" s="84" t="s">
        <v>216</v>
      </c>
      <c r="G51" s="84"/>
    </row>
    <row r="52" spans="1:26">
      <c r="A52" s="22"/>
      <c r="B52" s="28">
        <v>1</v>
      </c>
      <c r="C52" s="85" t="s">
        <v>462</v>
      </c>
      <c r="D52" s="85"/>
      <c r="E52" s="85"/>
      <c r="F52" s="85" t="s">
        <v>456</v>
      </c>
      <c r="G52" s="85"/>
    </row>
    <row r="53" spans="1:26">
      <c r="A53" s="22"/>
      <c r="B53" s="28">
        <v>2</v>
      </c>
      <c r="C53" s="85" t="s">
        <v>463</v>
      </c>
      <c r="D53" s="85"/>
      <c r="E53" s="85"/>
      <c r="F53" s="85" t="s">
        <v>456</v>
      </c>
      <c r="G53" s="85"/>
    </row>
    <row r="54" spans="1:26">
      <c r="A54" s="22"/>
      <c r="B54" s="28">
        <v>3</v>
      </c>
      <c r="C54" s="85" t="s">
        <v>464</v>
      </c>
      <c r="D54" s="85"/>
      <c r="E54" s="85"/>
      <c r="F54" s="85" t="s">
        <v>456</v>
      </c>
      <c r="G54" s="85"/>
    </row>
    <row r="55" spans="1:26" ht="22" customHeight="1">
      <c r="A55" s="22"/>
      <c r="B55" s="28">
        <v>4</v>
      </c>
      <c r="C55" s="85" t="s">
        <v>465</v>
      </c>
      <c r="D55" s="85"/>
      <c r="E55" s="85"/>
      <c r="F55" s="85" t="s">
        <v>456</v>
      </c>
      <c r="G55" s="85"/>
    </row>
    <row r="56" spans="1:26">
      <c r="A56" s="22"/>
      <c r="B56" s="28">
        <v>5</v>
      </c>
      <c r="C56" s="85" t="s">
        <v>466</v>
      </c>
      <c r="D56" s="85"/>
      <c r="E56" s="85"/>
      <c r="F56" s="85" t="s">
        <v>456</v>
      </c>
      <c r="G56" s="85"/>
    </row>
    <row r="57" spans="1:26">
      <c r="A57" s="22"/>
      <c r="B57" s="28">
        <v>6</v>
      </c>
      <c r="C57" s="85" t="s">
        <v>467</v>
      </c>
      <c r="D57" s="85"/>
      <c r="E57" s="85"/>
      <c r="F57" s="85" t="s">
        <v>458</v>
      </c>
      <c r="G57" s="85"/>
    </row>
    <row r="58" spans="1:26">
      <c r="A58"/>
      <c r="B58"/>
      <c r="C58"/>
      <c r="D58"/>
      <c r="E58"/>
      <c r="F58"/>
      <c r="G58"/>
      <c r="H58"/>
      <c r="I58"/>
      <c r="J58"/>
      <c r="K58"/>
      <c r="L58"/>
      <c r="M58"/>
      <c r="N58"/>
      <c r="O58"/>
      <c r="P58"/>
      <c r="Q58"/>
      <c r="R58"/>
      <c r="S58"/>
      <c r="T58"/>
      <c r="U58"/>
      <c r="V58"/>
      <c r="W58"/>
      <c r="X58"/>
      <c r="Y58"/>
      <c r="Z58"/>
    </row>
    <row r="59" spans="1:26">
      <c r="A59"/>
      <c r="B59"/>
      <c r="C59"/>
      <c r="D59"/>
      <c r="E59"/>
      <c r="F59"/>
      <c r="G59"/>
      <c r="H59"/>
      <c r="I59"/>
      <c r="J59"/>
      <c r="K59"/>
      <c r="L59"/>
      <c r="M59"/>
      <c r="N59"/>
      <c r="O59"/>
      <c r="P59"/>
      <c r="Q59"/>
      <c r="R59"/>
      <c r="S59"/>
      <c r="T59"/>
      <c r="U59"/>
      <c r="V59"/>
      <c r="W59"/>
      <c r="X59"/>
      <c r="Y59"/>
      <c r="Z59"/>
    </row>
    <row r="60" spans="1:26" ht="15.5" customHeight="1">
      <c r="A60"/>
      <c r="B60" s="83" t="s">
        <v>437</v>
      </c>
      <c r="C60" s="83"/>
      <c r="D60" s="83"/>
      <c r="E60" s="83"/>
      <c r="F60" s="83"/>
      <c r="G60" s="83"/>
      <c r="H60"/>
      <c r="I60"/>
      <c r="J60"/>
      <c r="K60"/>
      <c r="L60"/>
      <c r="M60"/>
      <c r="N60"/>
      <c r="O60"/>
      <c r="P60"/>
      <c r="Q60"/>
      <c r="R60"/>
      <c r="S60"/>
      <c r="T60"/>
      <c r="U60"/>
      <c r="V60"/>
      <c r="W60"/>
      <c r="X60"/>
      <c r="Y60"/>
      <c r="Z60"/>
    </row>
    <row r="61" spans="1:26" ht="14.5" customHeight="1">
      <c r="A61"/>
      <c r="B61" s="23" t="s">
        <v>83</v>
      </c>
      <c r="C61" s="84" t="s">
        <v>217</v>
      </c>
      <c r="D61" s="84"/>
      <c r="E61" s="84"/>
      <c r="F61" s="84" t="s">
        <v>216</v>
      </c>
      <c r="G61" s="84"/>
      <c r="H61"/>
      <c r="I61"/>
      <c r="J61"/>
      <c r="K61"/>
      <c r="L61"/>
      <c r="M61"/>
      <c r="N61"/>
      <c r="O61"/>
      <c r="P61"/>
      <c r="Q61"/>
      <c r="R61"/>
      <c r="S61"/>
      <c r="T61"/>
      <c r="U61"/>
      <c r="V61"/>
      <c r="W61"/>
      <c r="X61"/>
      <c r="Y61"/>
      <c r="Z61"/>
    </row>
    <row r="62" spans="1:26" ht="14.5" customHeight="1">
      <c r="A62"/>
      <c r="B62" s="28">
        <v>1</v>
      </c>
      <c r="C62" s="85" t="s">
        <v>468</v>
      </c>
      <c r="D62" s="85"/>
      <c r="E62" s="85"/>
      <c r="F62" s="85" t="s">
        <v>456</v>
      </c>
      <c r="G62" s="85"/>
      <c r="H62"/>
      <c r="I62"/>
      <c r="J62"/>
      <c r="K62"/>
      <c r="L62"/>
      <c r="M62"/>
      <c r="N62"/>
      <c r="O62"/>
      <c r="P62"/>
      <c r="Q62"/>
      <c r="R62"/>
      <c r="S62"/>
      <c r="T62"/>
      <c r="U62"/>
      <c r="V62"/>
      <c r="W62"/>
      <c r="X62"/>
      <c r="Y62"/>
      <c r="Z62"/>
    </row>
    <row r="63" spans="1:26" ht="14.5" customHeight="1">
      <c r="A63"/>
      <c r="B63" s="28">
        <v>2</v>
      </c>
      <c r="C63" s="85" t="s">
        <v>469</v>
      </c>
      <c r="D63" s="85"/>
      <c r="E63" s="85"/>
      <c r="F63" s="85" t="s">
        <v>456</v>
      </c>
      <c r="G63" s="85"/>
      <c r="H63"/>
      <c r="I63"/>
      <c r="J63"/>
      <c r="K63"/>
      <c r="L63"/>
      <c r="M63"/>
      <c r="N63"/>
      <c r="O63"/>
      <c r="P63"/>
      <c r="Q63"/>
      <c r="R63"/>
      <c r="S63"/>
      <c r="T63"/>
      <c r="U63"/>
      <c r="V63"/>
      <c r="W63"/>
      <c r="X63"/>
      <c r="Y63"/>
      <c r="Z63"/>
    </row>
    <row r="64" spans="1:26" ht="14.5" customHeight="1">
      <c r="A64"/>
      <c r="B64" s="28">
        <v>3</v>
      </c>
      <c r="C64" s="85" t="s">
        <v>470</v>
      </c>
      <c r="D64" s="85"/>
      <c r="E64" s="85"/>
      <c r="F64" s="85" t="s">
        <v>458</v>
      </c>
      <c r="G64" s="85"/>
      <c r="H64"/>
      <c r="I64"/>
      <c r="J64"/>
      <c r="K64"/>
      <c r="L64"/>
      <c r="M64"/>
      <c r="N64"/>
      <c r="O64"/>
      <c r="P64"/>
      <c r="Q64"/>
      <c r="R64"/>
      <c r="S64"/>
      <c r="T64"/>
      <c r="U64"/>
      <c r="V64"/>
      <c r="W64"/>
      <c r="X64"/>
      <c r="Y64"/>
      <c r="Z64"/>
    </row>
    <row r="65" spans="1:26" ht="22" customHeight="1">
      <c r="A65"/>
      <c r="B65" s="28">
        <v>4</v>
      </c>
      <c r="C65" s="85" t="s">
        <v>471</v>
      </c>
      <c r="D65" s="85"/>
      <c r="E65" s="85"/>
      <c r="F65" s="85" t="s">
        <v>458</v>
      </c>
      <c r="G65" s="85"/>
      <c r="H65"/>
      <c r="I65"/>
      <c r="J65"/>
      <c r="K65"/>
      <c r="L65"/>
      <c r="M65"/>
      <c r="N65"/>
      <c r="O65"/>
      <c r="P65"/>
      <c r="Q65"/>
      <c r="R65"/>
      <c r="S65"/>
      <c r="T65"/>
      <c r="U65"/>
      <c r="V65"/>
      <c r="W65"/>
      <c r="X65"/>
      <c r="Y65"/>
      <c r="Z65"/>
    </row>
    <row r="66" spans="1:26" ht="14.5" customHeight="1">
      <c r="A66"/>
      <c r="B66" s="28">
        <v>5</v>
      </c>
      <c r="C66" s="85" t="s">
        <v>472</v>
      </c>
      <c r="D66" s="85"/>
      <c r="E66" s="85"/>
      <c r="F66" s="85" t="s">
        <v>473</v>
      </c>
      <c r="G66" s="85"/>
      <c r="H66"/>
      <c r="I66"/>
      <c r="J66"/>
      <c r="K66"/>
      <c r="L66"/>
      <c r="M66"/>
      <c r="N66"/>
      <c r="O66"/>
      <c r="P66"/>
      <c r="Q66"/>
      <c r="R66"/>
      <c r="S66"/>
      <c r="T66"/>
      <c r="U66"/>
      <c r="V66"/>
      <c r="W66"/>
      <c r="X66"/>
      <c r="Y66"/>
      <c r="Z66"/>
    </row>
    <row r="67" spans="1:26" ht="14.5" customHeight="1">
      <c r="A67"/>
      <c r="B67" s="28">
        <v>6</v>
      </c>
      <c r="C67" s="85" t="s">
        <v>474</v>
      </c>
      <c r="D67" s="85"/>
      <c r="E67" s="85"/>
      <c r="F67" s="85" t="s">
        <v>473</v>
      </c>
      <c r="G67" s="85"/>
      <c r="H67"/>
      <c r="I67"/>
      <c r="J67"/>
      <c r="K67"/>
      <c r="L67"/>
      <c r="M67"/>
      <c r="N67"/>
      <c r="O67"/>
      <c r="P67"/>
      <c r="Q67"/>
      <c r="R67"/>
      <c r="S67"/>
      <c r="T67"/>
      <c r="U67"/>
      <c r="V67"/>
      <c r="W67"/>
      <c r="X67"/>
      <c r="Y67"/>
      <c r="Z67"/>
    </row>
    <row r="68" spans="1:26">
      <c r="A68"/>
      <c r="B68"/>
      <c r="C68"/>
      <c r="D68"/>
      <c r="E68"/>
      <c r="F68"/>
      <c r="G68"/>
      <c r="H68"/>
      <c r="I68"/>
      <c r="J68"/>
      <c r="K68"/>
      <c r="L68"/>
      <c r="M68"/>
      <c r="N68"/>
      <c r="O68"/>
      <c r="P68"/>
      <c r="Q68"/>
      <c r="R68"/>
      <c r="S68"/>
      <c r="T68"/>
      <c r="U68"/>
      <c r="V68"/>
      <c r="W68"/>
      <c r="X68"/>
      <c r="Y68"/>
      <c r="Z68"/>
    </row>
    <row r="69" spans="1:26">
      <c r="A69"/>
      <c r="B69"/>
      <c r="C69"/>
      <c r="D69"/>
      <c r="E69"/>
      <c r="F69"/>
      <c r="G69"/>
      <c r="H69"/>
      <c r="I69"/>
      <c r="J69"/>
      <c r="K69"/>
      <c r="L69"/>
      <c r="M69"/>
      <c r="N69"/>
      <c r="O69"/>
      <c r="P69"/>
      <c r="Q69"/>
      <c r="R69"/>
      <c r="S69"/>
      <c r="T69"/>
      <c r="U69"/>
      <c r="V69"/>
      <c r="W69"/>
      <c r="X69"/>
      <c r="Y69"/>
      <c r="Z69"/>
    </row>
    <row r="70" spans="1:26" ht="15.5" customHeight="1">
      <c r="A70"/>
      <c r="B70" s="83" t="s">
        <v>438</v>
      </c>
      <c r="C70" s="83"/>
      <c r="D70" s="83"/>
      <c r="E70" s="83"/>
      <c r="F70" s="83"/>
      <c r="G70" s="83"/>
      <c r="H70"/>
      <c r="I70"/>
      <c r="J70"/>
      <c r="K70"/>
      <c r="L70"/>
      <c r="M70"/>
      <c r="N70"/>
      <c r="O70"/>
      <c r="P70"/>
      <c r="Q70"/>
      <c r="R70"/>
      <c r="S70"/>
      <c r="T70"/>
      <c r="U70"/>
      <c r="V70"/>
      <c r="W70"/>
      <c r="X70"/>
      <c r="Y70"/>
      <c r="Z70"/>
    </row>
    <row r="71" spans="1:26" ht="14.5" customHeight="1">
      <c r="A71"/>
      <c r="B71" s="23" t="s">
        <v>83</v>
      </c>
      <c r="C71" s="84" t="s">
        <v>217</v>
      </c>
      <c r="D71" s="84"/>
      <c r="E71" s="84"/>
      <c r="F71" s="84" t="s">
        <v>216</v>
      </c>
      <c r="G71" s="84"/>
      <c r="H71"/>
      <c r="I71"/>
      <c r="J71"/>
      <c r="K71"/>
      <c r="L71"/>
      <c r="M71"/>
      <c r="N71"/>
      <c r="O71"/>
      <c r="P71"/>
      <c r="Q71"/>
      <c r="R71"/>
      <c r="S71"/>
      <c r="T71"/>
      <c r="U71"/>
      <c r="V71"/>
      <c r="W71"/>
      <c r="X71"/>
      <c r="Y71"/>
      <c r="Z71"/>
    </row>
    <row r="72" spans="1:26" ht="14.5" customHeight="1">
      <c r="A72"/>
      <c r="B72" s="28">
        <v>1</v>
      </c>
      <c r="C72" s="85" t="s">
        <v>475</v>
      </c>
      <c r="D72" s="85"/>
      <c r="E72" s="85"/>
      <c r="F72" s="85" t="s">
        <v>456</v>
      </c>
      <c r="G72" s="85"/>
      <c r="H72"/>
      <c r="I72"/>
      <c r="J72"/>
      <c r="K72"/>
      <c r="L72"/>
      <c r="M72"/>
      <c r="N72"/>
      <c r="O72"/>
      <c r="P72"/>
      <c r="Q72"/>
      <c r="R72"/>
      <c r="S72"/>
      <c r="T72"/>
      <c r="U72"/>
      <c r="V72"/>
      <c r="W72"/>
      <c r="X72"/>
      <c r="Y72"/>
      <c r="Z72"/>
    </row>
    <row r="73" spans="1:26" ht="14.5" customHeight="1">
      <c r="A73"/>
      <c r="B73" s="28">
        <v>2</v>
      </c>
      <c r="C73" s="85" t="s">
        <v>476</v>
      </c>
      <c r="D73" s="85"/>
      <c r="E73" s="85"/>
      <c r="F73" s="85" t="s">
        <v>458</v>
      </c>
      <c r="G73" s="85"/>
      <c r="H73"/>
      <c r="I73"/>
      <c r="J73"/>
      <c r="K73"/>
      <c r="L73"/>
      <c r="M73"/>
      <c r="N73"/>
      <c r="O73"/>
      <c r="P73"/>
      <c r="Q73"/>
      <c r="R73"/>
      <c r="S73"/>
      <c r="T73"/>
      <c r="U73"/>
      <c r="V73"/>
      <c r="W73"/>
      <c r="X73"/>
      <c r="Y73"/>
      <c r="Z73"/>
    </row>
    <row r="74" spans="1:26" ht="14.5" customHeight="1">
      <c r="A74"/>
      <c r="B74" s="28">
        <v>3</v>
      </c>
      <c r="C74" s="85" t="s">
        <v>477</v>
      </c>
      <c r="D74" s="85"/>
      <c r="E74" s="85"/>
      <c r="F74" s="85" t="s">
        <v>458</v>
      </c>
      <c r="G74" s="85"/>
      <c r="H74"/>
      <c r="I74"/>
      <c r="J74"/>
      <c r="K74"/>
      <c r="L74"/>
      <c r="M74"/>
      <c r="N74"/>
      <c r="O74"/>
      <c r="P74"/>
      <c r="Q74"/>
      <c r="R74"/>
      <c r="S74"/>
      <c r="T74"/>
      <c r="U74"/>
      <c r="V74"/>
      <c r="W74"/>
      <c r="X74"/>
      <c r="Y74"/>
      <c r="Z74"/>
    </row>
    <row r="75" spans="1:26" ht="22" customHeight="1">
      <c r="A75"/>
      <c r="B75" s="28">
        <v>4</v>
      </c>
      <c r="C75" s="85" t="s">
        <v>478</v>
      </c>
      <c r="D75" s="85"/>
      <c r="E75" s="85"/>
      <c r="F75" s="85" t="s">
        <v>458</v>
      </c>
      <c r="G75" s="85"/>
      <c r="H75"/>
      <c r="I75"/>
      <c r="J75"/>
      <c r="K75"/>
      <c r="L75"/>
      <c r="M75"/>
      <c r="N75"/>
      <c r="O75"/>
      <c r="P75"/>
      <c r="Q75"/>
      <c r="R75"/>
      <c r="S75"/>
      <c r="T75"/>
      <c r="U75"/>
      <c r="V75"/>
      <c r="W75"/>
      <c r="X75"/>
      <c r="Y75"/>
      <c r="Z75"/>
    </row>
    <row r="76" spans="1:26" ht="14.5" customHeight="1">
      <c r="A76"/>
      <c r="B76" s="28">
        <v>5</v>
      </c>
      <c r="C76" s="85" t="s">
        <v>479</v>
      </c>
      <c r="D76" s="85"/>
      <c r="E76" s="85"/>
      <c r="F76" s="85" t="s">
        <v>458</v>
      </c>
      <c r="G76" s="85"/>
      <c r="H76"/>
      <c r="I76"/>
      <c r="J76"/>
      <c r="K76"/>
      <c r="L76"/>
      <c r="M76"/>
      <c r="N76"/>
      <c r="O76"/>
      <c r="P76"/>
      <c r="Q76"/>
      <c r="R76"/>
      <c r="S76"/>
      <c r="T76"/>
      <c r="U76"/>
      <c r="V76"/>
      <c r="W76"/>
      <c r="X76"/>
      <c r="Y76"/>
      <c r="Z76"/>
    </row>
    <row r="77" spans="1:26" ht="14.5" customHeight="1">
      <c r="A77"/>
      <c r="B77" s="28">
        <v>6</v>
      </c>
      <c r="C77" s="85" t="s">
        <v>480</v>
      </c>
      <c r="D77" s="85"/>
      <c r="E77" s="85"/>
      <c r="F77" s="85" t="s">
        <v>473</v>
      </c>
      <c r="G77" s="85"/>
      <c r="H77"/>
      <c r="I77"/>
      <c r="J77"/>
      <c r="K77"/>
      <c r="L77"/>
      <c r="M77"/>
      <c r="N77"/>
      <c r="O77"/>
      <c r="P77"/>
      <c r="Q77"/>
      <c r="R77"/>
      <c r="S77"/>
      <c r="T77"/>
      <c r="U77"/>
      <c r="V77"/>
      <c r="W77"/>
      <c r="X77"/>
      <c r="Y77"/>
      <c r="Z77"/>
    </row>
    <row r="78" spans="1:26">
      <c r="A78"/>
      <c r="B78"/>
      <c r="C78"/>
      <c r="D78"/>
      <c r="E78"/>
      <c r="F78"/>
      <c r="G78"/>
      <c r="H78"/>
      <c r="I78"/>
      <c r="J78"/>
      <c r="K78"/>
      <c r="L78"/>
      <c r="M78"/>
      <c r="N78"/>
      <c r="O78"/>
      <c r="P78"/>
      <c r="Q78"/>
      <c r="R78"/>
      <c r="S78"/>
      <c r="T78"/>
      <c r="U78"/>
      <c r="V78"/>
      <c r="W78"/>
      <c r="X78"/>
      <c r="Y78"/>
      <c r="Z78"/>
    </row>
    <row r="79" spans="1:26">
      <c r="A79"/>
      <c r="B79"/>
      <c r="C79"/>
      <c r="D79"/>
      <c r="E79"/>
      <c r="F79"/>
      <c r="G79"/>
      <c r="H79"/>
      <c r="I79"/>
      <c r="J79"/>
      <c r="K79"/>
      <c r="L79"/>
      <c r="M79"/>
      <c r="N79"/>
      <c r="O79"/>
      <c r="P79"/>
      <c r="Q79"/>
      <c r="R79"/>
      <c r="S79"/>
      <c r="T79"/>
      <c r="U79"/>
      <c r="V79"/>
      <c r="W79"/>
      <c r="X79"/>
      <c r="Y79"/>
      <c r="Z79"/>
    </row>
    <row r="80" spans="1:26">
      <c r="A80"/>
      <c r="B80"/>
      <c r="C80"/>
      <c r="D80"/>
      <c r="E80"/>
      <c r="F80"/>
      <c r="G80"/>
      <c r="H80"/>
      <c r="I80"/>
      <c r="J80"/>
      <c r="K80"/>
      <c r="L80"/>
      <c r="M80"/>
      <c r="N80"/>
      <c r="O80"/>
      <c r="P80"/>
      <c r="Q80"/>
      <c r="R80"/>
      <c r="S80"/>
      <c r="T80"/>
      <c r="U80"/>
      <c r="V80"/>
      <c r="W80"/>
      <c r="X80"/>
      <c r="Y80"/>
      <c r="Z80"/>
    </row>
    <row r="81" spans="1:26">
      <c r="A81"/>
      <c r="B81"/>
      <c r="C81"/>
      <c r="D81"/>
      <c r="E81"/>
      <c r="F81"/>
      <c r="G81"/>
      <c r="H81"/>
      <c r="I81"/>
      <c r="J81"/>
      <c r="K81"/>
      <c r="L81"/>
      <c r="M81"/>
      <c r="N81"/>
      <c r="O81"/>
      <c r="P81"/>
      <c r="Q81"/>
      <c r="R81"/>
      <c r="S81"/>
      <c r="T81"/>
      <c r="U81"/>
      <c r="V81"/>
      <c r="W81"/>
      <c r="X81"/>
      <c r="Y81"/>
      <c r="Z81"/>
    </row>
    <row r="82" spans="1:26">
      <c r="A82"/>
      <c r="B82"/>
      <c r="C82"/>
      <c r="D82"/>
      <c r="E82"/>
      <c r="F82"/>
      <c r="G82"/>
      <c r="H82"/>
      <c r="I82"/>
      <c r="J82"/>
      <c r="K82"/>
      <c r="L82"/>
      <c r="M82"/>
      <c r="N82"/>
      <c r="O82"/>
      <c r="P82"/>
      <c r="Q82"/>
      <c r="R82"/>
      <c r="S82"/>
      <c r="T82"/>
      <c r="U82"/>
      <c r="V82"/>
      <c r="W82"/>
      <c r="X82"/>
      <c r="Y82"/>
      <c r="Z82"/>
    </row>
    <row r="83" spans="1:26">
      <c r="A83"/>
      <c r="B83"/>
      <c r="C83"/>
      <c r="D83"/>
      <c r="E83"/>
      <c r="F83"/>
      <c r="G83"/>
      <c r="H83"/>
      <c r="I83"/>
      <c r="J83"/>
      <c r="K83"/>
      <c r="L83"/>
      <c r="M83"/>
      <c r="N83"/>
      <c r="O83"/>
      <c r="P83"/>
      <c r="Q83"/>
      <c r="R83"/>
      <c r="S83"/>
      <c r="T83"/>
      <c r="U83"/>
      <c r="V83"/>
      <c r="W83"/>
      <c r="X83"/>
      <c r="Y83"/>
      <c r="Z83"/>
    </row>
    <row r="84" spans="1:26">
      <c r="A84"/>
      <c r="B84"/>
      <c r="C84"/>
      <c r="D84"/>
      <c r="E84"/>
      <c r="F84"/>
      <c r="G84"/>
      <c r="H84"/>
      <c r="I84"/>
      <c r="J84"/>
      <c r="K84"/>
      <c r="L84"/>
      <c r="M84"/>
      <c r="N84"/>
      <c r="O84"/>
      <c r="P84"/>
      <c r="Q84"/>
      <c r="R84"/>
      <c r="S84"/>
      <c r="T84"/>
      <c r="U84"/>
      <c r="V84"/>
      <c r="W84"/>
      <c r="X84"/>
      <c r="Y84"/>
      <c r="Z84"/>
    </row>
    <row r="85" spans="1:26">
      <c r="A85"/>
      <c r="B85"/>
      <c r="C85"/>
      <c r="D85"/>
      <c r="E85"/>
      <c r="F85"/>
      <c r="G85"/>
      <c r="H85"/>
      <c r="I85"/>
      <c r="J85"/>
      <c r="K85"/>
      <c r="L85"/>
      <c r="M85"/>
      <c r="N85"/>
      <c r="O85"/>
      <c r="P85"/>
      <c r="Q85"/>
      <c r="R85"/>
      <c r="S85"/>
      <c r="T85"/>
      <c r="U85"/>
      <c r="V85"/>
      <c r="W85"/>
      <c r="X85"/>
      <c r="Y85"/>
      <c r="Z85"/>
    </row>
    <row r="86" spans="1:26">
      <c r="A86"/>
      <c r="B86"/>
      <c r="C86"/>
      <c r="D86"/>
      <c r="E86"/>
      <c r="F86"/>
      <c r="G86"/>
      <c r="H86"/>
      <c r="I86"/>
      <c r="J86"/>
      <c r="K86"/>
      <c r="L86"/>
      <c r="M86"/>
      <c r="N86"/>
      <c r="O86"/>
      <c r="P86"/>
      <c r="Q86"/>
      <c r="R86"/>
      <c r="S86"/>
      <c r="T86"/>
      <c r="U86"/>
      <c r="V86"/>
      <c r="W86"/>
      <c r="X86"/>
      <c r="Y86"/>
      <c r="Z86"/>
    </row>
    <row r="87" spans="1:26">
      <c r="A87"/>
      <c r="B87"/>
      <c r="C87"/>
      <c r="D87"/>
      <c r="E87"/>
      <c r="F87"/>
      <c r="G87"/>
      <c r="H87"/>
      <c r="I87"/>
      <c r="J87"/>
      <c r="K87"/>
      <c r="L87"/>
      <c r="M87"/>
      <c r="N87"/>
      <c r="O87"/>
      <c r="P87"/>
      <c r="Q87"/>
      <c r="R87"/>
      <c r="S87"/>
      <c r="T87"/>
      <c r="U87"/>
      <c r="V87"/>
      <c r="W87"/>
      <c r="X87"/>
      <c r="Y87"/>
      <c r="Z87"/>
    </row>
    <row r="88" spans="1:26">
      <c r="A88"/>
      <c r="B88"/>
      <c r="C88"/>
      <c r="D88"/>
      <c r="E88"/>
      <c r="F88"/>
      <c r="G88"/>
      <c r="H88"/>
      <c r="I88"/>
      <c r="J88"/>
      <c r="K88"/>
      <c r="L88"/>
      <c r="M88"/>
      <c r="N88"/>
      <c r="O88"/>
      <c r="P88"/>
      <c r="Q88"/>
      <c r="R88"/>
      <c r="S88"/>
      <c r="T88"/>
      <c r="U88"/>
      <c r="V88"/>
      <c r="W88"/>
      <c r="X88"/>
      <c r="Y88"/>
      <c r="Z88"/>
    </row>
    <row r="89" spans="1:26">
      <c r="A89"/>
      <c r="B89"/>
      <c r="C89"/>
      <c r="D89"/>
      <c r="E89"/>
      <c r="F89"/>
      <c r="G89"/>
      <c r="H89"/>
      <c r="I89"/>
      <c r="J89"/>
      <c r="K89"/>
      <c r="L89"/>
      <c r="M89"/>
      <c r="N89"/>
      <c r="O89"/>
      <c r="P89"/>
      <c r="Q89"/>
      <c r="R89"/>
      <c r="S89"/>
      <c r="T89"/>
      <c r="U89"/>
      <c r="V89"/>
      <c r="W89"/>
      <c r="X89"/>
      <c r="Y89"/>
      <c r="Z89"/>
    </row>
    <row r="90" spans="1:26">
      <c r="A90"/>
      <c r="B90"/>
      <c r="C90"/>
      <c r="D90"/>
      <c r="E90"/>
      <c r="F90"/>
      <c r="G90"/>
      <c r="H90"/>
      <c r="I90"/>
      <c r="J90"/>
      <c r="K90"/>
      <c r="L90"/>
      <c r="M90"/>
      <c r="N90"/>
      <c r="O90"/>
      <c r="P90"/>
      <c r="Q90"/>
      <c r="R90"/>
      <c r="S90"/>
      <c r="T90"/>
      <c r="U90"/>
      <c r="V90"/>
      <c r="W90"/>
      <c r="X90"/>
      <c r="Y90"/>
      <c r="Z90"/>
    </row>
    <row r="91" spans="1:26">
      <c r="A91"/>
      <c r="B91"/>
      <c r="C91"/>
      <c r="D91"/>
      <c r="E91"/>
      <c r="F91"/>
      <c r="G91"/>
      <c r="H91"/>
      <c r="I91"/>
      <c r="J91"/>
      <c r="K91"/>
      <c r="L91"/>
      <c r="M91"/>
      <c r="N91"/>
      <c r="O91"/>
      <c r="P91"/>
      <c r="Q91"/>
      <c r="R91"/>
      <c r="S91"/>
      <c r="T91"/>
      <c r="U91"/>
      <c r="V91"/>
      <c r="W91"/>
      <c r="X91"/>
      <c r="Y91"/>
      <c r="Z91"/>
    </row>
    <row r="92" spans="1:26">
      <c r="A92"/>
      <c r="B92"/>
      <c r="C92"/>
      <c r="D92"/>
      <c r="E92"/>
      <c r="F92"/>
      <c r="G92"/>
      <c r="H92"/>
      <c r="I92"/>
      <c r="J92"/>
      <c r="K92"/>
      <c r="L92"/>
      <c r="M92"/>
      <c r="N92"/>
      <c r="O92"/>
      <c r="P92"/>
      <c r="Q92"/>
      <c r="R92"/>
      <c r="S92"/>
      <c r="T92"/>
      <c r="U92"/>
      <c r="V92"/>
      <c r="W92"/>
      <c r="X92"/>
      <c r="Y92"/>
      <c r="Z92"/>
    </row>
    <row r="93" spans="1:26">
      <c r="A93"/>
      <c r="B93"/>
      <c r="C93"/>
      <c r="D93"/>
      <c r="E93"/>
      <c r="F93"/>
      <c r="G93"/>
      <c r="H93"/>
      <c r="I93"/>
      <c r="J93"/>
      <c r="K93"/>
      <c r="L93"/>
      <c r="M93"/>
      <c r="N93"/>
      <c r="O93"/>
      <c r="P93"/>
      <c r="Q93"/>
      <c r="R93"/>
      <c r="S93"/>
      <c r="T93"/>
      <c r="U93"/>
      <c r="V93"/>
      <c r="W93"/>
      <c r="X93"/>
      <c r="Y93"/>
      <c r="Z93"/>
    </row>
    <row r="94" spans="1:26">
      <c r="A94"/>
      <c r="B94"/>
      <c r="C94"/>
      <c r="D94"/>
      <c r="E94"/>
      <c r="F94"/>
      <c r="G94"/>
      <c r="H94"/>
      <c r="I94"/>
      <c r="J94"/>
      <c r="K94"/>
      <c r="L94"/>
      <c r="M94"/>
      <c r="N94"/>
      <c r="O94"/>
      <c r="P94"/>
      <c r="Q94"/>
      <c r="R94"/>
      <c r="S94"/>
      <c r="T94"/>
      <c r="U94"/>
      <c r="V94"/>
      <c r="W94"/>
      <c r="X94"/>
      <c r="Y94"/>
      <c r="Z94"/>
    </row>
    <row r="95" spans="1:26">
      <c r="A95"/>
      <c r="B95"/>
      <c r="C95"/>
      <c r="D95"/>
      <c r="E95"/>
      <c r="F95"/>
      <c r="G95"/>
      <c r="H95"/>
      <c r="I95"/>
      <c r="J95"/>
      <c r="K95"/>
      <c r="L95"/>
      <c r="M95"/>
      <c r="N95"/>
      <c r="O95"/>
      <c r="P95"/>
      <c r="Q95"/>
      <c r="R95"/>
      <c r="S95"/>
      <c r="T95"/>
      <c r="U95"/>
      <c r="V95"/>
      <c r="W95"/>
      <c r="X95"/>
      <c r="Y95"/>
      <c r="Z95"/>
    </row>
    <row r="96" spans="1:26">
      <c r="A96"/>
      <c r="B96"/>
      <c r="C96"/>
      <c r="D96"/>
      <c r="E96"/>
      <c r="F96"/>
      <c r="G96"/>
      <c r="H96"/>
      <c r="I96"/>
      <c r="J96"/>
      <c r="K96"/>
      <c r="L96"/>
      <c r="M96"/>
      <c r="N96"/>
      <c r="O96"/>
      <c r="P96"/>
      <c r="Q96"/>
      <c r="R96"/>
      <c r="S96"/>
      <c r="T96"/>
      <c r="U96"/>
      <c r="V96"/>
      <c r="W96"/>
      <c r="X96"/>
      <c r="Y96"/>
      <c r="Z96"/>
    </row>
    <row r="97" spans="1:26">
      <c r="A97"/>
      <c r="B97"/>
      <c r="C97"/>
      <c r="D97"/>
      <c r="E97"/>
      <c r="F97"/>
      <c r="G97"/>
      <c r="H97"/>
      <c r="I97"/>
      <c r="J97"/>
      <c r="K97"/>
      <c r="L97"/>
      <c r="M97"/>
      <c r="N97"/>
      <c r="O97"/>
      <c r="P97"/>
      <c r="Q97"/>
      <c r="R97"/>
      <c r="S97"/>
      <c r="T97"/>
      <c r="U97"/>
      <c r="V97"/>
      <c r="W97"/>
      <c r="X97"/>
      <c r="Y97"/>
      <c r="Z97"/>
    </row>
    <row r="98" spans="1:26">
      <c r="A98"/>
      <c r="B98"/>
      <c r="C98"/>
      <c r="D98"/>
      <c r="E98"/>
      <c r="F98"/>
      <c r="G98"/>
      <c r="H98"/>
      <c r="I98"/>
      <c r="J98"/>
      <c r="K98"/>
      <c r="L98"/>
      <c r="M98"/>
      <c r="N98"/>
      <c r="O98"/>
      <c r="P98"/>
      <c r="Q98"/>
      <c r="R98"/>
      <c r="S98"/>
      <c r="T98"/>
      <c r="U98"/>
      <c r="V98"/>
      <c r="W98"/>
      <c r="X98"/>
      <c r="Y98"/>
      <c r="Z98"/>
    </row>
    <row r="99" spans="1:26">
      <c r="A99"/>
      <c r="B99"/>
      <c r="C99"/>
      <c r="D99"/>
      <c r="E99"/>
      <c r="F99"/>
      <c r="G99"/>
      <c r="H99"/>
      <c r="I99"/>
      <c r="J99"/>
      <c r="K99"/>
      <c r="L99"/>
      <c r="M99"/>
      <c r="N99"/>
      <c r="O99"/>
      <c r="P99"/>
      <c r="Q99"/>
      <c r="R99"/>
      <c r="S99"/>
      <c r="T99"/>
      <c r="U99"/>
      <c r="V99"/>
      <c r="W99"/>
      <c r="X99"/>
      <c r="Y99"/>
      <c r="Z99"/>
    </row>
    <row r="100" spans="1:26">
      <c r="A100"/>
      <c r="B100"/>
      <c r="C100"/>
      <c r="D100"/>
      <c r="E100"/>
      <c r="F100"/>
      <c r="G100"/>
      <c r="H100"/>
      <c r="I100"/>
      <c r="J100"/>
      <c r="K100"/>
      <c r="L100"/>
      <c r="M100"/>
      <c r="N100"/>
      <c r="O100"/>
      <c r="P100"/>
      <c r="Q100"/>
      <c r="R100"/>
      <c r="S100"/>
      <c r="T100"/>
      <c r="U100"/>
      <c r="V100"/>
      <c r="W100"/>
      <c r="X100"/>
      <c r="Y100"/>
      <c r="Z100"/>
    </row>
    <row r="101" spans="1:26">
      <c r="A101"/>
      <c r="B101"/>
      <c r="C101"/>
      <c r="D101"/>
      <c r="E101"/>
      <c r="F101"/>
      <c r="G101"/>
      <c r="H101"/>
      <c r="I101"/>
      <c r="J101"/>
      <c r="K101"/>
      <c r="L101"/>
      <c r="M101"/>
      <c r="N101"/>
      <c r="O101"/>
      <c r="P101"/>
      <c r="Q101"/>
      <c r="R101"/>
      <c r="S101"/>
      <c r="T101"/>
      <c r="U101"/>
      <c r="V101"/>
      <c r="W101"/>
      <c r="X101"/>
      <c r="Y101"/>
      <c r="Z101"/>
    </row>
    <row r="102" spans="1:26">
      <c r="A102"/>
      <c r="B102"/>
      <c r="C102"/>
      <c r="D102"/>
      <c r="E102"/>
      <c r="F102"/>
      <c r="G102"/>
      <c r="H102"/>
      <c r="I102"/>
      <c r="J102"/>
      <c r="K102"/>
      <c r="L102"/>
      <c r="M102"/>
      <c r="N102"/>
      <c r="O102"/>
      <c r="P102"/>
      <c r="Q102"/>
      <c r="R102"/>
      <c r="S102"/>
      <c r="T102"/>
      <c r="U102"/>
      <c r="V102"/>
      <c r="W102"/>
      <c r="X102"/>
      <c r="Y102"/>
      <c r="Z102"/>
    </row>
    <row r="103" spans="1:26">
      <c r="A103"/>
      <c r="B103"/>
      <c r="C103"/>
      <c r="D103"/>
      <c r="E103"/>
      <c r="F103"/>
      <c r="G103"/>
      <c r="H103"/>
      <c r="I103"/>
      <c r="J103"/>
      <c r="K103"/>
      <c r="L103"/>
      <c r="M103"/>
      <c r="N103"/>
      <c r="O103"/>
      <c r="P103"/>
      <c r="Q103"/>
      <c r="R103"/>
      <c r="S103"/>
      <c r="T103"/>
      <c r="U103"/>
      <c r="V103"/>
      <c r="W103"/>
      <c r="X103"/>
      <c r="Y103"/>
      <c r="Z103"/>
    </row>
    <row r="104" spans="1:26">
      <c r="A104"/>
      <c r="B104"/>
      <c r="C104"/>
      <c r="D104"/>
      <c r="E104"/>
      <c r="F104"/>
      <c r="G104"/>
      <c r="H104"/>
      <c r="I104"/>
      <c r="J104"/>
      <c r="K104"/>
      <c r="L104"/>
      <c r="M104"/>
      <c r="N104"/>
      <c r="O104"/>
      <c r="P104"/>
      <c r="Q104"/>
      <c r="R104"/>
      <c r="S104"/>
      <c r="T104"/>
      <c r="U104"/>
      <c r="V104"/>
      <c r="W104"/>
      <c r="X104"/>
      <c r="Y104"/>
      <c r="Z104"/>
    </row>
    <row r="105" spans="1:26">
      <c r="A105"/>
      <c r="B105"/>
      <c r="C105"/>
      <c r="D105"/>
      <c r="E105"/>
      <c r="F105"/>
      <c r="G105"/>
      <c r="H105"/>
      <c r="I105"/>
      <c r="J105"/>
      <c r="K105"/>
      <c r="L105"/>
      <c r="M105"/>
      <c r="N105"/>
      <c r="O105"/>
      <c r="P105"/>
      <c r="Q105"/>
      <c r="R105"/>
      <c r="S105"/>
      <c r="T105"/>
      <c r="U105"/>
      <c r="V105"/>
      <c r="W105"/>
      <c r="X105"/>
      <c r="Y105"/>
      <c r="Z105"/>
    </row>
    <row r="106" spans="1:26">
      <c r="A106"/>
      <c r="B106"/>
      <c r="C106"/>
      <c r="D106"/>
      <c r="E106"/>
      <c r="F106"/>
      <c r="G106"/>
      <c r="H106"/>
      <c r="I106"/>
      <c r="J106"/>
      <c r="K106"/>
      <c r="L106"/>
      <c r="M106"/>
      <c r="N106"/>
      <c r="O106"/>
      <c r="P106"/>
      <c r="Q106"/>
      <c r="R106"/>
      <c r="S106"/>
      <c r="T106"/>
      <c r="U106"/>
      <c r="V106"/>
      <c r="W106"/>
      <c r="X106"/>
      <c r="Y106"/>
      <c r="Z106"/>
    </row>
    <row r="107" spans="1:26">
      <c r="A107"/>
      <c r="B107"/>
      <c r="C107"/>
      <c r="D107"/>
      <c r="E107"/>
      <c r="F107"/>
      <c r="G107"/>
      <c r="H107"/>
      <c r="I107"/>
      <c r="J107"/>
      <c r="K107"/>
      <c r="L107"/>
      <c r="M107"/>
      <c r="N107"/>
      <c r="O107"/>
      <c r="P107"/>
      <c r="Q107"/>
      <c r="R107"/>
      <c r="S107"/>
      <c r="T107"/>
      <c r="U107"/>
      <c r="V107"/>
      <c r="W107"/>
      <c r="X107"/>
      <c r="Y107"/>
      <c r="Z107"/>
    </row>
    <row r="108" spans="1:26">
      <c r="A108"/>
      <c r="B108"/>
      <c r="C108"/>
      <c r="D108"/>
      <c r="E108"/>
      <c r="F108"/>
      <c r="G108"/>
      <c r="H108"/>
      <c r="I108"/>
      <c r="J108"/>
      <c r="K108"/>
      <c r="L108"/>
      <c r="M108"/>
      <c r="N108"/>
      <c r="O108"/>
      <c r="P108"/>
      <c r="Q108"/>
      <c r="R108"/>
      <c r="S108"/>
      <c r="T108"/>
      <c r="U108"/>
      <c r="V108"/>
      <c r="W108"/>
      <c r="X108"/>
      <c r="Y108"/>
      <c r="Z108"/>
    </row>
    <row r="109" spans="1:26">
      <c r="A109"/>
      <c r="B109"/>
      <c r="C109"/>
      <c r="D109"/>
      <c r="E109"/>
      <c r="F109"/>
      <c r="G109"/>
      <c r="H109"/>
      <c r="I109"/>
      <c r="J109"/>
      <c r="K109"/>
      <c r="L109"/>
      <c r="M109"/>
      <c r="N109"/>
      <c r="O109"/>
      <c r="P109"/>
      <c r="Q109"/>
      <c r="R109"/>
      <c r="S109"/>
      <c r="T109"/>
      <c r="U109"/>
      <c r="V109"/>
      <c r="W109"/>
      <c r="X109"/>
      <c r="Y109"/>
      <c r="Z109"/>
    </row>
    <row r="110" spans="1:26">
      <c r="A110"/>
      <c r="B110"/>
      <c r="C110"/>
      <c r="D110"/>
      <c r="E110"/>
      <c r="F110"/>
      <c r="G110"/>
      <c r="H110"/>
      <c r="I110"/>
      <c r="J110"/>
      <c r="K110"/>
      <c r="L110"/>
      <c r="M110"/>
      <c r="N110"/>
      <c r="O110"/>
      <c r="P110"/>
      <c r="Q110"/>
      <c r="R110"/>
      <c r="S110"/>
      <c r="T110"/>
      <c r="U110"/>
      <c r="V110"/>
      <c r="W110"/>
      <c r="X110"/>
      <c r="Y110"/>
      <c r="Z110"/>
    </row>
    <row r="111" spans="1:26">
      <c r="A111"/>
      <c r="B111"/>
      <c r="C111"/>
      <c r="D111"/>
      <c r="E111"/>
      <c r="F111"/>
      <c r="G111"/>
      <c r="H111"/>
      <c r="I111"/>
      <c r="J111"/>
      <c r="K111"/>
      <c r="L111"/>
      <c r="M111"/>
      <c r="N111"/>
      <c r="O111"/>
      <c r="P111"/>
      <c r="Q111"/>
      <c r="R111"/>
      <c r="S111"/>
      <c r="T111"/>
      <c r="U111"/>
      <c r="V111"/>
      <c r="W111"/>
      <c r="X111"/>
      <c r="Y111"/>
      <c r="Z111"/>
    </row>
    <row r="112" spans="1:26">
      <c r="A112"/>
      <c r="B112"/>
      <c r="C112"/>
      <c r="D112"/>
      <c r="E112"/>
      <c r="F112"/>
      <c r="G112"/>
      <c r="H112"/>
      <c r="I112"/>
      <c r="J112"/>
      <c r="K112"/>
      <c r="L112"/>
      <c r="M112"/>
      <c r="N112"/>
      <c r="O112"/>
      <c r="P112"/>
      <c r="Q112"/>
      <c r="R112"/>
      <c r="S112"/>
      <c r="T112"/>
      <c r="U112"/>
      <c r="V112"/>
      <c r="W112"/>
      <c r="X112"/>
      <c r="Y112"/>
      <c r="Z112"/>
    </row>
    <row r="113" spans="1:26">
      <c r="A113"/>
      <c r="B113"/>
      <c r="C113"/>
      <c r="D113"/>
      <c r="E113"/>
      <c r="F113"/>
      <c r="G113"/>
      <c r="H113"/>
      <c r="I113"/>
      <c r="J113"/>
      <c r="K113"/>
      <c r="L113"/>
      <c r="M113"/>
      <c r="N113"/>
      <c r="O113"/>
      <c r="P113"/>
      <c r="Q113"/>
      <c r="R113"/>
      <c r="S113"/>
      <c r="T113"/>
      <c r="U113"/>
      <c r="V113"/>
      <c r="W113"/>
      <c r="X113"/>
      <c r="Y113"/>
      <c r="Z113"/>
    </row>
    <row r="114" spans="1:26">
      <c r="A114"/>
      <c r="B114"/>
      <c r="C114"/>
      <c r="D114"/>
      <c r="E114"/>
      <c r="F114"/>
      <c r="G114"/>
      <c r="H114"/>
      <c r="I114"/>
      <c r="J114"/>
      <c r="K114"/>
      <c r="L114"/>
      <c r="M114"/>
      <c r="N114"/>
      <c r="O114"/>
      <c r="P114"/>
      <c r="Q114"/>
      <c r="R114"/>
      <c r="S114"/>
      <c r="T114"/>
      <c r="U114"/>
      <c r="V114"/>
      <c r="W114"/>
      <c r="X114"/>
      <c r="Y114"/>
      <c r="Z114"/>
    </row>
    <row r="115" spans="1:26">
      <c r="A115"/>
      <c r="B115"/>
      <c r="C115"/>
      <c r="D115"/>
      <c r="E115"/>
      <c r="F115"/>
      <c r="G115"/>
      <c r="H115"/>
      <c r="I115"/>
      <c r="J115"/>
      <c r="K115"/>
      <c r="L115"/>
      <c r="M115"/>
      <c r="N115"/>
      <c r="O115"/>
      <c r="P115"/>
      <c r="Q115"/>
      <c r="R115"/>
      <c r="S115"/>
      <c r="T115"/>
      <c r="U115"/>
      <c r="V115"/>
      <c r="W115"/>
      <c r="X115"/>
      <c r="Y115"/>
      <c r="Z115"/>
    </row>
    <row r="116" spans="1:26">
      <c r="A116"/>
      <c r="B116"/>
      <c r="C116"/>
      <c r="D116"/>
      <c r="E116"/>
      <c r="F116"/>
      <c r="G116"/>
      <c r="H116"/>
      <c r="I116"/>
      <c r="J116"/>
      <c r="K116"/>
      <c r="L116"/>
      <c r="M116"/>
      <c r="N116"/>
      <c r="O116"/>
      <c r="P116"/>
      <c r="Q116"/>
      <c r="R116"/>
      <c r="S116"/>
      <c r="T116"/>
      <c r="U116"/>
      <c r="V116"/>
      <c r="W116"/>
      <c r="X116"/>
      <c r="Y116"/>
      <c r="Z116"/>
    </row>
    <row r="117" spans="1:26">
      <c r="A117"/>
      <c r="B117"/>
      <c r="C117"/>
      <c r="D117"/>
      <c r="E117"/>
      <c r="F117"/>
      <c r="G117"/>
      <c r="H117"/>
      <c r="I117"/>
      <c r="J117"/>
      <c r="K117"/>
      <c r="L117"/>
      <c r="M117"/>
      <c r="N117"/>
      <c r="O117"/>
      <c r="P117"/>
      <c r="Q117"/>
      <c r="R117"/>
      <c r="S117"/>
      <c r="T117"/>
      <c r="U117"/>
      <c r="V117"/>
      <c r="W117"/>
      <c r="X117"/>
      <c r="Y117"/>
      <c r="Z117"/>
    </row>
  </sheetData>
  <mergeCells count="83">
    <mergeCell ref="F77:G77"/>
    <mergeCell ref="C77:E77"/>
    <mergeCell ref="B60:G60"/>
    <mergeCell ref="F61:G61"/>
    <mergeCell ref="F62:G62"/>
    <mergeCell ref="F63:G63"/>
    <mergeCell ref="F64:G64"/>
    <mergeCell ref="F65:G65"/>
    <mergeCell ref="F66:G66"/>
    <mergeCell ref="F67:G67"/>
    <mergeCell ref="B70:G70"/>
    <mergeCell ref="F71:G71"/>
    <mergeCell ref="F72:G72"/>
    <mergeCell ref="F73:G73"/>
    <mergeCell ref="F74:G74"/>
    <mergeCell ref="F75:G75"/>
    <mergeCell ref="F76:G76"/>
    <mergeCell ref="C72:E72"/>
    <mergeCell ref="C73:E73"/>
    <mergeCell ref="C74:E74"/>
    <mergeCell ref="C75:E75"/>
    <mergeCell ref="C76:E76"/>
    <mergeCell ref="C65:E65"/>
    <mergeCell ref="C66:E66"/>
    <mergeCell ref="C67:E67"/>
    <mergeCell ref="C71:E71"/>
    <mergeCell ref="C61:E61"/>
    <mergeCell ref="C62:E62"/>
    <mergeCell ref="C63:E63"/>
    <mergeCell ref="C64:E64"/>
    <mergeCell ref="C56:E56"/>
    <mergeCell ref="F56:G56"/>
    <mergeCell ref="C57:E57"/>
    <mergeCell ref="F57:G57"/>
    <mergeCell ref="C53:E53"/>
    <mergeCell ref="F53:G53"/>
    <mergeCell ref="C54:E54"/>
    <mergeCell ref="F54:G54"/>
    <mergeCell ref="C55:E55"/>
    <mergeCell ref="F55:G55"/>
    <mergeCell ref="B50:G50"/>
    <mergeCell ref="C51:E51"/>
    <mergeCell ref="F51:G51"/>
    <mergeCell ref="C52:E52"/>
    <mergeCell ref="F52:G52"/>
    <mergeCell ref="G4:G10"/>
    <mergeCell ref="G11:G17"/>
    <mergeCell ref="G18:G24"/>
    <mergeCell ref="G25:G31"/>
    <mergeCell ref="C7:E7"/>
    <mergeCell ref="C9:E9"/>
    <mergeCell ref="C14:E14"/>
    <mergeCell ref="C16:E16"/>
    <mergeCell ref="F4:F10"/>
    <mergeCell ref="C28:E28"/>
    <mergeCell ref="C30:E30"/>
    <mergeCell ref="A1:G1"/>
    <mergeCell ref="C37:E37"/>
    <mergeCell ref="C42:E42"/>
    <mergeCell ref="A4:A10"/>
    <mergeCell ref="A11:A17"/>
    <mergeCell ref="A18:A24"/>
    <mergeCell ref="C5:E5"/>
    <mergeCell ref="F11:F17"/>
    <mergeCell ref="F18:F24"/>
    <mergeCell ref="C19:E19"/>
    <mergeCell ref="C21:E21"/>
    <mergeCell ref="C23:E23"/>
    <mergeCell ref="C12:E12"/>
    <mergeCell ref="F25:F31"/>
    <mergeCell ref="A25:A31"/>
    <mergeCell ref="C26:E26"/>
    <mergeCell ref="C33:E33"/>
    <mergeCell ref="C44:E44"/>
    <mergeCell ref="A32:A38"/>
    <mergeCell ref="F32:F38"/>
    <mergeCell ref="G32:G38"/>
    <mergeCell ref="A39:A47"/>
    <mergeCell ref="C40:E40"/>
    <mergeCell ref="C35:E35"/>
    <mergeCell ref="F39:F47"/>
    <mergeCell ref="G39:G47"/>
    <mergeCell ref="C46:E4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9EBD-6EAF-467E-B9D1-67C405C111A1}">
  <dimension ref="A1:AZ200"/>
  <sheetViews>
    <sheetView showGridLines="0" rightToLeft="1" zoomScale="87" workbookViewId="0">
      <pane ySplit="3" topLeftCell="A55" activePane="bottomLeft" state="frozen"/>
      <selection pane="bottomLeft" activeCell="F73" sqref="C73:G79"/>
    </sheetView>
  </sheetViews>
  <sheetFormatPr defaultRowHeight="14.5"/>
  <cols>
    <col min="1" max="1" width="10.90625" style="24" customWidth="1"/>
    <col min="2" max="2" width="17.26953125" style="24" customWidth="1"/>
    <col min="3" max="4" width="14.54296875" style="24" customWidth="1"/>
    <col min="5" max="6" width="15.453125" style="24" customWidth="1"/>
    <col min="7" max="7" width="4.54296875" style="24" customWidth="1"/>
    <col min="8" max="8" width="27.26953125" style="24" customWidth="1"/>
    <col min="9" max="9" width="4.54296875" style="24" customWidth="1"/>
    <col min="10" max="15" width="13.6328125" style="24" customWidth="1"/>
    <col min="16" max="52" width="11.6328125" style="24" customWidth="1"/>
    <col min="53" max="16384" width="8.7265625" style="24"/>
  </cols>
  <sheetData>
    <row r="1" spans="1:52" ht="26" customHeight="1">
      <c r="A1" s="111" t="s">
        <v>251</v>
      </c>
      <c r="B1" s="111"/>
      <c r="C1" s="111"/>
      <c r="D1" s="111"/>
      <c r="E1" s="111"/>
      <c r="F1" s="111"/>
      <c r="G1" s="34"/>
      <c r="H1" s="34"/>
      <c r="I1" s="34"/>
      <c r="J1" s="34"/>
      <c r="K1" s="34"/>
      <c r="L1" s="34"/>
      <c r="M1" s="34"/>
      <c r="N1" s="34"/>
      <c r="O1" s="34"/>
      <c r="P1"/>
      <c r="Q1"/>
      <c r="R1"/>
      <c r="S1"/>
      <c r="T1"/>
      <c r="U1"/>
      <c r="V1"/>
      <c r="W1"/>
      <c r="X1"/>
      <c r="Y1"/>
      <c r="Z1"/>
      <c r="AA1"/>
      <c r="AB1"/>
      <c r="AC1"/>
      <c r="AD1"/>
      <c r="AE1"/>
      <c r="AF1"/>
      <c r="AG1"/>
      <c r="AH1"/>
      <c r="AI1"/>
      <c r="AJ1"/>
      <c r="AK1"/>
      <c r="AL1"/>
      <c r="AM1"/>
      <c r="AN1"/>
      <c r="AO1"/>
      <c r="AP1"/>
      <c r="AQ1"/>
      <c r="AR1"/>
      <c r="AS1"/>
      <c r="AT1"/>
      <c r="AU1"/>
      <c r="AV1"/>
      <c r="AW1"/>
      <c r="AX1"/>
      <c r="AY1"/>
      <c r="AZ1"/>
    </row>
    <row r="2" spans="1:52" ht="8" customHeight="1">
      <c r="A2" s="34"/>
      <c r="B2" s="34"/>
      <c r="C2" s="34"/>
      <c r="D2" s="34"/>
      <c r="E2" s="34"/>
      <c r="F2" s="34"/>
      <c r="G2" s="34"/>
      <c r="H2" s="34"/>
      <c r="I2" s="34"/>
      <c r="J2" s="34"/>
      <c r="K2" s="34"/>
      <c r="L2" s="34"/>
      <c r="M2" s="34"/>
      <c r="N2" s="34"/>
      <c r="O2" s="34"/>
      <c r="P2"/>
      <c r="Q2"/>
      <c r="R2"/>
      <c r="S2"/>
      <c r="T2"/>
      <c r="U2"/>
      <c r="V2"/>
      <c r="W2"/>
      <c r="X2"/>
      <c r="Y2"/>
      <c r="Z2"/>
      <c r="AA2"/>
      <c r="AB2"/>
      <c r="AC2"/>
      <c r="AD2"/>
      <c r="AE2"/>
      <c r="AF2"/>
      <c r="AG2"/>
      <c r="AH2"/>
      <c r="AI2"/>
      <c r="AJ2"/>
      <c r="AK2"/>
      <c r="AL2"/>
      <c r="AM2"/>
      <c r="AN2"/>
      <c r="AO2"/>
      <c r="AP2"/>
      <c r="AQ2"/>
      <c r="AR2"/>
      <c r="AS2"/>
      <c r="AT2"/>
      <c r="AU2"/>
      <c r="AV2"/>
      <c r="AW2"/>
      <c r="AX2"/>
      <c r="AY2"/>
      <c r="AZ2"/>
    </row>
    <row r="3" spans="1:52" ht="32" customHeight="1">
      <c r="A3" s="35" t="s">
        <v>0</v>
      </c>
      <c r="B3" s="35" t="s">
        <v>1</v>
      </c>
      <c r="C3" s="35" t="s">
        <v>2</v>
      </c>
      <c r="D3" s="35" t="s">
        <v>3</v>
      </c>
      <c r="E3" s="35" t="s">
        <v>138</v>
      </c>
      <c r="F3" s="35" t="s">
        <v>81</v>
      </c>
      <c r="G3" s="34"/>
      <c r="H3" s="43" t="s">
        <v>244</v>
      </c>
      <c r="I3" s="34"/>
      <c r="J3" s="35" t="s">
        <v>245</v>
      </c>
      <c r="K3" s="35" t="s">
        <v>246</v>
      </c>
      <c r="L3" s="35" t="s">
        <v>247</v>
      </c>
      <c r="M3" s="35" t="s">
        <v>145</v>
      </c>
      <c r="N3" s="35" t="s">
        <v>146</v>
      </c>
      <c r="O3" s="35" t="s">
        <v>248</v>
      </c>
      <c r="P3"/>
      <c r="Q3"/>
      <c r="R3"/>
      <c r="S3"/>
      <c r="T3"/>
      <c r="U3"/>
      <c r="V3"/>
      <c r="W3"/>
      <c r="X3"/>
      <c r="Y3"/>
      <c r="Z3"/>
      <c r="AA3"/>
      <c r="AB3"/>
      <c r="AC3"/>
      <c r="AD3"/>
      <c r="AE3"/>
      <c r="AF3"/>
      <c r="AG3"/>
      <c r="AH3"/>
      <c r="AI3"/>
      <c r="AJ3"/>
      <c r="AK3"/>
      <c r="AL3"/>
      <c r="AM3"/>
      <c r="AN3"/>
      <c r="AO3"/>
      <c r="AP3"/>
      <c r="AQ3"/>
      <c r="AR3"/>
      <c r="AS3"/>
      <c r="AT3"/>
      <c r="AU3"/>
      <c r="AV3"/>
      <c r="AW3"/>
      <c r="AX3"/>
      <c r="AY3"/>
      <c r="AZ3"/>
    </row>
    <row r="4" spans="1:52"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40</v>
      </c>
      <c r="D4" s="37" t="s">
        <v>62</v>
      </c>
      <c r="E4" s="107">
        <f>COUNTIF(C4:D12,"* ضد *")</f>
        <v>14</v>
      </c>
      <c r="F4" s="108">
        <f>COUNTIF(C4:D12,"* ضد *")*2/7</f>
        <v>4</v>
      </c>
      <c r="G4" s="34"/>
      <c r="H4" s="44" t="str">
        <f t="shared" ref="H4:H35" si="0">_xlfn.TEXTJOIN(" ",TRUE,C4:D4)</f>
        <v>1 ضد 5 3 ضد 6</v>
      </c>
      <c r="I4" s="34"/>
      <c r="J4" s="39">
        <v>1</v>
      </c>
      <c r="K4" s="39" cm="1">
        <f t="array" ref="K4">SUMPRODUCT(--ISNUMBER(SEARCH(" "&amp;$J4&amp;" "," "&amp;H$4:H$57&amp;" ")))</f>
        <v>24</v>
      </c>
      <c r="L4" s="39" cm="1">
        <f t="array" ref="L4">SUMPRODUCT(--ISNUMBER(SEARCH(" "&amp;$J4&amp;" "," "&amp;H$4:H$56&amp;" ")),--ISNUMBER(SEARCH(" "&amp;$J4&amp;" "," "&amp;H$5:H$57&amp;" ")),--(MOD(ROW(H$4:H$56)-4,$K$12)&lt;=$K$12-2))</f>
        <v>0</v>
      </c>
      <c r="M4" s="39" cm="1">
        <f t="array" ref="M4">SUMPRODUCT(--ISNUMBER(SEARCH(" "&amp;$J4&amp;" "," "&amp;H$4:H$55&amp;" ")),--ISNUMBER(SEARCH(" "&amp;$J4&amp;" "," "&amp;H$6:H$57&amp;" ")),--(MOD(ROW(H$4:H$55)-4,$K$12)&lt;=$K$12-3))</f>
        <v>12</v>
      </c>
      <c r="N4" s="39" cm="1">
        <f t="array" ref="N4">SUMPRODUCT(--ISNUMBER(SEARCH(" "&amp;$J4&amp;" "," "&amp;H$4:H$54&amp;" ")),--ISNUMBER(SEARCH(" "&amp;$J4&amp;" "," "&amp;H$7:H$57&amp;" ")),--(MOD(ROW(H$4:H$54)-4,$K$12)&lt;=$K$12-4))</f>
        <v>6</v>
      </c>
      <c r="O4" s="39">
        <f t="shared" ref="O4:O10" si="1">K4*3/4-L4-M4-N4</f>
        <v>0</v>
      </c>
      <c r="P4"/>
      <c r="Q4"/>
      <c r="R4"/>
      <c r="S4"/>
      <c r="T4"/>
      <c r="U4"/>
      <c r="V4"/>
      <c r="W4"/>
      <c r="X4"/>
      <c r="Y4"/>
      <c r="Z4"/>
      <c r="AA4"/>
      <c r="AB4"/>
      <c r="AC4"/>
      <c r="AD4"/>
      <c r="AE4"/>
      <c r="AF4"/>
      <c r="AG4"/>
      <c r="AH4"/>
      <c r="AI4"/>
      <c r="AJ4"/>
      <c r="AK4"/>
      <c r="AL4"/>
      <c r="AM4"/>
      <c r="AN4"/>
      <c r="AO4"/>
      <c r="AP4"/>
      <c r="AQ4"/>
      <c r="AR4"/>
      <c r="AS4"/>
      <c r="AT4"/>
      <c r="AU4"/>
      <c r="AV4"/>
      <c r="AW4"/>
      <c r="AX4"/>
      <c r="AY4"/>
      <c r="AZ4"/>
    </row>
    <row r="5" spans="1:52"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37" t="s">
        <v>61</v>
      </c>
      <c r="D5" s="37"/>
      <c r="E5" s="108"/>
      <c r="F5" s="108"/>
      <c r="G5" s="34"/>
      <c r="H5" s="44" t="str">
        <f t="shared" si="0"/>
        <v>2 ضد 7</v>
      </c>
      <c r="I5" s="34"/>
      <c r="J5" s="39">
        <v>2</v>
      </c>
      <c r="K5" s="39" cm="1">
        <f t="array" ref="K5">SUMPRODUCT(--ISNUMBER(SEARCH(" "&amp;$J5&amp;" "," "&amp;H$4:H$57&amp;" ")))</f>
        <v>24</v>
      </c>
      <c r="L5" s="39" cm="1">
        <f t="array" ref="L5">SUMPRODUCT(--ISNUMBER(SEARCH(" "&amp;$J5&amp;" "," "&amp;H$4:H$56&amp;" ")),--ISNUMBER(SEARCH(" "&amp;$J5&amp;" "," "&amp;H$5:H$57&amp;" ")),--(MOD(ROW(H$4:H$56)-4,$K$12)&lt;=$K$12-2))</f>
        <v>0</v>
      </c>
      <c r="M5" s="39" cm="1">
        <f t="array" ref="M5">SUMPRODUCT(--ISNUMBER(SEARCH(" "&amp;$J5&amp;" "," "&amp;H$4:H$55&amp;" ")),--ISNUMBER(SEARCH(" "&amp;$J5&amp;" "," "&amp;H$6:H$57&amp;" ")),--(MOD(ROW(H$4:H$55)-4,$K$12)&lt;=$K$12-3))</f>
        <v>13</v>
      </c>
      <c r="N5" s="39" cm="1">
        <f t="array" ref="N5">SUMPRODUCT(--ISNUMBER(SEARCH(" "&amp;$J5&amp;" "," "&amp;H$4:H$54&amp;" ")),--ISNUMBER(SEARCH(" "&amp;$J5&amp;" "," "&amp;H$7:H$57&amp;" ")),--(MOD(ROW(H$4:H$54)-4,$K$12)&lt;=$K$12-4))</f>
        <v>5</v>
      </c>
      <c r="O5" s="39">
        <f t="shared" si="1"/>
        <v>0</v>
      </c>
      <c r="P5"/>
      <c r="Q5"/>
      <c r="R5"/>
      <c r="S5"/>
      <c r="T5"/>
      <c r="U5"/>
      <c r="V5"/>
      <c r="W5"/>
      <c r="X5"/>
      <c r="Y5"/>
      <c r="Z5"/>
      <c r="AA5"/>
      <c r="AB5"/>
      <c r="AC5"/>
      <c r="AD5"/>
      <c r="AE5"/>
      <c r="AF5"/>
      <c r="AG5"/>
      <c r="AH5"/>
      <c r="AI5"/>
      <c r="AJ5"/>
      <c r="AK5"/>
      <c r="AL5"/>
      <c r="AM5"/>
      <c r="AN5"/>
      <c r="AO5"/>
      <c r="AP5"/>
      <c r="AQ5"/>
      <c r="AR5"/>
      <c r="AS5"/>
      <c r="AT5"/>
      <c r="AU5"/>
      <c r="AV5"/>
      <c r="AW5"/>
      <c r="AX5"/>
      <c r="AY5"/>
      <c r="AZ5"/>
    </row>
    <row r="6" spans="1:52"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63</v>
      </c>
      <c r="D6" s="37" t="s">
        <v>66</v>
      </c>
      <c r="E6" s="108"/>
      <c r="F6" s="108"/>
      <c r="G6" s="34"/>
      <c r="H6" s="44" t="str">
        <f t="shared" si="0"/>
        <v>1 ضد 4 3 ضد 5</v>
      </c>
      <c r="I6" s="34"/>
      <c r="J6" s="39">
        <v>3</v>
      </c>
      <c r="K6" s="39" cm="1">
        <f t="array" ref="K6">SUMPRODUCT(--ISNUMBER(SEARCH(" "&amp;$J6&amp;" "," "&amp;H$4:H$57&amp;" ")))</f>
        <v>24</v>
      </c>
      <c r="L6" s="39" cm="1">
        <f t="array" ref="L6">SUMPRODUCT(--ISNUMBER(SEARCH(" "&amp;$J6&amp;" "," "&amp;H$4:H$56&amp;" ")),--ISNUMBER(SEARCH(" "&amp;$J6&amp;" "," "&amp;H$5:H$57&amp;" ")),--(MOD(ROW(H$4:H$56)-4,$K$12)&lt;=$K$12-2))</f>
        <v>0</v>
      </c>
      <c r="M6" s="39" cm="1">
        <f t="array" ref="M6">SUMPRODUCT(--ISNUMBER(SEARCH(" "&amp;$J6&amp;" "," "&amp;H$4:H$55&amp;" ")),--ISNUMBER(SEARCH(" "&amp;$J6&amp;" "," "&amp;H$6:H$57&amp;" ")),--(MOD(ROW(H$4:H$55)-4,$K$12)&lt;=$K$12-3))</f>
        <v>13</v>
      </c>
      <c r="N6" s="39" cm="1">
        <f t="array" ref="N6">SUMPRODUCT(--ISNUMBER(SEARCH(" "&amp;$J6&amp;" "," "&amp;H$4:H$54&amp;" ")),--ISNUMBER(SEARCH(" "&amp;$J6&amp;" "," "&amp;H$7:H$57&amp;" ")),--(MOD(ROW(H$4:H$54)-4,$K$12)&lt;=$K$12-4))</f>
        <v>5</v>
      </c>
      <c r="O6" s="39">
        <f t="shared" si="1"/>
        <v>0</v>
      </c>
      <c r="P6"/>
      <c r="Q6"/>
      <c r="R6"/>
      <c r="S6"/>
      <c r="T6"/>
      <c r="U6"/>
      <c r="V6"/>
      <c r="W6"/>
      <c r="X6"/>
      <c r="Y6"/>
      <c r="Z6"/>
      <c r="AA6"/>
      <c r="AB6"/>
      <c r="AC6"/>
      <c r="AD6"/>
      <c r="AE6"/>
      <c r="AF6"/>
      <c r="AG6"/>
      <c r="AH6"/>
      <c r="AI6"/>
      <c r="AJ6"/>
      <c r="AK6"/>
      <c r="AL6"/>
      <c r="AM6"/>
      <c r="AN6"/>
      <c r="AO6"/>
      <c r="AP6"/>
      <c r="AQ6"/>
      <c r="AR6"/>
      <c r="AS6"/>
      <c r="AT6"/>
      <c r="AU6"/>
      <c r="AV6"/>
      <c r="AW6"/>
      <c r="AX6"/>
      <c r="AY6"/>
      <c r="AZ6"/>
    </row>
    <row r="7" spans="1:52"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37" t="s">
        <v>52</v>
      </c>
      <c r="D7" s="37"/>
      <c r="E7" s="108"/>
      <c r="F7" s="108"/>
      <c r="G7" s="34"/>
      <c r="H7" s="44" t="str">
        <f t="shared" si="0"/>
        <v>2 ضد 6</v>
      </c>
      <c r="I7" s="34"/>
      <c r="J7" s="39">
        <v>4</v>
      </c>
      <c r="K7" s="39" cm="1">
        <f t="array" ref="K7">SUMPRODUCT(--ISNUMBER(SEARCH(" "&amp;$J7&amp;" "," "&amp;H$4:H$57&amp;" ")))</f>
        <v>24</v>
      </c>
      <c r="L7" s="39" cm="1">
        <f t="array" ref="L7">SUMPRODUCT(--ISNUMBER(SEARCH(" "&amp;$J7&amp;" "," "&amp;H$4:H$56&amp;" ")),--ISNUMBER(SEARCH(" "&amp;$J7&amp;" "," "&amp;H$5:H$57&amp;" ")),--(MOD(ROW(H$4:H$56)-4,$K$12)&lt;=$K$12-2))</f>
        <v>0</v>
      </c>
      <c r="M7" s="39" cm="1">
        <f t="array" ref="M7">SUMPRODUCT(--ISNUMBER(SEARCH(" "&amp;$J7&amp;" "," "&amp;H$4:H$55&amp;" ")),--ISNUMBER(SEARCH(" "&amp;$J7&amp;" "," "&amp;H$6:H$57&amp;" ")),--(MOD(ROW(H$4:H$55)-4,$K$12)&lt;=$K$12-3))</f>
        <v>13</v>
      </c>
      <c r="N7" s="39" cm="1">
        <f t="array" ref="N7">SUMPRODUCT(--ISNUMBER(SEARCH(" "&amp;$J7&amp;" "," "&amp;H$4:H$54&amp;" ")),--ISNUMBER(SEARCH(" "&amp;$J7&amp;" "," "&amp;H$7:H$57&amp;" ")),--(MOD(ROW(H$4:H$54)-4,$K$12)&lt;=$K$12-4))</f>
        <v>5</v>
      </c>
      <c r="O7" s="39">
        <f t="shared" si="1"/>
        <v>0</v>
      </c>
      <c r="P7"/>
      <c r="Q7"/>
      <c r="R7"/>
      <c r="S7"/>
      <c r="T7"/>
      <c r="U7"/>
      <c r="V7"/>
      <c r="W7"/>
      <c r="X7"/>
      <c r="Y7"/>
      <c r="Z7"/>
      <c r="AA7"/>
      <c r="AB7"/>
      <c r="AC7"/>
      <c r="AD7"/>
      <c r="AE7"/>
      <c r="AF7"/>
      <c r="AG7"/>
      <c r="AH7"/>
      <c r="AI7"/>
      <c r="AJ7"/>
      <c r="AK7"/>
      <c r="AL7"/>
      <c r="AM7"/>
      <c r="AN7"/>
      <c r="AO7"/>
      <c r="AP7"/>
      <c r="AQ7"/>
      <c r="AR7"/>
      <c r="AS7"/>
      <c r="AT7"/>
      <c r="AU7"/>
      <c r="AV7"/>
      <c r="AW7"/>
      <c r="AX7"/>
      <c r="AY7"/>
      <c r="AZ7"/>
    </row>
    <row r="8" spans="1:52"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50</v>
      </c>
      <c r="D8" s="37" t="s">
        <v>25</v>
      </c>
      <c r="E8" s="108"/>
      <c r="F8" s="108"/>
      <c r="G8" s="34"/>
      <c r="H8" s="44" t="str">
        <f t="shared" si="0"/>
        <v>3 ضد 4 5 ضد 7</v>
      </c>
      <c r="I8" s="34"/>
      <c r="J8" s="39">
        <v>5</v>
      </c>
      <c r="K8" s="39" cm="1">
        <f t="array" ref="K8">SUMPRODUCT(--ISNUMBER(SEARCH(" "&amp;$J8&amp;" "," "&amp;H$4:H$57&amp;" ")))</f>
        <v>24</v>
      </c>
      <c r="L8" s="39" cm="1">
        <f t="array" ref="L8">SUMPRODUCT(--ISNUMBER(SEARCH(" "&amp;$J8&amp;" "," "&amp;H$4:H$56&amp;" ")),--ISNUMBER(SEARCH(" "&amp;$J8&amp;" "," "&amp;H$5:H$57&amp;" ")),--(MOD(ROW(H$4:H$56)-4,$K$12)&lt;=$K$12-2))</f>
        <v>0</v>
      </c>
      <c r="M8" s="39" cm="1">
        <f t="array" ref="M8">SUMPRODUCT(--ISNUMBER(SEARCH(" "&amp;$J8&amp;" "," "&amp;H$4:H$55&amp;" ")),--ISNUMBER(SEARCH(" "&amp;$J8&amp;" "," "&amp;H$6:H$57&amp;" ")),--(MOD(ROW(H$4:H$55)-4,$K$12)&lt;=$K$12-3))</f>
        <v>13</v>
      </c>
      <c r="N8" s="39" cm="1">
        <f t="array" ref="N8">SUMPRODUCT(--ISNUMBER(SEARCH(" "&amp;$J8&amp;" "," "&amp;H$4:H$54&amp;" ")),--ISNUMBER(SEARCH(" "&amp;$J8&amp;" "," "&amp;H$7:H$57&amp;" ")),--(MOD(ROW(H$4:H$54)-4,$K$12)&lt;=$K$12-4))</f>
        <v>5</v>
      </c>
      <c r="O8" s="39">
        <f t="shared" si="1"/>
        <v>0</v>
      </c>
      <c r="P8"/>
      <c r="Q8"/>
      <c r="R8"/>
      <c r="S8"/>
      <c r="T8"/>
      <c r="U8"/>
      <c r="V8"/>
      <c r="W8"/>
      <c r="X8"/>
      <c r="Y8"/>
      <c r="Z8"/>
      <c r="AA8"/>
      <c r="AB8"/>
      <c r="AC8"/>
      <c r="AD8"/>
      <c r="AE8"/>
      <c r="AF8"/>
      <c r="AG8"/>
      <c r="AH8"/>
      <c r="AI8"/>
      <c r="AJ8"/>
      <c r="AK8"/>
      <c r="AL8"/>
      <c r="AM8"/>
      <c r="AN8"/>
      <c r="AO8"/>
      <c r="AP8"/>
      <c r="AQ8"/>
      <c r="AR8"/>
      <c r="AS8"/>
      <c r="AT8"/>
      <c r="AU8"/>
      <c r="AV8"/>
      <c r="AW8"/>
      <c r="AX8"/>
      <c r="AY8"/>
      <c r="AZ8"/>
    </row>
    <row r="9" spans="1:52"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37" t="s">
        <v>38</v>
      </c>
      <c r="D9" s="37"/>
      <c r="E9" s="108"/>
      <c r="F9" s="108"/>
      <c r="G9" s="34"/>
      <c r="H9" s="44" t="str">
        <f t="shared" si="0"/>
        <v>1 ضد 6</v>
      </c>
      <c r="I9" s="34"/>
      <c r="J9" s="39">
        <v>6</v>
      </c>
      <c r="K9" s="39" cm="1">
        <f t="array" ref="K9">SUMPRODUCT(--ISNUMBER(SEARCH(" "&amp;$J9&amp;" "," "&amp;H$4:H$57&amp;" ")))</f>
        <v>24</v>
      </c>
      <c r="L9" s="39" cm="1">
        <f t="array" ref="L9">SUMPRODUCT(--ISNUMBER(SEARCH(" "&amp;$J9&amp;" "," "&amp;H$4:H$56&amp;" ")),--ISNUMBER(SEARCH(" "&amp;$J9&amp;" "," "&amp;H$5:H$57&amp;" ")),--(MOD(ROW(H$4:H$56)-4,$K$12)&lt;=$K$12-2))</f>
        <v>0</v>
      </c>
      <c r="M9" s="39" cm="1">
        <f t="array" ref="M9">SUMPRODUCT(--ISNUMBER(SEARCH(" "&amp;$J9&amp;" "," "&amp;H$4:H$55&amp;" ")),--ISNUMBER(SEARCH(" "&amp;$J9&amp;" "," "&amp;H$6:H$57&amp;" ")),--(MOD(ROW(H$4:H$55)-4,$K$12)&lt;=$K$12-3))</f>
        <v>13</v>
      </c>
      <c r="N9" s="39" cm="1">
        <f t="array" ref="N9">SUMPRODUCT(--ISNUMBER(SEARCH(" "&amp;$J9&amp;" "," "&amp;H$4:H$54&amp;" ")),--ISNUMBER(SEARCH(" "&amp;$J9&amp;" "," "&amp;H$7:H$57&amp;" ")),--(MOD(ROW(H$4:H$54)-4,$K$12)&lt;=$K$12-4))</f>
        <v>5</v>
      </c>
      <c r="O9" s="39">
        <f t="shared" si="1"/>
        <v>0</v>
      </c>
      <c r="P9"/>
      <c r="Q9"/>
      <c r="R9"/>
      <c r="S9"/>
      <c r="T9"/>
      <c r="U9"/>
      <c r="V9"/>
      <c r="W9"/>
      <c r="X9"/>
      <c r="Y9"/>
      <c r="Z9"/>
      <c r="AA9"/>
      <c r="AB9"/>
      <c r="AC9"/>
      <c r="AD9"/>
      <c r="AE9"/>
      <c r="AF9"/>
      <c r="AG9"/>
      <c r="AH9"/>
      <c r="AI9"/>
      <c r="AJ9"/>
      <c r="AK9"/>
      <c r="AL9"/>
      <c r="AM9"/>
      <c r="AN9"/>
      <c r="AO9"/>
      <c r="AP9"/>
      <c r="AQ9"/>
      <c r="AR9"/>
      <c r="AS9"/>
      <c r="AT9"/>
      <c r="AU9"/>
      <c r="AV9"/>
      <c r="AW9"/>
      <c r="AX9"/>
      <c r="AY9"/>
      <c r="AZ9"/>
    </row>
    <row r="10" spans="1:52"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37</v>
      </c>
      <c r="D10" s="37" t="s">
        <v>43</v>
      </c>
      <c r="E10" s="108"/>
      <c r="F10" s="108"/>
      <c r="G10" s="34"/>
      <c r="H10" s="44" t="str">
        <f t="shared" si="0"/>
        <v>2 ضد 3 4 ضد 7</v>
      </c>
      <c r="I10" s="34"/>
      <c r="J10" s="39">
        <v>7</v>
      </c>
      <c r="K10" s="39" cm="1">
        <f t="array" ref="K10">SUMPRODUCT(--ISNUMBER(SEARCH(" "&amp;$J10&amp;" "," "&amp;H$4:H$57&amp;" ")))</f>
        <v>24</v>
      </c>
      <c r="L10" s="39" cm="1">
        <f t="array" ref="L10">SUMPRODUCT(--ISNUMBER(SEARCH(" "&amp;$J10&amp;" "," "&amp;H$4:H$56&amp;" ")),--ISNUMBER(SEARCH(" "&amp;$J10&amp;" "," "&amp;H$5:H$57&amp;" ")),--(MOD(ROW(H$4:H$56)-4,$K$12)&lt;=$K$12-2))</f>
        <v>0</v>
      </c>
      <c r="M10" s="39" cm="1">
        <f t="array" ref="M10">SUMPRODUCT(--ISNUMBER(SEARCH(" "&amp;$J10&amp;" "," "&amp;H$4:H$55&amp;" ")),--ISNUMBER(SEARCH(" "&amp;$J10&amp;" "," "&amp;H$6:H$57&amp;" ")),--(MOD(ROW(H$4:H$55)-4,$K$12)&lt;=$K$12-3))</f>
        <v>13</v>
      </c>
      <c r="N10" s="39" cm="1">
        <f t="array" ref="N10">SUMPRODUCT(--ISNUMBER(SEARCH(" "&amp;$J10&amp;" "," "&amp;H$4:H$54&amp;" ")),--ISNUMBER(SEARCH(" "&amp;$J10&amp;" "," "&amp;H$7:H$57&amp;" ")),--(MOD(ROW(H$4:H$54)-4,$K$12)&lt;=$K$12-4))</f>
        <v>5</v>
      </c>
      <c r="O10" s="39">
        <f t="shared" si="1"/>
        <v>0</v>
      </c>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row>
    <row r="11" spans="1:52" ht="14.5" customHeight="1">
      <c r="A11" s="106"/>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t="s">
        <v>55</v>
      </c>
      <c r="D11" s="37"/>
      <c r="E11" s="108"/>
      <c r="F11" s="108"/>
      <c r="G11" s="34"/>
      <c r="H11" s="44" t="str">
        <f t="shared" si="0"/>
        <v>5 ضد 6</v>
      </c>
      <c r="I11" s="34"/>
      <c r="J11" s="45" t="s">
        <v>249</v>
      </c>
      <c r="K11" s="45">
        <f>SUM(K4:K10)</f>
        <v>168</v>
      </c>
      <c r="L11" s="45">
        <f>SUM(L4:L10)</f>
        <v>0</v>
      </c>
      <c r="M11" s="45">
        <f>SUM(M4:M10)</f>
        <v>90</v>
      </c>
      <c r="N11" s="45">
        <f>SUM(N4:N10)</f>
        <v>36</v>
      </c>
      <c r="O11" s="45">
        <f>SUM(O4:O10)</f>
        <v>0</v>
      </c>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row>
    <row r="12" spans="1:52" ht="14.5" customHeight="1">
      <c r="A12" s="106"/>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t="s">
        <v>160</v>
      </c>
      <c r="D12" s="37" t="s">
        <v>47</v>
      </c>
      <c r="E12" s="108"/>
      <c r="F12" s="108"/>
      <c r="G12" s="34"/>
      <c r="H12" s="44" t="str">
        <f t="shared" si="0"/>
        <v>4 ضد 2 1 ضد 7</v>
      </c>
      <c r="I12" s="34"/>
      <c r="J12" s="39" t="s">
        <v>250</v>
      </c>
      <c r="K12" s="39">
        <f>COUNTA($B$4:$B$57)/COUNTIF($A$4:$A$57,"اليوم *")</f>
        <v>9</v>
      </c>
      <c r="L12" s="39"/>
      <c r="M12" s="39"/>
      <c r="N12" s="39"/>
      <c r="O12" s="39"/>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row>
    <row r="13" spans="1:52" ht="14.5" customHeight="1">
      <c r="A13" s="106" t="s">
        <v>6</v>
      </c>
      <c r="B13"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37" t="s">
        <v>44</v>
      </c>
      <c r="D13" s="37" t="s">
        <v>28</v>
      </c>
      <c r="E13" s="107">
        <f>COUNTIF(C13:D21,"* ضد *")</f>
        <v>14</v>
      </c>
      <c r="F13" s="108">
        <f>COUNTIF(C13:D21,"* ضد *")*2/7</f>
        <v>4</v>
      </c>
      <c r="G13" s="34"/>
      <c r="H13" s="44" t="str">
        <f t="shared" si="0"/>
        <v>2 ضد 5 4 ضد 6</v>
      </c>
      <c r="I13" s="34"/>
      <c r="J13" s="34"/>
      <c r="K13" s="34"/>
      <c r="L13" s="34"/>
      <c r="M13" s="34"/>
      <c r="N13" s="34"/>
      <c r="O13" s="34"/>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row>
    <row r="14" spans="1:52" ht="14.5" customHeight="1">
      <c r="A14" s="106"/>
      <c r="B14"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37" t="s">
        <v>56</v>
      </c>
      <c r="D14" s="37"/>
      <c r="E14" s="108"/>
      <c r="F14" s="108"/>
      <c r="G14" s="34"/>
      <c r="H14" s="44" t="str">
        <f t="shared" si="0"/>
        <v>3 ضد 7</v>
      </c>
      <c r="I14" s="34"/>
      <c r="J14" s="34"/>
      <c r="K14" s="34"/>
      <c r="L14" s="34"/>
      <c r="M14" s="34"/>
      <c r="N14" s="34"/>
      <c r="O14" s="3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row>
    <row r="15" spans="1:52" ht="14.5" customHeight="1">
      <c r="A15" s="106"/>
      <c r="B15"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37" t="s">
        <v>30</v>
      </c>
      <c r="D15" s="37" t="s">
        <v>46</v>
      </c>
      <c r="E15" s="108"/>
      <c r="F15" s="108"/>
      <c r="G15" s="34"/>
      <c r="H15" s="44" t="str">
        <f t="shared" si="0"/>
        <v>1 ضد 2 4 ضد 5</v>
      </c>
      <c r="I15" s="34"/>
      <c r="J15" s="34"/>
      <c r="K15" s="34"/>
      <c r="L15" s="34"/>
      <c r="M15" s="34"/>
      <c r="N15" s="34"/>
      <c r="O15" s="34"/>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row>
    <row r="16" spans="1:52" ht="14.5" customHeight="1">
      <c r="A16" s="106"/>
      <c r="B16"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37" t="s">
        <v>33</v>
      </c>
      <c r="D16" s="37"/>
      <c r="E16" s="108"/>
      <c r="F16" s="108"/>
      <c r="G16" s="34"/>
      <c r="H16" s="44" t="str">
        <f t="shared" si="0"/>
        <v>6 ضد 7</v>
      </c>
      <c r="I16" s="34"/>
      <c r="J16" s="34"/>
      <c r="K16" s="34"/>
      <c r="L16" s="34"/>
      <c r="M16" s="34"/>
      <c r="N16" s="34"/>
      <c r="O16" s="34"/>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row>
    <row r="17" spans="1:52" ht="14.5" customHeight="1">
      <c r="A17" s="106"/>
      <c r="B17"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37" t="s">
        <v>20</v>
      </c>
      <c r="D17" s="37" t="s">
        <v>70</v>
      </c>
      <c r="E17" s="108"/>
      <c r="F17" s="108"/>
      <c r="G17" s="34"/>
      <c r="H17" s="44" t="str">
        <f t="shared" si="0"/>
        <v>1 ضد 3 2 ضد 4</v>
      </c>
      <c r="I17" s="34"/>
      <c r="J17" s="34"/>
      <c r="K17" s="34"/>
      <c r="L17" s="34"/>
      <c r="M17" s="34"/>
      <c r="N17" s="34"/>
      <c r="O17" s="34"/>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row>
    <row r="18" spans="1:52" ht="14.5" customHeight="1">
      <c r="A18" s="106"/>
      <c r="B18"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37" t="s">
        <v>25</v>
      </c>
      <c r="D18" s="37"/>
      <c r="E18" s="108"/>
      <c r="F18" s="108"/>
      <c r="G18" s="34"/>
      <c r="H18" s="44" t="str">
        <f t="shared" si="0"/>
        <v>5 ضد 7</v>
      </c>
      <c r="I18" s="34"/>
      <c r="J18" s="34"/>
      <c r="K18" s="34"/>
      <c r="L18" s="34"/>
      <c r="M18" s="34"/>
      <c r="N18" s="34"/>
      <c r="O18" s="34"/>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row>
    <row r="19" spans="1:52" ht="14.5" customHeight="1">
      <c r="A19" s="106"/>
      <c r="B19"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37" t="s">
        <v>38</v>
      </c>
      <c r="D19" s="37" t="s">
        <v>37</v>
      </c>
      <c r="E19" s="108"/>
      <c r="F19" s="108"/>
      <c r="G19" s="34"/>
      <c r="H19" s="44" t="str">
        <f t="shared" si="0"/>
        <v>1 ضد 6 2 ضد 3</v>
      </c>
      <c r="I19" s="34"/>
      <c r="J19" s="34"/>
      <c r="K19" s="34"/>
      <c r="L19" s="34"/>
      <c r="M19" s="34"/>
      <c r="N19" s="34"/>
      <c r="O19" s="34"/>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row>
    <row r="20" spans="1:52" ht="14.5" customHeight="1">
      <c r="A20" s="106"/>
      <c r="B20"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37" t="s">
        <v>43</v>
      </c>
      <c r="D20" s="37"/>
      <c r="E20" s="108"/>
      <c r="F20" s="108"/>
      <c r="G20" s="34"/>
      <c r="H20" s="44" t="str">
        <f t="shared" si="0"/>
        <v>4 ضد 7</v>
      </c>
      <c r="I20" s="34"/>
      <c r="J20" s="34"/>
      <c r="K20" s="34"/>
      <c r="L20" s="34"/>
      <c r="M20" s="34"/>
      <c r="N20" s="34"/>
      <c r="O20" s="34"/>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row>
    <row r="21" spans="1:52" ht="14.5" customHeight="1">
      <c r="A21" s="106"/>
      <c r="B21"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37" t="s">
        <v>40</v>
      </c>
      <c r="D21" s="37" t="s">
        <v>62</v>
      </c>
      <c r="E21" s="108"/>
      <c r="F21" s="108"/>
      <c r="G21" s="34"/>
      <c r="H21" s="44" t="str">
        <f t="shared" si="0"/>
        <v>1 ضد 5 3 ضد 6</v>
      </c>
      <c r="I21" s="34"/>
      <c r="J21" s="34"/>
      <c r="K21" s="34"/>
      <c r="L21" s="34"/>
      <c r="M21" s="34"/>
      <c r="N21" s="34"/>
      <c r="O21" s="34"/>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row>
    <row r="22" spans="1:52" ht="14.5" customHeight="1">
      <c r="A22" s="106" t="s">
        <v>7</v>
      </c>
      <c r="B2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37" t="s">
        <v>28</v>
      </c>
      <c r="D22" s="37" t="s">
        <v>61</v>
      </c>
      <c r="E22" s="107">
        <f>COUNTIF(C22:D30,"* ضد *")</f>
        <v>14</v>
      </c>
      <c r="F22" s="108">
        <f>COUNTIF(C22:D30,"* ضد *")*2/7</f>
        <v>4</v>
      </c>
      <c r="G22" s="34"/>
      <c r="H22" s="44" t="str">
        <f t="shared" si="0"/>
        <v>4 ضد 6 2 ضد 7</v>
      </c>
      <c r="I22" s="34"/>
      <c r="J22" s="34"/>
      <c r="K22" s="34"/>
      <c r="L22" s="34"/>
      <c r="M22" s="34"/>
      <c r="N22" s="34"/>
      <c r="O22" s="34"/>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row>
    <row r="23" spans="1:52" ht="14.5" customHeight="1">
      <c r="A23" s="106"/>
      <c r="B2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37" t="s">
        <v>20</v>
      </c>
      <c r="D23" s="37"/>
      <c r="E23" s="108"/>
      <c r="F23" s="108"/>
      <c r="G23" s="34"/>
      <c r="H23" s="44" t="str">
        <f t="shared" si="0"/>
        <v>1 ضد 3</v>
      </c>
      <c r="I23" s="34"/>
      <c r="J23" s="34"/>
      <c r="K23" s="34"/>
      <c r="L23" s="34"/>
      <c r="M23" s="34"/>
      <c r="N23" s="34"/>
      <c r="O23" s="34"/>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row>
    <row r="24" spans="1:52" ht="14.5" customHeight="1">
      <c r="A24" s="106"/>
      <c r="B2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37" t="s">
        <v>46</v>
      </c>
      <c r="D24" s="37" t="s">
        <v>33</v>
      </c>
      <c r="E24" s="108"/>
      <c r="F24" s="108"/>
      <c r="G24" s="34"/>
      <c r="H24" s="44" t="str">
        <f t="shared" si="0"/>
        <v>4 ضد 5 6 ضد 7</v>
      </c>
      <c r="I24" s="34"/>
      <c r="J24" s="34"/>
      <c r="K24" s="34"/>
      <c r="L24" s="34"/>
      <c r="M24" s="34"/>
      <c r="N24" s="34"/>
      <c r="O24" s="3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row>
    <row r="25" spans="1:52" ht="14.5" customHeight="1">
      <c r="A25" s="106"/>
      <c r="B2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37" t="s">
        <v>30</v>
      </c>
      <c r="D25" s="37"/>
      <c r="E25" s="108"/>
      <c r="F25" s="108"/>
      <c r="G25" s="34"/>
      <c r="H25" s="44" t="str">
        <f t="shared" si="0"/>
        <v>1 ضد 2</v>
      </c>
      <c r="I25" s="34"/>
      <c r="J25" s="34"/>
      <c r="K25" s="34"/>
      <c r="L25" s="34"/>
      <c r="M25" s="34"/>
      <c r="N25" s="34"/>
      <c r="O25" s="34"/>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row>
    <row r="26" spans="1:52" ht="14.5" customHeight="1">
      <c r="A26" s="106"/>
      <c r="B2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37" t="s">
        <v>252</v>
      </c>
      <c r="D26" s="37" t="s">
        <v>56</v>
      </c>
      <c r="E26" s="108"/>
      <c r="F26" s="108"/>
      <c r="G26" s="34"/>
      <c r="H26" s="44" t="str">
        <f t="shared" si="0"/>
        <v>6 ضد 5 3 ضد 7</v>
      </c>
      <c r="I26" s="34"/>
      <c r="J26" s="34"/>
      <c r="K26" s="34"/>
      <c r="L26" s="34"/>
      <c r="M26" s="34"/>
      <c r="N26" s="34"/>
      <c r="O26" s="34"/>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row>
    <row r="27" spans="1:52" ht="14.5" customHeight="1">
      <c r="A27" s="106"/>
      <c r="B2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37" t="s">
        <v>63</v>
      </c>
      <c r="D27" s="37"/>
      <c r="E27" s="108"/>
      <c r="F27" s="108"/>
      <c r="G27" s="34"/>
      <c r="H27" s="44" t="str">
        <f t="shared" si="0"/>
        <v>1 ضد 4</v>
      </c>
      <c r="I27" s="34"/>
      <c r="J27" s="34"/>
      <c r="K27" s="34"/>
      <c r="L27" s="34"/>
      <c r="M27" s="34"/>
      <c r="N27" s="34"/>
      <c r="O27" s="34"/>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row>
    <row r="28" spans="1:52" ht="14.5" customHeight="1">
      <c r="A28" s="106"/>
      <c r="B2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37" t="s">
        <v>66</v>
      </c>
      <c r="D28" s="37" t="s">
        <v>52</v>
      </c>
      <c r="E28" s="108"/>
      <c r="F28" s="108"/>
      <c r="G28" s="34"/>
      <c r="H28" s="44" t="str">
        <f t="shared" si="0"/>
        <v>3 ضد 5 2 ضد 6</v>
      </c>
      <c r="I28" s="34"/>
      <c r="J28" s="34"/>
      <c r="K28" s="34"/>
      <c r="L28" s="34"/>
      <c r="M28" s="34"/>
      <c r="N28" s="34"/>
      <c r="O28" s="34"/>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row>
    <row r="29" spans="1:52" ht="14.5" customHeight="1">
      <c r="A29" s="106"/>
      <c r="B29"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37" t="s">
        <v>47</v>
      </c>
      <c r="D29" s="37"/>
      <c r="E29" s="108"/>
      <c r="F29" s="108"/>
      <c r="G29" s="34"/>
      <c r="H29" s="44" t="str">
        <f t="shared" si="0"/>
        <v>1 ضد 7</v>
      </c>
      <c r="I29" s="34"/>
      <c r="J29" s="34"/>
      <c r="K29" s="34"/>
      <c r="L29" s="34"/>
      <c r="M29" s="34"/>
      <c r="N29" s="34"/>
      <c r="O29" s="34"/>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row>
    <row r="30" spans="1:52" ht="14.5" customHeight="1">
      <c r="A30" s="106"/>
      <c r="B30"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37" t="s">
        <v>44</v>
      </c>
      <c r="D30" s="37" t="s">
        <v>50</v>
      </c>
      <c r="E30" s="108"/>
      <c r="F30" s="108"/>
      <c r="G30" s="34"/>
      <c r="H30" s="44" t="str">
        <f t="shared" si="0"/>
        <v>2 ضد 5 3 ضد 4</v>
      </c>
      <c r="I30" s="34"/>
      <c r="J30" s="34"/>
      <c r="K30" s="34"/>
      <c r="L30" s="34"/>
      <c r="M30" s="34"/>
      <c r="N30" s="34"/>
      <c r="O30" s="34"/>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row>
    <row r="31" spans="1:52" ht="14.5" customHeight="1">
      <c r="A31" s="106" t="s">
        <v>8</v>
      </c>
      <c r="B3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37" t="s">
        <v>40</v>
      </c>
      <c r="D31" s="37" t="s">
        <v>56</v>
      </c>
      <c r="E31" s="107">
        <f>COUNTIF(C31:D39,"* ضد *")</f>
        <v>14</v>
      </c>
      <c r="F31" s="108">
        <f>COUNTIF(C31:D39,"* ضد *")*2/7</f>
        <v>4</v>
      </c>
      <c r="G31" s="34"/>
      <c r="H31" s="44" t="str">
        <f t="shared" si="0"/>
        <v>1 ضد 5 3 ضد 7</v>
      </c>
      <c r="I31" s="34"/>
      <c r="J31" s="34"/>
      <c r="K31" s="34"/>
      <c r="L31" s="34"/>
      <c r="M31" s="34"/>
      <c r="N31" s="34"/>
      <c r="O31" s="34"/>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row>
    <row r="32" spans="1:52" ht="14.5" customHeight="1">
      <c r="A32" s="106"/>
      <c r="B3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37" t="s">
        <v>28</v>
      </c>
      <c r="D32" s="37"/>
      <c r="E32" s="108"/>
      <c r="F32" s="108"/>
      <c r="G32" s="34"/>
      <c r="H32" s="44" t="str">
        <f t="shared" si="0"/>
        <v>4 ضد 6</v>
      </c>
      <c r="I32" s="34"/>
      <c r="J32" s="34"/>
      <c r="K32" s="34"/>
      <c r="L32" s="34"/>
      <c r="M32" s="34"/>
      <c r="N32" s="34"/>
      <c r="O32" s="34"/>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row>
    <row r="33" spans="1:52" ht="14.5" customHeight="1">
      <c r="A33" s="106"/>
      <c r="B3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37" t="s">
        <v>30</v>
      </c>
      <c r="D33" s="37" t="s">
        <v>66</v>
      </c>
      <c r="E33" s="108"/>
      <c r="F33" s="108"/>
      <c r="G33" s="34"/>
      <c r="H33" s="44" t="str">
        <f t="shared" si="0"/>
        <v>1 ضد 2 3 ضد 5</v>
      </c>
      <c r="I33" s="34"/>
      <c r="J33" s="34"/>
      <c r="K33" s="34"/>
      <c r="L33" s="34"/>
      <c r="M33" s="34"/>
      <c r="N33" s="34"/>
      <c r="O33" s="34"/>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row>
    <row r="34" spans="1:52" ht="14.5" customHeight="1">
      <c r="A34" s="106"/>
      <c r="B3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37" t="s">
        <v>33</v>
      </c>
      <c r="D34" s="37"/>
      <c r="E34" s="108"/>
      <c r="F34" s="108"/>
      <c r="G34" s="34"/>
      <c r="H34" s="44" t="str">
        <f t="shared" si="0"/>
        <v>6 ضد 7</v>
      </c>
      <c r="I34" s="34"/>
      <c r="J34" s="34"/>
      <c r="K34" s="34"/>
      <c r="L34" s="34"/>
      <c r="M34" s="34"/>
      <c r="N34" s="34"/>
      <c r="O34" s="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row>
    <row r="35" spans="1:52" ht="14.5" customHeight="1">
      <c r="A35" s="106"/>
      <c r="B3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37" t="s">
        <v>50</v>
      </c>
      <c r="D35" s="37" t="s">
        <v>44</v>
      </c>
      <c r="E35" s="108"/>
      <c r="F35" s="108"/>
      <c r="G35" s="34"/>
      <c r="H35" s="44" t="str">
        <f t="shared" si="0"/>
        <v>3 ضد 4 2 ضد 5</v>
      </c>
      <c r="I35" s="34"/>
      <c r="J35" s="34"/>
      <c r="K35" s="34"/>
      <c r="L35" s="34"/>
      <c r="M35" s="34"/>
      <c r="N35" s="34"/>
      <c r="O35" s="34"/>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row>
    <row r="36" spans="1:52" ht="14.5" customHeight="1">
      <c r="A36" s="106"/>
      <c r="B3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37" t="s">
        <v>47</v>
      </c>
      <c r="D36" s="37"/>
      <c r="E36" s="108"/>
      <c r="F36" s="108"/>
      <c r="G36" s="34"/>
      <c r="H36" s="44" t="str">
        <f t="shared" ref="H36:H57" si="2">_xlfn.TEXTJOIN(" ",TRUE,C36:D36)</f>
        <v>1 ضد 7</v>
      </c>
      <c r="I36" s="34"/>
      <c r="J36" s="34"/>
      <c r="K36" s="34"/>
      <c r="L36" s="34"/>
      <c r="M36" s="34"/>
      <c r="N36" s="34"/>
      <c r="O36" s="34"/>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row>
    <row r="37" spans="1:52" ht="14.5" customHeight="1">
      <c r="A37" s="106"/>
      <c r="B3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37" t="s">
        <v>70</v>
      </c>
      <c r="D37" s="37" t="s">
        <v>55</v>
      </c>
      <c r="E37" s="108"/>
      <c r="F37" s="108"/>
      <c r="G37" s="34"/>
      <c r="H37" s="44" t="str">
        <f t="shared" si="2"/>
        <v>2 ضد 4 5 ضد 6</v>
      </c>
      <c r="I37" s="34"/>
      <c r="J37" s="34"/>
      <c r="K37" s="34"/>
      <c r="L37" s="34"/>
      <c r="M37" s="34"/>
      <c r="N37" s="34"/>
      <c r="O37" s="34"/>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row>
    <row r="38" spans="1:52" ht="14.5" customHeight="1">
      <c r="A38" s="106"/>
      <c r="B38"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37" t="s">
        <v>20</v>
      </c>
      <c r="D38" s="37"/>
      <c r="E38" s="108"/>
      <c r="F38" s="108"/>
      <c r="G38" s="34"/>
      <c r="H38" s="44" t="str">
        <f t="shared" si="2"/>
        <v>1 ضد 3</v>
      </c>
      <c r="I38" s="34"/>
      <c r="J38" s="34"/>
      <c r="K38" s="34"/>
      <c r="L38" s="34"/>
      <c r="M38" s="34"/>
      <c r="N38" s="34"/>
      <c r="O38" s="34"/>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row>
    <row r="39" spans="1:52" ht="14.5" customHeight="1">
      <c r="A39" s="106"/>
      <c r="B39"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37" t="s">
        <v>43</v>
      </c>
      <c r="D39" s="37" t="s">
        <v>52</v>
      </c>
      <c r="E39" s="108"/>
      <c r="F39" s="108"/>
      <c r="G39" s="34"/>
      <c r="H39" s="44" t="str">
        <f t="shared" si="2"/>
        <v>4 ضد 7 2 ضد 6</v>
      </c>
      <c r="I39" s="34"/>
      <c r="J39" s="34"/>
      <c r="K39" s="34"/>
      <c r="L39" s="34"/>
      <c r="M39" s="34"/>
      <c r="N39" s="34"/>
      <c r="O39" s="34"/>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row>
    <row r="40" spans="1:52" ht="14.5" customHeight="1">
      <c r="A40" s="106" t="s">
        <v>9</v>
      </c>
      <c r="B40"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37" t="s">
        <v>215</v>
      </c>
      <c r="D40" s="37" t="s">
        <v>38</v>
      </c>
      <c r="E40" s="107">
        <f>COUNTIF(C40:D48,"* ضد *")</f>
        <v>14</v>
      </c>
      <c r="F40" s="108">
        <f>COUNTIF(C40:D48,"* ضد *")*2/7</f>
        <v>4</v>
      </c>
      <c r="G40" s="34"/>
      <c r="H40" s="44" t="str">
        <f t="shared" si="2"/>
        <v>5 ضد 4 1 ضد 6</v>
      </c>
      <c r="I40" s="34"/>
      <c r="J40" s="34"/>
      <c r="K40" s="34"/>
      <c r="L40" s="34"/>
      <c r="M40" s="34"/>
      <c r="N40" s="34"/>
      <c r="O40" s="34"/>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row>
    <row r="41" spans="1:52" ht="14.5" customHeight="1">
      <c r="A41" s="106"/>
      <c r="B41"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37" t="s">
        <v>61</v>
      </c>
      <c r="D41" s="37"/>
      <c r="E41" s="108"/>
      <c r="F41" s="108"/>
      <c r="G41" s="34"/>
      <c r="H41" s="44" t="str">
        <f t="shared" si="2"/>
        <v>2 ضد 7</v>
      </c>
      <c r="I41" s="34"/>
      <c r="J41" s="34"/>
      <c r="K41" s="34"/>
      <c r="L41" s="34"/>
      <c r="M41" s="34"/>
      <c r="N41" s="34"/>
      <c r="O41" s="34"/>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row>
    <row r="42" spans="1:52" ht="14.5" customHeight="1">
      <c r="A42" s="106"/>
      <c r="B42"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37" t="s">
        <v>63</v>
      </c>
      <c r="D42" s="37" t="s">
        <v>62</v>
      </c>
      <c r="E42" s="108"/>
      <c r="F42" s="108"/>
      <c r="G42" s="34"/>
      <c r="H42" s="44" t="str">
        <f t="shared" si="2"/>
        <v>1 ضد 4 3 ضد 6</v>
      </c>
      <c r="I42" s="34"/>
      <c r="J42" s="34"/>
      <c r="K42" s="34"/>
      <c r="L42" s="34"/>
      <c r="M42" s="34"/>
      <c r="N42" s="34"/>
      <c r="O42" s="34"/>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row>
    <row r="43" spans="1:52" ht="14.5" customHeight="1">
      <c r="A43" s="106"/>
      <c r="B43"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37" t="s">
        <v>25</v>
      </c>
      <c r="D43" s="37"/>
      <c r="E43" s="108"/>
      <c r="F43" s="108"/>
      <c r="G43" s="34"/>
      <c r="H43" s="44" t="str">
        <f t="shared" si="2"/>
        <v>5 ضد 7</v>
      </c>
      <c r="I43" s="34"/>
      <c r="J43" s="34"/>
      <c r="K43" s="34"/>
      <c r="L43" s="34"/>
      <c r="M43" s="34"/>
      <c r="N43" s="34"/>
      <c r="O43" s="34"/>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row>
    <row r="44" spans="1:52" ht="14.5" customHeight="1">
      <c r="A44" s="106"/>
      <c r="B44"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37" t="s">
        <v>37</v>
      </c>
      <c r="D44" s="37" t="s">
        <v>28</v>
      </c>
      <c r="E44" s="108"/>
      <c r="F44" s="108"/>
      <c r="G44" s="34"/>
      <c r="H44" s="44" t="str">
        <f t="shared" si="2"/>
        <v>2 ضد 3 4 ضد 6</v>
      </c>
      <c r="I44" s="34"/>
      <c r="J44" s="34"/>
      <c r="K44" s="34"/>
      <c r="L44" s="34"/>
      <c r="M44" s="34"/>
      <c r="N44" s="34"/>
      <c r="O44" s="3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row>
    <row r="45" spans="1:52" ht="14.5" customHeight="1">
      <c r="A45" s="106"/>
      <c r="B45"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37" t="s">
        <v>47</v>
      </c>
      <c r="D45" s="37"/>
      <c r="E45" s="108"/>
      <c r="F45" s="108"/>
      <c r="G45" s="34"/>
      <c r="H45" s="44" t="str">
        <f t="shared" si="2"/>
        <v>1 ضد 7</v>
      </c>
      <c r="I45" s="34"/>
      <c r="J45" s="34"/>
      <c r="K45" s="34"/>
      <c r="L45" s="34"/>
      <c r="M45" s="34"/>
      <c r="N45" s="34"/>
      <c r="O45" s="34"/>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row>
    <row r="46" spans="1:52" ht="14.5" customHeight="1">
      <c r="A46" s="106"/>
      <c r="B46"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37" t="s">
        <v>66</v>
      </c>
      <c r="D46" s="37" t="s">
        <v>52</v>
      </c>
      <c r="E46" s="108"/>
      <c r="F46" s="108"/>
      <c r="G46" s="34"/>
      <c r="H46" s="44" t="str">
        <f t="shared" si="2"/>
        <v>3 ضد 5 2 ضد 6</v>
      </c>
      <c r="I46" s="34"/>
      <c r="J46" s="34"/>
      <c r="K46" s="34"/>
      <c r="L46" s="34"/>
      <c r="M46" s="34"/>
      <c r="N46" s="34"/>
      <c r="O46" s="34"/>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row>
    <row r="47" spans="1:52" ht="14.5" customHeight="1">
      <c r="A47" s="106"/>
      <c r="B47"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37" t="s">
        <v>43</v>
      </c>
      <c r="D47" s="37"/>
      <c r="E47" s="108"/>
      <c r="F47" s="108"/>
      <c r="G47" s="34"/>
      <c r="H47" s="44" t="str">
        <f t="shared" si="2"/>
        <v>4 ضد 7</v>
      </c>
      <c r="I47" s="34"/>
      <c r="J47" s="34"/>
      <c r="K47" s="34"/>
      <c r="L47" s="34"/>
      <c r="M47" s="34"/>
      <c r="N47" s="34"/>
      <c r="O47" s="34"/>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row>
    <row r="48" spans="1:52" ht="14.5" customHeight="1">
      <c r="A48" s="106"/>
      <c r="B48"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37" t="s">
        <v>225</v>
      </c>
      <c r="D48" s="37" t="s">
        <v>44</v>
      </c>
      <c r="E48" s="108"/>
      <c r="F48" s="108"/>
      <c r="G48" s="34"/>
      <c r="H48" s="44" t="str">
        <f t="shared" si="2"/>
        <v>3 ضد 1 2 ضد 5</v>
      </c>
      <c r="I48" s="34"/>
      <c r="J48" s="34"/>
      <c r="K48" s="34"/>
      <c r="L48" s="34"/>
      <c r="M48" s="34"/>
      <c r="N48" s="34"/>
      <c r="O48" s="34"/>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row>
    <row r="49" spans="1:52" ht="14.5" customHeight="1">
      <c r="A49" s="106" t="s">
        <v>10</v>
      </c>
      <c r="B49"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9" s="37" t="s">
        <v>160</v>
      </c>
      <c r="D49" s="37" t="s">
        <v>56</v>
      </c>
      <c r="E49" s="107">
        <f>COUNTIF(C49:D57,"* ضد *")</f>
        <v>14</v>
      </c>
      <c r="F49" s="108">
        <f>COUNTIF(C49:D57,"* ضد *")*2/7</f>
        <v>4</v>
      </c>
      <c r="G49" s="34"/>
      <c r="H49" s="44" t="str">
        <f t="shared" si="2"/>
        <v>4 ضد 2 3 ضد 7</v>
      </c>
      <c r="I49" s="34"/>
      <c r="J49" s="34"/>
      <c r="K49" s="34"/>
      <c r="L49" s="34"/>
      <c r="M49" s="34"/>
      <c r="N49" s="34"/>
      <c r="O49" s="34"/>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row>
    <row r="50" spans="1:52" ht="14.5" customHeight="1">
      <c r="A50" s="106"/>
      <c r="B50"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0" s="37" t="s">
        <v>38</v>
      </c>
      <c r="D50" s="37"/>
      <c r="E50" s="108"/>
      <c r="F50" s="108"/>
      <c r="G50" s="34"/>
      <c r="H50" s="44" t="str">
        <f t="shared" si="2"/>
        <v>1 ضد 6</v>
      </c>
      <c r="I50" s="34"/>
      <c r="J50" s="34"/>
      <c r="K50" s="34"/>
      <c r="L50" s="34"/>
      <c r="M50" s="34"/>
      <c r="N50" s="34"/>
      <c r="O50" s="34"/>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row>
    <row r="51" spans="1:52" ht="14.5" customHeight="1">
      <c r="A51" s="106"/>
      <c r="B51"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51" s="37" t="s">
        <v>50</v>
      </c>
      <c r="D51" s="37" t="s">
        <v>25</v>
      </c>
      <c r="E51" s="108"/>
      <c r="F51" s="108"/>
      <c r="G51" s="34"/>
      <c r="H51" s="44" t="str">
        <f t="shared" si="2"/>
        <v>3 ضد 4 5 ضد 7</v>
      </c>
      <c r="I51" s="34"/>
      <c r="J51" s="34"/>
      <c r="K51" s="34"/>
      <c r="L51" s="34"/>
      <c r="M51" s="34"/>
      <c r="N51" s="34"/>
      <c r="O51" s="34"/>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row>
    <row r="52" spans="1:52" ht="14.5" customHeight="1">
      <c r="A52" s="106"/>
      <c r="B52"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52" s="37" t="s">
        <v>30</v>
      </c>
      <c r="D52" s="37"/>
      <c r="E52" s="108"/>
      <c r="F52" s="108"/>
      <c r="G52" s="34"/>
      <c r="H52" s="44" t="str">
        <f t="shared" si="2"/>
        <v>1 ضد 2</v>
      </c>
      <c r="I52" s="34"/>
      <c r="J52" s="34"/>
      <c r="K52" s="34"/>
      <c r="L52" s="34"/>
      <c r="M52" s="34"/>
      <c r="N52" s="34"/>
      <c r="O52" s="34"/>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row>
    <row r="53" spans="1:52" ht="14.5" customHeight="1">
      <c r="A53" s="106"/>
      <c r="B53"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3" s="37" t="s">
        <v>46</v>
      </c>
      <c r="D53" s="37" t="s">
        <v>33</v>
      </c>
      <c r="E53" s="108"/>
      <c r="F53" s="108"/>
      <c r="G53" s="34"/>
      <c r="H53" s="44" t="str">
        <f t="shared" si="2"/>
        <v>4 ضد 5 6 ضد 7</v>
      </c>
      <c r="I53" s="34"/>
      <c r="J53" s="34"/>
      <c r="K53" s="34"/>
      <c r="L53" s="34"/>
      <c r="M53" s="34"/>
      <c r="N53" s="34"/>
      <c r="O53" s="34"/>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row>
    <row r="54" spans="1:52" ht="14.5" customHeight="1">
      <c r="A54" s="106"/>
      <c r="B54"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4" s="37" t="s">
        <v>37</v>
      </c>
      <c r="D54" s="37"/>
      <c r="E54" s="108"/>
      <c r="F54" s="108"/>
      <c r="G54" s="34"/>
      <c r="H54" s="44" t="str">
        <f t="shared" si="2"/>
        <v>2 ضد 3</v>
      </c>
      <c r="I54" s="34"/>
      <c r="J54" s="34"/>
      <c r="K54" s="34"/>
      <c r="L54" s="34"/>
      <c r="M54" s="34"/>
      <c r="N54" s="34"/>
      <c r="O54" s="3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row>
    <row r="55" spans="1:52" ht="14.5" customHeight="1">
      <c r="A55" s="106"/>
      <c r="B55"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5" s="37" t="s">
        <v>236</v>
      </c>
      <c r="D55" s="37" t="s">
        <v>55</v>
      </c>
      <c r="E55" s="108"/>
      <c r="F55" s="108"/>
      <c r="G55" s="34"/>
      <c r="H55" s="44" t="str">
        <f t="shared" si="2"/>
        <v>4 ضد 1 5 ضد 6</v>
      </c>
      <c r="I55" s="34"/>
      <c r="J55" s="34"/>
      <c r="K55" s="34"/>
      <c r="L55" s="34"/>
      <c r="M55" s="34"/>
      <c r="N55" s="34"/>
      <c r="O55" s="34"/>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row>
    <row r="56" spans="1:52" ht="14.5" customHeight="1">
      <c r="A56" s="106"/>
      <c r="B56"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56" s="37" t="s">
        <v>61</v>
      </c>
      <c r="D56" s="37"/>
      <c r="E56" s="108"/>
      <c r="F56" s="108"/>
      <c r="G56" s="34"/>
      <c r="H56" s="44" t="str">
        <f t="shared" si="2"/>
        <v>2 ضد 7</v>
      </c>
      <c r="I56" s="34"/>
      <c r="J56" s="34"/>
      <c r="K56" s="34"/>
      <c r="L56" s="34"/>
      <c r="M56" s="34"/>
      <c r="N56" s="34"/>
      <c r="O56" s="34"/>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row>
    <row r="57" spans="1:52" ht="14.5" customHeight="1">
      <c r="A57" s="106"/>
      <c r="B57"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57" s="37" t="s">
        <v>40</v>
      </c>
      <c r="D57" s="37" t="s">
        <v>62</v>
      </c>
      <c r="E57" s="108"/>
      <c r="F57" s="108"/>
      <c r="G57" s="34"/>
      <c r="H57" s="44" t="str">
        <f t="shared" si="2"/>
        <v>1 ضد 5 3 ضد 6</v>
      </c>
      <c r="I57" s="34"/>
      <c r="J57" s="34"/>
      <c r="K57" s="34"/>
      <c r="L57" s="34"/>
      <c r="M57" s="34"/>
      <c r="N57" s="34"/>
      <c r="O57" s="34"/>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row>
    <row r="58" spans="1:52" ht="15" customHeight="1">
      <c r="A58" s="34"/>
      <c r="B58" s="34"/>
      <c r="C58" s="34"/>
      <c r="D58" s="34"/>
      <c r="E58" s="34"/>
      <c r="F58" s="34"/>
      <c r="G58" s="34"/>
      <c r="H58" s="34"/>
      <c r="I58" s="34"/>
      <c r="J58" s="34"/>
      <c r="K58" s="34"/>
      <c r="L58" s="34"/>
      <c r="M58" s="34"/>
      <c r="N58" s="34"/>
      <c r="O58" s="34"/>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row>
    <row r="59" spans="1:52" ht="15" customHeight="1">
      <c r="A59" s="34"/>
      <c r="B59" s="34"/>
      <c r="C59" s="34"/>
      <c r="D59" s="34"/>
      <c r="E59" s="34"/>
      <c r="F59" s="34"/>
      <c r="G59" s="34"/>
      <c r="H59" s="34"/>
      <c r="I59" s="34"/>
      <c r="J59" s="34"/>
      <c r="K59" s="34"/>
      <c r="L59" s="34"/>
      <c r="M59" s="34"/>
      <c r="N59" s="34"/>
      <c r="O59" s="34"/>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row>
    <row r="60" spans="1:52" ht="15.5" customHeight="1">
      <c r="A60" s="34"/>
      <c r="B60" s="109" t="s">
        <v>439</v>
      </c>
      <c r="C60" s="109"/>
      <c r="D60" s="109"/>
      <c r="E60" s="109"/>
      <c r="F60" s="109"/>
      <c r="G60" s="109"/>
      <c r="H60" s="34"/>
      <c r="I60" s="34"/>
      <c r="J60" s="34"/>
      <c r="K60" s="34"/>
      <c r="L60" s="34"/>
      <c r="M60" s="34"/>
      <c r="N60" s="34"/>
      <c r="O60" s="34"/>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row>
    <row r="61" spans="1:52" ht="14.5" customHeight="1">
      <c r="A61" s="34"/>
      <c r="B61" s="38" t="s">
        <v>83</v>
      </c>
      <c r="C61" s="110" t="s">
        <v>218</v>
      </c>
      <c r="D61" s="110"/>
      <c r="E61" s="110"/>
      <c r="F61" s="110" t="s">
        <v>216</v>
      </c>
      <c r="G61" s="110"/>
      <c r="H61" s="34"/>
      <c r="I61" s="34"/>
      <c r="J61" s="34"/>
      <c r="K61" s="34"/>
      <c r="L61" s="34"/>
      <c r="M61" s="34"/>
      <c r="N61" s="34"/>
      <c r="O61" s="34"/>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row>
    <row r="62" spans="1:52" ht="14.5" customHeight="1">
      <c r="A62" s="34"/>
      <c r="B62" s="39">
        <v>1</v>
      </c>
      <c r="C62" s="105" t="s">
        <v>481</v>
      </c>
      <c r="D62" s="105"/>
      <c r="E62" s="105"/>
      <c r="F62" s="105" t="s">
        <v>458</v>
      </c>
      <c r="G62" s="105"/>
      <c r="H62" s="34"/>
      <c r="I62" s="34"/>
      <c r="J62" s="34"/>
      <c r="K62" s="34"/>
      <c r="L62" s="34"/>
      <c r="M62" s="34"/>
      <c r="N62" s="34"/>
      <c r="O62" s="34"/>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row>
    <row r="63" spans="1:52" ht="14.5" customHeight="1">
      <c r="A63" s="34"/>
      <c r="B63" s="39">
        <v>2</v>
      </c>
      <c r="C63" s="105" t="s">
        <v>482</v>
      </c>
      <c r="D63" s="105"/>
      <c r="E63" s="105"/>
      <c r="F63" s="105" t="s">
        <v>473</v>
      </c>
      <c r="G63" s="105"/>
      <c r="H63" s="34"/>
      <c r="I63" s="34"/>
      <c r="J63" s="34"/>
      <c r="K63" s="34"/>
      <c r="L63" s="34"/>
      <c r="M63" s="34"/>
      <c r="N63" s="34"/>
      <c r="O63" s="34"/>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row>
    <row r="64" spans="1:52" ht="14.5" customHeight="1">
      <c r="A64" s="34"/>
      <c r="B64" s="39">
        <v>3</v>
      </c>
      <c r="C64" s="105" t="s">
        <v>483</v>
      </c>
      <c r="D64" s="105"/>
      <c r="E64" s="105"/>
      <c r="F64" s="105" t="s">
        <v>473</v>
      </c>
      <c r="G64" s="105"/>
      <c r="H64" s="34"/>
      <c r="I64" s="34"/>
      <c r="J64" s="34"/>
      <c r="K64" s="34"/>
      <c r="L64" s="34"/>
      <c r="M64" s="34"/>
      <c r="N64" s="34"/>
      <c r="O64" s="3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row>
    <row r="65" spans="1:52" ht="14.5" customHeight="1">
      <c r="A65" s="34"/>
      <c r="B65" s="39">
        <v>4</v>
      </c>
      <c r="C65" s="105" t="s">
        <v>484</v>
      </c>
      <c r="D65" s="105"/>
      <c r="E65" s="105"/>
      <c r="F65" s="105" t="s">
        <v>473</v>
      </c>
      <c r="G65" s="105"/>
      <c r="H65" s="34"/>
      <c r="I65" s="34"/>
      <c r="J65" s="34"/>
      <c r="K65" s="34"/>
      <c r="L65" s="34"/>
      <c r="M65" s="34"/>
      <c r="N65" s="34"/>
      <c r="O65" s="34"/>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row>
    <row r="66" spans="1:52" ht="14.5" customHeight="1">
      <c r="A66" s="34"/>
      <c r="B66" s="39">
        <v>5</v>
      </c>
      <c r="C66" s="105" t="s">
        <v>485</v>
      </c>
      <c r="D66" s="105"/>
      <c r="E66" s="105"/>
      <c r="F66" s="105" t="s">
        <v>473</v>
      </c>
      <c r="G66" s="105"/>
      <c r="H66" s="34"/>
      <c r="I66" s="34"/>
      <c r="J66" s="34"/>
      <c r="K66" s="34"/>
      <c r="L66" s="34"/>
      <c r="M66" s="34"/>
      <c r="N66" s="34"/>
      <c r="O66" s="34"/>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row>
    <row r="67" spans="1:52" ht="14.5" customHeight="1">
      <c r="A67" s="34"/>
      <c r="B67" s="39">
        <v>6</v>
      </c>
      <c r="C67" s="105" t="s">
        <v>486</v>
      </c>
      <c r="D67" s="105"/>
      <c r="E67" s="105"/>
      <c r="F67" s="105" t="s">
        <v>473</v>
      </c>
      <c r="G67" s="105"/>
      <c r="H67" s="34"/>
      <c r="I67" s="34"/>
      <c r="J67" s="34"/>
      <c r="K67" s="34"/>
      <c r="L67" s="34"/>
      <c r="M67" s="34"/>
      <c r="N67" s="34"/>
      <c r="O67" s="34"/>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row>
    <row r="68" spans="1:52" ht="14.5" customHeight="1">
      <c r="A68" s="34"/>
      <c r="B68" s="39">
        <v>7</v>
      </c>
      <c r="C68" s="105" t="s">
        <v>487</v>
      </c>
      <c r="D68" s="105"/>
      <c r="E68" s="105"/>
      <c r="F68" s="105" t="s">
        <v>473</v>
      </c>
      <c r="G68" s="105"/>
      <c r="H68" s="34"/>
      <c r="I68" s="34"/>
      <c r="J68" s="34"/>
      <c r="K68" s="34"/>
      <c r="L68" s="34"/>
      <c r="M68" s="34"/>
      <c r="N68" s="34"/>
      <c r="O68" s="34"/>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row>
    <row r="69" spans="1:52" ht="15" customHeight="1">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row>
    <row r="70" spans="1:52" ht="15" customHeight="1">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row>
    <row r="71" spans="1:52" ht="15.5" customHeight="1">
      <c r="A71"/>
      <c r="B71" s="109" t="s">
        <v>440</v>
      </c>
      <c r="C71" s="109"/>
      <c r="D71" s="109"/>
      <c r="E71" s="109"/>
      <c r="F71" s="109"/>
      <c r="G71" s="109"/>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row>
    <row r="72" spans="1:52" ht="14.5" customHeight="1">
      <c r="A72"/>
      <c r="B72" s="38" t="s">
        <v>83</v>
      </c>
      <c r="C72" s="110" t="s">
        <v>218</v>
      </c>
      <c r="D72" s="110"/>
      <c r="E72" s="110"/>
      <c r="F72" s="110" t="s">
        <v>216</v>
      </c>
      <c r="G72" s="110"/>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row>
    <row r="73" spans="1:52" ht="14.5" customHeight="1">
      <c r="A73"/>
      <c r="B73" s="39">
        <v>1</v>
      </c>
      <c r="C73" s="105" t="s">
        <v>488</v>
      </c>
      <c r="D73" s="105"/>
      <c r="E73" s="105"/>
      <c r="F73" s="105" t="s">
        <v>456</v>
      </c>
      <c r="G73" s="105"/>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row>
    <row r="74" spans="1:52" ht="14.5" customHeight="1">
      <c r="A74"/>
      <c r="B74" s="39">
        <v>2</v>
      </c>
      <c r="C74" s="105" t="s">
        <v>489</v>
      </c>
      <c r="D74" s="105"/>
      <c r="E74" s="105"/>
      <c r="F74" s="105" t="s">
        <v>456</v>
      </c>
      <c r="G74" s="105"/>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row>
    <row r="75" spans="1:52" ht="14.5" customHeight="1">
      <c r="A75"/>
      <c r="B75" s="39">
        <v>3</v>
      </c>
      <c r="C75" s="105" t="s">
        <v>490</v>
      </c>
      <c r="D75" s="105"/>
      <c r="E75" s="105"/>
      <c r="F75" s="105" t="s">
        <v>456</v>
      </c>
      <c r="G75" s="10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row>
    <row r="76" spans="1:52" ht="14.5" customHeight="1">
      <c r="A76"/>
      <c r="B76" s="39">
        <v>4</v>
      </c>
      <c r="C76" s="105" t="s">
        <v>491</v>
      </c>
      <c r="D76" s="105"/>
      <c r="E76" s="105"/>
      <c r="F76" s="105" t="s">
        <v>458</v>
      </c>
      <c r="G76" s="105"/>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row>
    <row r="77" spans="1:52" ht="14.5" customHeight="1">
      <c r="A77"/>
      <c r="B77" s="39">
        <v>5</v>
      </c>
      <c r="C77" s="105" t="s">
        <v>492</v>
      </c>
      <c r="D77" s="105"/>
      <c r="E77" s="105"/>
      <c r="F77" s="105" t="s">
        <v>458</v>
      </c>
      <c r="G77" s="105"/>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row>
    <row r="78" spans="1:52" ht="14.5" customHeight="1">
      <c r="A78"/>
      <c r="B78" s="39">
        <v>6</v>
      </c>
      <c r="C78" s="105" t="s">
        <v>493</v>
      </c>
      <c r="D78" s="105"/>
      <c r="E78" s="105"/>
      <c r="F78" s="105" t="s">
        <v>458</v>
      </c>
      <c r="G78" s="105"/>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row>
    <row r="79" spans="1:52" ht="14.5" customHeight="1">
      <c r="A79"/>
      <c r="B79" s="39">
        <v>7</v>
      </c>
      <c r="C79" s="105" t="s">
        <v>494</v>
      </c>
      <c r="D79" s="105"/>
      <c r="E79" s="105"/>
      <c r="F79" s="105" t="s">
        <v>458</v>
      </c>
      <c r="G79" s="105"/>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row>
    <row r="80" spans="1:52" ht="1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row>
    <row r="81" spans="1:52" ht="1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row>
    <row r="82" spans="1:52" ht="1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row>
    <row r="83" spans="1:52" ht="1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row>
    <row r="84" spans="1:52" ht="1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row>
    <row r="85" spans="1:52" ht="1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row>
    <row r="86" spans="1:52" ht="1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row>
    <row r="87" spans="1:52" ht="1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row>
    <row r="88" spans="1:52" ht="1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row>
    <row r="89" spans="1:52" ht="1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row>
    <row r="90" spans="1:52" ht="1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row>
    <row r="91" spans="1:52" ht="1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row>
    <row r="92" spans="1:52" ht="1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row>
    <row r="93" spans="1:52" ht="1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row>
    <row r="94" spans="1:52" ht="1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row>
    <row r="95" spans="1:52" ht="1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row>
    <row r="96" spans="1:52" ht="1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row>
    <row r="97" spans="1:52" ht="1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row>
    <row r="98" spans="1:52" ht="1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row>
    <row r="99" spans="1:52" ht="1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row>
    <row r="100" spans="1:52" ht="1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row>
    <row r="101" spans="1:52" ht="1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row>
    <row r="102" spans="1:52" ht="1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row>
    <row r="103" spans="1:52" ht="1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row>
    <row r="104" spans="1:52" ht="1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row>
    <row r="105" spans="1:52" ht="1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row>
    <row r="106" spans="1:52" ht="1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row>
    <row r="107" spans="1:52" ht="1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row>
    <row r="108" spans="1:52" ht="1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row>
    <row r="109" spans="1:52" ht="1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row>
    <row r="110" spans="1:52" ht="1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52" ht="1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52" ht="1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52" ht="1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52" ht="1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52" ht="1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52" ht="1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52" ht="1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row>
    <row r="118" spans="1:52" ht="1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52" ht="1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row>
    <row r="120" spans="1:52" ht="1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row>
    <row r="121" spans="1:52" ht="1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row>
    <row r="122" spans="1:52" ht="1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row>
    <row r="123" spans="1:52" ht="1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row>
    <row r="124" spans="1:52" ht="1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row>
    <row r="125" spans="1:52" ht="1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row>
    <row r="126" spans="1:52" ht="1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row>
    <row r="127" spans="1:52" ht="1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row>
    <row r="128" spans="1:52" ht="1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row>
    <row r="129" spans="1:52" ht="1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row>
    <row r="130" spans="1:52" ht="1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row>
    <row r="131" spans="1:52" ht="1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row>
    <row r="132" spans="1:52" ht="1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row>
    <row r="133" spans="1:52" ht="1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row>
    <row r="134" spans="1:52" ht="1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row>
    <row r="135" spans="1:52" ht="1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row>
    <row r="136" spans="1:52" ht="1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row>
    <row r="137" spans="1:52" ht="1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row>
    <row r="138" spans="1:52" ht="1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row>
    <row r="139" spans="1:52" ht="1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row>
    <row r="140" spans="1:52" ht="1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row>
    <row r="141" spans="1:52" ht="1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row>
    <row r="142" spans="1:52" ht="1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row>
    <row r="143" spans="1:52" ht="1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row>
    <row r="144" spans="1:52" ht="1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row>
    <row r="145" spans="1:52" ht="1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row>
    <row r="146" spans="1:52" ht="1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row>
    <row r="147" spans="1:52" ht="1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row>
    <row r="148" spans="1:52" ht="1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row>
    <row r="149" spans="1:52" ht="1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row>
    <row r="150" spans="1:52" ht="1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row>
    <row r="151" spans="1:52" ht="1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row>
    <row r="152" spans="1:52" ht="1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row>
    <row r="153" spans="1:52" ht="1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row>
    <row r="154" spans="1:52" ht="1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row>
    <row r="155" spans="1:52" ht="1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row>
    <row r="156" spans="1:52" ht="1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row>
    <row r="157" spans="1:52" ht="1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row>
    <row r="158" spans="1:52" ht="1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row>
    <row r="159" spans="1:52" ht="1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row>
    <row r="160" spans="1:52" ht="1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row>
    <row r="161" spans="1:52" ht="1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row>
    <row r="162" spans="1:52" ht="1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row>
    <row r="163" spans="1:52" ht="1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row>
    <row r="164" spans="1:52" ht="1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row>
    <row r="165" spans="1:52" ht="1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row>
    <row r="166" spans="1:52" ht="1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row>
    <row r="167" spans="1:52" ht="1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row>
    <row r="168" spans="1:52" ht="1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row>
    <row r="169" spans="1:52" ht="1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row>
    <row r="170" spans="1:52" ht="1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row>
    <row r="171" spans="1:52" ht="1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row>
    <row r="172" spans="1:52" ht="1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row>
    <row r="173" spans="1:52" ht="1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row>
    <row r="174" spans="1:52" ht="1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row>
    <row r="175" spans="1:52" ht="1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row>
    <row r="176" spans="1:52" ht="1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row>
    <row r="177" spans="1:52" ht="1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row>
    <row r="178" spans="1:52" ht="1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row>
    <row r="179" spans="1:52" ht="1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row>
    <row r="180" spans="1:52" ht="1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row>
    <row r="181" spans="1:52" ht="1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row>
    <row r="182" spans="1:52" ht="1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row>
    <row r="183" spans="1:52" ht="1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row>
    <row r="184" spans="1:52" ht="1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row>
    <row r="185" spans="1:52" ht="1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row>
    <row r="186" spans="1:52" ht="1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row>
    <row r="187" spans="1:52" ht="1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row>
    <row r="188" spans="1:52" ht="1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row>
    <row r="189" spans="1:52" ht="1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row>
    <row r="190" spans="1:52" ht="1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row>
    <row r="191" spans="1:52" ht="1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row>
    <row r="192" spans="1:52" ht="1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row>
    <row r="193" spans="1:52" ht="1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row>
    <row r="194" spans="1:52" ht="1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row>
    <row r="195" spans="1:52" ht="1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row>
    <row r="196" spans="1:52" ht="1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row>
    <row r="197" spans="1:52" ht="1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row>
    <row r="198" spans="1:52" ht="1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row>
    <row r="199" spans="1:52" ht="1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row>
    <row r="200" spans="1:52" ht="1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row>
  </sheetData>
  <mergeCells count="53">
    <mergeCell ref="C76:E76"/>
    <mergeCell ref="C77:E77"/>
    <mergeCell ref="C78:E78"/>
    <mergeCell ref="C79:E79"/>
    <mergeCell ref="B71:G71"/>
    <mergeCell ref="F72:G72"/>
    <mergeCell ref="F73:G73"/>
    <mergeCell ref="F74:G74"/>
    <mergeCell ref="F75:G75"/>
    <mergeCell ref="F76:G76"/>
    <mergeCell ref="F77:G77"/>
    <mergeCell ref="F78:G78"/>
    <mergeCell ref="F79:G79"/>
    <mergeCell ref="C72:E72"/>
    <mergeCell ref="C73:E73"/>
    <mergeCell ref="C74:E74"/>
    <mergeCell ref="C75:E75"/>
    <mergeCell ref="C66:E66"/>
    <mergeCell ref="F66:G66"/>
    <mergeCell ref="C67:E67"/>
    <mergeCell ref="F67:G67"/>
    <mergeCell ref="C68:E68"/>
    <mergeCell ref="F68:G68"/>
    <mergeCell ref="C63:E63"/>
    <mergeCell ref="F63:G63"/>
    <mergeCell ref="C64:E64"/>
    <mergeCell ref="F64:G64"/>
    <mergeCell ref="C65:E65"/>
    <mergeCell ref="F65:G65"/>
    <mergeCell ref="A1:F1"/>
    <mergeCell ref="B60:G60"/>
    <mergeCell ref="C61:E61"/>
    <mergeCell ref="F61:G61"/>
    <mergeCell ref="C62:E62"/>
    <mergeCell ref="F62:G62"/>
    <mergeCell ref="A22:A30"/>
    <mergeCell ref="F22:F30"/>
    <mergeCell ref="A40:A48"/>
    <mergeCell ref="F40:F48"/>
    <mergeCell ref="A4:A12"/>
    <mergeCell ref="F4:F12"/>
    <mergeCell ref="A13:A21"/>
    <mergeCell ref="F13:F21"/>
    <mergeCell ref="A49:A57"/>
    <mergeCell ref="A31:A39"/>
    <mergeCell ref="F31:F39"/>
    <mergeCell ref="F49:F57"/>
    <mergeCell ref="E49:E57"/>
    <mergeCell ref="E4:E12"/>
    <mergeCell ref="E13:E21"/>
    <mergeCell ref="E22:E30"/>
    <mergeCell ref="E31:E39"/>
    <mergeCell ref="E40:E4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24"/>
  <sheetViews>
    <sheetView showGridLines="0" rightToLeft="1" zoomScale="76" workbookViewId="0">
      <pane ySplit="3" topLeftCell="A52" activePane="bottomLeft" state="frozen"/>
      <selection pane="bottomLeft" activeCell="F57" sqref="C57:G64"/>
    </sheetView>
  </sheetViews>
  <sheetFormatPr defaultRowHeight="14.5"/>
  <cols>
    <col min="1" max="1" width="10.90625" style="24" customWidth="1"/>
    <col min="2" max="2" width="17.26953125" style="24" customWidth="1"/>
    <col min="3" max="6" width="14.54296875" style="24" customWidth="1"/>
    <col min="7" max="8" width="15.453125" style="24" customWidth="1"/>
    <col min="9" max="9" width="7.6328125" style="24" customWidth="1"/>
    <col min="10" max="19" width="5.453125" style="24" customWidth="1"/>
    <col min="20" max="16384" width="8.7265625" style="24"/>
  </cols>
  <sheetData>
    <row r="1" spans="1:9" ht="26" customHeight="1">
      <c r="A1" s="82" t="s">
        <v>140</v>
      </c>
      <c r="B1" s="82"/>
      <c r="C1" s="82"/>
      <c r="D1" s="82"/>
      <c r="E1" s="82"/>
      <c r="F1" s="82"/>
      <c r="G1" s="82"/>
      <c r="H1" s="82"/>
      <c r="I1" s="22"/>
    </row>
    <row r="2" spans="1:9" ht="8" customHeight="1">
      <c r="A2" s="22"/>
      <c r="B2" s="22"/>
      <c r="C2" s="22"/>
      <c r="D2" s="22"/>
      <c r="E2" s="22"/>
      <c r="F2" s="22"/>
      <c r="G2" s="22"/>
      <c r="H2" s="22"/>
      <c r="I2" s="22"/>
    </row>
    <row r="3" spans="1:9" ht="32" customHeight="1">
      <c r="A3" s="25" t="s">
        <v>0</v>
      </c>
      <c r="B3" s="25" t="s">
        <v>1</v>
      </c>
      <c r="C3" s="25" t="s">
        <v>2</v>
      </c>
      <c r="D3" s="25" t="s">
        <v>3</v>
      </c>
      <c r="E3" s="25" t="s">
        <v>4</v>
      </c>
      <c r="F3" s="25" t="s">
        <v>12</v>
      </c>
      <c r="G3" s="25" t="s">
        <v>138</v>
      </c>
      <c r="H3" s="25" t="s">
        <v>81</v>
      </c>
      <c r="I3" s="22"/>
    </row>
    <row r="4" spans="1:9" ht="14.5" customHeight="1">
      <c r="A4" s="73" t="s">
        <v>5</v>
      </c>
      <c r="B4"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8" t="s">
        <v>69</v>
      </c>
      <c r="D4" s="8" t="s">
        <v>61</v>
      </c>
      <c r="E4" s="8" t="s">
        <v>62</v>
      </c>
      <c r="F4" s="8" t="s">
        <v>46</v>
      </c>
      <c r="G4" s="76">
        <f>COUNTIF(C4:F10,"* ضد *")</f>
        <v>16</v>
      </c>
      <c r="H4" s="79">
        <f>COUNTIF(C4:F10,"* ضد *")*2/8</f>
        <v>4</v>
      </c>
      <c r="I4" s="22"/>
    </row>
    <row r="5" spans="1:9">
      <c r="A5" s="74"/>
      <c r="B5"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70" t="s">
        <v>139</v>
      </c>
      <c r="D5" s="112"/>
      <c r="E5" s="112"/>
      <c r="F5" s="113"/>
      <c r="G5" s="80"/>
      <c r="H5" s="80"/>
      <c r="I5" s="22"/>
    </row>
    <row r="6" spans="1:9">
      <c r="A6" s="74"/>
      <c r="B6"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8" t="s">
        <v>50</v>
      </c>
      <c r="D6" s="8" t="s">
        <v>164</v>
      </c>
      <c r="E6" s="8" t="s">
        <v>44</v>
      </c>
      <c r="F6" s="8" t="s">
        <v>47</v>
      </c>
      <c r="G6" s="80"/>
      <c r="H6" s="80"/>
      <c r="I6" s="22"/>
    </row>
    <row r="7" spans="1:9">
      <c r="A7" s="74"/>
      <c r="B7"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70" t="s">
        <v>139</v>
      </c>
      <c r="D7" s="112"/>
      <c r="E7" s="112"/>
      <c r="F7" s="113"/>
      <c r="G7" s="80"/>
      <c r="H7" s="80"/>
      <c r="I7" s="22"/>
    </row>
    <row r="8" spans="1:9">
      <c r="A8" s="74"/>
      <c r="B8"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8" t="s">
        <v>165</v>
      </c>
      <c r="D8" s="8" t="s">
        <v>38</v>
      </c>
      <c r="E8" s="8" t="s">
        <v>166</v>
      </c>
      <c r="F8" s="8" t="s">
        <v>37</v>
      </c>
      <c r="G8" s="80"/>
      <c r="H8" s="80"/>
      <c r="I8" s="22"/>
    </row>
    <row r="9" spans="1:9">
      <c r="A9" s="74"/>
      <c r="B9"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70" t="s">
        <v>139</v>
      </c>
      <c r="D9" s="112"/>
      <c r="E9" s="112"/>
      <c r="F9" s="113"/>
      <c r="G9" s="80"/>
      <c r="H9" s="80"/>
      <c r="I9" s="22"/>
    </row>
    <row r="10" spans="1:9">
      <c r="A10" s="75"/>
      <c r="B10"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8" t="s">
        <v>157</v>
      </c>
      <c r="D10" s="8" t="s">
        <v>163</v>
      </c>
      <c r="E10" s="8" t="s">
        <v>40</v>
      </c>
      <c r="F10" s="8" t="s">
        <v>167</v>
      </c>
      <c r="G10" s="81"/>
      <c r="H10" s="81"/>
      <c r="I10" s="22"/>
    </row>
    <row r="11" spans="1:9" ht="14.5" customHeight="1">
      <c r="A11" s="73" t="s">
        <v>6</v>
      </c>
      <c r="B11"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1" s="8" t="s">
        <v>159</v>
      </c>
      <c r="D11" s="8" t="s">
        <v>63</v>
      </c>
      <c r="E11" s="8" t="s">
        <v>45</v>
      </c>
      <c r="F11" s="8" t="s">
        <v>158</v>
      </c>
      <c r="G11" s="76">
        <f>COUNTIF(C11:F17,"* ضد *")</f>
        <v>16</v>
      </c>
      <c r="H11" s="79">
        <f>COUNTIF(C11:F17,"* ضد *")*2/8</f>
        <v>4</v>
      </c>
      <c r="I11" s="22"/>
    </row>
    <row r="12" spans="1:9">
      <c r="A12" s="74"/>
      <c r="B12"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2" s="70" t="s">
        <v>139</v>
      </c>
      <c r="D12" s="112"/>
      <c r="E12" s="112"/>
      <c r="F12" s="113"/>
      <c r="G12" s="80"/>
      <c r="H12" s="80"/>
      <c r="I12" s="22"/>
    </row>
    <row r="13" spans="1:9" ht="14.5" customHeight="1">
      <c r="A13" s="74"/>
      <c r="B13"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3" s="8" t="s">
        <v>20</v>
      </c>
      <c r="D13" s="8" t="s">
        <v>32</v>
      </c>
      <c r="E13" s="8" t="s">
        <v>160</v>
      </c>
      <c r="F13" s="8" t="s">
        <v>33</v>
      </c>
      <c r="G13" s="80"/>
      <c r="H13" s="80"/>
      <c r="I13" s="22"/>
    </row>
    <row r="14" spans="1:9">
      <c r="A14" s="74"/>
      <c r="B14"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4" s="70" t="s">
        <v>139</v>
      </c>
      <c r="D14" s="112"/>
      <c r="E14" s="112"/>
      <c r="F14" s="113"/>
      <c r="G14" s="80"/>
      <c r="H14" s="80"/>
      <c r="I14" s="22"/>
    </row>
    <row r="15" spans="1:9">
      <c r="A15" s="74"/>
      <c r="B15"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5" s="8" t="s">
        <v>43</v>
      </c>
      <c r="D15" s="8" t="s">
        <v>55</v>
      </c>
      <c r="E15" s="8" t="s">
        <v>30</v>
      </c>
      <c r="F15" s="8" t="s">
        <v>57</v>
      </c>
      <c r="G15" s="80"/>
      <c r="H15" s="80"/>
      <c r="I15" s="22"/>
    </row>
    <row r="16" spans="1:9">
      <c r="A16" s="74"/>
      <c r="B16"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6" s="70" t="s">
        <v>139</v>
      </c>
      <c r="D16" s="112"/>
      <c r="E16" s="112"/>
      <c r="F16" s="113"/>
      <c r="G16" s="80"/>
      <c r="H16" s="80"/>
      <c r="I16" s="22"/>
    </row>
    <row r="17" spans="1:9">
      <c r="A17" s="75"/>
      <c r="B17"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7" s="8" t="s">
        <v>61</v>
      </c>
      <c r="D17" s="8" t="s">
        <v>46</v>
      </c>
      <c r="E17" s="8" t="s">
        <v>62</v>
      </c>
      <c r="F17" s="8" t="s">
        <v>69</v>
      </c>
      <c r="G17" s="81"/>
      <c r="H17" s="81"/>
      <c r="I17" s="22"/>
    </row>
    <row r="18" spans="1:9" ht="14.5" customHeight="1">
      <c r="A18" s="73" t="s">
        <v>7</v>
      </c>
      <c r="B18"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8" s="8" t="s">
        <v>164</v>
      </c>
      <c r="D18" s="8" t="s">
        <v>50</v>
      </c>
      <c r="E18" s="8" t="s">
        <v>47</v>
      </c>
      <c r="F18" s="8" t="s">
        <v>44</v>
      </c>
      <c r="G18" s="76">
        <f>COUNTIF(C18:F24,"* ضد *")</f>
        <v>16</v>
      </c>
      <c r="H18" s="79">
        <f>COUNTIF(C18:F24,"* ضد *")*2/8</f>
        <v>4</v>
      </c>
      <c r="I18" s="22"/>
    </row>
    <row r="19" spans="1:9">
      <c r="A19" s="74"/>
      <c r="B19"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9" s="70" t="s">
        <v>139</v>
      </c>
      <c r="D19" s="112"/>
      <c r="E19" s="112"/>
      <c r="F19" s="113"/>
      <c r="G19" s="80"/>
      <c r="H19" s="80"/>
      <c r="I19" s="22"/>
    </row>
    <row r="20" spans="1:9">
      <c r="A20" s="74"/>
      <c r="B20"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0" s="8" t="s">
        <v>165</v>
      </c>
      <c r="D20" s="8" t="s">
        <v>37</v>
      </c>
      <c r="E20" s="8" t="s">
        <v>166</v>
      </c>
      <c r="F20" s="8" t="s">
        <v>38</v>
      </c>
      <c r="G20" s="80"/>
      <c r="H20" s="80"/>
      <c r="I20" s="22"/>
    </row>
    <row r="21" spans="1:9">
      <c r="A21" s="74"/>
      <c r="B21"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1" s="70" t="s">
        <v>139</v>
      </c>
      <c r="D21" s="112"/>
      <c r="E21" s="112"/>
      <c r="F21" s="113"/>
      <c r="G21" s="80"/>
      <c r="H21" s="80"/>
      <c r="I21" s="22"/>
    </row>
    <row r="22" spans="1:9" ht="14.5" customHeight="1">
      <c r="A22" s="74"/>
      <c r="B22"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2" s="8" t="s">
        <v>40</v>
      </c>
      <c r="D22" s="8" t="s">
        <v>167</v>
      </c>
      <c r="E22" s="8" t="s">
        <v>163</v>
      </c>
      <c r="F22" s="8" t="s">
        <v>157</v>
      </c>
      <c r="G22" s="80"/>
      <c r="H22" s="80"/>
      <c r="I22" s="22"/>
    </row>
    <row r="23" spans="1:9">
      <c r="A23" s="74"/>
      <c r="B23"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3" s="70" t="s">
        <v>139</v>
      </c>
      <c r="D23" s="112"/>
      <c r="E23" s="112"/>
      <c r="F23" s="113"/>
      <c r="G23" s="80"/>
      <c r="H23" s="80"/>
      <c r="I23" s="22"/>
    </row>
    <row r="24" spans="1:9">
      <c r="A24" s="75"/>
      <c r="B24"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4" s="8" t="s">
        <v>158</v>
      </c>
      <c r="D24" s="8" t="s">
        <v>45</v>
      </c>
      <c r="E24" s="8" t="s">
        <v>159</v>
      </c>
      <c r="F24" s="8" t="s">
        <v>63</v>
      </c>
      <c r="G24" s="81"/>
      <c r="H24" s="81"/>
      <c r="I24" s="22"/>
    </row>
    <row r="25" spans="1:9" ht="14.5" customHeight="1">
      <c r="A25" s="73" t="s">
        <v>8</v>
      </c>
      <c r="B25"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5" s="8" t="s">
        <v>160</v>
      </c>
      <c r="D25" s="8" t="s">
        <v>20</v>
      </c>
      <c r="E25" s="8" t="s">
        <v>32</v>
      </c>
      <c r="F25" s="8" t="s">
        <v>33</v>
      </c>
      <c r="G25" s="76">
        <f>COUNTIF(C25:F31,"* ضد *")</f>
        <v>16</v>
      </c>
      <c r="H25" s="79">
        <f>COUNTIF(C25:F31,"* ضد *")*2/8</f>
        <v>4</v>
      </c>
      <c r="I25" s="22"/>
    </row>
    <row r="26" spans="1:9">
      <c r="A26" s="74"/>
      <c r="B26"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6" s="70" t="s">
        <v>139</v>
      </c>
      <c r="D26" s="112"/>
      <c r="E26" s="112"/>
      <c r="F26" s="113"/>
      <c r="G26" s="80"/>
      <c r="H26" s="80"/>
      <c r="I26" s="22"/>
    </row>
    <row r="27" spans="1:9">
      <c r="A27" s="74"/>
      <c r="B27"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7" s="8" t="s">
        <v>57</v>
      </c>
      <c r="D27" s="8" t="s">
        <v>30</v>
      </c>
      <c r="E27" s="8" t="s">
        <v>55</v>
      </c>
      <c r="F27" s="8" t="s">
        <v>43</v>
      </c>
      <c r="G27" s="80"/>
      <c r="H27" s="80"/>
      <c r="I27" s="22"/>
    </row>
    <row r="28" spans="1:9">
      <c r="A28" s="74"/>
      <c r="B28"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8" s="70" t="s">
        <v>139</v>
      </c>
      <c r="D28" s="112"/>
      <c r="E28" s="112"/>
      <c r="F28" s="113"/>
      <c r="G28" s="80"/>
      <c r="H28" s="80"/>
      <c r="I28" s="22"/>
    </row>
    <row r="29" spans="1:9" ht="14.5" customHeight="1">
      <c r="A29" s="74"/>
      <c r="B29"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9" s="8" t="s">
        <v>69</v>
      </c>
      <c r="D29" s="8" t="s">
        <v>46</v>
      </c>
      <c r="E29" s="8" t="s">
        <v>62</v>
      </c>
      <c r="F29" s="8" t="s">
        <v>61</v>
      </c>
      <c r="G29" s="80"/>
      <c r="H29" s="80"/>
      <c r="I29" s="22"/>
    </row>
    <row r="30" spans="1:9">
      <c r="A30" s="74"/>
      <c r="B30"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0" s="70" t="s">
        <v>139</v>
      </c>
      <c r="D30" s="112"/>
      <c r="E30" s="112"/>
      <c r="F30" s="113"/>
      <c r="G30" s="80"/>
      <c r="H30" s="80"/>
      <c r="I30" s="22"/>
    </row>
    <row r="31" spans="1:9">
      <c r="A31" s="75"/>
      <c r="B31"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1" s="8" t="s">
        <v>44</v>
      </c>
      <c r="D31" s="8" t="s">
        <v>164</v>
      </c>
      <c r="E31" s="8" t="s">
        <v>47</v>
      </c>
      <c r="F31" s="8" t="s">
        <v>50</v>
      </c>
      <c r="G31" s="81"/>
      <c r="H31" s="81"/>
      <c r="I31" s="22"/>
    </row>
    <row r="32" spans="1:9" ht="14.5" customHeight="1">
      <c r="A32" s="73" t="s">
        <v>9</v>
      </c>
      <c r="B32"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2" s="8" t="s">
        <v>38</v>
      </c>
      <c r="D32" s="8" t="s">
        <v>165</v>
      </c>
      <c r="E32" s="8" t="s">
        <v>166</v>
      </c>
      <c r="F32" s="8" t="s">
        <v>37</v>
      </c>
      <c r="G32" s="76">
        <f>COUNTIF(C32:F38,"* ضد *")</f>
        <v>16</v>
      </c>
      <c r="H32" s="79">
        <f>COUNTIF(C32:F38,"* ضد *")*2/8</f>
        <v>4</v>
      </c>
      <c r="I32" s="22"/>
    </row>
    <row r="33" spans="1:9">
      <c r="A33" s="74"/>
      <c r="B33"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3" s="70" t="s">
        <v>139</v>
      </c>
      <c r="D33" s="112"/>
      <c r="E33" s="112"/>
      <c r="F33" s="113"/>
      <c r="G33" s="80"/>
      <c r="H33" s="80"/>
      <c r="I33" s="22"/>
    </row>
    <row r="34" spans="1:9">
      <c r="A34" s="74"/>
      <c r="B34"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4" s="8" t="s">
        <v>167</v>
      </c>
      <c r="D34" s="8" t="s">
        <v>157</v>
      </c>
      <c r="E34" s="8" t="s">
        <v>163</v>
      </c>
      <c r="F34" s="8" t="s">
        <v>40</v>
      </c>
      <c r="G34" s="80"/>
      <c r="H34" s="80"/>
      <c r="I34" s="22"/>
    </row>
    <row r="35" spans="1:9">
      <c r="A35" s="74"/>
      <c r="B35"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5" s="70" t="s">
        <v>139</v>
      </c>
      <c r="D35" s="112"/>
      <c r="E35" s="112"/>
      <c r="F35" s="113"/>
      <c r="G35" s="80"/>
      <c r="H35" s="80"/>
      <c r="I35" s="22"/>
    </row>
    <row r="36" spans="1:9">
      <c r="A36" s="74"/>
      <c r="B36"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6" s="8" t="s">
        <v>159</v>
      </c>
      <c r="D36" s="8" t="s">
        <v>158</v>
      </c>
      <c r="E36" s="8" t="s">
        <v>63</v>
      </c>
      <c r="F36" s="8" t="s">
        <v>45</v>
      </c>
      <c r="G36" s="80"/>
      <c r="H36" s="80"/>
      <c r="I36" s="22"/>
    </row>
    <row r="37" spans="1:9">
      <c r="A37" s="74"/>
      <c r="B37"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7" s="70" t="s">
        <v>139</v>
      </c>
      <c r="D37" s="112"/>
      <c r="E37" s="112"/>
      <c r="F37" s="113"/>
      <c r="G37" s="80"/>
      <c r="H37" s="80"/>
      <c r="I37" s="22"/>
    </row>
    <row r="38" spans="1:9" ht="14.5" customHeight="1">
      <c r="A38" s="75"/>
      <c r="B38"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8" s="8" t="s">
        <v>33</v>
      </c>
      <c r="D38" s="8" t="s">
        <v>20</v>
      </c>
      <c r="E38" s="8" t="s">
        <v>160</v>
      </c>
      <c r="F38" s="8" t="s">
        <v>32</v>
      </c>
      <c r="G38" s="81"/>
      <c r="H38" s="81"/>
      <c r="I38" s="22"/>
    </row>
    <row r="39" spans="1:9" ht="14.5" customHeight="1">
      <c r="A39" s="73" t="s">
        <v>10</v>
      </c>
      <c r="B39"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9" s="8" t="s">
        <v>43</v>
      </c>
      <c r="D39" s="8" t="s">
        <v>30</v>
      </c>
      <c r="E39" s="8" t="s">
        <v>57</v>
      </c>
      <c r="F39" s="8" t="s">
        <v>55</v>
      </c>
      <c r="G39" s="76">
        <f>COUNTIF(C39:F45,"* ضد *")</f>
        <v>16</v>
      </c>
      <c r="H39" s="79">
        <f>COUNTIF(C39:F45,"* ضد *")*2/8</f>
        <v>4</v>
      </c>
      <c r="I39" s="22"/>
    </row>
    <row r="40" spans="1:9">
      <c r="A40" s="74"/>
      <c r="B40"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0" s="70" t="s">
        <v>139</v>
      </c>
      <c r="D40" s="112"/>
      <c r="E40" s="112"/>
      <c r="F40" s="113"/>
      <c r="G40" s="80"/>
      <c r="H40" s="80"/>
      <c r="I40" s="22"/>
    </row>
    <row r="41" spans="1:9">
      <c r="A41" s="74"/>
      <c r="B41"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1" s="8" t="s">
        <v>69</v>
      </c>
      <c r="D41" s="8" t="s">
        <v>61</v>
      </c>
      <c r="E41" s="8" t="s">
        <v>46</v>
      </c>
      <c r="F41" s="8" t="s">
        <v>62</v>
      </c>
      <c r="G41" s="80"/>
      <c r="H41" s="80"/>
      <c r="I41" s="22"/>
    </row>
    <row r="42" spans="1:9">
      <c r="A42" s="74"/>
      <c r="B42"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2" s="70" t="s">
        <v>139</v>
      </c>
      <c r="D42" s="112"/>
      <c r="E42" s="112"/>
      <c r="F42" s="113"/>
      <c r="G42" s="80"/>
      <c r="H42" s="80"/>
      <c r="I42" s="22"/>
    </row>
    <row r="43" spans="1:9">
      <c r="A43" s="74"/>
      <c r="B43"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3" s="8" t="s">
        <v>50</v>
      </c>
      <c r="D43" s="8" t="s">
        <v>164</v>
      </c>
      <c r="E43" s="8" t="s">
        <v>44</v>
      </c>
      <c r="F43" s="8" t="s">
        <v>47</v>
      </c>
      <c r="G43" s="80"/>
      <c r="H43" s="80"/>
      <c r="I43" s="22"/>
    </row>
    <row r="44" spans="1:9">
      <c r="A44" s="74"/>
      <c r="B44"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4" s="70" t="s">
        <v>139</v>
      </c>
      <c r="D44" s="112"/>
      <c r="E44" s="112"/>
      <c r="F44" s="113"/>
      <c r="G44" s="80"/>
      <c r="H44" s="80"/>
      <c r="I44" s="22"/>
    </row>
    <row r="45" spans="1:9">
      <c r="A45" s="75"/>
      <c r="B45"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5" s="8" t="s">
        <v>37</v>
      </c>
      <c r="D45" s="8" t="s">
        <v>165</v>
      </c>
      <c r="E45" s="8" t="s">
        <v>38</v>
      </c>
      <c r="F45" s="8" t="s">
        <v>166</v>
      </c>
      <c r="G45" s="81"/>
      <c r="H45" s="81"/>
      <c r="I45" s="22"/>
    </row>
    <row r="46" spans="1:9" ht="14.5" customHeight="1">
      <c r="A46" s="73" t="s">
        <v>11</v>
      </c>
      <c r="B46"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6" s="8" t="s">
        <v>40</v>
      </c>
      <c r="D46" s="8" t="s">
        <v>157</v>
      </c>
      <c r="E46" s="8" t="s">
        <v>163</v>
      </c>
      <c r="F46" s="8" t="s">
        <v>167</v>
      </c>
      <c r="G46" s="76">
        <f>COUNTIF(C46:F52,"* ضد *")</f>
        <v>16</v>
      </c>
      <c r="H46" s="79">
        <f>COUNTIF(C46:F52,"* ضد *")*2/8</f>
        <v>4</v>
      </c>
      <c r="I46" s="22"/>
    </row>
    <row r="47" spans="1:9" ht="14.5" customHeight="1">
      <c r="A47" s="74"/>
      <c r="B47"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7" s="70" t="s">
        <v>139</v>
      </c>
      <c r="D47" s="112"/>
      <c r="E47" s="112"/>
      <c r="F47" s="113"/>
      <c r="G47" s="80"/>
      <c r="H47" s="80"/>
      <c r="I47" s="22"/>
    </row>
    <row r="48" spans="1:9">
      <c r="A48" s="74"/>
      <c r="B48"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8" s="8" t="s">
        <v>45</v>
      </c>
      <c r="D48" s="8" t="s">
        <v>63</v>
      </c>
      <c r="E48" s="8" t="s">
        <v>159</v>
      </c>
      <c r="F48" s="8" t="s">
        <v>158</v>
      </c>
      <c r="G48" s="80"/>
      <c r="H48" s="80"/>
      <c r="I48" s="22"/>
    </row>
    <row r="49" spans="1:9">
      <c r="A49" s="74"/>
      <c r="B49"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9" s="70" t="s">
        <v>139</v>
      </c>
      <c r="D49" s="112"/>
      <c r="E49" s="112"/>
      <c r="F49" s="113"/>
      <c r="G49" s="80"/>
      <c r="H49" s="80"/>
      <c r="I49" s="22"/>
    </row>
    <row r="50" spans="1:9">
      <c r="A50" s="74"/>
      <c r="B50"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0" s="8" t="s">
        <v>33</v>
      </c>
      <c r="D50" s="8" t="s">
        <v>20</v>
      </c>
      <c r="E50" s="8" t="s">
        <v>32</v>
      </c>
      <c r="F50" s="8" t="s">
        <v>160</v>
      </c>
      <c r="G50" s="80"/>
      <c r="H50" s="80"/>
      <c r="I50" s="22"/>
    </row>
    <row r="51" spans="1:9">
      <c r="A51" s="74"/>
      <c r="B51"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1" s="70" t="s">
        <v>139</v>
      </c>
      <c r="D51" s="112"/>
      <c r="E51" s="112"/>
      <c r="F51" s="113"/>
      <c r="G51" s="80"/>
      <c r="H51" s="80"/>
      <c r="I51" s="22"/>
    </row>
    <row r="52" spans="1:9">
      <c r="A52" s="75"/>
      <c r="B52"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2" s="8" t="s">
        <v>57</v>
      </c>
      <c r="D52" s="8" t="s">
        <v>43</v>
      </c>
      <c r="E52" s="8" t="s">
        <v>30</v>
      </c>
      <c r="F52" s="8" t="s">
        <v>55</v>
      </c>
      <c r="G52" s="81"/>
      <c r="H52" s="81"/>
      <c r="I52" s="22"/>
    </row>
    <row r="53" spans="1:9">
      <c r="A53" s="22"/>
      <c r="B53" s="22"/>
      <c r="C53" s="22"/>
      <c r="D53" s="22"/>
      <c r="E53" s="22"/>
      <c r="F53" s="22"/>
      <c r="G53" s="22"/>
      <c r="H53" s="22"/>
    </row>
    <row r="54" spans="1:9" ht="14.5" customHeight="1">
      <c r="A54" s="22"/>
      <c r="B54" s="22"/>
      <c r="C54" s="22"/>
      <c r="D54" s="22"/>
      <c r="E54" s="22"/>
      <c r="F54" s="22"/>
      <c r="G54" s="22"/>
      <c r="H54" s="22"/>
    </row>
    <row r="55" spans="1:9" ht="15.5">
      <c r="A55" s="22"/>
      <c r="B55" s="83" t="s">
        <v>441</v>
      </c>
      <c r="C55" s="83"/>
      <c r="D55" s="83"/>
      <c r="E55" s="83"/>
      <c r="F55" s="83"/>
      <c r="G55" s="83"/>
      <c r="H55" s="22"/>
    </row>
    <row r="56" spans="1:9">
      <c r="A56" s="22"/>
      <c r="B56" s="23" t="s">
        <v>83</v>
      </c>
      <c r="C56" s="84" t="s">
        <v>219</v>
      </c>
      <c r="D56" s="84"/>
      <c r="E56" s="84"/>
      <c r="F56" s="84" t="s">
        <v>216</v>
      </c>
      <c r="G56" s="84"/>
      <c r="H56" s="22"/>
    </row>
    <row r="57" spans="1:9">
      <c r="A57" s="22"/>
      <c r="B57" s="28">
        <v>1</v>
      </c>
      <c r="C57" s="85" t="s">
        <v>495</v>
      </c>
      <c r="D57" s="85"/>
      <c r="E57" s="85"/>
      <c r="F57" s="85" t="s">
        <v>456</v>
      </c>
      <c r="G57" s="85"/>
      <c r="H57" s="22"/>
    </row>
    <row r="58" spans="1:9">
      <c r="A58" s="22"/>
      <c r="B58" s="28">
        <v>2</v>
      </c>
      <c r="C58" s="85" t="s">
        <v>496</v>
      </c>
      <c r="D58" s="85"/>
      <c r="E58" s="85"/>
      <c r="F58" s="85" t="s">
        <v>456</v>
      </c>
      <c r="G58" s="85"/>
      <c r="H58" s="22"/>
    </row>
    <row r="59" spans="1:9">
      <c r="A59" s="22"/>
      <c r="B59" s="28">
        <v>3</v>
      </c>
      <c r="C59" s="85" t="s">
        <v>497</v>
      </c>
      <c r="D59" s="85"/>
      <c r="E59" s="85"/>
      <c r="F59" s="85" t="s">
        <v>456</v>
      </c>
      <c r="G59" s="85"/>
      <c r="H59" s="22"/>
    </row>
    <row r="60" spans="1:9">
      <c r="A60" s="22"/>
      <c r="B60" s="28">
        <v>4</v>
      </c>
      <c r="C60" s="85" t="s">
        <v>498</v>
      </c>
      <c r="D60" s="85"/>
      <c r="E60" s="85"/>
      <c r="F60" s="85" t="s">
        <v>456</v>
      </c>
      <c r="G60" s="85"/>
      <c r="H60" s="22"/>
    </row>
    <row r="61" spans="1:9">
      <c r="A61" s="22"/>
      <c r="B61" s="28">
        <v>5</v>
      </c>
      <c r="C61" s="85" t="s">
        <v>499</v>
      </c>
      <c r="D61" s="85"/>
      <c r="E61" s="85"/>
      <c r="F61" s="85" t="s">
        <v>458</v>
      </c>
      <c r="G61" s="85"/>
      <c r="H61" s="22"/>
    </row>
    <row r="62" spans="1:9">
      <c r="A62" s="22"/>
      <c r="B62" s="28">
        <v>6</v>
      </c>
      <c r="C62" s="85" t="s">
        <v>500</v>
      </c>
      <c r="D62" s="85"/>
      <c r="E62" s="85"/>
      <c r="F62" s="85" t="s">
        <v>458</v>
      </c>
      <c r="G62" s="85"/>
      <c r="H62" s="22"/>
    </row>
    <row r="63" spans="1:9">
      <c r="A63" s="22"/>
      <c r="B63" s="28">
        <v>7</v>
      </c>
      <c r="C63" s="85" t="s">
        <v>501</v>
      </c>
      <c r="D63" s="85"/>
      <c r="E63" s="85"/>
      <c r="F63" s="85" t="s">
        <v>458</v>
      </c>
      <c r="G63" s="85"/>
      <c r="H63" s="22"/>
    </row>
    <row r="64" spans="1:9">
      <c r="A64" s="22"/>
      <c r="B64" s="28">
        <v>8</v>
      </c>
      <c r="C64" s="85" t="s">
        <v>502</v>
      </c>
      <c r="D64" s="85"/>
      <c r="E64" s="85"/>
      <c r="F64" s="85" t="s">
        <v>458</v>
      </c>
      <c r="G64" s="85"/>
      <c r="H64" s="22"/>
    </row>
    <row r="65" spans="1:26">
      <c r="A65"/>
      <c r="B65"/>
      <c r="C65"/>
      <c r="D65"/>
      <c r="E65"/>
      <c r="F65"/>
      <c r="G65"/>
      <c r="H65"/>
      <c r="I65"/>
      <c r="J65"/>
      <c r="K65"/>
      <c r="L65"/>
      <c r="M65"/>
      <c r="N65"/>
      <c r="O65"/>
      <c r="P65"/>
      <c r="Q65"/>
      <c r="R65"/>
      <c r="S65"/>
      <c r="T65"/>
      <c r="U65"/>
      <c r="V65"/>
      <c r="W65"/>
      <c r="X65"/>
      <c r="Y65"/>
      <c r="Z65"/>
    </row>
    <row r="66" spans="1:26">
      <c r="A66"/>
      <c r="B66"/>
      <c r="C66"/>
      <c r="D66"/>
      <c r="E66"/>
      <c r="F66"/>
      <c r="G66"/>
      <c r="H66"/>
      <c r="I66"/>
      <c r="J66"/>
      <c r="K66"/>
      <c r="L66"/>
      <c r="M66"/>
      <c r="N66"/>
      <c r="O66"/>
      <c r="P66"/>
      <c r="Q66"/>
      <c r="R66"/>
      <c r="S66"/>
      <c r="T66"/>
      <c r="U66"/>
      <c r="V66"/>
      <c r="W66"/>
      <c r="X66"/>
      <c r="Y66"/>
      <c r="Z66"/>
    </row>
    <row r="67" spans="1:26" ht="15.5" customHeight="1">
      <c r="A67"/>
      <c r="B67" s="83" t="s">
        <v>442</v>
      </c>
      <c r="C67" s="83"/>
      <c r="D67" s="83"/>
      <c r="E67" s="83"/>
      <c r="F67" s="83"/>
      <c r="G67" s="83"/>
      <c r="H67"/>
      <c r="I67"/>
      <c r="J67"/>
      <c r="K67"/>
      <c r="L67"/>
      <c r="M67"/>
      <c r="N67"/>
      <c r="O67"/>
      <c r="P67"/>
      <c r="Q67"/>
      <c r="R67"/>
      <c r="S67"/>
      <c r="T67"/>
      <c r="U67"/>
      <c r="V67"/>
      <c r="W67"/>
      <c r="X67"/>
      <c r="Y67"/>
      <c r="Z67"/>
    </row>
    <row r="68" spans="1:26" ht="14.5" customHeight="1">
      <c r="A68"/>
      <c r="B68" s="23" t="s">
        <v>83</v>
      </c>
      <c r="C68" s="84" t="s">
        <v>219</v>
      </c>
      <c r="D68" s="84"/>
      <c r="E68" s="84"/>
      <c r="F68" s="84" t="s">
        <v>216</v>
      </c>
      <c r="G68" s="84"/>
      <c r="H68"/>
      <c r="I68"/>
      <c r="J68"/>
      <c r="K68"/>
      <c r="L68"/>
      <c r="M68"/>
      <c r="N68"/>
      <c r="O68"/>
      <c r="P68"/>
      <c r="Q68"/>
      <c r="R68"/>
      <c r="S68"/>
      <c r="T68"/>
      <c r="U68"/>
      <c r="V68"/>
      <c r="W68"/>
      <c r="X68"/>
      <c r="Y68"/>
      <c r="Z68"/>
    </row>
    <row r="69" spans="1:26" ht="14.5" customHeight="1">
      <c r="A69"/>
      <c r="B69" s="28">
        <v>1</v>
      </c>
      <c r="C69" s="85" t="s">
        <v>503</v>
      </c>
      <c r="D69" s="85"/>
      <c r="E69" s="85"/>
      <c r="F69" s="85" t="s">
        <v>473</v>
      </c>
      <c r="G69" s="85"/>
      <c r="H69"/>
      <c r="I69"/>
      <c r="J69"/>
      <c r="K69"/>
      <c r="L69"/>
      <c r="M69"/>
      <c r="N69"/>
      <c r="O69"/>
      <c r="P69"/>
      <c r="Q69"/>
      <c r="R69"/>
      <c r="S69"/>
      <c r="T69"/>
      <c r="U69"/>
      <c r="V69"/>
      <c r="W69"/>
      <c r="X69"/>
      <c r="Y69"/>
      <c r="Z69"/>
    </row>
    <row r="70" spans="1:26" ht="14.5" customHeight="1">
      <c r="A70"/>
      <c r="B70" s="28">
        <v>2</v>
      </c>
      <c r="C70" s="85" t="s">
        <v>504</v>
      </c>
      <c r="D70" s="85"/>
      <c r="E70" s="85"/>
      <c r="F70" s="85" t="s">
        <v>473</v>
      </c>
      <c r="G70" s="85"/>
      <c r="H70"/>
      <c r="I70"/>
      <c r="J70"/>
      <c r="K70"/>
      <c r="L70"/>
      <c r="M70"/>
      <c r="N70"/>
      <c r="O70"/>
      <c r="P70"/>
      <c r="Q70"/>
      <c r="R70"/>
      <c r="S70"/>
      <c r="T70"/>
      <c r="U70"/>
      <c r="V70"/>
      <c r="W70"/>
      <c r="X70"/>
      <c r="Y70"/>
      <c r="Z70"/>
    </row>
    <row r="71" spans="1:26" ht="14.5" customHeight="1">
      <c r="A71"/>
      <c r="B71" s="28">
        <v>3</v>
      </c>
      <c r="C71" s="85" t="s">
        <v>505</v>
      </c>
      <c r="D71" s="85"/>
      <c r="E71" s="85"/>
      <c r="F71" s="85" t="s">
        <v>473</v>
      </c>
      <c r="G71" s="85"/>
      <c r="H71"/>
      <c r="I71"/>
      <c r="J71"/>
      <c r="K71"/>
      <c r="L71"/>
      <c r="M71"/>
      <c r="N71"/>
      <c r="O71"/>
      <c r="P71"/>
      <c r="Q71"/>
      <c r="R71"/>
      <c r="S71"/>
      <c r="T71"/>
      <c r="U71"/>
      <c r="V71"/>
      <c r="W71"/>
      <c r="X71"/>
      <c r="Y71"/>
      <c r="Z71"/>
    </row>
    <row r="72" spans="1:26" ht="14.5" customHeight="1">
      <c r="A72"/>
      <c r="B72" s="28">
        <v>4</v>
      </c>
      <c r="C72" s="85" t="s">
        <v>506</v>
      </c>
      <c r="D72" s="85"/>
      <c r="E72" s="85"/>
      <c r="F72" s="85" t="s">
        <v>473</v>
      </c>
      <c r="G72" s="85"/>
      <c r="H72"/>
      <c r="I72"/>
      <c r="J72"/>
      <c r="K72"/>
      <c r="L72"/>
      <c r="M72"/>
      <c r="N72"/>
      <c r="O72"/>
      <c r="P72"/>
      <c r="Q72"/>
      <c r="R72"/>
      <c r="S72"/>
      <c r="T72"/>
      <c r="U72"/>
      <c r="V72"/>
      <c r="W72"/>
      <c r="X72"/>
      <c r="Y72"/>
      <c r="Z72"/>
    </row>
    <row r="73" spans="1:26" ht="14.5" customHeight="1">
      <c r="A73"/>
      <c r="B73" s="28">
        <v>5</v>
      </c>
      <c r="C73" s="85" t="s">
        <v>507</v>
      </c>
      <c r="D73" s="85"/>
      <c r="E73" s="85"/>
      <c r="F73" s="85" t="s">
        <v>473</v>
      </c>
      <c r="G73" s="85"/>
      <c r="H73"/>
      <c r="I73"/>
      <c r="J73"/>
      <c r="K73"/>
      <c r="L73"/>
      <c r="M73"/>
      <c r="N73"/>
      <c r="O73"/>
      <c r="P73"/>
      <c r="Q73"/>
      <c r="R73"/>
      <c r="S73"/>
      <c r="T73"/>
      <c r="U73"/>
      <c r="V73"/>
      <c r="W73"/>
      <c r="X73"/>
      <c r="Y73"/>
      <c r="Z73"/>
    </row>
    <row r="74" spans="1:26" ht="14.5" customHeight="1">
      <c r="A74"/>
      <c r="B74" s="28">
        <v>6</v>
      </c>
      <c r="C74" s="85" t="s">
        <v>508</v>
      </c>
      <c r="D74" s="85"/>
      <c r="E74" s="85"/>
      <c r="F74" s="85" t="s">
        <v>473</v>
      </c>
      <c r="G74" s="85"/>
      <c r="H74"/>
      <c r="I74"/>
      <c r="J74"/>
      <c r="K74"/>
      <c r="L74"/>
      <c r="M74"/>
      <c r="N74"/>
      <c r="O74"/>
      <c r="P74"/>
      <c r="Q74"/>
      <c r="R74"/>
      <c r="S74"/>
      <c r="T74"/>
      <c r="U74"/>
      <c r="V74"/>
      <c r="W74"/>
      <c r="X74"/>
      <c r="Y74"/>
      <c r="Z74"/>
    </row>
    <row r="75" spans="1:26" ht="14.5" customHeight="1">
      <c r="A75"/>
      <c r="B75" s="28">
        <v>7</v>
      </c>
      <c r="C75" s="85" t="s">
        <v>509</v>
      </c>
      <c r="D75" s="85"/>
      <c r="E75" s="85"/>
      <c r="F75" s="85" t="s">
        <v>473</v>
      </c>
      <c r="G75" s="85"/>
      <c r="H75"/>
      <c r="I75"/>
      <c r="J75"/>
      <c r="K75"/>
      <c r="L75"/>
      <c r="M75"/>
      <c r="N75"/>
      <c r="O75"/>
      <c r="P75"/>
      <c r="Q75"/>
      <c r="R75"/>
      <c r="S75"/>
      <c r="T75"/>
      <c r="U75"/>
      <c r="V75"/>
      <c r="W75"/>
      <c r="X75"/>
      <c r="Y75"/>
      <c r="Z75"/>
    </row>
    <row r="76" spans="1:26" ht="14.5" customHeight="1">
      <c r="A76"/>
      <c r="B76" s="28">
        <v>8</v>
      </c>
      <c r="C76" s="85" t="s">
        <v>510</v>
      </c>
      <c r="D76" s="85"/>
      <c r="E76" s="85"/>
      <c r="F76" s="85" t="s">
        <v>473</v>
      </c>
      <c r="G76" s="85"/>
      <c r="H76"/>
      <c r="I76"/>
      <c r="J76"/>
      <c r="K76"/>
      <c r="L76"/>
      <c r="M76"/>
      <c r="N76"/>
      <c r="O76"/>
      <c r="P76"/>
      <c r="Q76"/>
      <c r="R76"/>
      <c r="S76"/>
      <c r="T76"/>
      <c r="U76"/>
      <c r="V76"/>
      <c r="W76"/>
      <c r="X76"/>
      <c r="Y76"/>
      <c r="Z76"/>
    </row>
    <row r="77" spans="1:26">
      <c r="A77"/>
      <c r="B77"/>
      <c r="C77"/>
      <c r="D77"/>
      <c r="E77"/>
      <c r="F77"/>
      <c r="G77"/>
      <c r="H77"/>
      <c r="I77"/>
      <c r="J77"/>
      <c r="K77"/>
      <c r="L77"/>
      <c r="M77"/>
      <c r="N77"/>
      <c r="O77"/>
      <c r="P77"/>
      <c r="Q77"/>
      <c r="R77"/>
      <c r="S77"/>
      <c r="T77"/>
      <c r="U77"/>
      <c r="V77"/>
      <c r="W77"/>
      <c r="X77"/>
      <c r="Y77"/>
      <c r="Z77"/>
    </row>
    <row r="78" spans="1:26">
      <c r="A78"/>
      <c r="B78"/>
      <c r="C78"/>
      <c r="D78"/>
      <c r="E78"/>
      <c r="F78"/>
      <c r="G78"/>
      <c r="H78"/>
      <c r="I78"/>
      <c r="J78"/>
      <c r="K78"/>
      <c r="L78"/>
      <c r="M78"/>
      <c r="N78"/>
      <c r="O78"/>
      <c r="P78"/>
      <c r="Q78"/>
      <c r="R78"/>
      <c r="S78"/>
      <c r="T78"/>
      <c r="U78"/>
      <c r="V78"/>
      <c r="W78"/>
      <c r="X78"/>
      <c r="Y78"/>
      <c r="Z78"/>
    </row>
    <row r="79" spans="1:26" ht="15.5" customHeight="1">
      <c r="A79"/>
      <c r="B79" s="83" t="s">
        <v>443</v>
      </c>
      <c r="C79" s="83"/>
      <c r="D79" s="83"/>
      <c r="E79" s="83"/>
      <c r="F79" s="83"/>
      <c r="G79" s="83"/>
      <c r="H79"/>
      <c r="I79"/>
      <c r="J79"/>
      <c r="K79"/>
      <c r="L79"/>
      <c r="M79"/>
      <c r="N79"/>
      <c r="O79"/>
      <c r="P79"/>
      <c r="Q79"/>
      <c r="R79"/>
      <c r="S79"/>
      <c r="T79"/>
      <c r="U79"/>
      <c r="V79"/>
      <c r="W79"/>
      <c r="X79"/>
      <c r="Y79"/>
      <c r="Z79"/>
    </row>
    <row r="80" spans="1:26" ht="14.5" customHeight="1">
      <c r="A80"/>
      <c r="B80" s="23" t="s">
        <v>83</v>
      </c>
      <c r="C80" s="84" t="s">
        <v>219</v>
      </c>
      <c r="D80" s="84"/>
      <c r="E80" s="84"/>
      <c r="F80" s="84" t="s">
        <v>216</v>
      </c>
      <c r="G80" s="84"/>
      <c r="H80"/>
      <c r="I80"/>
      <c r="J80"/>
      <c r="K80"/>
      <c r="L80"/>
      <c r="M80"/>
      <c r="N80"/>
      <c r="O80"/>
      <c r="P80"/>
      <c r="Q80"/>
      <c r="R80"/>
      <c r="S80"/>
      <c r="T80"/>
      <c r="U80"/>
      <c r="V80"/>
      <c r="W80"/>
      <c r="X80"/>
      <c r="Y80"/>
      <c r="Z80"/>
    </row>
    <row r="81" spans="1:26" ht="14.5" customHeight="1">
      <c r="A81"/>
      <c r="B81" s="28">
        <v>1</v>
      </c>
      <c r="C81" s="85" t="s">
        <v>511</v>
      </c>
      <c r="D81" s="85"/>
      <c r="E81" s="85"/>
      <c r="F81" s="85" t="s">
        <v>473</v>
      </c>
      <c r="G81" s="85"/>
      <c r="H81"/>
      <c r="I81"/>
      <c r="J81"/>
      <c r="K81"/>
      <c r="L81"/>
      <c r="M81"/>
      <c r="N81"/>
      <c r="O81"/>
      <c r="P81"/>
      <c r="Q81"/>
      <c r="R81"/>
      <c r="S81"/>
      <c r="T81"/>
      <c r="U81"/>
      <c r="V81"/>
      <c r="W81"/>
      <c r="X81"/>
      <c r="Y81"/>
      <c r="Z81"/>
    </row>
    <row r="82" spans="1:26" ht="14.5" customHeight="1">
      <c r="A82"/>
      <c r="B82" s="28">
        <v>2</v>
      </c>
      <c r="C82" s="85" t="s">
        <v>512</v>
      </c>
      <c r="D82" s="85"/>
      <c r="E82" s="85"/>
      <c r="F82" s="85" t="s">
        <v>473</v>
      </c>
      <c r="G82" s="85"/>
      <c r="H82"/>
      <c r="I82"/>
      <c r="J82"/>
      <c r="K82"/>
      <c r="L82"/>
      <c r="M82"/>
      <c r="N82"/>
      <c r="O82"/>
      <c r="P82"/>
      <c r="Q82"/>
      <c r="R82"/>
      <c r="S82"/>
      <c r="T82"/>
      <c r="U82"/>
      <c r="V82"/>
      <c r="W82"/>
      <c r="X82"/>
      <c r="Y82"/>
      <c r="Z82"/>
    </row>
    <row r="83" spans="1:26" ht="14.5" customHeight="1">
      <c r="A83"/>
      <c r="B83" s="28">
        <v>3</v>
      </c>
      <c r="C83" s="85" t="s">
        <v>513</v>
      </c>
      <c r="D83" s="85"/>
      <c r="E83" s="85"/>
      <c r="F83" s="85" t="s">
        <v>473</v>
      </c>
      <c r="G83" s="85"/>
      <c r="H83"/>
      <c r="I83"/>
      <c r="J83"/>
      <c r="K83"/>
      <c r="L83"/>
      <c r="M83"/>
      <c r="N83"/>
      <c r="O83"/>
      <c r="P83"/>
      <c r="Q83"/>
      <c r="R83"/>
      <c r="S83"/>
      <c r="T83"/>
      <c r="U83"/>
      <c r="V83"/>
      <c r="W83"/>
      <c r="X83"/>
      <c r="Y83"/>
      <c r="Z83"/>
    </row>
    <row r="84" spans="1:26" ht="14.5" customHeight="1">
      <c r="A84"/>
      <c r="B84" s="28">
        <v>4</v>
      </c>
      <c r="C84" s="85" t="s">
        <v>514</v>
      </c>
      <c r="D84" s="85"/>
      <c r="E84" s="85"/>
      <c r="F84" s="85" t="s">
        <v>473</v>
      </c>
      <c r="G84" s="85"/>
      <c r="H84"/>
      <c r="I84"/>
      <c r="J84"/>
      <c r="K84"/>
      <c r="L84"/>
      <c r="M84"/>
      <c r="N84"/>
      <c r="O84"/>
      <c r="P84"/>
      <c r="Q84"/>
      <c r="R84"/>
      <c r="S84"/>
      <c r="T84"/>
      <c r="U84"/>
      <c r="V84"/>
      <c r="W84"/>
      <c r="X84"/>
      <c r="Y84"/>
      <c r="Z84"/>
    </row>
    <row r="85" spans="1:26" ht="14.5" customHeight="1">
      <c r="A85"/>
      <c r="B85" s="28">
        <v>5</v>
      </c>
      <c r="C85" s="85" t="s">
        <v>515</v>
      </c>
      <c r="D85" s="85"/>
      <c r="E85" s="85"/>
      <c r="F85" s="85" t="s">
        <v>473</v>
      </c>
      <c r="G85" s="85"/>
      <c r="H85"/>
      <c r="I85"/>
      <c r="J85"/>
      <c r="K85"/>
      <c r="L85"/>
      <c r="M85"/>
      <c r="N85"/>
      <c r="O85"/>
      <c r="P85"/>
      <c r="Q85"/>
      <c r="R85"/>
      <c r="S85"/>
      <c r="T85"/>
      <c r="U85"/>
      <c r="V85"/>
      <c r="W85"/>
      <c r="X85"/>
      <c r="Y85"/>
      <c r="Z85"/>
    </row>
    <row r="86" spans="1:26" ht="14.5" customHeight="1">
      <c r="A86"/>
      <c r="B86" s="28">
        <v>6</v>
      </c>
      <c r="C86" s="85" t="s">
        <v>516</v>
      </c>
      <c r="D86" s="85"/>
      <c r="E86" s="85"/>
      <c r="F86" s="85" t="s">
        <v>473</v>
      </c>
      <c r="G86" s="85"/>
      <c r="H86"/>
      <c r="I86"/>
      <c r="J86"/>
      <c r="K86"/>
      <c r="L86"/>
      <c r="M86"/>
      <c r="N86"/>
      <c r="O86"/>
      <c r="P86"/>
      <c r="Q86"/>
      <c r="R86"/>
      <c r="S86"/>
      <c r="T86"/>
      <c r="U86"/>
      <c r="V86"/>
      <c r="W86"/>
      <c r="X86"/>
      <c r="Y86"/>
      <c r="Z86"/>
    </row>
    <row r="87" spans="1:26" ht="14.5" customHeight="1">
      <c r="A87"/>
      <c r="B87" s="28">
        <v>7</v>
      </c>
      <c r="C87" s="85" t="s">
        <v>517</v>
      </c>
      <c r="D87" s="85"/>
      <c r="E87" s="85"/>
      <c r="F87" s="85" t="s">
        <v>473</v>
      </c>
      <c r="G87" s="85"/>
      <c r="H87"/>
      <c r="I87"/>
      <c r="J87"/>
      <c r="K87"/>
      <c r="L87"/>
      <c r="M87"/>
      <c r="N87"/>
      <c r="O87"/>
      <c r="P87"/>
      <c r="Q87"/>
      <c r="R87"/>
      <c r="S87"/>
      <c r="T87"/>
      <c r="U87"/>
      <c r="V87"/>
      <c r="W87"/>
      <c r="X87"/>
      <c r="Y87"/>
      <c r="Z87"/>
    </row>
    <row r="88" spans="1:26" ht="14.5" customHeight="1">
      <c r="A88"/>
      <c r="B88" s="28">
        <v>8</v>
      </c>
      <c r="C88" s="85" t="s">
        <v>518</v>
      </c>
      <c r="D88" s="85"/>
      <c r="E88" s="85"/>
      <c r="F88" s="85" t="s">
        <v>473</v>
      </c>
      <c r="G88" s="85"/>
      <c r="H88"/>
      <c r="I88"/>
      <c r="J88"/>
      <c r="K88"/>
      <c r="L88"/>
      <c r="M88"/>
      <c r="N88"/>
      <c r="O88"/>
      <c r="P88"/>
      <c r="Q88"/>
      <c r="R88"/>
      <c r="S88"/>
      <c r="T88"/>
      <c r="U88"/>
      <c r="V88"/>
      <c r="W88"/>
      <c r="X88"/>
      <c r="Y88"/>
      <c r="Z88"/>
    </row>
    <row r="89" spans="1:26">
      <c r="A89"/>
      <c r="B89"/>
      <c r="C89"/>
      <c r="D89"/>
      <c r="E89"/>
      <c r="F89"/>
      <c r="G89"/>
      <c r="H89"/>
      <c r="I89"/>
      <c r="J89"/>
      <c r="K89"/>
      <c r="L89"/>
      <c r="M89"/>
      <c r="N89"/>
      <c r="O89"/>
      <c r="P89"/>
      <c r="Q89"/>
      <c r="R89"/>
      <c r="S89"/>
      <c r="T89"/>
      <c r="U89"/>
      <c r="V89"/>
      <c r="W89"/>
      <c r="X89"/>
      <c r="Y89"/>
      <c r="Z89"/>
    </row>
    <row r="90" spans="1:26">
      <c r="A90"/>
      <c r="B90"/>
      <c r="C90"/>
      <c r="D90"/>
      <c r="E90"/>
      <c r="F90"/>
      <c r="G90"/>
      <c r="H90"/>
      <c r="I90"/>
      <c r="J90"/>
      <c r="K90"/>
      <c r="L90"/>
      <c r="M90"/>
      <c r="N90"/>
      <c r="O90"/>
      <c r="P90"/>
      <c r="Q90"/>
      <c r="R90"/>
      <c r="S90"/>
      <c r="T90"/>
      <c r="U90"/>
      <c r="V90"/>
      <c r="W90"/>
      <c r="X90"/>
      <c r="Y90"/>
      <c r="Z90"/>
    </row>
    <row r="91" spans="1:26">
      <c r="A91"/>
      <c r="B91"/>
      <c r="C91"/>
      <c r="D91"/>
      <c r="E91"/>
      <c r="F91"/>
      <c r="G91"/>
      <c r="H91"/>
      <c r="I91"/>
      <c r="J91"/>
      <c r="K91"/>
      <c r="L91"/>
      <c r="M91"/>
      <c r="N91"/>
      <c r="O91"/>
      <c r="P91"/>
      <c r="Q91"/>
      <c r="R91"/>
      <c r="S91"/>
      <c r="T91"/>
      <c r="U91"/>
      <c r="V91"/>
      <c r="W91"/>
      <c r="X91"/>
      <c r="Y91"/>
      <c r="Z91"/>
    </row>
    <row r="92" spans="1:26">
      <c r="A92"/>
      <c r="B92"/>
      <c r="C92"/>
      <c r="D92"/>
      <c r="E92"/>
      <c r="F92"/>
      <c r="G92"/>
      <c r="H92"/>
      <c r="I92"/>
      <c r="J92"/>
      <c r="K92"/>
      <c r="L92"/>
      <c r="M92"/>
      <c r="N92"/>
      <c r="O92"/>
      <c r="P92"/>
      <c r="Q92"/>
      <c r="R92"/>
      <c r="S92"/>
      <c r="T92"/>
      <c r="U92"/>
      <c r="V92"/>
      <c r="W92"/>
      <c r="X92"/>
      <c r="Y92"/>
      <c r="Z92"/>
    </row>
    <row r="93" spans="1:26">
      <c r="A93"/>
      <c r="B93"/>
      <c r="C93"/>
      <c r="D93"/>
      <c r="E93"/>
      <c r="F93"/>
      <c r="G93"/>
      <c r="H93"/>
      <c r="I93"/>
      <c r="J93"/>
      <c r="K93"/>
      <c r="L93"/>
      <c r="M93"/>
      <c r="N93"/>
      <c r="O93"/>
      <c r="P93"/>
      <c r="Q93"/>
      <c r="R93"/>
      <c r="S93"/>
      <c r="T93"/>
      <c r="U93"/>
      <c r="V93"/>
      <c r="W93"/>
      <c r="X93"/>
      <c r="Y93"/>
      <c r="Z93"/>
    </row>
    <row r="94" spans="1:26">
      <c r="A94"/>
      <c r="B94"/>
      <c r="C94"/>
      <c r="D94"/>
      <c r="E94"/>
      <c r="F94"/>
      <c r="G94"/>
      <c r="H94"/>
      <c r="I94"/>
      <c r="J94"/>
      <c r="K94"/>
      <c r="L94"/>
      <c r="M94"/>
      <c r="N94"/>
      <c r="O94"/>
      <c r="P94"/>
      <c r="Q94"/>
      <c r="R94"/>
      <c r="S94"/>
      <c r="T94"/>
      <c r="U94"/>
      <c r="V94"/>
      <c r="W94"/>
      <c r="X94"/>
      <c r="Y94"/>
      <c r="Z94"/>
    </row>
    <row r="95" spans="1:26">
      <c r="A95"/>
      <c r="B95"/>
      <c r="C95"/>
      <c r="D95"/>
      <c r="E95"/>
      <c r="F95"/>
      <c r="G95"/>
      <c r="H95"/>
      <c r="I95"/>
      <c r="J95"/>
      <c r="K95"/>
      <c r="L95"/>
      <c r="M95"/>
      <c r="N95"/>
      <c r="O95"/>
      <c r="P95"/>
      <c r="Q95"/>
      <c r="R95"/>
      <c r="S95"/>
      <c r="T95"/>
      <c r="U95"/>
      <c r="V95"/>
      <c r="W95"/>
      <c r="X95"/>
      <c r="Y95"/>
      <c r="Z95"/>
    </row>
    <row r="96" spans="1:26">
      <c r="A96"/>
      <c r="B96"/>
      <c r="C96"/>
      <c r="D96"/>
      <c r="E96"/>
      <c r="F96"/>
      <c r="G96"/>
      <c r="H96"/>
      <c r="I96"/>
      <c r="J96"/>
      <c r="K96"/>
      <c r="L96"/>
      <c r="M96"/>
      <c r="N96"/>
      <c r="O96"/>
      <c r="P96"/>
      <c r="Q96"/>
      <c r="R96"/>
      <c r="S96"/>
      <c r="T96"/>
      <c r="U96"/>
      <c r="V96"/>
      <c r="W96"/>
      <c r="X96"/>
      <c r="Y96"/>
      <c r="Z96"/>
    </row>
    <row r="97" spans="1:26">
      <c r="A97"/>
      <c r="B97"/>
      <c r="C97"/>
      <c r="D97"/>
      <c r="E97"/>
      <c r="F97"/>
      <c r="G97"/>
      <c r="H97"/>
      <c r="I97"/>
      <c r="J97"/>
      <c r="K97"/>
      <c r="L97"/>
      <c r="M97"/>
      <c r="N97"/>
      <c r="O97"/>
      <c r="P97"/>
      <c r="Q97"/>
      <c r="R97"/>
      <c r="S97"/>
      <c r="T97"/>
      <c r="U97"/>
      <c r="V97"/>
      <c r="W97"/>
      <c r="X97"/>
      <c r="Y97"/>
      <c r="Z97"/>
    </row>
    <row r="98" spans="1:26">
      <c r="A98"/>
      <c r="B98"/>
      <c r="C98"/>
      <c r="D98"/>
      <c r="E98"/>
      <c r="F98"/>
      <c r="G98"/>
      <c r="H98"/>
      <c r="I98"/>
      <c r="J98"/>
      <c r="K98"/>
      <c r="L98"/>
      <c r="M98"/>
      <c r="N98"/>
      <c r="O98"/>
      <c r="P98"/>
      <c r="Q98"/>
      <c r="R98"/>
      <c r="S98"/>
      <c r="T98"/>
      <c r="U98"/>
      <c r="V98"/>
      <c r="W98"/>
      <c r="X98"/>
      <c r="Y98"/>
      <c r="Z98"/>
    </row>
    <row r="99" spans="1:26">
      <c r="A99"/>
      <c r="B99"/>
      <c r="C99"/>
      <c r="D99"/>
      <c r="E99"/>
      <c r="F99"/>
      <c r="G99"/>
      <c r="H99"/>
      <c r="I99"/>
      <c r="J99"/>
      <c r="K99"/>
      <c r="L99"/>
      <c r="M99"/>
      <c r="N99"/>
      <c r="O99"/>
      <c r="P99"/>
      <c r="Q99"/>
      <c r="R99"/>
      <c r="S99"/>
      <c r="T99"/>
      <c r="U99"/>
      <c r="V99"/>
      <c r="W99"/>
      <c r="X99"/>
      <c r="Y99"/>
      <c r="Z99"/>
    </row>
    <row r="100" spans="1:26">
      <c r="A100"/>
      <c r="B100"/>
      <c r="C100"/>
      <c r="D100"/>
      <c r="E100"/>
      <c r="F100"/>
      <c r="G100"/>
      <c r="H100"/>
      <c r="I100"/>
      <c r="J100"/>
      <c r="K100"/>
      <c r="L100"/>
      <c r="M100"/>
      <c r="N100"/>
      <c r="O100"/>
      <c r="P100"/>
      <c r="Q100"/>
      <c r="R100"/>
      <c r="S100"/>
      <c r="T100"/>
      <c r="U100"/>
      <c r="V100"/>
      <c r="W100"/>
      <c r="X100"/>
      <c r="Y100"/>
      <c r="Z100"/>
    </row>
    <row r="101" spans="1:26">
      <c r="A101"/>
      <c r="B101"/>
      <c r="C101"/>
      <c r="D101"/>
      <c r="E101"/>
      <c r="F101"/>
      <c r="G101"/>
      <c r="H101"/>
      <c r="I101"/>
      <c r="J101"/>
      <c r="K101"/>
      <c r="L101"/>
      <c r="M101"/>
      <c r="N101"/>
      <c r="O101"/>
      <c r="P101"/>
      <c r="Q101"/>
      <c r="R101"/>
      <c r="S101"/>
      <c r="T101"/>
      <c r="U101"/>
      <c r="V101"/>
      <c r="W101"/>
      <c r="X101"/>
      <c r="Y101"/>
      <c r="Z101"/>
    </row>
    <row r="102" spans="1:26">
      <c r="A102"/>
      <c r="B102"/>
      <c r="C102"/>
      <c r="D102"/>
      <c r="E102"/>
      <c r="F102"/>
      <c r="G102"/>
      <c r="H102"/>
      <c r="I102"/>
      <c r="J102"/>
      <c r="K102"/>
      <c r="L102"/>
      <c r="M102"/>
      <c r="N102"/>
      <c r="O102"/>
      <c r="P102"/>
      <c r="Q102"/>
      <c r="R102"/>
      <c r="S102"/>
      <c r="T102"/>
      <c r="U102"/>
      <c r="V102"/>
      <c r="W102"/>
      <c r="X102"/>
      <c r="Y102"/>
      <c r="Z102"/>
    </row>
    <row r="103" spans="1:26">
      <c r="A103"/>
      <c r="B103"/>
      <c r="C103"/>
      <c r="D103"/>
      <c r="E103"/>
      <c r="F103"/>
      <c r="G103"/>
      <c r="H103"/>
      <c r="I103"/>
      <c r="J103"/>
      <c r="K103"/>
      <c r="L103"/>
      <c r="M103"/>
      <c r="N103"/>
      <c r="O103"/>
      <c r="P103"/>
      <c r="Q103"/>
      <c r="R103"/>
      <c r="S103"/>
      <c r="T103"/>
      <c r="U103"/>
      <c r="V103"/>
      <c r="W103"/>
      <c r="X103"/>
      <c r="Y103"/>
      <c r="Z103"/>
    </row>
    <row r="104" spans="1:26">
      <c r="A104"/>
      <c r="B104"/>
      <c r="C104"/>
      <c r="D104"/>
      <c r="E104"/>
      <c r="F104"/>
      <c r="G104"/>
      <c r="H104"/>
      <c r="I104"/>
      <c r="J104"/>
      <c r="K104"/>
      <c r="L104"/>
      <c r="M104"/>
      <c r="N104"/>
      <c r="O104"/>
      <c r="P104"/>
      <c r="Q104"/>
      <c r="R104"/>
      <c r="S104"/>
      <c r="T104"/>
      <c r="U104"/>
      <c r="V104"/>
      <c r="W104"/>
      <c r="X104"/>
      <c r="Y104"/>
      <c r="Z104"/>
    </row>
    <row r="105" spans="1:26">
      <c r="A105"/>
      <c r="B105"/>
      <c r="C105"/>
      <c r="D105"/>
      <c r="E105"/>
      <c r="F105"/>
      <c r="G105"/>
      <c r="H105"/>
      <c r="I105"/>
      <c r="J105"/>
      <c r="K105"/>
      <c r="L105"/>
      <c r="M105"/>
      <c r="N105"/>
      <c r="O105"/>
      <c r="P105"/>
      <c r="Q105"/>
      <c r="R105"/>
      <c r="S105"/>
      <c r="T105"/>
      <c r="U105"/>
      <c r="V105"/>
      <c r="W105"/>
      <c r="X105"/>
      <c r="Y105"/>
      <c r="Z105"/>
    </row>
    <row r="106" spans="1:26">
      <c r="A106"/>
      <c r="B106"/>
      <c r="C106"/>
      <c r="D106"/>
      <c r="E106"/>
      <c r="F106"/>
      <c r="G106"/>
      <c r="H106"/>
      <c r="I106"/>
      <c r="J106"/>
      <c r="K106"/>
      <c r="L106"/>
      <c r="M106"/>
      <c r="N106"/>
      <c r="O106"/>
      <c r="P106"/>
      <c r="Q106"/>
      <c r="R106"/>
      <c r="S106"/>
      <c r="T106"/>
      <c r="U106"/>
      <c r="V106"/>
      <c r="W106"/>
      <c r="X106"/>
      <c r="Y106"/>
      <c r="Z106"/>
    </row>
    <row r="107" spans="1:26">
      <c r="A107"/>
      <c r="B107"/>
      <c r="C107"/>
      <c r="D107"/>
      <c r="E107"/>
      <c r="F107"/>
      <c r="G107"/>
      <c r="H107"/>
      <c r="I107"/>
      <c r="J107"/>
      <c r="K107"/>
      <c r="L107"/>
      <c r="M107"/>
      <c r="N107"/>
      <c r="O107"/>
      <c r="P107"/>
      <c r="Q107"/>
      <c r="R107"/>
      <c r="S107"/>
      <c r="T107"/>
      <c r="U107"/>
      <c r="V107"/>
      <c r="W107"/>
      <c r="X107"/>
      <c r="Y107"/>
      <c r="Z107"/>
    </row>
    <row r="108" spans="1:26">
      <c r="A108"/>
      <c r="B108"/>
      <c r="C108"/>
      <c r="D108"/>
      <c r="E108"/>
      <c r="F108"/>
      <c r="G108"/>
      <c r="H108"/>
      <c r="I108"/>
      <c r="J108"/>
      <c r="K108"/>
      <c r="L108"/>
      <c r="M108"/>
      <c r="N108"/>
      <c r="O108"/>
      <c r="P108"/>
      <c r="Q108"/>
      <c r="R108"/>
      <c r="S108"/>
      <c r="T108"/>
      <c r="U108"/>
      <c r="V108"/>
      <c r="W108"/>
      <c r="X108"/>
      <c r="Y108"/>
      <c r="Z108"/>
    </row>
    <row r="109" spans="1:26">
      <c r="A109"/>
      <c r="B109"/>
      <c r="C109"/>
      <c r="D109"/>
      <c r="E109"/>
      <c r="F109"/>
      <c r="G109"/>
      <c r="H109"/>
      <c r="I109"/>
      <c r="J109"/>
      <c r="K109"/>
      <c r="L109"/>
      <c r="M109"/>
      <c r="N109"/>
      <c r="O109"/>
      <c r="P109"/>
      <c r="Q109"/>
      <c r="R109"/>
      <c r="S109"/>
      <c r="T109"/>
      <c r="U109"/>
      <c r="V109"/>
      <c r="W109"/>
      <c r="X109"/>
      <c r="Y109"/>
      <c r="Z109"/>
    </row>
    <row r="110" spans="1:26">
      <c r="A110"/>
      <c r="B110"/>
      <c r="C110"/>
      <c r="D110"/>
      <c r="E110"/>
      <c r="F110"/>
      <c r="G110"/>
      <c r="H110"/>
      <c r="I110"/>
      <c r="J110"/>
      <c r="K110"/>
      <c r="L110"/>
      <c r="M110"/>
      <c r="N110"/>
      <c r="O110"/>
      <c r="P110"/>
      <c r="Q110"/>
      <c r="R110"/>
      <c r="S110"/>
      <c r="T110"/>
      <c r="U110"/>
      <c r="V110"/>
      <c r="W110"/>
      <c r="X110"/>
      <c r="Y110"/>
      <c r="Z110"/>
    </row>
    <row r="111" spans="1:26">
      <c r="A111"/>
      <c r="B111"/>
      <c r="C111"/>
      <c r="D111"/>
      <c r="E111"/>
      <c r="F111"/>
      <c r="G111"/>
      <c r="H111"/>
      <c r="I111"/>
      <c r="J111"/>
      <c r="K111"/>
      <c r="L111"/>
      <c r="M111"/>
      <c r="N111"/>
      <c r="O111"/>
      <c r="P111"/>
      <c r="Q111"/>
      <c r="R111"/>
      <c r="S111"/>
      <c r="T111"/>
      <c r="U111"/>
      <c r="V111"/>
      <c r="W111"/>
      <c r="X111"/>
      <c r="Y111"/>
      <c r="Z111"/>
    </row>
    <row r="112" spans="1:26">
      <c r="A112"/>
      <c r="B112"/>
      <c r="C112"/>
      <c r="D112"/>
      <c r="E112"/>
      <c r="F112"/>
      <c r="G112"/>
      <c r="H112"/>
      <c r="I112"/>
      <c r="J112"/>
      <c r="K112"/>
      <c r="L112"/>
      <c r="M112"/>
      <c r="N112"/>
      <c r="O112"/>
      <c r="P112"/>
      <c r="Q112"/>
      <c r="R112"/>
      <c r="S112"/>
      <c r="T112"/>
      <c r="U112"/>
      <c r="V112"/>
      <c r="W112"/>
      <c r="X112"/>
      <c r="Y112"/>
      <c r="Z112"/>
    </row>
    <row r="113" spans="1:26">
      <c r="A113"/>
      <c r="B113"/>
      <c r="C113"/>
      <c r="D113"/>
      <c r="E113"/>
      <c r="F113"/>
      <c r="G113"/>
      <c r="H113"/>
      <c r="I113"/>
      <c r="J113"/>
      <c r="K113"/>
      <c r="L113"/>
      <c r="M113"/>
      <c r="N113"/>
      <c r="O113"/>
      <c r="P113"/>
      <c r="Q113"/>
      <c r="R113"/>
      <c r="S113"/>
      <c r="T113"/>
      <c r="U113"/>
      <c r="V113"/>
      <c r="W113"/>
      <c r="X113"/>
      <c r="Y113"/>
      <c r="Z113"/>
    </row>
    <row r="114" spans="1:26">
      <c r="A114"/>
      <c r="B114"/>
      <c r="C114"/>
      <c r="D114"/>
      <c r="E114"/>
      <c r="F114"/>
      <c r="G114"/>
      <c r="H114"/>
      <c r="I114"/>
      <c r="J114"/>
      <c r="K114"/>
      <c r="L114"/>
      <c r="M114"/>
      <c r="N114"/>
      <c r="O114"/>
      <c r="P114"/>
      <c r="Q114"/>
      <c r="R114"/>
      <c r="S114"/>
      <c r="T114"/>
      <c r="U114"/>
      <c r="V114"/>
      <c r="W114"/>
      <c r="X114"/>
      <c r="Y114"/>
      <c r="Z114"/>
    </row>
    <row r="115" spans="1:26">
      <c r="A115"/>
      <c r="B115"/>
      <c r="C115"/>
      <c r="D115"/>
      <c r="E115"/>
      <c r="F115"/>
      <c r="G115"/>
      <c r="H115"/>
      <c r="I115"/>
      <c r="J115"/>
      <c r="K115"/>
      <c r="L115"/>
      <c r="M115"/>
      <c r="N115"/>
      <c r="O115"/>
      <c r="P115"/>
      <c r="Q115"/>
      <c r="R115"/>
      <c r="S115"/>
      <c r="T115"/>
      <c r="U115"/>
      <c r="V115"/>
      <c r="W115"/>
      <c r="X115"/>
      <c r="Y115"/>
      <c r="Z115"/>
    </row>
    <row r="116" spans="1:26">
      <c r="A116"/>
      <c r="B116"/>
      <c r="C116"/>
      <c r="D116"/>
      <c r="E116"/>
      <c r="F116"/>
      <c r="G116"/>
      <c r="H116"/>
      <c r="I116"/>
      <c r="J116"/>
      <c r="K116"/>
      <c r="L116"/>
      <c r="M116"/>
      <c r="N116"/>
      <c r="O116"/>
      <c r="P116"/>
      <c r="Q116"/>
      <c r="R116"/>
      <c r="S116"/>
      <c r="T116"/>
      <c r="U116"/>
      <c r="V116"/>
      <c r="W116"/>
      <c r="X116"/>
      <c r="Y116"/>
      <c r="Z116"/>
    </row>
    <row r="117" spans="1:26">
      <c r="A117"/>
      <c r="B117"/>
      <c r="C117"/>
      <c r="D117"/>
      <c r="E117"/>
      <c r="F117"/>
      <c r="G117"/>
      <c r="H117"/>
      <c r="I117"/>
      <c r="J117"/>
      <c r="K117"/>
      <c r="L117"/>
      <c r="M117"/>
      <c r="N117"/>
      <c r="O117"/>
      <c r="P117"/>
      <c r="Q117"/>
      <c r="R117"/>
      <c r="S117"/>
      <c r="T117"/>
      <c r="U117"/>
      <c r="V117"/>
      <c r="W117"/>
      <c r="X117"/>
      <c r="Y117"/>
      <c r="Z117"/>
    </row>
    <row r="118" spans="1:26">
      <c r="A118"/>
      <c r="B118"/>
      <c r="C118"/>
      <c r="D118"/>
      <c r="E118"/>
      <c r="F118"/>
      <c r="G118"/>
      <c r="H118"/>
      <c r="I118"/>
      <c r="J118"/>
      <c r="K118"/>
      <c r="L118"/>
      <c r="M118"/>
      <c r="N118"/>
      <c r="O118"/>
      <c r="P118"/>
      <c r="Q118"/>
      <c r="R118"/>
      <c r="S118"/>
      <c r="T118"/>
      <c r="U118"/>
      <c r="V118"/>
      <c r="W118"/>
      <c r="X118"/>
      <c r="Y118"/>
      <c r="Z118"/>
    </row>
    <row r="119" spans="1:26">
      <c r="A119"/>
      <c r="B119"/>
      <c r="C119"/>
      <c r="D119"/>
      <c r="E119"/>
      <c r="F119"/>
      <c r="G119"/>
      <c r="H119"/>
      <c r="I119"/>
      <c r="J119"/>
      <c r="K119"/>
      <c r="L119"/>
      <c r="M119"/>
      <c r="N119"/>
      <c r="O119"/>
      <c r="P119"/>
      <c r="Q119"/>
      <c r="R119"/>
      <c r="S119"/>
      <c r="T119"/>
      <c r="U119"/>
      <c r="V119"/>
      <c r="W119"/>
      <c r="X119"/>
      <c r="Y119"/>
      <c r="Z119"/>
    </row>
    <row r="120" spans="1:26">
      <c r="A120"/>
      <c r="B120"/>
      <c r="C120"/>
      <c r="D120"/>
      <c r="E120"/>
      <c r="F120"/>
      <c r="G120"/>
      <c r="H120"/>
      <c r="I120"/>
      <c r="J120"/>
      <c r="K120"/>
      <c r="L120"/>
      <c r="M120"/>
      <c r="N120"/>
      <c r="O120"/>
      <c r="P120"/>
      <c r="Q120"/>
      <c r="R120"/>
      <c r="S120"/>
      <c r="T120"/>
      <c r="U120"/>
      <c r="V120"/>
      <c r="W120"/>
      <c r="X120"/>
      <c r="Y120"/>
      <c r="Z120"/>
    </row>
    <row r="121" spans="1:26">
      <c r="A121"/>
      <c r="B121"/>
      <c r="C121"/>
      <c r="D121"/>
      <c r="E121"/>
      <c r="F121"/>
      <c r="G121"/>
      <c r="H121"/>
      <c r="I121"/>
      <c r="J121"/>
      <c r="K121"/>
      <c r="L121"/>
      <c r="M121"/>
      <c r="N121"/>
      <c r="O121"/>
      <c r="P121"/>
      <c r="Q121"/>
      <c r="R121"/>
      <c r="S121"/>
      <c r="T121"/>
      <c r="U121"/>
      <c r="V121"/>
      <c r="W121"/>
      <c r="X121"/>
      <c r="Y121"/>
      <c r="Z121"/>
    </row>
    <row r="122" spans="1:26">
      <c r="A122"/>
      <c r="B122"/>
      <c r="C122"/>
      <c r="D122"/>
      <c r="E122"/>
      <c r="F122"/>
      <c r="G122"/>
      <c r="H122"/>
      <c r="I122"/>
      <c r="J122"/>
      <c r="K122"/>
      <c r="L122"/>
      <c r="M122"/>
      <c r="N122"/>
      <c r="O122"/>
      <c r="P122"/>
      <c r="Q122"/>
      <c r="R122"/>
      <c r="S122"/>
      <c r="T122"/>
      <c r="U122"/>
      <c r="V122"/>
      <c r="W122"/>
      <c r="X122"/>
      <c r="Y122"/>
      <c r="Z122"/>
    </row>
    <row r="123" spans="1:26">
      <c r="A123"/>
      <c r="B123"/>
      <c r="C123"/>
      <c r="D123"/>
      <c r="E123"/>
      <c r="F123"/>
      <c r="G123"/>
      <c r="H123"/>
      <c r="I123"/>
      <c r="J123"/>
      <c r="K123"/>
      <c r="L123"/>
      <c r="M123"/>
      <c r="N123"/>
      <c r="O123"/>
      <c r="P123"/>
      <c r="Q123"/>
      <c r="R123"/>
      <c r="S123"/>
      <c r="T123"/>
      <c r="U123"/>
      <c r="V123"/>
      <c r="W123"/>
      <c r="X123"/>
      <c r="Y123"/>
      <c r="Z123"/>
    </row>
    <row r="124" spans="1:26">
      <c r="A124"/>
      <c r="B124"/>
      <c r="C124"/>
      <c r="D124"/>
      <c r="E124"/>
      <c r="F124"/>
      <c r="G124"/>
      <c r="H124"/>
      <c r="I124"/>
      <c r="J124"/>
      <c r="K124"/>
      <c r="L124"/>
      <c r="M124"/>
      <c r="N124"/>
      <c r="O124"/>
      <c r="P124"/>
      <c r="Q124"/>
      <c r="R124"/>
      <c r="S124"/>
      <c r="T124"/>
      <c r="U124"/>
      <c r="V124"/>
      <c r="W124"/>
      <c r="X124"/>
      <c r="Y124"/>
      <c r="Z124"/>
    </row>
  </sheetData>
  <mergeCells count="100">
    <mergeCell ref="F84:G84"/>
    <mergeCell ref="F85:G85"/>
    <mergeCell ref="F86:G86"/>
    <mergeCell ref="F87:G87"/>
    <mergeCell ref="F88:G88"/>
    <mergeCell ref="F72:G72"/>
    <mergeCell ref="F73:G73"/>
    <mergeCell ref="F74:G74"/>
    <mergeCell ref="F75:G75"/>
    <mergeCell ref="F76:G76"/>
    <mergeCell ref="C84:E84"/>
    <mergeCell ref="C85:E85"/>
    <mergeCell ref="C86:E86"/>
    <mergeCell ref="C87:E87"/>
    <mergeCell ref="C88:E88"/>
    <mergeCell ref="C80:E80"/>
    <mergeCell ref="C81:E81"/>
    <mergeCell ref="C82:E82"/>
    <mergeCell ref="C83:E83"/>
    <mergeCell ref="B79:G79"/>
    <mergeCell ref="F80:G80"/>
    <mergeCell ref="F81:G81"/>
    <mergeCell ref="F82:G82"/>
    <mergeCell ref="F83:G83"/>
    <mergeCell ref="C72:E72"/>
    <mergeCell ref="C73:E73"/>
    <mergeCell ref="C74:E74"/>
    <mergeCell ref="C75:E75"/>
    <mergeCell ref="C76:E76"/>
    <mergeCell ref="C68:E68"/>
    <mergeCell ref="C69:E69"/>
    <mergeCell ref="C70:E70"/>
    <mergeCell ref="C71:E71"/>
    <mergeCell ref="B67:G67"/>
    <mergeCell ref="F68:G68"/>
    <mergeCell ref="F69:G69"/>
    <mergeCell ref="F70:G70"/>
    <mergeCell ref="F71:G71"/>
    <mergeCell ref="C64:E64"/>
    <mergeCell ref="F64:G64"/>
    <mergeCell ref="C61:E61"/>
    <mergeCell ref="F61:G61"/>
    <mergeCell ref="C62:E62"/>
    <mergeCell ref="F62:G62"/>
    <mergeCell ref="C63:E63"/>
    <mergeCell ref="F63:G63"/>
    <mergeCell ref="C58:E58"/>
    <mergeCell ref="F58:G58"/>
    <mergeCell ref="C59:E59"/>
    <mergeCell ref="F59:G59"/>
    <mergeCell ref="C60:E60"/>
    <mergeCell ref="F60:G60"/>
    <mergeCell ref="B55:G55"/>
    <mergeCell ref="C56:E56"/>
    <mergeCell ref="F56:G56"/>
    <mergeCell ref="C57:E57"/>
    <mergeCell ref="F57:G57"/>
    <mergeCell ref="A39:A45"/>
    <mergeCell ref="G39:G45"/>
    <mergeCell ref="H39:H45"/>
    <mergeCell ref="C40:F40"/>
    <mergeCell ref="C42:F42"/>
    <mergeCell ref="C44:F44"/>
    <mergeCell ref="A32:A38"/>
    <mergeCell ref="G32:G38"/>
    <mergeCell ref="H32:H38"/>
    <mergeCell ref="C33:F33"/>
    <mergeCell ref="C35:F35"/>
    <mergeCell ref="C37:F37"/>
    <mergeCell ref="G11:G17"/>
    <mergeCell ref="H11:H17"/>
    <mergeCell ref="C12:F12"/>
    <mergeCell ref="C16:F16"/>
    <mergeCell ref="A18:A24"/>
    <mergeCell ref="G18:G24"/>
    <mergeCell ref="H18:H24"/>
    <mergeCell ref="C19:F19"/>
    <mergeCell ref="C21:F21"/>
    <mergeCell ref="A1:H1"/>
    <mergeCell ref="C14:F14"/>
    <mergeCell ref="C23:F23"/>
    <mergeCell ref="C30:F30"/>
    <mergeCell ref="A25:A31"/>
    <mergeCell ref="G25:G31"/>
    <mergeCell ref="H25:H31"/>
    <mergeCell ref="C26:F26"/>
    <mergeCell ref="C28:F28"/>
    <mergeCell ref="A4:A10"/>
    <mergeCell ref="G4:G10"/>
    <mergeCell ref="H4:H10"/>
    <mergeCell ref="C5:F5"/>
    <mergeCell ref="C7:F7"/>
    <mergeCell ref="C9:F9"/>
    <mergeCell ref="A11:A17"/>
    <mergeCell ref="A46:A52"/>
    <mergeCell ref="G46:G52"/>
    <mergeCell ref="H46:H52"/>
    <mergeCell ref="C47:F47"/>
    <mergeCell ref="C49:F49"/>
    <mergeCell ref="C51:F5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DFAA-11A6-45F8-A504-9C630A46C3A7}">
  <dimension ref="A1:AZ200"/>
  <sheetViews>
    <sheetView showGridLines="0" rightToLeft="1" zoomScale="85" zoomScaleNormal="85" workbookViewId="0">
      <pane ySplit="3" topLeftCell="A69" activePane="bottomLeft" state="frozen"/>
      <selection pane="bottomLeft" activeCell="F62" sqref="C62:G70"/>
    </sheetView>
  </sheetViews>
  <sheetFormatPr defaultRowHeight="14.5"/>
  <cols>
    <col min="1" max="1" width="10.90625" style="24" customWidth="1"/>
    <col min="2" max="2" width="17.26953125" style="24" customWidth="1"/>
    <col min="3" max="5" width="14.54296875" style="24" customWidth="1"/>
    <col min="6" max="7" width="15.453125" style="24" customWidth="1"/>
    <col min="8" max="8" width="4.54296875" style="24" customWidth="1"/>
    <col min="9" max="9" width="27.26953125" style="24" customWidth="1"/>
    <col min="10" max="10" width="4.54296875" style="24" customWidth="1"/>
    <col min="11" max="16" width="13.6328125" style="24" customWidth="1"/>
    <col min="17" max="52" width="11.6328125" style="24" customWidth="1"/>
    <col min="53" max="16384" width="8.7265625" style="24"/>
  </cols>
  <sheetData>
    <row r="1" spans="1:52" ht="26" customHeight="1">
      <c r="A1" s="111" t="s">
        <v>253</v>
      </c>
      <c r="B1" s="111"/>
      <c r="C1" s="111"/>
      <c r="D1" s="111"/>
      <c r="E1" s="111"/>
      <c r="F1" s="111"/>
      <c r="G1" s="111"/>
      <c r="H1" s="34"/>
      <c r="I1" s="34"/>
      <c r="J1" s="34"/>
      <c r="K1" s="34"/>
      <c r="L1" s="34"/>
      <c r="M1" s="34"/>
      <c r="N1" s="34"/>
      <c r="O1" s="34"/>
      <c r="P1" s="34"/>
      <c r="Q1"/>
      <c r="R1"/>
      <c r="S1"/>
      <c r="T1"/>
      <c r="U1"/>
      <c r="V1"/>
      <c r="W1"/>
      <c r="X1"/>
      <c r="Y1"/>
      <c r="Z1"/>
      <c r="AA1"/>
      <c r="AB1"/>
      <c r="AC1"/>
      <c r="AD1"/>
      <c r="AE1"/>
      <c r="AF1"/>
      <c r="AG1"/>
      <c r="AH1"/>
      <c r="AI1"/>
      <c r="AJ1"/>
      <c r="AK1"/>
      <c r="AL1"/>
      <c r="AM1"/>
      <c r="AN1"/>
      <c r="AO1"/>
      <c r="AP1"/>
      <c r="AQ1"/>
      <c r="AR1"/>
      <c r="AS1"/>
      <c r="AT1"/>
      <c r="AU1"/>
      <c r="AV1"/>
      <c r="AW1"/>
      <c r="AX1"/>
      <c r="AY1"/>
      <c r="AZ1"/>
    </row>
    <row r="2" spans="1:52" ht="8" customHeight="1">
      <c r="A2" s="34"/>
      <c r="B2" s="34"/>
      <c r="C2" s="34"/>
      <c r="D2" s="34"/>
      <c r="E2" s="34"/>
      <c r="F2" s="34"/>
      <c r="G2" s="34"/>
      <c r="H2" s="34"/>
      <c r="I2" s="34"/>
      <c r="J2" s="34"/>
      <c r="K2" s="34"/>
      <c r="L2" s="34"/>
      <c r="M2" s="34"/>
      <c r="N2" s="34"/>
      <c r="O2" s="34"/>
      <c r="P2" s="34"/>
      <c r="Q2"/>
      <c r="R2"/>
      <c r="S2"/>
      <c r="T2"/>
      <c r="U2"/>
      <c r="V2"/>
      <c r="W2"/>
      <c r="X2"/>
      <c r="Y2"/>
      <c r="Z2"/>
      <c r="AA2"/>
      <c r="AB2"/>
      <c r="AC2"/>
      <c r="AD2"/>
      <c r="AE2"/>
      <c r="AF2"/>
      <c r="AG2"/>
      <c r="AH2"/>
      <c r="AI2"/>
      <c r="AJ2"/>
      <c r="AK2"/>
      <c r="AL2"/>
      <c r="AM2"/>
      <c r="AN2"/>
      <c r="AO2"/>
      <c r="AP2"/>
      <c r="AQ2"/>
      <c r="AR2"/>
      <c r="AS2"/>
      <c r="AT2"/>
      <c r="AU2"/>
      <c r="AV2"/>
      <c r="AW2"/>
      <c r="AX2"/>
      <c r="AY2"/>
      <c r="AZ2"/>
    </row>
    <row r="3" spans="1:52" ht="32" customHeight="1">
      <c r="A3" s="35" t="s">
        <v>0</v>
      </c>
      <c r="B3" s="35" t="s">
        <v>1</v>
      </c>
      <c r="C3" s="35" t="s">
        <v>2</v>
      </c>
      <c r="D3" s="35" t="s">
        <v>3</v>
      </c>
      <c r="E3" s="35" t="s">
        <v>4</v>
      </c>
      <c r="F3" s="35" t="s">
        <v>138</v>
      </c>
      <c r="G3" s="35" t="s">
        <v>81</v>
      </c>
      <c r="H3" s="34"/>
      <c r="I3" s="43" t="s">
        <v>244</v>
      </c>
      <c r="J3" s="34"/>
      <c r="K3" s="35" t="s">
        <v>245</v>
      </c>
      <c r="L3" s="35" t="s">
        <v>246</v>
      </c>
      <c r="M3" s="35" t="s">
        <v>247</v>
      </c>
      <c r="N3" s="35" t="s">
        <v>145</v>
      </c>
      <c r="O3" s="35" t="s">
        <v>146</v>
      </c>
      <c r="P3" s="35" t="s">
        <v>248</v>
      </c>
      <c r="Q3"/>
      <c r="R3"/>
      <c r="S3"/>
      <c r="T3"/>
      <c r="U3"/>
      <c r="V3"/>
      <c r="W3"/>
      <c r="X3"/>
      <c r="Y3"/>
      <c r="Z3"/>
      <c r="AA3"/>
      <c r="AB3"/>
      <c r="AC3"/>
      <c r="AD3"/>
      <c r="AE3"/>
      <c r="AF3"/>
      <c r="AG3"/>
      <c r="AH3"/>
      <c r="AI3"/>
      <c r="AJ3"/>
      <c r="AK3"/>
      <c r="AL3"/>
      <c r="AM3"/>
      <c r="AN3"/>
      <c r="AO3"/>
      <c r="AP3"/>
      <c r="AQ3"/>
      <c r="AR3"/>
      <c r="AS3"/>
      <c r="AT3"/>
      <c r="AU3"/>
      <c r="AV3"/>
      <c r="AW3"/>
      <c r="AX3"/>
      <c r="AY3"/>
      <c r="AZ3"/>
    </row>
    <row r="4" spans="1:52"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69</v>
      </c>
      <c r="D4" s="37" t="s">
        <v>58</v>
      </c>
      <c r="E4" s="37"/>
      <c r="F4" s="107">
        <f>COUNTIF(C4:E12,"* ضد *")</f>
        <v>18</v>
      </c>
      <c r="G4" s="108">
        <f>COUNTIF(C4:E12,"* ضد *")*2/9</f>
        <v>4</v>
      </c>
      <c r="H4" s="34"/>
      <c r="I4" s="44" t="str">
        <f t="shared" ref="I4:I35" si="0">_xlfn.TEXTJOIN(" ",TRUE,C4:E4)</f>
        <v>1 ضد 8 5 ضد 9</v>
      </c>
      <c r="J4" s="34"/>
      <c r="K4" s="39">
        <v>1</v>
      </c>
      <c r="L4" s="39" cm="1">
        <f t="array" ref="L4">SUMPRODUCT(--ISNUMBER(SEARCH(" "&amp;$K4&amp;" "," "&amp;I$4:I$57&amp;" ")))</f>
        <v>24</v>
      </c>
      <c r="M4" s="39" cm="1">
        <f t="array" ref="M4">SUMPRODUCT(--ISNUMBER(SEARCH(" "&amp;$K4&amp;" "," "&amp;I$4:I$56&amp;" ")),--ISNUMBER(SEARCH(" "&amp;$K4&amp;" "," "&amp;I$5:I$57&amp;" ")),--(MOD(ROW(I$4:I$56)-4,$L$14)&lt;=$L$14-2))</f>
        <v>0</v>
      </c>
      <c r="N4" s="39" cm="1">
        <f t="array" ref="N4">SUMPRODUCT(--ISNUMBER(SEARCH(" "&amp;$K4&amp;" "," "&amp;I$4:I$55&amp;" ")),--ISNUMBER(SEARCH(" "&amp;$K4&amp;" "," "&amp;I$6:I$57&amp;" ")),--(MOD(ROW(I$4:I$55)-4,$L$14)&lt;=$L$14-3))</f>
        <v>15</v>
      </c>
      <c r="O4" s="39" cm="1">
        <f t="array" ref="O4">SUMPRODUCT(--ISNUMBER(SEARCH(" "&amp;$K4&amp;" "," "&amp;I$4:I$54&amp;" ")),--ISNUMBER(SEARCH(" "&amp;$K4&amp;" "," "&amp;I$7:I$57&amp;" ")),--(MOD(ROW(I$4:I$54)-4,$L$14)&lt;=$L$14-4))</f>
        <v>3</v>
      </c>
      <c r="P4" s="39">
        <f t="shared" ref="P4:P12" si="1">L4*3/4-M4-N4-O4</f>
        <v>0</v>
      </c>
      <c r="Q4"/>
      <c r="R4"/>
      <c r="S4"/>
      <c r="T4"/>
      <c r="U4"/>
      <c r="V4"/>
      <c r="W4"/>
      <c r="X4"/>
      <c r="Y4"/>
      <c r="Z4"/>
      <c r="AA4"/>
      <c r="AB4"/>
      <c r="AC4"/>
      <c r="AD4"/>
      <c r="AE4"/>
      <c r="AF4"/>
      <c r="AG4"/>
      <c r="AH4"/>
      <c r="AI4"/>
      <c r="AJ4"/>
      <c r="AK4"/>
      <c r="AL4"/>
      <c r="AM4"/>
      <c r="AN4"/>
      <c r="AO4"/>
      <c r="AP4"/>
      <c r="AQ4"/>
      <c r="AR4"/>
      <c r="AS4"/>
      <c r="AT4"/>
      <c r="AU4"/>
      <c r="AV4"/>
      <c r="AW4"/>
      <c r="AX4"/>
      <c r="AY4"/>
      <c r="AZ4"/>
    </row>
    <row r="5" spans="1:52"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37" t="s">
        <v>62</v>
      </c>
      <c r="D5" s="37" t="s">
        <v>43</v>
      </c>
      <c r="E5" s="37"/>
      <c r="F5" s="108"/>
      <c r="G5" s="108"/>
      <c r="H5" s="34"/>
      <c r="I5" s="44" t="str">
        <f t="shared" si="0"/>
        <v>3 ضد 6 4 ضد 7</v>
      </c>
      <c r="J5" s="34"/>
      <c r="K5" s="39">
        <v>2</v>
      </c>
      <c r="L5" s="39" cm="1">
        <f t="array" ref="L5">SUMPRODUCT(--ISNUMBER(SEARCH(" "&amp;$K5&amp;" "," "&amp;I$4:I$57&amp;" ")))</f>
        <v>24</v>
      </c>
      <c r="M5" s="39" cm="1">
        <f t="array" ref="M5">SUMPRODUCT(--ISNUMBER(SEARCH(" "&amp;$K5&amp;" "," "&amp;I$4:I$56&amp;" ")),--ISNUMBER(SEARCH(" "&amp;$K5&amp;" "," "&amp;I$5:I$57&amp;" ")),--(MOD(ROW(I$4:I$56)-4,$L$14)&lt;=$L$14-2))</f>
        <v>0</v>
      </c>
      <c r="N5" s="39" cm="1">
        <f t="array" ref="N5">SUMPRODUCT(--ISNUMBER(SEARCH(" "&amp;$K5&amp;" "," "&amp;I$4:I$55&amp;" ")),--ISNUMBER(SEARCH(" "&amp;$K5&amp;" "," "&amp;I$6:I$57&amp;" ")),--(MOD(ROW(I$4:I$55)-4,$L$14)&lt;=$L$14-3))</f>
        <v>14</v>
      </c>
      <c r="O5" s="39" cm="1">
        <f t="array" ref="O5">SUMPRODUCT(--ISNUMBER(SEARCH(" "&amp;$K5&amp;" "," "&amp;I$4:I$54&amp;" ")),--ISNUMBER(SEARCH(" "&amp;$K5&amp;" "," "&amp;I$7:I$57&amp;" ")),--(MOD(ROW(I$4:I$54)-4,$L$14)&lt;=$L$14-4))</f>
        <v>4</v>
      </c>
      <c r="P5" s="39">
        <f t="shared" si="1"/>
        <v>0</v>
      </c>
      <c r="Q5"/>
      <c r="R5"/>
      <c r="S5"/>
      <c r="T5"/>
      <c r="U5"/>
      <c r="V5"/>
      <c r="W5"/>
      <c r="X5"/>
      <c r="Y5"/>
      <c r="Z5"/>
      <c r="AA5"/>
      <c r="AB5"/>
      <c r="AC5"/>
      <c r="AD5"/>
      <c r="AE5"/>
      <c r="AF5"/>
      <c r="AG5"/>
      <c r="AH5"/>
      <c r="AI5"/>
      <c r="AJ5"/>
      <c r="AK5"/>
      <c r="AL5"/>
      <c r="AM5"/>
      <c r="AN5"/>
      <c r="AO5"/>
      <c r="AP5"/>
      <c r="AQ5"/>
      <c r="AR5"/>
      <c r="AS5"/>
      <c r="AT5"/>
      <c r="AU5"/>
      <c r="AV5"/>
      <c r="AW5"/>
      <c r="AX5"/>
      <c r="AY5"/>
      <c r="AZ5"/>
    </row>
    <row r="6" spans="1:52"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207</v>
      </c>
      <c r="D6" s="37" t="s">
        <v>22</v>
      </c>
      <c r="E6" s="37"/>
      <c r="F6" s="108"/>
      <c r="G6" s="108"/>
      <c r="H6" s="34"/>
      <c r="I6" s="44" t="str">
        <f t="shared" si="0"/>
        <v>1 ضد 9 2 ضد 8</v>
      </c>
      <c r="J6" s="34"/>
      <c r="K6" s="39">
        <v>3</v>
      </c>
      <c r="L6" s="39" cm="1">
        <f t="array" ref="L6">SUMPRODUCT(--ISNUMBER(SEARCH(" "&amp;$K6&amp;" "," "&amp;I$4:I$57&amp;" ")))</f>
        <v>24</v>
      </c>
      <c r="M6" s="39" cm="1">
        <f t="array" ref="M6">SUMPRODUCT(--ISNUMBER(SEARCH(" "&amp;$K6&amp;" "," "&amp;I$4:I$56&amp;" ")),--ISNUMBER(SEARCH(" "&amp;$K6&amp;" "," "&amp;I$5:I$57&amp;" ")),--(MOD(ROW(I$4:I$56)-4,$L$14)&lt;=$L$14-2))</f>
        <v>0</v>
      </c>
      <c r="N6" s="39" cm="1">
        <f t="array" ref="N6">SUMPRODUCT(--ISNUMBER(SEARCH(" "&amp;$K6&amp;" "," "&amp;I$4:I$55&amp;" ")),--ISNUMBER(SEARCH(" "&amp;$K6&amp;" "," "&amp;I$6:I$57&amp;" ")),--(MOD(ROW(I$4:I$55)-4,$L$14)&lt;=$L$14-3))</f>
        <v>14</v>
      </c>
      <c r="O6" s="39" cm="1">
        <f t="array" ref="O6">SUMPRODUCT(--ISNUMBER(SEARCH(" "&amp;$K6&amp;" "," "&amp;I$4:I$54&amp;" ")),--ISNUMBER(SEARCH(" "&amp;$K6&amp;" "," "&amp;I$7:I$57&amp;" ")),--(MOD(ROW(I$4:I$54)-4,$L$14)&lt;=$L$14-4))</f>
        <v>4</v>
      </c>
      <c r="P6" s="39">
        <f t="shared" si="1"/>
        <v>0</v>
      </c>
      <c r="Q6"/>
      <c r="R6"/>
      <c r="S6"/>
      <c r="T6"/>
      <c r="U6"/>
      <c r="V6"/>
      <c r="W6"/>
      <c r="X6"/>
      <c r="Y6"/>
      <c r="Z6"/>
      <c r="AA6"/>
      <c r="AB6"/>
      <c r="AC6"/>
      <c r="AD6"/>
      <c r="AE6"/>
      <c r="AF6"/>
      <c r="AG6"/>
      <c r="AH6"/>
      <c r="AI6"/>
      <c r="AJ6"/>
      <c r="AK6"/>
      <c r="AL6"/>
      <c r="AM6"/>
      <c r="AN6"/>
      <c r="AO6"/>
      <c r="AP6"/>
      <c r="AQ6"/>
      <c r="AR6"/>
      <c r="AS6"/>
      <c r="AT6"/>
      <c r="AU6"/>
      <c r="AV6"/>
      <c r="AW6"/>
      <c r="AX6"/>
      <c r="AY6"/>
      <c r="AZ6"/>
    </row>
    <row r="7" spans="1:52"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37" t="s">
        <v>66</v>
      </c>
      <c r="D7" s="37" t="s">
        <v>33</v>
      </c>
      <c r="E7" s="37"/>
      <c r="F7" s="108"/>
      <c r="G7" s="108"/>
      <c r="H7" s="34"/>
      <c r="I7" s="44" t="str">
        <f t="shared" si="0"/>
        <v>3 ضد 5 6 ضد 7</v>
      </c>
      <c r="J7" s="34"/>
      <c r="K7" s="39">
        <v>4</v>
      </c>
      <c r="L7" s="39" cm="1">
        <f t="array" ref="L7">SUMPRODUCT(--ISNUMBER(SEARCH(" "&amp;$K7&amp;" "," "&amp;I$4:I$57&amp;" ")))</f>
        <v>24</v>
      </c>
      <c r="M7" s="39" cm="1">
        <f t="array" ref="M7">SUMPRODUCT(--ISNUMBER(SEARCH(" "&amp;$K7&amp;" "," "&amp;I$4:I$56&amp;" ")),--ISNUMBER(SEARCH(" "&amp;$K7&amp;" "," "&amp;I$5:I$57&amp;" ")),--(MOD(ROW(I$4:I$56)-4,$L$14)&lt;=$L$14-2))</f>
        <v>0</v>
      </c>
      <c r="N7" s="39" cm="1">
        <f t="array" ref="N7">SUMPRODUCT(--ISNUMBER(SEARCH(" "&amp;$K7&amp;" "," "&amp;I$4:I$55&amp;" ")),--ISNUMBER(SEARCH(" "&amp;$K7&amp;" "," "&amp;I$6:I$57&amp;" ")),--(MOD(ROW(I$4:I$55)-4,$L$14)&lt;=$L$14-3))</f>
        <v>14</v>
      </c>
      <c r="O7" s="39" cm="1">
        <f t="array" ref="O7">SUMPRODUCT(--ISNUMBER(SEARCH(" "&amp;$K7&amp;" "," "&amp;I$4:I$54&amp;" ")),--ISNUMBER(SEARCH(" "&amp;$K7&amp;" "," "&amp;I$7:I$57&amp;" ")),--(MOD(ROW(I$4:I$54)-4,$L$14)&lt;=$L$14-4))</f>
        <v>4</v>
      </c>
      <c r="P7" s="39">
        <f t="shared" si="1"/>
        <v>0</v>
      </c>
      <c r="Q7"/>
      <c r="R7"/>
      <c r="S7"/>
      <c r="T7"/>
      <c r="U7"/>
      <c r="V7"/>
      <c r="W7"/>
      <c r="X7"/>
      <c r="Y7"/>
      <c r="Z7"/>
      <c r="AA7"/>
      <c r="AB7"/>
      <c r="AC7"/>
      <c r="AD7"/>
      <c r="AE7"/>
      <c r="AF7"/>
      <c r="AG7"/>
      <c r="AH7"/>
      <c r="AI7"/>
      <c r="AJ7"/>
      <c r="AK7"/>
      <c r="AL7"/>
      <c r="AM7"/>
      <c r="AN7"/>
      <c r="AO7"/>
      <c r="AP7"/>
      <c r="AQ7"/>
      <c r="AR7"/>
      <c r="AS7"/>
      <c r="AT7"/>
      <c r="AU7"/>
      <c r="AV7"/>
      <c r="AW7"/>
      <c r="AX7"/>
      <c r="AY7"/>
      <c r="AZ7"/>
    </row>
    <row r="8" spans="1:52"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166</v>
      </c>
      <c r="D8" s="37" t="s">
        <v>30</v>
      </c>
      <c r="E8" s="37"/>
      <c r="F8" s="108"/>
      <c r="G8" s="108"/>
      <c r="H8" s="34"/>
      <c r="I8" s="44" t="str">
        <f t="shared" si="0"/>
        <v>8 ضد 4 1 ضد 2</v>
      </c>
      <c r="J8" s="34"/>
      <c r="K8" s="39">
        <v>5</v>
      </c>
      <c r="L8" s="39" cm="1">
        <f t="array" ref="L8">SUMPRODUCT(--ISNUMBER(SEARCH(" "&amp;$K8&amp;" "," "&amp;I$4:I$57&amp;" ")))</f>
        <v>24</v>
      </c>
      <c r="M8" s="39" cm="1">
        <f t="array" ref="M8">SUMPRODUCT(--ISNUMBER(SEARCH(" "&amp;$K8&amp;" "," "&amp;I$4:I$56&amp;" ")),--ISNUMBER(SEARCH(" "&amp;$K8&amp;" "," "&amp;I$5:I$57&amp;" ")),--(MOD(ROW(I$4:I$56)-4,$L$14)&lt;=$L$14-2))</f>
        <v>0</v>
      </c>
      <c r="N8" s="39" cm="1">
        <f t="array" ref="N8">SUMPRODUCT(--ISNUMBER(SEARCH(" "&amp;$K8&amp;" "," "&amp;I$4:I$55&amp;" ")),--ISNUMBER(SEARCH(" "&amp;$K8&amp;" "," "&amp;I$6:I$57&amp;" ")),--(MOD(ROW(I$4:I$55)-4,$L$14)&lt;=$L$14-3))</f>
        <v>14</v>
      </c>
      <c r="O8" s="39" cm="1">
        <f t="array" ref="O8">SUMPRODUCT(--ISNUMBER(SEARCH(" "&amp;$K8&amp;" "," "&amp;I$4:I$54&amp;" ")),--ISNUMBER(SEARCH(" "&amp;$K8&amp;" "," "&amp;I$7:I$57&amp;" ")),--(MOD(ROW(I$4:I$54)-4,$L$14)&lt;=$L$14-4))</f>
        <v>4</v>
      </c>
      <c r="P8" s="39">
        <f t="shared" si="1"/>
        <v>0</v>
      </c>
      <c r="Q8"/>
      <c r="R8"/>
      <c r="S8"/>
      <c r="T8"/>
      <c r="U8"/>
      <c r="V8"/>
      <c r="W8"/>
      <c r="X8"/>
      <c r="Y8"/>
      <c r="Z8"/>
      <c r="AA8"/>
      <c r="AB8"/>
      <c r="AC8"/>
      <c r="AD8"/>
      <c r="AE8"/>
      <c r="AF8"/>
      <c r="AG8"/>
      <c r="AH8"/>
      <c r="AI8"/>
      <c r="AJ8"/>
      <c r="AK8"/>
      <c r="AL8"/>
      <c r="AM8"/>
      <c r="AN8"/>
      <c r="AO8"/>
      <c r="AP8"/>
      <c r="AQ8"/>
      <c r="AR8"/>
      <c r="AS8"/>
      <c r="AT8"/>
      <c r="AU8"/>
      <c r="AV8"/>
      <c r="AW8"/>
      <c r="AX8"/>
      <c r="AY8"/>
      <c r="AZ8"/>
    </row>
    <row r="9" spans="1:52"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37" t="s">
        <v>26</v>
      </c>
      <c r="D9" s="37" t="s">
        <v>55</v>
      </c>
      <c r="E9" s="37"/>
      <c r="F9" s="108"/>
      <c r="G9" s="108"/>
      <c r="H9" s="34"/>
      <c r="I9" s="44" t="str">
        <f t="shared" si="0"/>
        <v>3 ضد 9 5 ضد 6</v>
      </c>
      <c r="J9" s="34"/>
      <c r="K9" s="39">
        <v>6</v>
      </c>
      <c r="L9" s="39" cm="1">
        <f t="array" ref="L9">SUMPRODUCT(--ISNUMBER(SEARCH(" "&amp;$K9&amp;" "," "&amp;I$4:I$57&amp;" ")))</f>
        <v>24</v>
      </c>
      <c r="M9" s="39" cm="1">
        <f t="array" ref="M9">SUMPRODUCT(--ISNUMBER(SEARCH(" "&amp;$K9&amp;" "," "&amp;I$4:I$56&amp;" ")),--ISNUMBER(SEARCH(" "&amp;$K9&amp;" "," "&amp;I$5:I$57&amp;" ")),--(MOD(ROW(I$4:I$56)-4,$L$14)&lt;=$L$14-2))</f>
        <v>0</v>
      </c>
      <c r="N9" s="39" cm="1">
        <f t="array" ref="N9">SUMPRODUCT(--ISNUMBER(SEARCH(" "&amp;$K9&amp;" "," "&amp;I$4:I$55&amp;" ")),--ISNUMBER(SEARCH(" "&amp;$K9&amp;" "," "&amp;I$6:I$57&amp;" ")),--(MOD(ROW(I$4:I$55)-4,$L$14)&lt;=$L$14-3))</f>
        <v>15</v>
      </c>
      <c r="O9" s="39" cm="1">
        <f t="array" ref="O9">SUMPRODUCT(--ISNUMBER(SEARCH(" "&amp;$K9&amp;" "," "&amp;I$4:I$54&amp;" ")),--ISNUMBER(SEARCH(" "&amp;$K9&amp;" "," "&amp;I$7:I$57&amp;" ")),--(MOD(ROW(I$4:I$54)-4,$L$14)&lt;=$L$14-4))</f>
        <v>3</v>
      </c>
      <c r="P9" s="39">
        <f t="shared" si="1"/>
        <v>0</v>
      </c>
      <c r="Q9"/>
      <c r="R9"/>
      <c r="S9"/>
      <c r="T9"/>
      <c r="U9"/>
      <c r="V9"/>
      <c r="W9"/>
      <c r="X9"/>
      <c r="Y9"/>
      <c r="Z9"/>
      <c r="AA9"/>
      <c r="AB9"/>
      <c r="AC9"/>
      <c r="AD9"/>
      <c r="AE9"/>
      <c r="AF9"/>
      <c r="AG9"/>
      <c r="AH9"/>
      <c r="AI9"/>
      <c r="AJ9"/>
      <c r="AK9"/>
      <c r="AL9"/>
      <c r="AM9"/>
      <c r="AN9"/>
      <c r="AO9"/>
      <c r="AP9"/>
      <c r="AQ9"/>
      <c r="AR9"/>
      <c r="AS9"/>
      <c r="AT9"/>
      <c r="AU9"/>
      <c r="AV9"/>
      <c r="AW9"/>
      <c r="AX9"/>
      <c r="AY9"/>
      <c r="AZ9"/>
    </row>
    <row r="10" spans="1:52"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160</v>
      </c>
      <c r="D10" s="37" t="s">
        <v>45</v>
      </c>
      <c r="E10" s="37"/>
      <c r="F10" s="108"/>
      <c r="G10" s="108"/>
      <c r="H10" s="34"/>
      <c r="I10" s="44" t="str">
        <f t="shared" si="0"/>
        <v>4 ضد 2 7 ضد 8</v>
      </c>
      <c r="J10" s="34"/>
      <c r="K10" s="39">
        <v>7</v>
      </c>
      <c r="L10" s="39" cm="1">
        <f t="array" ref="L10">SUMPRODUCT(--ISNUMBER(SEARCH(" "&amp;$K10&amp;" "," "&amp;I$4:I$57&amp;" ")))</f>
        <v>24</v>
      </c>
      <c r="M10" s="39" cm="1">
        <f t="array" ref="M10">SUMPRODUCT(--ISNUMBER(SEARCH(" "&amp;$K10&amp;" "," "&amp;I$4:I$56&amp;" ")),--ISNUMBER(SEARCH(" "&amp;$K10&amp;" "," "&amp;I$5:I$57&amp;" ")),--(MOD(ROW(I$4:I$56)-4,$L$14)&lt;=$L$14-2))</f>
        <v>0</v>
      </c>
      <c r="N10" s="39" cm="1">
        <f t="array" ref="N10">SUMPRODUCT(--ISNUMBER(SEARCH(" "&amp;$K10&amp;" "," "&amp;I$4:I$55&amp;" ")),--ISNUMBER(SEARCH(" "&amp;$K10&amp;" "," "&amp;I$6:I$57&amp;" ")),--(MOD(ROW(I$4:I$55)-4,$L$14)&lt;=$L$14-3))</f>
        <v>13</v>
      </c>
      <c r="O10" s="39" cm="1">
        <f t="array" ref="O10">SUMPRODUCT(--ISNUMBER(SEARCH(" "&amp;$K10&amp;" "," "&amp;I$4:I$54&amp;" ")),--ISNUMBER(SEARCH(" "&amp;$K10&amp;" "," "&amp;I$7:I$57&amp;" ")),--(MOD(ROW(I$4:I$54)-4,$L$14)&lt;=$L$14-4))</f>
        <v>5</v>
      </c>
      <c r="P10" s="39">
        <f t="shared" si="1"/>
        <v>0</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row>
    <row r="11" spans="1:52" ht="14.5" customHeight="1">
      <c r="A11" s="106"/>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t="s">
        <v>254</v>
      </c>
      <c r="D11" s="37" t="s">
        <v>23</v>
      </c>
      <c r="E11" s="37"/>
      <c r="F11" s="108"/>
      <c r="G11" s="108"/>
      <c r="H11" s="34"/>
      <c r="I11" s="44" t="str">
        <f t="shared" si="0"/>
        <v>5 ضد 1 6 ضد 9</v>
      </c>
      <c r="J11" s="34"/>
      <c r="K11" s="39">
        <v>8</v>
      </c>
      <c r="L11" s="39" cm="1">
        <f t="array" ref="L11">SUMPRODUCT(--ISNUMBER(SEARCH(" "&amp;$K11&amp;" "," "&amp;I$4:I$57&amp;" ")))</f>
        <v>24</v>
      </c>
      <c r="M11" s="39" cm="1">
        <f t="array" ref="M11">SUMPRODUCT(--ISNUMBER(SEARCH(" "&amp;$K11&amp;" "," "&amp;I$4:I$56&amp;" ")),--ISNUMBER(SEARCH(" "&amp;$K11&amp;" "," "&amp;I$5:I$57&amp;" ")),--(MOD(ROW(I$4:I$56)-4,$L$14)&lt;=$L$14-2))</f>
        <v>0</v>
      </c>
      <c r="N11" s="39" cm="1">
        <f t="array" ref="N11">SUMPRODUCT(--ISNUMBER(SEARCH(" "&amp;$K11&amp;" "," "&amp;I$4:I$55&amp;" ")),--ISNUMBER(SEARCH(" "&amp;$K11&amp;" "," "&amp;I$6:I$57&amp;" ")),--(MOD(ROW(I$4:I$55)-4,$L$14)&lt;=$L$14-3))</f>
        <v>13</v>
      </c>
      <c r="O11" s="39" cm="1">
        <f t="array" ref="O11">SUMPRODUCT(--ISNUMBER(SEARCH(" "&amp;$K11&amp;" "," "&amp;I$4:I$54&amp;" ")),--ISNUMBER(SEARCH(" "&amp;$K11&amp;" "," "&amp;I$7:I$57&amp;" ")),--(MOD(ROW(I$4:I$54)-4,$L$14)&lt;=$L$14-4))</f>
        <v>5</v>
      </c>
      <c r="P11" s="39">
        <f t="shared" si="1"/>
        <v>0</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row>
    <row r="12" spans="1:52" ht="14.5" customHeight="1">
      <c r="A12" s="106"/>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t="s">
        <v>224</v>
      </c>
      <c r="D12" s="37" t="s">
        <v>61</v>
      </c>
      <c r="E12" s="37"/>
      <c r="F12" s="108"/>
      <c r="G12" s="108"/>
      <c r="H12" s="34"/>
      <c r="I12" s="44" t="str">
        <f t="shared" si="0"/>
        <v>4 ضد 3 2 ضد 7</v>
      </c>
      <c r="J12" s="34"/>
      <c r="K12" s="39">
        <v>9</v>
      </c>
      <c r="L12" s="39" cm="1">
        <f t="array" ref="L12">SUMPRODUCT(--ISNUMBER(SEARCH(" "&amp;$K12&amp;" "," "&amp;I$4:I$57&amp;" ")))</f>
        <v>24</v>
      </c>
      <c r="M12" s="39" cm="1">
        <f t="array" ref="M12">SUMPRODUCT(--ISNUMBER(SEARCH(" "&amp;$K12&amp;" "," "&amp;I$4:I$56&amp;" ")),--ISNUMBER(SEARCH(" "&amp;$K12&amp;" "," "&amp;I$5:I$57&amp;" ")),--(MOD(ROW(I$4:I$56)-4,$L$14)&lt;=$L$14-2))</f>
        <v>0</v>
      </c>
      <c r="N12" s="39" cm="1">
        <f t="array" ref="N12">SUMPRODUCT(--ISNUMBER(SEARCH(" "&amp;$K12&amp;" "," "&amp;I$4:I$55&amp;" ")),--ISNUMBER(SEARCH(" "&amp;$K12&amp;" "," "&amp;I$6:I$57&amp;" ")),--(MOD(ROW(I$4:I$55)-4,$L$14)&lt;=$L$14-3))</f>
        <v>14</v>
      </c>
      <c r="O12" s="39" cm="1">
        <f t="array" ref="O12">SUMPRODUCT(--ISNUMBER(SEARCH(" "&amp;$K12&amp;" "," "&amp;I$4:I$54&amp;" ")),--ISNUMBER(SEARCH(" "&amp;$K12&amp;" "," "&amp;I$7:I$57&amp;" ")),--(MOD(ROW(I$4:I$54)-4,$L$14)&lt;=$L$14-4))</f>
        <v>4</v>
      </c>
      <c r="P12" s="39">
        <f t="shared" si="1"/>
        <v>0</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row>
    <row r="13" spans="1:52" ht="14.5" customHeight="1">
      <c r="A13" s="106" t="s">
        <v>6</v>
      </c>
      <c r="B13"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37" t="s">
        <v>157</v>
      </c>
      <c r="D13" s="37" t="s">
        <v>44</v>
      </c>
      <c r="E13" s="37" t="s">
        <v>51</v>
      </c>
      <c r="F13" s="107">
        <f>COUNTIF(C13:E21,"* ضد *")</f>
        <v>18</v>
      </c>
      <c r="G13" s="108">
        <f>COUNTIF(C13:E21,"* ضد *")*2/9</f>
        <v>4</v>
      </c>
      <c r="H13" s="34"/>
      <c r="I13" s="44" t="str">
        <f t="shared" si="0"/>
        <v>6 ضد 4 2 ضد 5 7 ضد 9</v>
      </c>
      <c r="J13" s="34"/>
      <c r="K13" s="45" t="s">
        <v>249</v>
      </c>
      <c r="L13" s="45">
        <f>SUM(L4:L12)</f>
        <v>216</v>
      </c>
      <c r="M13" s="45">
        <f>SUM(M4:M12)</f>
        <v>0</v>
      </c>
      <c r="N13" s="45">
        <f>SUM(N4:N12)</f>
        <v>126</v>
      </c>
      <c r="O13" s="45">
        <f>SUM(O4:O12)</f>
        <v>36</v>
      </c>
      <c r="P13" s="45">
        <f>SUM(P4:P12)</f>
        <v>0</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row>
    <row r="14" spans="1:52" ht="14.5" customHeight="1">
      <c r="A14" s="106"/>
      <c r="B14"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37" t="s">
        <v>57</v>
      </c>
      <c r="D14" s="37"/>
      <c r="E14" s="37"/>
      <c r="F14" s="108"/>
      <c r="G14" s="108"/>
      <c r="H14" s="34"/>
      <c r="I14" s="44" t="str">
        <f t="shared" si="0"/>
        <v>3 ضد 8</v>
      </c>
      <c r="J14" s="34"/>
      <c r="K14" s="39" t="s">
        <v>250</v>
      </c>
      <c r="L14" s="39">
        <f>COUNTA($B$4:$B$57)/COUNTIF($A$4:$A$57,"اليوم *")</f>
        <v>9</v>
      </c>
      <c r="M14" s="39"/>
      <c r="N14" s="39"/>
      <c r="O14" s="39"/>
      <c r="P14" s="39"/>
      <c r="Q14"/>
      <c r="R14"/>
      <c r="S14"/>
      <c r="T14"/>
      <c r="U14"/>
      <c r="V14"/>
      <c r="W14"/>
      <c r="X14"/>
      <c r="Y14"/>
      <c r="Z14"/>
      <c r="AA14"/>
      <c r="AB14"/>
      <c r="AC14"/>
      <c r="AD14"/>
      <c r="AE14"/>
      <c r="AF14"/>
      <c r="AG14"/>
      <c r="AH14"/>
      <c r="AI14"/>
      <c r="AJ14"/>
      <c r="AK14"/>
      <c r="AL14"/>
      <c r="AM14"/>
      <c r="AN14"/>
      <c r="AO14"/>
      <c r="AP14"/>
      <c r="AQ14"/>
      <c r="AR14"/>
      <c r="AS14"/>
      <c r="AT14"/>
      <c r="AU14"/>
      <c r="AV14"/>
      <c r="AW14"/>
      <c r="AX14"/>
      <c r="AY14"/>
      <c r="AZ14"/>
    </row>
    <row r="15" spans="1:52" ht="14.5" customHeight="1">
      <c r="A15" s="106"/>
      <c r="B15"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37" t="s">
        <v>162</v>
      </c>
      <c r="D15" s="37" t="s">
        <v>165</v>
      </c>
      <c r="E15" s="37" t="s">
        <v>34</v>
      </c>
      <c r="F15" s="108"/>
      <c r="G15" s="108"/>
      <c r="H15" s="34"/>
      <c r="I15" s="44" t="str">
        <f t="shared" si="0"/>
        <v>6 ضد 1 7 ضد 5 4 ضد 9</v>
      </c>
      <c r="J15" s="34"/>
      <c r="K15" s="34"/>
      <c r="L15" s="34"/>
      <c r="M15" s="34"/>
      <c r="N15" s="34"/>
      <c r="O15" s="34"/>
      <c r="P15" s="34"/>
      <c r="Q15"/>
      <c r="R15"/>
      <c r="S15"/>
      <c r="T15"/>
      <c r="U15"/>
      <c r="V15"/>
      <c r="W15"/>
      <c r="X15"/>
      <c r="Y15"/>
      <c r="Z15"/>
      <c r="AA15"/>
      <c r="AB15"/>
      <c r="AC15"/>
      <c r="AD15"/>
      <c r="AE15"/>
      <c r="AF15"/>
      <c r="AG15"/>
      <c r="AH15"/>
      <c r="AI15"/>
      <c r="AJ15"/>
      <c r="AK15"/>
      <c r="AL15"/>
      <c r="AM15"/>
      <c r="AN15"/>
      <c r="AO15"/>
      <c r="AP15"/>
      <c r="AQ15"/>
      <c r="AR15"/>
      <c r="AS15"/>
      <c r="AT15"/>
      <c r="AU15"/>
      <c r="AV15"/>
      <c r="AW15"/>
      <c r="AX15"/>
      <c r="AY15"/>
      <c r="AZ15"/>
    </row>
    <row r="16" spans="1:52" ht="14.5" customHeight="1">
      <c r="A16" s="106"/>
      <c r="B16"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37" t="s">
        <v>37</v>
      </c>
      <c r="D16" s="37"/>
      <c r="E16" s="37"/>
      <c r="F16" s="108"/>
      <c r="G16" s="108"/>
      <c r="H16" s="34"/>
      <c r="I16" s="44" t="str">
        <f t="shared" si="0"/>
        <v>2 ضد 3</v>
      </c>
      <c r="J16" s="34"/>
      <c r="K16" s="34"/>
      <c r="L16" s="34"/>
      <c r="M16" s="34"/>
      <c r="N16" s="34"/>
      <c r="O16" s="34"/>
      <c r="P16" s="34"/>
      <c r="Q16"/>
      <c r="R16"/>
      <c r="S16"/>
      <c r="T16"/>
      <c r="U16"/>
      <c r="V16"/>
      <c r="W16"/>
      <c r="X16"/>
      <c r="Y16"/>
      <c r="Z16"/>
      <c r="AA16"/>
      <c r="AB16"/>
      <c r="AC16"/>
      <c r="AD16"/>
      <c r="AE16"/>
      <c r="AF16"/>
      <c r="AG16"/>
      <c r="AH16"/>
      <c r="AI16"/>
      <c r="AJ16"/>
      <c r="AK16"/>
      <c r="AL16"/>
      <c r="AM16"/>
      <c r="AN16"/>
      <c r="AO16"/>
      <c r="AP16"/>
      <c r="AQ16"/>
      <c r="AR16"/>
      <c r="AS16"/>
      <c r="AT16"/>
      <c r="AU16"/>
      <c r="AV16"/>
      <c r="AW16"/>
      <c r="AX16"/>
      <c r="AY16"/>
      <c r="AZ16"/>
    </row>
    <row r="17" spans="1:52" ht="14.5" customHeight="1">
      <c r="A17" s="106"/>
      <c r="B17"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37" t="s">
        <v>161</v>
      </c>
      <c r="D17" s="37" t="s">
        <v>46</v>
      </c>
      <c r="E17" s="37" t="s">
        <v>67</v>
      </c>
      <c r="F17" s="108"/>
      <c r="G17" s="108"/>
      <c r="H17" s="34"/>
      <c r="I17" s="44" t="str">
        <f t="shared" si="0"/>
        <v>7 ضد 1 4 ضد 5 8 ضد 9</v>
      </c>
      <c r="J17" s="34"/>
      <c r="K17" s="34"/>
      <c r="L17" s="34"/>
      <c r="M17" s="34"/>
      <c r="N17" s="34"/>
      <c r="O17" s="34"/>
      <c r="P17" s="34"/>
      <c r="Q17"/>
      <c r="R17"/>
      <c r="S17"/>
      <c r="T17"/>
      <c r="U17"/>
      <c r="V17"/>
      <c r="W17"/>
      <c r="X17"/>
      <c r="Y17"/>
      <c r="Z17"/>
      <c r="AA17"/>
      <c r="AB17"/>
      <c r="AC17"/>
      <c r="AD17"/>
      <c r="AE17"/>
      <c r="AF17"/>
      <c r="AG17"/>
      <c r="AH17"/>
      <c r="AI17"/>
      <c r="AJ17"/>
      <c r="AK17"/>
      <c r="AL17"/>
      <c r="AM17"/>
      <c r="AN17"/>
      <c r="AO17"/>
      <c r="AP17"/>
      <c r="AQ17"/>
      <c r="AR17"/>
      <c r="AS17"/>
      <c r="AT17"/>
      <c r="AU17"/>
      <c r="AV17"/>
      <c r="AW17"/>
      <c r="AX17"/>
      <c r="AY17"/>
      <c r="AZ17"/>
    </row>
    <row r="18" spans="1:52" ht="14.5" customHeight="1">
      <c r="A18" s="106"/>
      <c r="B18"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37" t="s">
        <v>52</v>
      </c>
      <c r="D18" s="37"/>
      <c r="E18" s="37"/>
      <c r="F18" s="108"/>
      <c r="G18" s="108"/>
      <c r="H18" s="34"/>
      <c r="I18" s="44" t="str">
        <f t="shared" si="0"/>
        <v>2 ضد 6</v>
      </c>
      <c r="J18" s="34"/>
      <c r="K18" s="34"/>
      <c r="L18" s="34"/>
      <c r="M18" s="34"/>
      <c r="N18" s="34"/>
      <c r="O18" s="34"/>
      <c r="P18" s="34"/>
      <c r="Q18"/>
      <c r="R18"/>
      <c r="S18"/>
      <c r="T18"/>
      <c r="U18"/>
      <c r="V18"/>
      <c r="W18"/>
      <c r="X18"/>
      <c r="Y18"/>
      <c r="Z18"/>
      <c r="AA18"/>
      <c r="AB18"/>
      <c r="AC18"/>
      <c r="AD18"/>
      <c r="AE18"/>
      <c r="AF18"/>
      <c r="AG18"/>
      <c r="AH18"/>
      <c r="AI18"/>
      <c r="AJ18"/>
      <c r="AK18"/>
      <c r="AL18"/>
      <c r="AM18"/>
      <c r="AN18"/>
      <c r="AO18"/>
      <c r="AP18"/>
      <c r="AQ18"/>
      <c r="AR18"/>
      <c r="AS18"/>
      <c r="AT18"/>
      <c r="AU18"/>
      <c r="AV18"/>
      <c r="AW18"/>
      <c r="AX18"/>
      <c r="AY18"/>
      <c r="AZ18"/>
    </row>
    <row r="19" spans="1:52" ht="14.5" customHeight="1">
      <c r="A19" s="106"/>
      <c r="B19"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37" t="s">
        <v>236</v>
      </c>
      <c r="D19" s="37" t="s">
        <v>56</v>
      </c>
      <c r="E19" s="37" t="s">
        <v>32</v>
      </c>
      <c r="F19" s="108"/>
      <c r="G19" s="108"/>
      <c r="H19" s="34"/>
      <c r="I19" s="44" t="str">
        <f t="shared" si="0"/>
        <v>4 ضد 1 3 ضد 7 5 ضد 8</v>
      </c>
      <c r="J19" s="34"/>
      <c r="K19" s="34"/>
      <c r="L19" s="34"/>
      <c r="M19" s="34"/>
      <c r="N19" s="34"/>
      <c r="O19" s="34"/>
      <c r="P19" s="34"/>
      <c r="Q19"/>
      <c r="R19"/>
      <c r="S19"/>
      <c r="T19"/>
      <c r="U19"/>
      <c r="V19"/>
      <c r="W19"/>
      <c r="X19"/>
      <c r="Y19"/>
      <c r="Z19"/>
      <c r="AA19"/>
      <c r="AB19"/>
      <c r="AC19"/>
      <c r="AD19"/>
      <c r="AE19"/>
      <c r="AF19"/>
      <c r="AG19"/>
      <c r="AH19"/>
      <c r="AI19"/>
      <c r="AJ19"/>
      <c r="AK19"/>
      <c r="AL19"/>
      <c r="AM19"/>
      <c r="AN19"/>
      <c r="AO19"/>
      <c r="AP19"/>
      <c r="AQ19"/>
      <c r="AR19"/>
      <c r="AS19"/>
      <c r="AT19"/>
      <c r="AU19"/>
      <c r="AV19"/>
      <c r="AW19"/>
      <c r="AX19"/>
      <c r="AY19"/>
      <c r="AZ19"/>
    </row>
    <row r="20" spans="1:52" ht="14.5" customHeight="1">
      <c r="A20" s="106"/>
      <c r="B20"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37" t="s">
        <v>205</v>
      </c>
      <c r="D20" s="37"/>
      <c r="E20" s="37"/>
      <c r="F20" s="108"/>
      <c r="G20" s="108"/>
      <c r="H20" s="34"/>
      <c r="I20" s="44" t="str">
        <f t="shared" si="0"/>
        <v>2 ضد 9</v>
      </c>
      <c r="J20" s="34"/>
      <c r="K20" s="34"/>
      <c r="L20" s="34"/>
      <c r="M20" s="34"/>
      <c r="N20" s="34"/>
      <c r="O20" s="34"/>
      <c r="P20" s="34"/>
      <c r="Q20"/>
      <c r="R20"/>
      <c r="S20"/>
      <c r="T20"/>
      <c r="U20"/>
      <c r="V20"/>
      <c r="W20"/>
      <c r="X20"/>
      <c r="Y20"/>
      <c r="Z20"/>
      <c r="AA20"/>
      <c r="AB20"/>
      <c r="AC20"/>
      <c r="AD20"/>
      <c r="AE20"/>
      <c r="AF20"/>
      <c r="AG20"/>
      <c r="AH20"/>
      <c r="AI20"/>
      <c r="AJ20"/>
      <c r="AK20"/>
      <c r="AL20"/>
      <c r="AM20"/>
      <c r="AN20"/>
      <c r="AO20"/>
      <c r="AP20"/>
      <c r="AQ20"/>
      <c r="AR20"/>
      <c r="AS20"/>
      <c r="AT20"/>
      <c r="AU20"/>
      <c r="AV20"/>
      <c r="AW20"/>
      <c r="AX20"/>
      <c r="AY20"/>
      <c r="AZ20"/>
    </row>
    <row r="21" spans="1:52" ht="14.5" customHeight="1">
      <c r="A21" s="106"/>
      <c r="B21"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37" t="s">
        <v>20</v>
      </c>
      <c r="D21" s="37" t="s">
        <v>59</v>
      </c>
      <c r="E21" s="37"/>
      <c r="F21" s="108"/>
      <c r="G21" s="108"/>
      <c r="H21" s="34"/>
      <c r="I21" s="44" t="str">
        <f t="shared" si="0"/>
        <v>1 ضد 3 6 ضد 8</v>
      </c>
      <c r="J21" s="34"/>
      <c r="K21" s="34"/>
      <c r="L21" s="34"/>
      <c r="M21" s="34"/>
      <c r="N21" s="34"/>
      <c r="O21" s="34"/>
      <c r="P21" s="34"/>
      <c r="Q21"/>
      <c r="R21"/>
      <c r="S21"/>
      <c r="T21"/>
      <c r="U21"/>
      <c r="V21"/>
      <c r="W21"/>
      <c r="X21"/>
      <c r="Y21"/>
      <c r="Z21"/>
      <c r="AA21"/>
      <c r="AB21"/>
      <c r="AC21"/>
      <c r="AD21"/>
      <c r="AE21"/>
      <c r="AF21"/>
      <c r="AG21"/>
      <c r="AH21"/>
      <c r="AI21"/>
      <c r="AJ21"/>
      <c r="AK21"/>
      <c r="AL21"/>
      <c r="AM21"/>
      <c r="AN21"/>
      <c r="AO21"/>
      <c r="AP21"/>
      <c r="AQ21"/>
      <c r="AR21"/>
      <c r="AS21"/>
      <c r="AT21"/>
      <c r="AU21"/>
      <c r="AV21"/>
      <c r="AW21"/>
      <c r="AX21"/>
      <c r="AY21"/>
      <c r="AZ21"/>
    </row>
    <row r="22" spans="1:52" ht="14.5" customHeight="1">
      <c r="A22" s="106" t="s">
        <v>7</v>
      </c>
      <c r="B2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37" t="s">
        <v>37</v>
      </c>
      <c r="D22" s="37" t="s">
        <v>45</v>
      </c>
      <c r="E22" s="37"/>
      <c r="F22" s="107">
        <f>COUNTIF(C22:E30,"* ضد *")</f>
        <v>18</v>
      </c>
      <c r="G22" s="108">
        <f>COUNTIF(C22:E30,"* ضد *")*2/9</f>
        <v>4</v>
      </c>
      <c r="H22" s="34"/>
      <c r="I22" s="44" t="str">
        <f t="shared" si="0"/>
        <v>2 ضد 3 7 ضد 8</v>
      </c>
      <c r="J22" s="34"/>
      <c r="K22" s="34"/>
      <c r="L22" s="34"/>
      <c r="M22" s="34"/>
      <c r="N22" s="34"/>
      <c r="O22" s="34"/>
      <c r="P22" s="34"/>
      <c r="Q22"/>
      <c r="R22"/>
      <c r="S22"/>
      <c r="T22"/>
      <c r="U22"/>
      <c r="V22"/>
      <c r="W22"/>
      <c r="X22"/>
      <c r="Y22"/>
      <c r="Z22"/>
      <c r="AA22"/>
      <c r="AB22"/>
      <c r="AC22"/>
      <c r="AD22"/>
      <c r="AE22"/>
      <c r="AF22"/>
      <c r="AG22"/>
      <c r="AH22"/>
      <c r="AI22"/>
      <c r="AJ22"/>
      <c r="AK22"/>
      <c r="AL22"/>
      <c r="AM22"/>
      <c r="AN22"/>
      <c r="AO22"/>
      <c r="AP22"/>
      <c r="AQ22"/>
      <c r="AR22"/>
      <c r="AS22"/>
      <c r="AT22"/>
      <c r="AU22"/>
      <c r="AV22"/>
      <c r="AW22"/>
      <c r="AX22"/>
      <c r="AY22"/>
      <c r="AZ22"/>
    </row>
    <row r="23" spans="1:52" ht="14.5" customHeight="1">
      <c r="A23" s="106"/>
      <c r="B2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37" t="s">
        <v>63</v>
      </c>
      <c r="D23" s="37" t="s">
        <v>58</v>
      </c>
      <c r="E23" s="37"/>
      <c r="F23" s="108"/>
      <c r="G23" s="108"/>
      <c r="H23" s="34"/>
      <c r="I23" s="44" t="str">
        <f t="shared" si="0"/>
        <v>1 ضد 4 5 ضد 9</v>
      </c>
      <c r="J23" s="34"/>
      <c r="K23" s="34"/>
      <c r="L23" s="34"/>
      <c r="M23" s="34"/>
      <c r="N23" s="34"/>
      <c r="O23" s="34"/>
      <c r="P23" s="34"/>
      <c r="Q23"/>
      <c r="R23"/>
      <c r="S23"/>
      <c r="T23"/>
      <c r="U23"/>
      <c r="V23"/>
      <c r="W23"/>
      <c r="X23"/>
      <c r="Y23"/>
      <c r="Z23"/>
      <c r="AA23"/>
      <c r="AB23"/>
      <c r="AC23"/>
      <c r="AD23"/>
      <c r="AE23"/>
      <c r="AF23"/>
      <c r="AG23"/>
      <c r="AH23"/>
      <c r="AI23"/>
      <c r="AJ23"/>
      <c r="AK23"/>
      <c r="AL23"/>
      <c r="AM23"/>
      <c r="AN23"/>
      <c r="AO23"/>
      <c r="AP23"/>
      <c r="AQ23"/>
      <c r="AR23"/>
      <c r="AS23"/>
      <c r="AT23"/>
      <c r="AU23"/>
      <c r="AV23"/>
      <c r="AW23"/>
      <c r="AX23"/>
      <c r="AY23"/>
      <c r="AZ23"/>
    </row>
    <row r="24" spans="1:52" ht="14.5" customHeight="1">
      <c r="A24" s="106"/>
      <c r="B2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37" t="s">
        <v>52</v>
      </c>
      <c r="D24" s="37" t="s">
        <v>57</v>
      </c>
      <c r="E24" s="37"/>
      <c r="F24" s="108"/>
      <c r="G24" s="108"/>
      <c r="H24" s="34"/>
      <c r="I24" s="44" t="str">
        <f t="shared" si="0"/>
        <v>2 ضد 6 3 ضد 8</v>
      </c>
      <c r="J24" s="34"/>
      <c r="K24" s="34"/>
      <c r="L24" s="34"/>
      <c r="M24" s="34"/>
      <c r="N24" s="34"/>
      <c r="O24" s="34"/>
      <c r="P24" s="3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row>
    <row r="25" spans="1:52" ht="14.5" customHeight="1">
      <c r="A25" s="106"/>
      <c r="B2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37" t="s">
        <v>47</v>
      </c>
      <c r="D25" s="37" t="s">
        <v>34</v>
      </c>
      <c r="E25" s="37"/>
      <c r="F25" s="108"/>
      <c r="G25" s="108"/>
      <c r="H25" s="34"/>
      <c r="I25" s="44" t="str">
        <f t="shared" si="0"/>
        <v>1 ضد 7 4 ضد 9</v>
      </c>
      <c r="J25" s="34"/>
      <c r="K25" s="34"/>
      <c r="L25" s="34"/>
      <c r="M25" s="34"/>
      <c r="N25" s="34"/>
      <c r="O25" s="34"/>
      <c r="P25" s="34"/>
      <c r="Q25"/>
      <c r="R25"/>
      <c r="S25"/>
      <c r="T25"/>
      <c r="U25"/>
      <c r="V25"/>
      <c r="W25"/>
      <c r="X25"/>
      <c r="Y25"/>
      <c r="Z25"/>
      <c r="AA25"/>
      <c r="AB25"/>
      <c r="AC25"/>
      <c r="AD25"/>
      <c r="AE25"/>
      <c r="AF25"/>
      <c r="AG25"/>
      <c r="AH25"/>
      <c r="AI25"/>
      <c r="AJ25"/>
      <c r="AK25"/>
      <c r="AL25"/>
      <c r="AM25"/>
      <c r="AN25"/>
      <c r="AO25"/>
      <c r="AP25"/>
      <c r="AQ25"/>
      <c r="AR25"/>
      <c r="AS25"/>
      <c r="AT25"/>
      <c r="AU25"/>
      <c r="AV25"/>
      <c r="AW25"/>
      <c r="AX25"/>
      <c r="AY25"/>
      <c r="AZ25"/>
    </row>
    <row r="26" spans="1:52" ht="14.5" customHeight="1">
      <c r="A26" s="106"/>
      <c r="B2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37" t="s">
        <v>66</v>
      </c>
      <c r="D26" s="37" t="s">
        <v>59</v>
      </c>
      <c r="E26" s="37"/>
      <c r="F26" s="108"/>
      <c r="G26" s="108"/>
      <c r="H26" s="34"/>
      <c r="I26" s="44" t="str">
        <f t="shared" si="0"/>
        <v>3 ضد 5 6 ضد 8</v>
      </c>
      <c r="J26" s="34"/>
      <c r="K26" s="34"/>
      <c r="L26" s="34"/>
      <c r="M26" s="34"/>
      <c r="N26" s="34"/>
      <c r="O26" s="34"/>
      <c r="P26" s="34"/>
      <c r="Q26"/>
      <c r="R26"/>
      <c r="S26"/>
      <c r="T26"/>
      <c r="U26"/>
      <c r="V26"/>
      <c r="W26"/>
      <c r="X26"/>
      <c r="Y26"/>
      <c r="Z26"/>
      <c r="AA26"/>
      <c r="AB26"/>
      <c r="AC26"/>
      <c r="AD26"/>
      <c r="AE26"/>
      <c r="AF26"/>
      <c r="AG26"/>
      <c r="AH26"/>
      <c r="AI26"/>
      <c r="AJ26"/>
      <c r="AK26"/>
      <c r="AL26"/>
      <c r="AM26"/>
      <c r="AN26"/>
      <c r="AO26"/>
      <c r="AP26"/>
      <c r="AQ26"/>
      <c r="AR26"/>
      <c r="AS26"/>
      <c r="AT26"/>
      <c r="AU26"/>
      <c r="AV26"/>
      <c r="AW26"/>
      <c r="AX26"/>
      <c r="AY26"/>
      <c r="AZ26"/>
    </row>
    <row r="27" spans="1:52" ht="14.5" customHeight="1">
      <c r="A27" s="106"/>
      <c r="B2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37" t="s">
        <v>43</v>
      </c>
      <c r="D27" s="37" t="s">
        <v>205</v>
      </c>
      <c r="E27" s="37"/>
      <c r="F27" s="108"/>
      <c r="G27" s="108"/>
      <c r="H27" s="34"/>
      <c r="I27" s="44" t="str">
        <f t="shared" si="0"/>
        <v>4 ضد 7 2 ضد 9</v>
      </c>
      <c r="J27" s="34"/>
      <c r="K27" s="34"/>
      <c r="L27" s="34"/>
      <c r="M27" s="34"/>
      <c r="N27" s="34"/>
      <c r="O27" s="34"/>
      <c r="P27" s="34"/>
      <c r="Q27"/>
      <c r="R27"/>
      <c r="S27"/>
      <c r="T27"/>
      <c r="U27"/>
      <c r="V27"/>
      <c r="W27"/>
      <c r="X27"/>
      <c r="Y27"/>
      <c r="Z27"/>
      <c r="AA27"/>
      <c r="AB27"/>
      <c r="AC27"/>
      <c r="AD27"/>
      <c r="AE27"/>
      <c r="AF27"/>
      <c r="AG27"/>
      <c r="AH27"/>
      <c r="AI27"/>
      <c r="AJ27"/>
      <c r="AK27"/>
      <c r="AL27"/>
      <c r="AM27"/>
      <c r="AN27"/>
      <c r="AO27"/>
      <c r="AP27"/>
      <c r="AQ27"/>
      <c r="AR27"/>
      <c r="AS27"/>
      <c r="AT27"/>
      <c r="AU27"/>
      <c r="AV27"/>
      <c r="AW27"/>
      <c r="AX27"/>
      <c r="AY27"/>
      <c r="AZ27"/>
    </row>
    <row r="28" spans="1:52" ht="14.5" customHeight="1">
      <c r="A28" s="106"/>
      <c r="B2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37" t="s">
        <v>225</v>
      </c>
      <c r="D28" s="37" t="s">
        <v>55</v>
      </c>
      <c r="E28" s="37"/>
      <c r="F28" s="108"/>
      <c r="G28" s="108"/>
      <c r="H28" s="34"/>
      <c r="I28" s="44" t="str">
        <f t="shared" si="0"/>
        <v>3 ضد 1 5 ضد 6</v>
      </c>
      <c r="J28" s="34"/>
      <c r="K28" s="34"/>
      <c r="L28" s="34"/>
      <c r="M28" s="34"/>
      <c r="N28" s="34"/>
      <c r="O28" s="34"/>
      <c r="P28" s="34"/>
      <c r="Q28"/>
      <c r="R28"/>
      <c r="S28"/>
      <c r="T28"/>
      <c r="U28"/>
      <c r="V28"/>
      <c r="W28"/>
      <c r="X28"/>
      <c r="Y28"/>
      <c r="Z28"/>
      <c r="AA28"/>
      <c r="AB28"/>
      <c r="AC28"/>
      <c r="AD28"/>
      <c r="AE28"/>
      <c r="AF28"/>
      <c r="AG28"/>
      <c r="AH28"/>
      <c r="AI28"/>
      <c r="AJ28"/>
      <c r="AK28"/>
      <c r="AL28"/>
      <c r="AM28"/>
      <c r="AN28"/>
      <c r="AO28"/>
      <c r="AP28"/>
      <c r="AQ28"/>
      <c r="AR28"/>
      <c r="AS28"/>
      <c r="AT28"/>
      <c r="AU28"/>
      <c r="AV28"/>
      <c r="AW28"/>
      <c r="AX28"/>
      <c r="AY28"/>
      <c r="AZ28"/>
    </row>
    <row r="29" spans="1:52" ht="14.5" customHeight="1">
      <c r="A29" s="106"/>
      <c r="B29"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37" t="s">
        <v>61</v>
      </c>
      <c r="D29" s="37" t="s">
        <v>67</v>
      </c>
      <c r="E29" s="37"/>
      <c r="F29" s="108"/>
      <c r="G29" s="108"/>
      <c r="H29" s="34"/>
      <c r="I29" s="44" t="str">
        <f t="shared" si="0"/>
        <v>2 ضد 7 8 ضد 9</v>
      </c>
      <c r="J29" s="34"/>
      <c r="K29" s="34"/>
      <c r="L29" s="34"/>
      <c r="M29" s="34"/>
      <c r="N29" s="34"/>
      <c r="O29" s="34"/>
      <c r="P29" s="34"/>
      <c r="Q29"/>
      <c r="R29"/>
      <c r="S29"/>
      <c r="T29"/>
      <c r="U29"/>
      <c r="V29"/>
      <c r="W29"/>
      <c r="X29"/>
      <c r="Y29"/>
      <c r="Z29"/>
      <c r="AA29"/>
      <c r="AB29"/>
      <c r="AC29"/>
      <c r="AD29"/>
      <c r="AE29"/>
      <c r="AF29"/>
      <c r="AG29"/>
      <c r="AH29"/>
      <c r="AI29"/>
      <c r="AJ29"/>
      <c r="AK29"/>
      <c r="AL29"/>
      <c r="AM29"/>
      <c r="AN29"/>
      <c r="AO29"/>
      <c r="AP29"/>
      <c r="AQ29"/>
      <c r="AR29"/>
      <c r="AS29"/>
      <c r="AT29"/>
      <c r="AU29"/>
      <c r="AV29"/>
      <c r="AW29"/>
      <c r="AX29"/>
      <c r="AY29"/>
      <c r="AZ29"/>
    </row>
    <row r="30" spans="1:52" ht="14.5" customHeight="1">
      <c r="A30" s="106"/>
      <c r="B30"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37" t="s">
        <v>40</v>
      </c>
      <c r="D30" s="37" t="s">
        <v>28</v>
      </c>
      <c r="E30" s="37"/>
      <c r="F30" s="108"/>
      <c r="G30" s="108"/>
      <c r="H30" s="34"/>
      <c r="I30" s="44" t="str">
        <f t="shared" si="0"/>
        <v>1 ضد 5 4 ضد 6</v>
      </c>
      <c r="J30" s="34"/>
      <c r="K30" s="34"/>
      <c r="L30" s="34"/>
      <c r="M30" s="34"/>
      <c r="N30" s="34"/>
      <c r="O30" s="34"/>
      <c r="P30" s="34"/>
      <c r="Q30"/>
      <c r="R30"/>
      <c r="S30"/>
      <c r="T30"/>
      <c r="U30"/>
      <c r="V30"/>
      <c r="W30"/>
      <c r="X30"/>
      <c r="Y30"/>
      <c r="Z30"/>
      <c r="AA30"/>
      <c r="AB30"/>
      <c r="AC30"/>
      <c r="AD30"/>
      <c r="AE30"/>
      <c r="AF30"/>
      <c r="AG30"/>
      <c r="AH30"/>
      <c r="AI30"/>
      <c r="AJ30"/>
      <c r="AK30"/>
      <c r="AL30"/>
      <c r="AM30"/>
      <c r="AN30"/>
      <c r="AO30"/>
      <c r="AP30"/>
      <c r="AQ30"/>
      <c r="AR30"/>
      <c r="AS30"/>
      <c r="AT30"/>
      <c r="AU30"/>
      <c r="AV30"/>
      <c r="AW30"/>
      <c r="AX30"/>
      <c r="AY30"/>
      <c r="AZ30"/>
    </row>
    <row r="31" spans="1:52" ht="14.5" customHeight="1">
      <c r="A31" s="106" t="s">
        <v>8</v>
      </c>
      <c r="B3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37" t="s">
        <v>255</v>
      </c>
      <c r="D31" s="37" t="s">
        <v>165</v>
      </c>
      <c r="E31" s="37" t="s">
        <v>39</v>
      </c>
      <c r="F31" s="107">
        <f>COUNTIF(C31:E39,"* ضد *")</f>
        <v>18</v>
      </c>
      <c r="G31" s="108">
        <f>COUNTIF(C31:E39,"* ضد *")*2/9</f>
        <v>4</v>
      </c>
      <c r="H31" s="34"/>
      <c r="I31" s="44" t="str">
        <f t="shared" si="0"/>
        <v>6 ضد 3 7 ضد 5 4 ضد 8</v>
      </c>
      <c r="J31" s="34"/>
      <c r="K31" s="34"/>
      <c r="L31" s="34"/>
      <c r="M31" s="34"/>
      <c r="N31" s="34"/>
      <c r="O31" s="34"/>
      <c r="P31" s="34"/>
      <c r="Q31"/>
      <c r="R31"/>
      <c r="S31"/>
      <c r="T31"/>
      <c r="U31"/>
      <c r="V31"/>
      <c r="W31"/>
      <c r="X31"/>
      <c r="Y31"/>
      <c r="Z31"/>
      <c r="AA31"/>
      <c r="AB31"/>
      <c r="AC31"/>
      <c r="AD31"/>
      <c r="AE31"/>
      <c r="AF31"/>
      <c r="AG31"/>
      <c r="AH31"/>
      <c r="AI31"/>
      <c r="AJ31"/>
      <c r="AK31"/>
      <c r="AL31"/>
      <c r="AM31"/>
      <c r="AN31"/>
      <c r="AO31"/>
      <c r="AP31"/>
      <c r="AQ31"/>
      <c r="AR31"/>
      <c r="AS31"/>
      <c r="AT31"/>
      <c r="AU31"/>
      <c r="AV31"/>
      <c r="AW31"/>
      <c r="AX31"/>
      <c r="AY31"/>
      <c r="AZ31"/>
    </row>
    <row r="32" spans="1:52" ht="14.5" customHeight="1">
      <c r="A32" s="106"/>
      <c r="B3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37" t="s">
        <v>207</v>
      </c>
      <c r="D32" s="37"/>
      <c r="E32" s="37"/>
      <c r="F32" s="108"/>
      <c r="G32" s="108"/>
      <c r="H32" s="34"/>
      <c r="I32" s="44" t="str">
        <f t="shared" si="0"/>
        <v>1 ضد 9</v>
      </c>
      <c r="J32" s="34"/>
      <c r="K32" s="34"/>
      <c r="L32" s="34"/>
      <c r="M32" s="34"/>
      <c r="N32" s="34"/>
      <c r="O32" s="34"/>
      <c r="P32" s="34"/>
      <c r="Q32"/>
      <c r="R32"/>
      <c r="S32"/>
      <c r="T32"/>
      <c r="U32"/>
      <c r="V32"/>
      <c r="W32"/>
      <c r="X32"/>
      <c r="Y32"/>
      <c r="Z32"/>
      <c r="AA32"/>
      <c r="AB32"/>
      <c r="AC32"/>
      <c r="AD32"/>
      <c r="AE32"/>
      <c r="AF32"/>
      <c r="AG32"/>
      <c r="AH32"/>
      <c r="AI32"/>
      <c r="AJ32"/>
      <c r="AK32"/>
      <c r="AL32"/>
      <c r="AM32"/>
      <c r="AN32"/>
      <c r="AO32"/>
      <c r="AP32"/>
      <c r="AQ32"/>
      <c r="AR32"/>
      <c r="AS32"/>
      <c r="AT32"/>
      <c r="AU32"/>
      <c r="AV32"/>
      <c r="AW32"/>
      <c r="AX32"/>
      <c r="AY32"/>
      <c r="AZ32"/>
    </row>
    <row r="33" spans="1:52" ht="14.5" customHeight="1">
      <c r="A33" s="106"/>
      <c r="B3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37" t="s">
        <v>33</v>
      </c>
      <c r="D33" s="37" t="s">
        <v>46</v>
      </c>
      <c r="E33" s="37" t="s">
        <v>22</v>
      </c>
      <c r="F33" s="108"/>
      <c r="G33" s="108"/>
      <c r="H33" s="34"/>
      <c r="I33" s="44" t="str">
        <f t="shared" si="0"/>
        <v>6 ضد 7 4 ضد 5 2 ضد 8</v>
      </c>
      <c r="J33" s="34"/>
      <c r="K33" s="34"/>
      <c r="L33" s="34"/>
      <c r="M33" s="34"/>
      <c r="N33" s="34"/>
      <c r="O33" s="34"/>
      <c r="P33" s="34"/>
      <c r="Q33"/>
      <c r="R33"/>
      <c r="S33"/>
      <c r="T33"/>
      <c r="U33"/>
      <c r="V33"/>
      <c r="W33"/>
      <c r="X33"/>
      <c r="Y33"/>
      <c r="Z33"/>
      <c r="AA33"/>
      <c r="AB33"/>
      <c r="AC33"/>
      <c r="AD33"/>
      <c r="AE33"/>
      <c r="AF33"/>
      <c r="AG33"/>
      <c r="AH33"/>
      <c r="AI33"/>
      <c r="AJ33"/>
      <c r="AK33"/>
      <c r="AL33"/>
      <c r="AM33"/>
      <c r="AN33"/>
      <c r="AO33"/>
      <c r="AP33"/>
      <c r="AQ33"/>
      <c r="AR33"/>
      <c r="AS33"/>
      <c r="AT33"/>
      <c r="AU33"/>
      <c r="AV33"/>
      <c r="AW33"/>
      <c r="AX33"/>
      <c r="AY33"/>
      <c r="AZ33"/>
    </row>
    <row r="34" spans="1:52" ht="14.5" customHeight="1">
      <c r="A34" s="106"/>
      <c r="B3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37" t="s">
        <v>26</v>
      </c>
      <c r="D34" s="37"/>
      <c r="E34" s="37"/>
      <c r="F34" s="108"/>
      <c r="G34" s="108"/>
      <c r="H34" s="34"/>
      <c r="I34" s="44" t="str">
        <f t="shared" si="0"/>
        <v>3 ضد 9</v>
      </c>
      <c r="J34" s="34"/>
      <c r="K34" s="34"/>
      <c r="L34" s="34"/>
      <c r="M34" s="34"/>
      <c r="N34" s="34"/>
      <c r="O34" s="34"/>
      <c r="P34" s="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row>
    <row r="35" spans="1:52" ht="14.5" customHeight="1">
      <c r="A35" s="106"/>
      <c r="B3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37" t="s">
        <v>160</v>
      </c>
      <c r="D35" s="37" t="s">
        <v>32</v>
      </c>
      <c r="E35" s="37" t="s">
        <v>38</v>
      </c>
      <c r="F35" s="108"/>
      <c r="G35" s="108"/>
      <c r="H35" s="34"/>
      <c r="I35" s="44" t="str">
        <f t="shared" si="0"/>
        <v>4 ضد 2 5 ضد 8 1 ضد 6</v>
      </c>
      <c r="J35" s="34"/>
      <c r="K35" s="34"/>
      <c r="L35" s="34"/>
      <c r="M35" s="34"/>
      <c r="N35" s="34"/>
      <c r="O35" s="34"/>
      <c r="P35" s="34"/>
      <c r="Q35"/>
      <c r="R35"/>
      <c r="S35"/>
      <c r="T35"/>
      <c r="U35"/>
      <c r="V35"/>
      <c r="W35"/>
      <c r="X35"/>
      <c r="Y35"/>
      <c r="Z35"/>
      <c r="AA35"/>
      <c r="AB35"/>
      <c r="AC35"/>
      <c r="AD35"/>
      <c r="AE35"/>
      <c r="AF35"/>
      <c r="AG35"/>
      <c r="AH35"/>
      <c r="AI35"/>
      <c r="AJ35"/>
      <c r="AK35"/>
      <c r="AL35"/>
      <c r="AM35"/>
      <c r="AN35"/>
      <c r="AO35"/>
      <c r="AP35"/>
      <c r="AQ35"/>
      <c r="AR35"/>
      <c r="AS35"/>
      <c r="AT35"/>
      <c r="AU35"/>
      <c r="AV35"/>
      <c r="AW35"/>
      <c r="AX35"/>
      <c r="AY35"/>
      <c r="AZ35"/>
    </row>
    <row r="36" spans="1:52" ht="14.5" customHeight="1">
      <c r="A36" s="106"/>
      <c r="B3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37" t="s">
        <v>56</v>
      </c>
      <c r="D36" s="37"/>
      <c r="E36" s="37"/>
      <c r="F36" s="108"/>
      <c r="G36" s="108"/>
      <c r="H36" s="34"/>
      <c r="I36" s="44" t="str">
        <f t="shared" ref="I36:I57" si="2">_xlfn.TEXTJOIN(" ",TRUE,C36:E36)</f>
        <v>3 ضد 7</v>
      </c>
      <c r="J36" s="34"/>
      <c r="K36" s="34"/>
      <c r="L36" s="34"/>
      <c r="M36" s="34"/>
      <c r="N36" s="34"/>
      <c r="O36" s="34"/>
      <c r="P36" s="34"/>
      <c r="Q36"/>
      <c r="R36"/>
      <c r="S36"/>
      <c r="T36"/>
      <c r="U36"/>
      <c r="V36"/>
      <c r="W36"/>
      <c r="X36"/>
      <c r="Y36"/>
      <c r="Z36"/>
      <c r="AA36"/>
      <c r="AB36"/>
      <c r="AC36"/>
      <c r="AD36"/>
      <c r="AE36"/>
      <c r="AF36"/>
      <c r="AG36"/>
      <c r="AH36"/>
      <c r="AI36"/>
      <c r="AJ36"/>
      <c r="AK36"/>
      <c r="AL36"/>
      <c r="AM36"/>
      <c r="AN36"/>
      <c r="AO36"/>
      <c r="AP36"/>
      <c r="AQ36"/>
      <c r="AR36"/>
      <c r="AS36"/>
      <c r="AT36"/>
      <c r="AU36"/>
      <c r="AV36"/>
      <c r="AW36"/>
      <c r="AX36"/>
      <c r="AY36"/>
      <c r="AZ36"/>
    </row>
    <row r="37" spans="1:52" ht="14.5" customHeight="1">
      <c r="A37" s="106"/>
      <c r="B3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37" t="s">
        <v>228</v>
      </c>
      <c r="D37" s="37" t="s">
        <v>69</v>
      </c>
      <c r="E37" s="37" t="s">
        <v>23</v>
      </c>
      <c r="F37" s="108"/>
      <c r="G37" s="108"/>
      <c r="H37" s="34"/>
      <c r="I37" s="44" t="str">
        <f t="shared" si="2"/>
        <v>5 ضد 2 1 ضد 8 6 ضد 9</v>
      </c>
      <c r="J37" s="34"/>
      <c r="K37" s="34"/>
      <c r="L37" s="34"/>
      <c r="M37" s="34"/>
      <c r="N37" s="34"/>
      <c r="O37" s="34"/>
      <c r="P37" s="34"/>
      <c r="Q37"/>
      <c r="R37"/>
      <c r="S37"/>
      <c r="T37"/>
      <c r="U37"/>
      <c r="V37"/>
      <c r="W37"/>
      <c r="X37"/>
      <c r="Y37"/>
      <c r="Z37"/>
      <c r="AA37"/>
      <c r="AB37"/>
      <c r="AC37"/>
      <c r="AD37"/>
      <c r="AE37"/>
      <c r="AF37"/>
      <c r="AG37"/>
      <c r="AH37"/>
      <c r="AI37"/>
      <c r="AJ37"/>
      <c r="AK37"/>
      <c r="AL37"/>
      <c r="AM37"/>
      <c r="AN37"/>
      <c r="AO37"/>
      <c r="AP37"/>
      <c r="AQ37"/>
      <c r="AR37"/>
      <c r="AS37"/>
      <c r="AT37"/>
      <c r="AU37"/>
      <c r="AV37"/>
      <c r="AW37"/>
      <c r="AX37"/>
      <c r="AY37"/>
      <c r="AZ37"/>
    </row>
    <row r="38" spans="1:52" ht="14.5" customHeight="1">
      <c r="A38" s="106"/>
      <c r="B38"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37" t="s">
        <v>50</v>
      </c>
      <c r="D38" s="37"/>
      <c r="E38" s="37"/>
      <c r="F38" s="108"/>
      <c r="G38" s="108"/>
      <c r="H38" s="34"/>
      <c r="I38" s="44" t="str">
        <f t="shared" si="2"/>
        <v>3 ضد 4</v>
      </c>
      <c r="J38" s="34"/>
      <c r="K38" s="34"/>
      <c r="L38" s="34"/>
      <c r="M38" s="34"/>
      <c r="N38" s="34"/>
      <c r="O38" s="34"/>
      <c r="P38" s="34"/>
      <c r="Q38"/>
      <c r="R38"/>
      <c r="S38"/>
      <c r="T38"/>
      <c r="U38"/>
      <c r="V38"/>
      <c r="W38"/>
      <c r="X38"/>
      <c r="Y38"/>
      <c r="Z38"/>
      <c r="AA38"/>
      <c r="AB38"/>
      <c r="AC38"/>
      <c r="AD38"/>
      <c r="AE38"/>
      <c r="AF38"/>
      <c r="AG38"/>
      <c r="AH38"/>
      <c r="AI38"/>
      <c r="AJ38"/>
      <c r="AK38"/>
      <c r="AL38"/>
      <c r="AM38"/>
      <c r="AN38"/>
      <c r="AO38"/>
      <c r="AP38"/>
      <c r="AQ38"/>
      <c r="AR38"/>
      <c r="AS38"/>
      <c r="AT38"/>
      <c r="AU38"/>
      <c r="AV38"/>
      <c r="AW38"/>
      <c r="AX38"/>
      <c r="AY38"/>
      <c r="AZ38"/>
    </row>
    <row r="39" spans="1:52" ht="14.5" customHeight="1">
      <c r="A39" s="106"/>
      <c r="B39"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37" t="s">
        <v>30</v>
      </c>
      <c r="D39" s="37" t="s">
        <v>51</v>
      </c>
      <c r="E39" s="37"/>
      <c r="F39" s="108"/>
      <c r="G39" s="108"/>
      <c r="H39" s="34"/>
      <c r="I39" s="44" t="str">
        <f t="shared" si="2"/>
        <v>1 ضد 2 7 ضد 9</v>
      </c>
      <c r="J39" s="34"/>
      <c r="K39" s="34"/>
      <c r="L39" s="34"/>
      <c r="M39" s="34"/>
      <c r="N39" s="34"/>
      <c r="O39" s="34"/>
      <c r="P39" s="34"/>
      <c r="Q39"/>
      <c r="R39"/>
      <c r="S39"/>
      <c r="T39"/>
      <c r="U39"/>
      <c r="V39"/>
      <c r="W39"/>
      <c r="X39"/>
      <c r="Y39"/>
      <c r="Z39"/>
      <c r="AA39"/>
      <c r="AB39"/>
      <c r="AC39"/>
      <c r="AD39"/>
      <c r="AE39"/>
      <c r="AF39"/>
      <c r="AG39"/>
      <c r="AH39"/>
      <c r="AI39"/>
      <c r="AJ39"/>
      <c r="AK39"/>
      <c r="AL39"/>
      <c r="AM39"/>
      <c r="AN39"/>
      <c r="AO39"/>
      <c r="AP39"/>
      <c r="AQ39"/>
      <c r="AR39"/>
      <c r="AS39"/>
      <c r="AT39"/>
      <c r="AU39"/>
      <c r="AV39"/>
      <c r="AW39"/>
      <c r="AX39"/>
      <c r="AY39"/>
      <c r="AZ39"/>
    </row>
    <row r="40" spans="1:52" ht="14.5" customHeight="1">
      <c r="A40" s="106" t="s">
        <v>9</v>
      </c>
      <c r="B40"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37" t="s">
        <v>38</v>
      </c>
      <c r="D40" s="37" t="s">
        <v>205</v>
      </c>
      <c r="E40" s="37"/>
      <c r="F40" s="107">
        <f>COUNTIF(C40:E48,"* ضد *")</f>
        <v>18</v>
      </c>
      <c r="G40" s="108">
        <f>COUNTIF(C40:E48,"* ضد *")*2/9</f>
        <v>4</v>
      </c>
      <c r="H40" s="34"/>
      <c r="I40" s="44" t="str">
        <f t="shared" si="2"/>
        <v>1 ضد 6 2 ضد 9</v>
      </c>
      <c r="J40" s="34"/>
      <c r="K40" s="34"/>
      <c r="L40" s="34"/>
      <c r="M40" s="34"/>
      <c r="N40" s="34"/>
      <c r="O40" s="34"/>
      <c r="P40" s="34"/>
      <c r="Q40"/>
      <c r="R40"/>
      <c r="S40"/>
      <c r="T40"/>
      <c r="U40"/>
      <c r="V40"/>
      <c r="W40"/>
      <c r="X40"/>
      <c r="Y40"/>
      <c r="Z40"/>
      <c r="AA40"/>
      <c r="AB40"/>
      <c r="AC40"/>
      <c r="AD40"/>
      <c r="AE40"/>
      <c r="AF40"/>
      <c r="AG40"/>
      <c r="AH40"/>
      <c r="AI40"/>
      <c r="AJ40"/>
      <c r="AK40"/>
      <c r="AL40"/>
      <c r="AM40"/>
      <c r="AN40"/>
      <c r="AO40"/>
      <c r="AP40"/>
      <c r="AQ40"/>
      <c r="AR40"/>
      <c r="AS40"/>
      <c r="AT40"/>
      <c r="AU40"/>
      <c r="AV40"/>
      <c r="AW40"/>
      <c r="AX40"/>
      <c r="AY40"/>
      <c r="AZ40"/>
    </row>
    <row r="41" spans="1:52" ht="14.5" customHeight="1">
      <c r="A41" s="106"/>
      <c r="B41"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37" t="s">
        <v>66</v>
      </c>
      <c r="D41" s="37" t="s">
        <v>45</v>
      </c>
      <c r="E41" s="37"/>
      <c r="F41" s="108"/>
      <c r="G41" s="108"/>
      <c r="H41" s="34"/>
      <c r="I41" s="44" t="str">
        <f t="shared" si="2"/>
        <v>3 ضد 5 7 ضد 8</v>
      </c>
      <c r="J41" s="34"/>
      <c r="K41" s="34"/>
      <c r="L41" s="34"/>
      <c r="M41" s="34"/>
      <c r="N41" s="34"/>
      <c r="O41" s="34"/>
      <c r="P41" s="34"/>
      <c r="Q41"/>
      <c r="R41"/>
      <c r="S41"/>
      <c r="T41"/>
      <c r="U41"/>
      <c r="V41"/>
      <c r="W41"/>
      <c r="X41"/>
      <c r="Y41"/>
      <c r="Z41"/>
      <c r="AA41"/>
      <c r="AB41"/>
      <c r="AC41"/>
      <c r="AD41"/>
      <c r="AE41"/>
      <c r="AF41"/>
      <c r="AG41"/>
      <c r="AH41"/>
      <c r="AI41"/>
      <c r="AJ41"/>
      <c r="AK41"/>
      <c r="AL41"/>
      <c r="AM41"/>
      <c r="AN41"/>
      <c r="AO41"/>
      <c r="AP41"/>
      <c r="AQ41"/>
      <c r="AR41"/>
      <c r="AS41"/>
      <c r="AT41"/>
      <c r="AU41"/>
      <c r="AV41"/>
      <c r="AW41"/>
      <c r="AX41"/>
      <c r="AY41"/>
      <c r="AZ41"/>
    </row>
    <row r="42" spans="1:52" ht="14.5" customHeight="1">
      <c r="A42" s="106"/>
      <c r="B42"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37" t="s">
        <v>63</v>
      </c>
      <c r="D42" s="37" t="s">
        <v>52</v>
      </c>
      <c r="E42" s="37"/>
      <c r="F42" s="108"/>
      <c r="G42" s="108"/>
      <c r="H42" s="34"/>
      <c r="I42" s="44" t="str">
        <f t="shared" si="2"/>
        <v>1 ضد 4 2 ضد 6</v>
      </c>
      <c r="J42" s="34"/>
      <c r="K42" s="34"/>
      <c r="L42" s="34"/>
      <c r="M42" s="34"/>
      <c r="N42" s="34"/>
      <c r="O42" s="34"/>
      <c r="P42" s="34"/>
      <c r="Q42"/>
      <c r="R42"/>
      <c r="S42"/>
      <c r="T42"/>
      <c r="U42"/>
      <c r="V42"/>
      <c r="W42"/>
      <c r="X42"/>
      <c r="Y42"/>
      <c r="Z42"/>
      <c r="AA42"/>
      <c r="AB42"/>
      <c r="AC42"/>
      <c r="AD42"/>
      <c r="AE42"/>
      <c r="AF42"/>
      <c r="AG42"/>
      <c r="AH42"/>
      <c r="AI42"/>
      <c r="AJ42"/>
      <c r="AK42"/>
      <c r="AL42"/>
      <c r="AM42"/>
      <c r="AN42"/>
      <c r="AO42"/>
      <c r="AP42"/>
      <c r="AQ42"/>
      <c r="AR42"/>
      <c r="AS42"/>
      <c r="AT42"/>
      <c r="AU42"/>
      <c r="AV42"/>
      <c r="AW42"/>
      <c r="AX42"/>
      <c r="AY42"/>
      <c r="AZ42"/>
    </row>
    <row r="43" spans="1:52" ht="14.5" customHeight="1">
      <c r="A43" s="106"/>
      <c r="B43"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37" t="s">
        <v>165</v>
      </c>
      <c r="D43" s="37" t="s">
        <v>67</v>
      </c>
      <c r="E43" s="37"/>
      <c r="F43" s="108"/>
      <c r="G43" s="108"/>
      <c r="H43" s="34"/>
      <c r="I43" s="44" t="str">
        <f t="shared" si="2"/>
        <v>7 ضد 5 8 ضد 9</v>
      </c>
      <c r="J43" s="34"/>
      <c r="K43" s="34"/>
      <c r="L43" s="34"/>
      <c r="M43" s="34"/>
      <c r="N43" s="34"/>
      <c r="O43" s="34"/>
      <c r="P43" s="34"/>
      <c r="Q43"/>
      <c r="R43"/>
      <c r="S43"/>
      <c r="T43"/>
      <c r="U43"/>
      <c r="V43"/>
      <c r="W43"/>
      <c r="X43"/>
      <c r="Y43"/>
      <c r="Z43"/>
      <c r="AA43"/>
      <c r="AB43"/>
      <c r="AC43"/>
      <c r="AD43"/>
      <c r="AE43"/>
      <c r="AF43"/>
      <c r="AG43"/>
      <c r="AH43"/>
      <c r="AI43"/>
      <c r="AJ43"/>
      <c r="AK43"/>
      <c r="AL43"/>
      <c r="AM43"/>
      <c r="AN43"/>
      <c r="AO43"/>
      <c r="AP43"/>
      <c r="AQ43"/>
      <c r="AR43"/>
      <c r="AS43"/>
      <c r="AT43"/>
      <c r="AU43"/>
      <c r="AV43"/>
      <c r="AW43"/>
      <c r="AX43"/>
      <c r="AY43"/>
      <c r="AZ43"/>
    </row>
    <row r="44" spans="1:52" ht="14.5" customHeight="1">
      <c r="A44" s="106"/>
      <c r="B44"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37" t="s">
        <v>20</v>
      </c>
      <c r="D44" s="37" t="s">
        <v>70</v>
      </c>
      <c r="E44" s="37"/>
      <c r="F44" s="108"/>
      <c r="G44" s="108"/>
      <c r="H44" s="34"/>
      <c r="I44" s="44" t="str">
        <f t="shared" si="2"/>
        <v>1 ضد 3 2 ضد 4</v>
      </c>
      <c r="J44" s="34"/>
      <c r="K44" s="34"/>
      <c r="L44" s="34"/>
      <c r="M44" s="34"/>
      <c r="N44" s="34"/>
      <c r="O44" s="34"/>
      <c r="P44" s="3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row>
    <row r="45" spans="1:52" ht="14.5" customHeight="1">
      <c r="A45" s="106"/>
      <c r="B45"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37" t="s">
        <v>164</v>
      </c>
      <c r="D45" s="37" t="s">
        <v>51</v>
      </c>
      <c r="E45" s="37"/>
      <c r="F45" s="108"/>
      <c r="G45" s="108"/>
      <c r="H45" s="34"/>
      <c r="I45" s="44" t="str">
        <f t="shared" si="2"/>
        <v>8 ضد 6 7 ضد 9</v>
      </c>
      <c r="J45" s="34"/>
      <c r="K45" s="34"/>
      <c r="L45" s="34"/>
      <c r="M45" s="34"/>
      <c r="N45" s="34"/>
      <c r="O45" s="34"/>
      <c r="P45" s="34"/>
      <c r="Q45"/>
      <c r="R45"/>
      <c r="S45"/>
      <c r="T45"/>
      <c r="U45"/>
      <c r="V45"/>
      <c r="W45"/>
      <c r="X45"/>
      <c r="Y45"/>
      <c r="Z45"/>
      <c r="AA45"/>
      <c r="AB45"/>
      <c r="AC45"/>
      <c r="AD45"/>
      <c r="AE45"/>
      <c r="AF45"/>
      <c r="AG45"/>
      <c r="AH45"/>
      <c r="AI45"/>
      <c r="AJ45"/>
      <c r="AK45"/>
      <c r="AL45"/>
      <c r="AM45"/>
      <c r="AN45"/>
      <c r="AO45"/>
      <c r="AP45"/>
      <c r="AQ45"/>
      <c r="AR45"/>
      <c r="AS45"/>
      <c r="AT45"/>
      <c r="AU45"/>
      <c r="AV45"/>
      <c r="AW45"/>
      <c r="AX45"/>
      <c r="AY45"/>
      <c r="AZ45"/>
    </row>
    <row r="46" spans="1:52" ht="14.5" customHeight="1">
      <c r="A46" s="106"/>
      <c r="B46"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37" t="s">
        <v>40</v>
      </c>
      <c r="D46" s="37" t="s">
        <v>50</v>
      </c>
      <c r="E46" s="37"/>
      <c r="F46" s="108"/>
      <c r="G46" s="108"/>
      <c r="H46" s="34"/>
      <c r="I46" s="44" t="str">
        <f t="shared" si="2"/>
        <v>1 ضد 5 3 ضد 4</v>
      </c>
      <c r="J46" s="34"/>
      <c r="K46" s="34"/>
      <c r="L46" s="34"/>
      <c r="M46" s="34"/>
      <c r="N46" s="34"/>
      <c r="O46" s="34"/>
      <c r="P46" s="34"/>
      <c r="Q46"/>
      <c r="R46"/>
      <c r="S46"/>
      <c r="T46"/>
      <c r="U46"/>
      <c r="V46"/>
      <c r="W46"/>
      <c r="X46"/>
      <c r="Y46"/>
      <c r="Z46"/>
      <c r="AA46"/>
      <c r="AB46"/>
      <c r="AC46"/>
      <c r="AD46"/>
      <c r="AE46"/>
      <c r="AF46"/>
      <c r="AG46"/>
      <c r="AH46"/>
      <c r="AI46"/>
      <c r="AJ46"/>
      <c r="AK46"/>
      <c r="AL46"/>
      <c r="AM46"/>
      <c r="AN46"/>
      <c r="AO46"/>
      <c r="AP46"/>
      <c r="AQ46"/>
      <c r="AR46"/>
      <c r="AS46"/>
      <c r="AT46"/>
      <c r="AU46"/>
      <c r="AV46"/>
      <c r="AW46"/>
      <c r="AX46"/>
      <c r="AY46"/>
      <c r="AZ46"/>
    </row>
    <row r="47" spans="1:52" ht="14.5" customHeight="1">
      <c r="A47" s="106"/>
      <c r="B47"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37" t="s">
        <v>61</v>
      </c>
      <c r="D47" s="37" t="s">
        <v>23</v>
      </c>
      <c r="E47" s="37"/>
      <c r="F47" s="108"/>
      <c r="G47" s="108"/>
      <c r="H47" s="34"/>
      <c r="I47" s="44" t="str">
        <f t="shared" si="2"/>
        <v>2 ضد 7 6 ضد 9</v>
      </c>
      <c r="J47" s="34"/>
      <c r="K47" s="34"/>
      <c r="L47" s="34"/>
      <c r="M47" s="34"/>
      <c r="N47" s="34"/>
      <c r="O47" s="34"/>
      <c r="P47" s="34"/>
      <c r="Q47"/>
      <c r="R47"/>
      <c r="S47"/>
      <c r="T47"/>
      <c r="U47"/>
      <c r="V47"/>
      <c r="W47"/>
      <c r="X47"/>
      <c r="Y47"/>
      <c r="Z47"/>
      <c r="AA47"/>
      <c r="AB47"/>
      <c r="AC47"/>
      <c r="AD47"/>
      <c r="AE47"/>
      <c r="AF47"/>
      <c r="AG47"/>
      <c r="AH47"/>
      <c r="AI47"/>
      <c r="AJ47"/>
      <c r="AK47"/>
      <c r="AL47"/>
      <c r="AM47"/>
      <c r="AN47"/>
      <c r="AO47"/>
      <c r="AP47"/>
      <c r="AQ47"/>
      <c r="AR47"/>
      <c r="AS47"/>
      <c r="AT47"/>
      <c r="AU47"/>
      <c r="AV47"/>
      <c r="AW47"/>
      <c r="AX47"/>
      <c r="AY47"/>
      <c r="AZ47"/>
    </row>
    <row r="48" spans="1:52" ht="14.5" customHeight="1">
      <c r="A48" s="106"/>
      <c r="B48"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37" t="s">
        <v>57</v>
      </c>
      <c r="D48" s="37" t="s">
        <v>46</v>
      </c>
      <c r="E48" s="37"/>
      <c r="F48" s="108"/>
      <c r="G48" s="108"/>
      <c r="H48" s="34"/>
      <c r="I48" s="44" t="str">
        <f t="shared" si="2"/>
        <v>3 ضد 8 4 ضد 5</v>
      </c>
      <c r="J48" s="34"/>
      <c r="K48" s="34"/>
      <c r="L48" s="34"/>
      <c r="M48" s="34"/>
      <c r="N48" s="34"/>
      <c r="O48" s="34"/>
      <c r="P48" s="34"/>
      <c r="Q48"/>
      <c r="R48"/>
      <c r="S48"/>
      <c r="T48"/>
      <c r="U48"/>
      <c r="V48"/>
      <c r="W48"/>
      <c r="X48"/>
      <c r="Y48"/>
      <c r="Z48"/>
      <c r="AA48"/>
      <c r="AB48"/>
      <c r="AC48"/>
      <c r="AD48"/>
      <c r="AE48"/>
      <c r="AF48"/>
      <c r="AG48"/>
      <c r="AH48"/>
      <c r="AI48"/>
      <c r="AJ48"/>
      <c r="AK48"/>
      <c r="AL48"/>
      <c r="AM48"/>
      <c r="AN48"/>
      <c r="AO48"/>
      <c r="AP48"/>
      <c r="AQ48"/>
      <c r="AR48"/>
      <c r="AS48"/>
      <c r="AT48"/>
      <c r="AU48"/>
      <c r="AV48"/>
      <c r="AW48"/>
      <c r="AX48"/>
      <c r="AY48"/>
      <c r="AZ48"/>
    </row>
    <row r="49" spans="1:52" ht="14.5" customHeight="1">
      <c r="A49" s="106" t="s">
        <v>10</v>
      </c>
      <c r="B49"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9" s="37" t="s">
        <v>69</v>
      </c>
      <c r="D49" s="37" t="s">
        <v>56</v>
      </c>
      <c r="E49" s="37" t="s">
        <v>28</v>
      </c>
      <c r="F49" s="107">
        <f>COUNTIF(C49:E57,"* ضد *")</f>
        <v>18</v>
      </c>
      <c r="G49" s="108">
        <f>COUNTIF(C49:E57,"* ضد *")*2/9</f>
        <v>4</v>
      </c>
      <c r="H49" s="34"/>
      <c r="I49" s="44" t="str">
        <f t="shared" si="2"/>
        <v>1 ضد 8 3 ضد 7 4 ضد 6</v>
      </c>
      <c r="J49" s="34"/>
      <c r="K49" s="34"/>
      <c r="L49" s="34"/>
      <c r="M49" s="34"/>
      <c r="N49" s="34"/>
      <c r="O49" s="34"/>
      <c r="P49" s="34"/>
      <c r="Q49"/>
      <c r="R49"/>
      <c r="S49"/>
      <c r="T49"/>
      <c r="U49"/>
      <c r="V49"/>
      <c r="W49"/>
      <c r="X49"/>
      <c r="Y49"/>
      <c r="Z49"/>
      <c r="AA49"/>
      <c r="AB49"/>
      <c r="AC49"/>
      <c r="AD49"/>
      <c r="AE49"/>
      <c r="AF49"/>
      <c r="AG49"/>
      <c r="AH49"/>
      <c r="AI49"/>
      <c r="AJ49"/>
      <c r="AK49"/>
      <c r="AL49"/>
      <c r="AM49"/>
      <c r="AN49"/>
      <c r="AO49"/>
      <c r="AP49"/>
      <c r="AQ49"/>
      <c r="AR49"/>
      <c r="AS49"/>
      <c r="AT49"/>
      <c r="AU49"/>
      <c r="AV49"/>
      <c r="AW49"/>
      <c r="AX49"/>
      <c r="AY49"/>
      <c r="AZ49"/>
    </row>
    <row r="50" spans="1:52" ht="14.5" customHeight="1">
      <c r="A50" s="106"/>
      <c r="B50"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0" s="37" t="s">
        <v>44</v>
      </c>
      <c r="D50" s="37"/>
      <c r="E50" s="37"/>
      <c r="F50" s="108"/>
      <c r="G50" s="108"/>
      <c r="H50" s="34"/>
      <c r="I50" s="44" t="str">
        <f t="shared" si="2"/>
        <v>2 ضد 5</v>
      </c>
      <c r="J50" s="34"/>
      <c r="K50" s="34"/>
      <c r="L50" s="34"/>
      <c r="M50" s="34"/>
      <c r="N50" s="34"/>
      <c r="O50" s="34"/>
      <c r="P50" s="34"/>
      <c r="Q50"/>
      <c r="R50"/>
      <c r="S50"/>
      <c r="T50"/>
      <c r="U50"/>
      <c r="V50"/>
      <c r="W50"/>
      <c r="X50"/>
      <c r="Y50"/>
      <c r="Z50"/>
      <c r="AA50"/>
      <c r="AB50"/>
      <c r="AC50"/>
      <c r="AD50"/>
      <c r="AE50"/>
      <c r="AF50"/>
      <c r="AG50"/>
      <c r="AH50"/>
      <c r="AI50"/>
      <c r="AJ50"/>
      <c r="AK50"/>
      <c r="AL50"/>
      <c r="AM50"/>
      <c r="AN50"/>
      <c r="AO50"/>
      <c r="AP50"/>
      <c r="AQ50"/>
      <c r="AR50"/>
      <c r="AS50"/>
      <c r="AT50"/>
      <c r="AU50"/>
      <c r="AV50"/>
      <c r="AW50"/>
      <c r="AX50"/>
      <c r="AY50"/>
      <c r="AZ50"/>
    </row>
    <row r="51" spans="1:52" ht="14.5" customHeight="1">
      <c r="A51" s="106"/>
      <c r="B51"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51" s="37" t="s">
        <v>47</v>
      </c>
      <c r="D51" s="37" t="s">
        <v>34</v>
      </c>
      <c r="E51" s="37" t="s">
        <v>62</v>
      </c>
      <c r="F51" s="108"/>
      <c r="G51" s="108"/>
      <c r="H51" s="34"/>
      <c r="I51" s="44" t="str">
        <f t="shared" si="2"/>
        <v>1 ضد 7 4 ضد 9 3 ضد 6</v>
      </c>
      <c r="J51" s="34"/>
      <c r="K51" s="34"/>
      <c r="L51" s="34"/>
      <c r="M51" s="34"/>
      <c r="N51" s="34"/>
      <c r="O51" s="34"/>
      <c r="P51" s="34"/>
      <c r="Q51"/>
      <c r="R51"/>
      <c r="S51"/>
      <c r="T51"/>
      <c r="U51"/>
      <c r="V51"/>
      <c r="W51"/>
      <c r="X51"/>
      <c r="Y51"/>
      <c r="Z51"/>
      <c r="AA51"/>
      <c r="AB51"/>
      <c r="AC51"/>
      <c r="AD51"/>
      <c r="AE51"/>
      <c r="AF51"/>
      <c r="AG51"/>
      <c r="AH51"/>
      <c r="AI51"/>
      <c r="AJ51"/>
      <c r="AK51"/>
      <c r="AL51"/>
      <c r="AM51"/>
      <c r="AN51"/>
      <c r="AO51"/>
      <c r="AP51"/>
      <c r="AQ51"/>
      <c r="AR51"/>
      <c r="AS51"/>
      <c r="AT51"/>
      <c r="AU51"/>
      <c r="AV51"/>
      <c r="AW51"/>
      <c r="AX51"/>
      <c r="AY51"/>
      <c r="AZ51"/>
    </row>
    <row r="52" spans="1:52" ht="14.5" customHeight="1">
      <c r="A52" s="106"/>
      <c r="B52"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52" s="37" t="s">
        <v>32</v>
      </c>
      <c r="D52" s="37"/>
      <c r="E52" s="37"/>
      <c r="F52" s="108"/>
      <c r="G52" s="108"/>
      <c r="H52" s="34"/>
      <c r="I52" s="44" t="str">
        <f t="shared" si="2"/>
        <v>5 ضد 8</v>
      </c>
      <c r="J52" s="34"/>
      <c r="K52" s="34"/>
      <c r="L52" s="34"/>
      <c r="M52" s="34"/>
      <c r="N52" s="34"/>
      <c r="O52" s="34"/>
      <c r="P52" s="34"/>
      <c r="Q52"/>
      <c r="R52"/>
      <c r="S52"/>
      <c r="T52"/>
      <c r="U52"/>
      <c r="V52"/>
      <c r="W52"/>
      <c r="X52"/>
      <c r="Y52"/>
      <c r="Z52"/>
      <c r="AA52"/>
      <c r="AB52"/>
      <c r="AC52"/>
      <c r="AD52"/>
      <c r="AE52"/>
      <c r="AF52"/>
      <c r="AG52"/>
      <c r="AH52"/>
      <c r="AI52"/>
      <c r="AJ52"/>
      <c r="AK52"/>
      <c r="AL52"/>
      <c r="AM52"/>
      <c r="AN52"/>
      <c r="AO52"/>
      <c r="AP52"/>
      <c r="AQ52"/>
      <c r="AR52"/>
      <c r="AS52"/>
      <c r="AT52"/>
      <c r="AU52"/>
      <c r="AV52"/>
      <c r="AW52"/>
      <c r="AX52"/>
      <c r="AY52"/>
      <c r="AZ52"/>
    </row>
    <row r="53" spans="1:52" ht="14.5" customHeight="1">
      <c r="A53" s="106"/>
      <c r="B53"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3" s="37" t="s">
        <v>33</v>
      </c>
      <c r="D53" s="37" t="s">
        <v>30</v>
      </c>
      <c r="E53" s="37" t="s">
        <v>26</v>
      </c>
      <c r="F53" s="108"/>
      <c r="G53" s="108"/>
      <c r="H53" s="34"/>
      <c r="I53" s="44" t="str">
        <f t="shared" si="2"/>
        <v>6 ضد 7 1 ضد 2 3 ضد 9</v>
      </c>
      <c r="J53" s="34"/>
      <c r="K53" s="34"/>
      <c r="L53" s="34"/>
      <c r="M53" s="34"/>
      <c r="N53" s="34"/>
      <c r="O53" s="34"/>
      <c r="P53" s="34"/>
      <c r="Q53"/>
      <c r="R53"/>
      <c r="S53"/>
      <c r="T53"/>
      <c r="U53"/>
      <c r="V53"/>
      <c r="W53"/>
      <c r="X53"/>
      <c r="Y53"/>
      <c r="Z53"/>
      <c r="AA53"/>
      <c r="AB53"/>
      <c r="AC53"/>
      <c r="AD53"/>
      <c r="AE53"/>
      <c r="AF53"/>
      <c r="AG53"/>
      <c r="AH53"/>
      <c r="AI53"/>
      <c r="AJ53"/>
      <c r="AK53"/>
      <c r="AL53"/>
      <c r="AM53"/>
      <c r="AN53"/>
      <c r="AO53"/>
      <c r="AP53"/>
      <c r="AQ53"/>
      <c r="AR53"/>
      <c r="AS53"/>
      <c r="AT53"/>
      <c r="AU53"/>
      <c r="AV53"/>
      <c r="AW53"/>
      <c r="AX53"/>
      <c r="AY53"/>
      <c r="AZ53"/>
    </row>
    <row r="54" spans="1:52" ht="14.5" customHeight="1">
      <c r="A54" s="106"/>
      <c r="B54"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4" s="37" t="s">
        <v>39</v>
      </c>
      <c r="D54" s="37"/>
      <c r="E54" s="37"/>
      <c r="F54" s="108"/>
      <c r="G54" s="108"/>
      <c r="H54" s="34"/>
      <c r="I54" s="44" t="str">
        <f t="shared" si="2"/>
        <v>4 ضد 8</v>
      </c>
      <c r="J54" s="34"/>
      <c r="K54" s="34"/>
      <c r="L54" s="34"/>
      <c r="M54" s="34"/>
      <c r="N54" s="34"/>
      <c r="O54" s="34"/>
      <c r="P54" s="3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row>
    <row r="55" spans="1:52" ht="14.5" customHeight="1">
      <c r="A55" s="106"/>
      <c r="B55"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5" s="37" t="s">
        <v>207</v>
      </c>
      <c r="D55" s="37" t="s">
        <v>37</v>
      </c>
      <c r="E55" s="37" t="s">
        <v>55</v>
      </c>
      <c r="F55" s="108"/>
      <c r="G55" s="108"/>
      <c r="H55" s="34"/>
      <c r="I55" s="44" t="str">
        <f t="shared" si="2"/>
        <v>1 ضد 9 2 ضد 3 5 ضد 6</v>
      </c>
      <c r="J55" s="34"/>
      <c r="K55" s="34"/>
      <c r="L55" s="34"/>
      <c r="M55" s="34"/>
      <c r="N55" s="34"/>
      <c r="O55" s="34"/>
      <c r="P55" s="34"/>
      <c r="Q55"/>
      <c r="R55"/>
      <c r="S55"/>
      <c r="T55"/>
      <c r="U55"/>
      <c r="V55"/>
      <c r="W55"/>
      <c r="X55"/>
      <c r="Y55"/>
      <c r="Z55"/>
      <c r="AA55"/>
      <c r="AB55"/>
      <c r="AC55"/>
      <c r="AD55"/>
      <c r="AE55"/>
      <c r="AF55"/>
      <c r="AG55"/>
      <c r="AH55"/>
      <c r="AI55"/>
      <c r="AJ55"/>
      <c r="AK55"/>
      <c r="AL55"/>
      <c r="AM55"/>
      <c r="AN55"/>
      <c r="AO55"/>
      <c r="AP55"/>
      <c r="AQ55"/>
      <c r="AR55"/>
      <c r="AS55"/>
      <c r="AT55"/>
      <c r="AU55"/>
      <c r="AV55"/>
      <c r="AW55"/>
      <c r="AX55"/>
      <c r="AY55"/>
      <c r="AZ55"/>
    </row>
    <row r="56" spans="1:52" ht="14.5" customHeight="1">
      <c r="A56" s="106"/>
      <c r="B56"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56" s="37" t="s">
        <v>43</v>
      </c>
      <c r="D56" s="37"/>
      <c r="E56" s="37"/>
      <c r="F56" s="108"/>
      <c r="G56" s="108"/>
      <c r="H56" s="34"/>
      <c r="I56" s="44" t="str">
        <f t="shared" si="2"/>
        <v>4 ضد 7</v>
      </c>
      <c r="J56" s="34"/>
      <c r="K56" s="34"/>
      <c r="L56" s="34"/>
      <c r="M56" s="34"/>
      <c r="N56" s="34"/>
      <c r="O56" s="34"/>
      <c r="P56" s="34"/>
      <c r="Q56"/>
      <c r="R56"/>
      <c r="S56"/>
      <c r="T56"/>
      <c r="U56"/>
      <c r="V56"/>
      <c r="W56"/>
      <c r="X56"/>
      <c r="Y56"/>
      <c r="Z56"/>
      <c r="AA56"/>
      <c r="AB56"/>
      <c r="AC56"/>
      <c r="AD56"/>
      <c r="AE56"/>
      <c r="AF56"/>
      <c r="AG56"/>
      <c r="AH56"/>
      <c r="AI56"/>
      <c r="AJ56"/>
      <c r="AK56"/>
      <c r="AL56"/>
      <c r="AM56"/>
      <c r="AN56"/>
      <c r="AO56"/>
      <c r="AP56"/>
      <c r="AQ56"/>
      <c r="AR56"/>
      <c r="AS56"/>
      <c r="AT56"/>
      <c r="AU56"/>
      <c r="AV56"/>
      <c r="AW56"/>
      <c r="AX56"/>
      <c r="AY56"/>
      <c r="AZ56"/>
    </row>
    <row r="57" spans="1:52" ht="14.5" customHeight="1">
      <c r="A57" s="106"/>
      <c r="B57"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57" s="37" t="s">
        <v>22</v>
      </c>
      <c r="D57" s="37" t="s">
        <v>58</v>
      </c>
      <c r="E57" s="37"/>
      <c r="F57" s="108"/>
      <c r="G57" s="108"/>
      <c r="H57" s="34"/>
      <c r="I57" s="44" t="str">
        <f t="shared" si="2"/>
        <v>2 ضد 8 5 ضد 9</v>
      </c>
      <c r="J57" s="34"/>
      <c r="K57" s="34"/>
      <c r="L57" s="34"/>
      <c r="M57" s="34"/>
      <c r="N57" s="34"/>
      <c r="O57" s="34"/>
      <c r="P57" s="34"/>
      <c r="Q57"/>
      <c r="R57"/>
      <c r="S57"/>
      <c r="T57"/>
      <c r="U57"/>
      <c r="V57"/>
      <c r="W57"/>
      <c r="X57"/>
      <c r="Y57"/>
      <c r="Z57"/>
      <c r="AA57"/>
      <c r="AB57"/>
      <c r="AC57"/>
      <c r="AD57"/>
      <c r="AE57"/>
      <c r="AF57"/>
      <c r="AG57"/>
      <c r="AH57"/>
      <c r="AI57"/>
      <c r="AJ57"/>
      <c r="AK57"/>
      <c r="AL57"/>
      <c r="AM57"/>
      <c r="AN57"/>
      <c r="AO57"/>
      <c r="AP57"/>
      <c r="AQ57"/>
      <c r="AR57"/>
      <c r="AS57"/>
      <c r="AT57"/>
      <c r="AU57"/>
      <c r="AV57"/>
      <c r="AW57"/>
      <c r="AX57"/>
      <c r="AY57"/>
      <c r="AZ57"/>
    </row>
    <row r="58" spans="1:52" ht="15" customHeight="1">
      <c r="A58" s="34"/>
      <c r="B58" s="34"/>
      <c r="C58" s="34"/>
      <c r="D58" s="34"/>
      <c r="E58" s="34"/>
      <c r="F58" s="34"/>
      <c r="G58" s="34"/>
      <c r="H58" s="34"/>
      <c r="I58" s="34"/>
      <c r="J58" s="34"/>
      <c r="K58" s="34"/>
      <c r="L58" s="34"/>
      <c r="M58" s="34"/>
      <c r="N58" s="34"/>
      <c r="O58" s="34"/>
      <c r="P58" s="34"/>
      <c r="Q58"/>
      <c r="R58"/>
      <c r="S58"/>
      <c r="T58"/>
      <c r="U58"/>
      <c r="V58"/>
      <c r="W58"/>
      <c r="X58"/>
      <c r="Y58"/>
      <c r="Z58"/>
      <c r="AA58"/>
      <c r="AB58"/>
      <c r="AC58"/>
      <c r="AD58"/>
      <c r="AE58"/>
      <c r="AF58"/>
      <c r="AG58"/>
      <c r="AH58"/>
      <c r="AI58"/>
      <c r="AJ58"/>
      <c r="AK58"/>
      <c r="AL58"/>
      <c r="AM58"/>
      <c r="AN58"/>
      <c r="AO58"/>
      <c r="AP58"/>
      <c r="AQ58"/>
      <c r="AR58"/>
      <c r="AS58"/>
      <c r="AT58"/>
      <c r="AU58"/>
      <c r="AV58"/>
      <c r="AW58"/>
      <c r="AX58"/>
      <c r="AY58"/>
      <c r="AZ58"/>
    </row>
    <row r="59" spans="1:52" ht="15" customHeight="1">
      <c r="A59" s="34"/>
      <c r="B59" s="34"/>
      <c r="C59" s="34"/>
      <c r="D59" s="34"/>
      <c r="E59" s="34"/>
      <c r="F59" s="34"/>
      <c r="G59" s="34"/>
      <c r="H59" s="34"/>
      <c r="I59" s="34"/>
      <c r="J59" s="34"/>
      <c r="K59" s="34"/>
      <c r="L59" s="34"/>
      <c r="M59" s="34"/>
      <c r="N59" s="34"/>
      <c r="O59" s="34"/>
      <c r="P59" s="34"/>
      <c r="Q59"/>
      <c r="R59"/>
      <c r="S59"/>
      <c r="T59"/>
      <c r="U59"/>
      <c r="V59"/>
      <c r="W59"/>
      <c r="X59"/>
      <c r="Y59"/>
      <c r="Z59"/>
      <c r="AA59"/>
      <c r="AB59"/>
      <c r="AC59"/>
      <c r="AD59"/>
      <c r="AE59"/>
      <c r="AF59"/>
      <c r="AG59"/>
      <c r="AH59"/>
      <c r="AI59"/>
      <c r="AJ59"/>
      <c r="AK59"/>
      <c r="AL59"/>
      <c r="AM59"/>
      <c r="AN59"/>
      <c r="AO59"/>
      <c r="AP59"/>
      <c r="AQ59"/>
      <c r="AR59"/>
      <c r="AS59"/>
      <c r="AT59"/>
      <c r="AU59"/>
      <c r="AV59"/>
      <c r="AW59"/>
      <c r="AX59"/>
      <c r="AY59"/>
      <c r="AZ59"/>
    </row>
    <row r="60" spans="1:52" ht="15.5" customHeight="1">
      <c r="A60" s="34"/>
      <c r="B60" s="109" t="s">
        <v>444</v>
      </c>
      <c r="C60" s="109"/>
      <c r="D60" s="109"/>
      <c r="E60" s="109"/>
      <c r="F60" s="109"/>
      <c r="G60" s="109"/>
      <c r="H60" s="34"/>
      <c r="I60" s="34"/>
      <c r="J60" s="34"/>
      <c r="K60" s="34"/>
      <c r="L60" s="34"/>
      <c r="M60" s="34"/>
      <c r="N60" s="34"/>
      <c r="O60" s="34"/>
      <c r="P60" s="34"/>
      <c r="Q60"/>
      <c r="R60"/>
      <c r="S60"/>
      <c r="T60"/>
      <c r="U60"/>
      <c r="V60"/>
      <c r="W60"/>
      <c r="X60"/>
      <c r="Y60"/>
      <c r="Z60"/>
      <c r="AA60"/>
      <c r="AB60"/>
      <c r="AC60"/>
      <c r="AD60"/>
      <c r="AE60"/>
      <c r="AF60"/>
      <c r="AG60"/>
      <c r="AH60"/>
      <c r="AI60"/>
      <c r="AJ60"/>
      <c r="AK60"/>
      <c r="AL60"/>
      <c r="AM60"/>
      <c r="AN60"/>
      <c r="AO60"/>
      <c r="AP60"/>
      <c r="AQ60"/>
      <c r="AR60"/>
      <c r="AS60"/>
      <c r="AT60"/>
      <c r="AU60"/>
      <c r="AV60"/>
      <c r="AW60"/>
      <c r="AX60"/>
      <c r="AY60"/>
      <c r="AZ60"/>
    </row>
    <row r="61" spans="1:52" ht="14.5" customHeight="1">
      <c r="A61" s="34"/>
      <c r="B61" s="38" t="s">
        <v>83</v>
      </c>
      <c r="C61" s="110" t="s">
        <v>220</v>
      </c>
      <c r="D61" s="110"/>
      <c r="E61" s="110"/>
      <c r="F61" s="110" t="s">
        <v>216</v>
      </c>
      <c r="G61" s="110"/>
      <c r="H61" s="34"/>
      <c r="I61" s="34"/>
      <c r="J61" s="34"/>
      <c r="K61" s="34"/>
      <c r="L61" s="34"/>
      <c r="M61" s="34"/>
      <c r="N61" s="34"/>
      <c r="O61" s="34"/>
      <c r="P61" s="34"/>
      <c r="Q61"/>
      <c r="R61"/>
      <c r="S61"/>
      <c r="T61"/>
      <c r="U61"/>
      <c r="V61"/>
      <c r="W61"/>
      <c r="X61"/>
      <c r="Y61"/>
      <c r="Z61"/>
      <c r="AA61"/>
      <c r="AB61"/>
      <c r="AC61"/>
      <c r="AD61"/>
      <c r="AE61"/>
      <c r="AF61"/>
      <c r="AG61"/>
      <c r="AH61"/>
      <c r="AI61"/>
      <c r="AJ61"/>
      <c r="AK61"/>
      <c r="AL61"/>
      <c r="AM61"/>
      <c r="AN61"/>
      <c r="AO61"/>
      <c r="AP61"/>
      <c r="AQ61"/>
      <c r="AR61"/>
      <c r="AS61"/>
      <c r="AT61"/>
      <c r="AU61"/>
      <c r="AV61"/>
      <c r="AW61"/>
      <c r="AX61"/>
      <c r="AY61"/>
      <c r="AZ61"/>
    </row>
    <row r="62" spans="1:52" ht="14.5" customHeight="1">
      <c r="A62" s="34"/>
      <c r="B62" s="39">
        <v>1</v>
      </c>
      <c r="C62" s="105" t="s">
        <v>519</v>
      </c>
      <c r="D62" s="105"/>
      <c r="E62" s="105"/>
      <c r="F62" s="105" t="s">
        <v>456</v>
      </c>
      <c r="G62" s="105"/>
      <c r="H62" s="34"/>
      <c r="I62" s="34"/>
      <c r="J62" s="34"/>
      <c r="K62" s="34"/>
      <c r="L62" s="34"/>
      <c r="M62" s="34"/>
      <c r="N62" s="34"/>
      <c r="O62" s="34"/>
      <c r="P62" s="34"/>
      <c r="Q62"/>
      <c r="R62"/>
      <c r="S62"/>
      <c r="T62"/>
      <c r="U62"/>
      <c r="V62"/>
      <c r="W62"/>
      <c r="X62"/>
      <c r="Y62"/>
      <c r="Z62"/>
      <c r="AA62"/>
      <c r="AB62"/>
      <c r="AC62"/>
      <c r="AD62"/>
      <c r="AE62"/>
      <c r="AF62"/>
      <c r="AG62"/>
      <c r="AH62"/>
      <c r="AI62"/>
      <c r="AJ62"/>
      <c r="AK62"/>
      <c r="AL62"/>
      <c r="AM62"/>
      <c r="AN62"/>
      <c r="AO62"/>
      <c r="AP62"/>
      <c r="AQ62"/>
      <c r="AR62"/>
      <c r="AS62"/>
      <c r="AT62"/>
      <c r="AU62"/>
      <c r="AV62"/>
      <c r="AW62"/>
      <c r="AX62"/>
      <c r="AY62"/>
      <c r="AZ62"/>
    </row>
    <row r="63" spans="1:52" ht="14.5" customHeight="1">
      <c r="A63" s="34"/>
      <c r="B63" s="39">
        <v>2</v>
      </c>
      <c r="C63" s="105" t="s">
        <v>520</v>
      </c>
      <c r="D63" s="105"/>
      <c r="E63" s="105"/>
      <c r="F63" s="105" t="s">
        <v>456</v>
      </c>
      <c r="G63" s="105"/>
      <c r="H63" s="34"/>
      <c r="I63" s="34"/>
      <c r="J63" s="34"/>
      <c r="K63" s="34"/>
      <c r="L63" s="34"/>
      <c r="M63" s="34"/>
      <c r="N63" s="34"/>
      <c r="O63" s="34"/>
      <c r="P63" s="34"/>
      <c r="Q63"/>
      <c r="R63"/>
      <c r="S63"/>
      <c r="T63"/>
      <c r="U63"/>
      <c r="V63"/>
      <c r="W63"/>
      <c r="X63"/>
      <c r="Y63"/>
      <c r="Z63"/>
      <c r="AA63"/>
      <c r="AB63"/>
      <c r="AC63"/>
      <c r="AD63"/>
      <c r="AE63"/>
      <c r="AF63"/>
      <c r="AG63"/>
      <c r="AH63"/>
      <c r="AI63"/>
      <c r="AJ63"/>
      <c r="AK63"/>
      <c r="AL63"/>
      <c r="AM63"/>
      <c r="AN63"/>
      <c r="AO63"/>
      <c r="AP63"/>
      <c r="AQ63"/>
      <c r="AR63"/>
      <c r="AS63"/>
      <c r="AT63"/>
      <c r="AU63"/>
      <c r="AV63"/>
      <c r="AW63"/>
      <c r="AX63"/>
      <c r="AY63"/>
      <c r="AZ63"/>
    </row>
    <row r="64" spans="1:52" ht="14.5" customHeight="1">
      <c r="A64" s="34"/>
      <c r="B64" s="39">
        <v>3</v>
      </c>
      <c r="C64" s="105" t="s">
        <v>521</v>
      </c>
      <c r="D64" s="105"/>
      <c r="E64" s="105"/>
      <c r="F64" s="105" t="s">
        <v>456</v>
      </c>
      <c r="G64" s="105"/>
      <c r="H64" s="34"/>
      <c r="I64" s="34"/>
      <c r="J64" s="34"/>
      <c r="K64" s="34"/>
      <c r="L64" s="34"/>
      <c r="M64" s="34"/>
      <c r="N64" s="34"/>
      <c r="O64" s="34"/>
      <c r="P64" s="3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row>
    <row r="65" spans="1:52" ht="14.5" customHeight="1">
      <c r="A65" s="34"/>
      <c r="B65" s="39">
        <v>4</v>
      </c>
      <c r="C65" s="105" t="s">
        <v>522</v>
      </c>
      <c r="D65" s="105"/>
      <c r="E65" s="105"/>
      <c r="F65" s="105" t="s">
        <v>456</v>
      </c>
      <c r="G65" s="105"/>
      <c r="H65" s="34"/>
      <c r="I65" s="34"/>
      <c r="J65" s="34"/>
      <c r="K65" s="34"/>
      <c r="L65" s="34"/>
      <c r="M65" s="34"/>
      <c r="N65" s="34"/>
      <c r="O65" s="34"/>
      <c r="P65" s="34"/>
      <c r="Q65"/>
      <c r="R65"/>
      <c r="S65"/>
      <c r="T65"/>
      <c r="U65"/>
      <c r="V65"/>
      <c r="W65"/>
      <c r="X65"/>
      <c r="Y65"/>
      <c r="Z65"/>
      <c r="AA65"/>
      <c r="AB65"/>
      <c r="AC65"/>
      <c r="AD65"/>
      <c r="AE65"/>
      <c r="AF65"/>
      <c r="AG65"/>
      <c r="AH65"/>
      <c r="AI65"/>
      <c r="AJ65"/>
      <c r="AK65"/>
      <c r="AL65"/>
      <c r="AM65"/>
      <c r="AN65"/>
      <c r="AO65"/>
      <c r="AP65"/>
      <c r="AQ65"/>
      <c r="AR65"/>
      <c r="AS65"/>
      <c r="AT65"/>
      <c r="AU65"/>
      <c r="AV65"/>
      <c r="AW65"/>
      <c r="AX65"/>
      <c r="AY65"/>
      <c r="AZ65"/>
    </row>
    <row r="66" spans="1:52" ht="14.5" customHeight="1">
      <c r="A66" s="34"/>
      <c r="B66" s="39">
        <v>5</v>
      </c>
      <c r="C66" s="105" t="s">
        <v>523</v>
      </c>
      <c r="D66" s="105"/>
      <c r="E66" s="105"/>
      <c r="F66" s="105" t="s">
        <v>456</v>
      </c>
      <c r="G66" s="105"/>
      <c r="H66" s="34"/>
      <c r="I66" s="34"/>
      <c r="J66" s="34"/>
      <c r="K66" s="34"/>
      <c r="L66" s="34"/>
      <c r="M66" s="34"/>
      <c r="N66" s="34"/>
      <c r="O66" s="34"/>
      <c r="P66" s="34"/>
      <c r="Q66"/>
      <c r="R66"/>
      <c r="S66"/>
      <c r="T66"/>
      <c r="U66"/>
      <c r="V66"/>
      <c r="W66"/>
      <c r="X66"/>
      <c r="Y66"/>
      <c r="Z66"/>
      <c r="AA66"/>
      <c r="AB66"/>
      <c r="AC66"/>
      <c r="AD66"/>
      <c r="AE66"/>
      <c r="AF66"/>
      <c r="AG66"/>
      <c r="AH66"/>
      <c r="AI66"/>
      <c r="AJ66"/>
      <c r="AK66"/>
      <c r="AL66"/>
      <c r="AM66"/>
      <c r="AN66"/>
      <c r="AO66"/>
      <c r="AP66"/>
      <c r="AQ66"/>
      <c r="AR66"/>
      <c r="AS66"/>
      <c r="AT66"/>
      <c r="AU66"/>
      <c r="AV66"/>
      <c r="AW66"/>
      <c r="AX66"/>
      <c r="AY66"/>
      <c r="AZ66"/>
    </row>
    <row r="67" spans="1:52" ht="14.5" customHeight="1">
      <c r="A67" s="34"/>
      <c r="B67" s="39">
        <v>6</v>
      </c>
      <c r="C67" s="105" t="s">
        <v>524</v>
      </c>
      <c r="D67" s="105"/>
      <c r="E67" s="105"/>
      <c r="F67" s="105" t="s">
        <v>458</v>
      </c>
      <c r="G67" s="105"/>
      <c r="H67" s="34"/>
      <c r="I67" s="34"/>
      <c r="J67" s="34"/>
      <c r="K67" s="34"/>
      <c r="L67" s="34"/>
      <c r="M67" s="34"/>
      <c r="N67" s="34"/>
      <c r="O67" s="34"/>
      <c r="P67" s="34"/>
      <c r="Q67"/>
      <c r="R67"/>
      <c r="S67"/>
      <c r="T67"/>
      <c r="U67"/>
      <c r="V67"/>
      <c r="W67"/>
      <c r="X67"/>
      <c r="Y67"/>
      <c r="Z67"/>
      <c r="AA67"/>
      <c r="AB67"/>
      <c r="AC67"/>
      <c r="AD67"/>
      <c r="AE67"/>
      <c r="AF67"/>
      <c r="AG67"/>
      <c r="AH67"/>
      <c r="AI67"/>
      <c r="AJ67"/>
      <c r="AK67"/>
      <c r="AL67"/>
      <c r="AM67"/>
      <c r="AN67"/>
      <c r="AO67"/>
      <c r="AP67"/>
      <c r="AQ67"/>
      <c r="AR67"/>
      <c r="AS67"/>
      <c r="AT67"/>
      <c r="AU67"/>
      <c r="AV67"/>
      <c r="AW67"/>
      <c r="AX67"/>
      <c r="AY67"/>
      <c r="AZ67"/>
    </row>
    <row r="68" spans="1:52" ht="14.5" customHeight="1">
      <c r="A68" s="34"/>
      <c r="B68" s="39">
        <v>7</v>
      </c>
      <c r="C68" s="105" t="s">
        <v>525</v>
      </c>
      <c r="D68" s="105"/>
      <c r="E68" s="105"/>
      <c r="F68" s="105" t="s">
        <v>458</v>
      </c>
      <c r="G68" s="105"/>
      <c r="H68" s="34"/>
      <c r="I68" s="34"/>
      <c r="J68" s="34"/>
      <c r="K68" s="34"/>
      <c r="L68" s="34"/>
      <c r="M68" s="34"/>
      <c r="N68" s="34"/>
      <c r="O68" s="34"/>
      <c r="P68" s="34"/>
      <c r="Q68"/>
      <c r="R68"/>
      <c r="S68"/>
      <c r="T68"/>
      <c r="U68"/>
      <c r="V68"/>
      <c r="W68"/>
      <c r="X68"/>
      <c r="Y68"/>
      <c r="Z68"/>
      <c r="AA68"/>
      <c r="AB68"/>
      <c r="AC68"/>
      <c r="AD68"/>
      <c r="AE68"/>
      <c r="AF68"/>
      <c r="AG68"/>
      <c r="AH68"/>
      <c r="AI68"/>
      <c r="AJ68"/>
      <c r="AK68"/>
      <c r="AL68"/>
      <c r="AM68"/>
      <c r="AN68"/>
      <c r="AO68"/>
      <c r="AP68"/>
      <c r="AQ68"/>
      <c r="AR68"/>
      <c r="AS68"/>
      <c r="AT68"/>
      <c r="AU68"/>
      <c r="AV68"/>
      <c r="AW68"/>
      <c r="AX68"/>
      <c r="AY68"/>
      <c r="AZ68"/>
    </row>
    <row r="69" spans="1:52" ht="14.5" customHeight="1">
      <c r="A69" s="34"/>
      <c r="B69" s="39">
        <v>8</v>
      </c>
      <c r="C69" s="105" t="s">
        <v>526</v>
      </c>
      <c r="D69" s="105"/>
      <c r="E69" s="105"/>
      <c r="F69" s="105" t="s">
        <v>473</v>
      </c>
      <c r="G69" s="105"/>
      <c r="H69" s="34"/>
      <c r="I69" s="34"/>
      <c r="J69" s="34"/>
      <c r="K69" s="34"/>
      <c r="L69" s="34"/>
      <c r="M69" s="34"/>
      <c r="N69" s="34"/>
      <c r="O69" s="34"/>
      <c r="P69" s="34"/>
      <c r="Q69"/>
      <c r="R69"/>
      <c r="S69"/>
      <c r="T69"/>
      <c r="U69"/>
      <c r="V69"/>
      <c r="W69"/>
      <c r="X69"/>
      <c r="Y69"/>
      <c r="Z69"/>
      <c r="AA69"/>
      <c r="AB69"/>
      <c r="AC69"/>
      <c r="AD69"/>
      <c r="AE69"/>
      <c r="AF69"/>
      <c r="AG69"/>
      <c r="AH69"/>
      <c r="AI69"/>
      <c r="AJ69"/>
      <c r="AK69"/>
      <c r="AL69"/>
      <c r="AM69"/>
      <c r="AN69"/>
      <c r="AO69"/>
      <c r="AP69"/>
      <c r="AQ69"/>
      <c r="AR69"/>
      <c r="AS69"/>
      <c r="AT69"/>
      <c r="AU69"/>
      <c r="AV69"/>
      <c r="AW69"/>
      <c r="AX69"/>
      <c r="AY69"/>
      <c r="AZ69"/>
    </row>
    <row r="70" spans="1:52" ht="14.5" customHeight="1">
      <c r="A70" s="34"/>
      <c r="B70" s="39">
        <v>9</v>
      </c>
      <c r="C70" s="105" t="s">
        <v>527</v>
      </c>
      <c r="D70" s="105"/>
      <c r="E70" s="105"/>
      <c r="F70" s="105" t="s">
        <v>473</v>
      </c>
      <c r="G70" s="105"/>
      <c r="H70" s="34"/>
      <c r="I70" s="34"/>
      <c r="J70" s="34"/>
      <c r="K70" s="34"/>
      <c r="L70" s="34"/>
      <c r="M70" s="34"/>
      <c r="N70" s="34"/>
      <c r="O70" s="34"/>
      <c r="P70" s="34"/>
      <c r="Q70"/>
      <c r="R70"/>
      <c r="S70"/>
      <c r="T70"/>
      <c r="U70"/>
      <c r="V70"/>
      <c r="W70"/>
      <c r="X70"/>
      <c r="Y70"/>
      <c r="Z70"/>
      <c r="AA70"/>
      <c r="AB70"/>
      <c r="AC70"/>
      <c r="AD70"/>
      <c r="AE70"/>
      <c r="AF70"/>
      <c r="AG70"/>
      <c r="AH70"/>
      <c r="AI70"/>
      <c r="AJ70"/>
      <c r="AK70"/>
      <c r="AL70"/>
      <c r="AM70"/>
      <c r="AN70"/>
      <c r="AO70"/>
      <c r="AP70"/>
      <c r="AQ70"/>
      <c r="AR70"/>
      <c r="AS70"/>
      <c r="AT70"/>
      <c r="AU70"/>
      <c r="AV70"/>
      <c r="AW70"/>
      <c r="AX70"/>
      <c r="AY70"/>
      <c r="AZ70"/>
    </row>
    <row r="71" spans="1:52" ht="15" customHeight="1">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row>
    <row r="72" spans="1:52" ht="15" customHeight="1">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row>
    <row r="73" spans="1:52" ht="15.5" customHeight="1">
      <c r="A73"/>
      <c r="B73" s="109" t="s">
        <v>445</v>
      </c>
      <c r="C73" s="109"/>
      <c r="D73" s="109"/>
      <c r="E73" s="109"/>
      <c r="F73" s="109"/>
      <c r="G73" s="109"/>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row>
    <row r="74" spans="1:52" ht="14.5" customHeight="1">
      <c r="A74"/>
      <c r="B74" s="38" t="s">
        <v>83</v>
      </c>
      <c r="C74" s="110" t="s">
        <v>220</v>
      </c>
      <c r="D74" s="110"/>
      <c r="E74" s="110"/>
      <c r="F74" s="110" t="s">
        <v>216</v>
      </c>
      <c r="G74" s="110"/>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row>
    <row r="75" spans="1:52" ht="14.5" customHeight="1">
      <c r="A75"/>
      <c r="B75" s="39">
        <v>1</v>
      </c>
      <c r="C75" s="105" t="s">
        <v>528</v>
      </c>
      <c r="D75" s="105"/>
      <c r="E75" s="105"/>
      <c r="F75" s="105" t="s">
        <v>458</v>
      </c>
      <c r="G75" s="10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row>
    <row r="76" spans="1:52" ht="14.5" customHeight="1">
      <c r="A76"/>
      <c r="B76" s="39">
        <v>2</v>
      </c>
      <c r="C76" s="105" t="s">
        <v>529</v>
      </c>
      <c r="D76" s="105"/>
      <c r="E76" s="105"/>
      <c r="F76" s="105" t="s">
        <v>458</v>
      </c>
      <c r="G76" s="105"/>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row>
    <row r="77" spans="1:52" ht="14.5" customHeight="1">
      <c r="A77"/>
      <c r="B77" s="39">
        <v>3</v>
      </c>
      <c r="C77" s="105" t="s">
        <v>530</v>
      </c>
      <c r="D77" s="105"/>
      <c r="E77" s="105"/>
      <c r="F77" s="105" t="s">
        <v>473</v>
      </c>
      <c r="G77" s="105"/>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row>
    <row r="78" spans="1:52" ht="14.5" customHeight="1">
      <c r="A78"/>
      <c r="B78" s="39">
        <v>4</v>
      </c>
      <c r="C78" s="105" t="s">
        <v>531</v>
      </c>
      <c r="D78" s="105"/>
      <c r="E78" s="105"/>
      <c r="F78" s="105" t="s">
        <v>473</v>
      </c>
      <c r="G78" s="105"/>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row>
    <row r="79" spans="1:52" ht="14.5" customHeight="1">
      <c r="A79"/>
      <c r="B79" s="39">
        <v>5</v>
      </c>
      <c r="C79" s="105" t="s">
        <v>532</v>
      </c>
      <c r="D79" s="105"/>
      <c r="E79" s="105"/>
      <c r="F79" s="105" t="s">
        <v>473</v>
      </c>
      <c r="G79" s="105"/>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row>
    <row r="80" spans="1:52" ht="14.5" customHeight="1">
      <c r="A80"/>
      <c r="B80" s="39">
        <v>6</v>
      </c>
      <c r="C80" s="105" t="s">
        <v>533</v>
      </c>
      <c r="D80" s="105"/>
      <c r="E80" s="105"/>
      <c r="F80" s="105" t="s">
        <v>473</v>
      </c>
      <c r="G80" s="105"/>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row>
    <row r="81" spans="1:52" ht="14.5" customHeight="1">
      <c r="A81"/>
      <c r="B81" s="39">
        <v>7</v>
      </c>
      <c r="C81" s="105" t="s">
        <v>534</v>
      </c>
      <c r="D81" s="105"/>
      <c r="E81" s="105"/>
      <c r="F81" s="105" t="s">
        <v>473</v>
      </c>
      <c r="G81" s="105"/>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row>
    <row r="82" spans="1:52" ht="14.5" customHeight="1">
      <c r="A82"/>
      <c r="B82" s="39">
        <v>8</v>
      </c>
      <c r="C82" s="105" t="s">
        <v>535</v>
      </c>
      <c r="D82" s="105"/>
      <c r="E82" s="105"/>
      <c r="F82" s="105" t="s">
        <v>473</v>
      </c>
      <c r="G82" s="105"/>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row>
    <row r="83" spans="1:52" ht="14.5" customHeight="1">
      <c r="A83"/>
      <c r="B83" s="39">
        <v>9</v>
      </c>
      <c r="C83" s="105" t="s">
        <v>536</v>
      </c>
      <c r="D83" s="105"/>
      <c r="E83" s="105"/>
      <c r="F83" s="105" t="s">
        <v>473</v>
      </c>
      <c r="G83" s="105"/>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row>
    <row r="84" spans="1:52" ht="1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row>
    <row r="85" spans="1:52" ht="1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row>
    <row r="86" spans="1:52" ht="15.5" customHeight="1">
      <c r="A86"/>
      <c r="B86" s="109" t="s">
        <v>446</v>
      </c>
      <c r="C86" s="109"/>
      <c r="D86" s="109"/>
      <c r="E86" s="109"/>
      <c r="F86" s="109"/>
      <c r="G86" s="109"/>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row>
    <row r="87" spans="1:52" ht="14.5" customHeight="1">
      <c r="A87"/>
      <c r="B87" s="38" t="s">
        <v>83</v>
      </c>
      <c r="C87" s="110" t="s">
        <v>220</v>
      </c>
      <c r="D87" s="110"/>
      <c r="E87" s="110"/>
      <c r="F87" s="110" t="s">
        <v>216</v>
      </c>
      <c r="G87" s="110"/>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row>
    <row r="88" spans="1:52" ht="14.5" customHeight="1">
      <c r="A88"/>
      <c r="B88" s="39">
        <v>1</v>
      </c>
      <c r="C88" s="105" t="s">
        <v>537</v>
      </c>
      <c r="D88" s="105"/>
      <c r="E88" s="105"/>
      <c r="F88" s="105" t="s">
        <v>473</v>
      </c>
      <c r="G88" s="105"/>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row>
    <row r="89" spans="1:52" ht="14.5" customHeight="1">
      <c r="A89"/>
      <c r="B89" s="39">
        <v>2</v>
      </c>
      <c r="C89" s="105" t="s">
        <v>538</v>
      </c>
      <c r="D89" s="105"/>
      <c r="E89" s="105"/>
      <c r="F89" s="105" t="s">
        <v>473</v>
      </c>
      <c r="G89" s="105"/>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row>
    <row r="90" spans="1:52" ht="14.5" customHeight="1">
      <c r="A90"/>
      <c r="B90" s="39">
        <v>3</v>
      </c>
      <c r="C90" s="105" t="s">
        <v>539</v>
      </c>
      <c r="D90" s="105"/>
      <c r="E90" s="105"/>
      <c r="F90" s="105" t="s">
        <v>473</v>
      </c>
      <c r="G90" s="105"/>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row>
    <row r="91" spans="1:52" ht="14.5" customHeight="1">
      <c r="A91"/>
      <c r="B91" s="39">
        <v>4</v>
      </c>
      <c r="C91" s="105" t="s">
        <v>540</v>
      </c>
      <c r="D91" s="105"/>
      <c r="E91" s="105"/>
      <c r="F91" s="105" t="s">
        <v>473</v>
      </c>
      <c r="G91" s="105"/>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row>
    <row r="92" spans="1:52" ht="14.5" customHeight="1">
      <c r="A92"/>
      <c r="B92" s="39">
        <v>5</v>
      </c>
      <c r="C92" s="105" t="s">
        <v>541</v>
      </c>
      <c r="D92" s="105"/>
      <c r="E92" s="105"/>
      <c r="F92" s="105" t="s">
        <v>473</v>
      </c>
      <c r="G92" s="105"/>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row>
    <row r="93" spans="1:52" ht="14.5" customHeight="1">
      <c r="A93"/>
      <c r="B93" s="39">
        <v>6</v>
      </c>
      <c r="C93" s="105" t="s">
        <v>542</v>
      </c>
      <c r="D93" s="105"/>
      <c r="E93" s="105"/>
      <c r="F93" s="105" t="s">
        <v>473</v>
      </c>
      <c r="G93" s="105"/>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row>
    <row r="94" spans="1:52" ht="14.5" customHeight="1">
      <c r="A94"/>
      <c r="B94" s="39">
        <v>7</v>
      </c>
      <c r="C94" s="105" t="s">
        <v>543</v>
      </c>
      <c r="D94" s="105"/>
      <c r="E94" s="105"/>
      <c r="F94" s="105" t="s">
        <v>473</v>
      </c>
      <c r="G94" s="105"/>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row>
    <row r="95" spans="1:52" ht="14.5" customHeight="1">
      <c r="A95"/>
      <c r="B95" s="39">
        <v>8</v>
      </c>
      <c r="C95" s="105" t="s">
        <v>544</v>
      </c>
      <c r="D95" s="105"/>
      <c r="E95" s="105"/>
      <c r="F95" s="105" t="s">
        <v>473</v>
      </c>
      <c r="G95" s="10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row>
    <row r="96" spans="1:52" ht="14.5" customHeight="1">
      <c r="A96"/>
      <c r="B96" s="39">
        <v>9</v>
      </c>
      <c r="C96" s="105" t="s">
        <v>545</v>
      </c>
      <c r="D96" s="105"/>
      <c r="E96" s="105"/>
      <c r="F96" s="105" t="s">
        <v>473</v>
      </c>
      <c r="G96" s="105"/>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row>
    <row r="97" spans="1:52" ht="1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row>
    <row r="98" spans="1:52" ht="1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row>
    <row r="99" spans="1:52" ht="1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row>
    <row r="100" spans="1:52" ht="1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row>
    <row r="101" spans="1:52" ht="1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row>
    <row r="102" spans="1:52" ht="1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row>
    <row r="103" spans="1:52" ht="1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row>
    <row r="104" spans="1:52" ht="1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row>
    <row r="105" spans="1:52" ht="1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row>
    <row r="106" spans="1:52" ht="1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row>
    <row r="107" spans="1:52" ht="1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row>
    <row r="108" spans="1:52" ht="1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row>
    <row r="109" spans="1:52" ht="1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row>
    <row r="110" spans="1:52" ht="1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52" ht="1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52" ht="1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52" ht="1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52" ht="1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52" ht="1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52" ht="1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52" ht="1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row>
    <row r="118" spans="1:52" ht="1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52" ht="1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row>
    <row r="120" spans="1:52" ht="1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row>
    <row r="121" spans="1:52" ht="1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row>
    <row r="122" spans="1:52" ht="1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row>
    <row r="123" spans="1:52" ht="1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row>
    <row r="124" spans="1:52" ht="1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row>
    <row r="125" spans="1:52" ht="1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row>
    <row r="126" spans="1:52" ht="1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row>
    <row r="127" spans="1:52" ht="1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row>
    <row r="128" spans="1:52" ht="1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row>
    <row r="129" spans="1:52" ht="1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row>
    <row r="130" spans="1:52" ht="1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row>
    <row r="131" spans="1:52" ht="1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row>
    <row r="132" spans="1:52" ht="1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row>
    <row r="133" spans="1:52" ht="1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row>
    <row r="134" spans="1:52" ht="1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row>
    <row r="135" spans="1:52" ht="1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row>
    <row r="136" spans="1:52" ht="1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row>
    <row r="137" spans="1:52" ht="1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row>
    <row r="138" spans="1:52" ht="1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row>
    <row r="139" spans="1:52" ht="1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row>
    <row r="140" spans="1:52" ht="1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row>
    <row r="141" spans="1:52" ht="1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row>
    <row r="142" spans="1:52" ht="1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row>
    <row r="143" spans="1:52" ht="1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row>
    <row r="144" spans="1:52" ht="1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row>
    <row r="145" spans="1:52" ht="1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row>
    <row r="146" spans="1:52" ht="1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row>
    <row r="147" spans="1:52" ht="1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row>
    <row r="148" spans="1:52" ht="1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row>
    <row r="149" spans="1:52" ht="1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row>
    <row r="150" spans="1:52" ht="1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row>
    <row r="151" spans="1:52" ht="1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row>
    <row r="152" spans="1:52" ht="1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row>
    <row r="153" spans="1:52" ht="1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row>
    <row r="154" spans="1:52" ht="1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row>
    <row r="155" spans="1:52" ht="1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row>
    <row r="156" spans="1:52" ht="1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row>
    <row r="157" spans="1:52" ht="1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row>
    <row r="158" spans="1:52" ht="1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row>
    <row r="159" spans="1:52" ht="1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row>
    <row r="160" spans="1:52" ht="1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row>
    <row r="161" spans="1:52" ht="1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row>
    <row r="162" spans="1:52" ht="1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row>
    <row r="163" spans="1:52" ht="1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row>
    <row r="164" spans="1:52" ht="1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row>
    <row r="165" spans="1:52" ht="1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row>
    <row r="166" spans="1:52" ht="1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row>
    <row r="167" spans="1:52" ht="1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row>
    <row r="168" spans="1:52" ht="1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row>
    <row r="169" spans="1:52" ht="1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row>
    <row r="170" spans="1:52" ht="1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row>
    <row r="171" spans="1:52" ht="1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row>
    <row r="172" spans="1:52" ht="1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row>
    <row r="173" spans="1:52" ht="1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row>
    <row r="174" spans="1:52" ht="1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row>
    <row r="175" spans="1:52" ht="1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row>
    <row r="176" spans="1:52" ht="1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row>
    <row r="177" spans="1:52" ht="1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row>
    <row r="178" spans="1:52" ht="1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row>
    <row r="179" spans="1:52" ht="1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row>
    <row r="180" spans="1:52" ht="1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row>
    <row r="181" spans="1:52" ht="1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row>
    <row r="182" spans="1:52" ht="1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row>
    <row r="183" spans="1:52" ht="1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row>
    <row r="184" spans="1:52" ht="1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row>
    <row r="185" spans="1:52" ht="1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row>
    <row r="186" spans="1:52" ht="1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row>
    <row r="187" spans="1:52" ht="1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row>
    <row r="188" spans="1:52" ht="1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row>
    <row r="189" spans="1:52" ht="1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row>
    <row r="190" spans="1:52" ht="1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row>
    <row r="191" spans="1:52" ht="1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row>
    <row r="192" spans="1:52" ht="1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row>
    <row r="193" spans="1:52" ht="1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row>
    <row r="194" spans="1:52" ht="1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row>
    <row r="195" spans="1:52" ht="1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row>
    <row r="196" spans="1:52" ht="1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row>
    <row r="197" spans="1:52" ht="1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row>
    <row r="198" spans="1:52" ht="1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row>
    <row r="199" spans="1:52" ht="1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row>
    <row r="200" spans="1:52" ht="1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row>
  </sheetData>
  <mergeCells count="82">
    <mergeCell ref="F95:G95"/>
    <mergeCell ref="F96:G96"/>
    <mergeCell ref="F90:G90"/>
    <mergeCell ref="F91:G91"/>
    <mergeCell ref="F92:G92"/>
    <mergeCell ref="F93:G93"/>
    <mergeCell ref="F94:G94"/>
    <mergeCell ref="C95:E95"/>
    <mergeCell ref="C96:E96"/>
    <mergeCell ref="B73:G73"/>
    <mergeCell ref="F74:G74"/>
    <mergeCell ref="F75:G75"/>
    <mergeCell ref="F76:G76"/>
    <mergeCell ref="F77:G77"/>
    <mergeCell ref="F78:G78"/>
    <mergeCell ref="F79:G79"/>
    <mergeCell ref="F80:G80"/>
    <mergeCell ref="F81:G81"/>
    <mergeCell ref="F82:G82"/>
    <mergeCell ref="F83:G83"/>
    <mergeCell ref="B86:G86"/>
    <mergeCell ref="F87:G87"/>
    <mergeCell ref="F88:G88"/>
    <mergeCell ref="C90:E90"/>
    <mergeCell ref="C91:E91"/>
    <mergeCell ref="C92:E92"/>
    <mergeCell ref="C93:E93"/>
    <mergeCell ref="C94:E94"/>
    <mergeCell ref="C83:E83"/>
    <mergeCell ref="C87:E87"/>
    <mergeCell ref="C88:E88"/>
    <mergeCell ref="C89:E89"/>
    <mergeCell ref="F89:G89"/>
    <mergeCell ref="C78:E78"/>
    <mergeCell ref="C79:E79"/>
    <mergeCell ref="C80:E80"/>
    <mergeCell ref="C81:E81"/>
    <mergeCell ref="C82:E82"/>
    <mergeCell ref="C74:E74"/>
    <mergeCell ref="C75:E75"/>
    <mergeCell ref="C76:E76"/>
    <mergeCell ref="C77:E77"/>
    <mergeCell ref="C69:E69"/>
    <mergeCell ref="F69:G69"/>
    <mergeCell ref="C70:E70"/>
    <mergeCell ref="F70:G70"/>
    <mergeCell ref="C66:E66"/>
    <mergeCell ref="F66:G66"/>
    <mergeCell ref="C67:E67"/>
    <mergeCell ref="F67:G67"/>
    <mergeCell ref="C68:E68"/>
    <mergeCell ref="F68:G68"/>
    <mergeCell ref="C63:E63"/>
    <mergeCell ref="F63:G63"/>
    <mergeCell ref="C64:E64"/>
    <mergeCell ref="F64:G64"/>
    <mergeCell ref="C65:E65"/>
    <mergeCell ref="F65:G65"/>
    <mergeCell ref="B60:G60"/>
    <mergeCell ref="C61:E61"/>
    <mergeCell ref="F61:G61"/>
    <mergeCell ref="C62:E62"/>
    <mergeCell ref="F62:G62"/>
    <mergeCell ref="A49:A57"/>
    <mergeCell ref="G49:G57"/>
    <mergeCell ref="A4:A12"/>
    <mergeCell ref="G4:G12"/>
    <mergeCell ref="A13:A21"/>
    <mergeCell ref="A40:A48"/>
    <mergeCell ref="G40:G48"/>
    <mergeCell ref="A31:A39"/>
    <mergeCell ref="G31:G39"/>
    <mergeCell ref="G13:G21"/>
    <mergeCell ref="A22:A30"/>
    <mergeCell ref="G22:G30"/>
    <mergeCell ref="F40:F48"/>
    <mergeCell ref="F49:F57"/>
    <mergeCell ref="A1:G1"/>
    <mergeCell ref="F4:F12"/>
    <mergeCell ref="F13:F21"/>
    <mergeCell ref="F22:F30"/>
    <mergeCell ref="F31:F3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CFB7-925E-4662-B8FA-499E3132560E}">
  <dimension ref="A1:Q200"/>
  <sheetViews>
    <sheetView showGridLines="0" rightToLeft="1" workbookViewId="0">
      <pane ySplit="3" topLeftCell="A41" activePane="bottomLeft" state="frozen"/>
      <selection pane="bottomLeft" activeCell="F53" sqref="C53:G63"/>
    </sheetView>
  </sheetViews>
  <sheetFormatPr defaultRowHeight="14.5"/>
  <cols>
    <col min="1" max="1" width="10.90625" customWidth="1"/>
    <col min="2" max="2" width="17.26953125" customWidth="1"/>
    <col min="3" max="6" width="14.54296875" customWidth="1"/>
    <col min="7" max="8" width="15.453125" customWidth="1"/>
    <col min="9" max="9" width="4.54296875" customWidth="1"/>
    <col min="10" max="10" width="27.26953125" customWidth="1"/>
    <col min="11" max="11" width="4.54296875" customWidth="1"/>
    <col min="12" max="17" width="13.6328125" customWidth="1"/>
    <col min="18" max="52" width="11.6328125" customWidth="1"/>
  </cols>
  <sheetData>
    <row r="1" spans="1:17" ht="26" customHeight="1">
      <c r="A1" s="111" t="s">
        <v>227</v>
      </c>
      <c r="B1" s="111"/>
      <c r="C1" s="111"/>
      <c r="D1" s="111"/>
      <c r="E1" s="111"/>
      <c r="F1" s="111"/>
      <c r="G1" s="111"/>
      <c r="H1" s="111"/>
      <c r="I1" s="34"/>
      <c r="J1" s="34"/>
      <c r="K1" s="34"/>
      <c r="L1" s="34"/>
      <c r="M1" s="34"/>
      <c r="N1" s="34"/>
      <c r="O1" s="34"/>
      <c r="P1" s="34"/>
      <c r="Q1" s="34"/>
    </row>
    <row r="2" spans="1:17" ht="8" customHeight="1">
      <c r="A2" s="34"/>
      <c r="B2" s="34"/>
      <c r="C2" s="34"/>
      <c r="D2" s="34"/>
      <c r="E2" s="34"/>
      <c r="F2" s="34"/>
      <c r="G2" s="34"/>
      <c r="H2" s="34"/>
      <c r="I2" s="34"/>
      <c r="J2" s="34"/>
      <c r="K2" s="34"/>
      <c r="L2" s="34"/>
      <c r="M2" s="34"/>
      <c r="N2" s="34"/>
      <c r="O2" s="34"/>
      <c r="P2" s="34"/>
      <c r="Q2" s="34"/>
    </row>
    <row r="3" spans="1:17" ht="32" customHeight="1">
      <c r="A3" s="35" t="s">
        <v>0</v>
      </c>
      <c r="B3" s="35" t="s">
        <v>1</v>
      </c>
      <c r="C3" s="35" t="s">
        <v>2</v>
      </c>
      <c r="D3" s="35" t="s">
        <v>3</v>
      </c>
      <c r="E3" s="35" t="s">
        <v>4</v>
      </c>
      <c r="F3" s="35" t="s">
        <v>12</v>
      </c>
      <c r="G3" s="35" t="s">
        <v>138</v>
      </c>
      <c r="H3" s="35" t="s">
        <v>81</v>
      </c>
      <c r="I3" s="34"/>
      <c r="J3" s="43" t="s">
        <v>244</v>
      </c>
      <c r="K3" s="34"/>
      <c r="L3" s="35" t="s">
        <v>245</v>
      </c>
      <c r="M3" s="35" t="s">
        <v>246</v>
      </c>
      <c r="N3" s="35" t="s">
        <v>247</v>
      </c>
      <c r="O3" s="35" t="s">
        <v>145</v>
      </c>
      <c r="P3" s="35" t="s">
        <v>146</v>
      </c>
      <c r="Q3" s="35" t="s">
        <v>248</v>
      </c>
    </row>
    <row r="4" spans="1:17"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33</v>
      </c>
      <c r="D4" s="37" t="s">
        <v>67</v>
      </c>
      <c r="E4" s="37"/>
      <c r="F4" s="37"/>
      <c r="G4" s="107">
        <f>COUNTIF(C4:F12,"* ضد *")</f>
        <v>22</v>
      </c>
      <c r="H4" s="108">
        <f>COUNTIF(C4:F12,"* ضد *")*2/11</f>
        <v>4</v>
      </c>
      <c r="I4" s="34"/>
      <c r="J4" s="44" t="str">
        <f t="shared" ref="J4:J48" si="0">_xlfn.TEXTJOIN(" ",TRUE,C4:F4)</f>
        <v>6 ضد 7 8 ضد 9</v>
      </c>
      <c r="K4" s="34"/>
      <c r="L4" s="39">
        <v>1</v>
      </c>
      <c r="M4" s="39" cm="1">
        <f t="array" ref="M4">SUMPRODUCT(--ISNUMBER(SEARCH(" "&amp;$L4&amp;" "," "&amp;J$4:J$48&amp;" ")))</f>
        <v>20</v>
      </c>
      <c r="N4" s="39" cm="1">
        <f t="array" ref="N4">SUMPRODUCT(--ISNUMBER(SEARCH(" "&amp;$L4&amp;" "," "&amp;J$4:J$47&amp;" ")),--ISNUMBER(SEARCH(" "&amp;$L4&amp;" "," "&amp;J$5:J$48&amp;" ")),--(MOD(ROW(J$4:J$47)-4,$M$16)&lt;=$M$16-2))</f>
        <v>0</v>
      </c>
      <c r="O4" s="39" cm="1">
        <f t="array" ref="O4">SUMPRODUCT(--ISNUMBER(SEARCH(" "&amp;$L4&amp;" "," "&amp;J$4:J$46&amp;" ")),--ISNUMBER(SEARCH(" "&amp;$L4&amp;" "," "&amp;J$6:J$48&amp;" ")),--(MOD(ROW(J$4:J$46)-4,$M$16)&lt;=$M$16-3))</f>
        <v>13</v>
      </c>
      <c r="P4" s="39" cm="1">
        <f t="array" ref="P4">SUMPRODUCT(--ISNUMBER(SEARCH(" "&amp;$L4&amp;" "," "&amp;J$4:J$45&amp;" ")),--ISNUMBER(SEARCH(" "&amp;$L4&amp;" "," "&amp;J$7:J$48&amp;" ")),--(MOD(ROW(J$4:J$45)-4,$M$16)&lt;=$M$16-4))</f>
        <v>2</v>
      </c>
      <c r="Q4" s="39">
        <f t="shared" ref="Q4:Q14" si="1">M4*3/4-N4-O4-P4</f>
        <v>0</v>
      </c>
    </row>
    <row r="5" spans="1:17"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37" t="s">
        <v>20</v>
      </c>
      <c r="D5" s="37" t="s">
        <v>230</v>
      </c>
      <c r="E5" s="37" t="s">
        <v>36</v>
      </c>
      <c r="F5" s="37"/>
      <c r="G5" s="108"/>
      <c r="H5" s="108"/>
      <c r="I5" s="34"/>
      <c r="J5" s="44" t="str">
        <f t="shared" si="0"/>
        <v>1 ضد 3 2 ضد 10 5 ضد 11</v>
      </c>
      <c r="K5" s="34"/>
      <c r="L5" s="39">
        <v>2</v>
      </c>
      <c r="M5" s="39" cm="1">
        <f t="array" ref="M5">SUMPRODUCT(--ISNUMBER(SEARCH(" "&amp;$L5&amp;" "," "&amp;J$4:J$48&amp;" ")))</f>
        <v>20</v>
      </c>
      <c r="N5" s="39" cm="1">
        <f t="array" ref="N5">SUMPRODUCT(--ISNUMBER(SEARCH(" "&amp;$L5&amp;" "," "&amp;J$4:J$47&amp;" ")),--ISNUMBER(SEARCH(" "&amp;$L5&amp;" "," "&amp;J$5:J$48&amp;" ")),--(MOD(ROW(J$4:J$47)-4,$M$16)&lt;=$M$16-2))</f>
        <v>0</v>
      </c>
      <c r="O5" s="39" cm="1">
        <f t="array" ref="O5">SUMPRODUCT(--ISNUMBER(SEARCH(" "&amp;$L5&amp;" "," "&amp;J$4:J$46&amp;" ")),--ISNUMBER(SEARCH(" "&amp;$L5&amp;" "," "&amp;J$6:J$48&amp;" ")),--(MOD(ROW(J$4:J$46)-4,$M$16)&lt;=$M$16-3))</f>
        <v>12</v>
      </c>
      <c r="P5" s="39" cm="1">
        <f t="array" ref="P5">SUMPRODUCT(--ISNUMBER(SEARCH(" "&amp;$L5&amp;" "," "&amp;J$4:J$45&amp;" ")),--ISNUMBER(SEARCH(" "&amp;$L5&amp;" "," "&amp;J$7:J$48&amp;" ")),--(MOD(ROW(J$4:J$45)-4,$M$16)&lt;=$M$16-4))</f>
        <v>3</v>
      </c>
      <c r="Q5" s="39">
        <f t="shared" si="1"/>
        <v>0</v>
      </c>
    </row>
    <row r="6" spans="1:17"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256</v>
      </c>
      <c r="D6" s="37" t="s">
        <v>34</v>
      </c>
      <c r="E6" s="37"/>
      <c r="F6" s="37"/>
      <c r="G6" s="108"/>
      <c r="H6" s="108"/>
      <c r="I6" s="34"/>
      <c r="J6" s="44" t="str">
        <f t="shared" si="0"/>
        <v>8 ضد 7 4 ضد 9</v>
      </c>
      <c r="K6" s="34"/>
      <c r="L6" s="39">
        <v>3</v>
      </c>
      <c r="M6" s="39" cm="1">
        <f t="array" ref="M6">SUMPRODUCT(--ISNUMBER(SEARCH(" "&amp;$L6&amp;" "," "&amp;J$4:J$48&amp;" ")))</f>
        <v>20</v>
      </c>
      <c r="N6" s="39" cm="1">
        <f t="array" ref="N6">SUMPRODUCT(--ISNUMBER(SEARCH(" "&amp;$L6&amp;" "," "&amp;J$4:J$47&amp;" ")),--ISNUMBER(SEARCH(" "&amp;$L6&amp;" "," "&amp;J$5:J$48&amp;" ")),--(MOD(ROW(J$4:J$47)-4,$M$16)&lt;=$M$16-2))</f>
        <v>0</v>
      </c>
      <c r="O6" s="39" cm="1">
        <f t="array" ref="O6">SUMPRODUCT(--ISNUMBER(SEARCH(" "&amp;$L6&amp;" "," "&amp;J$4:J$46&amp;" ")),--ISNUMBER(SEARCH(" "&amp;$L6&amp;" "," "&amp;J$6:J$48&amp;" ")),--(MOD(ROW(J$4:J$46)-4,$M$16)&lt;=$M$16-3))</f>
        <v>12</v>
      </c>
      <c r="P6" s="39" cm="1">
        <f t="array" ref="P6">SUMPRODUCT(--ISNUMBER(SEARCH(" "&amp;$L6&amp;" "," "&amp;J$4:J$45&amp;" ")),--ISNUMBER(SEARCH(" "&amp;$L6&amp;" "," "&amp;J$7:J$48&amp;" ")),--(MOD(ROW(J$4:J$45)-4,$M$16)&lt;=$M$16-4))</f>
        <v>3</v>
      </c>
      <c r="Q6" s="39">
        <f t="shared" si="1"/>
        <v>0</v>
      </c>
    </row>
    <row r="7" spans="1:17"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37" t="s">
        <v>202</v>
      </c>
      <c r="D7" s="37" t="s">
        <v>62</v>
      </c>
      <c r="E7" s="37" t="s">
        <v>53</v>
      </c>
      <c r="F7" s="37"/>
      <c r="G7" s="108"/>
      <c r="H7" s="108"/>
      <c r="I7" s="34"/>
      <c r="J7" s="44" t="str">
        <f t="shared" si="0"/>
        <v>2 ضد 11 3 ضد 6 5 ضد 10</v>
      </c>
      <c r="K7" s="34"/>
      <c r="L7" s="39">
        <v>4</v>
      </c>
      <c r="M7" s="39" cm="1">
        <f t="array" ref="M7">SUMPRODUCT(--ISNUMBER(SEARCH(" "&amp;$L7&amp;" "," "&amp;J$4:J$48&amp;" ")))</f>
        <v>20</v>
      </c>
      <c r="N7" s="39" cm="1">
        <f t="array" ref="N7">SUMPRODUCT(--ISNUMBER(SEARCH(" "&amp;$L7&amp;" "," "&amp;J$4:J$47&amp;" ")),--ISNUMBER(SEARCH(" "&amp;$L7&amp;" "," "&amp;J$5:J$48&amp;" ")),--(MOD(ROW(J$4:J$47)-4,$M$16)&lt;=$M$16-2))</f>
        <v>0</v>
      </c>
      <c r="O7" s="39" cm="1">
        <f t="array" ref="O7">SUMPRODUCT(--ISNUMBER(SEARCH(" "&amp;$L7&amp;" "," "&amp;J$4:J$46&amp;" ")),--ISNUMBER(SEARCH(" "&amp;$L7&amp;" "," "&amp;J$6:J$48&amp;" ")),--(MOD(ROW(J$4:J$46)-4,$M$16)&lt;=$M$16-3))</f>
        <v>13</v>
      </c>
      <c r="P7" s="39" cm="1">
        <f t="array" ref="P7">SUMPRODUCT(--ISNUMBER(SEARCH(" "&amp;$L7&amp;" "," "&amp;J$4:J$45&amp;" ")),--ISNUMBER(SEARCH(" "&amp;$L7&amp;" "," "&amp;J$7:J$48&amp;" ")),--(MOD(ROW(J$4:J$45)-4,$M$16)&lt;=$M$16-4))</f>
        <v>2</v>
      </c>
      <c r="Q7" s="39">
        <f t="shared" si="1"/>
        <v>0</v>
      </c>
    </row>
    <row r="8" spans="1:17"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161</v>
      </c>
      <c r="D8" s="37" t="s">
        <v>39</v>
      </c>
      <c r="E8" s="37"/>
      <c r="F8" s="37"/>
      <c r="G8" s="108"/>
      <c r="H8" s="108"/>
      <c r="I8" s="34"/>
      <c r="J8" s="44" t="str">
        <f t="shared" si="0"/>
        <v>7 ضد 1 4 ضد 8</v>
      </c>
      <c r="K8" s="34"/>
      <c r="L8" s="39">
        <v>5</v>
      </c>
      <c r="M8" s="39" cm="1">
        <f t="array" ref="M8">SUMPRODUCT(--ISNUMBER(SEARCH(" "&amp;$L8&amp;" "," "&amp;J$4:J$48&amp;" ")))</f>
        <v>20</v>
      </c>
      <c r="N8" s="39" cm="1">
        <f t="array" ref="N8">SUMPRODUCT(--ISNUMBER(SEARCH(" "&amp;$L8&amp;" "," "&amp;J$4:J$47&amp;" ")),--ISNUMBER(SEARCH(" "&amp;$L8&amp;" "," "&amp;J$5:J$48&amp;" ")),--(MOD(ROW(J$4:J$47)-4,$M$16)&lt;=$M$16-2))</f>
        <v>0</v>
      </c>
      <c r="O8" s="39" cm="1">
        <f t="array" ref="O8">SUMPRODUCT(--ISNUMBER(SEARCH(" "&amp;$L8&amp;" "," "&amp;J$4:J$46&amp;" ")),--ISNUMBER(SEARCH(" "&amp;$L8&amp;" "," "&amp;J$6:J$48&amp;" ")),--(MOD(ROW(J$4:J$46)-4,$M$16)&lt;=$M$16-3))</f>
        <v>11</v>
      </c>
      <c r="P8" s="39" cm="1">
        <f t="array" ref="P8">SUMPRODUCT(--ISNUMBER(SEARCH(" "&amp;$L8&amp;" "," "&amp;J$4:J$45&amp;" ")),--ISNUMBER(SEARCH(" "&amp;$L8&amp;" "," "&amp;J$7:J$48&amp;" ")),--(MOD(ROW(J$4:J$45)-4,$M$16)&lt;=$M$16-4))</f>
        <v>4</v>
      </c>
      <c r="Q8" s="39">
        <f t="shared" si="1"/>
        <v>0</v>
      </c>
    </row>
    <row r="9" spans="1:17"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37" t="s">
        <v>177</v>
      </c>
      <c r="D9" s="37" t="s">
        <v>205</v>
      </c>
      <c r="E9" s="37" t="s">
        <v>55</v>
      </c>
      <c r="F9" s="37"/>
      <c r="G9" s="108"/>
      <c r="H9" s="108"/>
      <c r="I9" s="34"/>
      <c r="J9" s="44" t="str">
        <f t="shared" si="0"/>
        <v>11 ضد 3 2 ضد 9 5 ضد 6</v>
      </c>
      <c r="K9" s="34"/>
      <c r="L9" s="39">
        <v>6</v>
      </c>
      <c r="M9" s="39" cm="1">
        <f t="array" ref="M9">SUMPRODUCT(--ISNUMBER(SEARCH(" "&amp;$L9&amp;" "," "&amp;J$4:J$48&amp;" ")))</f>
        <v>20</v>
      </c>
      <c r="N9" s="39" cm="1">
        <f t="array" ref="N9">SUMPRODUCT(--ISNUMBER(SEARCH(" "&amp;$L9&amp;" "," "&amp;J$4:J$47&amp;" ")),--ISNUMBER(SEARCH(" "&amp;$L9&amp;" "," "&amp;J$5:J$48&amp;" ")),--(MOD(ROW(J$4:J$47)-4,$M$16)&lt;=$M$16-2))</f>
        <v>0</v>
      </c>
      <c r="O9" s="39" cm="1">
        <f t="array" ref="O9">SUMPRODUCT(--ISNUMBER(SEARCH(" "&amp;$L9&amp;" "," "&amp;J$4:J$46&amp;" ")),--ISNUMBER(SEARCH(" "&amp;$L9&amp;" "," "&amp;J$6:J$48&amp;" ")),--(MOD(ROW(J$4:J$46)-4,$M$16)&lt;=$M$16-3))</f>
        <v>13</v>
      </c>
      <c r="P9" s="39" cm="1">
        <f t="array" ref="P9">SUMPRODUCT(--ISNUMBER(SEARCH(" "&amp;$L9&amp;" "," "&amp;J$4:J$45&amp;" ")),--ISNUMBER(SEARCH(" "&amp;$L9&amp;" "," "&amp;J$7:J$48&amp;" ")),--(MOD(ROW(J$4:J$45)-4,$M$16)&lt;=$M$16-4))</f>
        <v>2</v>
      </c>
      <c r="Q9" s="39">
        <f t="shared" si="1"/>
        <v>0</v>
      </c>
    </row>
    <row r="10" spans="1:17"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236</v>
      </c>
      <c r="D10" s="37" t="s">
        <v>27</v>
      </c>
      <c r="E10" s="37"/>
      <c r="F10" s="37"/>
      <c r="G10" s="108"/>
      <c r="H10" s="108"/>
      <c r="I10" s="34"/>
      <c r="J10" s="44" t="str">
        <f t="shared" si="0"/>
        <v>4 ضد 1 8 ضد 10</v>
      </c>
      <c r="K10" s="34"/>
      <c r="L10" s="39">
        <v>7</v>
      </c>
      <c r="M10" s="39" cm="1">
        <f t="array" ref="M10">SUMPRODUCT(--ISNUMBER(SEARCH(" "&amp;$L10&amp;" "," "&amp;J$4:J$48&amp;" ")))</f>
        <v>20</v>
      </c>
      <c r="N10" s="39" cm="1">
        <f t="array" ref="N10">SUMPRODUCT(--ISNUMBER(SEARCH(" "&amp;$L10&amp;" "," "&amp;J$4:J$47&amp;" ")),--ISNUMBER(SEARCH(" "&amp;$L10&amp;" "," "&amp;J$5:J$48&amp;" ")),--(MOD(ROW(J$4:J$47)-4,$M$16)&lt;=$M$16-2))</f>
        <v>0</v>
      </c>
      <c r="O10" s="39" cm="1">
        <f t="array" ref="O10">SUMPRODUCT(--ISNUMBER(SEARCH(" "&amp;$L10&amp;" "," "&amp;J$4:J$46&amp;" ")),--ISNUMBER(SEARCH(" "&amp;$L10&amp;" "," "&amp;J$6:J$48&amp;" ")),--(MOD(ROW(J$4:J$46)-4,$M$16)&lt;=$M$16-3))</f>
        <v>12</v>
      </c>
      <c r="P10" s="39" cm="1">
        <f t="array" ref="P10">SUMPRODUCT(--ISNUMBER(SEARCH(" "&amp;$L10&amp;" "," "&amp;J$4:J$45&amp;" ")),--ISNUMBER(SEARCH(" "&amp;$L10&amp;" "," "&amp;J$7:J$48&amp;" ")),--(MOD(ROW(J$4:J$45)-4,$M$16)&lt;=$M$16-4))</f>
        <v>3</v>
      </c>
      <c r="Q10" s="39">
        <f t="shared" si="1"/>
        <v>0</v>
      </c>
    </row>
    <row r="11" spans="1:17" ht="14.5" customHeight="1">
      <c r="A11" s="106"/>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t="s">
        <v>37</v>
      </c>
      <c r="D11" s="37" t="s">
        <v>23</v>
      </c>
      <c r="E11" s="37" t="s">
        <v>65</v>
      </c>
      <c r="F11" s="37"/>
      <c r="G11" s="108"/>
      <c r="H11" s="108"/>
      <c r="I11" s="34"/>
      <c r="J11" s="44" t="str">
        <f t="shared" si="0"/>
        <v>2 ضد 3 6 ضد 9 7 ضد 11</v>
      </c>
      <c r="K11" s="34"/>
      <c r="L11" s="39">
        <v>8</v>
      </c>
      <c r="M11" s="39" cm="1">
        <f t="array" ref="M11">SUMPRODUCT(--ISNUMBER(SEARCH(" "&amp;$L11&amp;" "," "&amp;J$4:J$48&amp;" ")))</f>
        <v>20</v>
      </c>
      <c r="N11" s="39" cm="1">
        <f t="array" ref="N11">SUMPRODUCT(--ISNUMBER(SEARCH(" "&amp;$L11&amp;" "," "&amp;J$4:J$47&amp;" ")),--ISNUMBER(SEARCH(" "&amp;$L11&amp;" "," "&amp;J$5:J$48&amp;" ")),--(MOD(ROW(J$4:J$47)-4,$M$16)&lt;=$M$16-2))</f>
        <v>0</v>
      </c>
      <c r="O11" s="39" cm="1">
        <f t="array" ref="O11">SUMPRODUCT(--ISNUMBER(SEARCH(" "&amp;$L11&amp;" "," "&amp;J$4:J$46&amp;" ")),--ISNUMBER(SEARCH(" "&amp;$L11&amp;" "," "&amp;J$6:J$48&amp;" ")),--(MOD(ROW(J$4:J$46)-4,$M$16)&lt;=$M$16-3))</f>
        <v>13</v>
      </c>
      <c r="P11" s="39" cm="1">
        <f t="array" ref="P11">SUMPRODUCT(--ISNUMBER(SEARCH(" "&amp;$L11&amp;" "," "&amp;J$4:J$45&amp;" ")),--ISNUMBER(SEARCH(" "&amp;$L11&amp;" "," "&amp;J$7:J$48&amp;" ")),--(MOD(ROW(J$4:J$45)-4,$M$16)&lt;=$M$16-4))</f>
        <v>2</v>
      </c>
      <c r="Q11" s="39">
        <f t="shared" si="1"/>
        <v>0</v>
      </c>
    </row>
    <row r="12" spans="1:17" ht="14.5" customHeight="1">
      <c r="A12" s="106"/>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t="s">
        <v>40</v>
      </c>
      <c r="D12" s="37" t="s">
        <v>24</v>
      </c>
      <c r="E12" s="37"/>
      <c r="F12" s="37"/>
      <c r="G12" s="108"/>
      <c r="H12" s="108"/>
      <c r="I12" s="34"/>
      <c r="J12" s="44" t="str">
        <f t="shared" si="0"/>
        <v>1 ضد 5 4 ضد 10</v>
      </c>
      <c r="K12" s="34"/>
      <c r="L12" s="39">
        <v>9</v>
      </c>
      <c r="M12" s="39" cm="1">
        <f t="array" ref="M12">SUMPRODUCT(--ISNUMBER(SEARCH(" "&amp;$L12&amp;" "," "&amp;J$4:J$48&amp;" ")))</f>
        <v>20</v>
      </c>
      <c r="N12" s="39" cm="1">
        <f t="array" ref="N12">SUMPRODUCT(--ISNUMBER(SEARCH(" "&amp;$L12&amp;" "," "&amp;J$4:J$47&amp;" ")),--ISNUMBER(SEARCH(" "&amp;$L12&amp;" "," "&amp;J$5:J$48&amp;" ")),--(MOD(ROW(J$4:J$47)-4,$M$16)&lt;=$M$16-2))</f>
        <v>0</v>
      </c>
      <c r="O12" s="39" cm="1">
        <f t="array" ref="O12">SUMPRODUCT(--ISNUMBER(SEARCH(" "&amp;$L12&amp;" "," "&amp;J$4:J$46&amp;" ")),--ISNUMBER(SEARCH(" "&amp;$L12&amp;" "," "&amp;J$6:J$48&amp;" ")),--(MOD(ROW(J$4:J$46)-4,$M$16)&lt;=$M$16-3))</f>
        <v>13</v>
      </c>
      <c r="P12" s="39" cm="1">
        <f t="array" ref="P12">SUMPRODUCT(--ISNUMBER(SEARCH(" "&amp;$L12&amp;" "," "&amp;J$4:J$45&amp;" ")),--ISNUMBER(SEARCH(" "&amp;$L12&amp;" "," "&amp;J$7:J$48&amp;" ")),--(MOD(ROW(J$4:J$45)-4,$M$16)&lt;=$M$16-4))</f>
        <v>2</v>
      </c>
      <c r="Q12" s="39">
        <f t="shared" si="1"/>
        <v>0</v>
      </c>
    </row>
    <row r="13" spans="1:17" ht="14.5" customHeight="1">
      <c r="A13" s="106" t="s">
        <v>6</v>
      </c>
      <c r="B13"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37" t="s">
        <v>50</v>
      </c>
      <c r="D13" s="37" t="s">
        <v>41</v>
      </c>
      <c r="E13" s="37"/>
      <c r="F13" s="37"/>
      <c r="G13" s="107">
        <f>COUNTIF(C13:F21,"* ضد *")</f>
        <v>22</v>
      </c>
      <c r="H13" s="108">
        <f>COUNTIF(C13:F21,"* ضد *")*2/11</f>
        <v>4</v>
      </c>
      <c r="I13" s="34"/>
      <c r="J13" s="44" t="str">
        <f t="shared" si="0"/>
        <v>3 ضد 4 6 ضد 10</v>
      </c>
      <c r="K13" s="34"/>
      <c r="L13" s="39">
        <v>10</v>
      </c>
      <c r="M13" s="39" cm="1">
        <f t="array" ref="M13">SUMPRODUCT(--ISNUMBER(SEARCH(" "&amp;$L13&amp;" "," "&amp;J$4:J$48&amp;" ")))</f>
        <v>20</v>
      </c>
      <c r="N13" s="39" cm="1">
        <f t="array" ref="N13">SUMPRODUCT(--ISNUMBER(SEARCH(" "&amp;$L13&amp;" "," "&amp;J$4:J$47&amp;" ")),--ISNUMBER(SEARCH(" "&amp;$L13&amp;" "," "&amp;J$5:J$48&amp;" ")),--(MOD(ROW(J$4:J$47)-4,$M$16)&lt;=$M$16-2))</f>
        <v>0</v>
      </c>
      <c r="O13" s="39" cm="1">
        <f t="array" ref="O13">SUMPRODUCT(--ISNUMBER(SEARCH(" "&amp;$L13&amp;" "," "&amp;J$4:J$46&amp;" ")),--ISNUMBER(SEARCH(" "&amp;$L13&amp;" "," "&amp;J$6:J$48&amp;" ")),--(MOD(ROW(J$4:J$46)-4,$M$16)&lt;=$M$16-3))</f>
        <v>12</v>
      </c>
      <c r="P13" s="39" cm="1">
        <f t="array" ref="P13">SUMPRODUCT(--ISNUMBER(SEARCH(" "&amp;$L13&amp;" "," "&amp;J$4:J$45&amp;" ")),--ISNUMBER(SEARCH(" "&amp;$L13&amp;" "," "&amp;J$7:J$48&amp;" ")),--(MOD(ROW(J$4:J$45)-4,$M$16)&lt;=$M$16-4))</f>
        <v>3</v>
      </c>
      <c r="Q13" s="39">
        <f t="shared" si="1"/>
        <v>0</v>
      </c>
    </row>
    <row r="14" spans="1:17" ht="14.5" customHeight="1">
      <c r="A14" s="106"/>
      <c r="B14"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37" t="s">
        <v>237</v>
      </c>
      <c r="D14" s="37" t="s">
        <v>61</v>
      </c>
      <c r="E14" s="37" t="s">
        <v>58</v>
      </c>
      <c r="F14" s="37"/>
      <c r="G14" s="108"/>
      <c r="H14" s="108"/>
      <c r="I14" s="34"/>
      <c r="J14" s="44" t="str">
        <f t="shared" si="0"/>
        <v>11 ضد 8 2 ضد 7 5 ضد 9</v>
      </c>
      <c r="K14" s="34"/>
      <c r="L14" s="39">
        <v>11</v>
      </c>
      <c r="M14" s="39" cm="1">
        <f t="array" ref="M14">SUMPRODUCT(--ISNUMBER(SEARCH(" "&amp;$L14&amp;" "," "&amp;J$4:J$48&amp;" ")))</f>
        <v>20</v>
      </c>
      <c r="N14" s="39" cm="1">
        <f t="array" ref="N14">SUMPRODUCT(--ISNUMBER(SEARCH(" "&amp;$L14&amp;" "," "&amp;J$4:J$47&amp;" ")),--ISNUMBER(SEARCH(" "&amp;$L14&amp;" "," "&amp;J$5:J$48&amp;" ")),--(MOD(ROW(J$4:J$47)-4,$M$16)&lt;=$M$16-2))</f>
        <v>0</v>
      </c>
      <c r="O14" s="39" cm="1">
        <f t="array" ref="O14">SUMPRODUCT(--ISNUMBER(SEARCH(" "&amp;$L14&amp;" "," "&amp;J$4:J$46&amp;" ")),--ISNUMBER(SEARCH(" "&amp;$L14&amp;" "," "&amp;J$6:J$48&amp;" ")),--(MOD(ROW(J$4:J$46)-4,$M$16)&lt;=$M$16-3))</f>
        <v>11</v>
      </c>
      <c r="P14" s="39" cm="1">
        <f t="array" ref="P14">SUMPRODUCT(--ISNUMBER(SEARCH(" "&amp;$L14&amp;" "," "&amp;J$4:J$45&amp;" ")),--ISNUMBER(SEARCH(" "&amp;$L14&amp;" "," "&amp;J$7:J$48&amp;" ")),--(MOD(ROW(J$4:J$45)-4,$M$16)&lt;=$M$16-4))</f>
        <v>4</v>
      </c>
      <c r="Q14" s="39">
        <f t="shared" si="1"/>
        <v>0</v>
      </c>
    </row>
    <row r="15" spans="1:17" ht="14.5" customHeight="1">
      <c r="A15" s="106"/>
      <c r="B15"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37" t="s">
        <v>28</v>
      </c>
      <c r="D15" s="37" t="s">
        <v>206</v>
      </c>
      <c r="E15" s="37"/>
      <c r="F15" s="37"/>
      <c r="G15" s="108"/>
      <c r="H15" s="108"/>
      <c r="I15" s="34"/>
      <c r="J15" s="44" t="str">
        <f t="shared" si="0"/>
        <v>4 ضد 6 1 ضد 10</v>
      </c>
      <c r="K15" s="34"/>
      <c r="L15" s="45" t="s">
        <v>249</v>
      </c>
      <c r="M15" s="45">
        <f>SUM(M4:M14)</f>
        <v>220</v>
      </c>
      <c r="N15" s="45">
        <f>SUM(N4:N14)</f>
        <v>0</v>
      </c>
      <c r="O15" s="45">
        <f>SUM(O4:O14)</f>
        <v>135</v>
      </c>
      <c r="P15" s="45">
        <f>SUM(P4:P14)</f>
        <v>30</v>
      </c>
      <c r="Q15" s="45">
        <f>SUM(Q4:Q14)</f>
        <v>0</v>
      </c>
    </row>
    <row r="16" spans="1:17" ht="14.5" customHeight="1">
      <c r="A16" s="106"/>
      <c r="B16"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37" t="s">
        <v>22</v>
      </c>
      <c r="D16" s="37" t="s">
        <v>25</v>
      </c>
      <c r="E16" s="37" t="s">
        <v>26</v>
      </c>
      <c r="F16" s="37"/>
      <c r="G16" s="108"/>
      <c r="H16" s="108"/>
      <c r="I16" s="34"/>
      <c r="J16" s="44" t="str">
        <f t="shared" si="0"/>
        <v>2 ضد 8 5 ضد 7 3 ضد 9</v>
      </c>
      <c r="K16" s="34"/>
      <c r="L16" s="39" t="s">
        <v>250</v>
      </c>
      <c r="M16" s="39">
        <f>COUNTA($B$4:$B$48)/COUNTIF($A$4:$A$48,"اليوم *")</f>
        <v>9</v>
      </c>
      <c r="N16" s="39"/>
      <c r="O16" s="39"/>
      <c r="P16" s="39"/>
      <c r="Q16" s="39"/>
    </row>
    <row r="17" spans="1:17" ht="14.5" customHeight="1">
      <c r="A17" s="106"/>
      <c r="B17"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37" t="s">
        <v>210</v>
      </c>
      <c r="D17" s="37" t="s">
        <v>38</v>
      </c>
      <c r="E17" s="37"/>
      <c r="F17" s="37"/>
      <c r="G17" s="108"/>
      <c r="H17" s="108"/>
      <c r="I17" s="34"/>
      <c r="J17" s="44" t="str">
        <f t="shared" si="0"/>
        <v>4 ضد 11 1 ضد 6</v>
      </c>
      <c r="K17" s="34"/>
      <c r="L17" s="34"/>
      <c r="M17" s="34"/>
      <c r="N17" s="34"/>
      <c r="O17" s="34"/>
      <c r="P17" s="34"/>
      <c r="Q17" s="34"/>
    </row>
    <row r="18" spans="1:17" ht="14.5" customHeight="1">
      <c r="A18" s="106"/>
      <c r="B18"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37" t="s">
        <v>32</v>
      </c>
      <c r="D18" s="37" t="s">
        <v>203</v>
      </c>
      <c r="E18" s="37" t="s">
        <v>51</v>
      </c>
      <c r="F18" s="37"/>
      <c r="G18" s="108"/>
      <c r="H18" s="108"/>
      <c r="I18" s="34"/>
      <c r="J18" s="44" t="str">
        <f t="shared" si="0"/>
        <v>5 ضد 8 3 ضد 10 7 ضد 9</v>
      </c>
      <c r="K18" s="34"/>
      <c r="L18" s="34"/>
      <c r="M18" s="34"/>
      <c r="N18" s="34"/>
      <c r="O18" s="34"/>
      <c r="P18" s="34"/>
      <c r="Q18" s="34"/>
    </row>
    <row r="19" spans="1:17" ht="14.5" customHeight="1">
      <c r="A19" s="106"/>
      <c r="B19"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37" t="s">
        <v>30</v>
      </c>
      <c r="D19" s="37" t="s">
        <v>68</v>
      </c>
      <c r="E19" s="37"/>
      <c r="F19" s="37"/>
      <c r="G19" s="108"/>
      <c r="H19" s="108"/>
      <c r="I19" s="34"/>
      <c r="J19" s="44" t="str">
        <f t="shared" si="0"/>
        <v>1 ضد 2 6 ضد 11</v>
      </c>
      <c r="K19" s="34"/>
      <c r="L19" s="34"/>
      <c r="M19" s="34"/>
      <c r="N19" s="34"/>
      <c r="O19" s="34"/>
      <c r="P19" s="34"/>
      <c r="Q19" s="34"/>
    </row>
    <row r="20" spans="1:17" ht="14.5" customHeight="1">
      <c r="A20" s="106"/>
      <c r="B20"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37" t="s">
        <v>43</v>
      </c>
      <c r="D20" s="37" t="s">
        <v>57</v>
      </c>
      <c r="E20" s="37" t="s">
        <v>48</v>
      </c>
      <c r="F20" s="37"/>
      <c r="G20" s="108"/>
      <c r="H20" s="108"/>
      <c r="I20" s="34"/>
      <c r="J20" s="44" t="str">
        <f t="shared" si="0"/>
        <v>4 ضد 7 3 ضد 8 9 ضد 10</v>
      </c>
      <c r="K20" s="34"/>
      <c r="L20" s="34"/>
      <c r="M20" s="34"/>
      <c r="N20" s="34"/>
      <c r="O20" s="34"/>
      <c r="P20" s="34"/>
      <c r="Q20" s="34"/>
    </row>
    <row r="21" spans="1:17" ht="14.5" customHeight="1">
      <c r="A21" s="106"/>
      <c r="B21"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37" t="s">
        <v>204</v>
      </c>
      <c r="D21" s="37" t="s">
        <v>44</v>
      </c>
      <c r="E21" s="37"/>
      <c r="F21" s="37"/>
      <c r="G21" s="108"/>
      <c r="H21" s="108"/>
      <c r="I21" s="34"/>
      <c r="J21" s="44" t="str">
        <f t="shared" si="0"/>
        <v>1 ضد 11 2 ضد 5</v>
      </c>
      <c r="K21" s="34"/>
      <c r="L21" s="34"/>
      <c r="M21" s="34"/>
      <c r="N21" s="34"/>
      <c r="O21" s="34"/>
      <c r="P21" s="34"/>
      <c r="Q21" s="34"/>
    </row>
    <row r="22" spans="1:17" ht="14.5" customHeight="1">
      <c r="A22" s="106" t="s">
        <v>7</v>
      </c>
      <c r="B2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37" t="s">
        <v>70</v>
      </c>
      <c r="D22" s="37" t="s">
        <v>158</v>
      </c>
      <c r="E22" s="37" t="s">
        <v>60</v>
      </c>
      <c r="F22" s="37"/>
      <c r="G22" s="107">
        <f>COUNTIF(C22:F30,"* ضد *")</f>
        <v>22</v>
      </c>
      <c r="H22" s="108">
        <f>COUNTIF(C22:F30,"* ضد *")*2/11</f>
        <v>4</v>
      </c>
      <c r="I22" s="34"/>
      <c r="J22" s="44" t="str">
        <f t="shared" si="0"/>
        <v>2 ضد 4 5 ضد 3 7 ضد 10</v>
      </c>
      <c r="K22" s="34"/>
      <c r="L22" s="34"/>
      <c r="M22" s="34"/>
      <c r="N22" s="34"/>
      <c r="O22" s="34"/>
      <c r="P22" s="34"/>
      <c r="Q22" s="34"/>
    </row>
    <row r="23" spans="1:17" ht="14.5" customHeight="1">
      <c r="A23" s="106"/>
      <c r="B2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37" t="s">
        <v>168</v>
      </c>
      <c r="D23" s="37" t="s">
        <v>54</v>
      </c>
      <c r="E23" s="37"/>
      <c r="F23" s="37"/>
      <c r="G23" s="108"/>
      <c r="H23" s="108"/>
      <c r="I23" s="34"/>
      <c r="J23" s="44" t="str">
        <f t="shared" si="0"/>
        <v>8 ضد 1 9 ضد 11</v>
      </c>
      <c r="K23" s="34"/>
      <c r="L23" s="34"/>
      <c r="M23" s="34"/>
      <c r="N23" s="34"/>
      <c r="O23" s="34"/>
      <c r="P23" s="34"/>
      <c r="Q23" s="34"/>
    </row>
    <row r="24" spans="1:17" ht="14.5" customHeight="1">
      <c r="A24" s="106"/>
      <c r="B2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37" t="s">
        <v>52</v>
      </c>
      <c r="D24" s="37" t="s">
        <v>56</v>
      </c>
      <c r="E24" s="37" t="s">
        <v>46</v>
      </c>
      <c r="F24" s="37"/>
      <c r="G24" s="108"/>
      <c r="H24" s="108"/>
      <c r="I24" s="34"/>
      <c r="J24" s="44" t="str">
        <f t="shared" si="0"/>
        <v>2 ضد 6 3 ضد 7 4 ضد 5</v>
      </c>
      <c r="K24" s="34"/>
      <c r="L24" s="34"/>
      <c r="M24" s="34"/>
      <c r="N24" s="34"/>
      <c r="O24" s="34"/>
      <c r="P24" s="34"/>
      <c r="Q24" s="34"/>
    </row>
    <row r="25" spans="1:17" ht="14.5" customHeight="1">
      <c r="A25" s="106"/>
      <c r="B2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37" t="s">
        <v>207</v>
      </c>
      <c r="D25" s="37" t="s">
        <v>31</v>
      </c>
      <c r="E25" s="37"/>
      <c r="F25" s="37"/>
      <c r="G25" s="108"/>
      <c r="H25" s="108"/>
      <c r="I25" s="34"/>
      <c r="J25" s="44" t="str">
        <f t="shared" si="0"/>
        <v>1 ضد 9 10 ضد 11</v>
      </c>
      <c r="K25" s="34"/>
      <c r="L25" s="34"/>
      <c r="M25" s="34"/>
      <c r="N25" s="34"/>
      <c r="O25" s="34"/>
      <c r="P25" s="34"/>
      <c r="Q25" s="34"/>
    </row>
    <row r="26" spans="1:17" ht="14.5" customHeight="1">
      <c r="A26" s="106"/>
      <c r="B2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37" t="s">
        <v>59</v>
      </c>
      <c r="D26" s="37" t="s">
        <v>61</v>
      </c>
      <c r="E26" s="37" t="s">
        <v>50</v>
      </c>
      <c r="F26" s="37"/>
      <c r="G26" s="108"/>
      <c r="H26" s="108"/>
      <c r="I26" s="34"/>
      <c r="J26" s="44" t="str">
        <f t="shared" si="0"/>
        <v>6 ضد 8 2 ضد 7 3 ضد 4</v>
      </c>
      <c r="K26" s="34"/>
      <c r="L26" s="34"/>
      <c r="M26" s="34"/>
      <c r="N26" s="34"/>
      <c r="O26" s="34"/>
      <c r="P26" s="34"/>
      <c r="Q26" s="34"/>
    </row>
    <row r="27" spans="1:17" ht="14.5" customHeight="1">
      <c r="A27" s="106"/>
      <c r="B2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37" t="s">
        <v>257</v>
      </c>
      <c r="D27" s="37" t="s">
        <v>204</v>
      </c>
      <c r="E27" s="37"/>
      <c r="F27" s="37"/>
      <c r="G27" s="108"/>
      <c r="H27" s="108"/>
      <c r="I27" s="34"/>
      <c r="J27" s="44" t="str">
        <f t="shared" si="0"/>
        <v>10 ضد 5 1 ضد 11</v>
      </c>
      <c r="K27" s="34"/>
      <c r="L27" s="34"/>
      <c r="M27" s="34"/>
      <c r="N27" s="34"/>
      <c r="O27" s="34"/>
      <c r="P27" s="34"/>
      <c r="Q27" s="34"/>
    </row>
    <row r="28" spans="1:17" ht="14.5" customHeight="1">
      <c r="A28" s="106"/>
      <c r="B2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37" t="s">
        <v>62</v>
      </c>
      <c r="D28" s="37" t="s">
        <v>39</v>
      </c>
      <c r="E28" s="37" t="s">
        <v>51</v>
      </c>
      <c r="F28" s="37"/>
      <c r="G28" s="108"/>
      <c r="H28" s="108"/>
      <c r="I28" s="34"/>
      <c r="J28" s="44" t="str">
        <f t="shared" si="0"/>
        <v>3 ضد 6 4 ضد 8 7 ضد 9</v>
      </c>
      <c r="K28" s="34"/>
      <c r="L28" s="34"/>
      <c r="M28" s="34"/>
      <c r="N28" s="34"/>
      <c r="O28" s="34"/>
      <c r="P28" s="34"/>
      <c r="Q28" s="34"/>
    </row>
    <row r="29" spans="1:17" ht="14.5" customHeight="1">
      <c r="A29" s="106"/>
      <c r="B29"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37" t="s">
        <v>228</v>
      </c>
      <c r="D29" s="37" t="s">
        <v>206</v>
      </c>
      <c r="E29" s="37"/>
      <c r="F29" s="37"/>
      <c r="G29" s="108"/>
      <c r="H29" s="108"/>
      <c r="I29" s="34"/>
      <c r="J29" s="44" t="str">
        <f t="shared" si="0"/>
        <v>5 ضد 2 1 ضد 10</v>
      </c>
      <c r="K29" s="34"/>
      <c r="L29" s="34"/>
      <c r="M29" s="34"/>
      <c r="N29" s="34"/>
      <c r="O29" s="34"/>
      <c r="P29" s="34"/>
      <c r="Q29" s="34"/>
    </row>
    <row r="30" spans="1:17" ht="14.5" customHeight="1">
      <c r="A30" s="106"/>
      <c r="B30"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37" t="s">
        <v>23</v>
      </c>
      <c r="D30" s="37" t="s">
        <v>49</v>
      </c>
      <c r="E30" s="37"/>
      <c r="F30" s="37"/>
      <c r="G30" s="108"/>
      <c r="H30" s="108"/>
      <c r="I30" s="34"/>
      <c r="J30" s="44" t="str">
        <f t="shared" si="0"/>
        <v>6 ضد 9 8 ضد 11</v>
      </c>
      <c r="K30" s="34"/>
      <c r="L30" s="34"/>
      <c r="M30" s="34"/>
      <c r="N30" s="34"/>
      <c r="O30" s="34"/>
      <c r="P30" s="34"/>
      <c r="Q30" s="34"/>
    </row>
    <row r="31" spans="1:17" ht="14.5" customHeight="1">
      <c r="A31" s="106" t="s">
        <v>8</v>
      </c>
      <c r="B3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37" t="s">
        <v>207</v>
      </c>
      <c r="D31" s="37" t="s">
        <v>22</v>
      </c>
      <c r="E31" s="37"/>
      <c r="F31" s="37"/>
      <c r="G31" s="107">
        <f>COUNTIF(C31:F39,"* ضد *")</f>
        <v>22</v>
      </c>
      <c r="H31" s="108">
        <f>COUNTIF(C31:F39,"* ضد *")*2/11</f>
        <v>4</v>
      </c>
      <c r="I31" s="34"/>
      <c r="J31" s="44" t="str">
        <f t="shared" si="0"/>
        <v>1 ضد 9 2 ضد 8</v>
      </c>
      <c r="K31" s="34"/>
      <c r="L31" s="34"/>
      <c r="M31" s="34"/>
      <c r="N31" s="34"/>
      <c r="O31" s="34"/>
      <c r="P31" s="34"/>
      <c r="Q31" s="34"/>
    </row>
    <row r="32" spans="1:17" ht="14.5" customHeight="1">
      <c r="A32" s="106"/>
      <c r="B3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37" t="s">
        <v>203</v>
      </c>
      <c r="D32" s="37" t="s">
        <v>43</v>
      </c>
      <c r="E32" s="37" t="s">
        <v>68</v>
      </c>
      <c r="F32" s="37"/>
      <c r="G32" s="108"/>
      <c r="H32" s="108"/>
      <c r="I32" s="34"/>
      <c r="J32" s="44" t="str">
        <f t="shared" si="0"/>
        <v>3 ضد 10 4 ضد 7 6 ضد 11</v>
      </c>
      <c r="K32" s="34"/>
      <c r="L32" s="34"/>
      <c r="M32" s="34"/>
      <c r="N32" s="34"/>
      <c r="O32" s="34"/>
      <c r="P32" s="34"/>
      <c r="Q32" s="34"/>
    </row>
    <row r="33" spans="1:17" ht="14.5" customHeight="1">
      <c r="A33" s="106"/>
      <c r="B3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37" t="s">
        <v>205</v>
      </c>
      <c r="D33" s="37" t="s">
        <v>32</v>
      </c>
      <c r="E33" s="37"/>
      <c r="F33" s="37"/>
      <c r="G33" s="108"/>
      <c r="H33" s="108"/>
      <c r="I33" s="34"/>
      <c r="J33" s="44" t="str">
        <f t="shared" si="0"/>
        <v>2 ضد 9 5 ضد 8</v>
      </c>
      <c r="K33" s="34"/>
      <c r="L33" s="34"/>
      <c r="M33" s="34"/>
      <c r="N33" s="34"/>
      <c r="O33" s="34"/>
      <c r="P33" s="34"/>
      <c r="Q33" s="34"/>
    </row>
    <row r="34" spans="1:17" ht="14.5" customHeight="1">
      <c r="A34" s="106"/>
      <c r="B3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37" t="s">
        <v>47</v>
      </c>
      <c r="D34" s="37" t="s">
        <v>41</v>
      </c>
      <c r="E34" s="37" t="s">
        <v>210</v>
      </c>
      <c r="F34" s="37"/>
      <c r="G34" s="108"/>
      <c r="H34" s="108"/>
      <c r="I34" s="34"/>
      <c r="J34" s="44" t="str">
        <f t="shared" si="0"/>
        <v>1 ضد 7 6 ضد 10 4 ضد 11</v>
      </c>
      <c r="K34" s="34"/>
      <c r="L34" s="34"/>
      <c r="M34" s="34"/>
      <c r="N34" s="34"/>
      <c r="O34" s="34"/>
      <c r="P34" s="34"/>
      <c r="Q34" s="34"/>
    </row>
    <row r="35" spans="1:17" ht="14.5" customHeight="1">
      <c r="A35" s="106"/>
      <c r="B3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37" t="s">
        <v>37</v>
      </c>
      <c r="D35" s="37" t="s">
        <v>58</v>
      </c>
      <c r="E35" s="37"/>
      <c r="F35" s="37"/>
      <c r="G35" s="108"/>
      <c r="H35" s="108"/>
      <c r="I35" s="34"/>
      <c r="J35" s="44" t="str">
        <f t="shared" si="0"/>
        <v>2 ضد 3 5 ضد 9</v>
      </c>
      <c r="K35" s="34"/>
      <c r="L35" s="34"/>
      <c r="M35" s="34"/>
      <c r="N35" s="34"/>
      <c r="O35" s="34"/>
      <c r="P35" s="34"/>
      <c r="Q35" s="34"/>
    </row>
    <row r="36" spans="1:17" ht="14.5" customHeight="1">
      <c r="A36" s="106"/>
      <c r="B3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37" t="s">
        <v>235</v>
      </c>
      <c r="D36" s="37" t="s">
        <v>28</v>
      </c>
      <c r="E36" s="37" t="s">
        <v>69</v>
      </c>
      <c r="F36" s="37"/>
      <c r="G36" s="108"/>
      <c r="H36" s="108"/>
      <c r="I36" s="34"/>
      <c r="J36" s="44" t="str">
        <f t="shared" si="0"/>
        <v>11 ضد 10 4 ضد 6 1 ضد 8</v>
      </c>
      <c r="K36" s="34"/>
      <c r="L36" s="34"/>
      <c r="M36" s="34"/>
      <c r="N36" s="34"/>
      <c r="O36" s="34"/>
      <c r="P36" s="34"/>
      <c r="Q36" s="34"/>
    </row>
    <row r="37" spans="1:17" ht="14.5" customHeight="1">
      <c r="A37" s="106"/>
      <c r="B3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37" t="s">
        <v>169</v>
      </c>
      <c r="D37" s="37" t="s">
        <v>25</v>
      </c>
      <c r="E37" s="37"/>
      <c r="F37" s="37"/>
      <c r="G37" s="108"/>
      <c r="H37" s="108"/>
      <c r="I37" s="34"/>
      <c r="J37" s="44" t="str">
        <f t="shared" si="0"/>
        <v>9 ضد 3 5 ضد 7</v>
      </c>
      <c r="K37" s="34"/>
      <c r="L37" s="34"/>
      <c r="M37" s="34"/>
      <c r="N37" s="34"/>
      <c r="O37" s="34"/>
      <c r="P37" s="34"/>
      <c r="Q37" s="34"/>
    </row>
    <row r="38" spans="1:17" ht="14.5" customHeight="1">
      <c r="A38" s="106"/>
      <c r="B38"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37" t="s">
        <v>176</v>
      </c>
      <c r="D38" s="37" t="s">
        <v>38</v>
      </c>
      <c r="E38" s="37" t="s">
        <v>27</v>
      </c>
      <c r="F38" s="37"/>
      <c r="G38" s="108"/>
      <c r="H38" s="108"/>
      <c r="I38" s="34"/>
      <c r="J38" s="44" t="str">
        <f t="shared" si="0"/>
        <v>11 ضد 2 1 ضد 6 8 ضد 10</v>
      </c>
      <c r="K38" s="34"/>
      <c r="L38" s="34"/>
      <c r="M38" s="34"/>
      <c r="N38" s="34"/>
      <c r="O38" s="34"/>
      <c r="P38" s="34"/>
      <c r="Q38" s="34"/>
    </row>
    <row r="39" spans="1:17" ht="14.5" customHeight="1">
      <c r="A39" s="106"/>
      <c r="B39"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37" t="s">
        <v>46</v>
      </c>
      <c r="D39" s="37" t="s">
        <v>56</v>
      </c>
      <c r="E39" s="37"/>
      <c r="F39" s="37"/>
      <c r="G39" s="108"/>
      <c r="H39" s="108"/>
      <c r="I39" s="34"/>
      <c r="J39" s="44" t="str">
        <f t="shared" si="0"/>
        <v>4 ضد 5 3 ضد 7</v>
      </c>
      <c r="K39" s="34"/>
      <c r="L39" s="34"/>
      <c r="M39" s="34"/>
      <c r="N39" s="34"/>
      <c r="O39" s="34"/>
      <c r="P39" s="34"/>
      <c r="Q39" s="34"/>
    </row>
    <row r="40" spans="1:17" ht="14.5" customHeight="1">
      <c r="A40" s="106" t="s">
        <v>9</v>
      </c>
      <c r="B40"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37" t="s">
        <v>20</v>
      </c>
      <c r="D40" s="37" t="s">
        <v>36</v>
      </c>
      <c r="E40" s="37"/>
      <c r="F40" s="37"/>
      <c r="G40" s="107">
        <f>COUNTIF(C40:F48,"* ضد *")</f>
        <v>22</v>
      </c>
      <c r="H40" s="108">
        <f>COUNTIF(C40:F48,"* ضد *")*2/11</f>
        <v>4</v>
      </c>
      <c r="I40" s="34"/>
      <c r="J40" s="44" t="str">
        <f t="shared" si="0"/>
        <v>1 ضد 3 5 ضد 11</v>
      </c>
      <c r="K40" s="34"/>
      <c r="L40" s="34"/>
      <c r="M40" s="34"/>
      <c r="N40" s="34"/>
      <c r="O40" s="34"/>
      <c r="P40" s="34"/>
      <c r="Q40" s="34"/>
    </row>
    <row r="41" spans="1:17" ht="14.5" customHeight="1">
      <c r="A41" s="106"/>
      <c r="B41"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37" t="s">
        <v>33</v>
      </c>
      <c r="D41" s="37"/>
      <c r="E41" s="37"/>
      <c r="F41" s="37"/>
      <c r="G41" s="108"/>
      <c r="H41" s="108"/>
      <c r="I41" s="34"/>
      <c r="J41" s="44" t="str">
        <f t="shared" si="0"/>
        <v>6 ضد 7</v>
      </c>
      <c r="K41" s="34"/>
      <c r="L41" s="34"/>
      <c r="M41" s="34"/>
      <c r="N41" s="34"/>
      <c r="O41" s="34"/>
      <c r="P41" s="34"/>
      <c r="Q41" s="34"/>
    </row>
    <row r="42" spans="1:17" ht="14.5" customHeight="1">
      <c r="A42" s="106"/>
      <c r="B42"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37" t="s">
        <v>57</v>
      </c>
      <c r="D42" s="37" t="s">
        <v>254</v>
      </c>
      <c r="E42" s="37" t="s">
        <v>230</v>
      </c>
      <c r="F42" s="37" t="s">
        <v>34</v>
      </c>
      <c r="G42" s="108"/>
      <c r="H42" s="108"/>
      <c r="I42" s="34"/>
      <c r="J42" s="44" t="str">
        <f t="shared" si="0"/>
        <v>3 ضد 8 5 ضد 1 2 ضد 10 4 ضد 9</v>
      </c>
      <c r="K42" s="34"/>
      <c r="L42" s="34"/>
      <c r="M42" s="34"/>
      <c r="N42" s="34"/>
      <c r="O42" s="34"/>
      <c r="P42" s="34"/>
      <c r="Q42" s="34"/>
    </row>
    <row r="43" spans="1:17" ht="14.5" customHeight="1">
      <c r="A43" s="106"/>
      <c r="B43"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37" t="s">
        <v>65</v>
      </c>
      <c r="D43" s="37"/>
      <c r="E43" s="37"/>
      <c r="F43" s="37"/>
      <c r="G43" s="108"/>
      <c r="H43" s="108"/>
      <c r="I43" s="34"/>
      <c r="J43" s="44" t="str">
        <f t="shared" si="0"/>
        <v>7 ضد 11</v>
      </c>
      <c r="K43" s="34"/>
      <c r="L43" s="34"/>
      <c r="M43" s="34"/>
      <c r="N43" s="34"/>
      <c r="O43" s="34"/>
      <c r="P43" s="34"/>
      <c r="Q43" s="34"/>
    </row>
    <row r="44" spans="1:17" ht="14.5" customHeight="1">
      <c r="A44" s="106"/>
      <c r="B44"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37" t="s">
        <v>55</v>
      </c>
      <c r="D44" s="37" t="s">
        <v>67</v>
      </c>
      <c r="E44" s="37" t="s">
        <v>209</v>
      </c>
      <c r="F44" s="37" t="s">
        <v>30</v>
      </c>
      <c r="G44" s="108"/>
      <c r="H44" s="108"/>
      <c r="I44" s="34"/>
      <c r="J44" s="44" t="str">
        <f t="shared" si="0"/>
        <v>5 ضد 6 8 ضد 9 10 ضد 4 1 ضد 2</v>
      </c>
      <c r="K44" s="34"/>
      <c r="L44" s="34"/>
      <c r="M44" s="34"/>
      <c r="N44" s="34"/>
      <c r="O44" s="34"/>
      <c r="P44" s="34"/>
      <c r="Q44" s="34"/>
    </row>
    <row r="45" spans="1:17" ht="14.5" customHeight="1">
      <c r="A45" s="106"/>
      <c r="B45"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37" t="s">
        <v>229</v>
      </c>
      <c r="D45" s="37"/>
      <c r="E45" s="37"/>
      <c r="F45" s="37"/>
      <c r="G45" s="108"/>
      <c r="H45" s="108"/>
      <c r="I45" s="34"/>
      <c r="J45" s="44" t="str">
        <f t="shared" si="0"/>
        <v>3 ضد 11</v>
      </c>
      <c r="K45" s="34"/>
      <c r="L45" s="34"/>
      <c r="M45" s="34"/>
      <c r="N45" s="34"/>
      <c r="O45" s="34"/>
      <c r="P45" s="34"/>
      <c r="Q45" s="34"/>
    </row>
    <row r="46" spans="1:17" ht="14.5" customHeight="1">
      <c r="A46" s="106"/>
      <c r="B46"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37" t="s">
        <v>63</v>
      </c>
      <c r="D46" s="37" t="s">
        <v>52</v>
      </c>
      <c r="E46" s="37" t="s">
        <v>256</v>
      </c>
      <c r="F46" s="37" t="s">
        <v>48</v>
      </c>
      <c r="G46" s="108"/>
      <c r="H46" s="108"/>
      <c r="I46" s="34"/>
      <c r="J46" s="44" t="str">
        <f t="shared" si="0"/>
        <v>1 ضد 4 2 ضد 6 8 ضد 7 9 ضد 10</v>
      </c>
      <c r="K46" s="34"/>
      <c r="L46" s="34"/>
      <c r="M46" s="34"/>
      <c r="N46" s="34"/>
      <c r="O46" s="34"/>
      <c r="P46" s="34"/>
      <c r="Q46" s="34"/>
    </row>
    <row r="47" spans="1:17" ht="14.5" customHeight="1">
      <c r="A47" s="106"/>
      <c r="B47"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37" t="s">
        <v>66</v>
      </c>
      <c r="D47" s="37"/>
      <c r="E47" s="37"/>
      <c r="F47" s="37"/>
      <c r="G47" s="108"/>
      <c r="H47" s="108"/>
      <c r="I47" s="34"/>
      <c r="J47" s="44" t="str">
        <f t="shared" si="0"/>
        <v>3 ضد 5</v>
      </c>
      <c r="K47" s="34"/>
      <c r="L47" s="34"/>
      <c r="M47" s="34"/>
      <c r="N47" s="34"/>
      <c r="O47" s="34"/>
      <c r="P47" s="34"/>
      <c r="Q47" s="34"/>
    </row>
    <row r="48" spans="1:17" ht="14.5" customHeight="1">
      <c r="A48" s="106"/>
      <c r="B48"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37" t="s">
        <v>70</v>
      </c>
      <c r="D48" s="37" t="s">
        <v>59</v>
      </c>
      <c r="E48" s="37" t="s">
        <v>60</v>
      </c>
      <c r="F48" s="37" t="s">
        <v>54</v>
      </c>
      <c r="G48" s="108"/>
      <c r="H48" s="108"/>
      <c r="I48" s="34"/>
      <c r="J48" s="44" t="str">
        <f t="shared" si="0"/>
        <v>2 ضد 4 6 ضد 8 7 ضد 10 9 ضد 11</v>
      </c>
      <c r="K48" s="34"/>
      <c r="L48" s="34"/>
      <c r="M48" s="34"/>
      <c r="N48" s="34"/>
      <c r="O48" s="34"/>
      <c r="P48" s="34"/>
      <c r="Q48" s="34"/>
    </row>
    <row r="49" spans="1:17" ht="15" customHeight="1">
      <c r="A49" s="34"/>
      <c r="B49" s="34"/>
      <c r="C49" s="34"/>
      <c r="D49" s="34"/>
      <c r="E49" s="34"/>
      <c r="F49" s="34"/>
      <c r="G49" s="34"/>
      <c r="H49" s="34"/>
      <c r="I49" s="34"/>
      <c r="J49" s="34"/>
      <c r="K49" s="34"/>
      <c r="L49" s="34"/>
      <c r="M49" s="34"/>
      <c r="N49" s="34"/>
      <c r="O49" s="34"/>
      <c r="P49" s="34"/>
      <c r="Q49" s="34"/>
    </row>
    <row r="50" spans="1:17" ht="15" customHeight="1">
      <c r="A50" s="34"/>
      <c r="B50" s="34"/>
      <c r="C50" s="34"/>
      <c r="D50" s="34"/>
      <c r="E50" s="34"/>
      <c r="F50" s="34"/>
      <c r="G50" s="34"/>
      <c r="H50" s="34"/>
      <c r="I50" s="34"/>
      <c r="J50" s="34"/>
      <c r="K50" s="34"/>
      <c r="L50" s="34"/>
      <c r="M50" s="34"/>
      <c r="N50" s="34"/>
      <c r="O50" s="34"/>
      <c r="P50" s="34"/>
      <c r="Q50" s="34"/>
    </row>
    <row r="51" spans="1:17" ht="15.5" customHeight="1">
      <c r="A51" s="34"/>
      <c r="B51" s="109" t="s">
        <v>447</v>
      </c>
      <c r="C51" s="109"/>
      <c r="D51" s="109"/>
      <c r="E51" s="109"/>
      <c r="F51" s="109"/>
      <c r="G51" s="109"/>
      <c r="H51" s="34"/>
      <c r="I51" s="34"/>
      <c r="J51" s="34"/>
      <c r="K51" s="34"/>
      <c r="L51" s="34"/>
      <c r="M51" s="34"/>
      <c r="N51" s="34"/>
      <c r="O51" s="34"/>
      <c r="P51" s="34"/>
      <c r="Q51" s="34"/>
    </row>
    <row r="52" spans="1:17" ht="14.5" customHeight="1">
      <c r="A52" s="34"/>
      <c r="B52" s="38" t="s">
        <v>83</v>
      </c>
      <c r="C52" s="110" t="s">
        <v>232</v>
      </c>
      <c r="D52" s="110"/>
      <c r="E52" s="110"/>
      <c r="F52" s="110" t="s">
        <v>216</v>
      </c>
      <c r="G52" s="110"/>
      <c r="H52" s="34"/>
      <c r="I52" s="34"/>
      <c r="J52" s="34"/>
      <c r="K52" s="34"/>
      <c r="L52" s="34"/>
      <c r="M52" s="34"/>
      <c r="N52" s="34"/>
      <c r="O52" s="34"/>
      <c r="P52" s="34"/>
      <c r="Q52" s="34"/>
    </row>
    <row r="53" spans="1:17" ht="14.5" customHeight="1">
      <c r="A53" s="34"/>
      <c r="B53" s="39">
        <v>1</v>
      </c>
      <c r="C53" s="105" t="s">
        <v>546</v>
      </c>
      <c r="D53" s="105"/>
      <c r="E53" s="105"/>
      <c r="F53" s="105" t="s">
        <v>456</v>
      </c>
      <c r="G53" s="105"/>
      <c r="H53" s="34"/>
      <c r="I53" s="34"/>
      <c r="J53" s="34"/>
      <c r="K53" s="34"/>
      <c r="L53" s="34"/>
      <c r="M53" s="34"/>
      <c r="N53" s="34"/>
      <c r="O53" s="34"/>
      <c r="P53" s="34"/>
      <c r="Q53" s="34"/>
    </row>
    <row r="54" spans="1:17" ht="14.5" customHeight="1">
      <c r="A54" s="34"/>
      <c r="B54" s="39">
        <v>2</v>
      </c>
      <c r="C54" s="105" t="s">
        <v>547</v>
      </c>
      <c r="D54" s="105"/>
      <c r="E54" s="105"/>
      <c r="F54" s="105" t="s">
        <v>456</v>
      </c>
      <c r="G54" s="105"/>
      <c r="H54" s="34"/>
      <c r="I54" s="34"/>
      <c r="J54" s="34"/>
      <c r="K54" s="34"/>
      <c r="L54" s="34"/>
      <c r="M54" s="34"/>
      <c r="N54" s="34"/>
      <c r="O54" s="34"/>
      <c r="P54" s="34"/>
      <c r="Q54" s="34"/>
    </row>
    <row r="55" spans="1:17" ht="14.5" customHeight="1">
      <c r="A55" s="34"/>
      <c r="B55" s="39">
        <v>3</v>
      </c>
      <c r="C55" s="105" t="s">
        <v>548</v>
      </c>
      <c r="D55" s="105"/>
      <c r="E55" s="105"/>
      <c r="F55" s="105" t="s">
        <v>456</v>
      </c>
      <c r="G55" s="105"/>
      <c r="H55" s="34"/>
      <c r="I55" s="34"/>
      <c r="J55" s="34"/>
      <c r="K55" s="34"/>
      <c r="L55" s="34"/>
      <c r="M55" s="34"/>
      <c r="N55" s="34"/>
      <c r="O55" s="34"/>
      <c r="P55" s="34"/>
      <c r="Q55" s="34"/>
    </row>
    <row r="56" spans="1:17" ht="14.5" customHeight="1">
      <c r="A56" s="34"/>
      <c r="B56" s="39">
        <v>4</v>
      </c>
      <c r="C56" s="105" t="s">
        <v>549</v>
      </c>
      <c r="D56" s="105"/>
      <c r="E56" s="105"/>
      <c r="F56" s="105" t="s">
        <v>458</v>
      </c>
      <c r="G56" s="105"/>
      <c r="H56" s="34"/>
      <c r="I56" s="34"/>
      <c r="J56" s="34"/>
      <c r="K56" s="34"/>
      <c r="L56" s="34"/>
      <c r="M56" s="34"/>
      <c r="N56" s="34"/>
      <c r="O56" s="34"/>
      <c r="P56" s="34"/>
      <c r="Q56" s="34"/>
    </row>
    <row r="57" spans="1:17" ht="14.5" customHeight="1">
      <c r="A57" s="34"/>
      <c r="B57" s="39">
        <v>5</v>
      </c>
      <c r="C57" s="105" t="s">
        <v>550</v>
      </c>
      <c r="D57" s="105"/>
      <c r="E57" s="105"/>
      <c r="F57" s="105" t="s">
        <v>458</v>
      </c>
      <c r="G57" s="105"/>
      <c r="H57" s="34"/>
      <c r="I57" s="34"/>
      <c r="J57" s="34"/>
      <c r="K57" s="34"/>
      <c r="L57" s="34"/>
      <c r="M57" s="34"/>
      <c r="N57" s="34"/>
      <c r="O57" s="34"/>
      <c r="P57" s="34"/>
      <c r="Q57" s="34"/>
    </row>
    <row r="58" spans="1:17" ht="14.5" customHeight="1">
      <c r="A58" s="34"/>
      <c r="B58" s="39">
        <v>6</v>
      </c>
      <c r="C58" s="105" t="s">
        <v>551</v>
      </c>
      <c r="D58" s="105"/>
      <c r="E58" s="105"/>
      <c r="F58" s="105" t="s">
        <v>458</v>
      </c>
      <c r="G58" s="105"/>
      <c r="H58" s="34"/>
      <c r="I58" s="34"/>
      <c r="J58" s="34"/>
      <c r="K58" s="34"/>
      <c r="L58" s="34"/>
      <c r="M58" s="34"/>
      <c r="N58" s="34"/>
      <c r="O58" s="34"/>
      <c r="P58" s="34"/>
      <c r="Q58" s="34"/>
    </row>
    <row r="59" spans="1:17" ht="14.5" customHeight="1">
      <c r="A59" s="34"/>
      <c r="B59" s="39">
        <v>7</v>
      </c>
      <c r="C59" s="105" t="s">
        <v>552</v>
      </c>
      <c r="D59" s="105"/>
      <c r="E59" s="105"/>
      <c r="F59" s="105" t="s">
        <v>458</v>
      </c>
      <c r="G59" s="105"/>
      <c r="H59" s="34"/>
      <c r="I59" s="34"/>
      <c r="J59" s="34"/>
      <c r="K59" s="34"/>
      <c r="L59" s="34"/>
      <c r="M59" s="34"/>
      <c r="N59" s="34"/>
      <c r="O59" s="34"/>
      <c r="P59" s="34"/>
      <c r="Q59" s="34"/>
    </row>
    <row r="60" spans="1:17" ht="14.5" customHeight="1">
      <c r="A60" s="34"/>
      <c r="B60" s="39">
        <v>8</v>
      </c>
      <c r="C60" s="105" t="s">
        <v>553</v>
      </c>
      <c r="D60" s="105"/>
      <c r="E60" s="105"/>
      <c r="F60" s="105" t="s">
        <v>473</v>
      </c>
      <c r="G60" s="105"/>
      <c r="H60" s="34"/>
      <c r="I60" s="34"/>
      <c r="J60" s="34"/>
      <c r="K60" s="34"/>
      <c r="L60" s="34"/>
      <c r="M60" s="34"/>
      <c r="N60" s="34"/>
      <c r="O60" s="34"/>
      <c r="P60" s="34"/>
      <c r="Q60" s="34"/>
    </row>
    <row r="61" spans="1:17" ht="14.5" customHeight="1">
      <c r="A61" s="34"/>
      <c r="B61" s="39">
        <v>9</v>
      </c>
      <c r="C61" s="105" t="s">
        <v>554</v>
      </c>
      <c r="D61" s="105"/>
      <c r="E61" s="105"/>
      <c r="F61" s="105" t="s">
        <v>473</v>
      </c>
      <c r="G61" s="105"/>
      <c r="H61" s="34"/>
      <c r="I61" s="34"/>
      <c r="J61" s="34"/>
      <c r="K61" s="34"/>
      <c r="L61" s="34"/>
      <c r="M61" s="34"/>
      <c r="N61" s="34"/>
      <c r="O61" s="34"/>
      <c r="P61" s="34"/>
      <c r="Q61" s="34"/>
    </row>
    <row r="62" spans="1:17" ht="14.5" customHeight="1">
      <c r="A62" s="34"/>
      <c r="B62" s="39">
        <v>10</v>
      </c>
      <c r="C62" s="105" t="s">
        <v>555</v>
      </c>
      <c r="D62" s="105"/>
      <c r="E62" s="105"/>
      <c r="F62" s="105" t="s">
        <v>473</v>
      </c>
      <c r="G62" s="105"/>
      <c r="H62" s="34"/>
      <c r="I62" s="34"/>
      <c r="J62" s="34"/>
      <c r="K62" s="34"/>
      <c r="L62" s="34"/>
      <c r="M62" s="34"/>
      <c r="N62" s="34"/>
      <c r="O62" s="34"/>
      <c r="P62" s="34"/>
      <c r="Q62" s="34"/>
    </row>
    <row r="63" spans="1:17" ht="14.5" customHeight="1">
      <c r="A63" s="34"/>
      <c r="B63" s="39">
        <v>11</v>
      </c>
      <c r="C63" s="105" t="s">
        <v>556</v>
      </c>
      <c r="D63" s="105"/>
      <c r="E63" s="105"/>
      <c r="F63" s="105" t="s">
        <v>473</v>
      </c>
      <c r="G63" s="105"/>
      <c r="H63" s="34"/>
      <c r="I63" s="34"/>
      <c r="J63" s="34"/>
      <c r="K63" s="34"/>
      <c r="L63" s="34"/>
      <c r="M63" s="34"/>
      <c r="N63" s="34"/>
      <c r="O63" s="34"/>
      <c r="P63" s="34"/>
      <c r="Q63" s="34"/>
    </row>
    <row r="64" spans="1:17"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41">
    <mergeCell ref="A1:H1"/>
    <mergeCell ref="G4:G12"/>
    <mergeCell ref="A13:A21"/>
    <mergeCell ref="H13:H21"/>
    <mergeCell ref="G13:G21"/>
    <mergeCell ref="A4:A12"/>
    <mergeCell ref="H4:H12"/>
    <mergeCell ref="A31:A39"/>
    <mergeCell ref="H31:H39"/>
    <mergeCell ref="G31:G39"/>
    <mergeCell ref="A22:A30"/>
    <mergeCell ref="H22:H30"/>
    <mergeCell ref="G22:G30"/>
    <mergeCell ref="C54:E54"/>
    <mergeCell ref="F54:G54"/>
    <mergeCell ref="A40:A48"/>
    <mergeCell ref="H40:H48"/>
    <mergeCell ref="G40:G48"/>
    <mergeCell ref="B51:G51"/>
    <mergeCell ref="C52:E52"/>
    <mergeCell ref="F52:G52"/>
    <mergeCell ref="C53:E53"/>
    <mergeCell ref="F53:G53"/>
    <mergeCell ref="C55:E55"/>
    <mergeCell ref="F55:G55"/>
    <mergeCell ref="C56:E56"/>
    <mergeCell ref="F56:G56"/>
    <mergeCell ref="C57:E57"/>
    <mergeCell ref="F57:G57"/>
    <mergeCell ref="C58:E58"/>
    <mergeCell ref="F58:G58"/>
    <mergeCell ref="C59:E59"/>
    <mergeCell ref="F59:G59"/>
    <mergeCell ref="C60:E60"/>
    <mergeCell ref="F60:G60"/>
    <mergeCell ref="C61:E61"/>
    <mergeCell ref="F61:G61"/>
    <mergeCell ref="C62:E62"/>
    <mergeCell ref="F62:G62"/>
    <mergeCell ref="C63:E63"/>
    <mergeCell ref="F63:G6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392B4-340E-4301-82B7-B284BEF4694E}">
  <dimension ref="A1:AZ200"/>
  <sheetViews>
    <sheetView showGridLines="0" rightToLeft="1" zoomScale="85" zoomScaleNormal="85" workbookViewId="0">
      <pane ySplit="3" topLeftCell="A50" activePane="bottomLeft" state="frozen"/>
      <selection pane="bottomLeft" activeCell="K84" sqref="K84"/>
    </sheetView>
  </sheetViews>
  <sheetFormatPr defaultRowHeight="14.5"/>
  <cols>
    <col min="1" max="1" width="10.90625" style="24" customWidth="1"/>
    <col min="2" max="2" width="17.26953125" style="24" customWidth="1"/>
    <col min="3" max="8" width="14.54296875" style="24" customWidth="1"/>
    <col min="9" max="11" width="15.453125" style="24" customWidth="1"/>
    <col min="12" max="12" width="11.6328125" style="24" customWidth="1"/>
    <col min="13" max="13" width="27.26953125" style="24" customWidth="1"/>
    <col min="14" max="14" width="11.6328125" style="24" customWidth="1"/>
    <col min="15" max="20" width="13.6328125" style="24" customWidth="1"/>
    <col min="21" max="52" width="11.6328125" style="24" customWidth="1"/>
    <col min="53" max="16384" width="8.7265625" style="24"/>
  </cols>
  <sheetData>
    <row r="1" spans="1:52" ht="26" customHeight="1">
      <c r="A1" s="111" t="s">
        <v>262</v>
      </c>
      <c r="B1" s="111"/>
      <c r="C1" s="111"/>
      <c r="D1" s="111"/>
      <c r="E1" s="111"/>
      <c r="F1" s="111"/>
      <c r="G1" s="111"/>
      <c r="H1" s="111"/>
      <c r="I1" s="111"/>
      <c r="J1" s="111"/>
      <c r="K1" s="111"/>
      <c r="L1" s="34"/>
      <c r="M1" s="34"/>
      <c r="N1" s="34"/>
      <c r="O1" s="34"/>
      <c r="P1" s="34"/>
      <c r="Q1" s="34"/>
      <c r="R1" s="34"/>
      <c r="S1" s="34"/>
      <c r="T1" s="34"/>
      <c r="U1"/>
      <c r="V1"/>
      <c r="W1"/>
      <c r="X1"/>
      <c r="Y1"/>
      <c r="Z1"/>
      <c r="AA1"/>
      <c r="AB1"/>
      <c r="AC1"/>
      <c r="AD1"/>
      <c r="AE1"/>
      <c r="AF1"/>
      <c r="AG1"/>
      <c r="AH1"/>
      <c r="AI1"/>
      <c r="AJ1"/>
      <c r="AK1"/>
      <c r="AL1"/>
      <c r="AM1"/>
      <c r="AN1"/>
      <c r="AO1"/>
      <c r="AP1"/>
      <c r="AQ1"/>
      <c r="AR1"/>
      <c r="AS1"/>
      <c r="AT1"/>
      <c r="AU1"/>
      <c r="AV1"/>
      <c r="AW1"/>
      <c r="AX1"/>
      <c r="AY1"/>
      <c r="AZ1"/>
    </row>
    <row r="2" spans="1:52" ht="8" customHeight="1">
      <c r="A2" s="34"/>
      <c r="B2" s="34"/>
      <c r="C2" s="34"/>
      <c r="D2" s="34"/>
      <c r="E2" s="34"/>
      <c r="F2" s="34"/>
      <c r="G2" s="34"/>
      <c r="H2" s="34"/>
      <c r="I2" s="34"/>
      <c r="J2" s="34"/>
      <c r="K2" s="34"/>
      <c r="L2" s="34"/>
      <c r="M2" s="34"/>
      <c r="N2" s="34"/>
      <c r="O2" s="34"/>
      <c r="P2" s="34"/>
      <c r="Q2" s="34"/>
      <c r="R2" s="34"/>
      <c r="S2" s="34"/>
      <c r="T2" s="34"/>
      <c r="U2"/>
      <c r="V2"/>
      <c r="W2"/>
      <c r="X2"/>
      <c r="Y2"/>
      <c r="Z2"/>
      <c r="AA2"/>
      <c r="AB2"/>
      <c r="AC2"/>
      <c r="AD2"/>
      <c r="AE2"/>
      <c r="AF2"/>
      <c r="AG2"/>
      <c r="AH2"/>
      <c r="AI2"/>
      <c r="AJ2"/>
      <c r="AK2"/>
      <c r="AL2"/>
      <c r="AM2"/>
      <c r="AN2"/>
      <c r="AO2"/>
      <c r="AP2"/>
      <c r="AQ2"/>
      <c r="AR2"/>
      <c r="AS2"/>
      <c r="AT2"/>
      <c r="AU2"/>
      <c r="AV2"/>
      <c r="AW2"/>
      <c r="AX2"/>
      <c r="AY2"/>
      <c r="AZ2"/>
    </row>
    <row r="3" spans="1:52" ht="32" customHeight="1">
      <c r="A3" s="35" t="s">
        <v>0</v>
      </c>
      <c r="B3" s="35" t="s">
        <v>1</v>
      </c>
      <c r="C3" s="35" t="s">
        <v>127</v>
      </c>
      <c r="D3" s="35" t="s">
        <v>128</v>
      </c>
      <c r="E3" s="35" t="s">
        <v>129</v>
      </c>
      <c r="F3" s="35" t="s">
        <v>263</v>
      </c>
      <c r="G3" s="35" t="s">
        <v>131</v>
      </c>
      <c r="H3" s="35" t="s">
        <v>132</v>
      </c>
      <c r="I3" s="35" t="s">
        <v>138</v>
      </c>
      <c r="J3" s="35" t="s">
        <v>170</v>
      </c>
      <c r="K3" s="35" t="s">
        <v>171</v>
      </c>
      <c r="L3" s="34"/>
      <c r="M3" s="43" t="s">
        <v>244</v>
      </c>
      <c r="N3" s="34"/>
      <c r="O3" s="35" t="s">
        <v>245</v>
      </c>
      <c r="P3" s="35" t="s">
        <v>246</v>
      </c>
      <c r="Q3" s="35" t="s">
        <v>247</v>
      </c>
      <c r="R3" s="35" t="s">
        <v>145</v>
      </c>
      <c r="S3" s="35" t="s">
        <v>146</v>
      </c>
      <c r="T3" s="35" t="s">
        <v>248</v>
      </c>
      <c r="U3"/>
      <c r="V3"/>
      <c r="W3"/>
      <c r="X3"/>
      <c r="Y3"/>
      <c r="Z3"/>
      <c r="AA3"/>
      <c r="AB3"/>
      <c r="AC3"/>
      <c r="AD3"/>
      <c r="AE3"/>
      <c r="AF3"/>
      <c r="AG3"/>
      <c r="AH3"/>
      <c r="AI3"/>
      <c r="AJ3"/>
      <c r="AK3"/>
      <c r="AL3"/>
      <c r="AM3"/>
      <c r="AN3"/>
      <c r="AO3"/>
      <c r="AP3"/>
      <c r="AQ3"/>
      <c r="AR3"/>
      <c r="AS3"/>
      <c r="AT3"/>
      <c r="AU3"/>
      <c r="AV3"/>
      <c r="AW3"/>
      <c r="AX3"/>
      <c r="AY3"/>
      <c r="AZ3"/>
    </row>
    <row r="4" spans="1:52"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38</v>
      </c>
      <c r="D4" s="37" t="s">
        <v>44</v>
      </c>
      <c r="E4" s="37" t="s">
        <v>50</v>
      </c>
      <c r="F4" s="37" t="s">
        <v>35</v>
      </c>
      <c r="G4" s="37" t="s">
        <v>49</v>
      </c>
      <c r="H4" s="37" t="s">
        <v>48</v>
      </c>
      <c r="I4" s="107">
        <f>COUNTIF(C4:H12,"* ضد *")</f>
        <v>24</v>
      </c>
      <c r="J4" s="108">
        <f>COUNTIF(C4:E12,"* ضد *")*2/6</f>
        <v>4</v>
      </c>
      <c r="K4" s="108">
        <f>COUNTIF(F4:H12,"* ضد *")*2/6</f>
        <v>4</v>
      </c>
      <c r="L4" s="34"/>
      <c r="M4" s="44" t="str">
        <f t="shared" ref="M4:M35" si="0">_xlfn.TEXTJOIN(" ",TRUE,C4:H4)</f>
        <v>1 ضد 6 2 ضد 5 3 ضد 4 7 ضد 12 8 ضد 11 9 ضد 10</v>
      </c>
      <c r="N4" s="34"/>
      <c r="O4" s="39">
        <v>1</v>
      </c>
      <c r="P4" s="39" cm="1">
        <f t="array" ref="P4">SUMPRODUCT(--ISNUMBER(SEARCH(" "&amp;$O4&amp;" "," "&amp;M$4:M$57&amp;" ")))</f>
        <v>25</v>
      </c>
      <c r="Q4" s="39" cm="1">
        <f t="array" ref="Q4">SUMPRODUCT(--ISNUMBER(SEARCH(" "&amp;$O4&amp;" "," "&amp;M$4:M$56&amp;" ")),--ISNUMBER(SEARCH(" "&amp;$O4&amp;" "," "&amp;M$5:M$57&amp;" ")),--(MOD(ROW(M$4:M$56)-4,$P$17)&lt;=$P$17-2))</f>
        <v>0</v>
      </c>
      <c r="R4" s="39" cm="1">
        <f t="array" ref="R4">SUMPRODUCT(--ISNUMBER(SEARCH(" "&amp;$O4&amp;" "," "&amp;M$4:M$55&amp;" ")),--ISNUMBER(SEARCH(" "&amp;$O4&amp;" "," "&amp;M$6:M$57&amp;" ")),--(MOD(ROW(M$4:M$55)-4,$P$17)&lt;=$P$17-3))</f>
        <v>19</v>
      </c>
      <c r="S4" s="39" cm="1">
        <f t="array" ref="S4">SUMPRODUCT(--ISNUMBER(SEARCH(" "&amp;$O4&amp;" "," "&amp;M$4:M$54&amp;" ")),--ISNUMBER(SEARCH(" "&amp;$O4&amp;" "," "&amp;M$7:M$57&amp;" ")),--(MOD(ROW(M$4:M$54)-4,$P$17)&lt;=$P$17-4))</f>
        <v>0</v>
      </c>
      <c r="T4" s="39">
        <f t="shared" ref="T4:T15" si="1">P4-COUNTIF($A$4:$A$57,"اليوم *")-Q4-R4-S4</f>
        <v>0</v>
      </c>
      <c r="U4"/>
      <c r="V4"/>
      <c r="W4"/>
      <c r="X4"/>
      <c r="Y4"/>
      <c r="Z4"/>
      <c r="AA4"/>
      <c r="AB4"/>
      <c r="AC4"/>
      <c r="AD4"/>
      <c r="AE4"/>
      <c r="AF4"/>
      <c r="AG4"/>
      <c r="AH4"/>
      <c r="AI4"/>
      <c r="AJ4"/>
      <c r="AK4"/>
      <c r="AL4"/>
      <c r="AM4"/>
      <c r="AN4"/>
      <c r="AO4"/>
      <c r="AP4"/>
      <c r="AQ4"/>
      <c r="AR4"/>
      <c r="AS4"/>
      <c r="AT4"/>
      <c r="AU4"/>
      <c r="AV4"/>
      <c r="AW4"/>
      <c r="AX4"/>
      <c r="AY4"/>
      <c r="AZ4"/>
    </row>
    <row r="5" spans="1:52"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114" t="s">
        <v>139</v>
      </c>
      <c r="D5" s="108"/>
      <c r="E5" s="108"/>
      <c r="F5" s="114" t="s">
        <v>139</v>
      </c>
      <c r="G5" s="108"/>
      <c r="H5" s="108"/>
      <c r="I5" s="108"/>
      <c r="J5" s="108"/>
      <c r="K5" s="108"/>
      <c r="L5" s="34"/>
      <c r="M5" s="44" t="str">
        <f t="shared" si="0"/>
        <v>استراحة (لا توجد مباريات) استراحة (لا توجد مباريات)</v>
      </c>
      <c r="N5" s="34"/>
      <c r="O5" s="39">
        <v>2</v>
      </c>
      <c r="P5" s="39" cm="1">
        <f t="array" ref="P5">SUMPRODUCT(--ISNUMBER(SEARCH(" "&amp;$O5&amp;" "," "&amp;M$4:M$57&amp;" ")))</f>
        <v>25</v>
      </c>
      <c r="Q5" s="39" cm="1">
        <f t="array" ref="Q5">SUMPRODUCT(--ISNUMBER(SEARCH(" "&amp;$O5&amp;" "," "&amp;M$4:M$56&amp;" ")),--ISNUMBER(SEARCH(" "&amp;$O5&amp;" "," "&amp;M$5:M$57&amp;" ")),--(MOD(ROW(M$4:M$56)-4,$P$17)&lt;=$P$17-2))</f>
        <v>0</v>
      </c>
      <c r="R5" s="39" cm="1">
        <f t="array" ref="R5">SUMPRODUCT(--ISNUMBER(SEARCH(" "&amp;$O5&amp;" "," "&amp;M$4:M$55&amp;" ")),--ISNUMBER(SEARCH(" "&amp;$O5&amp;" "," "&amp;M$6:M$57&amp;" ")),--(MOD(ROW(M$4:M$55)-4,$P$17)&lt;=$P$17-3))</f>
        <v>19</v>
      </c>
      <c r="S5" s="39" cm="1">
        <f t="array" ref="S5">SUMPRODUCT(--ISNUMBER(SEARCH(" "&amp;$O5&amp;" "," "&amp;M$4:M$54&amp;" ")),--ISNUMBER(SEARCH(" "&amp;$O5&amp;" "," "&amp;M$7:M$57&amp;" ")),--(MOD(ROW(M$4:M$54)-4,$P$17)&lt;=$P$17-4))</f>
        <v>0</v>
      </c>
      <c r="T5" s="39">
        <f t="shared" si="1"/>
        <v>0</v>
      </c>
      <c r="U5"/>
      <c r="V5"/>
      <c r="W5"/>
      <c r="X5"/>
      <c r="Y5"/>
      <c r="Z5"/>
      <c r="AA5"/>
      <c r="AB5"/>
      <c r="AC5"/>
      <c r="AD5"/>
      <c r="AE5"/>
      <c r="AF5"/>
      <c r="AG5"/>
      <c r="AH5"/>
      <c r="AI5"/>
      <c r="AJ5"/>
      <c r="AK5"/>
      <c r="AL5"/>
      <c r="AM5"/>
      <c r="AN5"/>
      <c r="AO5"/>
      <c r="AP5"/>
      <c r="AQ5"/>
      <c r="AR5"/>
      <c r="AS5"/>
      <c r="AT5"/>
      <c r="AU5"/>
      <c r="AV5"/>
      <c r="AW5"/>
      <c r="AX5"/>
      <c r="AY5"/>
      <c r="AZ5"/>
    </row>
    <row r="6" spans="1:52"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37</v>
      </c>
      <c r="D6" s="37" t="s">
        <v>157</v>
      </c>
      <c r="E6" s="37" t="s">
        <v>40</v>
      </c>
      <c r="F6" s="37" t="s">
        <v>67</v>
      </c>
      <c r="G6" s="37" t="s">
        <v>172</v>
      </c>
      <c r="H6" s="37" t="s">
        <v>65</v>
      </c>
      <c r="I6" s="108"/>
      <c r="J6" s="108"/>
      <c r="K6" s="108"/>
      <c r="L6" s="34"/>
      <c r="M6" s="44" t="str">
        <f t="shared" si="0"/>
        <v>2 ضد 3 6 ضد 4 1 ضد 5 8 ضد 9 12 ضد 10 7 ضد 11</v>
      </c>
      <c r="N6" s="34"/>
      <c r="O6" s="39">
        <v>3</v>
      </c>
      <c r="P6" s="39" cm="1">
        <f t="array" ref="P6">SUMPRODUCT(--ISNUMBER(SEARCH(" "&amp;$O6&amp;" "," "&amp;M$4:M$57&amp;" ")))</f>
        <v>25</v>
      </c>
      <c r="Q6" s="39" cm="1">
        <f t="array" ref="Q6">SUMPRODUCT(--ISNUMBER(SEARCH(" "&amp;$O6&amp;" "," "&amp;M$4:M$56&amp;" ")),--ISNUMBER(SEARCH(" "&amp;$O6&amp;" "," "&amp;M$5:M$57&amp;" ")),--(MOD(ROW(M$4:M$56)-4,$P$17)&lt;=$P$17-2))</f>
        <v>0</v>
      </c>
      <c r="R6" s="39" cm="1">
        <f t="array" ref="R6">SUMPRODUCT(--ISNUMBER(SEARCH(" "&amp;$O6&amp;" "," "&amp;M$4:M$55&amp;" ")),--ISNUMBER(SEARCH(" "&amp;$O6&amp;" "," "&amp;M$6:M$57&amp;" ")),--(MOD(ROW(M$4:M$55)-4,$P$17)&lt;=$P$17-3))</f>
        <v>19</v>
      </c>
      <c r="S6" s="39" cm="1">
        <f t="array" ref="S6">SUMPRODUCT(--ISNUMBER(SEARCH(" "&amp;$O6&amp;" "," "&amp;M$4:M$54&amp;" ")),--ISNUMBER(SEARCH(" "&amp;$O6&amp;" "," "&amp;M$7:M$57&amp;" ")),--(MOD(ROW(M$4:M$54)-4,$P$17)&lt;=$P$17-4))</f>
        <v>0</v>
      </c>
      <c r="T6" s="39">
        <f t="shared" si="1"/>
        <v>0</v>
      </c>
      <c r="U6"/>
      <c r="V6"/>
      <c r="W6"/>
      <c r="X6"/>
      <c r="Y6"/>
      <c r="Z6"/>
      <c r="AA6"/>
      <c r="AB6"/>
      <c r="AC6"/>
      <c r="AD6"/>
      <c r="AE6"/>
      <c r="AF6"/>
      <c r="AG6"/>
      <c r="AH6"/>
      <c r="AI6"/>
      <c r="AJ6"/>
      <c r="AK6"/>
      <c r="AL6"/>
      <c r="AM6"/>
      <c r="AN6"/>
      <c r="AO6"/>
      <c r="AP6"/>
      <c r="AQ6"/>
      <c r="AR6"/>
      <c r="AS6"/>
      <c r="AT6"/>
      <c r="AU6"/>
      <c r="AV6"/>
      <c r="AW6"/>
      <c r="AX6"/>
      <c r="AY6"/>
      <c r="AZ6"/>
    </row>
    <row r="7" spans="1:52"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114" t="s">
        <v>139</v>
      </c>
      <c r="D7" s="108"/>
      <c r="E7" s="108"/>
      <c r="F7" s="114" t="s">
        <v>139</v>
      </c>
      <c r="G7" s="108"/>
      <c r="H7" s="108"/>
      <c r="I7" s="108"/>
      <c r="J7" s="108"/>
      <c r="K7" s="108"/>
      <c r="L7" s="34"/>
      <c r="M7" s="44" t="str">
        <f t="shared" si="0"/>
        <v>استراحة (لا توجد مباريات) استراحة (لا توجد مباريات)</v>
      </c>
      <c r="N7" s="34"/>
      <c r="O7" s="39">
        <v>4</v>
      </c>
      <c r="P7" s="39" cm="1">
        <f t="array" ref="P7">SUMPRODUCT(--ISNUMBER(SEARCH(" "&amp;$O7&amp;" "," "&amp;M$4:M$57&amp;" ")))</f>
        <v>25</v>
      </c>
      <c r="Q7" s="39" cm="1">
        <f t="array" ref="Q7">SUMPRODUCT(--ISNUMBER(SEARCH(" "&amp;$O7&amp;" "," "&amp;M$4:M$56&amp;" ")),--ISNUMBER(SEARCH(" "&amp;$O7&amp;" "," "&amp;M$5:M$57&amp;" ")),--(MOD(ROW(M$4:M$56)-4,$P$17)&lt;=$P$17-2))</f>
        <v>0</v>
      </c>
      <c r="R7" s="39" cm="1">
        <f t="array" ref="R7">SUMPRODUCT(--ISNUMBER(SEARCH(" "&amp;$O7&amp;" "," "&amp;M$4:M$55&amp;" ")),--ISNUMBER(SEARCH(" "&amp;$O7&amp;" "," "&amp;M$6:M$57&amp;" ")),--(MOD(ROW(M$4:M$55)-4,$P$17)&lt;=$P$17-3))</f>
        <v>19</v>
      </c>
      <c r="S7" s="39" cm="1">
        <f t="array" ref="S7">SUMPRODUCT(--ISNUMBER(SEARCH(" "&amp;$O7&amp;" "," "&amp;M$4:M$54&amp;" ")),--ISNUMBER(SEARCH(" "&amp;$O7&amp;" "," "&amp;M$7:M$57&amp;" ")),--(MOD(ROW(M$4:M$54)-4,$P$17)&lt;=$P$17-4))</f>
        <v>0</v>
      </c>
      <c r="T7" s="39">
        <f t="shared" si="1"/>
        <v>0</v>
      </c>
      <c r="U7"/>
      <c r="V7"/>
      <c r="W7"/>
      <c r="X7"/>
      <c r="Y7"/>
      <c r="Z7"/>
      <c r="AA7"/>
      <c r="AB7"/>
      <c r="AC7"/>
      <c r="AD7"/>
      <c r="AE7"/>
      <c r="AF7"/>
      <c r="AG7"/>
      <c r="AH7"/>
      <c r="AI7"/>
      <c r="AJ7"/>
      <c r="AK7"/>
      <c r="AL7"/>
      <c r="AM7"/>
      <c r="AN7"/>
      <c r="AO7"/>
      <c r="AP7"/>
      <c r="AQ7"/>
      <c r="AR7"/>
      <c r="AS7"/>
      <c r="AT7"/>
      <c r="AU7"/>
      <c r="AV7"/>
      <c r="AW7"/>
      <c r="AX7"/>
      <c r="AY7"/>
      <c r="AZ7"/>
    </row>
    <row r="8" spans="1:52"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158</v>
      </c>
      <c r="D8" s="37" t="s">
        <v>63</v>
      </c>
      <c r="E8" s="37" t="s">
        <v>159</v>
      </c>
      <c r="F8" s="37" t="s">
        <v>173</v>
      </c>
      <c r="G8" s="37" t="s">
        <v>60</v>
      </c>
      <c r="H8" s="37" t="s">
        <v>174</v>
      </c>
      <c r="I8" s="108"/>
      <c r="J8" s="108"/>
      <c r="K8" s="108"/>
      <c r="L8" s="34"/>
      <c r="M8" s="44" t="str">
        <f t="shared" si="0"/>
        <v>5 ضد 3 1 ضد 4 6 ضد 2 11 ضد 9 7 ضد 10 12 ضد 8</v>
      </c>
      <c r="N8" s="34"/>
      <c r="O8" s="39">
        <v>5</v>
      </c>
      <c r="P8" s="39" cm="1">
        <f t="array" ref="P8">SUMPRODUCT(--ISNUMBER(SEARCH(" "&amp;$O8&amp;" "," "&amp;M$4:M$57&amp;" ")))</f>
        <v>25</v>
      </c>
      <c r="Q8" s="39" cm="1">
        <f t="array" ref="Q8">SUMPRODUCT(--ISNUMBER(SEARCH(" "&amp;$O8&amp;" "," "&amp;M$4:M$56&amp;" ")),--ISNUMBER(SEARCH(" "&amp;$O8&amp;" "," "&amp;M$5:M$57&amp;" ")),--(MOD(ROW(M$4:M$56)-4,$P$17)&lt;=$P$17-2))</f>
        <v>0</v>
      </c>
      <c r="R8" s="39" cm="1">
        <f t="array" ref="R8">SUMPRODUCT(--ISNUMBER(SEARCH(" "&amp;$O8&amp;" "," "&amp;M$4:M$55&amp;" ")),--ISNUMBER(SEARCH(" "&amp;$O8&amp;" "," "&amp;M$6:M$57&amp;" ")),--(MOD(ROW(M$4:M$55)-4,$P$17)&lt;=$P$17-3))</f>
        <v>19</v>
      </c>
      <c r="S8" s="39" cm="1">
        <f t="array" ref="S8">SUMPRODUCT(--ISNUMBER(SEARCH(" "&amp;$O8&amp;" "," "&amp;M$4:M$54&amp;" ")),--ISNUMBER(SEARCH(" "&amp;$O8&amp;" "," "&amp;M$7:M$57&amp;" ")),--(MOD(ROW(M$4:M$54)-4,$P$17)&lt;=$P$17-4))</f>
        <v>0</v>
      </c>
      <c r="T8" s="39">
        <f t="shared" si="1"/>
        <v>0</v>
      </c>
      <c r="U8"/>
      <c r="V8"/>
      <c r="W8"/>
      <c r="X8"/>
      <c r="Y8"/>
      <c r="Z8"/>
      <c r="AA8"/>
      <c r="AB8"/>
      <c r="AC8"/>
      <c r="AD8"/>
      <c r="AE8"/>
      <c r="AF8"/>
      <c r="AG8"/>
      <c r="AH8"/>
      <c r="AI8"/>
      <c r="AJ8"/>
      <c r="AK8"/>
      <c r="AL8"/>
      <c r="AM8"/>
      <c r="AN8"/>
      <c r="AO8"/>
      <c r="AP8"/>
      <c r="AQ8"/>
      <c r="AR8"/>
      <c r="AS8"/>
      <c r="AT8"/>
      <c r="AU8"/>
      <c r="AV8"/>
      <c r="AW8"/>
      <c r="AX8"/>
      <c r="AY8"/>
      <c r="AZ8"/>
    </row>
    <row r="9" spans="1:52"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114" t="s">
        <v>139</v>
      </c>
      <c r="D9" s="108"/>
      <c r="E9" s="108"/>
      <c r="F9" s="114" t="s">
        <v>139</v>
      </c>
      <c r="G9" s="108"/>
      <c r="H9" s="108"/>
      <c r="I9" s="108"/>
      <c r="J9" s="108"/>
      <c r="K9" s="108"/>
      <c r="L9" s="34"/>
      <c r="M9" s="44" t="str">
        <f t="shared" si="0"/>
        <v>استراحة (لا توجد مباريات) استراحة (لا توجد مباريات)</v>
      </c>
      <c r="N9" s="34"/>
      <c r="O9" s="39">
        <v>6</v>
      </c>
      <c r="P9" s="39" cm="1">
        <f t="array" ref="P9">SUMPRODUCT(--ISNUMBER(SEARCH(" "&amp;$O9&amp;" "," "&amp;M$4:M$57&amp;" ")))</f>
        <v>25</v>
      </c>
      <c r="Q9" s="39" cm="1">
        <f t="array" ref="Q9">SUMPRODUCT(--ISNUMBER(SEARCH(" "&amp;$O9&amp;" "," "&amp;M$4:M$56&amp;" ")),--ISNUMBER(SEARCH(" "&amp;$O9&amp;" "," "&amp;M$5:M$57&amp;" ")),--(MOD(ROW(M$4:M$56)-4,$P$17)&lt;=$P$17-2))</f>
        <v>0</v>
      </c>
      <c r="R9" s="39" cm="1">
        <f t="array" ref="R9">SUMPRODUCT(--ISNUMBER(SEARCH(" "&amp;$O9&amp;" "," "&amp;M$4:M$55&amp;" ")),--ISNUMBER(SEARCH(" "&amp;$O9&amp;" "," "&amp;M$6:M$57&amp;" ")),--(MOD(ROW(M$4:M$55)-4,$P$17)&lt;=$P$17-3))</f>
        <v>19</v>
      </c>
      <c r="S9" s="39" cm="1">
        <f t="array" ref="S9">SUMPRODUCT(--ISNUMBER(SEARCH(" "&amp;$O9&amp;" "," "&amp;M$4:M$54&amp;" ")),--ISNUMBER(SEARCH(" "&amp;$O9&amp;" "," "&amp;M$7:M$57&amp;" ")),--(MOD(ROW(M$4:M$54)-4,$P$17)&lt;=$P$17-4))</f>
        <v>0</v>
      </c>
      <c r="T9" s="39">
        <f t="shared" si="1"/>
        <v>0</v>
      </c>
      <c r="U9"/>
      <c r="V9"/>
      <c r="W9"/>
      <c r="X9"/>
      <c r="Y9"/>
      <c r="Z9"/>
      <c r="AA9"/>
      <c r="AB9"/>
      <c r="AC9"/>
      <c r="AD9"/>
      <c r="AE9"/>
      <c r="AF9"/>
      <c r="AG9"/>
      <c r="AH9"/>
      <c r="AI9"/>
      <c r="AJ9"/>
      <c r="AK9"/>
      <c r="AL9"/>
      <c r="AM9"/>
      <c r="AN9"/>
      <c r="AO9"/>
      <c r="AP9"/>
      <c r="AQ9"/>
      <c r="AR9"/>
      <c r="AS9"/>
      <c r="AT9"/>
      <c r="AU9"/>
      <c r="AV9"/>
      <c r="AW9"/>
      <c r="AX9"/>
      <c r="AY9"/>
      <c r="AZ9"/>
    </row>
    <row r="10" spans="1:52"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160</v>
      </c>
      <c r="D10" s="37" t="s">
        <v>20</v>
      </c>
      <c r="E10" s="37" t="s">
        <v>55</v>
      </c>
      <c r="F10" s="37" t="s">
        <v>175</v>
      </c>
      <c r="G10" s="37" t="s">
        <v>51</v>
      </c>
      <c r="H10" s="37" t="s">
        <v>21</v>
      </c>
      <c r="I10" s="108"/>
      <c r="J10" s="108"/>
      <c r="K10" s="108"/>
      <c r="L10" s="34"/>
      <c r="M10" s="44" t="str">
        <f t="shared" si="0"/>
        <v>4 ضد 2 1 ضد 3 5 ضد 6 10 ضد 8 7 ضد 9 11 ضد 12</v>
      </c>
      <c r="N10" s="34"/>
      <c r="O10" s="39">
        <v>7</v>
      </c>
      <c r="P10" s="39" cm="1">
        <f t="array" ref="P10">SUMPRODUCT(--ISNUMBER(SEARCH(" "&amp;$O10&amp;" "," "&amp;M$4:M$57&amp;" ")))</f>
        <v>25</v>
      </c>
      <c r="Q10" s="39" cm="1">
        <f t="array" ref="Q10">SUMPRODUCT(--ISNUMBER(SEARCH(" "&amp;$O10&amp;" "," "&amp;M$4:M$56&amp;" ")),--ISNUMBER(SEARCH(" "&amp;$O10&amp;" "," "&amp;M$5:M$57&amp;" ")),--(MOD(ROW(M$4:M$56)-4,$P$17)&lt;=$P$17-2))</f>
        <v>0</v>
      </c>
      <c r="R10" s="39" cm="1">
        <f t="array" ref="R10">SUMPRODUCT(--ISNUMBER(SEARCH(" "&amp;$O10&amp;" "," "&amp;M$4:M$55&amp;" ")),--ISNUMBER(SEARCH(" "&amp;$O10&amp;" "," "&amp;M$6:M$57&amp;" ")),--(MOD(ROW(M$4:M$55)-4,$P$17)&lt;=$P$17-3))</f>
        <v>19</v>
      </c>
      <c r="S10" s="39" cm="1">
        <f t="array" ref="S10">SUMPRODUCT(--ISNUMBER(SEARCH(" "&amp;$O10&amp;" "," "&amp;M$4:M$54&amp;" ")),--ISNUMBER(SEARCH(" "&amp;$O10&amp;" "," "&amp;M$7:M$57&amp;" ")),--(MOD(ROW(M$4:M$54)-4,$P$17)&lt;=$P$17-4))</f>
        <v>0</v>
      </c>
      <c r="T10" s="39">
        <f t="shared" si="1"/>
        <v>0</v>
      </c>
      <c r="U10"/>
      <c r="V10"/>
      <c r="W10"/>
      <c r="X10"/>
      <c r="Y10"/>
      <c r="Z10"/>
      <c r="AA10"/>
      <c r="AB10"/>
      <c r="AC10"/>
      <c r="AD10"/>
      <c r="AE10"/>
      <c r="AF10"/>
      <c r="AG10"/>
      <c r="AH10"/>
      <c r="AI10"/>
      <c r="AJ10"/>
      <c r="AK10"/>
      <c r="AL10"/>
      <c r="AM10"/>
      <c r="AN10"/>
      <c r="AO10"/>
      <c r="AP10"/>
      <c r="AQ10"/>
      <c r="AR10"/>
      <c r="AS10"/>
      <c r="AT10"/>
      <c r="AU10"/>
      <c r="AV10"/>
      <c r="AW10"/>
      <c r="AX10"/>
      <c r="AY10"/>
      <c r="AZ10"/>
    </row>
    <row r="11" spans="1:52" ht="14.5" customHeight="1">
      <c r="A11" s="106"/>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c r="D11" s="37"/>
      <c r="E11" s="37"/>
      <c r="F11" s="37"/>
      <c r="G11" s="37"/>
      <c r="H11" s="37"/>
      <c r="I11" s="108"/>
      <c r="J11" s="108"/>
      <c r="K11" s="108"/>
      <c r="L11" s="34"/>
      <c r="M11" s="44" t="str">
        <f t="shared" si="0"/>
        <v/>
      </c>
      <c r="N11" s="34"/>
      <c r="O11" s="39">
        <v>8</v>
      </c>
      <c r="P11" s="39" cm="1">
        <f t="array" ref="P11">SUMPRODUCT(--ISNUMBER(SEARCH(" "&amp;$O11&amp;" "," "&amp;M$4:M$57&amp;" ")))</f>
        <v>25</v>
      </c>
      <c r="Q11" s="39" cm="1">
        <f t="array" ref="Q11">SUMPRODUCT(--ISNUMBER(SEARCH(" "&amp;$O11&amp;" "," "&amp;M$4:M$56&amp;" ")),--ISNUMBER(SEARCH(" "&amp;$O11&amp;" "," "&amp;M$5:M$57&amp;" ")),--(MOD(ROW(M$4:M$56)-4,$P$17)&lt;=$P$17-2))</f>
        <v>0</v>
      </c>
      <c r="R11" s="39" cm="1">
        <f t="array" ref="R11">SUMPRODUCT(--ISNUMBER(SEARCH(" "&amp;$O11&amp;" "," "&amp;M$4:M$55&amp;" ")),--ISNUMBER(SEARCH(" "&amp;$O11&amp;" "," "&amp;M$6:M$57&amp;" ")),--(MOD(ROW(M$4:M$55)-4,$P$17)&lt;=$P$17-3))</f>
        <v>19</v>
      </c>
      <c r="S11" s="39" cm="1">
        <f t="array" ref="S11">SUMPRODUCT(--ISNUMBER(SEARCH(" "&amp;$O11&amp;" "," "&amp;M$4:M$54&amp;" ")),--ISNUMBER(SEARCH(" "&amp;$O11&amp;" "," "&amp;M$7:M$57&amp;" ")),--(MOD(ROW(M$4:M$54)-4,$P$17)&lt;=$P$17-4))</f>
        <v>0</v>
      </c>
      <c r="T11" s="39">
        <f t="shared" si="1"/>
        <v>0</v>
      </c>
      <c r="U11"/>
      <c r="V11"/>
      <c r="W11"/>
      <c r="X11"/>
      <c r="Y11"/>
      <c r="Z11"/>
      <c r="AA11"/>
      <c r="AB11"/>
      <c r="AC11"/>
      <c r="AD11"/>
      <c r="AE11"/>
      <c r="AF11"/>
      <c r="AG11"/>
      <c r="AH11"/>
      <c r="AI11"/>
      <c r="AJ11"/>
      <c r="AK11"/>
      <c r="AL11"/>
      <c r="AM11"/>
      <c r="AN11"/>
      <c r="AO11"/>
      <c r="AP11"/>
      <c r="AQ11"/>
      <c r="AR11"/>
      <c r="AS11"/>
      <c r="AT11"/>
      <c r="AU11"/>
      <c r="AV11"/>
      <c r="AW11"/>
      <c r="AX11"/>
      <c r="AY11"/>
      <c r="AZ11"/>
    </row>
    <row r="12" spans="1:52" ht="14.5" customHeight="1">
      <c r="A12" s="106"/>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c r="D12" s="37"/>
      <c r="E12" s="37"/>
      <c r="F12" s="37"/>
      <c r="G12" s="37"/>
      <c r="H12" s="37"/>
      <c r="I12" s="108"/>
      <c r="J12" s="108"/>
      <c r="K12" s="108"/>
      <c r="L12" s="34"/>
      <c r="M12" s="44" t="str">
        <f t="shared" si="0"/>
        <v/>
      </c>
      <c r="N12" s="34"/>
      <c r="O12" s="39">
        <v>9</v>
      </c>
      <c r="P12" s="39" cm="1">
        <f t="array" ref="P12">SUMPRODUCT(--ISNUMBER(SEARCH(" "&amp;$O12&amp;" "," "&amp;M$4:M$57&amp;" ")))</f>
        <v>25</v>
      </c>
      <c r="Q12" s="39" cm="1">
        <f t="array" ref="Q12">SUMPRODUCT(--ISNUMBER(SEARCH(" "&amp;$O12&amp;" "," "&amp;M$4:M$56&amp;" ")),--ISNUMBER(SEARCH(" "&amp;$O12&amp;" "," "&amp;M$5:M$57&amp;" ")),--(MOD(ROW(M$4:M$56)-4,$P$17)&lt;=$P$17-2))</f>
        <v>0</v>
      </c>
      <c r="R12" s="39" cm="1">
        <f t="array" ref="R12">SUMPRODUCT(--ISNUMBER(SEARCH(" "&amp;$O12&amp;" "," "&amp;M$4:M$55&amp;" ")),--ISNUMBER(SEARCH(" "&amp;$O12&amp;" "," "&amp;M$6:M$57&amp;" ")),--(MOD(ROW(M$4:M$55)-4,$P$17)&lt;=$P$17-3))</f>
        <v>19</v>
      </c>
      <c r="S12" s="39" cm="1">
        <f t="array" ref="S12">SUMPRODUCT(--ISNUMBER(SEARCH(" "&amp;$O12&amp;" "," "&amp;M$4:M$54&amp;" ")),--ISNUMBER(SEARCH(" "&amp;$O12&amp;" "," "&amp;M$7:M$57&amp;" ")),--(MOD(ROW(M$4:M$54)-4,$P$17)&lt;=$P$17-4))</f>
        <v>0</v>
      </c>
      <c r="T12" s="39">
        <f t="shared" si="1"/>
        <v>0</v>
      </c>
      <c r="U12"/>
      <c r="V12"/>
      <c r="W12"/>
      <c r="X12"/>
      <c r="Y12"/>
      <c r="Z12"/>
      <c r="AA12"/>
      <c r="AB12"/>
      <c r="AC12"/>
      <c r="AD12"/>
      <c r="AE12"/>
      <c r="AF12"/>
      <c r="AG12"/>
      <c r="AH12"/>
      <c r="AI12"/>
      <c r="AJ12"/>
      <c r="AK12"/>
      <c r="AL12"/>
      <c r="AM12"/>
      <c r="AN12"/>
      <c r="AO12"/>
      <c r="AP12"/>
      <c r="AQ12"/>
      <c r="AR12"/>
      <c r="AS12"/>
      <c r="AT12"/>
      <c r="AU12"/>
      <c r="AV12"/>
      <c r="AW12"/>
      <c r="AX12"/>
      <c r="AY12"/>
      <c r="AZ12"/>
    </row>
    <row r="13" spans="1:52" ht="14.5" customHeight="1">
      <c r="A13" s="106" t="s">
        <v>6</v>
      </c>
      <c r="B13"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37" t="s">
        <v>46</v>
      </c>
      <c r="D13" s="37" t="s">
        <v>62</v>
      </c>
      <c r="E13" s="37" t="s">
        <v>30</v>
      </c>
      <c r="F13" s="37" t="s">
        <v>31</v>
      </c>
      <c r="G13" s="37" t="s">
        <v>29</v>
      </c>
      <c r="H13" s="37" t="s">
        <v>45</v>
      </c>
      <c r="I13" s="107">
        <f>COUNTIF(C13:H21,"* ضد *")</f>
        <v>24</v>
      </c>
      <c r="J13" s="108">
        <f>COUNTIF(C13:E21,"* ضد *")*2/6</f>
        <v>4</v>
      </c>
      <c r="K13" s="108">
        <f>COUNTIF(F13:H21,"* ضد *")*2/6</f>
        <v>4</v>
      </c>
      <c r="L13" s="34"/>
      <c r="M13" s="44" t="str">
        <f t="shared" si="0"/>
        <v>4 ضد 5 3 ضد 6 1 ضد 2 10 ضد 11 9 ضد 12 7 ضد 8</v>
      </c>
      <c r="N13" s="34"/>
      <c r="O13" s="39">
        <v>10</v>
      </c>
      <c r="P13" s="39" cm="1">
        <f t="array" ref="P13">SUMPRODUCT(--ISNUMBER(SEARCH(" "&amp;$O13&amp;" "," "&amp;M$4:M$57&amp;" ")))</f>
        <v>25</v>
      </c>
      <c r="Q13" s="39" cm="1">
        <f t="array" ref="Q13">SUMPRODUCT(--ISNUMBER(SEARCH(" "&amp;$O13&amp;" "," "&amp;M$4:M$56&amp;" ")),--ISNUMBER(SEARCH(" "&amp;$O13&amp;" "," "&amp;M$5:M$57&amp;" ")),--(MOD(ROW(M$4:M$56)-4,$P$17)&lt;=$P$17-2))</f>
        <v>0</v>
      </c>
      <c r="R13" s="39" cm="1">
        <f t="array" ref="R13">SUMPRODUCT(--ISNUMBER(SEARCH(" "&amp;$O13&amp;" "," "&amp;M$4:M$55&amp;" ")),--ISNUMBER(SEARCH(" "&amp;$O13&amp;" "," "&amp;M$6:M$57&amp;" ")),--(MOD(ROW(M$4:M$55)-4,$P$17)&lt;=$P$17-3))</f>
        <v>19</v>
      </c>
      <c r="S13" s="39" cm="1">
        <f t="array" ref="S13">SUMPRODUCT(--ISNUMBER(SEARCH(" "&amp;$O13&amp;" "," "&amp;M$4:M$54&amp;" ")),--ISNUMBER(SEARCH(" "&amp;$O13&amp;" "," "&amp;M$7:M$57&amp;" ")),--(MOD(ROW(M$4:M$54)-4,$P$17)&lt;=$P$17-4))</f>
        <v>0</v>
      </c>
      <c r="T13" s="39">
        <f t="shared" si="1"/>
        <v>0</v>
      </c>
      <c r="U13"/>
      <c r="V13"/>
      <c r="W13"/>
      <c r="X13"/>
      <c r="Y13"/>
      <c r="Z13"/>
      <c r="AA13"/>
      <c r="AB13"/>
      <c r="AC13"/>
      <c r="AD13"/>
      <c r="AE13"/>
      <c r="AF13"/>
      <c r="AG13"/>
      <c r="AH13"/>
      <c r="AI13"/>
      <c r="AJ13"/>
      <c r="AK13"/>
      <c r="AL13"/>
      <c r="AM13"/>
      <c r="AN13"/>
      <c r="AO13"/>
      <c r="AP13"/>
      <c r="AQ13"/>
      <c r="AR13"/>
      <c r="AS13"/>
      <c r="AT13"/>
      <c r="AU13"/>
      <c r="AV13"/>
      <c r="AW13"/>
      <c r="AX13"/>
      <c r="AY13"/>
      <c r="AZ13"/>
    </row>
    <row r="14" spans="1:52" ht="14.5" customHeight="1">
      <c r="A14" s="106"/>
      <c r="B14"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114" t="s">
        <v>139</v>
      </c>
      <c r="D14" s="108"/>
      <c r="E14" s="108"/>
      <c r="F14" s="114" t="s">
        <v>139</v>
      </c>
      <c r="G14" s="108"/>
      <c r="H14" s="108"/>
      <c r="I14" s="108"/>
      <c r="J14" s="108"/>
      <c r="K14" s="108"/>
      <c r="L14" s="34"/>
      <c r="M14" s="44" t="str">
        <f t="shared" si="0"/>
        <v>استراحة (لا توجد مباريات) استراحة (لا توجد مباريات)</v>
      </c>
      <c r="N14" s="34"/>
      <c r="O14" s="39">
        <v>11</v>
      </c>
      <c r="P14" s="39" cm="1">
        <f t="array" ref="P14">SUMPRODUCT(--ISNUMBER(SEARCH(" "&amp;$O14&amp;" "," "&amp;M$4:M$57&amp;" ")))</f>
        <v>25</v>
      </c>
      <c r="Q14" s="39" cm="1">
        <f t="array" ref="Q14">SUMPRODUCT(--ISNUMBER(SEARCH(" "&amp;$O14&amp;" "," "&amp;M$4:M$56&amp;" ")),--ISNUMBER(SEARCH(" "&amp;$O14&amp;" "," "&amp;M$5:M$57&amp;" ")),--(MOD(ROW(M$4:M$56)-4,$P$17)&lt;=$P$17-2))</f>
        <v>0</v>
      </c>
      <c r="R14" s="39" cm="1">
        <f t="array" ref="R14">SUMPRODUCT(--ISNUMBER(SEARCH(" "&amp;$O14&amp;" "," "&amp;M$4:M$55&amp;" ")),--ISNUMBER(SEARCH(" "&amp;$O14&amp;" "," "&amp;M$6:M$57&amp;" ")),--(MOD(ROW(M$4:M$55)-4,$P$17)&lt;=$P$17-3))</f>
        <v>19</v>
      </c>
      <c r="S14" s="39" cm="1">
        <f t="array" ref="S14">SUMPRODUCT(--ISNUMBER(SEARCH(" "&amp;$O14&amp;" "," "&amp;M$4:M$54&amp;" ")),--ISNUMBER(SEARCH(" "&amp;$O14&amp;" "," "&amp;M$7:M$57&amp;" ")),--(MOD(ROW(M$4:M$54)-4,$P$17)&lt;=$P$17-4))</f>
        <v>0</v>
      </c>
      <c r="T14" s="39">
        <f t="shared" si="1"/>
        <v>0</v>
      </c>
      <c r="U14"/>
      <c r="V14"/>
      <c r="W14"/>
      <c r="X14"/>
      <c r="Y14"/>
      <c r="Z14"/>
      <c r="AA14"/>
      <c r="AB14"/>
      <c r="AC14"/>
      <c r="AD14"/>
      <c r="AE14"/>
      <c r="AF14"/>
      <c r="AG14"/>
      <c r="AH14"/>
      <c r="AI14"/>
      <c r="AJ14"/>
      <c r="AK14"/>
      <c r="AL14"/>
      <c r="AM14"/>
      <c r="AN14"/>
      <c r="AO14"/>
      <c r="AP14"/>
      <c r="AQ14"/>
      <c r="AR14"/>
      <c r="AS14"/>
      <c r="AT14"/>
      <c r="AU14"/>
      <c r="AV14"/>
      <c r="AW14"/>
      <c r="AX14"/>
      <c r="AY14"/>
      <c r="AZ14"/>
    </row>
    <row r="15" spans="1:52" ht="14.5" customHeight="1">
      <c r="A15" s="106"/>
      <c r="B15"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37" t="s">
        <v>38</v>
      </c>
      <c r="D15" s="37" t="s">
        <v>44</v>
      </c>
      <c r="E15" s="37" t="s">
        <v>50</v>
      </c>
      <c r="F15" s="37" t="s">
        <v>35</v>
      </c>
      <c r="G15" s="37" t="s">
        <v>49</v>
      </c>
      <c r="H15" s="37" t="s">
        <v>48</v>
      </c>
      <c r="I15" s="108"/>
      <c r="J15" s="108"/>
      <c r="K15" s="108"/>
      <c r="L15" s="34"/>
      <c r="M15" s="44" t="str">
        <f t="shared" si="0"/>
        <v>1 ضد 6 2 ضد 5 3 ضد 4 7 ضد 12 8 ضد 11 9 ضد 10</v>
      </c>
      <c r="N15" s="34"/>
      <c r="O15" s="39">
        <v>12</v>
      </c>
      <c r="P15" s="39" cm="1">
        <f t="array" ref="P15">SUMPRODUCT(--ISNUMBER(SEARCH(" "&amp;$O15&amp;" "," "&amp;M$4:M$57&amp;" ")))</f>
        <v>25</v>
      </c>
      <c r="Q15" s="39" cm="1">
        <f t="array" ref="Q15">SUMPRODUCT(--ISNUMBER(SEARCH(" "&amp;$O15&amp;" "," "&amp;M$4:M$56&amp;" ")),--ISNUMBER(SEARCH(" "&amp;$O15&amp;" "," "&amp;M$5:M$57&amp;" ")),--(MOD(ROW(M$4:M$56)-4,$P$17)&lt;=$P$17-2))</f>
        <v>0</v>
      </c>
      <c r="R15" s="39" cm="1">
        <f t="array" ref="R15">SUMPRODUCT(--ISNUMBER(SEARCH(" "&amp;$O15&amp;" "," "&amp;M$4:M$55&amp;" ")),--ISNUMBER(SEARCH(" "&amp;$O15&amp;" "," "&amp;M$6:M$57&amp;" ")),--(MOD(ROW(M$4:M$55)-4,$P$17)&lt;=$P$17-3))</f>
        <v>19</v>
      </c>
      <c r="S15" s="39" cm="1">
        <f t="array" ref="S15">SUMPRODUCT(--ISNUMBER(SEARCH(" "&amp;$O15&amp;" "," "&amp;M$4:M$54&amp;" ")),--ISNUMBER(SEARCH(" "&amp;$O15&amp;" "," "&amp;M$7:M$57&amp;" ")),--(MOD(ROW(M$4:M$54)-4,$P$17)&lt;=$P$17-4))</f>
        <v>0</v>
      </c>
      <c r="T15" s="39">
        <f t="shared" si="1"/>
        <v>0</v>
      </c>
      <c r="U15"/>
      <c r="V15"/>
      <c r="W15"/>
      <c r="X15"/>
      <c r="Y15"/>
      <c r="Z15"/>
      <c r="AA15"/>
      <c r="AB15"/>
      <c r="AC15"/>
      <c r="AD15"/>
      <c r="AE15"/>
      <c r="AF15"/>
      <c r="AG15"/>
      <c r="AH15"/>
      <c r="AI15"/>
      <c r="AJ15"/>
      <c r="AK15"/>
      <c r="AL15"/>
      <c r="AM15"/>
      <c r="AN15"/>
      <c r="AO15"/>
      <c r="AP15"/>
      <c r="AQ15"/>
      <c r="AR15"/>
      <c r="AS15"/>
      <c r="AT15"/>
      <c r="AU15"/>
      <c r="AV15"/>
      <c r="AW15"/>
      <c r="AX15"/>
      <c r="AY15"/>
      <c r="AZ15"/>
    </row>
    <row r="16" spans="1:52" ht="14.5" customHeight="1">
      <c r="A16" s="106"/>
      <c r="B16"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114" t="s">
        <v>139</v>
      </c>
      <c r="D16" s="108"/>
      <c r="E16" s="108"/>
      <c r="F16" s="114" t="s">
        <v>139</v>
      </c>
      <c r="G16" s="108"/>
      <c r="H16" s="108"/>
      <c r="I16" s="108"/>
      <c r="J16" s="108"/>
      <c r="K16" s="108"/>
      <c r="L16" s="34"/>
      <c r="M16" s="44" t="str">
        <f t="shared" si="0"/>
        <v>استراحة (لا توجد مباريات) استراحة (لا توجد مباريات)</v>
      </c>
      <c r="N16" s="34"/>
      <c r="O16" s="45" t="s">
        <v>249</v>
      </c>
      <c r="P16" s="45">
        <f>SUM(P4:P15)</f>
        <v>300</v>
      </c>
      <c r="Q16" s="45">
        <f>SUM(Q4:Q15)</f>
        <v>0</v>
      </c>
      <c r="R16" s="45">
        <f>SUM(R4:R15)</f>
        <v>228</v>
      </c>
      <c r="S16" s="45">
        <f>SUM(S4:S15)</f>
        <v>0</v>
      </c>
      <c r="T16" s="45">
        <f>SUM(T4:T15)</f>
        <v>0</v>
      </c>
      <c r="U16"/>
      <c r="V16"/>
      <c r="W16"/>
      <c r="X16"/>
      <c r="Y16"/>
      <c r="Z16"/>
      <c r="AA16"/>
      <c r="AB16"/>
      <c r="AC16"/>
      <c r="AD16"/>
      <c r="AE16"/>
      <c r="AF16"/>
      <c r="AG16"/>
      <c r="AH16"/>
      <c r="AI16"/>
      <c r="AJ16"/>
      <c r="AK16"/>
      <c r="AL16"/>
      <c r="AM16"/>
      <c r="AN16"/>
      <c r="AO16"/>
      <c r="AP16"/>
      <c r="AQ16"/>
      <c r="AR16"/>
      <c r="AS16"/>
      <c r="AT16"/>
      <c r="AU16"/>
      <c r="AV16"/>
      <c r="AW16"/>
      <c r="AX16"/>
      <c r="AY16"/>
      <c r="AZ16"/>
    </row>
    <row r="17" spans="1:52" ht="14.5" customHeight="1">
      <c r="A17" s="106"/>
      <c r="B17"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37" t="s">
        <v>40</v>
      </c>
      <c r="D17" s="37" t="s">
        <v>157</v>
      </c>
      <c r="E17" s="37" t="s">
        <v>37</v>
      </c>
      <c r="F17" s="37" t="s">
        <v>65</v>
      </c>
      <c r="G17" s="37" t="s">
        <v>172</v>
      </c>
      <c r="H17" s="37" t="s">
        <v>67</v>
      </c>
      <c r="I17" s="108"/>
      <c r="J17" s="108"/>
      <c r="K17" s="108"/>
      <c r="L17" s="34"/>
      <c r="M17" s="44" t="str">
        <f t="shared" si="0"/>
        <v>1 ضد 5 6 ضد 4 2 ضد 3 7 ضد 11 12 ضد 10 8 ضد 9</v>
      </c>
      <c r="N17" s="34"/>
      <c r="O17" s="39" t="s">
        <v>250</v>
      </c>
      <c r="P17" s="52">
        <v>9</v>
      </c>
      <c r="Q17" s="39"/>
      <c r="R17" s="39"/>
      <c r="S17" s="39"/>
      <c r="T17" s="39"/>
      <c r="U17"/>
      <c r="V17"/>
      <c r="W17"/>
      <c r="X17"/>
      <c r="Y17"/>
      <c r="Z17"/>
      <c r="AA17"/>
      <c r="AB17"/>
      <c r="AC17"/>
      <c r="AD17"/>
      <c r="AE17"/>
      <c r="AF17"/>
      <c r="AG17"/>
      <c r="AH17"/>
      <c r="AI17"/>
      <c r="AJ17"/>
      <c r="AK17"/>
      <c r="AL17"/>
      <c r="AM17"/>
      <c r="AN17"/>
      <c r="AO17"/>
      <c r="AP17"/>
      <c r="AQ17"/>
      <c r="AR17"/>
      <c r="AS17"/>
      <c r="AT17"/>
      <c r="AU17"/>
      <c r="AV17"/>
      <c r="AW17"/>
      <c r="AX17"/>
      <c r="AY17"/>
      <c r="AZ17"/>
    </row>
    <row r="18" spans="1:52" ht="14.5" customHeight="1">
      <c r="A18" s="106"/>
      <c r="B18"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114" t="s">
        <v>139</v>
      </c>
      <c r="D18" s="108"/>
      <c r="E18" s="108"/>
      <c r="F18" s="114" t="s">
        <v>139</v>
      </c>
      <c r="G18" s="108"/>
      <c r="H18" s="108"/>
      <c r="I18" s="108"/>
      <c r="J18" s="108"/>
      <c r="K18" s="108"/>
      <c r="L18" s="34"/>
      <c r="M18" s="44" t="str">
        <f t="shared" si="0"/>
        <v>استراحة (لا توجد مباريات) استراحة (لا توجد مباريات)</v>
      </c>
      <c r="N18" s="34"/>
      <c r="O18" s="34"/>
      <c r="P18" s="34"/>
      <c r="Q18" s="34"/>
      <c r="R18" s="34"/>
      <c r="S18" s="34"/>
      <c r="T18" s="34"/>
      <c r="U18"/>
      <c r="V18"/>
      <c r="W18"/>
      <c r="X18"/>
      <c r="Y18"/>
      <c r="Z18"/>
      <c r="AA18"/>
      <c r="AB18"/>
      <c r="AC18"/>
      <c r="AD18"/>
      <c r="AE18"/>
      <c r="AF18"/>
      <c r="AG18"/>
      <c r="AH18"/>
      <c r="AI18"/>
      <c r="AJ18"/>
      <c r="AK18"/>
      <c r="AL18"/>
      <c r="AM18"/>
      <c r="AN18"/>
      <c r="AO18"/>
      <c r="AP18"/>
      <c r="AQ18"/>
      <c r="AR18"/>
      <c r="AS18"/>
      <c r="AT18"/>
      <c r="AU18"/>
      <c r="AV18"/>
      <c r="AW18"/>
      <c r="AX18"/>
      <c r="AY18"/>
      <c r="AZ18"/>
    </row>
    <row r="19" spans="1:52" ht="14.5" customHeight="1">
      <c r="A19" s="106"/>
      <c r="B19"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37" t="s">
        <v>159</v>
      </c>
      <c r="D19" s="37" t="s">
        <v>158</v>
      </c>
      <c r="E19" s="37" t="s">
        <v>63</v>
      </c>
      <c r="F19" s="37" t="s">
        <v>174</v>
      </c>
      <c r="G19" s="37" t="s">
        <v>173</v>
      </c>
      <c r="H19" s="37" t="s">
        <v>60</v>
      </c>
      <c r="I19" s="108"/>
      <c r="J19" s="108"/>
      <c r="K19" s="108"/>
      <c r="L19" s="34"/>
      <c r="M19" s="44" t="str">
        <f t="shared" si="0"/>
        <v>6 ضد 2 5 ضد 3 1 ضد 4 12 ضد 8 11 ضد 9 7 ضد 10</v>
      </c>
      <c r="N19" s="34"/>
      <c r="O19" s="34"/>
      <c r="P19" s="34"/>
      <c r="Q19" s="34"/>
      <c r="R19" s="34"/>
      <c r="S19" s="34"/>
      <c r="T19" s="34"/>
      <c r="U19"/>
      <c r="V19"/>
      <c r="W19"/>
      <c r="X19"/>
      <c r="Y19"/>
      <c r="Z19"/>
      <c r="AA19"/>
      <c r="AB19"/>
      <c r="AC19"/>
      <c r="AD19"/>
      <c r="AE19"/>
      <c r="AF19"/>
      <c r="AG19"/>
      <c r="AH19"/>
      <c r="AI19"/>
      <c r="AJ19"/>
      <c r="AK19"/>
      <c r="AL19"/>
      <c r="AM19"/>
      <c r="AN19"/>
      <c r="AO19"/>
      <c r="AP19"/>
      <c r="AQ19"/>
      <c r="AR19"/>
      <c r="AS19"/>
      <c r="AT19"/>
      <c r="AU19"/>
      <c r="AV19"/>
      <c r="AW19"/>
      <c r="AX19"/>
      <c r="AY19"/>
      <c r="AZ19"/>
    </row>
    <row r="20" spans="1:52" ht="14.5" customHeight="1">
      <c r="A20" s="106"/>
      <c r="B20"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37"/>
      <c r="D20" s="37"/>
      <c r="E20" s="37"/>
      <c r="F20" s="37"/>
      <c r="G20" s="37"/>
      <c r="H20" s="37"/>
      <c r="I20" s="108"/>
      <c r="J20" s="108"/>
      <c r="K20" s="108"/>
      <c r="L20" s="34"/>
      <c r="M20" s="44" t="str">
        <f t="shared" si="0"/>
        <v/>
      </c>
      <c r="N20" s="34"/>
      <c r="O20" s="34"/>
      <c r="P20" s="34"/>
      <c r="Q20" s="34"/>
      <c r="R20" s="34"/>
      <c r="S20" s="34"/>
      <c r="T20" s="34"/>
      <c r="U20"/>
      <c r="V20"/>
      <c r="W20"/>
      <c r="X20"/>
      <c r="Y20"/>
      <c r="Z20"/>
      <c r="AA20"/>
      <c r="AB20"/>
      <c r="AC20"/>
      <c r="AD20"/>
      <c r="AE20"/>
      <c r="AF20"/>
      <c r="AG20"/>
      <c r="AH20"/>
      <c r="AI20"/>
      <c r="AJ20"/>
      <c r="AK20"/>
      <c r="AL20"/>
      <c r="AM20"/>
      <c r="AN20"/>
      <c r="AO20"/>
      <c r="AP20"/>
      <c r="AQ20"/>
      <c r="AR20"/>
      <c r="AS20"/>
      <c r="AT20"/>
      <c r="AU20"/>
      <c r="AV20"/>
      <c r="AW20"/>
      <c r="AX20"/>
      <c r="AY20"/>
      <c r="AZ20"/>
    </row>
    <row r="21" spans="1:52" ht="14.5" customHeight="1">
      <c r="A21" s="106"/>
      <c r="B21"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37"/>
      <c r="D21" s="37"/>
      <c r="E21" s="37"/>
      <c r="F21" s="37"/>
      <c r="G21" s="37"/>
      <c r="H21" s="37"/>
      <c r="I21" s="108"/>
      <c r="J21" s="108"/>
      <c r="K21" s="108"/>
      <c r="L21" s="34"/>
      <c r="M21" s="44" t="str">
        <f t="shared" si="0"/>
        <v/>
      </c>
      <c r="N21" s="34"/>
      <c r="O21" s="34"/>
      <c r="P21" s="34"/>
      <c r="Q21" s="34"/>
      <c r="R21" s="34"/>
      <c r="S21" s="34"/>
      <c r="T21" s="34"/>
      <c r="U21"/>
      <c r="V21"/>
      <c r="W21"/>
      <c r="X21"/>
      <c r="Y21"/>
      <c r="Z21"/>
      <c r="AA21"/>
      <c r="AB21"/>
      <c r="AC21"/>
      <c r="AD21"/>
      <c r="AE21"/>
      <c r="AF21"/>
      <c r="AG21"/>
      <c r="AH21"/>
      <c r="AI21"/>
      <c r="AJ21"/>
      <c r="AK21"/>
      <c r="AL21"/>
      <c r="AM21"/>
      <c r="AN21"/>
      <c r="AO21"/>
      <c r="AP21"/>
      <c r="AQ21"/>
      <c r="AR21"/>
      <c r="AS21"/>
      <c r="AT21"/>
      <c r="AU21"/>
      <c r="AV21"/>
      <c r="AW21"/>
      <c r="AX21"/>
      <c r="AY21"/>
      <c r="AZ21"/>
    </row>
    <row r="22" spans="1:52" ht="14.5" customHeight="1">
      <c r="A22" s="106" t="s">
        <v>7</v>
      </c>
      <c r="B2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37" t="s">
        <v>160</v>
      </c>
      <c r="D22" s="37" t="s">
        <v>20</v>
      </c>
      <c r="E22" s="37" t="s">
        <v>55</v>
      </c>
      <c r="F22" s="37" t="s">
        <v>175</v>
      </c>
      <c r="G22" s="37" t="s">
        <v>51</v>
      </c>
      <c r="H22" s="37" t="s">
        <v>21</v>
      </c>
      <c r="I22" s="107">
        <f>COUNTIF(C22:H30,"* ضد *")</f>
        <v>24</v>
      </c>
      <c r="J22" s="108">
        <f>COUNTIF(C22:E30,"* ضد *")*2/6</f>
        <v>4</v>
      </c>
      <c r="K22" s="108">
        <f>COUNTIF(F22:H30,"* ضد *")*2/6</f>
        <v>4</v>
      </c>
      <c r="L22" s="34"/>
      <c r="M22" s="44" t="str">
        <f t="shared" si="0"/>
        <v>4 ضد 2 1 ضد 3 5 ضد 6 10 ضد 8 7 ضد 9 11 ضد 12</v>
      </c>
      <c r="N22" s="34"/>
      <c r="O22" s="34"/>
      <c r="P22" s="34"/>
      <c r="Q22" s="34"/>
      <c r="R22" s="34"/>
      <c r="S22" s="34"/>
      <c r="T22" s="34"/>
      <c r="U22"/>
      <c r="V22"/>
      <c r="W22"/>
      <c r="X22"/>
      <c r="Y22"/>
      <c r="Z22"/>
      <c r="AA22"/>
      <c r="AB22"/>
      <c r="AC22"/>
      <c r="AD22"/>
      <c r="AE22"/>
      <c r="AF22"/>
      <c r="AG22"/>
      <c r="AH22"/>
      <c r="AI22"/>
      <c r="AJ22"/>
      <c r="AK22"/>
      <c r="AL22"/>
      <c r="AM22"/>
      <c r="AN22"/>
      <c r="AO22"/>
      <c r="AP22"/>
      <c r="AQ22"/>
      <c r="AR22"/>
      <c r="AS22"/>
      <c r="AT22"/>
      <c r="AU22"/>
      <c r="AV22"/>
      <c r="AW22"/>
      <c r="AX22"/>
      <c r="AY22"/>
      <c r="AZ22"/>
    </row>
    <row r="23" spans="1:52" ht="14.5" customHeight="1">
      <c r="A23" s="106"/>
      <c r="B2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114" t="s">
        <v>139</v>
      </c>
      <c r="D23" s="108"/>
      <c r="E23" s="108"/>
      <c r="F23" s="114" t="s">
        <v>139</v>
      </c>
      <c r="G23" s="108"/>
      <c r="H23" s="108"/>
      <c r="I23" s="108"/>
      <c r="J23" s="108"/>
      <c r="K23" s="108"/>
      <c r="L23" s="34"/>
      <c r="M23" s="44" t="str">
        <f t="shared" si="0"/>
        <v>استراحة (لا توجد مباريات) استراحة (لا توجد مباريات)</v>
      </c>
      <c r="N23" s="34"/>
      <c r="O23" s="34"/>
      <c r="P23" s="34"/>
      <c r="Q23" s="34"/>
      <c r="R23" s="34"/>
      <c r="S23" s="34"/>
      <c r="T23" s="34"/>
      <c r="U23"/>
      <c r="V23"/>
      <c r="W23"/>
      <c r="X23"/>
      <c r="Y23"/>
      <c r="Z23"/>
      <c r="AA23"/>
      <c r="AB23"/>
      <c r="AC23"/>
      <c r="AD23"/>
      <c r="AE23"/>
      <c r="AF23"/>
      <c r="AG23"/>
      <c r="AH23"/>
      <c r="AI23"/>
      <c r="AJ23"/>
      <c r="AK23"/>
      <c r="AL23"/>
      <c r="AM23"/>
      <c r="AN23"/>
      <c r="AO23"/>
      <c r="AP23"/>
      <c r="AQ23"/>
      <c r="AR23"/>
      <c r="AS23"/>
      <c r="AT23"/>
      <c r="AU23"/>
      <c r="AV23"/>
      <c r="AW23"/>
      <c r="AX23"/>
      <c r="AY23"/>
      <c r="AZ23"/>
    </row>
    <row r="24" spans="1:52" ht="14.5" customHeight="1">
      <c r="A24" s="106"/>
      <c r="B2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37" t="s">
        <v>62</v>
      </c>
      <c r="D24" s="37" t="s">
        <v>30</v>
      </c>
      <c r="E24" s="37" t="s">
        <v>46</v>
      </c>
      <c r="F24" s="37" t="s">
        <v>29</v>
      </c>
      <c r="G24" s="37" t="s">
        <v>45</v>
      </c>
      <c r="H24" s="37" t="s">
        <v>31</v>
      </c>
      <c r="I24" s="108"/>
      <c r="J24" s="108"/>
      <c r="K24" s="108"/>
      <c r="L24" s="34"/>
      <c r="M24" s="44" t="str">
        <f t="shared" si="0"/>
        <v>3 ضد 6 1 ضد 2 4 ضد 5 9 ضد 12 7 ضد 8 10 ضد 11</v>
      </c>
      <c r="N24" s="34"/>
      <c r="O24" s="34"/>
      <c r="P24" s="34"/>
      <c r="Q24" s="34"/>
      <c r="R24" s="34"/>
      <c r="S24" s="34"/>
      <c r="T24" s="34"/>
      <c r="U24"/>
      <c r="V24"/>
      <c r="W24"/>
      <c r="X24"/>
      <c r="Y24"/>
      <c r="Z24"/>
      <c r="AA24"/>
      <c r="AB24"/>
      <c r="AC24"/>
      <c r="AD24"/>
      <c r="AE24"/>
      <c r="AF24"/>
      <c r="AG24"/>
      <c r="AH24"/>
      <c r="AI24"/>
      <c r="AJ24"/>
      <c r="AK24"/>
      <c r="AL24"/>
      <c r="AM24"/>
      <c r="AN24"/>
      <c r="AO24"/>
      <c r="AP24"/>
      <c r="AQ24"/>
      <c r="AR24"/>
      <c r="AS24"/>
      <c r="AT24"/>
      <c r="AU24"/>
      <c r="AV24"/>
      <c r="AW24"/>
      <c r="AX24"/>
      <c r="AY24"/>
      <c r="AZ24"/>
    </row>
    <row r="25" spans="1:52" ht="14.5" customHeight="1">
      <c r="A25" s="106"/>
      <c r="B2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114" t="s">
        <v>139</v>
      </c>
      <c r="D25" s="108"/>
      <c r="E25" s="108"/>
      <c r="F25" s="114" t="s">
        <v>139</v>
      </c>
      <c r="G25" s="108"/>
      <c r="H25" s="108"/>
      <c r="I25" s="108"/>
      <c r="J25" s="108"/>
      <c r="K25" s="108"/>
      <c r="L25" s="34"/>
      <c r="M25" s="44" t="str">
        <f t="shared" si="0"/>
        <v>استراحة (لا توجد مباريات) استراحة (لا توجد مباريات)</v>
      </c>
      <c r="N25" s="34"/>
      <c r="O25" s="34"/>
      <c r="P25" s="34"/>
      <c r="Q25" s="34"/>
      <c r="R25" s="34"/>
      <c r="S25" s="34"/>
      <c r="T25" s="34"/>
      <c r="U25"/>
      <c r="V25"/>
      <c r="W25"/>
      <c r="X25"/>
      <c r="Y25"/>
      <c r="Z25"/>
      <c r="AA25"/>
      <c r="AB25"/>
      <c r="AC25"/>
      <c r="AD25"/>
      <c r="AE25"/>
      <c r="AF25"/>
      <c r="AG25"/>
      <c r="AH25"/>
      <c r="AI25"/>
      <c r="AJ25"/>
      <c r="AK25"/>
      <c r="AL25"/>
      <c r="AM25"/>
      <c r="AN25"/>
      <c r="AO25"/>
      <c r="AP25"/>
      <c r="AQ25"/>
      <c r="AR25"/>
      <c r="AS25"/>
      <c r="AT25"/>
      <c r="AU25"/>
      <c r="AV25"/>
      <c r="AW25"/>
      <c r="AX25"/>
      <c r="AY25"/>
      <c r="AZ25"/>
    </row>
    <row r="26" spans="1:52" ht="14.5" customHeight="1">
      <c r="A26" s="106"/>
      <c r="B2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37" t="s">
        <v>50</v>
      </c>
      <c r="D26" s="37" t="s">
        <v>44</v>
      </c>
      <c r="E26" s="37" t="s">
        <v>38</v>
      </c>
      <c r="F26" s="37" t="s">
        <v>48</v>
      </c>
      <c r="G26" s="37" t="s">
        <v>49</v>
      </c>
      <c r="H26" s="37" t="s">
        <v>35</v>
      </c>
      <c r="I26" s="108"/>
      <c r="J26" s="108"/>
      <c r="K26" s="108"/>
      <c r="L26" s="34"/>
      <c r="M26" s="44" t="str">
        <f t="shared" si="0"/>
        <v>3 ضد 4 2 ضد 5 1 ضد 6 9 ضد 10 8 ضد 11 7 ضد 12</v>
      </c>
      <c r="N26" s="34"/>
      <c r="O26" s="34"/>
      <c r="P26" s="34"/>
      <c r="Q26" s="34"/>
      <c r="R26" s="34"/>
      <c r="S26" s="34"/>
      <c r="T26" s="34"/>
      <c r="U26"/>
      <c r="V26"/>
      <c r="W26"/>
      <c r="X26"/>
      <c r="Y26"/>
      <c r="Z26"/>
      <c r="AA26"/>
      <c r="AB26"/>
      <c r="AC26"/>
      <c r="AD26"/>
      <c r="AE26"/>
      <c r="AF26"/>
      <c r="AG26"/>
      <c r="AH26"/>
      <c r="AI26"/>
      <c r="AJ26"/>
      <c r="AK26"/>
      <c r="AL26"/>
      <c r="AM26"/>
      <c r="AN26"/>
      <c r="AO26"/>
      <c r="AP26"/>
      <c r="AQ26"/>
      <c r="AR26"/>
      <c r="AS26"/>
      <c r="AT26"/>
      <c r="AU26"/>
      <c r="AV26"/>
      <c r="AW26"/>
      <c r="AX26"/>
      <c r="AY26"/>
      <c r="AZ26"/>
    </row>
    <row r="27" spans="1:52" ht="14.5" customHeight="1">
      <c r="A27" s="106"/>
      <c r="B2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114" t="s">
        <v>139</v>
      </c>
      <c r="D27" s="108"/>
      <c r="E27" s="108"/>
      <c r="F27" s="114" t="s">
        <v>139</v>
      </c>
      <c r="G27" s="108"/>
      <c r="H27" s="108"/>
      <c r="I27" s="108"/>
      <c r="J27" s="108"/>
      <c r="K27" s="108"/>
      <c r="L27" s="34"/>
      <c r="M27" s="44" t="str">
        <f t="shared" si="0"/>
        <v>استراحة (لا توجد مباريات) استراحة (لا توجد مباريات)</v>
      </c>
      <c r="N27" s="34"/>
      <c r="O27" s="34"/>
      <c r="P27" s="34"/>
      <c r="Q27" s="34"/>
      <c r="R27" s="34"/>
      <c r="S27" s="34"/>
      <c r="T27" s="34"/>
      <c r="U27"/>
      <c r="V27"/>
      <c r="W27"/>
      <c r="X27"/>
      <c r="Y27"/>
      <c r="Z27"/>
      <c r="AA27"/>
      <c r="AB27"/>
      <c r="AC27"/>
      <c r="AD27"/>
      <c r="AE27"/>
      <c r="AF27"/>
      <c r="AG27"/>
      <c r="AH27"/>
      <c r="AI27"/>
      <c r="AJ27"/>
      <c r="AK27"/>
      <c r="AL27"/>
      <c r="AM27"/>
      <c r="AN27"/>
      <c r="AO27"/>
      <c r="AP27"/>
      <c r="AQ27"/>
      <c r="AR27"/>
      <c r="AS27"/>
      <c r="AT27"/>
      <c r="AU27"/>
      <c r="AV27"/>
      <c r="AW27"/>
      <c r="AX27"/>
      <c r="AY27"/>
      <c r="AZ27"/>
    </row>
    <row r="28" spans="1:52" ht="14.5" customHeight="1">
      <c r="A28" s="106"/>
      <c r="B2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37" t="s">
        <v>40</v>
      </c>
      <c r="D28" s="37" t="s">
        <v>157</v>
      </c>
      <c r="E28" s="37" t="s">
        <v>37</v>
      </c>
      <c r="F28" s="37" t="s">
        <v>65</v>
      </c>
      <c r="G28" s="37" t="s">
        <v>172</v>
      </c>
      <c r="H28" s="37" t="s">
        <v>67</v>
      </c>
      <c r="I28" s="108"/>
      <c r="J28" s="108"/>
      <c r="K28" s="108"/>
      <c r="L28" s="34"/>
      <c r="M28" s="44" t="str">
        <f t="shared" si="0"/>
        <v>1 ضد 5 6 ضد 4 2 ضد 3 7 ضد 11 12 ضد 10 8 ضد 9</v>
      </c>
      <c r="N28" s="34"/>
      <c r="O28" s="34"/>
      <c r="P28" s="34"/>
      <c r="Q28" s="34"/>
      <c r="R28" s="34"/>
      <c r="S28" s="34"/>
      <c r="T28" s="34"/>
      <c r="U28"/>
      <c r="V28"/>
      <c r="W28"/>
      <c r="X28"/>
      <c r="Y28"/>
      <c r="Z28"/>
      <c r="AA28"/>
      <c r="AB28"/>
      <c r="AC28"/>
      <c r="AD28"/>
      <c r="AE28"/>
      <c r="AF28"/>
      <c r="AG28"/>
      <c r="AH28"/>
      <c r="AI28"/>
      <c r="AJ28"/>
      <c r="AK28"/>
      <c r="AL28"/>
      <c r="AM28"/>
      <c r="AN28"/>
      <c r="AO28"/>
      <c r="AP28"/>
      <c r="AQ28"/>
      <c r="AR28"/>
      <c r="AS28"/>
      <c r="AT28"/>
      <c r="AU28"/>
      <c r="AV28"/>
      <c r="AW28"/>
      <c r="AX28"/>
      <c r="AY28"/>
      <c r="AZ28"/>
    </row>
    <row r="29" spans="1:52" ht="14.5" customHeight="1">
      <c r="A29" s="106"/>
      <c r="B29"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37"/>
      <c r="D29" s="37"/>
      <c r="E29" s="37"/>
      <c r="F29" s="37"/>
      <c r="G29" s="37"/>
      <c r="H29" s="37"/>
      <c r="I29" s="108"/>
      <c r="J29" s="108"/>
      <c r="K29" s="108"/>
      <c r="L29" s="34"/>
      <c r="M29" s="44" t="str">
        <f t="shared" si="0"/>
        <v/>
      </c>
      <c r="N29" s="34"/>
      <c r="O29" s="34"/>
      <c r="P29" s="34"/>
      <c r="Q29" s="34"/>
      <c r="R29" s="34"/>
      <c r="S29" s="34"/>
      <c r="T29" s="34"/>
      <c r="U29"/>
      <c r="V29"/>
      <c r="W29"/>
      <c r="X29"/>
      <c r="Y29"/>
      <c r="Z29"/>
      <c r="AA29"/>
      <c r="AB29"/>
      <c r="AC29"/>
      <c r="AD29"/>
      <c r="AE29"/>
      <c r="AF29"/>
      <c r="AG29"/>
      <c r="AH29"/>
      <c r="AI29"/>
      <c r="AJ29"/>
      <c r="AK29"/>
      <c r="AL29"/>
      <c r="AM29"/>
      <c r="AN29"/>
      <c r="AO29"/>
      <c r="AP29"/>
      <c r="AQ29"/>
      <c r="AR29"/>
      <c r="AS29"/>
      <c r="AT29"/>
      <c r="AU29"/>
      <c r="AV29"/>
      <c r="AW29"/>
      <c r="AX29"/>
      <c r="AY29"/>
      <c r="AZ29"/>
    </row>
    <row r="30" spans="1:52" ht="14.5" customHeight="1">
      <c r="A30" s="106"/>
      <c r="B30"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37"/>
      <c r="D30" s="37"/>
      <c r="E30" s="37"/>
      <c r="F30" s="37"/>
      <c r="G30" s="37"/>
      <c r="H30" s="37"/>
      <c r="I30" s="108"/>
      <c r="J30" s="108"/>
      <c r="K30" s="108"/>
      <c r="L30" s="34"/>
      <c r="M30" s="44" t="str">
        <f t="shared" si="0"/>
        <v/>
      </c>
      <c r="N30" s="34"/>
      <c r="O30" s="34"/>
      <c r="P30" s="34"/>
      <c r="Q30" s="34"/>
      <c r="R30" s="34"/>
      <c r="S30" s="34"/>
      <c r="T30" s="34"/>
      <c r="U30"/>
      <c r="V30"/>
      <c r="W30"/>
      <c r="X30"/>
      <c r="Y30"/>
      <c r="Z30"/>
      <c r="AA30"/>
      <c r="AB30"/>
      <c r="AC30"/>
      <c r="AD30"/>
      <c r="AE30"/>
      <c r="AF30"/>
      <c r="AG30"/>
      <c r="AH30"/>
      <c r="AI30"/>
      <c r="AJ30"/>
      <c r="AK30"/>
      <c r="AL30"/>
      <c r="AM30"/>
      <c r="AN30"/>
      <c r="AO30"/>
      <c r="AP30"/>
      <c r="AQ30"/>
      <c r="AR30"/>
      <c r="AS30"/>
      <c r="AT30"/>
      <c r="AU30"/>
      <c r="AV30"/>
      <c r="AW30"/>
      <c r="AX30"/>
      <c r="AY30"/>
      <c r="AZ30"/>
    </row>
    <row r="31" spans="1:52" ht="14.5" customHeight="1">
      <c r="A31" s="106" t="s">
        <v>8</v>
      </c>
      <c r="B3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37" t="s">
        <v>63</v>
      </c>
      <c r="D31" s="37" t="s">
        <v>158</v>
      </c>
      <c r="E31" s="37" t="s">
        <v>159</v>
      </c>
      <c r="F31" s="37" t="s">
        <v>60</v>
      </c>
      <c r="G31" s="37" t="s">
        <v>173</v>
      </c>
      <c r="H31" s="37" t="s">
        <v>174</v>
      </c>
      <c r="I31" s="107">
        <f>COUNTIF(C31:H39,"* ضد *")</f>
        <v>24</v>
      </c>
      <c r="J31" s="108">
        <f>COUNTIF(C31:E39,"* ضد *")*2/6</f>
        <v>4</v>
      </c>
      <c r="K31" s="108">
        <f>COUNTIF(F31:H39,"* ضد *")*2/6</f>
        <v>4</v>
      </c>
      <c r="L31" s="34"/>
      <c r="M31" s="44" t="str">
        <f t="shared" si="0"/>
        <v>1 ضد 4 5 ضد 3 6 ضد 2 7 ضد 10 11 ضد 9 12 ضد 8</v>
      </c>
      <c r="N31" s="34"/>
      <c r="O31" s="34"/>
      <c r="P31" s="34"/>
      <c r="Q31" s="34"/>
      <c r="R31" s="34"/>
      <c r="S31" s="34"/>
      <c r="T31" s="34"/>
      <c r="U31"/>
      <c r="V31"/>
      <c r="W31"/>
      <c r="X31"/>
      <c r="Y31"/>
      <c r="Z31"/>
      <c r="AA31"/>
      <c r="AB31"/>
      <c r="AC31"/>
      <c r="AD31"/>
      <c r="AE31"/>
      <c r="AF31"/>
      <c r="AG31"/>
      <c r="AH31"/>
      <c r="AI31"/>
      <c r="AJ31"/>
      <c r="AK31"/>
      <c r="AL31"/>
      <c r="AM31"/>
      <c r="AN31"/>
      <c r="AO31"/>
      <c r="AP31"/>
      <c r="AQ31"/>
      <c r="AR31"/>
      <c r="AS31"/>
      <c r="AT31"/>
      <c r="AU31"/>
      <c r="AV31"/>
      <c r="AW31"/>
      <c r="AX31"/>
      <c r="AY31"/>
      <c r="AZ31"/>
    </row>
    <row r="32" spans="1:52" ht="14.5" customHeight="1">
      <c r="A32" s="106"/>
      <c r="B3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114" t="s">
        <v>139</v>
      </c>
      <c r="D32" s="108"/>
      <c r="E32" s="108"/>
      <c r="F32" s="114" t="s">
        <v>139</v>
      </c>
      <c r="G32" s="108"/>
      <c r="H32" s="108"/>
      <c r="I32" s="108"/>
      <c r="J32" s="108"/>
      <c r="K32" s="108"/>
      <c r="L32" s="34"/>
      <c r="M32" s="44" t="str">
        <f t="shared" si="0"/>
        <v>استراحة (لا توجد مباريات) استراحة (لا توجد مباريات)</v>
      </c>
      <c r="N32" s="34"/>
      <c r="O32" s="34"/>
      <c r="P32" s="34"/>
      <c r="Q32" s="34"/>
      <c r="R32" s="34"/>
      <c r="S32" s="34"/>
      <c r="T32" s="34"/>
      <c r="U32"/>
      <c r="V32"/>
      <c r="W32"/>
      <c r="X32"/>
      <c r="Y32"/>
      <c r="Z32"/>
      <c r="AA32"/>
      <c r="AB32"/>
      <c r="AC32"/>
      <c r="AD32"/>
      <c r="AE32"/>
      <c r="AF32"/>
      <c r="AG32"/>
      <c r="AH32"/>
      <c r="AI32"/>
      <c r="AJ32"/>
      <c r="AK32"/>
      <c r="AL32"/>
      <c r="AM32"/>
      <c r="AN32"/>
      <c r="AO32"/>
      <c r="AP32"/>
      <c r="AQ32"/>
      <c r="AR32"/>
      <c r="AS32"/>
      <c r="AT32"/>
      <c r="AU32"/>
      <c r="AV32"/>
      <c r="AW32"/>
      <c r="AX32"/>
      <c r="AY32"/>
      <c r="AZ32"/>
    </row>
    <row r="33" spans="1:52" ht="14.5" customHeight="1">
      <c r="A33" s="106"/>
      <c r="B3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37" t="s">
        <v>55</v>
      </c>
      <c r="D33" s="37" t="s">
        <v>160</v>
      </c>
      <c r="E33" s="37" t="s">
        <v>20</v>
      </c>
      <c r="F33" s="37" t="s">
        <v>21</v>
      </c>
      <c r="G33" s="37" t="s">
        <v>175</v>
      </c>
      <c r="H33" s="37" t="s">
        <v>51</v>
      </c>
      <c r="I33" s="108"/>
      <c r="J33" s="108"/>
      <c r="K33" s="108"/>
      <c r="L33" s="34"/>
      <c r="M33" s="44" t="str">
        <f t="shared" si="0"/>
        <v>5 ضد 6 4 ضد 2 1 ضد 3 11 ضد 12 10 ضد 8 7 ضد 9</v>
      </c>
      <c r="N33" s="34"/>
      <c r="O33" s="34"/>
      <c r="P33" s="34"/>
      <c r="Q33" s="34"/>
      <c r="R33" s="34"/>
      <c r="S33" s="34"/>
      <c r="T33" s="34"/>
      <c r="U33"/>
      <c r="V33"/>
      <c r="W33"/>
      <c r="X33"/>
      <c r="Y33"/>
      <c r="Z33"/>
      <c r="AA33"/>
      <c r="AB33"/>
      <c r="AC33"/>
      <c r="AD33"/>
      <c r="AE33"/>
      <c r="AF33"/>
      <c r="AG33"/>
      <c r="AH33"/>
      <c r="AI33"/>
      <c r="AJ33"/>
      <c r="AK33"/>
      <c r="AL33"/>
      <c r="AM33"/>
      <c r="AN33"/>
      <c r="AO33"/>
      <c r="AP33"/>
      <c r="AQ33"/>
      <c r="AR33"/>
      <c r="AS33"/>
      <c r="AT33"/>
      <c r="AU33"/>
      <c r="AV33"/>
      <c r="AW33"/>
      <c r="AX33"/>
      <c r="AY33"/>
      <c r="AZ33"/>
    </row>
    <row r="34" spans="1:52" ht="14.5" customHeight="1">
      <c r="A34" s="106"/>
      <c r="B3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114" t="s">
        <v>139</v>
      </c>
      <c r="D34" s="108"/>
      <c r="E34" s="108"/>
      <c r="F34" s="114" t="s">
        <v>139</v>
      </c>
      <c r="G34" s="108"/>
      <c r="H34" s="108"/>
      <c r="I34" s="108"/>
      <c r="J34" s="108"/>
      <c r="K34" s="108"/>
      <c r="L34" s="34"/>
      <c r="M34" s="44" t="str">
        <f t="shared" si="0"/>
        <v>استراحة (لا توجد مباريات) استراحة (لا توجد مباريات)</v>
      </c>
      <c r="N34" s="34"/>
      <c r="O34" s="34"/>
      <c r="P34" s="34"/>
      <c r="Q34" s="34"/>
      <c r="R34" s="34"/>
      <c r="S34" s="34"/>
      <c r="T34" s="34"/>
      <c r="U34"/>
      <c r="V34"/>
      <c r="W34"/>
      <c r="X34"/>
      <c r="Y34"/>
      <c r="Z34"/>
      <c r="AA34"/>
      <c r="AB34"/>
      <c r="AC34"/>
      <c r="AD34"/>
      <c r="AE34"/>
      <c r="AF34"/>
      <c r="AG34"/>
      <c r="AH34"/>
      <c r="AI34"/>
      <c r="AJ34"/>
      <c r="AK34"/>
      <c r="AL34"/>
      <c r="AM34"/>
      <c r="AN34"/>
      <c r="AO34"/>
      <c r="AP34"/>
      <c r="AQ34"/>
      <c r="AR34"/>
      <c r="AS34"/>
      <c r="AT34"/>
      <c r="AU34"/>
      <c r="AV34"/>
      <c r="AW34"/>
      <c r="AX34"/>
      <c r="AY34"/>
      <c r="AZ34"/>
    </row>
    <row r="35" spans="1:52" ht="14.5" customHeight="1">
      <c r="A35" s="106"/>
      <c r="B3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37" t="s">
        <v>62</v>
      </c>
      <c r="D35" s="37" t="s">
        <v>30</v>
      </c>
      <c r="E35" s="37" t="s">
        <v>46</v>
      </c>
      <c r="F35" s="37" t="s">
        <v>29</v>
      </c>
      <c r="G35" s="37" t="s">
        <v>45</v>
      </c>
      <c r="H35" s="37" t="s">
        <v>31</v>
      </c>
      <c r="I35" s="108"/>
      <c r="J35" s="108"/>
      <c r="K35" s="108"/>
      <c r="L35" s="34"/>
      <c r="M35" s="44" t="str">
        <f t="shared" si="0"/>
        <v>3 ضد 6 1 ضد 2 4 ضد 5 9 ضد 12 7 ضد 8 10 ضد 11</v>
      </c>
      <c r="N35" s="34"/>
      <c r="O35" s="34"/>
      <c r="P35" s="34"/>
      <c r="Q35" s="34"/>
      <c r="R35" s="34"/>
      <c r="S35" s="34"/>
      <c r="T35" s="34"/>
      <c r="U35"/>
      <c r="V35"/>
      <c r="W35"/>
      <c r="X35"/>
      <c r="Y35"/>
      <c r="Z35"/>
      <c r="AA35"/>
      <c r="AB35"/>
      <c r="AC35"/>
      <c r="AD35"/>
      <c r="AE35"/>
      <c r="AF35"/>
      <c r="AG35"/>
      <c r="AH35"/>
      <c r="AI35"/>
      <c r="AJ35"/>
      <c r="AK35"/>
      <c r="AL35"/>
      <c r="AM35"/>
      <c r="AN35"/>
      <c r="AO35"/>
      <c r="AP35"/>
      <c r="AQ35"/>
      <c r="AR35"/>
      <c r="AS35"/>
      <c r="AT35"/>
      <c r="AU35"/>
      <c r="AV35"/>
      <c r="AW35"/>
      <c r="AX35"/>
      <c r="AY35"/>
      <c r="AZ35"/>
    </row>
    <row r="36" spans="1:52" ht="14.5" customHeight="1">
      <c r="A36" s="106"/>
      <c r="B3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114" t="s">
        <v>139</v>
      </c>
      <c r="D36" s="108"/>
      <c r="E36" s="108"/>
      <c r="F36" s="114" t="s">
        <v>139</v>
      </c>
      <c r="G36" s="108"/>
      <c r="H36" s="108"/>
      <c r="I36" s="108"/>
      <c r="J36" s="108"/>
      <c r="K36" s="108"/>
      <c r="L36" s="34"/>
      <c r="M36" s="44" t="str">
        <f t="shared" ref="M36:M57" si="2">_xlfn.TEXTJOIN(" ",TRUE,C36:H36)</f>
        <v>استراحة (لا توجد مباريات) استراحة (لا توجد مباريات)</v>
      </c>
      <c r="N36" s="34"/>
      <c r="O36" s="34"/>
      <c r="P36" s="34"/>
      <c r="Q36" s="34"/>
      <c r="R36" s="34"/>
      <c r="S36" s="34"/>
      <c r="T36" s="34"/>
      <c r="U36"/>
      <c r="V36"/>
      <c r="W36"/>
      <c r="X36"/>
      <c r="Y36"/>
      <c r="Z36"/>
      <c r="AA36"/>
      <c r="AB36"/>
      <c r="AC36"/>
      <c r="AD36"/>
      <c r="AE36"/>
      <c r="AF36"/>
      <c r="AG36"/>
      <c r="AH36"/>
      <c r="AI36"/>
      <c r="AJ36"/>
      <c r="AK36"/>
      <c r="AL36"/>
      <c r="AM36"/>
      <c r="AN36"/>
      <c r="AO36"/>
      <c r="AP36"/>
      <c r="AQ36"/>
      <c r="AR36"/>
      <c r="AS36"/>
      <c r="AT36"/>
      <c r="AU36"/>
      <c r="AV36"/>
      <c r="AW36"/>
      <c r="AX36"/>
      <c r="AY36"/>
      <c r="AZ36"/>
    </row>
    <row r="37" spans="1:52" ht="14.5" customHeight="1">
      <c r="A37" s="106"/>
      <c r="B3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37" t="s">
        <v>44</v>
      </c>
      <c r="D37" s="37" t="s">
        <v>38</v>
      </c>
      <c r="E37" s="37" t="s">
        <v>50</v>
      </c>
      <c r="F37" s="37" t="s">
        <v>49</v>
      </c>
      <c r="G37" s="37" t="s">
        <v>35</v>
      </c>
      <c r="H37" s="37" t="s">
        <v>48</v>
      </c>
      <c r="I37" s="108"/>
      <c r="J37" s="108"/>
      <c r="K37" s="108"/>
      <c r="L37" s="34"/>
      <c r="M37" s="44" t="str">
        <f t="shared" si="2"/>
        <v>2 ضد 5 1 ضد 6 3 ضد 4 8 ضد 11 7 ضد 12 9 ضد 10</v>
      </c>
      <c r="N37" s="34"/>
      <c r="O37" s="34"/>
      <c r="P37" s="34"/>
      <c r="Q37" s="34"/>
      <c r="R37" s="34"/>
      <c r="S37" s="34"/>
      <c r="T37" s="34"/>
      <c r="U37"/>
      <c r="V37"/>
      <c r="W37"/>
      <c r="X37"/>
      <c r="Y37"/>
      <c r="Z37"/>
      <c r="AA37"/>
      <c r="AB37"/>
      <c r="AC37"/>
      <c r="AD37"/>
      <c r="AE37"/>
      <c r="AF37"/>
      <c r="AG37"/>
      <c r="AH37"/>
      <c r="AI37"/>
      <c r="AJ37"/>
      <c r="AK37"/>
      <c r="AL37"/>
      <c r="AM37"/>
      <c r="AN37"/>
      <c r="AO37"/>
      <c r="AP37"/>
      <c r="AQ37"/>
      <c r="AR37"/>
      <c r="AS37"/>
      <c r="AT37"/>
      <c r="AU37"/>
      <c r="AV37"/>
      <c r="AW37"/>
      <c r="AX37"/>
      <c r="AY37"/>
      <c r="AZ37"/>
    </row>
    <row r="38" spans="1:52" ht="14.5" customHeight="1">
      <c r="A38" s="106"/>
      <c r="B38"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37"/>
      <c r="D38" s="37"/>
      <c r="E38" s="37"/>
      <c r="F38" s="37"/>
      <c r="G38" s="37"/>
      <c r="H38" s="37"/>
      <c r="I38" s="108"/>
      <c r="J38" s="108"/>
      <c r="K38" s="108"/>
      <c r="L38" s="34"/>
      <c r="M38" s="44" t="str">
        <f t="shared" si="2"/>
        <v/>
      </c>
      <c r="N38" s="34"/>
      <c r="O38" s="34"/>
      <c r="P38" s="34"/>
      <c r="Q38" s="34"/>
      <c r="R38" s="34"/>
      <c r="S38" s="34"/>
      <c r="T38" s="34"/>
      <c r="U38"/>
      <c r="V38"/>
      <c r="W38"/>
      <c r="X38"/>
      <c r="Y38"/>
      <c r="Z38"/>
      <c r="AA38"/>
      <c r="AB38"/>
      <c r="AC38"/>
      <c r="AD38"/>
      <c r="AE38"/>
      <c r="AF38"/>
      <c r="AG38"/>
      <c r="AH38"/>
      <c r="AI38"/>
      <c r="AJ38"/>
      <c r="AK38"/>
      <c r="AL38"/>
      <c r="AM38"/>
      <c r="AN38"/>
      <c r="AO38"/>
      <c r="AP38"/>
      <c r="AQ38"/>
      <c r="AR38"/>
      <c r="AS38"/>
      <c r="AT38"/>
      <c r="AU38"/>
      <c r="AV38"/>
      <c r="AW38"/>
      <c r="AX38"/>
      <c r="AY38"/>
      <c r="AZ38"/>
    </row>
    <row r="39" spans="1:52" ht="14.5" customHeight="1">
      <c r="A39" s="106"/>
      <c r="B39"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37"/>
      <c r="D39" s="37"/>
      <c r="E39" s="37"/>
      <c r="F39" s="37"/>
      <c r="G39" s="37"/>
      <c r="H39" s="37"/>
      <c r="I39" s="108"/>
      <c r="J39" s="108"/>
      <c r="K39" s="108"/>
      <c r="L39" s="34"/>
      <c r="M39" s="44" t="str">
        <f t="shared" si="2"/>
        <v/>
      </c>
      <c r="N39" s="34"/>
      <c r="O39" s="34"/>
      <c r="P39" s="34"/>
      <c r="Q39" s="34"/>
      <c r="R39" s="34"/>
      <c r="S39" s="34"/>
      <c r="T39" s="34"/>
      <c r="U39"/>
      <c r="V39"/>
      <c r="W39"/>
      <c r="X39"/>
      <c r="Y39"/>
      <c r="Z39"/>
      <c r="AA39"/>
      <c r="AB39"/>
      <c r="AC39"/>
      <c r="AD39"/>
      <c r="AE39"/>
      <c r="AF39"/>
      <c r="AG39"/>
      <c r="AH39"/>
      <c r="AI39"/>
      <c r="AJ39"/>
      <c r="AK39"/>
      <c r="AL39"/>
      <c r="AM39"/>
      <c r="AN39"/>
      <c r="AO39"/>
      <c r="AP39"/>
      <c r="AQ39"/>
      <c r="AR39"/>
      <c r="AS39"/>
      <c r="AT39"/>
      <c r="AU39"/>
      <c r="AV39"/>
      <c r="AW39"/>
      <c r="AX39"/>
      <c r="AY39"/>
      <c r="AZ39"/>
    </row>
    <row r="40" spans="1:52" ht="14.5" customHeight="1">
      <c r="A40" s="106" t="s">
        <v>9</v>
      </c>
      <c r="B40"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37" t="s">
        <v>37</v>
      </c>
      <c r="D40" s="37" t="s">
        <v>157</v>
      </c>
      <c r="E40" s="37" t="s">
        <v>40</v>
      </c>
      <c r="F40" s="37" t="s">
        <v>67</v>
      </c>
      <c r="G40" s="37" t="s">
        <v>172</v>
      </c>
      <c r="H40" s="37" t="s">
        <v>65</v>
      </c>
      <c r="I40" s="107">
        <f>COUNTIF(C40:H48,"* ضد *")</f>
        <v>24</v>
      </c>
      <c r="J40" s="108">
        <f>COUNTIF(C40:E48,"* ضد *")*2/6</f>
        <v>4</v>
      </c>
      <c r="K40" s="108">
        <f>COUNTIF(F40:H48,"* ضد *")*2/6</f>
        <v>4</v>
      </c>
      <c r="L40" s="34"/>
      <c r="M40" s="44" t="str">
        <f t="shared" si="2"/>
        <v>2 ضد 3 6 ضد 4 1 ضد 5 8 ضد 9 12 ضد 10 7 ضد 11</v>
      </c>
      <c r="N40" s="34"/>
      <c r="O40" s="34"/>
      <c r="P40" s="34"/>
      <c r="Q40" s="34"/>
      <c r="R40" s="34"/>
      <c r="S40" s="34"/>
      <c r="T40" s="34"/>
      <c r="U40"/>
      <c r="V40"/>
      <c r="W40"/>
      <c r="X40"/>
      <c r="Y40"/>
      <c r="Z40"/>
      <c r="AA40"/>
      <c r="AB40"/>
      <c r="AC40"/>
      <c r="AD40"/>
      <c r="AE40"/>
      <c r="AF40"/>
      <c r="AG40"/>
      <c r="AH40"/>
      <c r="AI40"/>
      <c r="AJ40"/>
      <c r="AK40"/>
      <c r="AL40"/>
      <c r="AM40"/>
      <c r="AN40"/>
      <c r="AO40"/>
      <c r="AP40"/>
      <c r="AQ40"/>
      <c r="AR40"/>
      <c r="AS40"/>
      <c r="AT40"/>
      <c r="AU40"/>
      <c r="AV40"/>
      <c r="AW40"/>
      <c r="AX40"/>
      <c r="AY40"/>
      <c r="AZ40"/>
    </row>
    <row r="41" spans="1:52" ht="14.5" customHeight="1">
      <c r="A41" s="106"/>
      <c r="B41"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114" t="s">
        <v>139</v>
      </c>
      <c r="D41" s="108"/>
      <c r="E41" s="108"/>
      <c r="F41" s="114" t="s">
        <v>139</v>
      </c>
      <c r="G41" s="108"/>
      <c r="H41" s="108"/>
      <c r="I41" s="108"/>
      <c r="J41" s="108"/>
      <c r="K41" s="108"/>
      <c r="L41" s="34"/>
      <c r="M41" s="44" t="str">
        <f t="shared" si="2"/>
        <v>استراحة (لا توجد مباريات) استراحة (لا توجد مباريات)</v>
      </c>
      <c r="N41" s="34"/>
      <c r="O41" s="34"/>
      <c r="P41" s="34"/>
      <c r="Q41" s="34"/>
      <c r="R41" s="34"/>
      <c r="S41" s="34"/>
      <c r="T41" s="34"/>
      <c r="U41"/>
      <c r="V41"/>
      <c r="W41"/>
      <c r="X41"/>
      <c r="Y41"/>
      <c r="Z41"/>
      <c r="AA41"/>
      <c r="AB41"/>
      <c r="AC41"/>
      <c r="AD41"/>
      <c r="AE41"/>
      <c r="AF41"/>
      <c r="AG41"/>
      <c r="AH41"/>
      <c r="AI41"/>
      <c r="AJ41"/>
      <c r="AK41"/>
      <c r="AL41"/>
      <c r="AM41"/>
      <c r="AN41"/>
      <c r="AO41"/>
      <c r="AP41"/>
      <c r="AQ41"/>
      <c r="AR41"/>
      <c r="AS41"/>
      <c r="AT41"/>
      <c r="AU41"/>
      <c r="AV41"/>
      <c r="AW41"/>
      <c r="AX41"/>
      <c r="AY41"/>
      <c r="AZ41"/>
    </row>
    <row r="42" spans="1:52" ht="14.5" customHeight="1">
      <c r="A42" s="106"/>
      <c r="B42"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37" t="s">
        <v>63</v>
      </c>
      <c r="D42" s="37" t="s">
        <v>158</v>
      </c>
      <c r="E42" s="37" t="s">
        <v>159</v>
      </c>
      <c r="F42" s="37" t="s">
        <v>60</v>
      </c>
      <c r="G42" s="37" t="s">
        <v>173</v>
      </c>
      <c r="H42" s="37" t="s">
        <v>174</v>
      </c>
      <c r="I42" s="108"/>
      <c r="J42" s="108"/>
      <c r="K42" s="108"/>
      <c r="L42" s="34"/>
      <c r="M42" s="44" t="str">
        <f t="shared" si="2"/>
        <v>1 ضد 4 5 ضد 3 6 ضد 2 7 ضد 10 11 ضد 9 12 ضد 8</v>
      </c>
      <c r="N42" s="34"/>
      <c r="O42" s="34"/>
      <c r="P42" s="34"/>
      <c r="Q42" s="34"/>
      <c r="R42" s="34"/>
      <c r="S42" s="34"/>
      <c r="T42" s="34"/>
      <c r="U42"/>
      <c r="V42"/>
      <c r="W42"/>
      <c r="X42"/>
      <c r="Y42"/>
      <c r="Z42"/>
      <c r="AA42"/>
      <c r="AB42"/>
      <c r="AC42"/>
      <c r="AD42"/>
      <c r="AE42"/>
      <c r="AF42"/>
      <c r="AG42"/>
      <c r="AH42"/>
      <c r="AI42"/>
      <c r="AJ42"/>
      <c r="AK42"/>
      <c r="AL42"/>
      <c r="AM42"/>
      <c r="AN42"/>
      <c r="AO42"/>
      <c r="AP42"/>
      <c r="AQ42"/>
      <c r="AR42"/>
      <c r="AS42"/>
      <c r="AT42"/>
      <c r="AU42"/>
      <c r="AV42"/>
      <c r="AW42"/>
      <c r="AX42"/>
      <c r="AY42"/>
      <c r="AZ42"/>
    </row>
    <row r="43" spans="1:52" ht="14.5" customHeight="1">
      <c r="A43" s="106"/>
      <c r="B43"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114" t="s">
        <v>139</v>
      </c>
      <c r="D43" s="108"/>
      <c r="E43" s="108"/>
      <c r="F43" s="114" t="s">
        <v>139</v>
      </c>
      <c r="G43" s="108"/>
      <c r="H43" s="108"/>
      <c r="I43" s="108"/>
      <c r="J43" s="108"/>
      <c r="K43" s="108"/>
      <c r="L43" s="34"/>
      <c r="M43" s="44" t="str">
        <f t="shared" si="2"/>
        <v>استراحة (لا توجد مباريات) استراحة (لا توجد مباريات)</v>
      </c>
      <c r="N43" s="34"/>
      <c r="O43" s="34"/>
      <c r="P43" s="34"/>
      <c r="Q43" s="34"/>
      <c r="R43" s="34"/>
      <c r="S43" s="34"/>
      <c r="T43" s="34"/>
      <c r="U43"/>
      <c r="V43"/>
      <c r="W43"/>
      <c r="X43"/>
      <c r="Y43"/>
      <c r="Z43"/>
      <c r="AA43"/>
      <c r="AB43"/>
      <c r="AC43"/>
      <c r="AD43"/>
      <c r="AE43"/>
      <c r="AF43"/>
      <c r="AG43"/>
      <c r="AH43"/>
      <c r="AI43"/>
      <c r="AJ43"/>
      <c r="AK43"/>
      <c r="AL43"/>
      <c r="AM43"/>
      <c r="AN43"/>
      <c r="AO43"/>
      <c r="AP43"/>
      <c r="AQ43"/>
      <c r="AR43"/>
      <c r="AS43"/>
      <c r="AT43"/>
      <c r="AU43"/>
      <c r="AV43"/>
      <c r="AW43"/>
      <c r="AX43"/>
      <c r="AY43"/>
      <c r="AZ43"/>
    </row>
    <row r="44" spans="1:52" ht="14.5" customHeight="1">
      <c r="A44" s="106"/>
      <c r="B44"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37" t="s">
        <v>20</v>
      </c>
      <c r="D44" s="37" t="s">
        <v>160</v>
      </c>
      <c r="E44" s="37" t="s">
        <v>55</v>
      </c>
      <c r="F44" s="37" t="s">
        <v>51</v>
      </c>
      <c r="G44" s="37" t="s">
        <v>175</v>
      </c>
      <c r="H44" s="37" t="s">
        <v>21</v>
      </c>
      <c r="I44" s="108"/>
      <c r="J44" s="108"/>
      <c r="K44" s="108"/>
      <c r="L44" s="34"/>
      <c r="M44" s="44" t="str">
        <f t="shared" si="2"/>
        <v>1 ضد 3 4 ضد 2 5 ضد 6 7 ضد 9 10 ضد 8 11 ضد 12</v>
      </c>
      <c r="N44" s="34"/>
      <c r="O44" s="34"/>
      <c r="P44" s="34"/>
      <c r="Q44" s="34"/>
      <c r="R44" s="34"/>
      <c r="S44" s="34"/>
      <c r="T44" s="34"/>
      <c r="U44"/>
      <c r="V44"/>
      <c r="W44"/>
      <c r="X44"/>
      <c r="Y44"/>
      <c r="Z44"/>
      <c r="AA44"/>
      <c r="AB44"/>
      <c r="AC44"/>
      <c r="AD44"/>
      <c r="AE44"/>
      <c r="AF44"/>
      <c r="AG44"/>
      <c r="AH44"/>
      <c r="AI44"/>
      <c r="AJ44"/>
      <c r="AK44"/>
      <c r="AL44"/>
      <c r="AM44"/>
      <c r="AN44"/>
      <c r="AO44"/>
      <c r="AP44"/>
      <c r="AQ44"/>
      <c r="AR44"/>
      <c r="AS44"/>
      <c r="AT44"/>
      <c r="AU44"/>
      <c r="AV44"/>
      <c r="AW44"/>
      <c r="AX44"/>
      <c r="AY44"/>
      <c r="AZ44"/>
    </row>
    <row r="45" spans="1:52" ht="14.5" customHeight="1">
      <c r="A45" s="106"/>
      <c r="B45"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114" t="s">
        <v>139</v>
      </c>
      <c r="D45" s="108"/>
      <c r="E45" s="108"/>
      <c r="F45" s="114" t="s">
        <v>139</v>
      </c>
      <c r="G45" s="108"/>
      <c r="H45" s="108"/>
      <c r="I45" s="108"/>
      <c r="J45" s="108"/>
      <c r="K45" s="108"/>
      <c r="L45" s="34"/>
      <c r="M45" s="44" t="str">
        <f t="shared" si="2"/>
        <v>استراحة (لا توجد مباريات) استراحة (لا توجد مباريات)</v>
      </c>
      <c r="N45" s="34"/>
      <c r="O45" s="34"/>
      <c r="P45" s="34"/>
      <c r="Q45" s="34"/>
      <c r="R45" s="34"/>
      <c r="S45" s="34"/>
      <c r="T45" s="34"/>
      <c r="U45"/>
      <c r="V45"/>
      <c r="W45"/>
      <c r="X45"/>
      <c r="Y45"/>
      <c r="Z45"/>
      <c r="AA45"/>
      <c r="AB45"/>
      <c r="AC45"/>
      <c r="AD45"/>
      <c r="AE45"/>
      <c r="AF45"/>
      <c r="AG45"/>
      <c r="AH45"/>
      <c r="AI45"/>
      <c r="AJ45"/>
      <c r="AK45"/>
      <c r="AL45"/>
      <c r="AM45"/>
      <c r="AN45"/>
      <c r="AO45"/>
      <c r="AP45"/>
      <c r="AQ45"/>
      <c r="AR45"/>
      <c r="AS45"/>
      <c r="AT45"/>
      <c r="AU45"/>
      <c r="AV45"/>
      <c r="AW45"/>
      <c r="AX45"/>
      <c r="AY45"/>
      <c r="AZ45"/>
    </row>
    <row r="46" spans="1:52" ht="14.5" customHeight="1">
      <c r="A46" s="106"/>
      <c r="B46"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37" t="s">
        <v>46</v>
      </c>
      <c r="D46" s="37" t="s">
        <v>62</v>
      </c>
      <c r="E46" s="37" t="s">
        <v>30</v>
      </c>
      <c r="F46" s="37" t="s">
        <v>31</v>
      </c>
      <c r="G46" s="37" t="s">
        <v>29</v>
      </c>
      <c r="H46" s="37" t="s">
        <v>45</v>
      </c>
      <c r="I46" s="108"/>
      <c r="J46" s="108"/>
      <c r="K46" s="108"/>
      <c r="L46" s="34"/>
      <c r="M46" s="44" t="str">
        <f t="shared" si="2"/>
        <v>4 ضد 5 3 ضد 6 1 ضد 2 10 ضد 11 9 ضد 12 7 ضد 8</v>
      </c>
      <c r="N46" s="34"/>
      <c r="O46" s="34"/>
      <c r="P46" s="34"/>
      <c r="Q46" s="34"/>
      <c r="R46" s="34"/>
      <c r="S46" s="34"/>
      <c r="T46" s="34"/>
      <c r="U46"/>
      <c r="V46"/>
      <c r="W46"/>
      <c r="X46"/>
      <c r="Y46"/>
      <c r="Z46"/>
      <c r="AA46"/>
      <c r="AB46"/>
      <c r="AC46"/>
      <c r="AD46"/>
      <c r="AE46"/>
      <c r="AF46"/>
      <c r="AG46"/>
      <c r="AH46"/>
      <c r="AI46"/>
      <c r="AJ46"/>
      <c r="AK46"/>
      <c r="AL46"/>
      <c r="AM46"/>
      <c r="AN46"/>
      <c r="AO46"/>
      <c r="AP46"/>
      <c r="AQ46"/>
      <c r="AR46"/>
      <c r="AS46"/>
      <c r="AT46"/>
      <c r="AU46"/>
      <c r="AV46"/>
      <c r="AW46"/>
      <c r="AX46"/>
      <c r="AY46"/>
      <c r="AZ46"/>
    </row>
    <row r="47" spans="1:52" ht="14.5" customHeight="1">
      <c r="A47" s="106"/>
      <c r="B47"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37"/>
      <c r="D47" s="37"/>
      <c r="E47" s="37"/>
      <c r="F47" s="37"/>
      <c r="G47" s="37"/>
      <c r="H47" s="37"/>
      <c r="I47" s="108"/>
      <c r="J47" s="108"/>
      <c r="K47" s="108"/>
      <c r="L47" s="34"/>
      <c r="M47" s="44" t="str">
        <f t="shared" si="2"/>
        <v/>
      </c>
      <c r="N47" s="34"/>
      <c r="O47" s="34"/>
      <c r="P47" s="34"/>
      <c r="Q47" s="34"/>
      <c r="R47" s="34"/>
      <c r="S47" s="34"/>
      <c r="T47" s="34"/>
      <c r="U47"/>
      <c r="V47"/>
      <c r="W47"/>
      <c r="X47"/>
      <c r="Y47"/>
      <c r="Z47"/>
      <c r="AA47"/>
      <c r="AB47"/>
      <c r="AC47"/>
      <c r="AD47"/>
      <c r="AE47"/>
      <c r="AF47"/>
      <c r="AG47"/>
      <c r="AH47"/>
      <c r="AI47"/>
      <c r="AJ47"/>
      <c r="AK47"/>
      <c r="AL47"/>
      <c r="AM47"/>
      <c r="AN47"/>
      <c r="AO47"/>
      <c r="AP47"/>
      <c r="AQ47"/>
      <c r="AR47"/>
      <c r="AS47"/>
      <c r="AT47"/>
      <c r="AU47"/>
      <c r="AV47"/>
      <c r="AW47"/>
      <c r="AX47"/>
      <c r="AY47"/>
      <c r="AZ47"/>
    </row>
    <row r="48" spans="1:52" ht="14.5" customHeight="1">
      <c r="A48" s="106"/>
      <c r="B48"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37"/>
      <c r="D48" s="37"/>
      <c r="E48" s="37"/>
      <c r="F48" s="37"/>
      <c r="G48" s="37"/>
      <c r="H48" s="37"/>
      <c r="I48" s="108"/>
      <c r="J48" s="108"/>
      <c r="K48" s="108"/>
      <c r="L48" s="34"/>
      <c r="M48" s="44" t="str">
        <f t="shared" si="2"/>
        <v/>
      </c>
      <c r="N48" s="34"/>
      <c r="O48" s="34"/>
      <c r="P48" s="34"/>
      <c r="Q48" s="34"/>
      <c r="R48" s="34"/>
      <c r="S48" s="34"/>
      <c r="T48" s="34"/>
      <c r="U48"/>
      <c r="V48"/>
      <c r="W48"/>
      <c r="X48"/>
      <c r="Y48"/>
      <c r="Z48"/>
      <c r="AA48"/>
      <c r="AB48"/>
      <c r="AC48"/>
      <c r="AD48"/>
      <c r="AE48"/>
      <c r="AF48"/>
      <c r="AG48"/>
      <c r="AH48"/>
      <c r="AI48"/>
      <c r="AJ48"/>
      <c r="AK48"/>
      <c r="AL48"/>
      <c r="AM48"/>
      <c r="AN48"/>
      <c r="AO48"/>
      <c r="AP48"/>
      <c r="AQ48"/>
      <c r="AR48"/>
      <c r="AS48"/>
      <c r="AT48"/>
      <c r="AU48"/>
      <c r="AV48"/>
      <c r="AW48"/>
      <c r="AX48"/>
      <c r="AY48"/>
      <c r="AZ48"/>
    </row>
    <row r="49" spans="1:52" ht="14.5" customHeight="1">
      <c r="A49" s="106" t="s">
        <v>10</v>
      </c>
      <c r="B49"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9" s="37" t="s">
        <v>44</v>
      </c>
      <c r="D49" s="37" t="s">
        <v>38</v>
      </c>
      <c r="E49" s="37" t="s">
        <v>50</v>
      </c>
      <c r="F49" s="37" t="s">
        <v>49</v>
      </c>
      <c r="G49" s="37" t="s">
        <v>35</v>
      </c>
      <c r="H49" s="37" t="s">
        <v>48</v>
      </c>
      <c r="I49" s="107">
        <f>COUNTIF(C49:H57,"* ضد *")</f>
        <v>30</v>
      </c>
      <c r="J49" s="108">
        <f>COUNTIF(C49:E57,"* ضد *")*2/6</f>
        <v>5</v>
      </c>
      <c r="K49" s="108">
        <f>COUNTIF(F49:H57,"* ضد *")*2/6</f>
        <v>5</v>
      </c>
      <c r="L49" s="34"/>
      <c r="M49" s="44" t="str">
        <f t="shared" si="2"/>
        <v>2 ضد 5 1 ضد 6 3 ضد 4 8 ضد 11 7 ضد 12 9 ضد 10</v>
      </c>
      <c r="N49" s="34"/>
      <c r="O49" s="34"/>
      <c r="P49" s="34"/>
      <c r="Q49" s="34"/>
      <c r="R49" s="34"/>
      <c r="S49" s="34"/>
      <c r="T49" s="34"/>
      <c r="U49"/>
      <c r="V49"/>
      <c r="W49"/>
      <c r="X49"/>
      <c r="Y49"/>
      <c r="Z49"/>
      <c r="AA49"/>
      <c r="AB49"/>
      <c r="AC49"/>
      <c r="AD49"/>
      <c r="AE49"/>
      <c r="AF49"/>
      <c r="AG49"/>
      <c r="AH49"/>
      <c r="AI49"/>
      <c r="AJ49"/>
      <c r="AK49"/>
      <c r="AL49"/>
      <c r="AM49"/>
      <c r="AN49"/>
      <c r="AO49"/>
      <c r="AP49"/>
      <c r="AQ49"/>
      <c r="AR49"/>
      <c r="AS49"/>
      <c r="AT49"/>
      <c r="AU49"/>
      <c r="AV49"/>
      <c r="AW49"/>
      <c r="AX49"/>
      <c r="AY49"/>
      <c r="AZ49"/>
    </row>
    <row r="50" spans="1:52" ht="14.5" customHeight="1">
      <c r="A50" s="106"/>
      <c r="B50"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0" s="114" t="s">
        <v>139</v>
      </c>
      <c r="D50" s="108"/>
      <c r="E50" s="108"/>
      <c r="F50" s="114" t="s">
        <v>139</v>
      </c>
      <c r="G50" s="108"/>
      <c r="H50" s="108"/>
      <c r="I50" s="108"/>
      <c r="J50" s="108"/>
      <c r="K50" s="108"/>
      <c r="L50" s="34"/>
      <c r="M50" s="44" t="str">
        <f t="shared" si="2"/>
        <v>استراحة (لا توجد مباريات) استراحة (لا توجد مباريات)</v>
      </c>
      <c r="N50" s="34"/>
      <c r="O50" s="34"/>
      <c r="P50" s="34"/>
      <c r="Q50" s="34"/>
      <c r="R50" s="34"/>
      <c r="S50" s="34"/>
      <c r="T50" s="34"/>
      <c r="U50"/>
      <c r="V50"/>
      <c r="W50"/>
      <c r="X50"/>
      <c r="Y50"/>
      <c r="Z50"/>
      <c r="AA50"/>
      <c r="AB50"/>
      <c r="AC50"/>
      <c r="AD50"/>
      <c r="AE50"/>
      <c r="AF50"/>
      <c r="AG50"/>
      <c r="AH50"/>
      <c r="AI50"/>
      <c r="AJ50"/>
      <c r="AK50"/>
      <c r="AL50"/>
      <c r="AM50"/>
      <c r="AN50"/>
      <c r="AO50"/>
      <c r="AP50"/>
      <c r="AQ50"/>
      <c r="AR50"/>
      <c r="AS50"/>
      <c r="AT50"/>
      <c r="AU50"/>
      <c r="AV50"/>
      <c r="AW50"/>
      <c r="AX50"/>
      <c r="AY50"/>
      <c r="AZ50"/>
    </row>
    <row r="51" spans="1:52" ht="14.5" customHeight="1">
      <c r="A51" s="106"/>
      <c r="B51"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51" s="37" t="s">
        <v>157</v>
      </c>
      <c r="D51" s="37" t="s">
        <v>40</v>
      </c>
      <c r="E51" s="37" t="s">
        <v>37</v>
      </c>
      <c r="F51" s="37" t="s">
        <v>172</v>
      </c>
      <c r="G51" s="37" t="s">
        <v>65</v>
      </c>
      <c r="H51" s="37" t="s">
        <v>67</v>
      </c>
      <c r="I51" s="108"/>
      <c r="J51" s="108"/>
      <c r="K51" s="108"/>
      <c r="L51" s="34"/>
      <c r="M51" s="44" t="str">
        <f t="shared" si="2"/>
        <v>6 ضد 4 1 ضد 5 2 ضد 3 12 ضد 10 7 ضد 11 8 ضد 9</v>
      </c>
      <c r="N51" s="34"/>
      <c r="O51" s="34"/>
      <c r="P51" s="34"/>
      <c r="Q51" s="34"/>
      <c r="R51" s="34"/>
      <c r="S51" s="34"/>
      <c r="T51" s="34"/>
      <c r="U51"/>
      <c r="V51"/>
      <c r="W51"/>
      <c r="X51"/>
      <c r="Y51"/>
      <c r="Z51"/>
      <c r="AA51"/>
      <c r="AB51"/>
      <c r="AC51"/>
      <c r="AD51"/>
      <c r="AE51"/>
      <c r="AF51"/>
      <c r="AG51"/>
      <c r="AH51"/>
      <c r="AI51"/>
      <c r="AJ51"/>
      <c r="AK51"/>
      <c r="AL51"/>
      <c r="AM51"/>
      <c r="AN51"/>
      <c r="AO51"/>
      <c r="AP51"/>
      <c r="AQ51"/>
      <c r="AR51"/>
      <c r="AS51"/>
      <c r="AT51"/>
      <c r="AU51"/>
      <c r="AV51"/>
      <c r="AW51"/>
      <c r="AX51"/>
      <c r="AY51"/>
      <c r="AZ51"/>
    </row>
    <row r="52" spans="1:52" ht="14.5" customHeight="1">
      <c r="A52" s="106"/>
      <c r="B52"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52" s="114" t="s">
        <v>139</v>
      </c>
      <c r="D52" s="108"/>
      <c r="E52" s="108"/>
      <c r="F52" s="114" t="s">
        <v>139</v>
      </c>
      <c r="G52" s="108"/>
      <c r="H52" s="108"/>
      <c r="I52" s="108"/>
      <c r="J52" s="108"/>
      <c r="K52" s="108"/>
      <c r="L52" s="34"/>
      <c r="M52" s="44" t="str">
        <f t="shared" si="2"/>
        <v>استراحة (لا توجد مباريات) استراحة (لا توجد مباريات)</v>
      </c>
      <c r="N52" s="34"/>
      <c r="O52" s="34"/>
      <c r="P52" s="34"/>
      <c r="Q52" s="34"/>
      <c r="R52" s="34"/>
      <c r="S52" s="34"/>
      <c r="T52" s="34"/>
      <c r="U52"/>
      <c r="V52"/>
      <c r="W52"/>
      <c r="X52"/>
      <c r="Y52"/>
      <c r="Z52"/>
      <c r="AA52"/>
      <c r="AB52"/>
      <c r="AC52"/>
      <c r="AD52"/>
      <c r="AE52"/>
      <c r="AF52"/>
      <c r="AG52"/>
      <c r="AH52"/>
      <c r="AI52"/>
      <c r="AJ52"/>
      <c r="AK52"/>
      <c r="AL52"/>
      <c r="AM52"/>
      <c r="AN52"/>
      <c r="AO52"/>
      <c r="AP52"/>
      <c r="AQ52"/>
      <c r="AR52"/>
      <c r="AS52"/>
      <c r="AT52"/>
      <c r="AU52"/>
      <c r="AV52"/>
      <c r="AW52"/>
      <c r="AX52"/>
      <c r="AY52"/>
      <c r="AZ52"/>
    </row>
    <row r="53" spans="1:52" ht="14.5" customHeight="1">
      <c r="A53" s="106"/>
      <c r="B53"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3" s="37" t="s">
        <v>159</v>
      </c>
      <c r="D53" s="37" t="s">
        <v>158</v>
      </c>
      <c r="E53" s="37" t="s">
        <v>63</v>
      </c>
      <c r="F53" s="37" t="s">
        <v>174</v>
      </c>
      <c r="G53" s="37" t="s">
        <v>173</v>
      </c>
      <c r="H53" s="37" t="s">
        <v>60</v>
      </c>
      <c r="I53" s="108"/>
      <c r="J53" s="108"/>
      <c r="K53" s="108"/>
      <c r="L53" s="34"/>
      <c r="M53" s="44" t="str">
        <f t="shared" si="2"/>
        <v>6 ضد 2 5 ضد 3 1 ضد 4 12 ضد 8 11 ضد 9 7 ضد 10</v>
      </c>
      <c r="N53" s="34"/>
      <c r="O53" s="34"/>
      <c r="P53" s="34"/>
      <c r="Q53" s="34"/>
      <c r="R53" s="34"/>
      <c r="S53" s="34"/>
      <c r="T53" s="34"/>
      <c r="U53"/>
      <c r="V53"/>
      <c r="W53"/>
      <c r="X53"/>
      <c r="Y53"/>
      <c r="Z53"/>
      <c r="AA53"/>
      <c r="AB53"/>
      <c r="AC53"/>
      <c r="AD53"/>
      <c r="AE53"/>
      <c r="AF53"/>
      <c r="AG53"/>
      <c r="AH53"/>
      <c r="AI53"/>
      <c r="AJ53"/>
      <c r="AK53"/>
      <c r="AL53"/>
      <c r="AM53"/>
      <c r="AN53"/>
      <c r="AO53"/>
      <c r="AP53"/>
      <c r="AQ53"/>
      <c r="AR53"/>
      <c r="AS53"/>
      <c r="AT53"/>
      <c r="AU53"/>
      <c r="AV53"/>
      <c r="AW53"/>
      <c r="AX53"/>
      <c r="AY53"/>
      <c r="AZ53"/>
    </row>
    <row r="54" spans="1:52" ht="14.5" customHeight="1">
      <c r="A54" s="106"/>
      <c r="B54"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4" s="114" t="s">
        <v>139</v>
      </c>
      <c r="D54" s="108"/>
      <c r="E54" s="108"/>
      <c r="F54" s="114" t="s">
        <v>139</v>
      </c>
      <c r="G54" s="108"/>
      <c r="H54" s="108"/>
      <c r="I54" s="108"/>
      <c r="J54" s="108"/>
      <c r="K54" s="108"/>
      <c r="L54" s="34"/>
      <c r="M54" s="44" t="str">
        <f t="shared" si="2"/>
        <v>استراحة (لا توجد مباريات) استراحة (لا توجد مباريات)</v>
      </c>
      <c r="N54" s="34"/>
      <c r="O54" s="34"/>
      <c r="P54" s="34"/>
      <c r="Q54" s="34"/>
      <c r="R54" s="34"/>
      <c r="S54" s="34"/>
      <c r="T54" s="34"/>
      <c r="U54"/>
      <c r="V54"/>
      <c r="W54"/>
      <c r="X54"/>
      <c r="Y54"/>
      <c r="Z54"/>
      <c r="AA54"/>
      <c r="AB54"/>
      <c r="AC54"/>
      <c r="AD54"/>
      <c r="AE54"/>
      <c r="AF54"/>
      <c r="AG54"/>
      <c r="AH54"/>
      <c r="AI54"/>
      <c r="AJ54"/>
      <c r="AK54"/>
      <c r="AL54"/>
      <c r="AM54"/>
      <c r="AN54"/>
      <c r="AO54"/>
      <c r="AP54"/>
      <c r="AQ54"/>
      <c r="AR54"/>
      <c r="AS54"/>
      <c r="AT54"/>
      <c r="AU54"/>
      <c r="AV54"/>
      <c r="AW54"/>
      <c r="AX54"/>
      <c r="AY54"/>
      <c r="AZ54"/>
    </row>
    <row r="55" spans="1:52" ht="14.5" customHeight="1">
      <c r="A55" s="106"/>
      <c r="B55"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5" s="37" t="s">
        <v>20</v>
      </c>
      <c r="D55" s="37" t="s">
        <v>160</v>
      </c>
      <c r="E55" s="37" t="s">
        <v>55</v>
      </c>
      <c r="F55" s="37" t="s">
        <v>51</v>
      </c>
      <c r="G55" s="37" t="s">
        <v>175</v>
      </c>
      <c r="H55" s="37" t="s">
        <v>21</v>
      </c>
      <c r="I55" s="108"/>
      <c r="J55" s="108"/>
      <c r="K55" s="108"/>
      <c r="L55" s="34"/>
      <c r="M55" s="44" t="str">
        <f t="shared" si="2"/>
        <v>1 ضد 3 4 ضد 2 5 ضد 6 7 ضد 9 10 ضد 8 11 ضد 12</v>
      </c>
      <c r="N55" s="34"/>
      <c r="O55" s="34"/>
      <c r="P55" s="34"/>
      <c r="Q55" s="34"/>
      <c r="R55" s="34"/>
      <c r="S55" s="34"/>
      <c r="T55" s="34"/>
      <c r="U55"/>
      <c r="V55"/>
      <c r="W55"/>
      <c r="X55"/>
      <c r="Y55"/>
      <c r="Z55"/>
      <c r="AA55"/>
      <c r="AB55"/>
      <c r="AC55"/>
      <c r="AD55"/>
      <c r="AE55"/>
      <c r="AF55"/>
      <c r="AG55"/>
      <c r="AH55"/>
      <c r="AI55"/>
      <c r="AJ55"/>
      <c r="AK55"/>
      <c r="AL55"/>
      <c r="AM55"/>
      <c r="AN55"/>
      <c r="AO55"/>
      <c r="AP55"/>
      <c r="AQ55"/>
      <c r="AR55"/>
      <c r="AS55"/>
      <c r="AT55"/>
      <c r="AU55"/>
      <c r="AV55"/>
      <c r="AW55"/>
      <c r="AX55"/>
      <c r="AY55"/>
      <c r="AZ55"/>
    </row>
    <row r="56" spans="1:52" ht="14.5" customHeight="1">
      <c r="A56" s="106"/>
      <c r="B56"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56" s="114" t="s">
        <v>139</v>
      </c>
      <c r="D56" s="108"/>
      <c r="E56" s="108"/>
      <c r="F56" s="114" t="s">
        <v>139</v>
      </c>
      <c r="G56" s="108"/>
      <c r="H56" s="108"/>
      <c r="I56" s="108"/>
      <c r="J56" s="108"/>
      <c r="K56" s="108"/>
      <c r="L56" s="34"/>
      <c r="M56" s="44" t="str">
        <f t="shared" si="2"/>
        <v>استراحة (لا توجد مباريات) استراحة (لا توجد مباريات)</v>
      </c>
      <c r="N56" s="34"/>
      <c r="O56" s="34"/>
      <c r="P56" s="34"/>
      <c r="Q56" s="34"/>
      <c r="R56" s="34"/>
      <c r="S56" s="34"/>
      <c r="T56" s="34"/>
      <c r="U56"/>
      <c r="V56"/>
      <c r="W56"/>
      <c r="X56"/>
      <c r="Y56"/>
      <c r="Z56"/>
      <c r="AA56"/>
      <c r="AB56"/>
      <c r="AC56"/>
      <c r="AD56"/>
      <c r="AE56"/>
      <c r="AF56"/>
      <c r="AG56"/>
      <c r="AH56"/>
      <c r="AI56"/>
      <c r="AJ56"/>
      <c r="AK56"/>
      <c r="AL56"/>
      <c r="AM56"/>
      <c r="AN56"/>
      <c r="AO56"/>
      <c r="AP56"/>
      <c r="AQ56"/>
      <c r="AR56"/>
      <c r="AS56"/>
      <c r="AT56"/>
      <c r="AU56"/>
      <c r="AV56"/>
      <c r="AW56"/>
      <c r="AX56"/>
      <c r="AY56"/>
      <c r="AZ56"/>
    </row>
    <row r="57" spans="1:52" ht="14.5" customHeight="1">
      <c r="A57" s="106"/>
      <c r="B57"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57" s="37" t="s">
        <v>30</v>
      </c>
      <c r="D57" s="37" t="s">
        <v>62</v>
      </c>
      <c r="E57" s="37" t="s">
        <v>46</v>
      </c>
      <c r="F57" s="37" t="s">
        <v>45</v>
      </c>
      <c r="G57" s="37" t="s">
        <v>29</v>
      </c>
      <c r="H57" s="37" t="s">
        <v>31</v>
      </c>
      <c r="I57" s="108"/>
      <c r="J57" s="108"/>
      <c r="K57" s="108"/>
      <c r="L57" s="34"/>
      <c r="M57" s="44" t="str">
        <f t="shared" si="2"/>
        <v>1 ضد 2 3 ضد 6 4 ضد 5 7 ضد 8 9 ضد 12 10 ضد 11</v>
      </c>
      <c r="N57" s="34"/>
      <c r="O57" s="34"/>
      <c r="P57" s="34"/>
      <c r="Q57" s="34"/>
      <c r="R57" s="34"/>
      <c r="S57" s="34"/>
      <c r="T57" s="34"/>
      <c r="U57"/>
      <c r="V57"/>
      <c r="W57"/>
      <c r="X57"/>
      <c r="Y57"/>
      <c r="Z57"/>
      <c r="AA57"/>
      <c r="AB57"/>
      <c r="AC57"/>
      <c r="AD57"/>
      <c r="AE57"/>
      <c r="AF57"/>
      <c r="AG57"/>
      <c r="AH57"/>
      <c r="AI57"/>
      <c r="AJ57"/>
      <c r="AK57"/>
      <c r="AL57"/>
      <c r="AM57"/>
      <c r="AN57"/>
      <c r="AO57"/>
      <c r="AP57"/>
      <c r="AQ57"/>
      <c r="AR57"/>
      <c r="AS57"/>
      <c r="AT57"/>
      <c r="AU57"/>
      <c r="AV57"/>
      <c r="AW57"/>
      <c r="AX57"/>
      <c r="AY57"/>
      <c r="AZ57"/>
    </row>
    <row r="58" spans="1:52" ht="15" customHeight="1">
      <c r="A58" s="34"/>
      <c r="B58" s="34"/>
      <c r="C58" s="34"/>
      <c r="D58" s="34"/>
      <c r="E58" s="34"/>
      <c r="F58" s="34"/>
      <c r="G58" s="34"/>
      <c r="H58" s="34"/>
      <c r="I58" s="34"/>
      <c r="J58" s="34"/>
      <c r="K58" s="34"/>
      <c r="L58" s="34"/>
      <c r="M58" s="34"/>
      <c r="N58" s="34"/>
      <c r="O58" s="34"/>
      <c r="P58" s="34"/>
      <c r="Q58" s="34"/>
      <c r="R58" s="34"/>
      <c r="S58" s="34"/>
      <c r="T58" s="34"/>
      <c r="U58"/>
      <c r="V58"/>
      <c r="W58"/>
      <c r="X58"/>
      <c r="Y58"/>
      <c r="Z58"/>
      <c r="AA58"/>
      <c r="AB58"/>
      <c r="AC58"/>
      <c r="AD58"/>
      <c r="AE58"/>
      <c r="AF58"/>
      <c r="AG58"/>
      <c r="AH58"/>
      <c r="AI58"/>
      <c r="AJ58"/>
      <c r="AK58"/>
      <c r="AL58"/>
      <c r="AM58"/>
      <c r="AN58"/>
      <c r="AO58"/>
      <c r="AP58"/>
      <c r="AQ58"/>
      <c r="AR58"/>
      <c r="AS58"/>
      <c r="AT58"/>
      <c r="AU58"/>
      <c r="AV58"/>
      <c r="AW58"/>
      <c r="AX58"/>
      <c r="AY58"/>
      <c r="AZ58"/>
    </row>
    <row r="59" spans="1:52" ht="15" customHeight="1">
      <c r="A59" s="34"/>
      <c r="B59" s="34"/>
      <c r="C59" s="34"/>
      <c r="D59" s="34"/>
      <c r="E59" s="34"/>
      <c r="F59" s="34"/>
      <c r="G59" s="34"/>
      <c r="H59" s="34"/>
      <c r="I59" s="34"/>
      <c r="J59" s="34"/>
      <c r="K59" s="34"/>
      <c r="L59" s="34"/>
      <c r="M59" s="34"/>
      <c r="N59" s="34"/>
      <c r="O59" s="34"/>
      <c r="P59" s="34"/>
      <c r="Q59" s="34"/>
      <c r="R59" s="34"/>
      <c r="S59" s="34"/>
      <c r="T59" s="34"/>
      <c r="U59"/>
      <c r="V59"/>
      <c r="W59"/>
      <c r="X59"/>
      <c r="Y59"/>
      <c r="Z59"/>
      <c r="AA59"/>
      <c r="AB59"/>
      <c r="AC59"/>
      <c r="AD59"/>
      <c r="AE59"/>
      <c r="AF59"/>
      <c r="AG59"/>
      <c r="AH59"/>
      <c r="AI59"/>
      <c r="AJ59"/>
      <c r="AK59"/>
      <c r="AL59"/>
      <c r="AM59"/>
      <c r="AN59"/>
      <c r="AO59"/>
      <c r="AP59"/>
      <c r="AQ59"/>
      <c r="AR59"/>
      <c r="AS59"/>
      <c r="AT59"/>
      <c r="AU59"/>
      <c r="AV59"/>
      <c r="AW59"/>
      <c r="AX59"/>
      <c r="AY59"/>
      <c r="AZ59"/>
    </row>
    <row r="60" spans="1:52" ht="15.5" customHeight="1">
      <c r="A60" s="34"/>
      <c r="B60" s="109" t="s">
        <v>448</v>
      </c>
      <c r="C60" s="109"/>
      <c r="D60" s="109"/>
      <c r="E60" s="109"/>
      <c r="F60" s="109"/>
      <c r="G60" s="109"/>
      <c r="H60" s="109"/>
      <c r="I60" s="109"/>
      <c r="J60" s="109"/>
      <c r="K60" s="109"/>
      <c r="L60" s="109"/>
      <c r="M60" s="109"/>
      <c r="N60" s="109"/>
      <c r="O60" s="34"/>
      <c r="P60" s="34"/>
      <c r="Q60" s="34"/>
      <c r="R60" s="34"/>
      <c r="S60" s="34"/>
      <c r="T60" s="34"/>
      <c r="U60"/>
      <c r="V60"/>
      <c r="W60"/>
      <c r="X60"/>
      <c r="Y60"/>
      <c r="Z60"/>
      <c r="AA60"/>
      <c r="AB60"/>
      <c r="AC60"/>
      <c r="AD60"/>
      <c r="AE60"/>
      <c r="AF60"/>
      <c r="AG60"/>
      <c r="AH60"/>
      <c r="AI60"/>
      <c r="AJ60"/>
      <c r="AK60"/>
      <c r="AL60"/>
      <c r="AM60"/>
      <c r="AN60"/>
      <c r="AO60"/>
      <c r="AP60"/>
      <c r="AQ60"/>
      <c r="AR60"/>
      <c r="AS60"/>
      <c r="AT60"/>
      <c r="AU60"/>
      <c r="AV60"/>
      <c r="AW60"/>
      <c r="AX60"/>
      <c r="AY60"/>
      <c r="AZ60"/>
    </row>
    <row r="61" spans="1:52" ht="14.5" customHeight="1">
      <c r="A61" s="34"/>
      <c r="B61" s="38" t="s">
        <v>83</v>
      </c>
      <c r="C61" s="110" t="s">
        <v>264</v>
      </c>
      <c r="D61" s="110"/>
      <c r="E61" s="110"/>
      <c r="F61" s="110" t="s">
        <v>216</v>
      </c>
      <c r="G61" s="110"/>
      <c r="H61" s="34"/>
      <c r="I61" s="38" t="s">
        <v>83</v>
      </c>
      <c r="J61" s="110" t="s">
        <v>265</v>
      </c>
      <c r="K61" s="110"/>
      <c r="L61" s="110"/>
      <c r="M61" s="110" t="s">
        <v>216</v>
      </c>
      <c r="N61" s="110"/>
      <c r="O61" s="34"/>
      <c r="P61" s="34"/>
      <c r="Q61" s="34"/>
      <c r="R61" s="34"/>
      <c r="S61" s="34"/>
      <c r="T61" s="34"/>
      <c r="U61"/>
      <c r="V61"/>
      <c r="W61"/>
      <c r="X61"/>
      <c r="Y61"/>
      <c r="Z61"/>
      <c r="AA61"/>
      <c r="AB61"/>
      <c r="AC61"/>
      <c r="AD61"/>
      <c r="AE61"/>
      <c r="AF61"/>
      <c r="AG61"/>
      <c r="AH61"/>
      <c r="AI61"/>
      <c r="AJ61"/>
      <c r="AK61"/>
      <c r="AL61"/>
      <c r="AM61"/>
      <c r="AN61"/>
      <c r="AO61"/>
      <c r="AP61"/>
      <c r="AQ61"/>
      <c r="AR61"/>
      <c r="AS61"/>
      <c r="AT61"/>
      <c r="AU61"/>
      <c r="AV61"/>
      <c r="AW61"/>
      <c r="AX61"/>
      <c r="AY61"/>
      <c r="AZ61"/>
    </row>
    <row r="62" spans="1:52" ht="14.5" customHeight="1">
      <c r="A62" s="34"/>
      <c r="B62" s="39">
        <v>1</v>
      </c>
      <c r="C62" s="105" t="s">
        <v>557</v>
      </c>
      <c r="D62" s="105"/>
      <c r="E62" s="105"/>
      <c r="F62" s="105" t="s">
        <v>456</v>
      </c>
      <c r="G62" s="105"/>
      <c r="H62" s="34"/>
      <c r="I62" s="39">
        <v>7</v>
      </c>
      <c r="J62" s="105" t="s">
        <v>563</v>
      </c>
      <c r="K62" s="105"/>
      <c r="L62" s="105"/>
      <c r="M62" s="105" t="s">
        <v>458</v>
      </c>
      <c r="N62" s="105"/>
      <c r="O62" s="34"/>
      <c r="P62" s="34"/>
      <c r="Q62" s="34"/>
      <c r="R62" s="34"/>
      <c r="S62" s="34"/>
      <c r="T62" s="34"/>
      <c r="U62"/>
      <c r="V62"/>
      <c r="W62"/>
      <c r="X62"/>
      <c r="Y62"/>
      <c r="Z62"/>
      <c r="AA62"/>
      <c r="AB62"/>
      <c r="AC62"/>
      <c r="AD62"/>
      <c r="AE62"/>
      <c r="AF62"/>
      <c r="AG62"/>
      <c r="AH62"/>
      <c r="AI62"/>
      <c r="AJ62"/>
      <c r="AK62"/>
      <c r="AL62"/>
      <c r="AM62"/>
      <c r="AN62"/>
      <c r="AO62"/>
      <c r="AP62"/>
      <c r="AQ62"/>
      <c r="AR62"/>
      <c r="AS62"/>
      <c r="AT62"/>
      <c r="AU62"/>
      <c r="AV62"/>
      <c r="AW62"/>
      <c r="AX62"/>
      <c r="AY62"/>
      <c r="AZ62"/>
    </row>
    <row r="63" spans="1:52" ht="14.5" customHeight="1">
      <c r="A63" s="34"/>
      <c r="B63" s="39">
        <v>2</v>
      </c>
      <c r="C63" s="105" t="s">
        <v>558</v>
      </c>
      <c r="D63" s="105"/>
      <c r="E63" s="105"/>
      <c r="F63" s="105" t="s">
        <v>473</v>
      </c>
      <c r="G63" s="105"/>
      <c r="H63" s="34"/>
      <c r="I63" s="39">
        <v>8</v>
      </c>
      <c r="J63" s="105" t="s">
        <v>564</v>
      </c>
      <c r="K63" s="105"/>
      <c r="L63" s="105"/>
      <c r="M63" s="105" t="s">
        <v>473</v>
      </c>
      <c r="N63" s="105"/>
      <c r="O63" s="34"/>
      <c r="P63" s="34"/>
      <c r="Q63" s="34"/>
      <c r="R63" s="34"/>
      <c r="S63" s="34"/>
      <c r="T63" s="34"/>
      <c r="U63"/>
      <c r="V63"/>
      <c r="W63"/>
      <c r="X63"/>
      <c r="Y63"/>
      <c r="Z63"/>
      <c r="AA63"/>
      <c r="AB63"/>
      <c r="AC63"/>
      <c r="AD63"/>
      <c r="AE63"/>
      <c r="AF63"/>
      <c r="AG63"/>
      <c r="AH63"/>
      <c r="AI63"/>
      <c r="AJ63"/>
      <c r="AK63"/>
      <c r="AL63"/>
      <c r="AM63"/>
      <c r="AN63"/>
      <c r="AO63"/>
      <c r="AP63"/>
      <c r="AQ63"/>
      <c r="AR63"/>
      <c r="AS63"/>
      <c r="AT63"/>
      <c r="AU63"/>
      <c r="AV63"/>
      <c r="AW63"/>
      <c r="AX63"/>
      <c r="AY63"/>
      <c r="AZ63"/>
    </row>
    <row r="64" spans="1:52" ht="14.5" customHeight="1">
      <c r="A64" s="34"/>
      <c r="B64" s="39">
        <v>3</v>
      </c>
      <c r="C64" s="105" t="s">
        <v>559</v>
      </c>
      <c r="D64" s="105"/>
      <c r="E64" s="105"/>
      <c r="F64" s="105" t="s">
        <v>473</v>
      </c>
      <c r="G64" s="105"/>
      <c r="H64" s="34"/>
      <c r="I64" s="39">
        <v>9</v>
      </c>
      <c r="J64" s="105" t="s">
        <v>565</v>
      </c>
      <c r="K64" s="105"/>
      <c r="L64" s="105"/>
      <c r="M64" s="105" t="s">
        <v>473</v>
      </c>
      <c r="N64" s="105"/>
      <c r="O64" s="34"/>
      <c r="P64" s="34"/>
      <c r="Q64" s="34"/>
      <c r="R64" s="34"/>
      <c r="S64" s="34"/>
      <c r="T64" s="34"/>
      <c r="U64"/>
      <c r="V64"/>
      <c r="W64"/>
      <c r="X64"/>
      <c r="Y64"/>
      <c r="Z64"/>
      <c r="AA64"/>
      <c r="AB64"/>
      <c r="AC64"/>
      <c r="AD64"/>
      <c r="AE64"/>
      <c r="AF64"/>
      <c r="AG64"/>
      <c r="AH64"/>
      <c r="AI64"/>
      <c r="AJ64"/>
      <c r="AK64"/>
      <c r="AL64"/>
      <c r="AM64"/>
      <c r="AN64"/>
      <c r="AO64"/>
      <c r="AP64"/>
      <c r="AQ64"/>
      <c r="AR64"/>
      <c r="AS64"/>
      <c r="AT64"/>
      <c r="AU64"/>
      <c r="AV64"/>
      <c r="AW64"/>
      <c r="AX64"/>
      <c r="AY64"/>
      <c r="AZ64"/>
    </row>
    <row r="65" spans="1:52" ht="14.5" customHeight="1">
      <c r="A65" s="34"/>
      <c r="B65" s="39">
        <v>4</v>
      </c>
      <c r="C65" s="105" t="s">
        <v>560</v>
      </c>
      <c r="D65" s="105"/>
      <c r="E65" s="105"/>
      <c r="F65" s="105" t="s">
        <v>473</v>
      </c>
      <c r="G65" s="105"/>
      <c r="H65" s="34"/>
      <c r="I65" s="39">
        <v>10</v>
      </c>
      <c r="J65" s="105" t="s">
        <v>566</v>
      </c>
      <c r="K65" s="105"/>
      <c r="L65" s="105"/>
      <c r="M65" s="105" t="s">
        <v>473</v>
      </c>
      <c r="N65" s="105"/>
      <c r="O65" s="34"/>
      <c r="P65" s="34"/>
      <c r="Q65" s="34"/>
      <c r="R65" s="34"/>
      <c r="S65" s="34"/>
      <c r="T65" s="34"/>
      <c r="U65"/>
      <c r="V65"/>
      <c r="W65"/>
      <c r="X65"/>
      <c r="Y65"/>
      <c r="Z65"/>
      <c r="AA65"/>
      <c r="AB65"/>
      <c r="AC65"/>
      <c r="AD65"/>
      <c r="AE65"/>
      <c r="AF65"/>
      <c r="AG65"/>
      <c r="AH65"/>
      <c r="AI65"/>
      <c r="AJ65"/>
      <c r="AK65"/>
      <c r="AL65"/>
      <c r="AM65"/>
      <c r="AN65"/>
      <c r="AO65"/>
      <c r="AP65"/>
      <c r="AQ65"/>
      <c r="AR65"/>
      <c r="AS65"/>
      <c r="AT65"/>
      <c r="AU65"/>
      <c r="AV65"/>
      <c r="AW65"/>
      <c r="AX65"/>
      <c r="AY65"/>
      <c r="AZ65"/>
    </row>
    <row r="66" spans="1:52" ht="14.5" customHeight="1">
      <c r="A66" s="34"/>
      <c r="B66" s="39">
        <v>5</v>
      </c>
      <c r="C66" s="105" t="s">
        <v>561</v>
      </c>
      <c r="D66" s="105"/>
      <c r="E66" s="105"/>
      <c r="F66" s="105" t="s">
        <v>473</v>
      </c>
      <c r="G66" s="105"/>
      <c r="H66" s="34"/>
      <c r="I66" s="39">
        <v>11</v>
      </c>
      <c r="J66" s="105" t="s">
        <v>567</v>
      </c>
      <c r="K66" s="105"/>
      <c r="L66" s="105"/>
      <c r="M66" s="105" t="s">
        <v>473</v>
      </c>
      <c r="N66" s="105"/>
      <c r="O66" s="34"/>
      <c r="P66" s="34"/>
      <c r="Q66" s="34"/>
      <c r="R66" s="34"/>
      <c r="S66" s="34"/>
      <c r="T66" s="34"/>
      <c r="U66"/>
      <c r="V66"/>
      <c r="W66"/>
      <c r="X66"/>
      <c r="Y66"/>
      <c r="Z66"/>
      <c r="AA66"/>
      <c r="AB66"/>
      <c r="AC66"/>
      <c r="AD66"/>
      <c r="AE66"/>
      <c r="AF66"/>
      <c r="AG66"/>
      <c r="AH66"/>
      <c r="AI66"/>
      <c r="AJ66"/>
      <c r="AK66"/>
      <c r="AL66"/>
      <c r="AM66"/>
      <c r="AN66"/>
      <c r="AO66"/>
      <c r="AP66"/>
      <c r="AQ66"/>
      <c r="AR66"/>
      <c r="AS66"/>
      <c r="AT66"/>
      <c r="AU66"/>
      <c r="AV66"/>
      <c r="AW66"/>
      <c r="AX66"/>
      <c r="AY66"/>
      <c r="AZ66"/>
    </row>
    <row r="67" spans="1:52" ht="14.5" customHeight="1">
      <c r="A67" s="34"/>
      <c r="B67" s="39">
        <v>6</v>
      </c>
      <c r="C67" s="105" t="s">
        <v>562</v>
      </c>
      <c r="D67" s="105"/>
      <c r="E67" s="105"/>
      <c r="F67" s="105" t="s">
        <v>473</v>
      </c>
      <c r="G67" s="105"/>
      <c r="H67" s="34"/>
      <c r="I67" s="39">
        <v>12</v>
      </c>
      <c r="J67" s="105" t="s">
        <v>568</v>
      </c>
      <c r="K67" s="105"/>
      <c r="L67" s="105"/>
      <c r="M67" s="105" t="s">
        <v>473</v>
      </c>
      <c r="N67" s="105"/>
      <c r="O67" s="34"/>
      <c r="P67" s="34"/>
      <c r="Q67" s="34"/>
      <c r="R67" s="34"/>
      <c r="S67" s="34"/>
      <c r="T67" s="34"/>
      <c r="U67"/>
      <c r="V67"/>
      <c r="W67"/>
      <c r="X67"/>
      <c r="Y67"/>
      <c r="Z67"/>
      <c r="AA67"/>
      <c r="AB67"/>
      <c r="AC67"/>
      <c r="AD67"/>
      <c r="AE67"/>
      <c r="AF67"/>
      <c r="AG67"/>
      <c r="AH67"/>
      <c r="AI67"/>
      <c r="AJ67"/>
      <c r="AK67"/>
      <c r="AL67"/>
      <c r="AM67"/>
      <c r="AN67"/>
      <c r="AO67"/>
      <c r="AP67"/>
      <c r="AQ67"/>
      <c r="AR67"/>
      <c r="AS67"/>
      <c r="AT67"/>
      <c r="AU67"/>
      <c r="AV67"/>
      <c r="AW67"/>
      <c r="AX67"/>
      <c r="AY67"/>
      <c r="AZ67"/>
    </row>
    <row r="68" spans="1:52" ht="15" customHeight="1">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row>
    <row r="69" spans="1:52" ht="15" customHeight="1">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row>
    <row r="70" spans="1:52" ht="15.5" customHeight="1">
      <c r="A70"/>
      <c r="B70" s="109" t="s">
        <v>449</v>
      </c>
      <c r="C70" s="109"/>
      <c r="D70" s="109"/>
      <c r="E70" s="109"/>
      <c r="F70" s="109"/>
      <c r="G70" s="109"/>
      <c r="H70" s="109"/>
      <c r="I70" s="109"/>
      <c r="J70" s="109"/>
      <c r="K70" s="109"/>
      <c r="L70" s="109"/>
      <c r="M70" s="109"/>
      <c r="N70" s="109"/>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row>
    <row r="71" spans="1:52" ht="14.5" customHeight="1">
      <c r="A71"/>
      <c r="B71" s="38" t="s">
        <v>83</v>
      </c>
      <c r="C71" s="110" t="s">
        <v>264</v>
      </c>
      <c r="D71" s="110"/>
      <c r="E71" s="110"/>
      <c r="F71" s="110" t="s">
        <v>216</v>
      </c>
      <c r="G71" s="110"/>
      <c r="H71" s="34"/>
      <c r="I71" s="38" t="s">
        <v>83</v>
      </c>
      <c r="J71" s="110" t="s">
        <v>265</v>
      </c>
      <c r="K71" s="110"/>
      <c r="L71" s="110"/>
      <c r="M71" s="110" t="s">
        <v>216</v>
      </c>
      <c r="N71" s="110"/>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row>
    <row r="72" spans="1:52" ht="14.5" customHeight="1">
      <c r="A72"/>
      <c r="B72" s="39">
        <v>1</v>
      </c>
      <c r="C72" s="105" t="s">
        <v>569</v>
      </c>
      <c r="D72" s="105"/>
      <c r="E72" s="105"/>
      <c r="F72" s="105" t="s">
        <v>456</v>
      </c>
      <c r="G72" s="105"/>
      <c r="H72" s="34"/>
      <c r="I72" s="39">
        <v>7</v>
      </c>
      <c r="J72" s="105" t="s">
        <v>575</v>
      </c>
      <c r="K72" s="105"/>
      <c r="L72" s="105"/>
      <c r="M72" s="105" t="s">
        <v>456</v>
      </c>
      <c r="N72" s="105"/>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row>
    <row r="73" spans="1:52" ht="14.5" customHeight="1">
      <c r="A73"/>
      <c r="B73" s="39">
        <v>2</v>
      </c>
      <c r="C73" s="105" t="s">
        <v>570</v>
      </c>
      <c r="D73" s="105"/>
      <c r="E73" s="105"/>
      <c r="F73" s="105" t="s">
        <v>456</v>
      </c>
      <c r="G73" s="105"/>
      <c r="H73" s="34"/>
      <c r="I73" s="39">
        <v>8</v>
      </c>
      <c r="J73" s="105" t="s">
        <v>576</v>
      </c>
      <c r="K73" s="105"/>
      <c r="L73" s="105"/>
      <c r="M73" s="105" t="s">
        <v>456</v>
      </c>
      <c r="N73" s="105"/>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row>
    <row r="74" spans="1:52" ht="14.5" customHeight="1">
      <c r="A74"/>
      <c r="B74" s="39">
        <v>3</v>
      </c>
      <c r="C74" s="105" t="s">
        <v>571</v>
      </c>
      <c r="D74" s="105"/>
      <c r="E74" s="105"/>
      <c r="F74" s="105" t="s">
        <v>456</v>
      </c>
      <c r="G74" s="105"/>
      <c r="H74" s="34"/>
      <c r="I74" s="39">
        <v>9</v>
      </c>
      <c r="J74" s="105" t="s">
        <v>577</v>
      </c>
      <c r="K74" s="105"/>
      <c r="L74" s="105"/>
      <c r="M74" s="105" t="s">
        <v>456</v>
      </c>
      <c r="N74" s="105"/>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row>
    <row r="75" spans="1:52" ht="14.5" customHeight="1">
      <c r="A75"/>
      <c r="B75" s="39">
        <v>4</v>
      </c>
      <c r="C75" s="105" t="s">
        <v>572</v>
      </c>
      <c r="D75" s="105"/>
      <c r="E75" s="105"/>
      <c r="F75" s="105" t="s">
        <v>456</v>
      </c>
      <c r="G75" s="105"/>
      <c r="H75" s="34"/>
      <c r="I75" s="39">
        <v>10</v>
      </c>
      <c r="J75" s="105" t="s">
        <v>578</v>
      </c>
      <c r="K75" s="105"/>
      <c r="L75" s="105"/>
      <c r="M75" s="105" t="s">
        <v>456</v>
      </c>
      <c r="N75" s="10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row>
    <row r="76" spans="1:52" ht="14.5" customHeight="1">
      <c r="A76"/>
      <c r="B76" s="39">
        <v>5</v>
      </c>
      <c r="C76" s="105" t="s">
        <v>573</v>
      </c>
      <c r="D76" s="105"/>
      <c r="E76" s="105"/>
      <c r="F76" s="105" t="s">
        <v>458</v>
      </c>
      <c r="G76" s="105"/>
      <c r="H76" s="34"/>
      <c r="I76" s="39">
        <v>11</v>
      </c>
      <c r="J76" s="105" t="s">
        <v>579</v>
      </c>
      <c r="K76" s="105"/>
      <c r="L76" s="105"/>
      <c r="M76" s="105" t="s">
        <v>458</v>
      </c>
      <c r="N76" s="105"/>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row>
    <row r="77" spans="1:52" ht="14.5" customHeight="1">
      <c r="A77"/>
      <c r="B77" s="39">
        <v>6</v>
      </c>
      <c r="C77" s="105" t="s">
        <v>574</v>
      </c>
      <c r="D77" s="105"/>
      <c r="E77" s="105"/>
      <c r="F77" s="105" t="s">
        <v>473</v>
      </c>
      <c r="G77" s="105"/>
      <c r="H77" s="34"/>
      <c r="I77" s="39">
        <v>12</v>
      </c>
      <c r="J77" s="105" t="s">
        <v>580</v>
      </c>
      <c r="K77" s="105"/>
      <c r="L77" s="105"/>
      <c r="M77" s="105" t="s">
        <v>473</v>
      </c>
      <c r="N77" s="105"/>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row>
    <row r="78" spans="1:52" ht="1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row>
    <row r="79" spans="1:52" ht="1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row>
    <row r="80" spans="1:52" ht="1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row>
    <row r="81" spans="1:52" ht="1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row>
    <row r="82" spans="1:52" ht="1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row>
    <row r="83" spans="1:52" ht="1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row>
    <row r="84" spans="1:52" ht="1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row>
    <row r="85" spans="1:52" ht="1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row>
    <row r="86" spans="1:52" ht="1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row>
    <row r="87" spans="1:52" ht="1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row>
    <row r="88" spans="1:52" ht="1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row>
    <row r="89" spans="1:52" ht="1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row>
    <row r="90" spans="1:52" ht="1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row>
    <row r="91" spans="1:52" ht="1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row>
    <row r="92" spans="1:52" ht="1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row>
    <row r="93" spans="1:52" ht="1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row>
    <row r="94" spans="1:52" ht="1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row>
    <row r="95" spans="1:52" ht="1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row>
    <row r="96" spans="1:52" ht="1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row>
    <row r="97" spans="1:52" ht="1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row>
    <row r="98" spans="1:52" ht="1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row>
    <row r="99" spans="1:52" ht="1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row>
    <row r="100" spans="1:52" ht="1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row>
    <row r="101" spans="1:52" ht="1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row>
    <row r="102" spans="1:52" ht="1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row>
    <row r="103" spans="1:52" ht="1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row>
    <row r="104" spans="1:52" ht="1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row>
    <row r="105" spans="1:52" ht="1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row>
    <row r="106" spans="1:52" ht="1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row>
    <row r="107" spans="1:52" ht="1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row>
    <row r="108" spans="1:52" ht="1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row>
    <row r="109" spans="1:52" ht="1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row>
    <row r="110" spans="1:52" ht="1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52" ht="1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52" ht="1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52" ht="1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52" ht="1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52" ht="1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52" ht="1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52" ht="1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row>
    <row r="118" spans="1:52" ht="1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52" ht="1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row>
    <row r="120" spans="1:52" ht="1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row>
    <row r="121" spans="1:52" ht="1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row>
    <row r="122" spans="1:52" ht="1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row>
    <row r="123" spans="1:52" ht="1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row>
    <row r="124" spans="1:52" ht="1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row>
    <row r="125" spans="1:52" ht="1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row>
    <row r="126" spans="1:52" ht="1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row>
    <row r="127" spans="1:52" ht="1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row>
    <row r="128" spans="1:52" ht="1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row>
    <row r="129" spans="1:52" ht="1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row>
    <row r="130" spans="1:52" ht="1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row>
    <row r="131" spans="1:52" ht="1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row>
    <row r="132" spans="1:52" ht="1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row>
    <row r="133" spans="1:52" ht="1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row>
    <row r="134" spans="1:52" ht="1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row>
    <row r="135" spans="1:52" ht="1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row>
    <row r="136" spans="1:52" ht="1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row>
    <row r="137" spans="1:52" ht="1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row>
    <row r="138" spans="1:52" ht="1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row>
    <row r="139" spans="1:52" ht="1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row>
    <row r="140" spans="1:52" ht="1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row>
    <row r="141" spans="1:52" ht="1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row>
    <row r="142" spans="1:52" ht="1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row>
    <row r="143" spans="1:52" ht="1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row>
    <row r="144" spans="1:52" ht="1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row>
    <row r="145" spans="1:52" ht="1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row>
    <row r="146" spans="1:52" ht="1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row>
    <row r="147" spans="1:52" ht="1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row>
    <row r="148" spans="1:52" ht="1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row>
    <row r="149" spans="1:52" ht="1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row>
    <row r="150" spans="1:52" ht="1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row>
    <row r="151" spans="1:52" ht="1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row>
    <row r="152" spans="1:52" ht="1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row>
    <row r="153" spans="1:52" ht="1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row>
    <row r="154" spans="1:52" ht="1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row>
    <row r="155" spans="1:52" ht="1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row>
    <row r="156" spans="1:52" ht="1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row>
    <row r="157" spans="1:52" ht="1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row>
    <row r="158" spans="1:52" ht="1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row>
    <row r="159" spans="1:52" ht="1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row>
    <row r="160" spans="1:52" ht="1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row>
    <row r="161" spans="1:52" ht="1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row>
    <row r="162" spans="1:52" ht="1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row>
    <row r="163" spans="1:52" ht="1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row>
    <row r="164" spans="1:52" ht="1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row>
    <row r="165" spans="1:52" ht="1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row>
    <row r="166" spans="1:52" ht="1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row>
    <row r="167" spans="1:52" ht="1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row>
    <row r="168" spans="1:52" ht="1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row>
    <row r="169" spans="1:52" ht="1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row>
    <row r="170" spans="1:52" ht="1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row>
    <row r="171" spans="1:52" ht="1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row>
    <row r="172" spans="1:52" ht="1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row>
    <row r="173" spans="1:52" ht="1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row>
    <row r="174" spans="1:52" ht="1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row>
    <row r="175" spans="1:52" ht="1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row>
    <row r="176" spans="1:52" ht="1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row>
    <row r="177" spans="1:52" ht="1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row>
    <row r="178" spans="1:52" ht="1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row>
    <row r="179" spans="1:52" ht="1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row>
    <row r="180" spans="1:52" ht="1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row>
    <row r="181" spans="1:52" ht="1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row>
    <row r="182" spans="1:52" ht="1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row>
    <row r="183" spans="1:52" ht="1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row>
    <row r="184" spans="1:52" ht="1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row>
    <row r="185" spans="1:52" ht="1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row>
    <row r="186" spans="1:52" ht="1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row>
    <row r="187" spans="1:52" ht="1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row>
    <row r="188" spans="1:52" ht="1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row>
    <row r="189" spans="1:52" ht="1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row>
    <row r="190" spans="1:52" ht="1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row>
    <row r="191" spans="1:52" ht="1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row>
    <row r="192" spans="1:52" ht="1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row>
    <row r="193" spans="1:52" ht="1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row>
    <row r="194" spans="1:52" ht="1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row>
    <row r="195" spans="1:52" ht="1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row>
    <row r="196" spans="1:52" ht="1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row>
    <row r="197" spans="1:52" ht="1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row>
    <row r="198" spans="1:52" ht="1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row>
    <row r="199" spans="1:52" ht="1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row>
    <row r="200" spans="1:52" ht="1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row>
  </sheetData>
  <mergeCells count="121">
    <mergeCell ref="C77:E77"/>
    <mergeCell ref="F77:G77"/>
    <mergeCell ref="J77:L77"/>
    <mergeCell ref="B70:N70"/>
    <mergeCell ref="M71:N71"/>
    <mergeCell ref="M72:N72"/>
    <mergeCell ref="M73:N73"/>
    <mergeCell ref="M74:N74"/>
    <mergeCell ref="M75:N75"/>
    <mergeCell ref="M76:N76"/>
    <mergeCell ref="M77:N77"/>
    <mergeCell ref="C75:E75"/>
    <mergeCell ref="F75:G75"/>
    <mergeCell ref="J75:L75"/>
    <mergeCell ref="C76:E76"/>
    <mergeCell ref="F76:G76"/>
    <mergeCell ref="J76:L76"/>
    <mergeCell ref="C73:E73"/>
    <mergeCell ref="F73:G73"/>
    <mergeCell ref="J73:L73"/>
    <mergeCell ref="C74:E74"/>
    <mergeCell ref="F74:G74"/>
    <mergeCell ref="J74:L74"/>
    <mergeCell ref="C71:E71"/>
    <mergeCell ref="F71:G71"/>
    <mergeCell ref="J71:L71"/>
    <mergeCell ref="C72:E72"/>
    <mergeCell ref="F72:G72"/>
    <mergeCell ref="J72:L72"/>
    <mergeCell ref="A1:K1"/>
    <mergeCell ref="A4:A12"/>
    <mergeCell ref="I4:I12"/>
    <mergeCell ref="J4:J12"/>
    <mergeCell ref="K4:K12"/>
    <mergeCell ref="C5:E5"/>
    <mergeCell ref="C7:E7"/>
    <mergeCell ref="C9:E9"/>
    <mergeCell ref="F5:H5"/>
    <mergeCell ref="F7:H7"/>
    <mergeCell ref="F9:H9"/>
    <mergeCell ref="A13:A21"/>
    <mergeCell ref="I13:I21"/>
    <mergeCell ref="J13:J21"/>
    <mergeCell ref="K13:K21"/>
    <mergeCell ref="C14:E14"/>
    <mergeCell ref="C16:E16"/>
    <mergeCell ref="C18:E18"/>
    <mergeCell ref="F14:H14"/>
    <mergeCell ref="F16:H16"/>
    <mergeCell ref="F18:H18"/>
    <mergeCell ref="A22:A30"/>
    <mergeCell ref="I22:I30"/>
    <mergeCell ref="J22:J30"/>
    <mergeCell ref="K22:K30"/>
    <mergeCell ref="C23:E23"/>
    <mergeCell ref="C25:E25"/>
    <mergeCell ref="C27:E27"/>
    <mergeCell ref="F23:H23"/>
    <mergeCell ref="F25:H25"/>
    <mergeCell ref="F27:H27"/>
    <mergeCell ref="A31:A39"/>
    <mergeCell ref="I31:I39"/>
    <mergeCell ref="J31:J39"/>
    <mergeCell ref="K31:K39"/>
    <mergeCell ref="C32:E32"/>
    <mergeCell ref="C34:E34"/>
    <mergeCell ref="C36:E36"/>
    <mergeCell ref="F32:H32"/>
    <mergeCell ref="F34:H34"/>
    <mergeCell ref="F36:H36"/>
    <mergeCell ref="A40:A48"/>
    <mergeCell ref="I40:I48"/>
    <mergeCell ref="J40:J48"/>
    <mergeCell ref="K40:K48"/>
    <mergeCell ref="C41:E41"/>
    <mergeCell ref="C43:E43"/>
    <mergeCell ref="F41:H41"/>
    <mergeCell ref="F43:H43"/>
    <mergeCell ref="F45:H45"/>
    <mergeCell ref="C45:E45"/>
    <mergeCell ref="A49:A57"/>
    <mergeCell ref="I49:I57"/>
    <mergeCell ref="J49:J57"/>
    <mergeCell ref="K49:K57"/>
    <mergeCell ref="F50:H50"/>
    <mergeCell ref="F52:H52"/>
    <mergeCell ref="F54:H54"/>
    <mergeCell ref="F56:H56"/>
    <mergeCell ref="C50:E50"/>
    <mergeCell ref="C52:E52"/>
    <mergeCell ref="C56:E56"/>
    <mergeCell ref="C54:E54"/>
    <mergeCell ref="B60:N60"/>
    <mergeCell ref="C61:E61"/>
    <mergeCell ref="F61:G61"/>
    <mergeCell ref="J61:L61"/>
    <mergeCell ref="M61:N61"/>
    <mergeCell ref="C62:E62"/>
    <mergeCell ref="F62:G62"/>
    <mergeCell ref="J62:L62"/>
    <mergeCell ref="M62:N62"/>
    <mergeCell ref="C66:E66"/>
    <mergeCell ref="F66:G66"/>
    <mergeCell ref="J66:L66"/>
    <mergeCell ref="M66:N66"/>
    <mergeCell ref="C67:E67"/>
    <mergeCell ref="F67:G67"/>
    <mergeCell ref="J67:L67"/>
    <mergeCell ref="M67:N67"/>
    <mergeCell ref="C63:E63"/>
    <mergeCell ref="F63:G63"/>
    <mergeCell ref="J63:L63"/>
    <mergeCell ref="M63:N63"/>
    <mergeCell ref="C64:E64"/>
    <mergeCell ref="F64:G64"/>
    <mergeCell ref="J64:L64"/>
    <mergeCell ref="M64:N64"/>
    <mergeCell ref="C65:E65"/>
    <mergeCell ref="F65:G65"/>
    <mergeCell ref="J65:L65"/>
    <mergeCell ref="M65:N6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5A11-AF0E-48F0-9988-7764548FBC71}">
  <dimension ref="A1:AZ200"/>
  <sheetViews>
    <sheetView showGridLines="0" rightToLeft="1" zoomScale="80" workbookViewId="0">
      <pane ySplit="3" topLeftCell="A50" activePane="bottomLeft" state="frozen"/>
      <selection pane="bottomLeft" activeCell="M62" sqref="I62:N68"/>
    </sheetView>
  </sheetViews>
  <sheetFormatPr defaultRowHeight="14.5"/>
  <cols>
    <col min="1" max="1" width="10.90625" style="24" customWidth="1"/>
    <col min="2" max="2" width="17.26953125" style="24" customWidth="1"/>
    <col min="3" max="7" width="14.54296875" style="24" customWidth="1"/>
    <col min="8" max="10" width="15.453125" style="24" customWidth="1"/>
    <col min="11" max="11" width="11.6328125" style="24" customWidth="1"/>
    <col min="12" max="12" width="27.26953125" style="24" customWidth="1"/>
    <col min="13" max="13" width="11.6328125" style="24" customWidth="1"/>
    <col min="14" max="19" width="13.6328125" style="24" customWidth="1"/>
    <col min="20" max="52" width="11.6328125" style="24" customWidth="1"/>
    <col min="53" max="16384" width="8.7265625" style="24"/>
  </cols>
  <sheetData>
    <row r="1" spans="1:52" ht="26" customHeight="1">
      <c r="A1" s="111" t="s">
        <v>266</v>
      </c>
      <c r="B1" s="111"/>
      <c r="C1" s="111"/>
      <c r="D1" s="111"/>
      <c r="E1" s="111"/>
      <c r="F1" s="111"/>
      <c r="G1" s="111"/>
      <c r="H1" s="111"/>
      <c r="I1" s="111"/>
      <c r="J1" s="111"/>
      <c r="K1" s="34"/>
      <c r="L1" s="34"/>
      <c r="M1" s="34"/>
      <c r="N1" s="34"/>
      <c r="O1" s="34"/>
      <c r="P1" s="34"/>
      <c r="Q1" s="34"/>
      <c r="R1" s="34"/>
      <c r="S1" s="34"/>
      <c r="T1"/>
      <c r="U1"/>
      <c r="V1"/>
      <c r="W1"/>
      <c r="X1"/>
      <c r="Y1"/>
      <c r="Z1"/>
      <c r="AA1"/>
      <c r="AB1"/>
      <c r="AC1"/>
      <c r="AD1"/>
      <c r="AE1"/>
      <c r="AF1"/>
      <c r="AG1"/>
      <c r="AH1"/>
      <c r="AI1"/>
      <c r="AJ1"/>
      <c r="AK1"/>
      <c r="AL1"/>
      <c r="AM1"/>
      <c r="AN1"/>
      <c r="AO1"/>
      <c r="AP1"/>
      <c r="AQ1"/>
      <c r="AR1"/>
      <c r="AS1"/>
      <c r="AT1"/>
      <c r="AU1"/>
      <c r="AV1"/>
      <c r="AW1"/>
      <c r="AX1"/>
      <c r="AY1"/>
      <c r="AZ1"/>
    </row>
    <row r="2" spans="1:52" ht="8" customHeight="1">
      <c r="A2" s="34"/>
      <c r="B2" s="34"/>
      <c r="C2" s="34"/>
      <c r="D2" s="34"/>
      <c r="E2" s="34"/>
      <c r="F2" s="34"/>
      <c r="G2" s="34"/>
      <c r="H2" s="34"/>
      <c r="I2" s="34"/>
      <c r="J2" s="34"/>
      <c r="K2" s="34"/>
      <c r="L2" s="34"/>
      <c r="M2" s="34"/>
      <c r="N2" s="34"/>
      <c r="O2" s="34"/>
      <c r="P2" s="34"/>
      <c r="Q2" s="34"/>
      <c r="R2" s="34"/>
      <c r="S2" s="34"/>
      <c r="T2"/>
      <c r="U2"/>
      <c r="V2"/>
      <c r="W2"/>
      <c r="X2"/>
      <c r="Y2"/>
      <c r="Z2"/>
      <c r="AA2"/>
      <c r="AB2"/>
      <c r="AC2"/>
      <c r="AD2"/>
      <c r="AE2"/>
      <c r="AF2"/>
      <c r="AG2"/>
      <c r="AH2"/>
      <c r="AI2"/>
      <c r="AJ2"/>
      <c r="AK2"/>
      <c r="AL2"/>
      <c r="AM2"/>
      <c r="AN2"/>
      <c r="AO2"/>
      <c r="AP2"/>
      <c r="AQ2"/>
      <c r="AR2"/>
      <c r="AS2"/>
      <c r="AT2"/>
      <c r="AU2"/>
      <c r="AV2"/>
      <c r="AW2"/>
      <c r="AX2"/>
      <c r="AY2"/>
      <c r="AZ2"/>
    </row>
    <row r="3" spans="1:52" ht="32" customHeight="1">
      <c r="A3" s="35" t="s">
        <v>0</v>
      </c>
      <c r="B3" s="35" t="s">
        <v>1</v>
      </c>
      <c r="C3" s="35" t="s">
        <v>127</v>
      </c>
      <c r="D3" s="35" t="s">
        <v>128</v>
      </c>
      <c r="E3" s="35" t="s">
        <v>129</v>
      </c>
      <c r="F3" s="35" t="s">
        <v>263</v>
      </c>
      <c r="G3" s="35" t="s">
        <v>131</v>
      </c>
      <c r="H3" s="35" t="s">
        <v>138</v>
      </c>
      <c r="I3" s="35" t="s">
        <v>170</v>
      </c>
      <c r="J3" s="35" t="s">
        <v>171</v>
      </c>
      <c r="K3" s="34"/>
      <c r="L3" s="43" t="s">
        <v>244</v>
      </c>
      <c r="M3" s="34"/>
      <c r="N3" s="35" t="s">
        <v>245</v>
      </c>
      <c r="O3" s="35" t="s">
        <v>246</v>
      </c>
      <c r="P3" s="35" t="s">
        <v>247</v>
      </c>
      <c r="Q3" s="35" t="s">
        <v>145</v>
      </c>
      <c r="R3" s="35" t="s">
        <v>146</v>
      </c>
      <c r="S3" s="35" t="s">
        <v>248</v>
      </c>
      <c r="T3"/>
      <c r="U3"/>
      <c r="V3"/>
      <c r="W3"/>
      <c r="X3"/>
      <c r="Y3"/>
      <c r="Z3"/>
      <c r="AA3"/>
      <c r="AB3"/>
      <c r="AC3"/>
      <c r="AD3"/>
      <c r="AE3"/>
      <c r="AF3"/>
      <c r="AG3"/>
      <c r="AH3"/>
      <c r="AI3"/>
      <c r="AJ3"/>
      <c r="AK3"/>
      <c r="AL3"/>
      <c r="AM3"/>
      <c r="AN3"/>
      <c r="AO3"/>
      <c r="AP3"/>
      <c r="AQ3"/>
      <c r="AR3"/>
      <c r="AS3"/>
      <c r="AT3"/>
      <c r="AU3"/>
      <c r="AV3"/>
      <c r="AW3"/>
      <c r="AX3"/>
      <c r="AY3"/>
      <c r="AZ3"/>
    </row>
    <row r="4" spans="1:52"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38</v>
      </c>
      <c r="D4" s="37" t="s">
        <v>44</v>
      </c>
      <c r="E4" s="37" t="s">
        <v>50</v>
      </c>
      <c r="F4" s="37" t="s">
        <v>65</v>
      </c>
      <c r="G4" s="37" t="s">
        <v>29</v>
      </c>
      <c r="H4" s="107">
        <f>COUNTIF(C4:G12,"* ضد *")</f>
        <v>26</v>
      </c>
      <c r="I4" s="108">
        <f>COUNTIF(C4:E12,"* ضد *")*2/6</f>
        <v>4</v>
      </c>
      <c r="J4" s="108">
        <f>COUNTIF(F4:G12,"* ضد *")*2/7</f>
        <v>4</v>
      </c>
      <c r="K4" s="34"/>
      <c r="L4" s="44" t="str">
        <f t="shared" ref="L4:L35" si="0">_xlfn.TEXTJOIN(" ",TRUE,C4:G4)</f>
        <v>1 ضد 6 2 ضد 5 3 ضد 4 7 ضد 11 9 ضد 12</v>
      </c>
      <c r="M4" s="34"/>
      <c r="N4" s="39">
        <v>1</v>
      </c>
      <c r="O4" s="39" cm="1">
        <f t="array" ref="O4">SUMPRODUCT(--ISNUMBER(SEARCH(" "&amp;$N4&amp;" "," "&amp;L$4:L$57&amp;" ")))</f>
        <v>25</v>
      </c>
      <c r="P4" s="39" cm="1">
        <f t="array" ref="P4">SUMPRODUCT(--ISNUMBER(SEARCH(" "&amp;$N4&amp;" "," "&amp;L$4:L$56&amp;" ")),--ISNUMBER(SEARCH(" "&amp;$N4&amp;" "," "&amp;L$5:L$57&amp;" ")),--(MOD(ROW(L$4:L$56)-4,$O$18)&lt;=$O$18-2))</f>
        <v>0</v>
      </c>
      <c r="Q4" s="39" cm="1">
        <f t="array" ref="Q4">SUMPRODUCT(--ISNUMBER(SEARCH(" "&amp;$N4&amp;" "," "&amp;L$4:L$55&amp;" ")),--ISNUMBER(SEARCH(" "&amp;$N4&amp;" "," "&amp;L$6:L$57&amp;" ")),--(MOD(ROW(L$4:L$55)-4,$O$18)&lt;=$O$18-3))</f>
        <v>19</v>
      </c>
      <c r="R4" s="39" cm="1">
        <f t="array" ref="R4">SUMPRODUCT(--ISNUMBER(SEARCH(" "&amp;$N4&amp;" "," "&amp;L$4:L$54&amp;" ")),--ISNUMBER(SEARCH(" "&amp;$N4&amp;" "," "&amp;L$7:L$57&amp;" ")),--(MOD(ROW(L$4:L$54)-4,$O$18)&lt;=$O$18-4))</f>
        <v>0</v>
      </c>
      <c r="S4" s="39">
        <f t="shared" ref="S4:S16" si="1">O4-COUNTIF($A$4:$A$57,"اليوم *")-P4-Q4-R4</f>
        <v>0</v>
      </c>
      <c r="T4"/>
      <c r="U4"/>
      <c r="V4"/>
      <c r="W4"/>
      <c r="X4"/>
      <c r="Y4"/>
      <c r="Z4"/>
      <c r="AA4"/>
      <c r="AB4"/>
      <c r="AC4"/>
      <c r="AD4"/>
      <c r="AE4"/>
      <c r="AF4"/>
      <c r="AG4"/>
      <c r="AH4"/>
      <c r="AI4"/>
      <c r="AJ4"/>
      <c r="AK4"/>
      <c r="AL4"/>
      <c r="AM4"/>
      <c r="AN4"/>
      <c r="AO4"/>
      <c r="AP4"/>
      <c r="AQ4"/>
      <c r="AR4"/>
      <c r="AS4"/>
      <c r="AT4"/>
      <c r="AU4"/>
      <c r="AV4"/>
      <c r="AW4"/>
      <c r="AX4"/>
      <c r="AY4"/>
      <c r="AZ4"/>
    </row>
    <row r="5" spans="1:52"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114" t="s">
        <v>139</v>
      </c>
      <c r="D5" s="108"/>
      <c r="E5" s="108"/>
      <c r="F5" s="37" t="s">
        <v>71</v>
      </c>
      <c r="G5" s="37"/>
      <c r="H5" s="108"/>
      <c r="I5" s="108"/>
      <c r="J5" s="108"/>
      <c r="K5" s="34"/>
      <c r="L5" s="44" t="str">
        <f t="shared" si="0"/>
        <v>استراحة (لا توجد مباريات) 8 ضد 13</v>
      </c>
      <c r="M5" s="34"/>
      <c r="N5" s="39">
        <v>2</v>
      </c>
      <c r="O5" s="39" cm="1">
        <f t="array" ref="O5">SUMPRODUCT(--ISNUMBER(SEARCH(" "&amp;$N5&amp;" "," "&amp;L$4:L$57&amp;" ")))</f>
        <v>25</v>
      </c>
      <c r="P5" s="39" cm="1">
        <f t="array" ref="P5">SUMPRODUCT(--ISNUMBER(SEARCH(" "&amp;$N5&amp;" "," "&amp;L$4:L$56&amp;" ")),--ISNUMBER(SEARCH(" "&amp;$N5&amp;" "," "&amp;L$5:L$57&amp;" ")),--(MOD(ROW(L$4:L$56)-4,$O$18)&lt;=$O$18-2))</f>
        <v>0</v>
      </c>
      <c r="Q5" s="39" cm="1">
        <f t="array" ref="Q5">SUMPRODUCT(--ISNUMBER(SEARCH(" "&amp;$N5&amp;" "," "&amp;L$4:L$55&amp;" ")),--ISNUMBER(SEARCH(" "&amp;$N5&amp;" "," "&amp;L$6:L$57&amp;" ")),--(MOD(ROW(L$4:L$55)-4,$O$18)&lt;=$O$18-3))</f>
        <v>19</v>
      </c>
      <c r="R5" s="39" cm="1">
        <f t="array" ref="R5">SUMPRODUCT(--ISNUMBER(SEARCH(" "&amp;$N5&amp;" "," "&amp;L$4:L$54&amp;" ")),--ISNUMBER(SEARCH(" "&amp;$N5&amp;" "," "&amp;L$7:L$57&amp;" ")),--(MOD(ROW(L$4:L$54)-4,$O$18)&lt;=$O$18-4))</f>
        <v>0</v>
      </c>
      <c r="S5" s="39">
        <f t="shared" si="1"/>
        <v>0</v>
      </c>
      <c r="T5"/>
      <c r="U5"/>
      <c r="V5"/>
      <c r="W5"/>
      <c r="X5"/>
      <c r="Y5"/>
      <c r="Z5"/>
      <c r="AA5"/>
      <c r="AB5"/>
      <c r="AC5"/>
      <c r="AD5"/>
      <c r="AE5"/>
      <c r="AF5"/>
      <c r="AG5"/>
      <c r="AH5"/>
      <c r="AI5"/>
      <c r="AJ5"/>
      <c r="AK5"/>
      <c r="AL5"/>
      <c r="AM5"/>
      <c r="AN5"/>
      <c r="AO5"/>
      <c r="AP5"/>
      <c r="AQ5"/>
      <c r="AR5"/>
      <c r="AS5"/>
      <c r="AT5"/>
      <c r="AU5"/>
      <c r="AV5"/>
      <c r="AW5"/>
      <c r="AX5"/>
      <c r="AY5"/>
      <c r="AZ5"/>
    </row>
    <row r="6" spans="1:52"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37</v>
      </c>
      <c r="D6" s="37" t="s">
        <v>157</v>
      </c>
      <c r="E6" s="37" t="s">
        <v>40</v>
      </c>
      <c r="F6" s="37" t="s">
        <v>60</v>
      </c>
      <c r="G6" s="37" t="s">
        <v>54</v>
      </c>
      <c r="H6" s="108"/>
      <c r="I6" s="108"/>
      <c r="J6" s="108"/>
      <c r="K6" s="34"/>
      <c r="L6" s="44" t="str">
        <f t="shared" si="0"/>
        <v>2 ضد 3 6 ضد 4 1 ضد 5 7 ضد 10 9 ضد 11</v>
      </c>
      <c r="M6" s="34"/>
      <c r="N6" s="39">
        <v>3</v>
      </c>
      <c r="O6" s="39" cm="1">
        <f t="array" ref="O6">SUMPRODUCT(--ISNUMBER(SEARCH(" "&amp;$N6&amp;" "," "&amp;L$4:L$57&amp;" ")))</f>
        <v>25</v>
      </c>
      <c r="P6" s="39" cm="1">
        <f t="array" ref="P6">SUMPRODUCT(--ISNUMBER(SEARCH(" "&amp;$N6&amp;" "," "&amp;L$4:L$56&amp;" ")),--ISNUMBER(SEARCH(" "&amp;$N6&amp;" "," "&amp;L$5:L$57&amp;" ")),--(MOD(ROW(L$4:L$56)-4,$O$18)&lt;=$O$18-2))</f>
        <v>0</v>
      </c>
      <c r="Q6" s="39" cm="1">
        <f t="array" ref="Q6">SUMPRODUCT(--ISNUMBER(SEARCH(" "&amp;$N6&amp;" "," "&amp;L$4:L$55&amp;" ")),--ISNUMBER(SEARCH(" "&amp;$N6&amp;" "," "&amp;L$6:L$57&amp;" ")),--(MOD(ROW(L$4:L$55)-4,$O$18)&lt;=$O$18-3))</f>
        <v>19</v>
      </c>
      <c r="R6" s="39" cm="1">
        <f t="array" ref="R6">SUMPRODUCT(--ISNUMBER(SEARCH(" "&amp;$N6&amp;" "," "&amp;L$4:L$54&amp;" ")),--ISNUMBER(SEARCH(" "&amp;$N6&amp;" "," "&amp;L$7:L$57&amp;" ")),--(MOD(ROW(L$4:L$54)-4,$O$18)&lt;=$O$18-4))</f>
        <v>0</v>
      </c>
      <c r="S6" s="39">
        <f t="shared" si="1"/>
        <v>0</v>
      </c>
      <c r="T6"/>
      <c r="U6"/>
      <c r="V6"/>
      <c r="W6"/>
      <c r="X6"/>
      <c r="Y6"/>
      <c r="Z6"/>
      <c r="AA6"/>
      <c r="AB6"/>
      <c r="AC6"/>
      <c r="AD6"/>
      <c r="AE6"/>
      <c r="AF6"/>
      <c r="AG6"/>
      <c r="AH6"/>
      <c r="AI6"/>
      <c r="AJ6"/>
      <c r="AK6"/>
      <c r="AL6"/>
      <c r="AM6"/>
      <c r="AN6"/>
      <c r="AO6"/>
      <c r="AP6"/>
      <c r="AQ6"/>
      <c r="AR6"/>
      <c r="AS6"/>
      <c r="AT6"/>
      <c r="AU6"/>
      <c r="AV6"/>
      <c r="AW6"/>
      <c r="AX6"/>
      <c r="AY6"/>
      <c r="AZ6"/>
    </row>
    <row r="7" spans="1:52"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114" t="s">
        <v>139</v>
      </c>
      <c r="D7" s="108"/>
      <c r="E7" s="108"/>
      <c r="F7" s="37" t="s">
        <v>42</v>
      </c>
      <c r="G7" s="37"/>
      <c r="H7" s="108"/>
      <c r="I7" s="108"/>
      <c r="J7" s="108"/>
      <c r="K7" s="34"/>
      <c r="L7" s="44" t="str">
        <f t="shared" si="0"/>
        <v>استراحة (لا توجد مباريات) 8 ضد 12</v>
      </c>
      <c r="M7" s="34"/>
      <c r="N7" s="39">
        <v>4</v>
      </c>
      <c r="O7" s="39" cm="1">
        <f t="array" ref="O7">SUMPRODUCT(--ISNUMBER(SEARCH(" "&amp;$N7&amp;" "," "&amp;L$4:L$57&amp;" ")))</f>
        <v>25</v>
      </c>
      <c r="P7" s="39" cm="1">
        <f t="array" ref="P7">SUMPRODUCT(--ISNUMBER(SEARCH(" "&amp;$N7&amp;" "," "&amp;L$4:L$56&amp;" ")),--ISNUMBER(SEARCH(" "&amp;$N7&amp;" "," "&amp;L$5:L$57&amp;" ")),--(MOD(ROW(L$4:L$56)-4,$O$18)&lt;=$O$18-2))</f>
        <v>0</v>
      </c>
      <c r="Q7" s="39" cm="1">
        <f t="array" ref="Q7">SUMPRODUCT(--ISNUMBER(SEARCH(" "&amp;$N7&amp;" "," "&amp;L$4:L$55&amp;" ")),--ISNUMBER(SEARCH(" "&amp;$N7&amp;" "," "&amp;L$6:L$57&amp;" ")),--(MOD(ROW(L$4:L$55)-4,$O$18)&lt;=$O$18-3))</f>
        <v>19</v>
      </c>
      <c r="R7" s="39" cm="1">
        <f t="array" ref="R7">SUMPRODUCT(--ISNUMBER(SEARCH(" "&amp;$N7&amp;" "," "&amp;L$4:L$54&amp;" ")),--ISNUMBER(SEARCH(" "&amp;$N7&amp;" "," "&amp;L$7:L$57&amp;" ")),--(MOD(ROW(L$4:L$54)-4,$O$18)&lt;=$O$18-4))</f>
        <v>0</v>
      </c>
      <c r="S7" s="39">
        <f t="shared" si="1"/>
        <v>0</v>
      </c>
      <c r="T7"/>
      <c r="U7"/>
      <c r="V7"/>
      <c r="W7"/>
      <c r="X7"/>
      <c r="Y7"/>
      <c r="Z7"/>
      <c r="AA7"/>
      <c r="AB7"/>
      <c r="AC7"/>
      <c r="AD7"/>
      <c r="AE7"/>
      <c r="AF7"/>
      <c r="AG7"/>
      <c r="AH7"/>
      <c r="AI7"/>
      <c r="AJ7"/>
      <c r="AK7"/>
      <c r="AL7"/>
      <c r="AM7"/>
      <c r="AN7"/>
      <c r="AO7"/>
      <c r="AP7"/>
      <c r="AQ7"/>
      <c r="AR7"/>
      <c r="AS7"/>
      <c r="AT7"/>
      <c r="AU7"/>
      <c r="AV7"/>
      <c r="AW7"/>
      <c r="AX7"/>
      <c r="AY7"/>
      <c r="AZ7"/>
    </row>
    <row r="8" spans="1:52"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158</v>
      </c>
      <c r="D8" s="37" t="s">
        <v>63</v>
      </c>
      <c r="E8" s="37" t="s">
        <v>159</v>
      </c>
      <c r="F8" s="37" t="s">
        <v>48</v>
      </c>
      <c r="G8" s="37" t="s">
        <v>74</v>
      </c>
      <c r="H8" s="108"/>
      <c r="I8" s="108"/>
      <c r="J8" s="108"/>
      <c r="K8" s="34"/>
      <c r="L8" s="44" t="str">
        <f t="shared" si="0"/>
        <v>5 ضد 3 1 ضد 4 6 ضد 2 9 ضد 10 11 ضد 13</v>
      </c>
      <c r="M8" s="34"/>
      <c r="N8" s="39">
        <v>5</v>
      </c>
      <c r="O8" s="39" cm="1">
        <f t="array" ref="O8">SUMPRODUCT(--ISNUMBER(SEARCH(" "&amp;$N8&amp;" "," "&amp;L$4:L$57&amp;" ")))</f>
        <v>25</v>
      </c>
      <c r="P8" s="39" cm="1">
        <f t="array" ref="P8">SUMPRODUCT(--ISNUMBER(SEARCH(" "&amp;$N8&amp;" "," "&amp;L$4:L$56&amp;" ")),--ISNUMBER(SEARCH(" "&amp;$N8&amp;" "," "&amp;L$5:L$57&amp;" ")),--(MOD(ROW(L$4:L$56)-4,$O$18)&lt;=$O$18-2))</f>
        <v>0</v>
      </c>
      <c r="Q8" s="39" cm="1">
        <f t="array" ref="Q8">SUMPRODUCT(--ISNUMBER(SEARCH(" "&amp;$N8&amp;" "," "&amp;L$4:L$55&amp;" ")),--ISNUMBER(SEARCH(" "&amp;$N8&amp;" "," "&amp;L$6:L$57&amp;" ")),--(MOD(ROW(L$4:L$55)-4,$O$18)&lt;=$O$18-3))</f>
        <v>19</v>
      </c>
      <c r="R8" s="39" cm="1">
        <f t="array" ref="R8">SUMPRODUCT(--ISNUMBER(SEARCH(" "&amp;$N8&amp;" "," "&amp;L$4:L$54&amp;" ")),--ISNUMBER(SEARCH(" "&amp;$N8&amp;" "," "&amp;L$7:L$57&amp;" ")),--(MOD(ROW(L$4:L$54)-4,$O$18)&lt;=$O$18-4))</f>
        <v>0</v>
      </c>
      <c r="S8" s="39">
        <f t="shared" si="1"/>
        <v>0</v>
      </c>
      <c r="T8"/>
      <c r="U8"/>
      <c r="V8"/>
      <c r="W8"/>
      <c r="X8"/>
      <c r="Y8"/>
      <c r="Z8"/>
      <c r="AA8"/>
      <c r="AB8"/>
      <c r="AC8"/>
      <c r="AD8"/>
      <c r="AE8"/>
      <c r="AF8"/>
      <c r="AG8"/>
      <c r="AH8"/>
      <c r="AI8"/>
      <c r="AJ8"/>
      <c r="AK8"/>
      <c r="AL8"/>
      <c r="AM8"/>
      <c r="AN8"/>
      <c r="AO8"/>
      <c r="AP8"/>
      <c r="AQ8"/>
      <c r="AR8"/>
      <c r="AS8"/>
      <c r="AT8"/>
      <c r="AU8"/>
      <c r="AV8"/>
      <c r="AW8"/>
      <c r="AX8"/>
      <c r="AY8"/>
      <c r="AZ8"/>
    </row>
    <row r="9" spans="1:52"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114" t="s">
        <v>139</v>
      </c>
      <c r="D9" s="108"/>
      <c r="E9" s="108"/>
      <c r="F9" s="37" t="s">
        <v>35</v>
      </c>
      <c r="G9" s="37"/>
      <c r="H9" s="108"/>
      <c r="I9" s="108"/>
      <c r="J9" s="108"/>
      <c r="K9" s="34"/>
      <c r="L9" s="44" t="str">
        <f t="shared" si="0"/>
        <v>استراحة (لا توجد مباريات) 7 ضد 12</v>
      </c>
      <c r="M9" s="34"/>
      <c r="N9" s="39">
        <v>6</v>
      </c>
      <c r="O9" s="39" cm="1">
        <f t="array" ref="O9">SUMPRODUCT(--ISNUMBER(SEARCH(" "&amp;$N9&amp;" "," "&amp;L$4:L$57&amp;" ")))</f>
        <v>25</v>
      </c>
      <c r="P9" s="39" cm="1">
        <f t="array" ref="P9">SUMPRODUCT(--ISNUMBER(SEARCH(" "&amp;$N9&amp;" "," "&amp;L$4:L$56&amp;" ")),--ISNUMBER(SEARCH(" "&amp;$N9&amp;" "," "&amp;L$5:L$57&amp;" ")),--(MOD(ROW(L$4:L$56)-4,$O$18)&lt;=$O$18-2))</f>
        <v>0</v>
      </c>
      <c r="Q9" s="39" cm="1">
        <f t="array" ref="Q9">SUMPRODUCT(--ISNUMBER(SEARCH(" "&amp;$N9&amp;" "," "&amp;L$4:L$55&amp;" ")),--ISNUMBER(SEARCH(" "&amp;$N9&amp;" "," "&amp;L$6:L$57&amp;" ")),--(MOD(ROW(L$4:L$55)-4,$O$18)&lt;=$O$18-3))</f>
        <v>19</v>
      </c>
      <c r="R9" s="39" cm="1">
        <f t="array" ref="R9">SUMPRODUCT(--ISNUMBER(SEARCH(" "&amp;$N9&amp;" "," "&amp;L$4:L$54&amp;" ")),--ISNUMBER(SEARCH(" "&amp;$N9&amp;" "," "&amp;L$7:L$57&amp;" ")),--(MOD(ROW(L$4:L$54)-4,$O$18)&lt;=$O$18-4))</f>
        <v>0</v>
      </c>
      <c r="S9" s="39">
        <f t="shared" si="1"/>
        <v>0</v>
      </c>
      <c r="T9"/>
      <c r="U9"/>
      <c r="V9"/>
      <c r="W9"/>
      <c r="X9"/>
      <c r="Y9"/>
      <c r="Z9"/>
      <c r="AA9"/>
      <c r="AB9"/>
      <c r="AC9"/>
      <c r="AD9"/>
      <c r="AE9"/>
      <c r="AF9"/>
      <c r="AG9"/>
      <c r="AH9"/>
      <c r="AI9"/>
      <c r="AJ9"/>
      <c r="AK9"/>
      <c r="AL9"/>
      <c r="AM9"/>
      <c r="AN9"/>
      <c r="AO9"/>
      <c r="AP9"/>
      <c r="AQ9"/>
      <c r="AR9"/>
      <c r="AS9"/>
      <c r="AT9"/>
      <c r="AU9"/>
      <c r="AV9"/>
      <c r="AW9"/>
      <c r="AX9"/>
      <c r="AY9"/>
      <c r="AZ9"/>
    </row>
    <row r="10" spans="1:52"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160</v>
      </c>
      <c r="D10" s="37" t="s">
        <v>20</v>
      </c>
      <c r="E10" s="37" t="s">
        <v>55</v>
      </c>
      <c r="F10" s="37" t="s">
        <v>67</v>
      </c>
      <c r="G10" s="37" t="s">
        <v>75</v>
      </c>
      <c r="H10" s="108"/>
      <c r="I10" s="108"/>
      <c r="J10" s="108"/>
      <c r="K10" s="34"/>
      <c r="L10" s="44" t="str">
        <f t="shared" si="0"/>
        <v>4 ضد 2 1 ضد 3 5 ضد 6 8 ضد 9 10 ضد 13</v>
      </c>
      <c r="M10" s="34"/>
      <c r="N10" s="39">
        <v>7</v>
      </c>
      <c r="O10" s="39" cm="1">
        <f t="array" ref="O10">SUMPRODUCT(--ISNUMBER(SEARCH(" "&amp;$N10&amp;" "," "&amp;L$4:L$57&amp;" ")))</f>
        <v>24</v>
      </c>
      <c r="P10" s="39" cm="1">
        <f t="array" ref="P10">SUMPRODUCT(--ISNUMBER(SEARCH(" "&amp;$N10&amp;" "," "&amp;L$4:L$56&amp;" ")),--ISNUMBER(SEARCH(" "&amp;$N10&amp;" "," "&amp;L$5:L$57&amp;" ")),--(MOD(ROW(L$4:L$56)-4,$O$18)&lt;=$O$18-2))</f>
        <v>0</v>
      </c>
      <c r="Q10" s="39" cm="1">
        <f t="array" ref="Q10">SUMPRODUCT(--ISNUMBER(SEARCH(" "&amp;$N10&amp;" "," "&amp;L$4:L$55&amp;" ")),--ISNUMBER(SEARCH(" "&amp;$N10&amp;" "," "&amp;L$6:L$57&amp;" ")),--(MOD(ROW(L$4:L$55)-4,$O$18)&lt;=$O$18-3))</f>
        <v>12</v>
      </c>
      <c r="R10" s="39" cm="1">
        <f t="array" ref="R10">SUMPRODUCT(--ISNUMBER(SEARCH(" "&amp;$N10&amp;" "," "&amp;L$4:L$54&amp;" ")),--ISNUMBER(SEARCH(" "&amp;$N10&amp;" "," "&amp;L$7:L$57&amp;" ")),--(MOD(ROW(L$4:L$54)-4,$O$18)&lt;=$O$18-4))</f>
        <v>6</v>
      </c>
      <c r="S10" s="39">
        <f t="shared" si="1"/>
        <v>0</v>
      </c>
      <c r="T10"/>
      <c r="U10"/>
      <c r="V10"/>
      <c r="W10"/>
      <c r="X10"/>
      <c r="Y10"/>
      <c r="Z10"/>
      <c r="AA10"/>
      <c r="AB10"/>
      <c r="AC10"/>
      <c r="AD10"/>
      <c r="AE10"/>
      <c r="AF10"/>
      <c r="AG10"/>
      <c r="AH10"/>
      <c r="AI10"/>
      <c r="AJ10"/>
      <c r="AK10"/>
      <c r="AL10"/>
      <c r="AM10"/>
      <c r="AN10"/>
      <c r="AO10"/>
      <c r="AP10"/>
      <c r="AQ10"/>
      <c r="AR10"/>
      <c r="AS10"/>
      <c r="AT10"/>
      <c r="AU10"/>
      <c r="AV10"/>
      <c r="AW10"/>
      <c r="AX10"/>
      <c r="AY10"/>
      <c r="AZ10"/>
    </row>
    <row r="11" spans="1:52" ht="14.5" customHeight="1">
      <c r="A11" s="106"/>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c r="D11" s="37"/>
      <c r="E11" s="37"/>
      <c r="F11" s="37" t="s">
        <v>21</v>
      </c>
      <c r="G11" s="37"/>
      <c r="H11" s="108"/>
      <c r="I11" s="108"/>
      <c r="J11" s="108"/>
      <c r="K11" s="34"/>
      <c r="L11" s="44" t="str">
        <f t="shared" si="0"/>
        <v>11 ضد 12</v>
      </c>
      <c r="M11" s="34"/>
      <c r="N11" s="39">
        <v>8</v>
      </c>
      <c r="O11" s="39" cm="1">
        <f t="array" ref="O11">SUMPRODUCT(--ISNUMBER(SEARCH(" "&amp;$N11&amp;" "," "&amp;L$4:L$57&amp;" ")))</f>
        <v>24</v>
      </c>
      <c r="P11" s="39" cm="1">
        <f t="array" ref="P11">SUMPRODUCT(--ISNUMBER(SEARCH(" "&amp;$N11&amp;" "," "&amp;L$4:L$56&amp;" ")),--ISNUMBER(SEARCH(" "&amp;$N11&amp;" "," "&amp;L$5:L$57&amp;" ")),--(MOD(ROW(L$4:L$56)-4,$O$18)&lt;=$O$18-2))</f>
        <v>0</v>
      </c>
      <c r="Q11" s="39" cm="1">
        <f t="array" ref="Q11">SUMPRODUCT(--ISNUMBER(SEARCH(" "&amp;$N11&amp;" "," "&amp;L$4:L$55&amp;" ")),--ISNUMBER(SEARCH(" "&amp;$N11&amp;" "," "&amp;L$6:L$57&amp;" ")),--(MOD(ROW(L$4:L$55)-4,$O$18)&lt;=$O$18-3))</f>
        <v>13</v>
      </c>
      <c r="R11" s="39" cm="1">
        <f t="array" ref="R11">SUMPRODUCT(--ISNUMBER(SEARCH(" "&amp;$N11&amp;" "," "&amp;L$4:L$54&amp;" ")),--ISNUMBER(SEARCH(" "&amp;$N11&amp;" "," "&amp;L$7:L$57&amp;" ")),--(MOD(ROW(L$4:L$54)-4,$O$18)&lt;=$O$18-4))</f>
        <v>5</v>
      </c>
      <c r="S11" s="39">
        <f t="shared" si="1"/>
        <v>0</v>
      </c>
      <c r="T11"/>
      <c r="U11"/>
      <c r="V11"/>
      <c r="W11"/>
      <c r="X11"/>
      <c r="Y11"/>
      <c r="Z11"/>
      <c r="AA11"/>
      <c r="AB11"/>
      <c r="AC11"/>
      <c r="AD11"/>
      <c r="AE11"/>
      <c r="AF11"/>
      <c r="AG11"/>
      <c r="AH11"/>
      <c r="AI11"/>
      <c r="AJ11"/>
      <c r="AK11"/>
      <c r="AL11"/>
      <c r="AM11"/>
      <c r="AN11"/>
      <c r="AO11"/>
      <c r="AP11"/>
      <c r="AQ11"/>
      <c r="AR11"/>
      <c r="AS11"/>
      <c r="AT11"/>
      <c r="AU11"/>
      <c r="AV11"/>
      <c r="AW11"/>
      <c r="AX11"/>
      <c r="AY11"/>
      <c r="AZ11"/>
    </row>
    <row r="12" spans="1:52" ht="14.5" customHeight="1">
      <c r="A12" s="106"/>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c r="D12" s="37"/>
      <c r="E12" s="37"/>
      <c r="F12" s="37" t="s">
        <v>175</v>
      </c>
      <c r="G12" s="37" t="s">
        <v>72</v>
      </c>
      <c r="H12" s="108"/>
      <c r="I12" s="108"/>
      <c r="J12" s="108"/>
      <c r="K12" s="34"/>
      <c r="L12" s="44" t="str">
        <f t="shared" si="0"/>
        <v>10 ضد 8 7 ضد 13</v>
      </c>
      <c r="M12" s="34"/>
      <c r="N12" s="39">
        <v>9</v>
      </c>
      <c r="O12" s="39" cm="1">
        <f t="array" ref="O12">SUMPRODUCT(--ISNUMBER(SEARCH(" "&amp;$N12&amp;" "," "&amp;L$4:L$57&amp;" ")))</f>
        <v>24</v>
      </c>
      <c r="P12" s="39" cm="1">
        <f t="array" ref="P12">SUMPRODUCT(--ISNUMBER(SEARCH(" "&amp;$N12&amp;" "," "&amp;L$4:L$56&amp;" ")),--ISNUMBER(SEARCH(" "&amp;$N12&amp;" "," "&amp;L$5:L$57&amp;" ")),--(MOD(ROW(L$4:L$56)-4,$O$18)&lt;=$O$18-2))</f>
        <v>0</v>
      </c>
      <c r="Q12" s="39" cm="1">
        <f t="array" ref="Q12">SUMPRODUCT(--ISNUMBER(SEARCH(" "&amp;$N12&amp;" "," "&amp;L$4:L$55&amp;" ")),--ISNUMBER(SEARCH(" "&amp;$N12&amp;" "," "&amp;L$6:L$57&amp;" ")),--(MOD(ROW(L$4:L$55)-4,$O$18)&lt;=$O$18-3))</f>
        <v>13</v>
      </c>
      <c r="R12" s="39" cm="1">
        <f t="array" ref="R12">SUMPRODUCT(--ISNUMBER(SEARCH(" "&amp;$N12&amp;" "," "&amp;L$4:L$54&amp;" ")),--ISNUMBER(SEARCH(" "&amp;$N12&amp;" "," "&amp;L$7:L$57&amp;" ")),--(MOD(ROW(L$4:L$54)-4,$O$18)&lt;=$O$18-4))</f>
        <v>5</v>
      </c>
      <c r="S12" s="39">
        <f t="shared" si="1"/>
        <v>0</v>
      </c>
      <c r="T12"/>
      <c r="U12"/>
      <c r="V12"/>
      <c r="W12"/>
      <c r="X12"/>
      <c r="Y12"/>
      <c r="Z12"/>
      <c r="AA12"/>
      <c r="AB12"/>
      <c r="AC12"/>
      <c r="AD12"/>
      <c r="AE12"/>
      <c r="AF12"/>
      <c r="AG12"/>
      <c r="AH12"/>
      <c r="AI12"/>
      <c r="AJ12"/>
      <c r="AK12"/>
      <c r="AL12"/>
      <c r="AM12"/>
      <c r="AN12"/>
      <c r="AO12"/>
      <c r="AP12"/>
      <c r="AQ12"/>
      <c r="AR12"/>
      <c r="AS12"/>
      <c r="AT12"/>
      <c r="AU12"/>
      <c r="AV12"/>
      <c r="AW12"/>
      <c r="AX12"/>
      <c r="AY12"/>
      <c r="AZ12"/>
    </row>
    <row r="13" spans="1:52" ht="14.5" customHeight="1">
      <c r="A13" s="106" t="s">
        <v>6</v>
      </c>
      <c r="B13"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37" t="s">
        <v>46</v>
      </c>
      <c r="D13" s="37" t="s">
        <v>62</v>
      </c>
      <c r="E13" s="37" t="s">
        <v>30</v>
      </c>
      <c r="F13" s="37" t="s">
        <v>49</v>
      </c>
      <c r="G13" s="37" t="s">
        <v>64</v>
      </c>
      <c r="H13" s="107">
        <f>COUNTIF(C13:G21,"* ضد *")</f>
        <v>26</v>
      </c>
      <c r="I13" s="108">
        <f>COUNTIF(C13:E21,"* ضد *")*2/6</f>
        <v>4</v>
      </c>
      <c r="J13" s="108">
        <f>COUNTIF(F13:G21,"* ضد *")*2/7</f>
        <v>4</v>
      </c>
      <c r="K13" s="34"/>
      <c r="L13" s="44" t="str">
        <f t="shared" si="0"/>
        <v>4 ضد 5 3 ضد 6 1 ضد 2 8 ضد 11 10 ضد 12</v>
      </c>
      <c r="M13" s="34"/>
      <c r="N13" s="39">
        <v>10</v>
      </c>
      <c r="O13" s="39" cm="1">
        <f t="array" ref="O13">SUMPRODUCT(--ISNUMBER(SEARCH(" "&amp;$N13&amp;" "," "&amp;L$4:L$57&amp;" ")))</f>
        <v>24</v>
      </c>
      <c r="P13" s="39" cm="1">
        <f t="array" ref="P13">SUMPRODUCT(--ISNUMBER(SEARCH(" "&amp;$N13&amp;" "," "&amp;L$4:L$56&amp;" ")),--ISNUMBER(SEARCH(" "&amp;$N13&amp;" "," "&amp;L$5:L$57&amp;" ")),--(MOD(ROW(L$4:L$56)-4,$O$18)&lt;=$O$18-2))</f>
        <v>0</v>
      </c>
      <c r="Q13" s="39" cm="1">
        <f t="array" ref="Q13">SUMPRODUCT(--ISNUMBER(SEARCH(" "&amp;$N13&amp;" "," "&amp;L$4:L$55&amp;" ")),--ISNUMBER(SEARCH(" "&amp;$N13&amp;" "," "&amp;L$6:L$57&amp;" ")),--(MOD(ROW(L$4:L$55)-4,$O$18)&lt;=$O$18-3))</f>
        <v>13</v>
      </c>
      <c r="R13" s="39" cm="1">
        <f t="array" ref="R13">SUMPRODUCT(--ISNUMBER(SEARCH(" "&amp;$N13&amp;" "," "&amp;L$4:L$54&amp;" ")),--ISNUMBER(SEARCH(" "&amp;$N13&amp;" "," "&amp;L$7:L$57&amp;" ")),--(MOD(ROW(L$4:L$54)-4,$O$18)&lt;=$O$18-4))</f>
        <v>5</v>
      </c>
      <c r="S13" s="39">
        <f t="shared" si="1"/>
        <v>0</v>
      </c>
      <c r="T13"/>
      <c r="U13"/>
      <c r="V13"/>
      <c r="W13"/>
      <c r="X13"/>
      <c r="Y13"/>
      <c r="Z13"/>
      <c r="AA13"/>
      <c r="AB13"/>
      <c r="AC13"/>
      <c r="AD13"/>
      <c r="AE13"/>
      <c r="AF13"/>
      <c r="AG13"/>
      <c r="AH13"/>
      <c r="AI13"/>
      <c r="AJ13"/>
      <c r="AK13"/>
      <c r="AL13"/>
      <c r="AM13"/>
      <c r="AN13"/>
      <c r="AO13"/>
      <c r="AP13"/>
      <c r="AQ13"/>
      <c r="AR13"/>
      <c r="AS13"/>
      <c r="AT13"/>
      <c r="AU13"/>
      <c r="AV13"/>
      <c r="AW13"/>
      <c r="AX13"/>
      <c r="AY13"/>
      <c r="AZ13"/>
    </row>
    <row r="14" spans="1:52" ht="14.5" customHeight="1">
      <c r="A14" s="106"/>
      <c r="B14"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114" t="s">
        <v>139</v>
      </c>
      <c r="D14" s="108"/>
      <c r="E14" s="108"/>
      <c r="F14" s="37" t="s">
        <v>76</v>
      </c>
      <c r="G14" s="37"/>
      <c r="H14" s="108"/>
      <c r="I14" s="108"/>
      <c r="J14" s="108"/>
      <c r="K14" s="34"/>
      <c r="L14" s="44" t="str">
        <f t="shared" si="0"/>
        <v>استراحة (لا توجد مباريات) 9 ضد 13</v>
      </c>
      <c r="M14" s="34"/>
      <c r="N14" s="39">
        <v>11</v>
      </c>
      <c r="O14" s="39" cm="1">
        <f t="array" ref="O14">SUMPRODUCT(--ISNUMBER(SEARCH(" "&amp;$N14&amp;" "," "&amp;L$4:L$57&amp;" ")))</f>
        <v>24</v>
      </c>
      <c r="P14" s="39" cm="1">
        <f t="array" ref="P14">SUMPRODUCT(--ISNUMBER(SEARCH(" "&amp;$N14&amp;" "," "&amp;L$4:L$56&amp;" ")),--ISNUMBER(SEARCH(" "&amp;$N14&amp;" "," "&amp;L$5:L$57&amp;" ")),--(MOD(ROW(L$4:L$56)-4,$O$18)&lt;=$O$18-2))</f>
        <v>0</v>
      </c>
      <c r="Q14" s="39" cm="1">
        <f t="array" ref="Q14">SUMPRODUCT(--ISNUMBER(SEARCH(" "&amp;$N14&amp;" "," "&amp;L$4:L$55&amp;" ")),--ISNUMBER(SEARCH(" "&amp;$N14&amp;" "," "&amp;L$6:L$57&amp;" ")),--(MOD(ROW(L$4:L$55)-4,$O$18)&lt;=$O$18-3))</f>
        <v>13</v>
      </c>
      <c r="R14" s="39" cm="1">
        <f t="array" ref="R14">SUMPRODUCT(--ISNUMBER(SEARCH(" "&amp;$N14&amp;" "," "&amp;L$4:L$54&amp;" ")),--ISNUMBER(SEARCH(" "&amp;$N14&amp;" "," "&amp;L$7:L$57&amp;" ")),--(MOD(ROW(L$4:L$54)-4,$O$18)&lt;=$O$18-4))</f>
        <v>5</v>
      </c>
      <c r="S14" s="39">
        <f t="shared" si="1"/>
        <v>0</v>
      </c>
      <c r="T14"/>
      <c r="U14"/>
      <c r="V14"/>
      <c r="W14"/>
      <c r="X14"/>
      <c r="Y14"/>
      <c r="Z14"/>
      <c r="AA14"/>
      <c r="AB14"/>
      <c r="AC14"/>
      <c r="AD14"/>
      <c r="AE14"/>
      <c r="AF14"/>
      <c r="AG14"/>
      <c r="AH14"/>
      <c r="AI14"/>
      <c r="AJ14"/>
      <c r="AK14"/>
      <c r="AL14"/>
      <c r="AM14"/>
      <c r="AN14"/>
      <c r="AO14"/>
      <c r="AP14"/>
      <c r="AQ14"/>
      <c r="AR14"/>
      <c r="AS14"/>
      <c r="AT14"/>
      <c r="AU14"/>
      <c r="AV14"/>
      <c r="AW14"/>
      <c r="AX14"/>
      <c r="AY14"/>
      <c r="AZ14"/>
    </row>
    <row r="15" spans="1:52" ht="14.5" customHeight="1">
      <c r="A15" s="106"/>
      <c r="B15"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37" t="s">
        <v>38</v>
      </c>
      <c r="D15" s="37" t="s">
        <v>44</v>
      </c>
      <c r="E15" s="37" t="s">
        <v>50</v>
      </c>
      <c r="F15" s="37" t="s">
        <v>45</v>
      </c>
      <c r="G15" s="37" t="s">
        <v>31</v>
      </c>
      <c r="H15" s="108"/>
      <c r="I15" s="108"/>
      <c r="J15" s="108"/>
      <c r="K15" s="34"/>
      <c r="L15" s="44" t="str">
        <f t="shared" si="0"/>
        <v>1 ضد 6 2 ضد 5 3 ضد 4 7 ضد 8 10 ضد 11</v>
      </c>
      <c r="M15" s="34"/>
      <c r="N15" s="39">
        <v>12</v>
      </c>
      <c r="O15" s="39" cm="1">
        <f t="array" ref="O15">SUMPRODUCT(--ISNUMBER(SEARCH(" "&amp;$N15&amp;" "," "&amp;L$4:L$57&amp;" ")))</f>
        <v>24</v>
      </c>
      <c r="P15" s="39" cm="1">
        <f t="array" ref="P15">SUMPRODUCT(--ISNUMBER(SEARCH(" "&amp;$N15&amp;" "," "&amp;L$4:L$56&amp;" ")),--ISNUMBER(SEARCH(" "&amp;$N15&amp;" "," "&amp;L$5:L$57&amp;" ")),--(MOD(ROW(L$4:L$56)-4,$O$18)&lt;=$O$18-2))</f>
        <v>0</v>
      </c>
      <c r="Q15" s="39" cm="1">
        <f t="array" ref="Q15">SUMPRODUCT(--ISNUMBER(SEARCH(" "&amp;$N15&amp;" "," "&amp;L$4:L$55&amp;" ")),--ISNUMBER(SEARCH(" "&amp;$N15&amp;" "," "&amp;L$6:L$57&amp;" ")),--(MOD(ROW(L$4:L$55)-4,$O$18)&lt;=$O$18-3))</f>
        <v>13</v>
      </c>
      <c r="R15" s="39" cm="1">
        <f t="array" ref="R15">SUMPRODUCT(--ISNUMBER(SEARCH(" "&amp;$N15&amp;" "," "&amp;L$4:L$54&amp;" ")),--ISNUMBER(SEARCH(" "&amp;$N15&amp;" "," "&amp;L$7:L$57&amp;" ")),--(MOD(ROW(L$4:L$54)-4,$O$18)&lt;=$O$18-4))</f>
        <v>5</v>
      </c>
      <c r="S15" s="39">
        <f t="shared" si="1"/>
        <v>0</v>
      </c>
      <c r="T15"/>
      <c r="U15"/>
      <c r="V15"/>
      <c r="W15"/>
      <c r="X15"/>
      <c r="Y15"/>
      <c r="Z15"/>
      <c r="AA15"/>
      <c r="AB15"/>
      <c r="AC15"/>
      <c r="AD15"/>
      <c r="AE15"/>
      <c r="AF15"/>
      <c r="AG15"/>
      <c r="AH15"/>
      <c r="AI15"/>
      <c r="AJ15"/>
      <c r="AK15"/>
      <c r="AL15"/>
      <c r="AM15"/>
      <c r="AN15"/>
      <c r="AO15"/>
      <c r="AP15"/>
      <c r="AQ15"/>
      <c r="AR15"/>
      <c r="AS15"/>
      <c r="AT15"/>
      <c r="AU15"/>
      <c r="AV15"/>
      <c r="AW15"/>
      <c r="AX15"/>
      <c r="AY15"/>
      <c r="AZ15"/>
    </row>
    <row r="16" spans="1:52" ht="14.5" customHeight="1">
      <c r="A16" s="106"/>
      <c r="B16"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114" t="s">
        <v>139</v>
      </c>
      <c r="D16" s="108"/>
      <c r="E16" s="108"/>
      <c r="F16" s="37" t="s">
        <v>73</v>
      </c>
      <c r="G16" s="37"/>
      <c r="H16" s="108"/>
      <c r="I16" s="108"/>
      <c r="J16" s="108"/>
      <c r="K16" s="34"/>
      <c r="L16" s="44" t="str">
        <f t="shared" si="0"/>
        <v>استراحة (لا توجد مباريات) 12 ضد 13</v>
      </c>
      <c r="M16" s="34"/>
      <c r="N16" s="39">
        <v>13</v>
      </c>
      <c r="O16" s="39" cm="1">
        <f t="array" ref="O16">SUMPRODUCT(--ISNUMBER(SEARCH(" "&amp;$N16&amp;" "," "&amp;L$4:L$57&amp;" ")))</f>
        <v>24</v>
      </c>
      <c r="P16" s="39" cm="1">
        <f t="array" ref="P16">SUMPRODUCT(--ISNUMBER(SEARCH(" "&amp;$N16&amp;" "," "&amp;L$4:L$56&amp;" ")),--ISNUMBER(SEARCH(" "&amp;$N16&amp;" "," "&amp;L$5:L$57&amp;" ")),--(MOD(ROW(L$4:L$56)-4,$O$18)&lt;=$O$18-2))</f>
        <v>0</v>
      </c>
      <c r="Q16" s="39" cm="1">
        <f t="array" ref="Q16">SUMPRODUCT(--ISNUMBER(SEARCH(" "&amp;$N16&amp;" "," "&amp;L$4:L$55&amp;" ")),--ISNUMBER(SEARCH(" "&amp;$N16&amp;" "," "&amp;L$6:L$57&amp;" ")),--(MOD(ROW(L$4:L$55)-4,$O$18)&lt;=$O$18-3))</f>
        <v>13</v>
      </c>
      <c r="R16" s="39" cm="1">
        <f t="array" ref="R16">SUMPRODUCT(--ISNUMBER(SEARCH(" "&amp;$N16&amp;" "," "&amp;L$4:L$54&amp;" ")),--ISNUMBER(SEARCH(" "&amp;$N16&amp;" "," "&amp;L$7:L$57&amp;" ")),--(MOD(ROW(L$4:L$54)-4,$O$18)&lt;=$O$18-4))</f>
        <v>5</v>
      </c>
      <c r="S16" s="39">
        <f t="shared" si="1"/>
        <v>0</v>
      </c>
      <c r="T16"/>
      <c r="U16"/>
      <c r="V16"/>
      <c r="W16"/>
      <c r="X16"/>
      <c r="Y16"/>
      <c r="Z16"/>
      <c r="AA16"/>
      <c r="AB16"/>
      <c r="AC16"/>
      <c r="AD16"/>
      <c r="AE16"/>
      <c r="AF16"/>
      <c r="AG16"/>
      <c r="AH16"/>
      <c r="AI16"/>
      <c r="AJ16"/>
      <c r="AK16"/>
      <c r="AL16"/>
      <c r="AM16"/>
      <c r="AN16"/>
      <c r="AO16"/>
      <c r="AP16"/>
      <c r="AQ16"/>
      <c r="AR16"/>
      <c r="AS16"/>
      <c r="AT16"/>
      <c r="AU16"/>
      <c r="AV16"/>
      <c r="AW16"/>
      <c r="AX16"/>
      <c r="AY16"/>
      <c r="AZ16"/>
    </row>
    <row r="17" spans="1:52" ht="14.5" customHeight="1">
      <c r="A17" s="106"/>
      <c r="B17"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37" t="s">
        <v>40</v>
      </c>
      <c r="D17" s="37" t="s">
        <v>157</v>
      </c>
      <c r="E17" s="37" t="s">
        <v>37</v>
      </c>
      <c r="F17" s="37" t="s">
        <v>51</v>
      </c>
      <c r="G17" s="37" t="s">
        <v>27</v>
      </c>
      <c r="H17" s="108"/>
      <c r="I17" s="108"/>
      <c r="J17" s="108"/>
      <c r="K17" s="34"/>
      <c r="L17" s="44" t="str">
        <f t="shared" si="0"/>
        <v>1 ضد 5 6 ضد 4 2 ضد 3 7 ضد 9 8 ضد 10</v>
      </c>
      <c r="M17" s="34"/>
      <c r="N17" s="45" t="s">
        <v>249</v>
      </c>
      <c r="O17" s="45">
        <f>SUM(O4:O16)</f>
        <v>318</v>
      </c>
      <c r="P17" s="45">
        <f>SUM(P4:P16)</f>
        <v>0</v>
      </c>
      <c r="Q17" s="45">
        <f>SUM(Q4:Q16)</f>
        <v>204</v>
      </c>
      <c r="R17" s="45">
        <f>SUM(R4:R16)</f>
        <v>36</v>
      </c>
      <c r="S17" s="45">
        <f>SUM(S4:S16)</f>
        <v>0</v>
      </c>
      <c r="T17"/>
      <c r="U17"/>
      <c r="V17"/>
      <c r="W17"/>
      <c r="X17"/>
      <c r="Y17"/>
      <c r="Z17"/>
      <c r="AA17"/>
      <c r="AB17"/>
      <c r="AC17"/>
      <c r="AD17"/>
      <c r="AE17"/>
      <c r="AF17"/>
      <c r="AG17"/>
      <c r="AH17"/>
      <c r="AI17"/>
      <c r="AJ17"/>
      <c r="AK17"/>
      <c r="AL17"/>
      <c r="AM17"/>
      <c r="AN17"/>
      <c r="AO17"/>
      <c r="AP17"/>
      <c r="AQ17"/>
      <c r="AR17"/>
      <c r="AS17"/>
      <c r="AT17"/>
      <c r="AU17"/>
      <c r="AV17"/>
      <c r="AW17"/>
      <c r="AX17"/>
      <c r="AY17"/>
      <c r="AZ17"/>
    </row>
    <row r="18" spans="1:52" ht="14.5" customHeight="1">
      <c r="A18" s="106"/>
      <c r="B18"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114" t="s">
        <v>139</v>
      </c>
      <c r="D18" s="108"/>
      <c r="E18" s="108"/>
      <c r="F18" s="37" t="s">
        <v>74</v>
      </c>
      <c r="G18" s="37"/>
      <c r="H18" s="108"/>
      <c r="I18" s="108"/>
      <c r="J18" s="108"/>
      <c r="K18" s="34"/>
      <c r="L18" s="44" t="str">
        <f t="shared" si="0"/>
        <v>استراحة (لا توجد مباريات) 11 ضد 13</v>
      </c>
      <c r="M18" s="34"/>
      <c r="N18" s="39" t="s">
        <v>250</v>
      </c>
      <c r="O18" s="52">
        <v>9</v>
      </c>
      <c r="P18" s="39"/>
      <c r="Q18" s="39"/>
      <c r="R18" s="39"/>
      <c r="S18" s="39"/>
      <c r="T18"/>
      <c r="U18"/>
      <c r="V18"/>
      <c r="W18"/>
      <c r="X18"/>
      <c r="Y18"/>
      <c r="Z18"/>
      <c r="AA18"/>
      <c r="AB18"/>
      <c r="AC18"/>
      <c r="AD18"/>
      <c r="AE18"/>
      <c r="AF18"/>
      <c r="AG18"/>
      <c r="AH18"/>
      <c r="AI18"/>
      <c r="AJ18"/>
      <c r="AK18"/>
      <c r="AL18"/>
      <c r="AM18"/>
      <c r="AN18"/>
      <c r="AO18"/>
      <c r="AP18"/>
      <c r="AQ18"/>
      <c r="AR18"/>
      <c r="AS18"/>
      <c r="AT18"/>
      <c r="AU18"/>
      <c r="AV18"/>
      <c r="AW18"/>
      <c r="AX18"/>
      <c r="AY18"/>
      <c r="AZ18"/>
    </row>
    <row r="19" spans="1:52" ht="14.5" customHeight="1">
      <c r="A19" s="106"/>
      <c r="B19"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37" t="s">
        <v>159</v>
      </c>
      <c r="D19" s="37" t="s">
        <v>158</v>
      </c>
      <c r="E19" s="37" t="s">
        <v>63</v>
      </c>
      <c r="F19" s="37" t="s">
        <v>35</v>
      </c>
      <c r="G19" s="37" t="s">
        <v>67</v>
      </c>
      <c r="H19" s="108"/>
      <c r="I19" s="108"/>
      <c r="J19" s="108"/>
      <c r="K19" s="34"/>
      <c r="L19" s="44" t="str">
        <f t="shared" si="0"/>
        <v>6 ضد 2 5 ضد 3 1 ضد 4 7 ضد 12 8 ضد 9</v>
      </c>
      <c r="M19" s="34"/>
      <c r="N19" s="34"/>
      <c r="O19" s="34"/>
      <c r="P19" s="34"/>
      <c r="Q19" s="34"/>
      <c r="R19" s="34"/>
      <c r="S19" s="34"/>
      <c r="T19"/>
      <c r="U19"/>
      <c r="V19"/>
      <c r="W19"/>
      <c r="X19"/>
      <c r="Y19"/>
      <c r="Z19"/>
      <c r="AA19"/>
      <c r="AB19"/>
      <c r="AC19"/>
      <c r="AD19"/>
      <c r="AE19"/>
      <c r="AF19"/>
      <c r="AG19"/>
      <c r="AH19"/>
      <c r="AI19"/>
      <c r="AJ19"/>
      <c r="AK19"/>
      <c r="AL19"/>
      <c r="AM19"/>
      <c r="AN19"/>
      <c r="AO19"/>
      <c r="AP19"/>
      <c r="AQ19"/>
      <c r="AR19"/>
      <c r="AS19"/>
      <c r="AT19"/>
      <c r="AU19"/>
      <c r="AV19"/>
      <c r="AW19"/>
      <c r="AX19"/>
      <c r="AY19"/>
      <c r="AZ19"/>
    </row>
    <row r="20" spans="1:52" ht="14.5" customHeight="1">
      <c r="A20" s="106"/>
      <c r="B20"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37"/>
      <c r="D20" s="37"/>
      <c r="E20" s="37"/>
      <c r="F20" s="37" t="s">
        <v>75</v>
      </c>
      <c r="G20" s="37"/>
      <c r="H20" s="108"/>
      <c r="I20" s="108"/>
      <c r="J20" s="108"/>
      <c r="K20" s="34"/>
      <c r="L20" s="44" t="str">
        <f t="shared" si="0"/>
        <v>10 ضد 13</v>
      </c>
      <c r="M20" s="34"/>
      <c r="N20" s="34"/>
      <c r="O20" s="34"/>
      <c r="P20" s="34"/>
      <c r="Q20" s="34"/>
      <c r="R20" s="34"/>
      <c r="S20" s="34"/>
      <c r="T20"/>
      <c r="U20"/>
      <c r="V20"/>
      <c r="W20"/>
      <c r="X20"/>
      <c r="Y20"/>
      <c r="Z20"/>
      <c r="AA20"/>
      <c r="AB20"/>
      <c r="AC20"/>
      <c r="AD20"/>
      <c r="AE20"/>
      <c r="AF20"/>
      <c r="AG20"/>
      <c r="AH20"/>
      <c r="AI20"/>
      <c r="AJ20"/>
      <c r="AK20"/>
      <c r="AL20"/>
      <c r="AM20"/>
      <c r="AN20"/>
      <c r="AO20"/>
      <c r="AP20"/>
      <c r="AQ20"/>
      <c r="AR20"/>
      <c r="AS20"/>
      <c r="AT20"/>
      <c r="AU20"/>
      <c r="AV20"/>
      <c r="AW20"/>
      <c r="AX20"/>
      <c r="AY20"/>
      <c r="AZ20"/>
    </row>
    <row r="21" spans="1:52" ht="14.5" customHeight="1">
      <c r="A21" s="106"/>
      <c r="B21"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37"/>
      <c r="D21" s="37"/>
      <c r="E21" s="37"/>
      <c r="F21" s="37" t="s">
        <v>65</v>
      </c>
      <c r="G21" s="37" t="s">
        <v>29</v>
      </c>
      <c r="H21" s="108"/>
      <c r="I21" s="108"/>
      <c r="J21" s="108"/>
      <c r="K21" s="34"/>
      <c r="L21" s="44" t="str">
        <f t="shared" si="0"/>
        <v>7 ضد 11 9 ضد 12</v>
      </c>
      <c r="M21" s="34"/>
      <c r="N21" s="34"/>
      <c r="O21" s="34"/>
      <c r="P21" s="34"/>
      <c r="Q21" s="34"/>
      <c r="R21" s="34"/>
      <c r="S21" s="34"/>
      <c r="T21"/>
      <c r="U21"/>
      <c r="V21"/>
      <c r="W21"/>
      <c r="X21"/>
      <c r="Y21"/>
      <c r="Z21"/>
      <c r="AA21"/>
      <c r="AB21"/>
      <c r="AC21"/>
      <c r="AD21"/>
      <c r="AE21"/>
      <c r="AF21"/>
      <c r="AG21"/>
      <c r="AH21"/>
      <c r="AI21"/>
      <c r="AJ21"/>
      <c r="AK21"/>
      <c r="AL21"/>
      <c r="AM21"/>
      <c r="AN21"/>
      <c r="AO21"/>
      <c r="AP21"/>
      <c r="AQ21"/>
      <c r="AR21"/>
      <c r="AS21"/>
      <c r="AT21"/>
      <c r="AU21"/>
      <c r="AV21"/>
      <c r="AW21"/>
      <c r="AX21"/>
      <c r="AY21"/>
      <c r="AZ21"/>
    </row>
    <row r="22" spans="1:52" ht="14.5" customHeight="1">
      <c r="A22" s="106" t="s">
        <v>7</v>
      </c>
      <c r="B2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37" t="s">
        <v>160</v>
      </c>
      <c r="D22" s="37" t="s">
        <v>20</v>
      </c>
      <c r="E22" s="37" t="s">
        <v>55</v>
      </c>
      <c r="F22" s="37" t="s">
        <v>64</v>
      </c>
      <c r="G22" s="37" t="s">
        <v>71</v>
      </c>
      <c r="H22" s="107">
        <f>COUNTIF(C22:G30,"* ضد *")</f>
        <v>26</v>
      </c>
      <c r="I22" s="108">
        <f>COUNTIF(C22:E30,"* ضد *")*2/6</f>
        <v>4</v>
      </c>
      <c r="J22" s="108">
        <f>COUNTIF(F22:G30,"* ضد *")*2/7</f>
        <v>4</v>
      </c>
      <c r="K22" s="34"/>
      <c r="L22" s="44" t="str">
        <f t="shared" si="0"/>
        <v>4 ضد 2 1 ضد 3 5 ضد 6 10 ضد 12 8 ضد 13</v>
      </c>
      <c r="M22" s="34"/>
      <c r="N22" s="34"/>
      <c r="O22" s="34"/>
      <c r="P22" s="34"/>
      <c r="Q22" s="34"/>
      <c r="R22" s="34"/>
      <c r="S22" s="34"/>
      <c r="T22"/>
      <c r="U22"/>
      <c r="V22"/>
      <c r="W22"/>
      <c r="X22"/>
      <c r="Y22"/>
      <c r="Z22"/>
      <c r="AA22"/>
      <c r="AB22"/>
      <c r="AC22"/>
      <c r="AD22"/>
      <c r="AE22"/>
      <c r="AF22"/>
      <c r="AG22"/>
      <c r="AH22"/>
      <c r="AI22"/>
      <c r="AJ22"/>
      <c r="AK22"/>
      <c r="AL22"/>
      <c r="AM22"/>
      <c r="AN22"/>
      <c r="AO22"/>
      <c r="AP22"/>
      <c r="AQ22"/>
      <c r="AR22"/>
      <c r="AS22"/>
      <c r="AT22"/>
      <c r="AU22"/>
      <c r="AV22"/>
      <c r="AW22"/>
      <c r="AX22"/>
      <c r="AY22"/>
      <c r="AZ22"/>
    </row>
    <row r="23" spans="1:52" ht="14.5" customHeight="1">
      <c r="A23" s="106"/>
      <c r="B2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114" t="s">
        <v>139</v>
      </c>
      <c r="D23" s="108"/>
      <c r="E23" s="108"/>
      <c r="F23" s="37" t="s">
        <v>51</v>
      </c>
      <c r="G23" s="37"/>
      <c r="H23" s="108"/>
      <c r="I23" s="108"/>
      <c r="J23" s="108"/>
      <c r="K23" s="34"/>
      <c r="L23" s="44" t="str">
        <f t="shared" si="0"/>
        <v>استراحة (لا توجد مباريات) 7 ضد 9</v>
      </c>
      <c r="M23" s="34"/>
      <c r="N23" s="34"/>
      <c r="O23" s="34"/>
      <c r="P23" s="34"/>
      <c r="Q23" s="34"/>
      <c r="R23" s="34"/>
      <c r="S23" s="34"/>
      <c r="T23"/>
      <c r="U23"/>
      <c r="V23"/>
      <c r="W23"/>
      <c r="X23"/>
      <c r="Y23"/>
      <c r="Z23"/>
      <c r="AA23"/>
      <c r="AB23"/>
      <c r="AC23"/>
      <c r="AD23"/>
      <c r="AE23"/>
      <c r="AF23"/>
      <c r="AG23"/>
      <c r="AH23"/>
      <c r="AI23"/>
      <c r="AJ23"/>
      <c r="AK23"/>
      <c r="AL23"/>
      <c r="AM23"/>
      <c r="AN23"/>
      <c r="AO23"/>
      <c r="AP23"/>
      <c r="AQ23"/>
      <c r="AR23"/>
      <c r="AS23"/>
      <c r="AT23"/>
      <c r="AU23"/>
      <c r="AV23"/>
      <c r="AW23"/>
      <c r="AX23"/>
      <c r="AY23"/>
      <c r="AZ23"/>
    </row>
    <row r="24" spans="1:52" ht="14.5" customHeight="1">
      <c r="A24" s="106"/>
      <c r="B2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37" t="s">
        <v>62</v>
      </c>
      <c r="D24" s="37" t="s">
        <v>30</v>
      </c>
      <c r="E24" s="37" t="s">
        <v>46</v>
      </c>
      <c r="F24" s="37" t="s">
        <v>31</v>
      </c>
      <c r="G24" s="37" t="s">
        <v>73</v>
      </c>
      <c r="H24" s="108"/>
      <c r="I24" s="108"/>
      <c r="J24" s="108"/>
      <c r="K24" s="34"/>
      <c r="L24" s="44" t="str">
        <f t="shared" si="0"/>
        <v>3 ضد 6 1 ضد 2 4 ضد 5 10 ضد 11 12 ضد 13</v>
      </c>
      <c r="M24" s="34"/>
      <c r="N24" s="34"/>
      <c r="O24" s="34"/>
      <c r="P24" s="34"/>
      <c r="Q24" s="34"/>
      <c r="R24" s="34"/>
      <c r="S24" s="34"/>
      <c r="T24"/>
      <c r="U24"/>
      <c r="V24"/>
      <c r="W24"/>
      <c r="X24"/>
      <c r="Y24"/>
      <c r="Z24"/>
      <c r="AA24"/>
      <c r="AB24"/>
      <c r="AC24"/>
      <c r="AD24"/>
      <c r="AE24"/>
      <c r="AF24"/>
      <c r="AG24"/>
      <c r="AH24"/>
      <c r="AI24"/>
      <c r="AJ24"/>
      <c r="AK24"/>
      <c r="AL24"/>
      <c r="AM24"/>
      <c r="AN24"/>
      <c r="AO24"/>
      <c r="AP24"/>
      <c r="AQ24"/>
      <c r="AR24"/>
      <c r="AS24"/>
      <c r="AT24"/>
      <c r="AU24"/>
      <c r="AV24"/>
      <c r="AW24"/>
      <c r="AX24"/>
      <c r="AY24"/>
      <c r="AZ24"/>
    </row>
    <row r="25" spans="1:52" ht="14.5" customHeight="1">
      <c r="A25" s="106"/>
      <c r="B2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114" t="s">
        <v>139</v>
      </c>
      <c r="D25" s="108"/>
      <c r="E25" s="108"/>
      <c r="F25" s="37" t="s">
        <v>45</v>
      </c>
      <c r="G25" s="37"/>
      <c r="H25" s="108"/>
      <c r="I25" s="108"/>
      <c r="J25" s="108"/>
      <c r="K25" s="34"/>
      <c r="L25" s="44" t="str">
        <f t="shared" si="0"/>
        <v>استراحة (لا توجد مباريات) 7 ضد 8</v>
      </c>
      <c r="M25" s="34"/>
      <c r="N25" s="34"/>
      <c r="O25" s="34"/>
      <c r="P25" s="34"/>
      <c r="Q25" s="34"/>
      <c r="R25" s="34"/>
      <c r="S25" s="34"/>
      <c r="T25"/>
      <c r="U25"/>
      <c r="V25"/>
      <c r="W25"/>
      <c r="X25"/>
      <c r="Y25"/>
      <c r="Z25"/>
      <c r="AA25"/>
      <c r="AB25"/>
      <c r="AC25"/>
      <c r="AD25"/>
      <c r="AE25"/>
      <c r="AF25"/>
      <c r="AG25"/>
      <c r="AH25"/>
      <c r="AI25"/>
      <c r="AJ25"/>
      <c r="AK25"/>
      <c r="AL25"/>
      <c r="AM25"/>
      <c r="AN25"/>
      <c r="AO25"/>
      <c r="AP25"/>
      <c r="AQ25"/>
      <c r="AR25"/>
      <c r="AS25"/>
      <c r="AT25"/>
      <c r="AU25"/>
      <c r="AV25"/>
      <c r="AW25"/>
      <c r="AX25"/>
      <c r="AY25"/>
      <c r="AZ25"/>
    </row>
    <row r="26" spans="1:52" ht="14.5" customHeight="1">
      <c r="A26" s="106"/>
      <c r="B2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37" t="s">
        <v>50</v>
      </c>
      <c r="D26" s="37" t="s">
        <v>44</v>
      </c>
      <c r="E26" s="37" t="s">
        <v>38</v>
      </c>
      <c r="F26" s="37" t="s">
        <v>259</v>
      </c>
      <c r="G26" s="37" t="s">
        <v>76</v>
      </c>
      <c r="H26" s="108"/>
      <c r="I26" s="108"/>
      <c r="J26" s="108"/>
      <c r="K26" s="34"/>
      <c r="L26" s="44" t="str">
        <f t="shared" si="0"/>
        <v>3 ضد 4 2 ضد 5 1 ضد 6 12 ضد 11 9 ضد 13</v>
      </c>
      <c r="M26" s="34"/>
      <c r="N26" s="34"/>
      <c r="O26" s="34"/>
      <c r="P26" s="34"/>
      <c r="Q26" s="34"/>
      <c r="R26" s="34"/>
      <c r="S26" s="34"/>
      <c r="T26"/>
      <c r="U26"/>
      <c r="V26"/>
      <c r="W26"/>
      <c r="X26"/>
      <c r="Y26"/>
      <c r="Z26"/>
      <c r="AA26"/>
      <c r="AB26"/>
      <c r="AC26"/>
      <c r="AD26"/>
      <c r="AE26"/>
      <c r="AF26"/>
      <c r="AG26"/>
      <c r="AH26"/>
      <c r="AI26"/>
      <c r="AJ26"/>
      <c r="AK26"/>
      <c r="AL26"/>
      <c r="AM26"/>
      <c r="AN26"/>
      <c r="AO26"/>
      <c r="AP26"/>
      <c r="AQ26"/>
      <c r="AR26"/>
      <c r="AS26"/>
      <c r="AT26"/>
      <c r="AU26"/>
      <c r="AV26"/>
      <c r="AW26"/>
      <c r="AX26"/>
      <c r="AY26"/>
      <c r="AZ26"/>
    </row>
    <row r="27" spans="1:52" ht="14.5" customHeight="1">
      <c r="A27" s="106"/>
      <c r="B2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114" t="s">
        <v>139</v>
      </c>
      <c r="D27" s="108"/>
      <c r="E27" s="108"/>
      <c r="F27" s="37" t="s">
        <v>60</v>
      </c>
      <c r="G27" s="37"/>
      <c r="H27" s="108"/>
      <c r="I27" s="108"/>
      <c r="J27" s="108"/>
      <c r="K27" s="34"/>
      <c r="L27" s="44" t="str">
        <f t="shared" si="0"/>
        <v>استراحة (لا توجد مباريات) 7 ضد 10</v>
      </c>
      <c r="M27" s="34"/>
      <c r="N27" s="34"/>
      <c r="O27" s="34"/>
      <c r="P27" s="34"/>
      <c r="Q27" s="34"/>
      <c r="R27" s="34"/>
      <c r="S27" s="34"/>
      <c r="T27"/>
      <c r="U27"/>
      <c r="V27"/>
      <c r="W27"/>
      <c r="X27"/>
      <c r="Y27"/>
      <c r="Z27"/>
      <c r="AA27"/>
      <c r="AB27"/>
      <c r="AC27"/>
      <c r="AD27"/>
      <c r="AE27"/>
      <c r="AF27"/>
      <c r="AG27"/>
      <c r="AH27"/>
      <c r="AI27"/>
      <c r="AJ27"/>
      <c r="AK27"/>
      <c r="AL27"/>
      <c r="AM27"/>
      <c r="AN27"/>
      <c r="AO27"/>
      <c r="AP27"/>
      <c r="AQ27"/>
      <c r="AR27"/>
      <c r="AS27"/>
      <c r="AT27"/>
      <c r="AU27"/>
      <c r="AV27"/>
      <c r="AW27"/>
      <c r="AX27"/>
      <c r="AY27"/>
      <c r="AZ27"/>
    </row>
    <row r="28" spans="1:52" ht="14.5" customHeight="1">
      <c r="A28" s="106"/>
      <c r="B2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37" t="s">
        <v>40</v>
      </c>
      <c r="D28" s="37" t="s">
        <v>157</v>
      </c>
      <c r="E28" s="37" t="s">
        <v>37</v>
      </c>
      <c r="F28" s="37" t="s">
        <v>54</v>
      </c>
      <c r="G28" s="37" t="s">
        <v>42</v>
      </c>
      <c r="H28" s="108"/>
      <c r="I28" s="108"/>
      <c r="J28" s="108"/>
      <c r="K28" s="34"/>
      <c r="L28" s="44" t="str">
        <f t="shared" si="0"/>
        <v>1 ضد 5 6 ضد 4 2 ضد 3 9 ضد 11 8 ضد 12</v>
      </c>
      <c r="M28" s="34"/>
      <c r="N28" s="34"/>
      <c r="O28" s="34"/>
      <c r="P28" s="34"/>
      <c r="Q28" s="34"/>
      <c r="R28" s="34"/>
      <c r="S28" s="34"/>
      <c r="T28"/>
      <c r="U28"/>
      <c r="V28"/>
      <c r="W28"/>
      <c r="X28"/>
      <c r="Y28"/>
      <c r="Z28"/>
      <c r="AA28"/>
      <c r="AB28"/>
      <c r="AC28"/>
      <c r="AD28"/>
      <c r="AE28"/>
      <c r="AF28"/>
      <c r="AG28"/>
      <c r="AH28"/>
      <c r="AI28"/>
      <c r="AJ28"/>
      <c r="AK28"/>
      <c r="AL28"/>
      <c r="AM28"/>
      <c r="AN28"/>
      <c r="AO28"/>
      <c r="AP28"/>
      <c r="AQ28"/>
      <c r="AR28"/>
      <c r="AS28"/>
      <c r="AT28"/>
      <c r="AU28"/>
      <c r="AV28"/>
      <c r="AW28"/>
      <c r="AX28"/>
      <c r="AY28"/>
      <c r="AZ28"/>
    </row>
    <row r="29" spans="1:52" ht="14.5" customHeight="1">
      <c r="A29" s="106"/>
      <c r="B29"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37"/>
      <c r="D29" s="37"/>
      <c r="E29" s="37"/>
      <c r="F29" s="37" t="s">
        <v>72</v>
      </c>
      <c r="G29" s="37"/>
      <c r="H29" s="108"/>
      <c r="I29" s="108"/>
      <c r="J29" s="108"/>
      <c r="K29" s="34"/>
      <c r="L29" s="44" t="str">
        <f t="shared" si="0"/>
        <v>7 ضد 13</v>
      </c>
      <c r="M29" s="34"/>
      <c r="N29" s="34"/>
      <c r="O29" s="34"/>
      <c r="P29" s="34"/>
      <c r="Q29" s="34"/>
      <c r="R29" s="34"/>
      <c r="S29" s="34"/>
      <c r="T29"/>
      <c r="U29"/>
      <c r="V29"/>
      <c r="W29"/>
      <c r="X29"/>
      <c r="Y29"/>
      <c r="Z29"/>
      <c r="AA29"/>
      <c r="AB29"/>
      <c r="AC29"/>
      <c r="AD29"/>
      <c r="AE29"/>
      <c r="AF29"/>
      <c r="AG29"/>
      <c r="AH29"/>
      <c r="AI29"/>
      <c r="AJ29"/>
      <c r="AK29"/>
      <c r="AL29"/>
      <c r="AM29"/>
      <c r="AN29"/>
      <c r="AO29"/>
      <c r="AP29"/>
      <c r="AQ29"/>
      <c r="AR29"/>
      <c r="AS29"/>
      <c r="AT29"/>
      <c r="AU29"/>
      <c r="AV29"/>
      <c r="AW29"/>
      <c r="AX29"/>
      <c r="AY29"/>
      <c r="AZ29"/>
    </row>
    <row r="30" spans="1:52" ht="14.5" customHeight="1">
      <c r="A30" s="106"/>
      <c r="B30"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37"/>
      <c r="D30" s="37"/>
      <c r="E30" s="37"/>
      <c r="F30" s="37" t="s">
        <v>49</v>
      </c>
      <c r="G30" s="37" t="s">
        <v>48</v>
      </c>
      <c r="H30" s="108"/>
      <c r="I30" s="108"/>
      <c r="J30" s="108"/>
      <c r="K30" s="34"/>
      <c r="L30" s="44" t="str">
        <f t="shared" si="0"/>
        <v>8 ضد 11 9 ضد 10</v>
      </c>
      <c r="M30" s="34"/>
      <c r="N30" s="34"/>
      <c r="O30" s="34"/>
      <c r="P30" s="34"/>
      <c r="Q30" s="34"/>
      <c r="R30" s="34"/>
      <c r="S30" s="34"/>
      <c r="T30"/>
      <c r="U30"/>
      <c r="V30"/>
      <c r="W30"/>
      <c r="X30"/>
      <c r="Y30"/>
      <c r="Z30"/>
      <c r="AA30"/>
      <c r="AB30"/>
      <c r="AC30"/>
      <c r="AD30"/>
      <c r="AE30"/>
      <c r="AF30"/>
      <c r="AG30"/>
      <c r="AH30"/>
      <c r="AI30"/>
      <c r="AJ30"/>
      <c r="AK30"/>
      <c r="AL30"/>
      <c r="AM30"/>
      <c r="AN30"/>
      <c r="AO30"/>
      <c r="AP30"/>
      <c r="AQ30"/>
      <c r="AR30"/>
      <c r="AS30"/>
      <c r="AT30"/>
      <c r="AU30"/>
      <c r="AV30"/>
      <c r="AW30"/>
      <c r="AX30"/>
      <c r="AY30"/>
      <c r="AZ30"/>
    </row>
    <row r="31" spans="1:52" ht="14.5" customHeight="1">
      <c r="A31" s="106" t="s">
        <v>8</v>
      </c>
      <c r="B3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37" t="s">
        <v>63</v>
      </c>
      <c r="D31" s="37" t="s">
        <v>158</v>
      </c>
      <c r="E31" s="37" t="s">
        <v>159</v>
      </c>
      <c r="F31" s="37" t="s">
        <v>65</v>
      </c>
      <c r="G31" s="37" t="s">
        <v>76</v>
      </c>
      <c r="H31" s="107">
        <f>COUNTIF(C31:G39,"* ضد *")</f>
        <v>26</v>
      </c>
      <c r="I31" s="108">
        <f>COUNTIF(C31:E39,"* ضد *")*2/6</f>
        <v>4</v>
      </c>
      <c r="J31" s="108">
        <f>COUNTIF(F31:G39,"* ضد *")*2/7</f>
        <v>4</v>
      </c>
      <c r="K31" s="34"/>
      <c r="L31" s="44" t="str">
        <f t="shared" si="0"/>
        <v>1 ضد 4 5 ضد 3 6 ضد 2 7 ضد 11 9 ضد 13</v>
      </c>
      <c r="M31" s="34"/>
      <c r="N31" s="34"/>
      <c r="O31" s="34"/>
      <c r="P31" s="34"/>
      <c r="Q31" s="34"/>
      <c r="R31" s="34"/>
      <c r="S31" s="34"/>
      <c r="T31"/>
      <c r="U31"/>
      <c r="V31"/>
      <c r="W31"/>
      <c r="X31"/>
      <c r="Y31"/>
      <c r="Z31"/>
      <c r="AA31"/>
      <c r="AB31"/>
      <c r="AC31"/>
      <c r="AD31"/>
      <c r="AE31"/>
      <c r="AF31"/>
      <c r="AG31"/>
      <c r="AH31"/>
      <c r="AI31"/>
      <c r="AJ31"/>
      <c r="AK31"/>
      <c r="AL31"/>
      <c r="AM31"/>
      <c r="AN31"/>
      <c r="AO31"/>
      <c r="AP31"/>
      <c r="AQ31"/>
      <c r="AR31"/>
      <c r="AS31"/>
      <c r="AT31"/>
      <c r="AU31"/>
      <c r="AV31"/>
      <c r="AW31"/>
      <c r="AX31"/>
      <c r="AY31"/>
      <c r="AZ31"/>
    </row>
    <row r="32" spans="1:52" ht="14.5" customHeight="1">
      <c r="A32" s="106"/>
      <c r="B3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114" t="s">
        <v>139</v>
      </c>
      <c r="D32" s="108"/>
      <c r="E32" s="108"/>
      <c r="F32" s="37" t="s">
        <v>64</v>
      </c>
      <c r="G32" s="37"/>
      <c r="H32" s="108"/>
      <c r="I32" s="108"/>
      <c r="J32" s="108"/>
      <c r="K32" s="34"/>
      <c r="L32" s="44" t="str">
        <f t="shared" si="0"/>
        <v>استراحة (لا توجد مباريات) 10 ضد 12</v>
      </c>
      <c r="M32" s="34"/>
      <c r="N32" s="34"/>
      <c r="O32" s="34"/>
      <c r="P32" s="34"/>
      <c r="Q32" s="34"/>
      <c r="R32" s="34"/>
      <c r="S32" s="34"/>
      <c r="T32"/>
      <c r="U32"/>
      <c r="V32"/>
      <c r="W32"/>
      <c r="X32"/>
      <c r="Y32"/>
      <c r="Z32"/>
      <c r="AA32"/>
      <c r="AB32"/>
      <c r="AC32"/>
      <c r="AD32"/>
      <c r="AE32"/>
      <c r="AF32"/>
      <c r="AG32"/>
      <c r="AH32"/>
      <c r="AI32"/>
      <c r="AJ32"/>
      <c r="AK32"/>
      <c r="AL32"/>
      <c r="AM32"/>
      <c r="AN32"/>
      <c r="AO32"/>
      <c r="AP32"/>
      <c r="AQ32"/>
      <c r="AR32"/>
      <c r="AS32"/>
      <c r="AT32"/>
      <c r="AU32"/>
      <c r="AV32"/>
      <c r="AW32"/>
      <c r="AX32"/>
      <c r="AY32"/>
      <c r="AZ32"/>
    </row>
    <row r="33" spans="1:52" ht="14.5" customHeight="1">
      <c r="A33" s="106"/>
      <c r="B3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37" t="s">
        <v>55</v>
      </c>
      <c r="D33" s="37" t="s">
        <v>160</v>
      </c>
      <c r="E33" s="37" t="s">
        <v>20</v>
      </c>
      <c r="F33" s="37" t="s">
        <v>45</v>
      </c>
      <c r="G33" s="37" t="s">
        <v>54</v>
      </c>
      <c r="H33" s="108"/>
      <c r="I33" s="108"/>
      <c r="J33" s="108"/>
      <c r="K33" s="34"/>
      <c r="L33" s="44" t="str">
        <f t="shared" si="0"/>
        <v>5 ضد 6 4 ضد 2 1 ضد 3 7 ضد 8 9 ضد 11</v>
      </c>
      <c r="M33" s="34"/>
      <c r="N33" s="34"/>
      <c r="O33" s="34"/>
      <c r="P33" s="34"/>
      <c r="Q33" s="34"/>
      <c r="R33" s="34"/>
      <c r="S33" s="34"/>
      <c r="T33"/>
      <c r="U33"/>
      <c r="V33"/>
      <c r="W33"/>
      <c r="X33"/>
      <c r="Y33"/>
      <c r="Z33"/>
      <c r="AA33"/>
      <c r="AB33"/>
      <c r="AC33"/>
      <c r="AD33"/>
      <c r="AE33"/>
      <c r="AF33"/>
      <c r="AG33"/>
      <c r="AH33"/>
      <c r="AI33"/>
      <c r="AJ33"/>
      <c r="AK33"/>
      <c r="AL33"/>
      <c r="AM33"/>
      <c r="AN33"/>
      <c r="AO33"/>
      <c r="AP33"/>
      <c r="AQ33"/>
      <c r="AR33"/>
      <c r="AS33"/>
      <c r="AT33"/>
      <c r="AU33"/>
      <c r="AV33"/>
      <c r="AW33"/>
      <c r="AX33"/>
      <c r="AY33"/>
      <c r="AZ33"/>
    </row>
    <row r="34" spans="1:52" ht="14.5" customHeight="1">
      <c r="A34" s="106"/>
      <c r="B3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114" t="s">
        <v>139</v>
      </c>
      <c r="D34" s="108"/>
      <c r="E34" s="108"/>
      <c r="F34" s="37" t="s">
        <v>73</v>
      </c>
      <c r="G34" s="37"/>
      <c r="H34" s="108"/>
      <c r="I34" s="108"/>
      <c r="J34" s="108"/>
      <c r="K34" s="34"/>
      <c r="L34" s="44" t="str">
        <f t="shared" si="0"/>
        <v>استراحة (لا توجد مباريات) 12 ضد 13</v>
      </c>
      <c r="M34" s="34"/>
      <c r="N34" s="34"/>
      <c r="O34" s="34"/>
      <c r="P34" s="34"/>
      <c r="Q34" s="34"/>
      <c r="R34" s="34"/>
      <c r="S34" s="34"/>
      <c r="T34"/>
      <c r="U34"/>
      <c r="V34"/>
      <c r="W34"/>
      <c r="X34"/>
      <c r="Y34"/>
      <c r="Z34"/>
      <c r="AA34"/>
      <c r="AB34"/>
      <c r="AC34"/>
      <c r="AD34"/>
      <c r="AE34"/>
      <c r="AF34"/>
      <c r="AG34"/>
      <c r="AH34"/>
      <c r="AI34"/>
      <c r="AJ34"/>
      <c r="AK34"/>
      <c r="AL34"/>
      <c r="AM34"/>
      <c r="AN34"/>
      <c r="AO34"/>
      <c r="AP34"/>
      <c r="AQ34"/>
      <c r="AR34"/>
      <c r="AS34"/>
      <c r="AT34"/>
      <c r="AU34"/>
      <c r="AV34"/>
      <c r="AW34"/>
      <c r="AX34"/>
      <c r="AY34"/>
      <c r="AZ34"/>
    </row>
    <row r="35" spans="1:52" ht="14.5" customHeight="1">
      <c r="A35" s="106"/>
      <c r="B3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37" t="s">
        <v>62</v>
      </c>
      <c r="D35" s="37" t="s">
        <v>30</v>
      </c>
      <c r="E35" s="37" t="s">
        <v>46</v>
      </c>
      <c r="F35" s="37" t="s">
        <v>48</v>
      </c>
      <c r="G35" s="37" t="s">
        <v>49</v>
      </c>
      <c r="H35" s="108"/>
      <c r="I35" s="108"/>
      <c r="J35" s="108"/>
      <c r="K35" s="34"/>
      <c r="L35" s="44" t="str">
        <f t="shared" si="0"/>
        <v>3 ضد 6 1 ضد 2 4 ضد 5 9 ضد 10 8 ضد 11</v>
      </c>
      <c r="M35" s="34"/>
      <c r="N35" s="34"/>
      <c r="O35" s="34"/>
      <c r="P35" s="34"/>
      <c r="Q35" s="34"/>
      <c r="R35" s="34"/>
      <c r="S35" s="34"/>
      <c r="T35"/>
      <c r="U35"/>
      <c r="V35"/>
      <c r="W35"/>
      <c r="X35"/>
      <c r="Y35"/>
      <c r="Z35"/>
      <c r="AA35"/>
      <c r="AB35"/>
      <c r="AC35"/>
      <c r="AD35"/>
      <c r="AE35"/>
      <c r="AF35"/>
      <c r="AG35"/>
      <c r="AH35"/>
      <c r="AI35"/>
      <c r="AJ35"/>
      <c r="AK35"/>
      <c r="AL35"/>
      <c r="AM35"/>
      <c r="AN35"/>
      <c r="AO35"/>
      <c r="AP35"/>
      <c r="AQ35"/>
      <c r="AR35"/>
      <c r="AS35"/>
      <c r="AT35"/>
      <c r="AU35"/>
      <c r="AV35"/>
      <c r="AW35"/>
      <c r="AX35"/>
      <c r="AY35"/>
      <c r="AZ35"/>
    </row>
    <row r="36" spans="1:52" ht="14.5" customHeight="1">
      <c r="A36" s="106"/>
      <c r="B3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114" t="s">
        <v>139</v>
      </c>
      <c r="D36" s="108"/>
      <c r="E36" s="108"/>
      <c r="F36" s="37" t="s">
        <v>72</v>
      </c>
      <c r="G36" s="37"/>
      <c r="H36" s="108"/>
      <c r="I36" s="108"/>
      <c r="J36" s="108"/>
      <c r="K36" s="34"/>
      <c r="L36" s="44" t="str">
        <f t="shared" ref="L36:L57" si="2">_xlfn.TEXTJOIN(" ",TRUE,C36:G36)</f>
        <v>استراحة (لا توجد مباريات) 7 ضد 13</v>
      </c>
      <c r="M36" s="34"/>
      <c r="N36" s="34"/>
      <c r="O36" s="34"/>
      <c r="P36" s="34"/>
      <c r="Q36" s="34"/>
      <c r="R36" s="34"/>
      <c r="S36" s="34"/>
      <c r="T36"/>
      <c r="U36"/>
      <c r="V36"/>
      <c r="W36"/>
      <c r="X36"/>
      <c r="Y36"/>
      <c r="Z36"/>
      <c r="AA36"/>
      <c r="AB36"/>
      <c r="AC36"/>
      <c r="AD36"/>
      <c r="AE36"/>
      <c r="AF36"/>
      <c r="AG36"/>
      <c r="AH36"/>
      <c r="AI36"/>
      <c r="AJ36"/>
      <c r="AK36"/>
      <c r="AL36"/>
      <c r="AM36"/>
      <c r="AN36"/>
      <c r="AO36"/>
      <c r="AP36"/>
      <c r="AQ36"/>
      <c r="AR36"/>
      <c r="AS36"/>
      <c r="AT36"/>
      <c r="AU36"/>
      <c r="AV36"/>
      <c r="AW36"/>
      <c r="AX36"/>
      <c r="AY36"/>
      <c r="AZ36"/>
    </row>
    <row r="37" spans="1:52" ht="14.5" customHeight="1">
      <c r="A37" s="106"/>
      <c r="B3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37" t="s">
        <v>44</v>
      </c>
      <c r="D37" s="37" t="s">
        <v>38</v>
      </c>
      <c r="E37" s="37" t="s">
        <v>50</v>
      </c>
      <c r="F37" s="37" t="s">
        <v>27</v>
      </c>
      <c r="G37" s="37" t="s">
        <v>21</v>
      </c>
      <c r="H37" s="108"/>
      <c r="I37" s="108"/>
      <c r="J37" s="108"/>
      <c r="K37" s="34"/>
      <c r="L37" s="44" t="str">
        <f t="shared" si="2"/>
        <v>2 ضد 5 1 ضد 6 3 ضد 4 8 ضد 10 11 ضد 12</v>
      </c>
      <c r="M37" s="34"/>
      <c r="N37" s="34"/>
      <c r="O37" s="34"/>
      <c r="P37" s="34"/>
      <c r="Q37" s="34"/>
      <c r="R37" s="34"/>
      <c r="S37" s="34"/>
      <c r="T37"/>
      <c r="U37"/>
      <c r="V37"/>
      <c r="W37"/>
      <c r="X37"/>
      <c r="Y37"/>
      <c r="Z37"/>
      <c r="AA37"/>
      <c r="AB37"/>
      <c r="AC37"/>
      <c r="AD37"/>
      <c r="AE37"/>
      <c r="AF37"/>
      <c r="AG37"/>
      <c r="AH37"/>
      <c r="AI37"/>
      <c r="AJ37"/>
      <c r="AK37"/>
      <c r="AL37"/>
      <c r="AM37"/>
      <c r="AN37"/>
      <c r="AO37"/>
      <c r="AP37"/>
      <c r="AQ37"/>
      <c r="AR37"/>
      <c r="AS37"/>
      <c r="AT37"/>
      <c r="AU37"/>
      <c r="AV37"/>
      <c r="AW37"/>
      <c r="AX37"/>
      <c r="AY37"/>
      <c r="AZ37"/>
    </row>
    <row r="38" spans="1:52" ht="14.5" customHeight="1">
      <c r="A38" s="106"/>
      <c r="B38"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37"/>
      <c r="D38" s="37"/>
      <c r="E38" s="37"/>
      <c r="F38" s="37" t="s">
        <v>51</v>
      </c>
      <c r="G38" s="37"/>
      <c r="H38" s="108"/>
      <c r="I38" s="108"/>
      <c r="J38" s="108"/>
      <c r="K38" s="34"/>
      <c r="L38" s="44" t="str">
        <f t="shared" si="2"/>
        <v>7 ضد 9</v>
      </c>
      <c r="M38" s="34"/>
      <c r="N38" s="34"/>
      <c r="O38" s="34"/>
      <c r="P38" s="34"/>
      <c r="Q38" s="34"/>
      <c r="R38" s="34"/>
      <c r="S38" s="34"/>
      <c r="T38"/>
      <c r="U38"/>
      <c r="V38"/>
      <c r="W38"/>
      <c r="X38"/>
      <c r="Y38"/>
      <c r="Z38"/>
      <c r="AA38"/>
      <c r="AB38"/>
      <c r="AC38"/>
      <c r="AD38"/>
      <c r="AE38"/>
      <c r="AF38"/>
      <c r="AG38"/>
      <c r="AH38"/>
      <c r="AI38"/>
      <c r="AJ38"/>
      <c r="AK38"/>
      <c r="AL38"/>
      <c r="AM38"/>
      <c r="AN38"/>
      <c r="AO38"/>
      <c r="AP38"/>
      <c r="AQ38"/>
      <c r="AR38"/>
      <c r="AS38"/>
      <c r="AT38"/>
      <c r="AU38"/>
      <c r="AV38"/>
      <c r="AW38"/>
      <c r="AX38"/>
      <c r="AY38"/>
      <c r="AZ38"/>
    </row>
    <row r="39" spans="1:52" ht="14.5" customHeight="1">
      <c r="A39" s="106"/>
      <c r="B39"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37"/>
      <c r="D39" s="37"/>
      <c r="E39" s="37"/>
      <c r="F39" s="37" t="s">
        <v>75</v>
      </c>
      <c r="G39" s="37" t="s">
        <v>42</v>
      </c>
      <c r="H39" s="108"/>
      <c r="I39" s="108"/>
      <c r="J39" s="108"/>
      <c r="K39" s="34"/>
      <c r="L39" s="44" t="str">
        <f t="shared" si="2"/>
        <v>10 ضد 13 8 ضد 12</v>
      </c>
      <c r="M39" s="34"/>
      <c r="N39" s="34"/>
      <c r="O39" s="34"/>
      <c r="P39" s="34"/>
      <c r="Q39" s="34"/>
      <c r="R39" s="34"/>
      <c r="S39" s="34"/>
      <c r="T39"/>
      <c r="U39"/>
      <c r="V39"/>
      <c r="W39"/>
      <c r="X39"/>
      <c r="Y39"/>
      <c r="Z39"/>
      <c r="AA39"/>
      <c r="AB39"/>
      <c r="AC39"/>
      <c r="AD39"/>
      <c r="AE39"/>
      <c r="AF39"/>
      <c r="AG39"/>
      <c r="AH39"/>
      <c r="AI39"/>
      <c r="AJ39"/>
      <c r="AK39"/>
      <c r="AL39"/>
      <c r="AM39"/>
      <c r="AN39"/>
      <c r="AO39"/>
      <c r="AP39"/>
      <c r="AQ39"/>
      <c r="AR39"/>
      <c r="AS39"/>
      <c r="AT39"/>
      <c r="AU39"/>
      <c r="AV39"/>
      <c r="AW39"/>
      <c r="AX39"/>
      <c r="AY39"/>
      <c r="AZ39"/>
    </row>
    <row r="40" spans="1:52" ht="14.5" customHeight="1">
      <c r="A40" s="106" t="s">
        <v>9</v>
      </c>
      <c r="B40"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37" t="s">
        <v>37</v>
      </c>
      <c r="D40" s="37" t="s">
        <v>157</v>
      </c>
      <c r="E40" s="37" t="s">
        <v>40</v>
      </c>
      <c r="F40" s="37" t="s">
        <v>235</v>
      </c>
      <c r="G40" s="37" t="s">
        <v>35</v>
      </c>
      <c r="H40" s="107">
        <f>COUNTIF(C40:G48,"* ضد *")</f>
        <v>26</v>
      </c>
      <c r="I40" s="108">
        <f>COUNTIF(C40:E48,"* ضد *")*2/6</f>
        <v>4</v>
      </c>
      <c r="J40" s="108">
        <f>COUNTIF(F40:G48,"* ضد *")*2/7</f>
        <v>4</v>
      </c>
      <c r="K40" s="34"/>
      <c r="L40" s="44" t="str">
        <f t="shared" si="2"/>
        <v>2 ضد 3 6 ضد 4 1 ضد 5 11 ضد 10 7 ضد 12</v>
      </c>
      <c r="M40" s="34"/>
      <c r="N40" s="34"/>
      <c r="O40" s="34"/>
      <c r="P40" s="34"/>
      <c r="Q40" s="34"/>
      <c r="R40" s="34"/>
      <c r="S40" s="34"/>
      <c r="T40"/>
      <c r="U40"/>
      <c r="V40"/>
      <c r="W40"/>
      <c r="X40"/>
      <c r="Y40"/>
      <c r="Z40"/>
      <c r="AA40"/>
      <c r="AB40"/>
      <c r="AC40"/>
      <c r="AD40"/>
      <c r="AE40"/>
      <c r="AF40"/>
      <c r="AG40"/>
      <c r="AH40"/>
      <c r="AI40"/>
      <c r="AJ40"/>
      <c r="AK40"/>
      <c r="AL40"/>
      <c r="AM40"/>
      <c r="AN40"/>
      <c r="AO40"/>
      <c r="AP40"/>
      <c r="AQ40"/>
      <c r="AR40"/>
      <c r="AS40"/>
      <c r="AT40"/>
      <c r="AU40"/>
      <c r="AV40"/>
      <c r="AW40"/>
      <c r="AX40"/>
      <c r="AY40"/>
      <c r="AZ40"/>
    </row>
    <row r="41" spans="1:52" ht="14.5" customHeight="1">
      <c r="A41" s="106"/>
      <c r="B41"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114" t="s">
        <v>139</v>
      </c>
      <c r="D41" s="108"/>
      <c r="E41" s="108"/>
      <c r="F41" s="37" t="s">
        <v>71</v>
      </c>
      <c r="G41" s="37"/>
      <c r="H41" s="108"/>
      <c r="I41" s="108"/>
      <c r="J41" s="108"/>
      <c r="K41" s="34"/>
      <c r="L41" s="44" t="str">
        <f t="shared" si="2"/>
        <v>استراحة (لا توجد مباريات) 8 ضد 13</v>
      </c>
      <c r="M41" s="34"/>
      <c r="N41" s="34"/>
      <c r="O41" s="34"/>
      <c r="P41" s="34"/>
      <c r="Q41" s="34"/>
      <c r="R41" s="34"/>
      <c r="S41" s="34"/>
      <c r="T41"/>
      <c r="U41"/>
      <c r="V41"/>
      <c r="W41"/>
      <c r="X41"/>
      <c r="Y41"/>
      <c r="Z41"/>
      <c r="AA41"/>
      <c r="AB41"/>
      <c r="AC41"/>
      <c r="AD41"/>
      <c r="AE41"/>
      <c r="AF41"/>
      <c r="AG41"/>
      <c r="AH41"/>
      <c r="AI41"/>
      <c r="AJ41"/>
      <c r="AK41"/>
      <c r="AL41"/>
      <c r="AM41"/>
      <c r="AN41"/>
      <c r="AO41"/>
      <c r="AP41"/>
      <c r="AQ41"/>
      <c r="AR41"/>
      <c r="AS41"/>
      <c r="AT41"/>
      <c r="AU41"/>
      <c r="AV41"/>
      <c r="AW41"/>
      <c r="AX41"/>
      <c r="AY41"/>
      <c r="AZ41"/>
    </row>
    <row r="42" spans="1:52" ht="14.5" customHeight="1">
      <c r="A42" s="106"/>
      <c r="B42"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37" t="s">
        <v>63</v>
      </c>
      <c r="D42" s="37" t="s">
        <v>158</v>
      </c>
      <c r="E42" s="37" t="s">
        <v>159</v>
      </c>
      <c r="F42" s="37" t="s">
        <v>60</v>
      </c>
      <c r="G42" s="37" t="s">
        <v>29</v>
      </c>
      <c r="H42" s="108"/>
      <c r="I42" s="108"/>
      <c r="J42" s="108"/>
      <c r="K42" s="34"/>
      <c r="L42" s="44" t="str">
        <f t="shared" si="2"/>
        <v>1 ضد 4 5 ضد 3 6 ضد 2 7 ضد 10 9 ضد 12</v>
      </c>
      <c r="M42" s="34"/>
      <c r="N42" s="34"/>
      <c r="O42" s="34"/>
      <c r="P42" s="34"/>
      <c r="Q42" s="34"/>
      <c r="R42" s="34"/>
      <c r="S42" s="34"/>
      <c r="T42"/>
      <c r="U42"/>
      <c r="V42"/>
      <c r="W42"/>
      <c r="X42"/>
      <c r="Y42"/>
      <c r="Z42"/>
      <c r="AA42"/>
      <c r="AB42"/>
      <c r="AC42"/>
      <c r="AD42"/>
      <c r="AE42"/>
      <c r="AF42"/>
      <c r="AG42"/>
      <c r="AH42"/>
      <c r="AI42"/>
      <c r="AJ42"/>
      <c r="AK42"/>
      <c r="AL42"/>
      <c r="AM42"/>
      <c r="AN42"/>
      <c r="AO42"/>
      <c r="AP42"/>
      <c r="AQ42"/>
      <c r="AR42"/>
      <c r="AS42"/>
      <c r="AT42"/>
      <c r="AU42"/>
      <c r="AV42"/>
      <c r="AW42"/>
      <c r="AX42"/>
      <c r="AY42"/>
      <c r="AZ42"/>
    </row>
    <row r="43" spans="1:52" ht="14.5" customHeight="1">
      <c r="A43" s="106"/>
      <c r="B43"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114" t="s">
        <v>139</v>
      </c>
      <c r="D43" s="108"/>
      <c r="E43" s="108"/>
      <c r="F43" s="37" t="s">
        <v>74</v>
      </c>
      <c r="G43" s="37"/>
      <c r="H43" s="108"/>
      <c r="I43" s="108"/>
      <c r="J43" s="108"/>
      <c r="K43" s="34"/>
      <c r="L43" s="44" t="str">
        <f t="shared" si="2"/>
        <v>استراحة (لا توجد مباريات) 11 ضد 13</v>
      </c>
      <c r="M43" s="34"/>
      <c r="N43" s="34"/>
      <c r="O43" s="34"/>
      <c r="P43" s="34"/>
      <c r="Q43" s="34"/>
      <c r="R43" s="34"/>
      <c r="S43" s="34"/>
      <c r="T43"/>
      <c r="U43"/>
      <c r="V43"/>
      <c r="W43"/>
      <c r="X43"/>
      <c r="Y43"/>
      <c r="Z43"/>
      <c r="AA43"/>
      <c r="AB43"/>
      <c r="AC43"/>
      <c r="AD43"/>
      <c r="AE43"/>
      <c r="AF43"/>
      <c r="AG43"/>
      <c r="AH43"/>
      <c r="AI43"/>
      <c r="AJ43"/>
      <c r="AK43"/>
      <c r="AL43"/>
      <c r="AM43"/>
      <c r="AN43"/>
      <c r="AO43"/>
      <c r="AP43"/>
      <c r="AQ43"/>
      <c r="AR43"/>
      <c r="AS43"/>
      <c r="AT43"/>
      <c r="AU43"/>
      <c r="AV43"/>
      <c r="AW43"/>
      <c r="AX43"/>
      <c r="AY43"/>
      <c r="AZ43"/>
    </row>
    <row r="44" spans="1:52" ht="14.5" customHeight="1">
      <c r="A44" s="106"/>
      <c r="B44"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37" t="s">
        <v>20</v>
      </c>
      <c r="D44" s="37" t="s">
        <v>160</v>
      </c>
      <c r="E44" s="37" t="s">
        <v>55</v>
      </c>
      <c r="F44" s="37" t="s">
        <v>67</v>
      </c>
      <c r="G44" s="37" t="s">
        <v>64</v>
      </c>
      <c r="H44" s="108"/>
      <c r="I44" s="108"/>
      <c r="J44" s="108"/>
      <c r="K44" s="34"/>
      <c r="L44" s="44" t="str">
        <f t="shared" si="2"/>
        <v>1 ضد 3 4 ضد 2 5 ضد 6 8 ضد 9 10 ضد 12</v>
      </c>
      <c r="M44" s="34"/>
      <c r="N44" s="34"/>
      <c r="O44" s="34"/>
      <c r="P44" s="34"/>
      <c r="Q44" s="34"/>
      <c r="R44" s="34"/>
      <c r="S44" s="34"/>
      <c r="T44"/>
      <c r="U44"/>
      <c r="V44"/>
      <c r="W44"/>
      <c r="X44"/>
      <c r="Y44"/>
      <c r="Z44"/>
      <c r="AA44"/>
      <c r="AB44"/>
      <c r="AC44"/>
      <c r="AD44"/>
      <c r="AE44"/>
      <c r="AF44"/>
      <c r="AG44"/>
      <c r="AH44"/>
      <c r="AI44"/>
      <c r="AJ44"/>
      <c r="AK44"/>
      <c r="AL44"/>
      <c r="AM44"/>
      <c r="AN44"/>
      <c r="AO44"/>
      <c r="AP44"/>
      <c r="AQ44"/>
      <c r="AR44"/>
      <c r="AS44"/>
      <c r="AT44"/>
      <c r="AU44"/>
      <c r="AV44"/>
      <c r="AW44"/>
      <c r="AX44"/>
      <c r="AY44"/>
      <c r="AZ44"/>
    </row>
    <row r="45" spans="1:52" ht="14.5" customHeight="1">
      <c r="A45" s="106"/>
      <c r="B45"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114" t="s">
        <v>139</v>
      </c>
      <c r="D45" s="108"/>
      <c r="E45" s="108"/>
      <c r="F45" s="37" t="s">
        <v>72</v>
      </c>
      <c r="G45" s="37"/>
      <c r="H45" s="108"/>
      <c r="I45" s="108"/>
      <c r="J45" s="108"/>
      <c r="K45" s="34"/>
      <c r="L45" s="44" t="str">
        <f t="shared" si="2"/>
        <v>استراحة (لا توجد مباريات) 7 ضد 13</v>
      </c>
      <c r="M45" s="34"/>
      <c r="N45" s="34"/>
      <c r="O45" s="34"/>
      <c r="P45" s="34"/>
      <c r="Q45" s="34"/>
      <c r="R45" s="34"/>
      <c r="S45" s="34"/>
      <c r="T45"/>
      <c r="U45"/>
      <c r="V45"/>
      <c r="W45"/>
      <c r="X45"/>
      <c r="Y45"/>
      <c r="Z45"/>
      <c r="AA45"/>
      <c r="AB45"/>
      <c r="AC45"/>
      <c r="AD45"/>
      <c r="AE45"/>
      <c r="AF45"/>
      <c r="AG45"/>
      <c r="AH45"/>
      <c r="AI45"/>
      <c r="AJ45"/>
      <c r="AK45"/>
      <c r="AL45"/>
      <c r="AM45"/>
      <c r="AN45"/>
      <c r="AO45"/>
      <c r="AP45"/>
      <c r="AQ45"/>
      <c r="AR45"/>
      <c r="AS45"/>
      <c r="AT45"/>
      <c r="AU45"/>
      <c r="AV45"/>
      <c r="AW45"/>
      <c r="AX45"/>
      <c r="AY45"/>
      <c r="AZ45"/>
    </row>
    <row r="46" spans="1:52" ht="14.5" customHeight="1">
      <c r="A46" s="106"/>
      <c r="B46"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37" t="s">
        <v>46</v>
      </c>
      <c r="D46" s="37" t="s">
        <v>62</v>
      </c>
      <c r="E46" s="37" t="s">
        <v>30</v>
      </c>
      <c r="F46" s="37" t="s">
        <v>54</v>
      </c>
      <c r="G46" s="37" t="s">
        <v>42</v>
      </c>
      <c r="H46" s="108"/>
      <c r="I46" s="108"/>
      <c r="J46" s="108"/>
      <c r="K46" s="34"/>
      <c r="L46" s="44" t="str">
        <f t="shared" si="2"/>
        <v>4 ضد 5 3 ضد 6 1 ضد 2 9 ضد 11 8 ضد 12</v>
      </c>
      <c r="M46" s="34"/>
      <c r="N46" s="34"/>
      <c r="O46" s="34"/>
      <c r="P46" s="34"/>
      <c r="Q46" s="34"/>
      <c r="R46" s="34"/>
      <c r="S46" s="34"/>
      <c r="T46"/>
      <c r="U46"/>
      <c r="V46"/>
      <c r="W46"/>
      <c r="X46"/>
      <c r="Y46"/>
      <c r="Z46"/>
      <c r="AA46"/>
      <c r="AB46"/>
      <c r="AC46"/>
      <c r="AD46"/>
      <c r="AE46"/>
      <c r="AF46"/>
      <c r="AG46"/>
      <c r="AH46"/>
      <c r="AI46"/>
      <c r="AJ46"/>
      <c r="AK46"/>
      <c r="AL46"/>
      <c r="AM46"/>
      <c r="AN46"/>
      <c r="AO46"/>
      <c r="AP46"/>
      <c r="AQ46"/>
      <c r="AR46"/>
      <c r="AS46"/>
      <c r="AT46"/>
      <c r="AU46"/>
      <c r="AV46"/>
      <c r="AW46"/>
      <c r="AX46"/>
      <c r="AY46"/>
      <c r="AZ46"/>
    </row>
    <row r="47" spans="1:52" ht="14.5" customHeight="1">
      <c r="A47" s="106"/>
      <c r="B47"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37"/>
      <c r="D47" s="37"/>
      <c r="E47" s="37"/>
      <c r="F47" s="37" t="s">
        <v>75</v>
      </c>
      <c r="G47" s="37"/>
      <c r="H47" s="108"/>
      <c r="I47" s="108"/>
      <c r="J47" s="108"/>
      <c r="K47" s="34"/>
      <c r="L47" s="44" t="str">
        <f t="shared" si="2"/>
        <v>10 ضد 13</v>
      </c>
      <c r="M47" s="34"/>
      <c r="N47" s="34"/>
      <c r="O47" s="34"/>
      <c r="P47" s="34"/>
      <c r="Q47" s="34"/>
      <c r="R47" s="34"/>
      <c r="S47" s="34"/>
      <c r="T47"/>
      <c r="U47"/>
      <c r="V47"/>
      <c r="W47"/>
      <c r="X47"/>
      <c r="Y47"/>
      <c r="Z47"/>
      <c r="AA47"/>
      <c r="AB47"/>
      <c r="AC47"/>
      <c r="AD47"/>
      <c r="AE47"/>
      <c r="AF47"/>
      <c r="AG47"/>
      <c r="AH47"/>
      <c r="AI47"/>
      <c r="AJ47"/>
      <c r="AK47"/>
      <c r="AL47"/>
      <c r="AM47"/>
      <c r="AN47"/>
      <c r="AO47"/>
      <c r="AP47"/>
      <c r="AQ47"/>
      <c r="AR47"/>
      <c r="AS47"/>
      <c r="AT47"/>
      <c r="AU47"/>
      <c r="AV47"/>
      <c r="AW47"/>
      <c r="AX47"/>
      <c r="AY47"/>
      <c r="AZ47"/>
    </row>
    <row r="48" spans="1:52" ht="14.5" customHeight="1">
      <c r="A48" s="106"/>
      <c r="B48"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37"/>
      <c r="D48" s="37"/>
      <c r="E48" s="37"/>
      <c r="F48" s="37" t="s">
        <v>208</v>
      </c>
      <c r="G48" s="37" t="s">
        <v>49</v>
      </c>
      <c r="H48" s="108"/>
      <c r="I48" s="108"/>
      <c r="J48" s="108"/>
      <c r="K48" s="34"/>
      <c r="L48" s="44" t="str">
        <f t="shared" si="2"/>
        <v>9 ضد 7 8 ضد 11</v>
      </c>
      <c r="M48" s="34"/>
      <c r="N48" s="34"/>
      <c r="O48" s="34"/>
      <c r="P48" s="34"/>
      <c r="Q48" s="34"/>
      <c r="R48" s="34"/>
      <c r="S48" s="34"/>
      <c r="T48"/>
      <c r="U48"/>
      <c r="V48"/>
      <c r="W48"/>
      <c r="X48"/>
      <c r="Y48"/>
      <c r="Z48"/>
      <c r="AA48"/>
      <c r="AB48"/>
      <c r="AC48"/>
      <c r="AD48"/>
      <c r="AE48"/>
      <c r="AF48"/>
      <c r="AG48"/>
      <c r="AH48"/>
      <c r="AI48"/>
      <c r="AJ48"/>
      <c r="AK48"/>
      <c r="AL48"/>
      <c r="AM48"/>
      <c r="AN48"/>
      <c r="AO48"/>
      <c r="AP48"/>
      <c r="AQ48"/>
      <c r="AR48"/>
      <c r="AS48"/>
      <c r="AT48"/>
      <c r="AU48"/>
      <c r="AV48"/>
      <c r="AW48"/>
      <c r="AX48"/>
      <c r="AY48"/>
      <c r="AZ48"/>
    </row>
    <row r="49" spans="1:52" ht="14.5" customHeight="1">
      <c r="A49" s="106" t="s">
        <v>10</v>
      </c>
      <c r="B49"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9" s="37" t="s">
        <v>44</v>
      </c>
      <c r="D49" s="37" t="s">
        <v>38</v>
      </c>
      <c r="E49" s="37" t="s">
        <v>50</v>
      </c>
      <c r="F49" s="37" t="s">
        <v>175</v>
      </c>
      <c r="G49" s="37" t="s">
        <v>76</v>
      </c>
      <c r="H49" s="107">
        <f>COUNTIF(C49:G57,"* ضد *")</f>
        <v>29</v>
      </c>
      <c r="I49" s="108">
        <f>COUNTIF(C49:E57,"* ضد *")*2/6</f>
        <v>5</v>
      </c>
      <c r="J49" s="108">
        <f>COUNTIF(F49:G57,"* ضد *")*2/7</f>
        <v>4</v>
      </c>
      <c r="K49" s="34"/>
      <c r="L49" s="44" t="str">
        <f t="shared" si="2"/>
        <v>2 ضد 5 1 ضد 6 3 ضد 4 10 ضد 8 9 ضد 13</v>
      </c>
      <c r="M49" s="34"/>
      <c r="N49" s="34"/>
      <c r="O49" s="34"/>
      <c r="P49" s="34"/>
      <c r="Q49" s="34"/>
      <c r="R49" s="34"/>
      <c r="S49" s="34"/>
      <c r="T49"/>
      <c r="U49"/>
      <c r="V49"/>
      <c r="W49"/>
      <c r="X49"/>
      <c r="Y49"/>
      <c r="Z49"/>
      <c r="AA49"/>
      <c r="AB49"/>
      <c r="AC49"/>
      <c r="AD49"/>
      <c r="AE49"/>
      <c r="AF49"/>
      <c r="AG49"/>
      <c r="AH49"/>
      <c r="AI49"/>
      <c r="AJ49"/>
      <c r="AK49"/>
      <c r="AL49"/>
      <c r="AM49"/>
      <c r="AN49"/>
      <c r="AO49"/>
      <c r="AP49"/>
      <c r="AQ49"/>
      <c r="AR49"/>
      <c r="AS49"/>
      <c r="AT49"/>
      <c r="AU49"/>
      <c r="AV49"/>
      <c r="AW49"/>
      <c r="AX49"/>
      <c r="AY49"/>
      <c r="AZ49"/>
    </row>
    <row r="50" spans="1:52" ht="14.5" customHeight="1">
      <c r="A50" s="106"/>
      <c r="B50"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0" s="114" t="s">
        <v>139</v>
      </c>
      <c r="D50" s="108"/>
      <c r="E50" s="108"/>
      <c r="F50" s="37" t="s">
        <v>35</v>
      </c>
      <c r="G50" s="37"/>
      <c r="H50" s="108"/>
      <c r="I50" s="108"/>
      <c r="J50" s="108"/>
      <c r="K50" s="34"/>
      <c r="L50" s="44" t="str">
        <f t="shared" si="2"/>
        <v>استراحة (لا توجد مباريات) 7 ضد 12</v>
      </c>
      <c r="M50" s="34"/>
      <c r="N50" s="34"/>
      <c r="O50" s="34"/>
      <c r="P50" s="34"/>
      <c r="Q50" s="34"/>
      <c r="R50" s="34"/>
      <c r="S50" s="34"/>
      <c r="T50"/>
      <c r="U50"/>
      <c r="V50"/>
      <c r="W50"/>
      <c r="X50"/>
      <c r="Y50"/>
      <c r="Z50"/>
      <c r="AA50"/>
      <c r="AB50"/>
      <c r="AC50"/>
      <c r="AD50"/>
      <c r="AE50"/>
      <c r="AF50"/>
      <c r="AG50"/>
      <c r="AH50"/>
      <c r="AI50"/>
      <c r="AJ50"/>
      <c r="AK50"/>
      <c r="AL50"/>
      <c r="AM50"/>
      <c r="AN50"/>
      <c r="AO50"/>
      <c r="AP50"/>
      <c r="AQ50"/>
      <c r="AR50"/>
      <c r="AS50"/>
      <c r="AT50"/>
      <c r="AU50"/>
      <c r="AV50"/>
      <c r="AW50"/>
      <c r="AX50"/>
      <c r="AY50"/>
      <c r="AZ50"/>
    </row>
    <row r="51" spans="1:52" ht="14.5" customHeight="1">
      <c r="A51" s="106"/>
      <c r="B51"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51" s="37" t="s">
        <v>157</v>
      </c>
      <c r="D51" s="37" t="s">
        <v>40</v>
      </c>
      <c r="E51" s="37" t="s">
        <v>37</v>
      </c>
      <c r="F51" s="37" t="s">
        <v>48</v>
      </c>
      <c r="G51" s="37" t="s">
        <v>74</v>
      </c>
      <c r="H51" s="108"/>
      <c r="I51" s="108"/>
      <c r="J51" s="108"/>
      <c r="K51" s="34"/>
      <c r="L51" s="44" t="str">
        <f t="shared" si="2"/>
        <v>6 ضد 4 1 ضد 5 2 ضد 3 9 ضد 10 11 ضد 13</v>
      </c>
      <c r="M51" s="34"/>
      <c r="N51" s="34"/>
      <c r="O51" s="34"/>
      <c r="P51" s="34"/>
      <c r="Q51" s="34"/>
      <c r="R51" s="34"/>
      <c r="S51" s="34"/>
      <c r="T51"/>
      <c r="U51"/>
      <c r="V51"/>
      <c r="W51"/>
      <c r="X51"/>
      <c r="Y51"/>
      <c r="Z51"/>
      <c r="AA51"/>
      <c r="AB51"/>
      <c r="AC51"/>
      <c r="AD51"/>
      <c r="AE51"/>
      <c r="AF51"/>
      <c r="AG51"/>
      <c r="AH51"/>
      <c r="AI51"/>
      <c r="AJ51"/>
      <c r="AK51"/>
      <c r="AL51"/>
      <c r="AM51"/>
      <c r="AN51"/>
      <c r="AO51"/>
      <c r="AP51"/>
      <c r="AQ51"/>
      <c r="AR51"/>
      <c r="AS51"/>
      <c r="AT51"/>
      <c r="AU51"/>
      <c r="AV51"/>
      <c r="AW51"/>
      <c r="AX51"/>
      <c r="AY51"/>
      <c r="AZ51"/>
    </row>
    <row r="52" spans="1:52" ht="14.5" customHeight="1">
      <c r="A52" s="106"/>
      <c r="B52"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52" s="114" t="s">
        <v>139</v>
      </c>
      <c r="D52" s="108"/>
      <c r="E52" s="108"/>
      <c r="F52" s="37" t="s">
        <v>45</v>
      </c>
      <c r="G52" s="37"/>
      <c r="H52" s="108"/>
      <c r="I52" s="108"/>
      <c r="J52" s="108"/>
      <c r="K52" s="34"/>
      <c r="L52" s="44" t="str">
        <f t="shared" si="2"/>
        <v>استراحة (لا توجد مباريات) 7 ضد 8</v>
      </c>
      <c r="M52" s="34"/>
      <c r="N52" s="34"/>
      <c r="O52" s="34"/>
      <c r="P52" s="34"/>
      <c r="Q52" s="34"/>
      <c r="R52" s="34"/>
      <c r="S52" s="34"/>
      <c r="T52"/>
      <c r="U52"/>
      <c r="V52"/>
      <c r="W52"/>
      <c r="X52"/>
      <c r="Y52"/>
      <c r="Z52"/>
      <c r="AA52"/>
      <c r="AB52"/>
      <c r="AC52"/>
      <c r="AD52"/>
      <c r="AE52"/>
      <c r="AF52"/>
      <c r="AG52"/>
      <c r="AH52"/>
      <c r="AI52"/>
      <c r="AJ52"/>
      <c r="AK52"/>
      <c r="AL52"/>
      <c r="AM52"/>
      <c r="AN52"/>
      <c r="AO52"/>
      <c r="AP52"/>
      <c r="AQ52"/>
      <c r="AR52"/>
      <c r="AS52"/>
      <c r="AT52"/>
      <c r="AU52"/>
      <c r="AV52"/>
      <c r="AW52"/>
      <c r="AX52"/>
      <c r="AY52"/>
      <c r="AZ52"/>
    </row>
    <row r="53" spans="1:52" ht="14.5" customHeight="1">
      <c r="A53" s="106"/>
      <c r="B53"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3" s="37" t="s">
        <v>159</v>
      </c>
      <c r="D53" s="37" t="s">
        <v>158</v>
      </c>
      <c r="E53" s="37" t="s">
        <v>63</v>
      </c>
      <c r="F53" s="37" t="s">
        <v>31</v>
      </c>
      <c r="G53" s="37" t="s">
        <v>73</v>
      </c>
      <c r="H53" s="108"/>
      <c r="I53" s="108"/>
      <c r="J53" s="108"/>
      <c r="K53" s="34"/>
      <c r="L53" s="44" t="str">
        <f t="shared" si="2"/>
        <v>6 ضد 2 5 ضد 3 1 ضد 4 10 ضد 11 12 ضد 13</v>
      </c>
      <c r="M53" s="34"/>
      <c r="N53" s="34"/>
      <c r="O53" s="34"/>
      <c r="P53" s="34"/>
      <c r="Q53" s="34"/>
      <c r="R53" s="34"/>
      <c r="S53" s="34"/>
      <c r="T53"/>
      <c r="U53"/>
      <c r="V53"/>
      <c r="W53"/>
      <c r="X53"/>
      <c r="Y53"/>
      <c r="Z53"/>
      <c r="AA53"/>
      <c r="AB53"/>
      <c r="AC53"/>
      <c r="AD53"/>
      <c r="AE53"/>
      <c r="AF53"/>
      <c r="AG53"/>
      <c r="AH53"/>
      <c r="AI53"/>
      <c r="AJ53"/>
      <c r="AK53"/>
      <c r="AL53"/>
      <c r="AM53"/>
      <c r="AN53"/>
      <c r="AO53"/>
      <c r="AP53"/>
      <c r="AQ53"/>
      <c r="AR53"/>
      <c r="AS53"/>
      <c r="AT53"/>
      <c r="AU53"/>
      <c r="AV53"/>
      <c r="AW53"/>
      <c r="AX53"/>
      <c r="AY53"/>
      <c r="AZ53"/>
    </row>
    <row r="54" spans="1:52" ht="14.5" customHeight="1">
      <c r="A54" s="106"/>
      <c r="B54"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4" s="114" t="s">
        <v>139</v>
      </c>
      <c r="D54" s="108"/>
      <c r="E54" s="108"/>
      <c r="F54" s="37" t="s">
        <v>67</v>
      </c>
      <c r="G54" s="37"/>
      <c r="H54" s="108"/>
      <c r="I54" s="108"/>
      <c r="J54" s="108"/>
      <c r="K54" s="34"/>
      <c r="L54" s="44" t="str">
        <f t="shared" si="2"/>
        <v>استراحة (لا توجد مباريات) 8 ضد 9</v>
      </c>
      <c r="M54" s="34"/>
      <c r="N54" s="34"/>
      <c r="O54" s="34"/>
      <c r="P54" s="34"/>
      <c r="Q54" s="34"/>
      <c r="R54" s="34"/>
      <c r="S54" s="34"/>
      <c r="T54"/>
      <c r="U54"/>
      <c r="V54"/>
      <c r="W54"/>
      <c r="X54"/>
      <c r="Y54"/>
      <c r="Z54"/>
      <c r="AA54"/>
      <c r="AB54"/>
      <c r="AC54"/>
      <c r="AD54"/>
      <c r="AE54"/>
      <c r="AF54"/>
      <c r="AG54"/>
      <c r="AH54"/>
      <c r="AI54"/>
      <c r="AJ54"/>
      <c r="AK54"/>
      <c r="AL54"/>
      <c r="AM54"/>
      <c r="AN54"/>
      <c r="AO54"/>
      <c r="AP54"/>
      <c r="AQ54"/>
      <c r="AR54"/>
      <c r="AS54"/>
      <c r="AT54"/>
      <c r="AU54"/>
      <c r="AV54"/>
      <c r="AW54"/>
      <c r="AX54"/>
      <c r="AY54"/>
      <c r="AZ54"/>
    </row>
    <row r="55" spans="1:52" ht="14.5" customHeight="1">
      <c r="A55" s="106"/>
      <c r="B55"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5" s="37" t="s">
        <v>20</v>
      </c>
      <c r="D55" s="37" t="s">
        <v>160</v>
      </c>
      <c r="E55" s="37" t="s">
        <v>55</v>
      </c>
      <c r="F55" s="37" t="s">
        <v>231</v>
      </c>
      <c r="G55" s="37" t="s">
        <v>21</v>
      </c>
      <c r="H55" s="108"/>
      <c r="I55" s="108"/>
      <c r="J55" s="108"/>
      <c r="K55" s="34"/>
      <c r="L55" s="44" t="str">
        <f t="shared" si="2"/>
        <v>1 ضد 3 4 ضد 2 5 ضد 6 10 ضد 7 11 ضد 12</v>
      </c>
      <c r="M55" s="34"/>
      <c r="N55" s="34"/>
      <c r="O55" s="34"/>
      <c r="P55" s="34"/>
      <c r="Q55" s="34"/>
      <c r="R55" s="34"/>
      <c r="S55" s="34"/>
      <c r="T55"/>
      <c r="U55"/>
      <c r="V55"/>
      <c r="W55"/>
      <c r="X55"/>
      <c r="Y55"/>
      <c r="Z55"/>
      <c r="AA55"/>
      <c r="AB55"/>
      <c r="AC55"/>
      <c r="AD55"/>
      <c r="AE55"/>
      <c r="AF55"/>
      <c r="AG55"/>
      <c r="AH55"/>
      <c r="AI55"/>
      <c r="AJ55"/>
      <c r="AK55"/>
      <c r="AL55"/>
      <c r="AM55"/>
      <c r="AN55"/>
      <c r="AO55"/>
      <c r="AP55"/>
      <c r="AQ55"/>
      <c r="AR55"/>
      <c r="AS55"/>
      <c r="AT55"/>
      <c r="AU55"/>
      <c r="AV55"/>
      <c r="AW55"/>
      <c r="AX55"/>
      <c r="AY55"/>
      <c r="AZ55"/>
    </row>
    <row r="56" spans="1:52" ht="14.5" customHeight="1">
      <c r="A56" s="106"/>
      <c r="B56"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56" s="114" t="s">
        <v>139</v>
      </c>
      <c r="D56" s="108"/>
      <c r="E56" s="108"/>
      <c r="F56" s="37" t="s">
        <v>71</v>
      </c>
      <c r="G56" s="37"/>
      <c r="H56" s="108"/>
      <c r="I56" s="108"/>
      <c r="J56" s="108"/>
      <c r="K56" s="34"/>
      <c r="L56" s="44" t="str">
        <f t="shared" si="2"/>
        <v>استراحة (لا توجد مباريات) 8 ضد 13</v>
      </c>
      <c r="M56" s="34"/>
      <c r="N56" s="34"/>
      <c r="O56" s="34"/>
      <c r="P56" s="34"/>
      <c r="Q56" s="34"/>
      <c r="R56" s="34"/>
      <c r="S56" s="34"/>
      <c r="T56"/>
      <c r="U56"/>
      <c r="V56"/>
      <c r="W56"/>
      <c r="X56"/>
      <c r="Y56"/>
      <c r="Z56"/>
      <c r="AA56"/>
      <c r="AB56"/>
      <c r="AC56"/>
      <c r="AD56"/>
      <c r="AE56"/>
      <c r="AF56"/>
      <c r="AG56"/>
      <c r="AH56"/>
      <c r="AI56"/>
      <c r="AJ56"/>
      <c r="AK56"/>
      <c r="AL56"/>
      <c r="AM56"/>
      <c r="AN56"/>
      <c r="AO56"/>
      <c r="AP56"/>
      <c r="AQ56"/>
      <c r="AR56"/>
      <c r="AS56"/>
      <c r="AT56"/>
      <c r="AU56"/>
      <c r="AV56"/>
      <c r="AW56"/>
      <c r="AX56"/>
      <c r="AY56"/>
      <c r="AZ56"/>
    </row>
    <row r="57" spans="1:52" ht="14.5" customHeight="1">
      <c r="A57" s="106"/>
      <c r="B57"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57" s="37" t="s">
        <v>30</v>
      </c>
      <c r="D57" s="37" t="s">
        <v>62</v>
      </c>
      <c r="E57" s="37" t="s">
        <v>46</v>
      </c>
      <c r="F57" s="37" t="s">
        <v>65</v>
      </c>
      <c r="G57" s="37" t="s">
        <v>29</v>
      </c>
      <c r="H57" s="108"/>
      <c r="I57" s="108"/>
      <c r="J57" s="108"/>
      <c r="K57" s="34"/>
      <c r="L57" s="44" t="str">
        <f t="shared" si="2"/>
        <v>1 ضد 2 3 ضد 6 4 ضد 5 7 ضد 11 9 ضد 12</v>
      </c>
      <c r="M57" s="34"/>
      <c r="N57" s="34"/>
      <c r="O57" s="34"/>
      <c r="P57" s="34"/>
      <c r="Q57" s="34"/>
      <c r="R57" s="34"/>
      <c r="S57" s="34"/>
      <c r="T57"/>
      <c r="U57"/>
      <c r="V57"/>
      <c r="W57"/>
      <c r="X57"/>
      <c r="Y57"/>
      <c r="Z57"/>
      <c r="AA57"/>
      <c r="AB57"/>
      <c r="AC57"/>
      <c r="AD57"/>
      <c r="AE57"/>
      <c r="AF57"/>
      <c r="AG57"/>
      <c r="AH57"/>
      <c r="AI57"/>
      <c r="AJ57"/>
      <c r="AK57"/>
      <c r="AL57"/>
      <c r="AM57"/>
      <c r="AN57"/>
      <c r="AO57"/>
      <c r="AP57"/>
      <c r="AQ57"/>
      <c r="AR57"/>
      <c r="AS57"/>
      <c r="AT57"/>
      <c r="AU57"/>
      <c r="AV57"/>
      <c r="AW57"/>
      <c r="AX57"/>
      <c r="AY57"/>
      <c r="AZ57"/>
    </row>
    <row r="58" spans="1:52" ht="15" customHeight="1">
      <c r="A58" s="34"/>
      <c r="B58" s="34"/>
      <c r="C58" s="34"/>
      <c r="D58" s="34"/>
      <c r="E58" s="34"/>
      <c r="F58" s="34"/>
      <c r="G58" s="34"/>
      <c r="H58" s="34"/>
      <c r="I58" s="34"/>
      <c r="J58" s="34"/>
      <c r="K58" s="34"/>
      <c r="L58" s="34"/>
      <c r="M58" s="34"/>
      <c r="N58" s="34"/>
      <c r="O58" s="34"/>
      <c r="P58" s="34"/>
      <c r="Q58" s="34"/>
      <c r="R58" s="34"/>
      <c r="S58" s="34"/>
      <c r="T58"/>
      <c r="U58"/>
      <c r="V58"/>
      <c r="W58"/>
      <c r="X58"/>
      <c r="Y58"/>
      <c r="Z58"/>
      <c r="AA58"/>
      <c r="AB58"/>
      <c r="AC58"/>
      <c r="AD58"/>
      <c r="AE58"/>
      <c r="AF58"/>
      <c r="AG58"/>
      <c r="AH58"/>
      <c r="AI58"/>
      <c r="AJ58"/>
      <c r="AK58"/>
      <c r="AL58"/>
      <c r="AM58"/>
      <c r="AN58"/>
      <c r="AO58"/>
      <c r="AP58"/>
      <c r="AQ58"/>
      <c r="AR58"/>
      <c r="AS58"/>
      <c r="AT58"/>
      <c r="AU58"/>
      <c r="AV58"/>
      <c r="AW58"/>
      <c r="AX58"/>
      <c r="AY58"/>
      <c r="AZ58"/>
    </row>
    <row r="59" spans="1:52" ht="15" customHeight="1">
      <c r="A59" s="34"/>
      <c r="B59" s="34"/>
      <c r="C59" s="34"/>
      <c r="D59" s="34"/>
      <c r="E59" s="34"/>
      <c r="F59" s="34"/>
      <c r="G59" s="34"/>
      <c r="H59" s="34"/>
      <c r="I59" s="34"/>
      <c r="J59" s="34"/>
      <c r="K59" s="34"/>
      <c r="L59" s="34"/>
      <c r="M59" s="34"/>
      <c r="N59" s="34"/>
      <c r="O59" s="34"/>
      <c r="P59" s="34"/>
      <c r="Q59" s="34"/>
      <c r="R59" s="34"/>
      <c r="S59" s="34"/>
      <c r="T59"/>
      <c r="U59"/>
      <c r="V59"/>
      <c r="W59"/>
      <c r="X59"/>
      <c r="Y59"/>
      <c r="Z59"/>
      <c r="AA59"/>
      <c r="AB59"/>
      <c r="AC59"/>
      <c r="AD59"/>
      <c r="AE59"/>
      <c r="AF59"/>
      <c r="AG59"/>
      <c r="AH59"/>
      <c r="AI59"/>
      <c r="AJ59"/>
      <c r="AK59"/>
      <c r="AL59"/>
      <c r="AM59"/>
      <c r="AN59"/>
      <c r="AO59"/>
      <c r="AP59"/>
      <c r="AQ59"/>
      <c r="AR59"/>
      <c r="AS59"/>
      <c r="AT59"/>
      <c r="AU59"/>
      <c r="AV59"/>
      <c r="AW59"/>
      <c r="AX59"/>
      <c r="AY59"/>
      <c r="AZ59"/>
    </row>
    <row r="60" spans="1:52" ht="15.5" customHeight="1">
      <c r="A60" s="34"/>
      <c r="B60" s="109" t="s">
        <v>450</v>
      </c>
      <c r="C60" s="109"/>
      <c r="D60" s="109"/>
      <c r="E60" s="109"/>
      <c r="F60" s="109"/>
      <c r="G60" s="109"/>
      <c r="H60" s="109"/>
      <c r="I60" s="109"/>
      <c r="J60" s="109"/>
      <c r="K60" s="109"/>
      <c r="L60" s="109"/>
      <c r="M60" s="109"/>
      <c r="N60" s="109"/>
      <c r="O60" s="34"/>
      <c r="P60" s="34"/>
      <c r="Q60" s="34"/>
      <c r="R60" s="34"/>
      <c r="S60" s="34"/>
      <c r="T60"/>
      <c r="U60"/>
      <c r="V60"/>
      <c r="W60"/>
      <c r="X60"/>
      <c r="Y60"/>
      <c r="Z60"/>
      <c r="AA60"/>
      <c r="AB60"/>
      <c r="AC60"/>
      <c r="AD60"/>
      <c r="AE60"/>
      <c r="AF60"/>
      <c r="AG60"/>
      <c r="AH60"/>
      <c r="AI60"/>
      <c r="AJ60"/>
      <c r="AK60"/>
      <c r="AL60"/>
      <c r="AM60"/>
      <c r="AN60"/>
      <c r="AO60"/>
      <c r="AP60"/>
      <c r="AQ60"/>
      <c r="AR60"/>
      <c r="AS60"/>
      <c r="AT60"/>
      <c r="AU60"/>
      <c r="AV60"/>
      <c r="AW60"/>
      <c r="AX60"/>
      <c r="AY60"/>
      <c r="AZ60"/>
    </row>
    <row r="61" spans="1:52" ht="14.5" customHeight="1">
      <c r="A61" s="34"/>
      <c r="B61" s="38" t="s">
        <v>83</v>
      </c>
      <c r="C61" s="110" t="s">
        <v>264</v>
      </c>
      <c r="D61" s="110"/>
      <c r="E61" s="110"/>
      <c r="F61" s="110" t="s">
        <v>216</v>
      </c>
      <c r="G61" s="110"/>
      <c r="H61" s="34"/>
      <c r="I61" s="38" t="s">
        <v>83</v>
      </c>
      <c r="J61" s="110" t="s">
        <v>267</v>
      </c>
      <c r="K61" s="110"/>
      <c r="L61" s="110"/>
      <c r="M61" s="110" t="s">
        <v>216</v>
      </c>
      <c r="N61" s="110"/>
      <c r="O61" s="34"/>
      <c r="P61" s="34"/>
      <c r="Q61" s="34"/>
      <c r="R61" s="34"/>
      <c r="S61" s="34"/>
      <c r="T61"/>
      <c r="U61"/>
      <c r="V61"/>
      <c r="W61"/>
      <c r="X61"/>
      <c r="Y61"/>
      <c r="Z61"/>
      <c r="AA61"/>
      <c r="AB61"/>
      <c r="AC61"/>
      <c r="AD61"/>
      <c r="AE61"/>
      <c r="AF61"/>
      <c r="AG61"/>
      <c r="AH61"/>
      <c r="AI61"/>
      <c r="AJ61"/>
      <c r="AK61"/>
      <c r="AL61"/>
      <c r="AM61"/>
      <c r="AN61"/>
      <c r="AO61"/>
      <c r="AP61"/>
      <c r="AQ61"/>
      <c r="AR61"/>
      <c r="AS61"/>
      <c r="AT61"/>
      <c r="AU61"/>
      <c r="AV61"/>
      <c r="AW61"/>
      <c r="AX61"/>
      <c r="AY61"/>
      <c r="AZ61"/>
    </row>
    <row r="62" spans="1:52" ht="14.5" customHeight="1">
      <c r="A62" s="34"/>
      <c r="B62" s="39">
        <v>1</v>
      </c>
      <c r="C62" s="105" t="s">
        <v>581</v>
      </c>
      <c r="D62" s="105"/>
      <c r="E62" s="105"/>
      <c r="F62" s="105" t="s">
        <v>456</v>
      </c>
      <c r="G62" s="105"/>
      <c r="H62" s="34"/>
      <c r="I62" s="39">
        <v>7</v>
      </c>
      <c r="J62" s="105" t="s">
        <v>587</v>
      </c>
      <c r="K62" s="105"/>
      <c r="L62" s="105"/>
      <c r="M62" s="105" t="s">
        <v>456</v>
      </c>
      <c r="N62" s="105"/>
      <c r="O62" s="34"/>
      <c r="P62" s="34"/>
      <c r="Q62" s="34"/>
      <c r="R62" s="34"/>
      <c r="S62" s="34"/>
      <c r="T62"/>
      <c r="U62"/>
      <c r="V62"/>
      <c r="W62"/>
      <c r="X62"/>
      <c r="Y62"/>
      <c r="Z62"/>
      <c r="AA62"/>
      <c r="AB62"/>
      <c r="AC62"/>
      <c r="AD62"/>
      <c r="AE62"/>
      <c r="AF62"/>
      <c r="AG62"/>
      <c r="AH62"/>
      <c r="AI62"/>
      <c r="AJ62"/>
      <c r="AK62"/>
      <c r="AL62"/>
      <c r="AM62"/>
      <c r="AN62"/>
      <c r="AO62"/>
      <c r="AP62"/>
      <c r="AQ62"/>
      <c r="AR62"/>
      <c r="AS62"/>
      <c r="AT62"/>
      <c r="AU62"/>
      <c r="AV62"/>
      <c r="AW62"/>
      <c r="AX62"/>
      <c r="AY62"/>
      <c r="AZ62"/>
    </row>
    <row r="63" spans="1:52" ht="14.5" customHeight="1">
      <c r="A63" s="34"/>
      <c r="B63" s="39">
        <v>2</v>
      </c>
      <c r="C63" s="105" t="s">
        <v>582</v>
      </c>
      <c r="D63" s="105"/>
      <c r="E63" s="105"/>
      <c r="F63" s="105" t="s">
        <v>456</v>
      </c>
      <c r="G63" s="105"/>
      <c r="H63" s="34"/>
      <c r="I63" s="39">
        <v>8</v>
      </c>
      <c r="J63" s="105" t="s">
        <v>588</v>
      </c>
      <c r="K63" s="105"/>
      <c r="L63" s="105"/>
      <c r="M63" s="105" t="s">
        <v>458</v>
      </c>
      <c r="N63" s="105"/>
      <c r="O63" s="34"/>
      <c r="P63" s="34"/>
      <c r="Q63" s="34"/>
      <c r="R63" s="34"/>
      <c r="S63" s="34"/>
      <c r="T63"/>
      <c r="U63"/>
      <c r="V63"/>
      <c r="W63"/>
      <c r="X63"/>
      <c r="Y63"/>
      <c r="Z63"/>
      <c r="AA63"/>
      <c r="AB63"/>
      <c r="AC63"/>
      <c r="AD63"/>
      <c r="AE63"/>
      <c r="AF63"/>
      <c r="AG63"/>
      <c r="AH63"/>
      <c r="AI63"/>
      <c r="AJ63"/>
      <c r="AK63"/>
      <c r="AL63"/>
      <c r="AM63"/>
      <c r="AN63"/>
      <c r="AO63"/>
      <c r="AP63"/>
      <c r="AQ63"/>
      <c r="AR63"/>
      <c r="AS63"/>
      <c r="AT63"/>
      <c r="AU63"/>
      <c r="AV63"/>
      <c r="AW63"/>
      <c r="AX63"/>
      <c r="AY63"/>
      <c r="AZ63"/>
    </row>
    <row r="64" spans="1:52" ht="14.5" customHeight="1">
      <c r="A64" s="34"/>
      <c r="B64" s="39">
        <v>3</v>
      </c>
      <c r="C64" s="105" t="s">
        <v>583</v>
      </c>
      <c r="D64" s="105"/>
      <c r="E64" s="105"/>
      <c r="F64" s="105" t="s">
        <v>458</v>
      </c>
      <c r="G64" s="105"/>
      <c r="H64" s="34"/>
      <c r="I64" s="39">
        <v>9</v>
      </c>
      <c r="J64" s="105" t="s">
        <v>589</v>
      </c>
      <c r="K64" s="105"/>
      <c r="L64" s="105"/>
      <c r="M64" s="105" t="s">
        <v>458</v>
      </c>
      <c r="N64" s="105"/>
      <c r="O64" s="34"/>
      <c r="P64" s="34"/>
      <c r="Q64" s="34"/>
      <c r="R64" s="34"/>
      <c r="S64" s="34"/>
      <c r="T64"/>
      <c r="U64"/>
      <c r="V64"/>
      <c r="W64"/>
      <c r="X64"/>
      <c r="Y64"/>
      <c r="Z64"/>
      <c r="AA64"/>
      <c r="AB64"/>
      <c r="AC64"/>
      <c r="AD64"/>
      <c r="AE64"/>
      <c r="AF64"/>
      <c r="AG64"/>
      <c r="AH64"/>
      <c r="AI64"/>
      <c r="AJ64"/>
      <c r="AK64"/>
      <c r="AL64"/>
      <c r="AM64"/>
      <c r="AN64"/>
      <c r="AO64"/>
      <c r="AP64"/>
      <c r="AQ64"/>
      <c r="AR64"/>
      <c r="AS64"/>
      <c r="AT64"/>
      <c r="AU64"/>
      <c r="AV64"/>
      <c r="AW64"/>
      <c r="AX64"/>
      <c r="AY64"/>
      <c r="AZ64"/>
    </row>
    <row r="65" spans="1:52" ht="14.5" customHeight="1">
      <c r="A65" s="34"/>
      <c r="B65" s="39">
        <v>4</v>
      </c>
      <c r="C65" s="105" t="s">
        <v>584</v>
      </c>
      <c r="D65" s="105"/>
      <c r="E65" s="105"/>
      <c r="F65" s="105" t="s">
        <v>458</v>
      </c>
      <c r="G65" s="105"/>
      <c r="H65" s="34"/>
      <c r="I65" s="39">
        <v>10</v>
      </c>
      <c r="J65" s="105" t="s">
        <v>590</v>
      </c>
      <c r="K65" s="105"/>
      <c r="L65" s="105"/>
      <c r="M65" s="105" t="s">
        <v>458</v>
      </c>
      <c r="N65" s="105"/>
      <c r="O65" s="34"/>
      <c r="P65" s="34"/>
      <c r="Q65" s="34"/>
      <c r="R65" s="34"/>
      <c r="S65" s="34"/>
      <c r="T65"/>
      <c r="U65"/>
      <c r="V65"/>
      <c r="W65"/>
      <c r="X65"/>
      <c r="Y65"/>
      <c r="Z65"/>
      <c r="AA65"/>
      <c r="AB65"/>
      <c r="AC65"/>
      <c r="AD65"/>
      <c r="AE65"/>
      <c r="AF65"/>
      <c r="AG65"/>
      <c r="AH65"/>
      <c r="AI65"/>
      <c r="AJ65"/>
      <c r="AK65"/>
      <c r="AL65"/>
      <c r="AM65"/>
      <c r="AN65"/>
      <c r="AO65"/>
      <c r="AP65"/>
      <c r="AQ65"/>
      <c r="AR65"/>
      <c r="AS65"/>
      <c r="AT65"/>
      <c r="AU65"/>
      <c r="AV65"/>
      <c r="AW65"/>
      <c r="AX65"/>
      <c r="AY65"/>
      <c r="AZ65"/>
    </row>
    <row r="66" spans="1:52" ht="14.5" customHeight="1">
      <c r="A66" s="34"/>
      <c r="B66" s="39">
        <v>5</v>
      </c>
      <c r="C66" s="105" t="s">
        <v>585</v>
      </c>
      <c r="D66" s="105"/>
      <c r="E66" s="105"/>
      <c r="F66" s="105" t="s">
        <v>458</v>
      </c>
      <c r="G66" s="105"/>
      <c r="H66" s="34"/>
      <c r="I66" s="39">
        <v>11</v>
      </c>
      <c r="J66" s="105" t="s">
        <v>591</v>
      </c>
      <c r="K66" s="105"/>
      <c r="L66" s="105"/>
      <c r="M66" s="105" t="s">
        <v>458</v>
      </c>
      <c r="N66" s="105"/>
      <c r="O66" s="34"/>
      <c r="P66" s="34"/>
      <c r="Q66" s="34"/>
      <c r="R66" s="34"/>
      <c r="S66" s="34"/>
      <c r="T66"/>
      <c r="U66"/>
      <c r="V66"/>
      <c r="W66"/>
      <c r="X66"/>
      <c r="Y66"/>
      <c r="Z66"/>
      <c r="AA66"/>
      <c r="AB66"/>
      <c r="AC66"/>
      <c r="AD66"/>
      <c r="AE66"/>
      <c r="AF66"/>
      <c r="AG66"/>
      <c r="AH66"/>
      <c r="AI66"/>
      <c r="AJ66"/>
      <c r="AK66"/>
      <c r="AL66"/>
      <c r="AM66"/>
      <c r="AN66"/>
      <c r="AO66"/>
      <c r="AP66"/>
      <c r="AQ66"/>
      <c r="AR66"/>
      <c r="AS66"/>
      <c r="AT66"/>
      <c r="AU66"/>
      <c r="AV66"/>
      <c r="AW66"/>
      <c r="AX66"/>
      <c r="AY66"/>
      <c r="AZ66"/>
    </row>
    <row r="67" spans="1:52" ht="14.5" customHeight="1">
      <c r="A67" s="34"/>
      <c r="B67" s="39">
        <v>6</v>
      </c>
      <c r="C67" s="105" t="s">
        <v>586</v>
      </c>
      <c r="D67" s="105"/>
      <c r="E67" s="105"/>
      <c r="F67" s="105" t="s">
        <v>473</v>
      </c>
      <c r="G67" s="105"/>
      <c r="H67" s="34"/>
      <c r="I67" s="39">
        <v>12</v>
      </c>
      <c r="J67" s="105" t="s">
        <v>592</v>
      </c>
      <c r="K67" s="105"/>
      <c r="L67" s="105"/>
      <c r="M67" s="105" t="s">
        <v>473</v>
      </c>
      <c r="N67" s="105"/>
      <c r="O67" s="34"/>
      <c r="P67" s="34"/>
      <c r="Q67" s="34"/>
      <c r="R67" s="34"/>
      <c r="S67" s="34"/>
      <c r="T67"/>
      <c r="U67"/>
      <c r="V67"/>
      <c r="W67"/>
      <c r="X67"/>
      <c r="Y67"/>
      <c r="Z67"/>
      <c r="AA67"/>
      <c r="AB67"/>
      <c r="AC67"/>
      <c r="AD67"/>
      <c r="AE67"/>
      <c r="AF67"/>
      <c r="AG67"/>
      <c r="AH67"/>
      <c r="AI67"/>
      <c r="AJ67"/>
      <c r="AK67"/>
      <c r="AL67"/>
      <c r="AM67"/>
      <c r="AN67"/>
      <c r="AO67"/>
      <c r="AP67"/>
      <c r="AQ67"/>
      <c r="AR67"/>
      <c r="AS67"/>
      <c r="AT67"/>
      <c r="AU67"/>
      <c r="AV67"/>
      <c r="AW67"/>
      <c r="AX67"/>
      <c r="AY67"/>
      <c r="AZ67"/>
    </row>
    <row r="68" spans="1:52" ht="14.5" customHeight="1">
      <c r="A68" s="34"/>
      <c r="B68" s="34"/>
      <c r="C68" s="34"/>
      <c r="D68" s="34"/>
      <c r="E68" s="34"/>
      <c r="F68" s="34"/>
      <c r="G68" s="34"/>
      <c r="H68" s="34"/>
      <c r="I68" s="39">
        <v>13</v>
      </c>
      <c r="J68" s="105" t="s">
        <v>593</v>
      </c>
      <c r="K68" s="105"/>
      <c r="L68" s="105"/>
      <c r="M68" s="105" t="s">
        <v>473</v>
      </c>
      <c r="N68" s="105"/>
      <c r="O68" s="34"/>
      <c r="P68" s="34"/>
      <c r="Q68" s="34"/>
      <c r="R68" s="34"/>
      <c r="S68" s="34"/>
      <c r="T68"/>
      <c r="U68"/>
      <c r="V68"/>
      <c r="W68"/>
      <c r="X68"/>
      <c r="Y68"/>
      <c r="Z68"/>
      <c r="AA68"/>
      <c r="AB68"/>
      <c r="AC68"/>
      <c r="AD68"/>
      <c r="AE68"/>
      <c r="AF68"/>
      <c r="AG68"/>
      <c r="AH68"/>
      <c r="AI68"/>
      <c r="AJ68"/>
      <c r="AK68"/>
      <c r="AL68"/>
      <c r="AM68"/>
      <c r="AN68"/>
      <c r="AO68"/>
      <c r="AP68"/>
      <c r="AQ68"/>
      <c r="AR68"/>
      <c r="AS68"/>
      <c r="AT68"/>
      <c r="AU68"/>
      <c r="AV68"/>
      <c r="AW68"/>
      <c r="AX68"/>
      <c r="AY68"/>
      <c r="AZ68"/>
    </row>
    <row r="69" spans="1:52" ht="15" customHeight="1">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row>
    <row r="70" spans="1:52" ht="15" customHeight="1">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row>
    <row r="71" spans="1:52" ht="15.5" customHeight="1">
      <c r="A71"/>
      <c r="B71" s="109" t="s">
        <v>451</v>
      </c>
      <c r="C71" s="109"/>
      <c r="D71" s="109"/>
      <c r="E71" s="109"/>
      <c r="F71" s="109"/>
      <c r="G71" s="109"/>
      <c r="H71" s="109"/>
      <c r="I71" s="109"/>
      <c r="J71" s="109"/>
      <c r="K71" s="109"/>
      <c r="L71" s="109"/>
      <c r="M71" s="109"/>
      <c r="N71" s="109"/>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row>
    <row r="72" spans="1:52" ht="14.5" customHeight="1">
      <c r="A72"/>
      <c r="B72" s="38" t="s">
        <v>83</v>
      </c>
      <c r="C72" s="110" t="s">
        <v>264</v>
      </c>
      <c r="D72" s="110"/>
      <c r="E72" s="110"/>
      <c r="F72" s="110" t="s">
        <v>216</v>
      </c>
      <c r="G72" s="110"/>
      <c r="H72" s="34"/>
      <c r="I72" s="38" t="s">
        <v>83</v>
      </c>
      <c r="J72" s="110" t="s">
        <v>267</v>
      </c>
      <c r="K72" s="110"/>
      <c r="L72" s="110"/>
      <c r="M72" s="110" t="s">
        <v>216</v>
      </c>
      <c r="N72" s="110"/>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row>
    <row r="73" spans="1:52" ht="14.5" customHeight="1">
      <c r="A73"/>
      <c r="B73" s="39">
        <v>1</v>
      </c>
      <c r="C73" s="105" t="s">
        <v>594</v>
      </c>
      <c r="D73" s="105"/>
      <c r="E73" s="105"/>
      <c r="F73" s="105" t="s">
        <v>458</v>
      </c>
      <c r="G73" s="105"/>
      <c r="H73" s="34"/>
      <c r="I73" s="39">
        <v>7</v>
      </c>
      <c r="J73" s="105" t="s">
        <v>600</v>
      </c>
      <c r="K73" s="105"/>
      <c r="L73" s="105"/>
      <c r="M73" s="105" t="s">
        <v>458</v>
      </c>
      <c r="N73" s="105"/>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row>
    <row r="74" spans="1:52" ht="14.5" customHeight="1">
      <c r="A74"/>
      <c r="B74" s="39">
        <v>2</v>
      </c>
      <c r="C74" s="105" t="s">
        <v>595</v>
      </c>
      <c r="D74" s="105"/>
      <c r="E74" s="105"/>
      <c r="F74" s="105" t="s">
        <v>473</v>
      </c>
      <c r="G74" s="105"/>
      <c r="H74" s="34"/>
      <c r="I74" s="39">
        <v>8</v>
      </c>
      <c r="J74" s="105" t="s">
        <v>601</v>
      </c>
      <c r="K74" s="105"/>
      <c r="L74" s="105"/>
      <c r="M74" s="105" t="s">
        <v>473</v>
      </c>
      <c r="N74" s="105"/>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row>
    <row r="75" spans="1:52" ht="14.5" customHeight="1">
      <c r="A75"/>
      <c r="B75" s="39">
        <v>3</v>
      </c>
      <c r="C75" s="105" t="s">
        <v>596</v>
      </c>
      <c r="D75" s="105"/>
      <c r="E75" s="105"/>
      <c r="F75" s="105" t="s">
        <v>473</v>
      </c>
      <c r="G75" s="105"/>
      <c r="H75" s="34"/>
      <c r="I75" s="39">
        <v>9</v>
      </c>
      <c r="J75" s="105" t="s">
        <v>602</v>
      </c>
      <c r="K75" s="105"/>
      <c r="L75" s="105"/>
      <c r="M75" s="105" t="s">
        <v>473</v>
      </c>
      <c r="N75" s="10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row>
    <row r="76" spans="1:52" ht="14.5" customHeight="1">
      <c r="A76"/>
      <c r="B76" s="39">
        <v>4</v>
      </c>
      <c r="C76" s="105" t="s">
        <v>597</v>
      </c>
      <c r="D76" s="105"/>
      <c r="E76" s="105"/>
      <c r="F76" s="105" t="s">
        <v>473</v>
      </c>
      <c r="G76" s="105"/>
      <c r="H76" s="34"/>
      <c r="I76" s="39">
        <v>10</v>
      </c>
      <c r="J76" s="105" t="s">
        <v>603</v>
      </c>
      <c r="K76" s="105"/>
      <c r="L76" s="105"/>
      <c r="M76" s="105" t="s">
        <v>473</v>
      </c>
      <c r="N76" s="105"/>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row>
    <row r="77" spans="1:52" ht="14.5" customHeight="1">
      <c r="A77"/>
      <c r="B77" s="39">
        <v>5</v>
      </c>
      <c r="C77" s="105" t="s">
        <v>598</v>
      </c>
      <c r="D77" s="105"/>
      <c r="E77" s="105"/>
      <c r="F77" s="105" t="s">
        <v>473</v>
      </c>
      <c r="G77" s="105"/>
      <c r="H77" s="34"/>
      <c r="I77" s="39">
        <v>11</v>
      </c>
      <c r="J77" s="105" t="s">
        <v>604</v>
      </c>
      <c r="K77" s="105"/>
      <c r="L77" s="105"/>
      <c r="M77" s="105" t="s">
        <v>473</v>
      </c>
      <c r="N77" s="105"/>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row>
    <row r="78" spans="1:52" ht="14.5" customHeight="1">
      <c r="A78"/>
      <c r="B78" s="39">
        <v>6</v>
      </c>
      <c r="C78" s="105" t="s">
        <v>599</v>
      </c>
      <c r="D78" s="105"/>
      <c r="E78" s="105"/>
      <c r="F78" s="105" t="s">
        <v>473</v>
      </c>
      <c r="G78" s="105"/>
      <c r="H78" s="34"/>
      <c r="I78" s="39">
        <v>12</v>
      </c>
      <c r="J78" s="105" t="s">
        <v>605</v>
      </c>
      <c r="K78" s="105"/>
      <c r="L78" s="105"/>
      <c r="M78" s="105" t="s">
        <v>473</v>
      </c>
      <c r="N78" s="105"/>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row>
    <row r="79" spans="1:52" ht="14.5" customHeight="1">
      <c r="A79"/>
      <c r="B79" s="34"/>
      <c r="C79" s="34"/>
      <c r="D79" s="34"/>
      <c r="E79" s="34"/>
      <c r="F79" s="34"/>
      <c r="G79" s="34"/>
      <c r="H79" s="34"/>
      <c r="I79" s="39">
        <v>13</v>
      </c>
      <c r="J79" s="105" t="s">
        <v>606</v>
      </c>
      <c r="K79" s="105"/>
      <c r="L79" s="105"/>
      <c r="M79" s="105" t="s">
        <v>473</v>
      </c>
      <c r="N79" s="105"/>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row>
    <row r="80" spans="1:52" ht="1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row>
    <row r="81" spans="1:52" ht="1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row>
    <row r="82" spans="1:52" ht="1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row>
    <row r="83" spans="1:52" ht="1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row>
    <row r="84" spans="1:52" ht="1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row>
    <row r="85" spans="1:52" ht="1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row>
    <row r="86" spans="1:52" ht="1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row>
    <row r="87" spans="1:52" ht="1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row>
    <row r="88" spans="1:52" ht="1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row>
    <row r="89" spans="1:52" ht="1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row>
    <row r="90" spans="1:52" ht="1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row>
    <row r="91" spans="1:52" ht="1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row>
    <row r="92" spans="1:52" ht="1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row>
    <row r="93" spans="1:52" ht="1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row>
    <row r="94" spans="1:52" ht="1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row>
    <row r="95" spans="1:52" ht="1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row>
    <row r="96" spans="1:52" ht="1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row>
    <row r="97" spans="1:52" ht="1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row>
    <row r="98" spans="1:52" ht="1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row>
    <row r="99" spans="1:52" ht="1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row>
    <row r="100" spans="1:52" ht="1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row>
    <row r="101" spans="1:52" ht="1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row>
    <row r="102" spans="1:52" ht="1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row>
    <row r="103" spans="1:52" ht="1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row>
    <row r="104" spans="1:52" ht="1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row>
    <row r="105" spans="1:52" ht="1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row>
    <row r="106" spans="1:52" ht="1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row>
    <row r="107" spans="1:52" ht="1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row>
    <row r="108" spans="1:52" ht="1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row>
    <row r="109" spans="1:52" ht="1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row>
    <row r="110" spans="1:52" ht="1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52" ht="1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52" ht="1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52" ht="1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52" ht="1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52" ht="1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52" ht="1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52" ht="1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row>
    <row r="118" spans="1:52" ht="1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52" ht="1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row>
    <row r="120" spans="1:52" ht="1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row>
    <row r="121" spans="1:52" ht="1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row>
    <row r="122" spans="1:52" ht="1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row>
    <row r="123" spans="1:52" ht="1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row>
    <row r="124" spans="1:52" ht="1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row>
    <row r="125" spans="1:52" ht="1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row>
    <row r="126" spans="1:52" ht="1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row>
    <row r="127" spans="1:52" ht="1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row>
    <row r="128" spans="1:52" ht="1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row>
    <row r="129" spans="1:52" ht="1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row>
    <row r="130" spans="1:52" ht="1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row>
    <row r="131" spans="1:52" ht="1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row>
    <row r="132" spans="1:52" ht="1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row>
    <row r="133" spans="1:52" ht="1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row>
    <row r="134" spans="1:52" ht="1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row>
    <row r="135" spans="1:52" ht="1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row>
    <row r="136" spans="1:52" ht="1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row>
    <row r="137" spans="1:52" ht="1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row>
    <row r="138" spans="1:52" ht="1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row>
    <row r="139" spans="1:52" ht="1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row>
    <row r="140" spans="1:52" ht="1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row>
    <row r="141" spans="1:52" ht="1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row>
    <row r="142" spans="1:52" ht="1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row>
    <row r="143" spans="1:52" ht="1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row>
    <row r="144" spans="1:52" ht="1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row>
    <row r="145" spans="1:52" ht="1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row>
    <row r="146" spans="1:52" ht="1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row>
    <row r="147" spans="1:52" ht="1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row>
    <row r="148" spans="1:52" ht="1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row>
    <row r="149" spans="1:52" ht="1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row>
    <row r="150" spans="1:52" ht="1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row>
    <row r="151" spans="1:52" ht="1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row>
    <row r="152" spans="1:52" ht="1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row>
    <row r="153" spans="1:52" ht="1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row>
    <row r="154" spans="1:52" ht="1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row>
    <row r="155" spans="1:52" ht="1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row>
    <row r="156" spans="1:52" ht="1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row>
    <row r="157" spans="1:52" ht="1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row>
    <row r="158" spans="1:52" ht="1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row>
    <row r="159" spans="1:52" ht="1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row>
    <row r="160" spans="1:52" ht="1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row>
    <row r="161" spans="1:52" ht="1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row>
    <row r="162" spans="1:52" ht="1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row>
    <row r="163" spans="1:52" ht="1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row>
    <row r="164" spans="1:52" ht="1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row>
    <row r="165" spans="1:52" ht="1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row>
    <row r="166" spans="1:52" ht="1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row>
    <row r="167" spans="1:52" ht="1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row>
    <row r="168" spans="1:52" ht="1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row>
    <row r="169" spans="1:52" ht="1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row>
    <row r="170" spans="1:52" ht="1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row>
    <row r="171" spans="1:52" ht="1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row>
    <row r="172" spans="1:52" ht="1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row>
    <row r="173" spans="1:52" ht="1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row>
    <row r="174" spans="1:52" ht="1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row>
    <row r="175" spans="1:52" ht="1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row>
    <row r="176" spans="1:52" ht="1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row>
    <row r="177" spans="1:52" ht="1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row>
    <row r="178" spans="1:52" ht="1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row>
    <row r="179" spans="1:52" ht="1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row>
    <row r="180" spans="1:52" ht="1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row>
    <row r="181" spans="1:52" ht="1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row>
    <row r="182" spans="1:52" ht="1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row>
    <row r="183" spans="1:52" ht="1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row>
    <row r="184" spans="1:52" ht="1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row>
    <row r="185" spans="1:52" ht="1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row>
    <row r="186" spans="1:52" ht="1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row>
    <row r="187" spans="1:52" ht="1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row>
    <row r="188" spans="1:52" ht="1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row>
    <row r="189" spans="1:52" ht="1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row>
    <row r="190" spans="1:52" ht="1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row>
    <row r="191" spans="1:52" ht="1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row>
    <row r="192" spans="1:52" ht="1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row>
    <row r="193" spans="1:52" ht="1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row>
    <row r="194" spans="1:52" ht="1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row>
    <row r="195" spans="1:52" ht="1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row>
    <row r="196" spans="1:52" ht="1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row>
    <row r="197" spans="1:52" ht="1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row>
    <row r="198" spans="1:52" ht="1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row>
    <row r="199" spans="1:52" ht="1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row>
    <row r="200" spans="1:52" ht="1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row>
  </sheetData>
  <mergeCells count="106">
    <mergeCell ref="C78:E78"/>
    <mergeCell ref="F78:G78"/>
    <mergeCell ref="J78:L78"/>
    <mergeCell ref="J79:L79"/>
    <mergeCell ref="B71:N71"/>
    <mergeCell ref="M72:N72"/>
    <mergeCell ref="M73:N73"/>
    <mergeCell ref="M74:N74"/>
    <mergeCell ref="M75:N75"/>
    <mergeCell ref="M76:N76"/>
    <mergeCell ref="M77:N77"/>
    <mergeCell ref="M78:N78"/>
    <mergeCell ref="M79:N79"/>
    <mergeCell ref="C76:E76"/>
    <mergeCell ref="F76:G76"/>
    <mergeCell ref="J76:L76"/>
    <mergeCell ref="C77:E77"/>
    <mergeCell ref="F77:G77"/>
    <mergeCell ref="J77:L77"/>
    <mergeCell ref="C74:E74"/>
    <mergeCell ref="F74:G74"/>
    <mergeCell ref="J74:L74"/>
    <mergeCell ref="C75:E75"/>
    <mergeCell ref="F75:G75"/>
    <mergeCell ref="J63:L63"/>
    <mergeCell ref="M63:N63"/>
    <mergeCell ref="J75:L75"/>
    <mergeCell ref="C72:E72"/>
    <mergeCell ref="F72:G72"/>
    <mergeCell ref="J72:L72"/>
    <mergeCell ref="C73:E73"/>
    <mergeCell ref="F73:G73"/>
    <mergeCell ref="J73:L73"/>
    <mergeCell ref="C67:E67"/>
    <mergeCell ref="F67:G67"/>
    <mergeCell ref="J67:L67"/>
    <mergeCell ref="A49:A57"/>
    <mergeCell ref="A4:A12"/>
    <mergeCell ref="A13:A21"/>
    <mergeCell ref="A31:A39"/>
    <mergeCell ref="A22:A30"/>
    <mergeCell ref="A40:A48"/>
    <mergeCell ref="H22:H30"/>
    <mergeCell ref="H31:H39"/>
    <mergeCell ref="H40:H48"/>
    <mergeCell ref="J22:J30"/>
    <mergeCell ref="I31:I39"/>
    <mergeCell ref="J31:J39"/>
    <mergeCell ref="I40:I48"/>
    <mergeCell ref="J40:J48"/>
    <mergeCell ref="A1:J1"/>
    <mergeCell ref="I4:I12"/>
    <mergeCell ref="J4:J12"/>
    <mergeCell ref="I13:I21"/>
    <mergeCell ref="J13:J21"/>
    <mergeCell ref="H4:H12"/>
    <mergeCell ref="H13:H21"/>
    <mergeCell ref="C32:E32"/>
    <mergeCell ref="C34:E34"/>
    <mergeCell ref="C36:E36"/>
    <mergeCell ref="C41:E41"/>
    <mergeCell ref="C43:E43"/>
    <mergeCell ref="C45:E45"/>
    <mergeCell ref="C66:E66"/>
    <mergeCell ref="F66:G66"/>
    <mergeCell ref="I22:I30"/>
    <mergeCell ref="C63:E63"/>
    <mergeCell ref="F63:G63"/>
    <mergeCell ref="C64:E64"/>
    <mergeCell ref="F64:G64"/>
    <mergeCell ref="C65:E65"/>
    <mergeCell ref="F65:G65"/>
    <mergeCell ref="C5:E5"/>
    <mergeCell ref="C7:E7"/>
    <mergeCell ref="C9:E9"/>
    <mergeCell ref="C14:E14"/>
    <mergeCell ref="C16:E16"/>
    <mergeCell ref="C18:E18"/>
    <mergeCell ref="C23:E23"/>
    <mergeCell ref="C25:E25"/>
    <mergeCell ref="C27:E27"/>
    <mergeCell ref="I49:I57"/>
    <mergeCell ref="J49:J57"/>
    <mergeCell ref="C50:E50"/>
    <mergeCell ref="C52:E52"/>
    <mergeCell ref="C54:E54"/>
    <mergeCell ref="C56:E56"/>
    <mergeCell ref="C61:E61"/>
    <mergeCell ref="F61:G61"/>
    <mergeCell ref="C62:E62"/>
    <mergeCell ref="F62:G62"/>
    <mergeCell ref="B60:N60"/>
    <mergeCell ref="H49:H57"/>
    <mergeCell ref="J61:L61"/>
    <mergeCell ref="M61:N61"/>
    <mergeCell ref="J62:L62"/>
    <mergeCell ref="M62:N62"/>
    <mergeCell ref="M67:N67"/>
    <mergeCell ref="J68:L68"/>
    <mergeCell ref="M68:N68"/>
    <mergeCell ref="J64:L64"/>
    <mergeCell ref="M64:N64"/>
    <mergeCell ref="J65:L65"/>
    <mergeCell ref="M65:N65"/>
    <mergeCell ref="J66:L66"/>
    <mergeCell ref="M66:N6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9B5D3-D4CE-455A-B3E8-CC5E7082FC01}">
  <dimension ref="A1:T209"/>
  <sheetViews>
    <sheetView showGridLines="0" rightToLeft="1" zoomScale="81" workbookViewId="0">
      <pane ySplit="3" topLeftCell="A55" activePane="bottomLeft" state="frozen"/>
      <selection pane="bottomLeft" activeCell="C74" sqref="C74:E74"/>
    </sheetView>
  </sheetViews>
  <sheetFormatPr defaultRowHeight="14.5"/>
  <cols>
    <col min="1" max="1" width="10.90625" customWidth="1"/>
    <col min="2" max="2" width="17.26953125" customWidth="1"/>
    <col min="3" max="8" width="14.54296875" customWidth="1"/>
    <col min="9" max="11" width="15.453125" customWidth="1"/>
    <col min="12" max="12" width="11.6328125" customWidth="1"/>
    <col min="13" max="13" width="27.26953125" customWidth="1"/>
    <col min="14" max="14" width="11.6328125" customWidth="1"/>
    <col min="15" max="20" width="13.6328125" customWidth="1"/>
    <col min="21" max="52" width="11.6328125" customWidth="1"/>
  </cols>
  <sheetData>
    <row r="1" spans="1:20" ht="26" customHeight="1">
      <c r="A1" s="111" t="s">
        <v>390</v>
      </c>
      <c r="B1" s="111"/>
      <c r="C1" s="111"/>
      <c r="D1" s="111"/>
      <c r="E1" s="111"/>
      <c r="F1" s="111"/>
      <c r="G1" s="111"/>
      <c r="H1" s="111"/>
      <c r="I1" s="111"/>
      <c r="J1" s="111"/>
      <c r="K1" s="111"/>
      <c r="L1" s="34"/>
      <c r="M1" s="34"/>
      <c r="N1" s="34"/>
      <c r="O1" s="34"/>
      <c r="P1" s="34"/>
      <c r="Q1" s="34"/>
      <c r="R1" s="34"/>
      <c r="S1" s="34"/>
      <c r="T1" s="34"/>
    </row>
    <row r="2" spans="1:20" ht="8" customHeight="1">
      <c r="A2" s="34"/>
      <c r="B2" s="34"/>
      <c r="C2" s="34"/>
      <c r="D2" s="34"/>
      <c r="E2" s="34"/>
      <c r="F2" s="34"/>
      <c r="G2" s="34"/>
      <c r="H2" s="34"/>
      <c r="I2" s="34"/>
      <c r="J2" s="34"/>
      <c r="K2" s="34"/>
      <c r="L2" s="34"/>
      <c r="M2" s="34"/>
      <c r="N2" s="34"/>
      <c r="O2" s="34"/>
      <c r="P2" s="34"/>
      <c r="Q2" s="34"/>
      <c r="R2" s="34"/>
      <c r="S2" s="34"/>
      <c r="T2" s="34"/>
    </row>
    <row r="3" spans="1:20" ht="32" customHeight="1">
      <c r="A3" s="35" t="s">
        <v>0</v>
      </c>
      <c r="B3" s="35" t="s">
        <v>1</v>
      </c>
      <c r="C3" s="35" t="s">
        <v>127</v>
      </c>
      <c r="D3" s="35" t="s">
        <v>128</v>
      </c>
      <c r="E3" s="35" t="s">
        <v>391</v>
      </c>
      <c r="F3" s="35" t="s">
        <v>263</v>
      </c>
      <c r="G3" s="35" t="s">
        <v>131</v>
      </c>
      <c r="H3" s="35" t="s">
        <v>132</v>
      </c>
      <c r="I3" s="35" t="s">
        <v>138</v>
      </c>
      <c r="J3" s="35" t="s">
        <v>170</v>
      </c>
      <c r="K3" s="35" t="s">
        <v>171</v>
      </c>
      <c r="L3" s="34"/>
      <c r="M3" s="43" t="s">
        <v>244</v>
      </c>
      <c r="N3" s="34"/>
      <c r="O3" s="35" t="s">
        <v>245</v>
      </c>
      <c r="P3" s="35" t="s">
        <v>246</v>
      </c>
      <c r="Q3" s="35" t="s">
        <v>247</v>
      </c>
      <c r="R3" s="35" t="s">
        <v>145</v>
      </c>
      <c r="S3" s="35" t="s">
        <v>146</v>
      </c>
      <c r="T3" s="35" t="s">
        <v>248</v>
      </c>
    </row>
    <row r="4" spans="1:20" ht="14.5" customHeight="1">
      <c r="A4" s="127"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40</v>
      </c>
      <c r="D4" s="37" t="s">
        <v>62</v>
      </c>
      <c r="E4" s="37" t="s">
        <v>211</v>
      </c>
      <c r="F4" s="37" t="s">
        <v>152</v>
      </c>
      <c r="G4" s="37" t="s">
        <v>75</v>
      </c>
      <c r="H4" s="37" t="s">
        <v>21</v>
      </c>
      <c r="I4" s="118">
        <f>COUNTIF(C4:H12,"* ضد *")</f>
        <v>30</v>
      </c>
      <c r="J4" s="121">
        <f>COUNTIF(C4:D12,"* ضد *")*2/7</f>
        <v>4</v>
      </c>
      <c r="K4" s="121">
        <f>COUNTIF(E4:H12,"* ضد *")*2/8</f>
        <v>4</v>
      </c>
      <c r="L4" s="34"/>
      <c r="M4" s="44" t="str">
        <f t="shared" ref="M4:M35" si="0">_xlfn.TEXTJOIN(" ",TRUE,C4:H4)</f>
        <v>1 ضد 5 3 ضد 6 8 ضد 15 9 ضد 14 10 ضد 13 11 ضد 12</v>
      </c>
      <c r="N4" s="34"/>
      <c r="O4" s="39">
        <v>1</v>
      </c>
      <c r="P4" s="39" cm="1">
        <f t="array" ref="P4">SUMPRODUCT(--ISNUMBER(SEARCH(" "&amp;$O4&amp;" "," "&amp;M$4:M$66&amp;" ")))</f>
        <v>28</v>
      </c>
      <c r="Q4" s="39" cm="1">
        <f t="array" ref="Q4">SUMPRODUCT(--ISNUMBER(SEARCH(" "&amp;$O4&amp;" "," "&amp;M$4:M$65&amp;" ")),--ISNUMBER(SEARCH(" "&amp;$O4&amp;" "," "&amp;M$5:M$66&amp;" ")),--(MOD(ROW(M$4:M$65)-4,$P$20)&lt;=$P$20-2))</f>
        <v>0</v>
      </c>
      <c r="R4" s="39" cm="1">
        <f t="array" ref="R4">SUMPRODUCT(--ISNUMBER(SEARCH(" "&amp;$O4&amp;" "," "&amp;M$4:M$64&amp;" ")),--ISNUMBER(SEARCH(" "&amp;$O4&amp;" "," "&amp;M$6:M$66&amp;" ")),--(MOD(ROW(M$4:M$64)-4,$P$20)&lt;=$P$20-3))</f>
        <v>15</v>
      </c>
      <c r="S4" s="39" cm="1">
        <f t="array" ref="S4">SUMPRODUCT(--ISNUMBER(SEARCH(" "&amp;$O4&amp;" "," "&amp;M$4:M$63&amp;" ")),--ISNUMBER(SEARCH(" "&amp;$O4&amp;" "," "&amp;M$7:M$66&amp;" ")),--(MOD(ROW(M$4:M$63)-4,$P$20)&lt;=$P$20-4))</f>
        <v>6</v>
      </c>
      <c r="T4" s="39">
        <f t="shared" ref="T4:T18" si="1">P4-COUNTIF($A$4:$A$66,"اليوم *")-Q4-R4-S4</f>
        <v>0</v>
      </c>
    </row>
    <row r="5" spans="1:20" ht="14.5" customHeight="1">
      <c r="A5" s="128"/>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37" t="s">
        <v>61</v>
      </c>
      <c r="D5" s="37"/>
      <c r="E5" s="124" t="s">
        <v>139</v>
      </c>
      <c r="F5" s="125"/>
      <c r="G5" s="125"/>
      <c r="H5" s="126"/>
      <c r="I5" s="119"/>
      <c r="J5" s="122"/>
      <c r="K5" s="122"/>
      <c r="L5" s="34"/>
      <c r="M5" s="44" t="str">
        <f t="shared" si="0"/>
        <v>2 ضد 7 استراحة (لا توجد مباريات)</v>
      </c>
      <c r="N5" s="34"/>
      <c r="O5" s="39">
        <v>2</v>
      </c>
      <c r="P5" s="39" cm="1">
        <f t="array" ref="P5">SUMPRODUCT(--ISNUMBER(SEARCH(" "&amp;$O5&amp;" "," "&amp;M$4:M$66&amp;" ")))</f>
        <v>28</v>
      </c>
      <c r="Q5" s="39" cm="1">
        <f t="array" ref="Q5">SUMPRODUCT(--ISNUMBER(SEARCH(" "&amp;$O5&amp;" "," "&amp;M$4:M$65&amp;" ")),--ISNUMBER(SEARCH(" "&amp;$O5&amp;" "," "&amp;M$5:M$66&amp;" ")),--(MOD(ROW(M$4:M$65)-4,$P$20)&lt;=$P$20-2))</f>
        <v>0</v>
      </c>
      <c r="R5" s="39" cm="1">
        <f t="array" ref="R5">SUMPRODUCT(--ISNUMBER(SEARCH(" "&amp;$O5&amp;" "," "&amp;M$4:M$64&amp;" ")),--ISNUMBER(SEARCH(" "&amp;$O5&amp;" "," "&amp;M$6:M$66&amp;" ")),--(MOD(ROW(M$4:M$64)-4,$P$20)&lt;=$P$20-3))</f>
        <v>15</v>
      </c>
      <c r="S5" s="39" cm="1">
        <f t="array" ref="S5">SUMPRODUCT(--ISNUMBER(SEARCH(" "&amp;$O5&amp;" "," "&amp;M$4:M$63&amp;" ")),--ISNUMBER(SEARCH(" "&amp;$O5&amp;" "," "&amp;M$7:M$66&amp;" ")),--(MOD(ROW(M$4:M$63)-4,$P$20)&lt;=$P$20-4))</f>
        <v>6</v>
      </c>
      <c r="T5" s="39">
        <f t="shared" si="1"/>
        <v>0</v>
      </c>
    </row>
    <row r="6" spans="1:20" ht="14.5" customHeight="1">
      <c r="A6" s="128"/>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63</v>
      </c>
      <c r="D6" s="37" t="s">
        <v>66</v>
      </c>
      <c r="E6" s="37" t="s">
        <v>31</v>
      </c>
      <c r="F6" s="37" t="s">
        <v>184</v>
      </c>
      <c r="G6" s="37" t="s">
        <v>29</v>
      </c>
      <c r="H6" s="37" t="s">
        <v>234</v>
      </c>
      <c r="I6" s="119"/>
      <c r="J6" s="122"/>
      <c r="K6" s="122"/>
      <c r="L6" s="34"/>
      <c r="M6" s="44" t="str">
        <f t="shared" si="0"/>
        <v>1 ضد 4 3 ضد 5 10 ضد 11 15 ضد 13 9 ضد 12 8 ضد 14</v>
      </c>
      <c r="N6" s="34"/>
      <c r="O6" s="39">
        <v>3</v>
      </c>
      <c r="P6" s="39" cm="1">
        <f t="array" ref="P6">SUMPRODUCT(--ISNUMBER(SEARCH(" "&amp;$O6&amp;" "," "&amp;M$4:M$66&amp;" ")))</f>
        <v>28</v>
      </c>
      <c r="Q6" s="39" cm="1">
        <f t="array" ref="Q6">SUMPRODUCT(--ISNUMBER(SEARCH(" "&amp;$O6&amp;" "," "&amp;M$4:M$65&amp;" ")),--ISNUMBER(SEARCH(" "&amp;$O6&amp;" "," "&amp;M$5:M$66&amp;" ")),--(MOD(ROW(M$4:M$65)-4,$P$20)&lt;=$P$20-2))</f>
        <v>0</v>
      </c>
      <c r="R6" s="39" cm="1">
        <f t="array" ref="R6">SUMPRODUCT(--ISNUMBER(SEARCH(" "&amp;$O6&amp;" "," "&amp;M$4:M$64&amp;" ")),--ISNUMBER(SEARCH(" "&amp;$O6&amp;" "," "&amp;M$6:M$66&amp;" ")),--(MOD(ROW(M$4:M$64)-4,$P$20)&lt;=$P$20-3))</f>
        <v>15</v>
      </c>
      <c r="S6" s="39" cm="1">
        <f t="array" ref="S6">SUMPRODUCT(--ISNUMBER(SEARCH(" "&amp;$O6&amp;" "," "&amp;M$4:M$63&amp;" ")),--ISNUMBER(SEARCH(" "&amp;$O6&amp;" "," "&amp;M$7:M$66&amp;" ")),--(MOD(ROW(M$4:M$63)-4,$P$20)&lt;=$P$20-4))</f>
        <v>6</v>
      </c>
      <c r="T6" s="39">
        <f t="shared" si="1"/>
        <v>0</v>
      </c>
    </row>
    <row r="7" spans="1:20" ht="14.5" customHeight="1">
      <c r="A7" s="128"/>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37" t="s">
        <v>52</v>
      </c>
      <c r="D7" s="37"/>
      <c r="E7" s="124" t="s">
        <v>139</v>
      </c>
      <c r="F7" s="125"/>
      <c r="G7" s="125"/>
      <c r="H7" s="126"/>
      <c r="I7" s="119"/>
      <c r="J7" s="122"/>
      <c r="K7" s="122"/>
      <c r="L7" s="34"/>
      <c r="M7" s="44" t="str">
        <f t="shared" si="0"/>
        <v>2 ضد 6 استراحة (لا توجد مباريات)</v>
      </c>
      <c r="N7" s="34"/>
      <c r="O7" s="39">
        <v>4</v>
      </c>
      <c r="P7" s="39" cm="1">
        <f t="array" ref="P7">SUMPRODUCT(--ISNUMBER(SEARCH(" "&amp;$O7&amp;" "," "&amp;M$4:M$66&amp;" ")))</f>
        <v>28</v>
      </c>
      <c r="Q7" s="39" cm="1">
        <f t="array" ref="Q7">SUMPRODUCT(--ISNUMBER(SEARCH(" "&amp;$O7&amp;" "," "&amp;M$4:M$65&amp;" ")),--ISNUMBER(SEARCH(" "&amp;$O7&amp;" "," "&amp;M$5:M$66&amp;" ")),--(MOD(ROW(M$4:M$65)-4,$P$20)&lt;=$P$20-2))</f>
        <v>0</v>
      </c>
      <c r="R7" s="39" cm="1">
        <f t="array" ref="R7">SUMPRODUCT(--ISNUMBER(SEARCH(" "&amp;$O7&amp;" "," "&amp;M$4:M$64&amp;" ")),--ISNUMBER(SEARCH(" "&amp;$O7&amp;" "," "&amp;M$6:M$66&amp;" ")),--(MOD(ROW(M$4:M$64)-4,$P$20)&lt;=$P$20-3))</f>
        <v>15</v>
      </c>
      <c r="S7" s="39" cm="1">
        <f t="array" ref="S7">SUMPRODUCT(--ISNUMBER(SEARCH(" "&amp;$O7&amp;" "," "&amp;M$4:M$63&amp;" ")),--ISNUMBER(SEARCH(" "&amp;$O7&amp;" "," "&amp;M$7:M$66&amp;" ")),--(MOD(ROW(M$4:M$63)-4,$P$20)&lt;=$P$20-4))</f>
        <v>6</v>
      </c>
      <c r="T7" s="39">
        <f t="shared" si="1"/>
        <v>0</v>
      </c>
    </row>
    <row r="8" spans="1:20" ht="14.5" customHeight="1">
      <c r="A8" s="128"/>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50</v>
      </c>
      <c r="D8" s="37" t="s">
        <v>25</v>
      </c>
      <c r="E8" s="37" t="s">
        <v>186</v>
      </c>
      <c r="F8" s="37" t="s">
        <v>71</v>
      </c>
      <c r="G8" s="37" t="s">
        <v>187</v>
      </c>
      <c r="H8" s="37" t="s">
        <v>48</v>
      </c>
      <c r="I8" s="119"/>
      <c r="J8" s="122"/>
      <c r="K8" s="122"/>
      <c r="L8" s="34"/>
      <c r="M8" s="44" t="str">
        <f t="shared" si="0"/>
        <v>3 ضد 4 5 ضد 7 14 ضد 12 8 ضد 13 15 ضد 11 9 ضد 10</v>
      </c>
      <c r="N8" s="34"/>
      <c r="O8" s="39">
        <v>5</v>
      </c>
      <c r="P8" s="39" cm="1">
        <f t="array" ref="P8">SUMPRODUCT(--ISNUMBER(SEARCH(" "&amp;$O8&amp;" "," "&amp;M$4:M$66&amp;" ")))</f>
        <v>28</v>
      </c>
      <c r="Q8" s="39" cm="1">
        <f t="array" ref="Q8">SUMPRODUCT(--ISNUMBER(SEARCH(" "&amp;$O8&amp;" "," "&amp;M$4:M$65&amp;" ")),--ISNUMBER(SEARCH(" "&amp;$O8&amp;" "," "&amp;M$5:M$66&amp;" ")),--(MOD(ROW(M$4:M$65)-4,$P$20)&lt;=$P$20-2))</f>
        <v>0</v>
      </c>
      <c r="R8" s="39" cm="1">
        <f t="array" ref="R8">SUMPRODUCT(--ISNUMBER(SEARCH(" "&amp;$O8&amp;" "," "&amp;M$4:M$64&amp;" ")),--ISNUMBER(SEARCH(" "&amp;$O8&amp;" "," "&amp;M$6:M$66&amp;" ")),--(MOD(ROW(M$4:M$64)-4,$P$20)&lt;=$P$20-3))</f>
        <v>15</v>
      </c>
      <c r="S8" s="39" cm="1">
        <f t="array" ref="S8">SUMPRODUCT(--ISNUMBER(SEARCH(" "&amp;$O8&amp;" "," "&amp;M$4:M$63&amp;" ")),--ISNUMBER(SEARCH(" "&amp;$O8&amp;" "," "&amp;M$7:M$66&amp;" ")),--(MOD(ROW(M$4:M$63)-4,$P$20)&lt;=$P$20-4))</f>
        <v>6</v>
      </c>
      <c r="T8" s="39">
        <f t="shared" si="1"/>
        <v>0</v>
      </c>
    </row>
    <row r="9" spans="1:20" ht="14.5" customHeight="1">
      <c r="A9" s="128"/>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37" t="s">
        <v>38</v>
      </c>
      <c r="D9" s="37"/>
      <c r="E9" s="124" t="s">
        <v>139</v>
      </c>
      <c r="F9" s="125"/>
      <c r="G9" s="125"/>
      <c r="H9" s="126"/>
      <c r="I9" s="119"/>
      <c r="J9" s="122"/>
      <c r="K9" s="122"/>
      <c r="L9" s="34"/>
      <c r="M9" s="44" t="str">
        <f t="shared" si="0"/>
        <v>1 ضد 6 استراحة (لا توجد مباريات)</v>
      </c>
      <c r="N9" s="34"/>
      <c r="O9" s="39">
        <v>6</v>
      </c>
      <c r="P9" s="39" cm="1">
        <f t="array" ref="P9">SUMPRODUCT(--ISNUMBER(SEARCH(" "&amp;$O9&amp;" "," "&amp;M$4:M$66&amp;" ")))</f>
        <v>28</v>
      </c>
      <c r="Q9" s="39" cm="1">
        <f t="array" ref="Q9">SUMPRODUCT(--ISNUMBER(SEARCH(" "&amp;$O9&amp;" "," "&amp;M$4:M$65&amp;" ")),--ISNUMBER(SEARCH(" "&amp;$O9&amp;" "," "&amp;M$5:M$66&amp;" ")),--(MOD(ROW(M$4:M$65)-4,$P$20)&lt;=$P$20-2))</f>
        <v>0</v>
      </c>
      <c r="R9" s="39" cm="1">
        <f t="array" ref="R9">SUMPRODUCT(--ISNUMBER(SEARCH(" "&amp;$O9&amp;" "," "&amp;M$4:M$64&amp;" ")),--ISNUMBER(SEARCH(" "&amp;$O9&amp;" "," "&amp;M$6:M$66&amp;" ")),--(MOD(ROW(M$4:M$64)-4,$P$20)&lt;=$P$20-3))</f>
        <v>15</v>
      </c>
      <c r="S9" s="39" cm="1">
        <f t="array" ref="S9">SUMPRODUCT(--ISNUMBER(SEARCH(" "&amp;$O9&amp;" "," "&amp;M$4:M$63&amp;" ")),--ISNUMBER(SEARCH(" "&amp;$O9&amp;" "," "&amp;M$7:M$66&amp;" ")),--(MOD(ROW(M$4:M$63)-4,$P$20)&lt;=$P$20-4))</f>
        <v>6</v>
      </c>
      <c r="T9" s="39">
        <f t="shared" si="1"/>
        <v>0</v>
      </c>
    </row>
    <row r="10" spans="1:20" ht="14.5" customHeight="1">
      <c r="A10" s="128"/>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37</v>
      </c>
      <c r="D10" s="37" t="s">
        <v>43</v>
      </c>
      <c r="E10" s="37" t="s">
        <v>188</v>
      </c>
      <c r="F10" s="37" t="s">
        <v>189</v>
      </c>
      <c r="G10" s="37" t="s">
        <v>42</v>
      </c>
      <c r="H10" s="37" t="s">
        <v>180</v>
      </c>
      <c r="I10" s="119"/>
      <c r="J10" s="122"/>
      <c r="K10" s="122"/>
      <c r="L10" s="34"/>
      <c r="M10" s="44" t="str">
        <f t="shared" si="0"/>
        <v>2 ضد 3 4 ضد 7 13 ضد 11 14 ضد 10 8 ضد 12 15 ضد 9</v>
      </c>
      <c r="N10" s="34"/>
      <c r="O10" s="39">
        <v>7</v>
      </c>
      <c r="P10" s="39" cm="1">
        <f t="array" ref="P10">SUMPRODUCT(--ISNUMBER(SEARCH(" "&amp;$O10&amp;" "," "&amp;M$4:M$66&amp;" ")))</f>
        <v>28</v>
      </c>
      <c r="Q10" s="39" cm="1">
        <f t="array" ref="Q10">SUMPRODUCT(--ISNUMBER(SEARCH(" "&amp;$O10&amp;" "," "&amp;M$4:M$65&amp;" ")),--ISNUMBER(SEARCH(" "&amp;$O10&amp;" "," "&amp;M$5:M$66&amp;" ")),--(MOD(ROW(M$4:M$65)-4,$P$20)&lt;=$P$20-2))</f>
        <v>0</v>
      </c>
      <c r="R10" s="39" cm="1">
        <f t="array" ref="R10">SUMPRODUCT(--ISNUMBER(SEARCH(" "&amp;$O10&amp;" "," "&amp;M$4:M$64&amp;" ")),--ISNUMBER(SEARCH(" "&amp;$O10&amp;" "," "&amp;M$6:M$66&amp;" ")),--(MOD(ROW(M$4:M$64)-4,$P$20)&lt;=$P$20-3))</f>
        <v>15</v>
      </c>
      <c r="S10" s="39" cm="1">
        <f t="array" ref="S10">SUMPRODUCT(--ISNUMBER(SEARCH(" "&amp;$O10&amp;" "," "&amp;M$4:M$63&amp;" ")),--ISNUMBER(SEARCH(" "&amp;$O10&amp;" "," "&amp;M$7:M$66&amp;" ")),--(MOD(ROW(M$4:M$63)-4,$P$20)&lt;=$P$20-4))</f>
        <v>6</v>
      </c>
      <c r="T10" s="39">
        <f t="shared" si="1"/>
        <v>0</v>
      </c>
    </row>
    <row r="11" spans="1:20" ht="14.5" customHeight="1">
      <c r="A11" s="128"/>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t="s">
        <v>55</v>
      </c>
      <c r="D11" s="37"/>
      <c r="E11" s="124" t="s">
        <v>139</v>
      </c>
      <c r="F11" s="125"/>
      <c r="G11" s="125"/>
      <c r="H11" s="126"/>
      <c r="I11" s="119"/>
      <c r="J11" s="122"/>
      <c r="K11" s="122"/>
      <c r="L11" s="34"/>
      <c r="M11" s="44" t="str">
        <f t="shared" si="0"/>
        <v>5 ضد 6 استراحة (لا توجد مباريات)</v>
      </c>
      <c r="N11" s="34"/>
      <c r="O11" s="39">
        <v>8</v>
      </c>
      <c r="P11" s="39" cm="1">
        <f t="array" ref="P11">SUMPRODUCT(--ISNUMBER(SEARCH(" "&amp;$O11&amp;" "," "&amp;M$4:M$66&amp;" ")))</f>
        <v>28</v>
      </c>
      <c r="Q11" s="39" cm="1">
        <f t="array" ref="Q11">SUMPRODUCT(--ISNUMBER(SEARCH(" "&amp;$O11&amp;" "," "&amp;M$4:M$65&amp;" ")),--ISNUMBER(SEARCH(" "&amp;$O11&amp;" "," "&amp;M$5:M$66&amp;" ")),--(MOD(ROW(M$4:M$65)-4,$P$20)&lt;=$P$20-2))</f>
        <v>0</v>
      </c>
      <c r="R11" s="39" cm="1">
        <f t="array" ref="R11">SUMPRODUCT(--ISNUMBER(SEARCH(" "&amp;$O11&amp;" "," "&amp;M$4:M$64&amp;" ")),--ISNUMBER(SEARCH(" "&amp;$O11&amp;" "," "&amp;M$6:M$66&amp;" ")),--(MOD(ROW(M$4:M$64)-4,$P$20)&lt;=$P$20-3))</f>
        <v>21</v>
      </c>
      <c r="S11" s="39" cm="1">
        <f t="array" ref="S11">SUMPRODUCT(--ISNUMBER(SEARCH(" "&amp;$O11&amp;" "," "&amp;M$4:M$63&amp;" ")),--ISNUMBER(SEARCH(" "&amp;$O11&amp;" "," "&amp;M$7:M$66&amp;" ")),--(MOD(ROW(M$4:M$63)-4,$P$20)&lt;=$P$20-4))</f>
        <v>0</v>
      </c>
      <c r="T11" s="39">
        <f t="shared" si="1"/>
        <v>0</v>
      </c>
    </row>
    <row r="12" spans="1:20" ht="14.5" customHeight="1">
      <c r="A12" s="129"/>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t="s">
        <v>160</v>
      </c>
      <c r="D12" s="37" t="s">
        <v>47</v>
      </c>
      <c r="E12" s="124" t="s">
        <v>139</v>
      </c>
      <c r="F12" s="125"/>
      <c r="G12" s="125"/>
      <c r="H12" s="126"/>
      <c r="I12" s="120"/>
      <c r="J12" s="123"/>
      <c r="K12" s="123"/>
      <c r="L12" s="34"/>
      <c r="M12" s="44" t="str">
        <f t="shared" si="0"/>
        <v>4 ضد 2 1 ضد 7 استراحة (لا توجد مباريات)</v>
      </c>
      <c r="N12" s="34"/>
      <c r="O12" s="39">
        <v>9</v>
      </c>
      <c r="P12" s="39" cm="1">
        <f t="array" ref="P12">SUMPRODUCT(--ISNUMBER(SEARCH(" "&amp;$O12&amp;" "," "&amp;M$4:M$66&amp;" ")))</f>
        <v>28</v>
      </c>
      <c r="Q12" s="39" cm="1">
        <f t="array" ref="Q12">SUMPRODUCT(--ISNUMBER(SEARCH(" "&amp;$O12&amp;" "," "&amp;M$4:M$65&amp;" ")),--ISNUMBER(SEARCH(" "&amp;$O12&amp;" "," "&amp;M$5:M$66&amp;" ")),--(MOD(ROW(M$4:M$65)-4,$P$20)&lt;=$P$20-2))</f>
        <v>0</v>
      </c>
      <c r="R12" s="39" cm="1">
        <f t="array" ref="R12">SUMPRODUCT(--ISNUMBER(SEARCH(" "&amp;$O12&amp;" "," "&amp;M$4:M$64&amp;" ")),--ISNUMBER(SEARCH(" "&amp;$O12&amp;" "," "&amp;M$6:M$66&amp;" ")),--(MOD(ROW(M$4:M$64)-4,$P$20)&lt;=$P$20-3))</f>
        <v>21</v>
      </c>
      <c r="S12" s="39" cm="1">
        <f t="array" ref="S12">SUMPRODUCT(--ISNUMBER(SEARCH(" "&amp;$O12&amp;" "," "&amp;M$4:M$63&amp;" ")),--ISNUMBER(SEARCH(" "&amp;$O12&amp;" "," "&amp;M$7:M$66&amp;" ")),--(MOD(ROW(M$4:M$63)-4,$P$20)&lt;=$P$20-4))</f>
        <v>0</v>
      </c>
      <c r="T12" s="39">
        <f t="shared" si="1"/>
        <v>0</v>
      </c>
    </row>
    <row r="13" spans="1:20" ht="14.5" customHeight="1">
      <c r="A13" s="127" t="s">
        <v>6</v>
      </c>
      <c r="B13"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37" t="s">
        <v>44</v>
      </c>
      <c r="D13" s="37" t="s">
        <v>28</v>
      </c>
      <c r="E13" s="37" t="s">
        <v>212</v>
      </c>
      <c r="F13" s="37" t="s">
        <v>49</v>
      </c>
      <c r="G13" s="37" t="s">
        <v>96</v>
      </c>
      <c r="H13" s="37" t="s">
        <v>172</v>
      </c>
      <c r="I13" s="118">
        <f>COUNTIF(C13:H21,"* ضد *")</f>
        <v>30</v>
      </c>
      <c r="J13" s="121">
        <f>COUNTIF(C13:D21,"* ضد *")*2/7</f>
        <v>4</v>
      </c>
      <c r="K13" s="121">
        <f>COUNTIF(E13:H21,"* ضد *")*2/8</f>
        <v>4</v>
      </c>
      <c r="L13" s="34"/>
      <c r="M13" s="44" t="str">
        <f t="shared" si="0"/>
        <v>2 ضد 5 4 ضد 6 13 ضد 9 8 ضد 11 14 ضد 15 12 ضد 10</v>
      </c>
      <c r="N13" s="34"/>
      <c r="O13" s="39">
        <v>10</v>
      </c>
      <c r="P13" s="39" cm="1">
        <f t="array" ref="P13">SUMPRODUCT(--ISNUMBER(SEARCH(" "&amp;$O13&amp;" "," "&amp;M$4:M$66&amp;" ")))</f>
        <v>28</v>
      </c>
      <c r="Q13" s="39" cm="1">
        <f t="array" ref="Q13">SUMPRODUCT(--ISNUMBER(SEARCH(" "&amp;$O13&amp;" "," "&amp;M$4:M$65&amp;" ")),--ISNUMBER(SEARCH(" "&amp;$O13&amp;" "," "&amp;M$5:M$66&amp;" ")),--(MOD(ROW(M$4:M$65)-4,$P$20)&lt;=$P$20-2))</f>
        <v>0</v>
      </c>
      <c r="R13" s="39" cm="1">
        <f t="array" ref="R13">SUMPRODUCT(--ISNUMBER(SEARCH(" "&amp;$O13&amp;" "," "&amp;M$4:M$64&amp;" ")),--ISNUMBER(SEARCH(" "&amp;$O13&amp;" "," "&amp;M$6:M$66&amp;" ")),--(MOD(ROW(M$4:M$64)-4,$P$20)&lt;=$P$20-3))</f>
        <v>21</v>
      </c>
      <c r="S13" s="39" cm="1">
        <f t="array" ref="S13">SUMPRODUCT(--ISNUMBER(SEARCH(" "&amp;$O13&amp;" "," "&amp;M$4:M$63&amp;" ")),--ISNUMBER(SEARCH(" "&amp;$O13&amp;" "," "&amp;M$7:M$66&amp;" ")),--(MOD(ROW(M$4:M$63)-4,$P$20)&lt;=$P$20-4))</f>
        <v>0</v>
      </c>
      <c r="T13" s="39">
        <f t="shared" si="1"/>
        <v>0</v>
      </c>
    </row>
    <row r="14" spans="1:20" ht="14.5" customHeight="1">
      <c r="A14" s="128"/>
      <c r="B14"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37" t="s">
        <v>56</v>
      </c>
      <c r="D14" s="37"/>
      <c r="E14" s="124" t="s">
        <v>139</v>
      </c>
      <c r="F14" s="125"/>
      <c r="G14" s="125"/>
      <c r="H14" s="126"/>
      <c r="I14" s="119"/>
      <c r="J14" s="122"/>
      <c r="K14" s="122"/>
      <c r="L14" s="34"/>
      <c r="M14" s="44" t="str">
        <f t="shared" si="0"/>
        <v>3 ضد 7 استراحة (لا توجد مباريات)</v>
      </c>
      <c r="N14" s="34"/>
      <c r="O14" s="39">
        <v>11</v>
      </c>
      <c r="P14" s="39" cm="1">
        <f t="array" ref="P14">SUMPRODUCT(--ISNUMBER(SEARCH(" "&amp;$O14&amp;" "," "&amp;M$4:M$66&amp;" ")))</f>
        <v>28</v>
      </c>
      <c r="Q14" s="39" cm="1">
        <f t="array" ref="Q14">SUMPRODUCT(--ISNUMBER(SEARCH(" "&amp;$O14&amp;" "," "&amp;M$4:M$65&amp;" ")),--ISNUMBER(SEARCH(" "&amp;$O14&amp;" "," "&amp;M$5:M$66&amp;" ")),--(MOD(ROW(M$4:M$65)-4,$P$20)&lt;=$P$20-2))</f>
        <v>0</v>
      </c>
      <c r="R14" s="39" cm="1">
        <f t="array" ref="R14">SUMPRODUCT(--ISNUMBER(SEARCH(" "&amp;$O14&amp;" "," "&amp;M$4:M$64&amp;" ")),--ISNUMBER(SEARCH(" "&amp;$O14&amp;" "," "&amp;M$6:M$66&amp;" ")),--(MOD(ROW(M$4:M$64)-4,$P$20)&lt;=$P$20-3))</f>
        <v>21</v>
      </c>
      <c r="S14" s="39" cm="1">
        <f t="array" ref="S14">SUMPRODUCT(--ISNUMBER(SEARCH(" "&amp;$O14&amp;" "," "&amp;M$4:M$63&amp;" ")),--ISNUMBER(SEARCH(" "&amp;$O14&amp;" "," "&amp;M$7:M$66&amp;" ")),--(MOD(ROW(M$4:M$63)-4,$P$20)&lt;=$P$20-4))</f>
        <v>0</v>
      </c>
      <c r="T14" s="39">
        <f t="shared" si="1"/>
        <v>0</v>
      </c>
    </row>
    <row r="15" spans="1:20" ht="14.5" customHeight="1">
      <c r="A15" s="128"/>
      <c r="B15"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37" t="s">
        <v>30</v>
      </c>
      <c r="D15" s="37" t="s">
        <v>46</v>
      </c>
      <c r="E15" s="37" t="s">
        <v>27</v>
      </c>
      <c r="F15" s="37" t="s">
        <v>103</v>
      </c>
      <c r="G15" s="37" t="s">
        <v>173</v>
      </c>
      <c r="H15" s="37" t="s">
        <v>80</v>
      </c>
      <c r="I15" s="119"/>
      <c r="J15" s="122"/>
      <c r="K15" s="122"/>
      <c r="L15" s="34"/>
      <c r="M15" s="44" t="str">
        <f t="shared" si="0"/>
        <v>1 ضد 2 4 ضد 5 8 ضد 10 12 ضد 15 11 ضد 9 13 ضد 14</v>
      </c>
      <c r="N15" s="34"/>
      <c r="O15" s="39">
        <v>12</v>
      </c>
      <c r="P15" s="39" cm="1">
        <f t="array" ref="P15">SUMPRODUCT(--ISNUMBER(SEARCH(" "&amp;$O15&amp;" "," "&amp;M$4:M$66&amp;" ")))</f>
        <v>28</v>
      </c>
      <c r="Q15" s="39" cm="1">
        <f t="array" ref="Q15">SUMPRODUCT(--ISNUMBER(SEARCH(" "&amp;$O15&amp;" "," "&amp;M$4:M$65&amp;" ")),--ISNUMBER(SEARCH(" "&amp;$O15&amp;" "," "&amp;M$5:M$66&amp;" ")),--(MOD(ROW(M$4:M$65)-4,$P$20)&lt;=$P$20-2))</f>
        <v>0</v>
      </c>
      <c r="R15" s="39" cm="1">
        <f t="array" ref="R15">SUMPRODUCT(--ISNUMBER(SEARCH(" "&amp;$O15&amp;" "," "&amp;M$4:M$64&amp;" ")),--ISNUMBER(SEARCH(" "&amp;$O15&amp;" "," "&amp;M$6:M$66&amp;" ")),--(MOD(ROW(M$4:M$64)-4,$P$20)&lt;=$P$20-3))</f>
        <v>21</v>
      </c>
      <c r="S15" s="39" cm="1">
        <f t="array" ref="S15">SUMPRODUCT(--ISNUMBER(SEARCH(" "&amp;$O15&amp;" "," "&amp;M$4:M$63&amp;" ")),--ISNUMBER(SEARCH(" "&amp;$O15&amp;" "," "&amp;M$7:M$66&amp;" ")),--(MOD(ROW(M$4:M$63)-4,$P$20)&lt;=$P$20-4))</f>
        <v>0</v>
      </c>
      <c r="T15" s="39">
        <f t="shared" si="1"/>
        <v>0</v>
      </c>
    </row>
    <row r="16" spans="1:20" ht="14.5" customHeight="1">
      <c r="A16" s="128"/>
      <c r="B16"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37" t="s">
        <v>33</v>
      </c>
      <c r="D16" s="37"/>
      <c r="E16" s="124" t="s">
        <v>139</v>
      </c>
      <c r="F16" s="125"/>
      <c r="G16" s="125"/>
      <c r="H16" s="126"/>
      <c r="I16" s="119"/>
      <c r="J16" s="122"/>
      <c r="K16" s="122"/>
      <c r="L16" s="34"/>
      <c r="M16" s="44" t="str">
        <f t="shared" si="0"/>
        <v>6 ضد 7 استراحة (لا توجد مباريات)</v>
      </c>
      <c r="N16" s="34"/>
      <c r="O16" s="39">
        <v>13</v>
      </c>
      <c r="P16" s="39" cm="1">
        <f t="array" ref="P16">SUMPRODUCT(--ISNUMBER(SEARCH(" "&amp;$O16&amp;" "," "&amp;M$4:M$66&amp;" ")))</f>
        <v>28</v>
      </c>
      <c r="Q16" s="39" cm="1">
        <f t="array" ref="Q16">SUMPRODUCT(--ISNUMBER(SEARCH(" "&amp;$O16&amp;" "," "&amp;M$4:M$65&amp;" ")),--ISNUMBER(SEARCH(" "&amp;$O16&amp;" "," "&amp;M$5:M$66&amp;" ")),--(MOD(ROW(M$4:M$65)-4,$P$20)&lt;=$P$20-2))</f>
        <v>0</v>
      </c>
      <c r="R16" s="39" cm="1">
        <f t="array" ref="R16">SUMPRODUCT(--ISNUMBER(SEARCH(" "&amp;$O16&amp;" "," "&amp;M$4:M$64&amp;" ")),--ISNUMBER(SEARCH(" "&amp;$O16&amp;" "," "&amp;M$6:M$66&amp;" ")),--(MOD(ROW(M$4:M$64)-4,$P$20)&lt;=$P$20-3))</f>
        <v>21</v>
      </c>
      <c r="S16" s="39" cm="1">
        <f t="array" ref="S16">SUMPRODUCT(--ISNUMBER(SEARCH(" "&amp;$O16&amp;" "," "&amp;M$4:M$63&amp;" ")),--ISNUMBER(SEARCH(" "&amp;$O16&amp;" "," "&amp;M$7:M$66&amp;" ")),--(MOD(ROW(M$4:M$63)-4,$P$20)&lt;=$P$20-4))</f>
        <v>0</v>
      </c>
      <c r="T16" s="39">
        <f t="shared" si="1"/>
        <v>0</v>
      </c>
    </row>
    <row r="17" spans="1:20" ht="14.5" customHeight="1">
      <c r="A17" s="128"/>
      <c r="B17"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37" t="s">
        <v>20</v>
      </c>
      <c r="D17" s="37" t="s">
        <v>70</v>
      </c>
      <c r="E17" s="37" t="s">
        <v>79</v>
      </c>
      <c r="F17" s="37" t="s">
        <v>73</v>
      </c>
      <c r="G17" s="37" t="s">
        <v>67</v>
      </c>
      <c r="H17" s="37" t="s">
        <v>104</v>
      </c>
      <c r="I17" s="119"/>
      <c r="J17" s="122"/>
      <c r="K17" s="122"/>
      <c r="L17" s="34"/>
      <c r="M17" s="44" t="str">
        <f t="shared" si="0"/>
        <v>1 ضد 3 2 ضد 4 11 ضد 14 12 ضد 13 8 ضد 9 10 ضد 15</v>
      </c>
      <c r="N17" s="34"/>
      <c r="O17" s="39">
        <v>14</v>
      </c>
      <c r="P17" s="39" cm="1">
        <f t="array" ref="P17">SUMPRODUCT(--ISNUMBER(SEARCH(" "&amp;$O17&amp;" "," "&amp;M$4:M$66&amp;" ")))</f>
        <v>28</v>
      </c>
      <c r="Q17" s="39" cm="1">
        <f t="array" ref="Q17">SUMPRODUCT(--ISNUMBER(SEARCH(" "&amp;$O17&amp;" "," "&amp;M$4:M$65&amp;" ")),--ISNUMBER(SEARCH(" "&amp;$O17&amp;" "," "&amp;M$5:M$66&amp;" ")),--(MOD(ROW(M$4:M$65)-4,$P$20)&lt;=$P$20-2))</f>
        <v>0</v>
      </c>
      <c r="R17" s="39" cm="1">
        <f t="array" ref="R17">SUMPRODUCT(--ISNUMBER(SEARCH(" "&amp;$O17&amp;" "," "&amp;M$4:M$64&amp;" ")),--ISNUMBER(SEARCH(" "&amp;$O17&amp;" "," "&amp;M$6:M$66&amp;" ")),--(MOD(ROW(M$4:M$64)-4,$P$20)&lt;=$P$20-3))</f>
        <v>21</v>
      </c>
      <c r="S17" s="39" cm="1">
        <f t="array" ref="S17">SUMPRODUCT(--ISNUMBER(SEARCH(" "&amp;$O17&amp;" "," "&amp;M$4:M$63&amp;" ")),--ISNUMBER(SEARCH(" "&amp;$O17&amp;" "," "&amp;M$7:M$66&amp;" ")),--(MOD(ROW(M$4:M$63)-4,$P$20)&lt;=$P$20-4))</f>
        <v>0</v>
      </c>
      <c r="T17" s="39">
        <f t="shared" si="1"/>
        <v>0</v>
      </c>
    </row>
    <row r="18" spans="1:20" ht="14.5" customHeight="1">
      <c r="A18" s="128"/>
      <c r="B18"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37" t="s">
        <v>25</v>
      </c>
      <c r="D18" s="37"/>
      <c r="E18" s="124" t="s">
        <v>139</v>
      </c>
      <c r="F18" s="125"/>
      <c r="G18" s="125"/>
      <c r="H18" s="126"/>
      <c r="I18" s="119"/>
      <c r="J18" s="122"/>
      <c r="K18" s="122"/>
      <c r="L18" s="34"/>
      <c r="M18" s="44" t="str">
        <f t="shared" si="0"/>
        <v>5 ضد 7 استراحة (لا توجد مباريات)</v>
      </c>
      <c r="N18" s="34"/>
      <c r="O18" s="39">
        <v>15</v>
      </c>
      <c r="P18" s="39" cm="1">
        <f t="array" ref="P18">SUMPRODUCT(--ISNUMBER(SEARCH(" "&amp;$O18&amp;" "," "&amp;M$4:M$66&amp;" ")))</f>
        <v>28</v>
      </c>
      <c r="Q18" s="39" cm="1">
        <f t="array" ref="Q18">SUMPRODUCT(--ISNUMBER(SEARCH(" "&amp;$O18&amp;" "," "&amp;M$4:M$65&amp;" ")),--ISNUMBER(SEARCH(" "&amp;$O18&amp;" "," "&amp;M$5:M$66&amp;" ")),--(MOD(ROW(M$4:M$65)-4,$P$20)&lt;=$P$20-2))</f>
        <v>0</v>
      </c>
      <c r="R18" s="39" cm="1">
        <f t="array" ref="R18">SUMPRODUCT(--ISNUMBER(SEARCH(" "&amp;$O18&amp;" "," "&amp;M$4:M$64&amp;" ")),--ISNUMBER(SEARCH(" "&amp;$O18&amp;" "," "&amp;M$6:M$66&amp;" ")),--(MOD(ROW(M$4:M$64)-4,$P$20)&lt;=$P$20-3))</f>
        <v>21</v>
      </c>
      <c r="S18" s="39" cm="1">
        <f t="array" ref="S18">SUMPRODUCT(--ISNUMBER(SEARCH(" "&amp;$O18&amp;" "," "&amp;M$4:M$63&amp;" ")),--ISNUMBER(SEARCH(" "&amp;$O18&amp;" "," "&amp;M$7:M$66&amp;" ")),--(MOD(ROW(M$4:M$63)-4,$P$20)&lt;=$P$20-4))</f>
        <v>0</v>
      </c>
      <c r="T18" s="39">
        <f t="shared" si="1"/>
        <v>0</v>
      </c>
    </row>
    <row r="19" spans="1:20" ht="14.5" customHeight="1">
      <c r="A19" s="128"/>
      <c r="B19"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37" t="s">
        <v>38</v>
      </c>
      <c r="D19" s="37" t="s">
        <v>37</v>
      </c>
      <c r="E19" s="37" t="s">
        <v>152</v>
      </c>
      <c r="F19" s="37" t="s">
        <v>21</v>
      </c>
      <c r="G19" s="37" t="s">
        <v>75</v>
      </c>
      <c r="H19" s="37" t="s">
        <v>211</v>
      </c>
      <c r="I19" s="119"/>
      <c r="J19" s="122"/>
      <c r="K19" s="122"/>
      <c r="L19" s="34"/>
      <c r="M19" s="44" t="str">
        <f t="shared" si="0"/>
        <v>1 ضد 6 2 ضد 3 9 ضد 14 11 ضد 12 10 ضد 13 8 ضد 15</v>
      </c>
      <c r="N19" s="34"/>
      <c r="O19" s="45" t="s">
        <v>249</v>
      </c>
      <c r="P19" s="45">
        <f>SUM(P4:P18)</f>
        <v>420</v>
      </c>
      <c r="Q19" s="45">
        <f>SUM(Q4:Q18)</f>
        <v>0</v>
      </c>
      <c r="R19" s="45">
        <f>SUM(R4:R18)</f>
        <v>273</v>
      </c>
      <c r="S19" s="45">
        <f>SUM(S4:S18)</f>
        <v>42</v>
      </c>
      <c r="T19" s="45">
        <f>SUM(T4:T18)</f>
        <v>0</v>
      </c>
    </row>
    <row r="20" spans="1:20" ht="14.5" customHeight="1">
      <c r="A20" s="128"/>
      <c r="B20"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37" t="s">
        <v>43</v>
      </c>
      <c r="D20" s="37"/>
      <c r="E20" s="124" t="s">
        <v>139</v>
      </c>
      <c r="F20" s="125"/>
      <c r="G20" s="125"/>
      <c r="H20" s="126"/>
      <c r="I20" s="119"/>
      <c r="J20" s="122"/>
      <c r="K20" s="122"/>
      <c r="L20" s="34"/>
      <c r="M20" s="44" t="str">
        <f t="shared" si="0"/>
        <v>4 ضد 7 استراحة (لا توجد مباريات)</v>
      </c>
      <c r="N20" s="34"/>
      <c r="O20" s="39" t="s">
        <v>250</v>
      </c>
      <c r="P20" s="52">
        <v>9</v>
      </c>
      <c r="Q20" s="39"/>
      <c r="R20" s="39"/>
      <c r="S20" s="39"/>
      <c r="T20" s="39"/>
    </row>
    <row r="21" spans="1:20" ht="14.5" customHeight="1">
      <c r="A21" s="129"/>
      <c r="B21"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37" t="s">
        <v>40</v>
      </c>
      <c r="D21" s="37" t="s">
        <v>62</v>
      </c>
      <c r="E21" s="124" t="s">
        <v>139</v>
      </c>
      <c r="F21" s="125"/>
      <c r="G21" s="125"/>
      <c r="H21" s="126"/>
      <c r="I21" s="120"/>
      <c r="J21" s="123"/>
      <c r="K21" s="123"/>
      <c r="L21" s="34"/>
      <c r="M21" s="44" t="str">
        <f t="shared" si="0"/>
        <v>1 ضد 5 3 ضد 6 استراحة (لا توجد مباريات)</v>
      </c>
      <c r="N21" s="34"/>
      <c r="O21" s="34"/>
      <c r="P21" s="34"/>
      <c r="Q21" s="34"/>
      <c r="R21" s="34"/>
      <c r="S21" s="34"/>
      <c r="T21" s="34"/>
    </row>
    <row r="22" spans="1:20" ht="14.5" customHeight="1">
      <c r="A22" s="127" t="s">
        <v>7</v>
      </c>
      <c r="B2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37" t="s">
        <v>28</v>
      </c>
      <c r="D22" s="37" t="s">
        <v>61</v>
      </c>
      <c r="E22" s="37" t="s">
        <v>184</v>
      </c>
      <c r="F22" s="37" t="s">
        <v>31</v>
      </c>
      <c r="G22" s="37" t="s">
        <v>234</v>
      </c>
      <c r="H22" s="37" t="s">
        <v>29</v>
      </c>
      <c r="I22" s="118">
        <f>COUNTIF(C22:H30,"* ضد *")</f>
        <v>30</v>
      </c>
      <c r="J22" s="121">
        <f>COUNTIF(C22:D30,"* ضد *")*2/7</f>
        <v>4</v>
      </c>
      <c r="K22" s="121">
        <f>COUNTIF(E22:H30,"* ضد *")*2/8</f>
        <v>4</v>
      </c>
      <c r="L22" s="34"/>
      <c r="M22" s="44" t="str">
        <f t="shared" si="0"/>
        <v>4 ضد 6 2 ضد 7 15 ضد 13 10 ضد 11 8 ضد 14 9 ضد 12</v>
      </c>
      <c r="N22" s="34"/>
      <c r="O22" s="34"/>
      <c r="P22" s="34"/>
      <c r="Q22" s="34"/>
      <c r="R22" s="34"/>
      <c r="S22" s="34"/>
      <c r="T22" s="34"/>
    </row>
    <row r="23" spans="1:20" ht="14.5" customHeight="1">
      <c r="A23" s="128"/>
      <c r="B2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37" t="s">
        <v>20</v>
      </c>
      <c r="D23" s="37"/>
      <c r="E23" s="124" t="s">
        <v>139</v>
      </c>
      <c r="F23" s="125"/>
      <c r="G23" s="125"/>
      <c r="H23" s="126"/>
      <c r="I23" s="119"/>
      <c r="J23" s="122"/>
      <c r="K23" s="122"/>
      <c r="L23" s="34"/>
      <c r="M23" s="44" t="str">
        <f t="shared" si="0"/>
        <v>1 ضد 3 استراحة (لا توجد مباريات)</v>
      </c>
      <c r="N23" s="34"/>
      <c r="O23" s="34"/>
      <c r="P23" s="34"/>
      <c r="Q23" s="34"/>
      <c r="R23" s="34"/>
      <c r="S23" s="34"/>
      <c r="T23" s="34"/>
    </row>
    <row r="24" spans="1:20" ht="14.5" customHeight="1">
      <c r="A24" s="128"/>
      <c r="B2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37" t="s">
        <v>46</v>
      </c>
      <c r="D24" s="37" t="s">
        <v>33</v>
      </c>
      <c r="E24" s="37" t="s">
        <v>186</v>
      </c>
      <c r="F24" s="37" t="s">
        <v>48</v>
      </c>
      <c r="G24" s="37" t="s">
        <v>187</v>
      </c>
      <c r="H24" s="37" t="s">
        <v>71</v>
      </c>
      <c r="I24" s="119"/>
      <c r="J24" s="122"/>
      <c r="K24" s="122"/>
      <c r="L24" s="34"/>
      <c r="M24" s="44" t="str">
        <f t="shared" si="0"/>
        <v>4 ضد 5 6 ضد 7 14 ضد 12 9 ضد 10 15 ضد 11 8 ضد 13</v>
      </c>
      <c r="N24" s="34"/>
      <c r="O24" s="34"/>
      <c r="P24" s="34"/>
      <c r="Q24" s="34"/>
      <c r="R24" s="34"/>
      <c r="S24" s="34"/>
      <c r="T24" s="34"/>
    </row>
    <row r="25" spans="1:20" ht="14.5" customHeight="1">
      <c r="A25" s="128"/>
      <c r="B2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37" t="s">
        <v>30</v>
      </c>
      <c r="D25" s="37"/>
      <c r="E25" s="124" t="s">
        <v>139</v>
      </c>
      <c r="F25" s="125"/>
      <c r="G25" s="125"/>
      <c r="H25" s="126"/>
      <c r="I25" s="119"/>
      <c r="J25" s="122"/>
      <c r="K25" s="122"/>
      <c r="L25" s="34"/>
      <c r="M25" s="44" t="str">
        <f t="shared" si="0"/>
        <v>1 ضد 2 استراحة (لا توجد مباريات)</v>
      </c>
      <c r="N25" s="34"/>
      <c r="O25" s="34"/>
      <c r="P25" s="34"/>
      <c r="Q25" s="34"/>
      <c r="R25" s="34"/>
      <c r="S25" s="34"/>
      <c r="T25" s="34"/>
    </row>
    <row r="26" spans="1:20" ht="14.5" customHeight="1">
      <c r="A26" s="128"/>
      <c r="B2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37" t="s">
        <v>252</v>
      </c>
      <c r="D26" s="37" t="s">
        <v>56</v>
      </c>
      <c r="E26" s="37" t="s">
        <v>42</v>
      </c>
      <c r="F26" s="37" t="s">
        <v>180</v>
      </c>
      <c r="G26" s="37" t="s">
        <v>189</v>
      </c>
      <c r="H26" s="37" t="s">
        <v>188</v>
      </c>
      <c r="I26" s="119"/>
      <c r="J26" s="122"/>
      <c r="K26" s="122"/>
      <c r="L26" s="34"/>
      <c r="M26" s="44" t="str">
        <f t="shared" si="0"/>
        <v>6 ضد 5 3 ضد 7 8 ضد 12 15 ضد 9 14 ضد 10 13 ضد 11</v>
      </c>
      <c r="N26" s="34"/>
      <c r="O26" s="34"/>
      <c r="P26" s="34"/>
      <c r="Q26" s="34"/>
      <c r="R26" s="34"/>
      <c r="S26" s="34"/>
      <c r="T26" s="34"/>
    </row>
    <row r="27" spans="1:20" ht="14.5" customHeight="1">
      <c r="A27" s="128"/>
      <c r="B2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37" t="s">
        <v>63</v>
      </c>
      <c r="D27" s="37"/>
      <c r="E27" s="124" t="s">
        <v>139</v>
      </c>
      <c r="F27" s="125"/>
      <c r="G27" s="125"/>
      <c r="H27" s="126"/>
      <c r="I27" s="119"/>
      <c r="J27" s="122"/>
      <c r="K27" s="122"/>
      <c r="L27" s="34"/>
      <c r="M27" s="44" t="str">
        <f t="shared" si="0"/>
        <v>1 ضد 4 استراحة (لا توجد مباريات)</v>
      </c>
      <c r="N27" s="34"/>
      <c r="O27" s="34"/>
      <c r="P27" s="34"/>
      <c r="Q27" s="34"/>
      <c r="R27" s="34"/>
      <c r="S27" s="34"/>
      <c r="T27" s="34"/>
    </row>
    <row r="28" spans="1:20" ht="14.5" customHeight="1">
      <c r="A28" s="128"/>
      <c r="B2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37" t="s">
        <v>66</v>
      </c>
      <c r="D28" s="37" t="s">
        <v>52</v>
      </c>
      <c r="E28" s="37" t="s">
        <v>172</v>
      </c>
      <c r="F28" s="37" t="s">
        <v>96</v>
      </c>
      <c r="G28" s="37" t="s">
        <v>212</v>
      </c>
      <c r="H28" s="37" t="s">
        <v>49</v>
      </c>
      <c r="I28" s="119"/>
      <c r="J28" s="122"/>
      <c r="K28" s="122"/>
      <c r="L28" s="34"/>
      <c r="M28" s="44" t="str">
        <f t="shared" si="0"/>
        <v>3 ضد 5 2 ضد 6 12 ضد 10 14 ضد 15 13 ضد 9 8 ضد 11</v>
      </c>
      <c r="N28" s="34"/>
      <c r="O28" s="34"/>
      <c r="P28" s="34"/>
      <c r="Q28" s="34"/>
      <c r="R28" s="34"/>
      <c r="S28" s="34"/>
      <c r="T28" s="34"/>
    </row>
    <row r="29" spans="1:20" ht="14.5" customHeight="1">
      <c r="A29" s="128"/>
      <c r="B29"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37" t="s">
        <v>47</v>
      </c>
      <c r="D29" s="37"/>
      <c r="E29" s="124" t="s">
        <v>139</v>
      </c>
      <c r="F29" s="125"/>
      <c r="G29" s="125"/>
      <c r="H29" s="126"/>
      <c r="I29" s="119"/>
      <c r="J29" s="122"/>
      <c r="K29" s="122"/>
      <c r="L29" s="34"/>
      <c r="M29" s="44" t="str">
        <f t="shared" si="0"/>
        <v>1 ضد 7 استراحة (لا توجد مباريات)</v>
      </c>
      <c r="N29" s="34"/>
      <c r="O29" s="34"/>
      <c r="P29" s="34"/>
      <c r="Q29" s="34"/>
      <c r="R29" s="34"/>
      <c r="S29" s="34"/>
      <c r="T29" s="34"/>
    </row>
    <row r="30" spans="1:20" ht="14.5" customHeight="1">
      <c r="A30" s="129"/>
      <c r="B30"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37" t="s">
        <v>44</v>
      </c>
      <c r="D30" s="37" t="s">
        <v>50</v>
      </c>
      <c r="E30" s="124" t="s">
        <v>139</v>
      </c>
      <c r="F30" s="125"/>
      <c r="G30" s="125"/>
      <c r="H30" s="126"/>
      <c r="I30" s="120"/>
      <c r="J30" s="123"/>
      <c r="K30" s="123"/>
      <c r="L30" s="34"/>
      <c r="M30" s="44" t="str">
        <f t="shared" si="0"/>
        <v>2 ضد 5 3 ضد 4 استراحة (لا توجد مباريات)</v>
      </c>
      <c r="N30" s="34"/>
      <c r="O30" s="34"/>
      <c r="P30" s="34"/>
      <c r="Q30" s="34"/>
      <c r="R30" s="34"/>
      <c r="S30" s="34"/>
      <c r="T30" s="34"/>
    </row>
    <row r="31" spans="1:20" ht="14.5" customHeight="1">
      <c r="A31" s="127" t="s">
        <v>8</v>
      </c>
      <c r="B3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37" t="s">
        <v>40</v>
      </c>
      <c r="D31" s="37" t="s">
        <v>56</v>
      </c>
      <c r="E31" s="37" t="s">
        <v>173</v>
      </c>
      <c r="F31" s="37" t="s">
        <v>27</v>
      </c>
      <c r="G31" s="37" t="s">
        <v>103</v>
      </c>
      <c r="H31" s="37" t="s">
        <v>80</v>
      </c>
      <c r="I31" s="118">
        <f>COUNTIF(C31:H39,"* ضد *")</f>
        <v>30</v>
      </c>
      <c r="J31" s="121">
        <f>COUNTIF(C31:D39,"* ضد *")*2/7</f>
        <v>4</v>
      </c>
      <c r="K31" s="121">
        <f>COUNTIF(E31:H39,"* ضد *")*2/8</f>
        <v>4</v>
      </c>
      <c r="L31" s="34"/>
      <c r="M31" s="44" t="str">
        <f t="shared" si="0"/>
        <v>1 ضد 5 3 ضد 7 11 ضد 9 8 ضد 10 12 ضد 15 13 ضد 14</v>
      </c>
      <c r="N31" s="34"/>
      <c r="O31" s="34"/>
      <c r="P31" s="34"/>
      <c r="Q31" s="34"/>
      <c r="R31" s="34"/>
      <c r="S31" s="34"/>
      <c r="T31" s="34"/>
    </row>
    <row r="32" spans="1:20" ht="14.5" customHeight="1">
      <c r="A32" s="128"/>
      <c r="B3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37" t="s">
        <v>28</v>
      </c>
      <c r="D32" s="37"/>
      <c r="E32" s="124" t="s">
        <v>139</v>
      </c>
      <c r="F32" s="125"/>
      <c r="G32" s="125"/>
      <c r="H32" s="126"/>
      <c r="I32" s="119"/>
      <c r="J32" s="122"/>
      <c r="K32" s="122"/>
      <c r="L32" s="34"/>
      <c r="M32" s="44" t="str">
        <f t="shared" si="0"/>
        <v>4 ضد 6 استراحة (لا توجد مباريات)</v>
      </c>
      <c r="N32" s="34"/>
      <c r="O32" s="34"/>
      <c r="P32" s="34"/>
      <c r="Q32" s="34"/>
      <c r="R32" s="34"/>
      <c r="S32" s="34"/>
      <c r="T32" s="34"/>
    </row>
    <row r="33" spans="1:20" ht="14.5" customHeight="1">
      <c r="A33" s="128"/>
      <c r="B3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37" t="s">
        <v>30</v>
      </c>
      <c r="D33" s="37" t="s">
        <v>66</v>
      </c>
      <c r="E33" s="37" t="s">
        <v>104</v>
      </c>
      <c r="F33" s="37" t="s">
        <v>67</v>
      </c>
      <c r="G33" s="37" t="s">
        <v>73</v>
      </c>
      <c r="H33" s="37" t="s">
        <v>79</v>
      </c>
      <c r="I33" s="119"/>
      <c r="J33" s="122"/>
      <c r="K33" s="122"/>
      <c r="L33" s="34"/>
      <c r="M33" s="44" t="str">
        <f t="shared" si="0"/>
        <v>1 ضد 2 3 ضد 5 10 ضد 15 8 ضد 9 12 ضد 13 11 ضد 14</v>
      </c>
      <c r="N33" s="34"/>
      <c r="O33" s="34"/>
      <c r="P33" s="34"/>
      <c r="Q33" s="34"/>
      <c r="R33" s="34"/>
      <c r="S33" s="34"/>
      <c r="T33" s="34"/>
    </row>
    <row r="34" spans="1:20" ht="14.5" customHeight="1">
      <c r="A34" s="128"/>
      <c r="B3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37" t="s">
        <v>33</v>
      </c>
      <c r="D34" s="37"/>
      <c r="E34" s="124" t="s">
        <v>139</v>
      </c>
      <c r="F34" s="125"/>
      <c r="G34" s="125"/>
      <c r="H34" s="126"/>
      <c r="I34" s="119"/>
      <c r="J34" s="122"/>
      <c r="K34" s="122"/>
      <c r="L34" s="34"/>
      <c r="M34" s="44" t="str">
        <f t="shared" si="0"/>
        <v>6 ضد 7 استراحة (لا توجد مباريات)</v>
      </c>
      <c r="N34" s="34"/>
      <c r="O34" s="34"/>
      <c r="P34" s="34"/>
      <c r="Q34" s="34"/>
      <c r="R34" s="34"/>
      <c r="S34" s="34"/>
      <c r="T34" s="34"/>
    </row>
    <row r="35" spans="1:20" ht="14.5" customHeight="1">
      <c r="A35" s="128"/>
      <c r="B3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37" t="s">
        <v>50</v>
      </c>
      <c r="D35" s="37" t="s">
        <v>44</v>
      </c>
      <c r="E35" s="37" t="s">
        <v>211</v>
      </c>
      <c r="F35" s="37" t="s">
        <v>21</v>
      </c>
      <c r="G35" s="37" t="s">
        <v>75</v>
      </c>
      <c r="H35" s="37" t="s">
        <v>152</v>
      </c>
      <c r="I35" s="119"/>
      <c r="J35" s="122"/>
      <c r="K35" s="122"/>
      <c r="L35" s="34"/>
      <c r="M35" s="44" t="str">
        <f t="shared" si="0"/>
        <v>3 ضد 4 2 ضد 5 8 ضد 15 11 ضد 12 10 ضد 13 9 ضد 14</v>
      </c>
      <c r="N35" s="34"/>
      <c r="O35" s="34"/>
      <c r="P35" s="34"/>
      <c r="Q35" s="34"/>
      <c r="R35" s="34"/>
      <c r="S35" s="34"/>
      <c r="T35" s="34"/>
    </row>
    <row r="36" spans="1:20" ht="14.5" customHeight="1">
      <c r="A36" s="128"/>
      <c r="B3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37" t="s">
        <v>47</v>
      </c>
      <c r="D36" s="37"/>
      <c r="E36" s="124" t="s">
        <v>139</v>
      </c>
      <c r="F36" s="125"/>
      <c r="G36" s="125"/>
      <c r="H36" s="126"/>
      <c r="I36" s="119"/>
      <c r="J36" s="122"/>
      <c r="K36" s="122"/>
      <c r="L36" s="34"/>
      <c r="M36" s="44" t="str">
        <f t="shared" ref="M36:M66" si="2">_xlfn.TEXTJOIN(" ",TRUE,C36:H36)</f>
        <v>1 ضد 7 استراحة (لا توجد مباريات)</v>
      </c>
      <c r="N36" s="34"/>
      <c r="O36" s="34"/>
      <c r="P36" s="34"/>
      <c r="Q36" s="34"/>
      <c r="R36" s="34"/>
      <c r="S36" s="34"/>
      <c r="T36" s="34"/>
    </row>
    <row r="37" spans="1:20" ht="14.5" customHeight="1">
      <c r="A37" s="128"/>
      <c r="B3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37" t="s">
        <v>70</v>
      </c>
      <c r="D37" s="37" t="s">
        <v>55</v>
      </c>
      <c r="E37" s="37" t="s">
        <v>29</v>
      </c>
      <c r="F37" s="37" t="s">
        <v>184</v>
      </c>
      <c r="G37" s="37" t="s">
        <v>234</v>
      </c>
      <c r="H37" s="37" t="s">
        <v>31</v>
      </c>
      <c r="I37" s="119"/>
      <c r="J37" s="122"/>
      <c r="K37" s="122"/>
      <c r="L37" s="34"/>
      <c r="M37" s="44" t="str">
        <f t="shared" si="2"/>
        <v>2 ضد 4 5 ضد 6 9 ضد 12 15 ضد 13 8 ضد 14 10 ضد 11</v>
      </c>
      <c r="N37" s="34"/>
      <c r="O37" s="34"/>
      <c r="P37" s="34"/>
      <c r="Q37" s="34"/>
      <c r="R37" s="34"/>
      <c r="S37" s="34"/>
      <c r="T37" s="34"/>
    </row>
    <row r="38" spans="1:20" ht="14.5" customHeight="1">
      <c r="A38" s="128"/>
      <c r="B38"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37" t="s">
        <v>20</v>
      </c>
      <c r="D38" s="37"/>
      <c r="E38" s="124" t="s">
        <v>139</v>
      </c>
      <c r="F38" s="125"/>
      <c r="G38" s="125"/>
      <c r="H38" s="126"/>
      <c r="I38" s="119"/>
      <c r="J38" s="122"/>
      <c r="K38" s="122"/>
      <c r="L38" s="34"/>
      <c r="M38" s="44" t="str">
        <f t="shared" si="2"/>
        <v>1 ضد 3 استراحة (لا توجد مباريات)</v>
      </c>
      <c r="N38" s="34"/>
      <c r="O38" s="34"/>
      <c r="P38" s="34"/>
      <c r="Q38" s="34"/>
      <c r="R38" s="34"/>
      <c r="S38" s="34"/>
      <c r="T38" s="34"/>
    </row>
    <row r="39" spans="1:20" ht="14.5" customHeight="1">
      <c r="A39" s="129"/>
      <c r="B39"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37" t="s">
        <v>43</v>
      </c>
      <c r="D39" s="37" t="s">
        <v>52</v>
      </c>
      <c r="E39" s="124" t="s">
        <v>139</v>
      </c>
      <c r="F39" s="125"/>
      <c r="G39" s="125"/>
      <c r="H39" s="126"/>
      <c r="I39" s="120"/>
      <c r="J39" s="123"/>
      <c r="K39" s="123"/>
      <c r="L39" s="34"/>
      <c r="M39" s="44" t="str">
        <f t="shared" si="2"/>
        <v>4 ضد 7 2 ضد 6 استراحة (لا توجد مباريات)</v>
      </c>
      <c r="N39" s="34"/>
      <c r="O39" s="34"/>
      <c r="P39" s="34"/>
      <c r="Q39" s="34"/>
      <c r="R39" s="34"/>
      <c r="S39" s="34"/>
      <c r="T39" s="34"/>
    </row>
    <row r="40" spans="1:20" ht="14.5" customHeight="1">
      <c r="A40" s="127" t="s">
        <v>9</v>
      </c>
      <c r="B40"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37" t="s">
        <v>215</v>
      </c>
      <c r="D40" s="37" t="s">
        <v>38</v>
      </c>
      <c r="E40" s="37" t="s">
        <v>71</v>
      </c>
      <c r="F40" s="37" t="s">
        <v>186</v>
      </c>
      <c r="G40" s="37" t="s">
        <v>187</v>
      </c>
      <c r="H40" s="37" t="s">
        <v>48</v>
      </c>
      <c r="I40" s="118">
        <f>COUNTIF(C40:H48,"* ضد *")</f>
        <v>30</v>
      </c>
      <c r="J40" s="121">
        <f>COUNTIF(C40:D48,"* ضد *")*2/7</f>
        <v>4</v>
      </c>
      <c r="K40" s="121">
        <f>COUNTIF(E40:H48,"* ضد *")*2/8</f>
        <v>4</v>
      </c>
      <c r="L40" s="34"/>
      <c r="M40" s="44" t="str">
        <f t="shared" si="2"/>
        <v>5 ضد 4 1 ضد 6 8 ضد 13 14 ضد 12 15 ضد 11 9 ضد 10</v>
      </c>
      <c r="N40" s="34"/>
      <c r="O40" s="34"/>
      <c r="P40" s="34"/>
      <c r="Q40" s="34"/>
      <c r="R40" s="34"/>
      <c r="S40" s="34"/>
      <c r="T40" s="34"/>
    </row>
    <row r="41" spans="1:20" ht="14.5" customHeight="1">
      <c r="A41" s="128"/>
      <c r="B41"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37" t="s">
        <v>61</v>
      </c>
      <c r="D41" s="37"/>
      <c r="E41" s="124" t="s">
        <v>139</v>
      </c>
      <c r="F41" s="125"/>
      <c r="G41" s="125"/>
      <c r="H41" s="126"/>
      <c r="I41" s="119"/>
      <c r="J41" s="122"/>
      <c r="K41" s="122"/>
      <c r="L41" s="34"/>
      <c r="M41" s="44" t="str">
        <f t="shared" si="2"/>
        <v>2 ضد 7 استراحة (لا توجد مباريات)</v>
      </c>
      <c r="N41" s="34"/>
      <c r="O41" s="34"/>
      <c r="P41" s="34"/>
      <c r="Q41" s="34"/>
      <c r="R41" s="34"/>
      <c r="S41" s="34"/>
      <c r="T41" s="34"/>
    </row>
    <row r="42" spans="1:20" ht="14.5" customHeight="1">
      <c r="A42" s="128"/>
      <c r="B42"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37" t="s">
        <v>63</v>
      </c>
      <c r="D42" s="37" t="s">
        <v>62</v>
      </c>
      <c r="E42" s="37" t="s">
        <v>180</v>
      </c>
      <c r="F42" s="37" t="s">
        <v>188</v>
      </c>
      <c r="G42" s="37" t="s">
        <v>189</v>
      </c>
      <c r="H42" s="37" t="s">
        <v>42</v>
      </c>
      <c r="I42" s="119"/>
      <c r="J42" s="122"/>
      <c r="K42" s="122"/>
      <c r="L42" s="34"/>
      <c r="M42" s="44" t="str">
        <f t="shared" si="2"/>
        <v>1 ضد 4 3 ضد 6 15 ضد 9 13 ضد 11 14 ضد 10 8 ضد 12</v>
      </c>
      <c r="N42" s="34"/>
      <c r="O42" s="34"/>
      <c r="P42" s="34"/>
      <c r="Q42" s="34"/>
      <c r="R42" s="34"/>
      <c r="S42" s="34"/>
      <c r="T42" s="34"/>
    </row>
    <row r="43" spans="1:20" ht="14.5" customHeight="1">
      <c r="A43" s="128"/>
      <c r="B43"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37" t="s">
        <v>25</v>
      </c>
      <c r="D43" s="37"/>
      <c r="E43" s="124" t="s">
        <v>139</v>
      </c>
      <c r="F43" s="125"/>
      <c r="G43" s="125"/>
      <c r="H43" s="126"/>
      <c r="I43" s="119"/>
      <c r="J43" s="122"/>
      <c r="K43" s="122"/>
      <c r="L43" s="34"/>
      <c r="M43" s="44" t="str">
        <f t="shared" si="2"/>
        <v>5 ضد 7 استراحة (لا توجد مباريات)</v>
      </c>
      <c r="N43" s="34"/>
      <c r="O43" s="34"/>
      <c r="P43" s="34"/>
      <c r="Q43" s="34"/>
      <c r="R43" s="34"/>
      <c r="S43" s="34"/>
      <c r="T43" s="34"/>
    </row>
    <row r="44" spans="1:20" ht="14.5" customHeight="1">
      <c r="A44" s="128"/>
      <c r="B44"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37" t="s">
        <v>37</v>
      </c>
      <c r="D44" s="37" t="s">
        <v>28</v>
      </c>
      <c r="E44" s="37" t="s">
        <v>212</v>
      </c>
      <c r="F44" s="37" t="s">
        <v>172</v>
      </c>
      <c r="G44" s="37" t="s">
        <v>49</v>
      </c>
      <c r="H44" s="37" t="s">
        <v>96</v>
      </c>
      <c r="I44" s="119"/>
      <c r="J44" s="122"/>
      <c r="K44" s="122"/>
      <c r="L44" s="34"/>
      <c r="M44" s="44" t="str">
        <f t="shared" si="2"/>
        <v>2 ضد 3 4 ضد 6 13 ضد 9 12 ضد 10 8 ضد 11 14 ضد 15</v>
      </c>
      <c r="N44" s="34"/>
      <c r="O44" s="34"/>
      <c r="P44" s="34"/>
      <c r="Q44" s="34"/>
      <c r="R44" s="34"/>
      <c r="S44" s="34"/>
      <c r="T44" s="34"/>
    </row>
    <row r="45" spans="1:20" ht="14.5" customHeight="1">
      <c r="A45" s="128"/>
      <c r="B45"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37" t="s">
        <v>47</v>
      </c>
      <c r="D45" s="37"/>
      <c r="E45" s="124" t="s">
        <v>139</v>
      </c>
      <c r="F45" s="125"/>
      <c r="G45" s="125"/>
      <c r="H45" s="126"/>
      <c r="I45" s="119"/>
      <c r="J45" s="122"/>
      <c r="K45" s="122"/>
      <c r="L45" s="34"/>
      <c r="M45" s="44" t="str">
        <f t="shared" si="2"/>
        <v>1 ضد 7 استراحة (لا توجد مباريات)</v>
      </c>
      <c r="N45" s="34"/>
      <c r="O45" s="34"/>
      <c r="P45" s="34"/>
      <c r="Q45" s="34"/>
      <c r="R45" s="34"/>
      <c r="S45" s="34"/>
      <c r="T45" s="34"/>
    </row>
    <row r="46" spans="1:20" ht="14.5" customHeight="1">
      <c r="A46" s="128"/>
      <c r="B46"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37" t="s">
        <v>66</v>
      </c>
      <c r="D46" s="37" t="s">
        <v>52</v>
      </c>
      <c r="E46" s="37" t="s">
        <v>80</v>
      </c>
      <c r="F46" s="37" t="s">
        <v>27</v>
      </c>
      <c r="G46" s="37" t="s">
        <v>173</v>
      </c>
      <c r="H46" s="37" t="s">
        <v>103</v>
      </c>
      <c r="I46" s="119"/>
      <c r="J46" s="122"/>
      <c r="K46" s="122"/>
      <c r="L46" s="34"/>
      <c r="M46" s="44" t="str">
        <f t="shared" si="2"/>
        <v>3 ضد 5 2 ضد 6 13 ضد 14 8 ضد 10 11 ضد 9 12 ضد 15</v>
      </c>
      <c r="N46" s="34"/>
      <c r="O46" s="34"/>
      <c r="P46" s="34"/>
      <c r="Q46" s="34"/>
      <c r="R46" s="34"/>
      <c r="S46" s="34"/>
      <c r="T46" s="34"/>
    </row>
    <row r="47" spans="1:20" ht="14.5" customHeight="1">
      <c r="A47" s="128"/>
      <c r="B47"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37" t="s">
        <v>43</v>
      </c>
      <c r="D47" s="37"/>
      <c r="E47" s="124" t="s">
        <v>139</v>
      </c>
      <c r="F47" s="125"/>
      <c r="G47" s="125"/>
      <c r="H47" s="126"/>
      <c r="I47" s="119"/>
      <c r="J47" s="122"/>
      <c r="K47" s="122"/>
      <c r="L47" s="34"/>
      <c r="M47" s="44" t="str">
        <f t="shared" si="2"/>
        <v>4 ضد 7 استراحة (لا توجد مباريات)</v>
      </c>
      <c r="N47" s="34"/>
      <c r="O47" s="34"/>
      <c r="P47" s="34"/>
      <c r="Q47" s="34"/>
      <c r="R47" s="34"/>
      <c r="S47" s="34"/>
      <c r="T47" s="34"/>
    </row>
    <row r="48" spans="1:20" ht="14.5" customHeight="1">
      <c r="A48" s="129"/>
      <c r="B48"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37" t="s">
        <v>225</v>
      </c>
      <c r="D48" s="37" t="s">
        <v>44</v>
      </c>
      <c r="E48" s="124" t="s">
        <v>139</v>
      </c>
      <c r="F48" s="125"/>
      <c r="G48" s="125"/>
      <c r="H48" s="126"/>
      <c r="I48" s="120"/>
      <c r="J48" s="123"/>
      <c r="K48" s="123"/>
      <c r="L48" s="34"/>
      <c r="M48" s="44" t="str">
        <f t="shared" si="2"/>
        <v>3 ضد 1 2 ضد 5 استراحة (لا توجد مباريات)</v>
      </c>
      <c r="N48" s="34"/>
      <c r="O48" s="34"/>
      <c r="P48" s="34"/>
      <c r="Q48" s="34"/>
      <c r="R48" s="34"/>
      <c r="S48" s="34"/>
      <c r="T48" s="34"/>
    </row>
    <row r="49" spans="1:20" ht="14.5" customHeight="1">
      <c r="A49" s="127" t="s">
        <v>10</v>
      </c>
      <c r="B49"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9" s="37" t="s">
        <v>40</v>
      </c>
      <c r="D49" s="37" t="s">
        <v>33</v>
      </c>
      <c r="E49" s="37" t="s">
        <v>79</v>
      </c>
      <c r="F49" s="37" t="s">
        <v>67</v>
      </c>
      <c r="G49" s="37" t="s">
        <v>104</v>
      </c>
      <c r="H49" s="37" t="s">
        <v>73</v>
      </c>
      <c r="I49" s="118">
        <f>COUNTIF(C49:H57,"* ضد *")</f>
        <v>30</v>
      </c>
      <c r="J49" s="121">
        <f>COUNTIF(C49:D57,"* ضد *")*2/7</f>
        <v>4</v>
      </c>
      <c r="K49" s="121">
        <f>COUNTIF(E49:H57,"* ضد *")*2/8</f>
        <v>4</v>
      </c>
      <c r="L49" s="34"/>
      <c r="M49" s="44" t="str">
        <f t="shared" si="2"/>
        <v>1 ضد 5 6 ضد 7 11 ضد 14 8 ضد 9 10 ضد 15 12 ضد 13</v>
      </c>
      <c r="N49" s="34"/>
      <c r="O49" s="34"/>
      <c r="P49" s="34"/>
      <c r="Q49" s="34"/>
      <c r="R49" s="34"/>
      <c r="S49" s="34"/>
      <c r="T49" s="34"/>
    </row>
    <row r="50" spans="1:20" ht="14.5" customHeight="1">
      <c r="A50" s="128"/>
      <c r="B50"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0" s="37" t="s">
        <v>37</v>
      </c>
      <c r="D50" s="37"/>
      <c r="E50" s="124" t="s">
        <v>139</v>
      </c>
      <c r="F50" s="125"/>
      <c r="G50" s="125"/>
      <c r="H50" s="126"/>
      <c r="I50" s="119"/>
      <c r="J50" s="122"/>
      <c r="K50" s="122"/>
      <c r="L50" s="34"/>
      <c r="M50" s="44" t="str">
        <f t="shared" si="2"/>
        <v>2 ضد 3 استراحة (لا توجد مباريات)</v>
      </c>
      <c r="N50" s="34"/>
      <c r="O50" s="34"/>
      <c r="P50" s="34"/>
      <c r="Q50" s="34"/>
      <c r="R50" s="34"/>
      <c r="S50" s="34"/>
      <c r="T50" s="34"/>
    </row>
    <row r="51" spans="1:20" ht="14.5" customHeight="1">
      <c r="A51" s="128"/>
      <c r="B51"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51" s="37" t="s">
        <v>38</v>
      </c>
      <c r="D51" s="37" t="s">
        <v>46</v>
      </c>
      <c r="E51" s="37" t="s">
        <v>211</v>
      </c>
      <c r="F51" s="37" t="s">
        <v>152</v>
      </c>
      <c r="G51" s="37" t="s">
        <v>21</v>
      </c>
      <c r="H51" s="37" t="s">
        <v>75</v>
      </c>
      <c r="I51" s="119"/>
      <c r="J51" s="122"/>
      <c r="K51" s="122"/>
      <c r="L51" s="34"/>
      <c r="M51" s="44" t="str">
        <f t="shared" si="2"/>
        <v>1 ضد 6 4 ضد 5 8 ضد 15 9 ضد 14 11 ضد 12 10 ضد 13</v>
      </c>
      <c r="N51" s="34"/>
      <c r="O51" s="34"/>
      <c r="P51" s="34"/>
      <c r="Q51" s="34"/>
      <c r="R51" s="34"/>
      <c r="S51" s="34"/>
      <c r="T51" s="34"/>
    </row>
    <row r="52" spans="1:20" ht="14.5" customHeight="1">
      <c r="A52" s="128"/>
      <c r="B52"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52" s="37" t="s">
        <v>61</v>
      </c>
      <c r="D52" s="37"/>
      <c r="E52" s="124" t="s">
        <v>139</v>
      </c>
      <c r="F52" s="125"/>
      <c r="G52" s="125"/>
      <c r="H52" s="126"/>
      <c r="I52" s="119"/>
      <c r="J52" s="122"/>
      <c r="K52" s="122"/>
      <c r="L52" s="34"/>
      <c r="M52" s="44" t="str">
        <f t="shared" si="2"/>
        <v>2 ضد 7 استراحة (لا توجد مباريات)</v>
      </c>
      <c r="N52" s="34"/>
      <c r="O52" s="34"/>
      <c r="P52" s="34"/>
      <c r="Q52" s="34"/>
      <c r="R52" s="34"/>
      <c r="S52" s="34"/>
      <c r="T52" s="34"/>
    </row>
    <row r="53" spans="1:20" ht="14.5" customHeight="1">
      <c r="A53" s="128"/>
      <c r="B53"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3" s="37" t="s">
        <v>63</v>
      </c>
      <c r="D53" s="37" t="s">
        <v>62</v>
      </c>
      <c r="E53" s="37" t="s">
        <v>31</v>
      </c>
      <c r="F53" s="37" t="s">
        <v>184</v>
      </c>
      <c r="G53" s="37" t="s">
        <v>29</v>
      </c>
      <c r="H53" s="37" t="s">
        <v>234</v>
      </c>
      <c r="I53" s="119"/>
      <c r="J53" s="122"/>
      <c r="K53" s="122"/>
      <c r="L53" s="34"/>
      <c r="M53" s="44" t="str">
        <f t="shared" si="2"/>
        <v>1 ضد 4 3 ضد 6 10 ضد 11 15 ضد 13 9 ضد 12 8 ضد 14</v>
      </c>
      <c r="N53" s="34"/>
      <c r="O53" s="34"/>
      <c r="P53" s="34"/>
      <c r="Q53" s="34"/>
      <c r="R53" s="34"/>
      <c r="S53" s="34"/>
      <c r="T53" s="34"/>
    </row>
    <row r="54" spans="1:20" ht="14.5" customHeight="1">
      <c r="A54" s="128"/>
      <c r="B54"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4" s="37" t="s">
        <v>25</v>
      </c>
      <c r="D54" s="37"/>
      <c r="E54" s="124" t="s">
        <v>139</v>
      </c>
      <c r="F54" s="125"/>
      <c r="G54" s="125"/>
      <c r="H54" s="126"/>
      <c r="I54" s="119"/>
      <c r="J54" s="122"/>
      <c r="K54" s="122"/>
      <c r="L54" s="34"/>
      <c r="M54" s="44" t="str">
        <f t="shared" si="2"/>
        <v>5 ضد 7 استراحة (لا توجد مباريات)</v>
      </c>
      <c r="N54" s="34"/>
      <c r="O54" s="34"/>
      <c r="P54" s="34"/>
      <c r="Q54" s="34"/>
      <c r="R54" s="34"/>
      <c r="S54" s="34"/>
      <c r="T54" s="34"/>
    </row>
    <row r="55" spans="1:20" ht="14.5" customHeight="1">
      <c r="A55" s="128"/>
      <c r="B55"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5" s="37" t="s">
        <v>30</v>
      </c>
      <c r="D55" s="37" t="s">
        <v>50</v>
      </c>
      <c r="E55" s="37" t="s">
        <v>48</v>
      </c>
      <c r="F55" s="37" t="s">
        <v>186</v>
      </c>
      <c r="G55" s="37" t="s">
        <v>71</v>
      </c>
      <c r="H55" s="37" t="s">
        <v>187</v>
      </c>
      <c r="I55" s="119"/>
      <c r="J55" s="122"/>
      <c r="K55" s="122"/>
      <c r="L55" s="34"/>
      <c r="M55" s="44" t="str">
        <f t="shared" si="2"/>
        <v>1 ضد 2 3 ضد 4 9 ضد 10 14 ضد 12 8 ضد 13 15 ضد 11</v>
      </c>
      <c r="N55" s="34"/>
      <c r="O55" s="34"/>
      <c r="P55" s="34"/>
      <c r="Q55" s="34"/>
      <c r="R55" s="34"/>
      <c r="S55" s="34"/>
      <c r="T55" s="34"/>
    </row>
    <row r="56" spans="1:20" ht="14.5" customHeight="1">
      <c r="A56" s="128"/>
      <c r="B56"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56" s="37" t="s">
        <v>55</v>
      </c>
      <c r="D56" s="37"/>
      <c r="E56" s="124" t="s">
        <v>139</v>
      </c>
      <c r="F56" s="125"/>
      <c r="G56" s="125"/>
      <c r="H56" s="126"/>
      <c r="I56" s="119"/>
      <c r="J56" s="122"/>
      <c r="K56" s="122"/>
      <c r="L56" s="34"/>
      <c r="M56" s="44" t="str">
        <f t="shared" si="2"/>
        <v>5 ضد 6 استراحة (لا توجد مباريات)</v>
      </c>
      <c r="N56" s="34"/>
      <c r="O56" s="34"/>
      <c r="P56" s="34"/>
      <c r="Q56" s="34"/>
      <c r="R56" s="34"/>
      <c r="S56" s="34"/>
      <c r="T56" s="34"/>
    </row>
    <row r="57" spans="1:20" ht="14.5" customHeight="1">
      <c r="A57" s="129"/>
      <c r="B57"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57" s="37" t="s">
        <v>70</v>
      </c>
      <c r="D57" s="37" t="s">
        <v>56</v>
      </c>
      <c r="E57" s="124" t="s">
        <v>139</v>
      </c>
      <c r="F57" s="125"/>
      <c r="G57" s="125"/>
      <c r="H57" s="126"/>
      <c r="I57" s="120"/>
      <c r="J57" s="123"/>
      <c r="K57" s="123"/>
      <c r="L57" s="34"/>
      <c r="M57" s="44" t="str">
        <f t="shared" si="2"/>
        <v>2 ضد 4 3 ضد 7 استراحة (لا توجد مباريات)</v>
      </c>
      <c r="N57" s="34"/>
      <c r="O57" s="34"/>
      <c r="P57" s="34"/>
      <c r="Q57" s="34"/>
      <c r="R57" s="34"/>
      <c r="S57" s="34"/>
      <c r="T57" s="34"/>
    </row>
    <row r="58" spans="1:20" ht="14.5" customHeight="1">
      <c r="A58" s="130" t="s">
        <v>11</v>
      </c>
      <c r="B58"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58" s="37" t="s">
        <v>20</v>
      </c>
      <c r="D58" s="37" t="s">
        <v>43</v>
      </c>
      <c r="E58" s="37" t="s">
        <v>42</v>
      </c>
      <c r="F58" s="37" t="s">
        <v>188</v>
      </c>
      <c r="G58" s="37" t="s">
        <v>189</v>
      </c>
      <c r="H58" s="37" t="s">
        <v>180</v>
      </c>
      <c r="I58" s="133">
        <f>COUNTIF(C58:H66,"* ضد *")</f>
        <v>30</v>
      </c>
      <c r="J58" s="133">
        <f>COUNTIF(C58:D66,"* ضد *")*2/7</f>
        <v>4</v>
      </c>
      <c r="K58" s="133">
        <f>COUNTIF(E58:H66,"* ضد *")*2/8</f>
        <v>4</v>
      </c>
      <c r="L58" s="34"/>
      <c r="M58" s="44" t="str">
        <f t="shared" si="2"/>
        <v>1 ضد 3 4 ضد 7 8 ضد 12 13 ضد 11 14 ضد 10 15 ضد 9</v>
      </c>
      <c r="N58" s="34"/>
      <c r="O58" s="34"/>
      <c r="P58" s="34"/>
      <c r="Q58" s="34"/>
      <c r="R58" s="34"/>
      <c r="S58" s="34"/>
      <c r="T58" s="34"/>
    </row>
    <row r="59" spans="1:20" ht="14.5" customHeight="1">
      <c r="A59" s="131"/>
      <c r="B59"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9" s="37" t="s">
        <v>52</v>
      </c>
      <c r="D59" s="37"/>
      <c r="E59" s="124" t="s">
        <v>139</v>
      </c>
      <c r="F59" s="125"/>
      <c r="G59" s="125"/>
      <c r="H59" s="126"/>
      <c r="I59" s="134"/>
      <c r="J59" s="134"/>
      <c r="K59" s="134"/>
      <c r="L59" s="34"/>
      <c r="M59" s="44" t="str">
        <f t="shared" si="2"/>
        <v>2 ضد 6 استراحة (لا توجد مباريات)</v>
      </c>
      <c r="N59" s="34"/>
      <c r="O59" s="34"/>
      <c r="P59" s="34"/>
      <c r="Q59" s="34"/>
      <c r="R59" s="34"/>
      <c r="S59" s="34"/>
      <c r="T59" s="34"/>
    </row>
    <row r="60" spans="1:20" ht="14.5" customHeight="1">
      <c r="A60" s="131"/>
      <c r="B60"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0" s="37" t="s">
        <v>47</v>
      </c>
      <c r="D60" s="37" t="s">
        <v>66</v>
      </c>
      <c r="E60" s="37" t="s">
        <v>96</v>
      </c>
      <c r="F60" s="37" t="s">
        <v>49</v>
      </c>
      <c r="G60" s="37" t="s">
        <v>212</v>
      </c>
      <c r="H60" s="37" t="s">
        <v>172</v>
      </c>
      <c r="I60" s="134"/>
      <c r="J60" s="134"/>
      <c r="K60" s="134"/>
      <c r="L60" s="34"/>
      <c r="M60" s="44" t="str">
        <f t="shared" si="2"/>
        <v>1 ضد 7 3 ضد 5 14 ضد 15 8 ضد 11 13 ضد 9 12 ضد 10</v>
      </c>
      <c r="N60" s="34"/>
      <c r="O60" s="34"/>
      <c r="P60" s="34"/>
      <c r="Q60" s="34"/>
      <c r="R60" s="34"/>
      <c r="S60" s="34"/>
      <c r="T60" s="34"/>
    </row>
    <row r="61" spans="1:20" ht="14.5" customHeight="1">
      <c r="A61" s="131"/>
      <c r="B61"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61" s="37" t="s">
        <v>28</v>
      </c>
      <c r="D61" s="37"/>
      <c r="E61" s="124" t="s">
        <v>139</v>
      </c>
      <c r="F61" s="125"/>
      <c r="G61" s="125"/>
      <c r="H61" s="126"/>
      <c r="I61" s="134"/>
      <c r="J61" s="134"/>
      <c r="K61" s="134"/>
      <c r="L61" s="34"/>
      <c r="M61" s="44" t="str">
        <f t="shared" si="2"/>
        <v>4 ضد 6 استراحة (لا توجد مباريات)</v>
      </c>
      <c r="N61" s="34"/>
      <c r="O61" s="34"/>
      <c r="P61" s="34"/>
      <c r="Q61" s="34"/>
      <c r="R61" s="34"/>
      <c r="S61" s="34"/>
      <c r="T61" s="34"/>
    </row>
    <row r="62" spans="1:20" ht="14.5" customHeight="1">
      <c r="A62" s="131"/>
      <c r="B62"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62" s="37" t="s">
        <v>40</v>
      </c>
      <c r="D62" s="37" t="s">
        <v>61</v>
      </c>
      <c r="E62" s="37" t="s">
        <v>80</v>
      </c>
      <c r="F62" s="37" t="s">
        <v>27</v>
      </c>
      <c r="G62" s="37" t="s">
        <v>103</v>
      </c>
      <c r="H62" s="37" t="s">
        <v>173</v>
      </c>
      <c r="I62" s="134"/>
      <c r="J62" s="134"/>
      <c r="K62" s="134"/>
      <c r="L62" s="34"/>
      <c r="M62" s="44" t="str">
        <f t="shared" si="2"/>
        <v>1 ضد 5 2 ضد 7 13 ضد 14 8 ضد 10 12 ضد 15 11 ضد 9</v>
      </c>
      <c r="N62" s="34"/>
      <c r="O62" s="34"/>
      <c r="P62" s="34"/>
      <c r="Q62" s="34"/>
      <c r="R62" s="34"/>
      <c r="S62" s="34"/>
      <c r="T62" s="34"/>
    </row>
    <row r="63" spans="1:20" ht="14.5" customHeight="1">
      <c r="A63" s="131"/>
      <c r="B63"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63" s="37" t="s">
        <v>50</v>
      </c>
      <c r="D63" s="37"/>
      <c r="E63" s="124" t="s">
        <v>139</v>
      </c>
      <c r="F63" s="125"/>
      <c r="G63" s="125"/>
      <c r="H63" s="126"/>
      <c r="I63" s="134"/>
      <c r="J63" s="134"/>
      <c r="K63" s="134"/>
      <c r="L63" s="34"/>
      <c r="M63" s="44" t="str">
        <f t="shared" si="2"/>
        <v>3 ضد 4 استراحة (لا توجد مباريات)</v>
      </c>
      <c r="N63" s="34"/>
      <c r="O63" s="34"/>
      <c r="P63" s="34"/>
      <c r="Q63" s="34"/>
      <c r="R63" s="34"/>
      <c r="S63" s="34"/>
      <c r="T63" s="34"/>
    </row>
    <row r="64" spans="1:20" ht="14.5" customHeight="1">
      <c r="A64" s="131"/>
      <c r="B64"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64" s="37" t="s">
        <v>44</v>
      </c>
      <c r="D64" s="37" t="s">
        <v>33</v>
      </c>
      <c r="E64" s="37" t="s">
        <v>104</v>
      </c>
      <c r="F64" s="37" t="s">
        <v>79</v>
      </c>
      <c r="G64" s="37" t="s">
        <v>67</v>
      </c>
      <c r="H64" s="37" t="s">
        <v>73</v>
      </c>
      <c r="I64" s="134"/>
      <c r="J64" s="134"/>
      <c r="K64" s="134"/>
      <c r="L64" s="34"/>
      <c r="M64" s="44" t="str">
        <f t="shared" si="2"/>
        <v>2 ضد 5 6 ضد 7 10 ضد 15 11 ضد 14 8 ضد 9 12 ضد 13</v>
      </c>
      <c r="N64" s="34"/>
      <c r="O64" s="34"/>
      <c r="P64" s="34"/>
      <c r="Q64" s="34"/>
      <c r="R64" s="34"/>
      <c r="S64" s="34"/>
      <c r="T64" s="34"/>
    </row>
    <row r="65" spans="1:20" ht="14.5" customHeight="1">
      <c r="A65" s="131"/>
      <c r="B65"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65" s="37" t="s">
        <v>63</v>
      </c>
      <c r="D65" s="37"/>
      <c r="E65" s="124" t="s">
        <v>139</v>
      </c>
      <c r="F65" s="125"/>
      <c r="G65" s="125"/>
      <c r="H65" s="126"/>
      <c r="I65" s="134"/>
      <c r="J65" s="134"/>
      <c r="K65" s="134"/>
      <c r="L65" s="34"/>
      <c r="M65" s="44" t="str">
        <f t="shared" si="2"/>
        <v>1 ضد 4 استراحة (لا توجد مباريات)</v>
      </c>
      <c r="N65" s="34"/>
      <c r="O65" s="34"/>
      <c r="P65" s="34"/>
      <c r="Q65" s="34"/>
      <c r="R65" s="34"/>
      <c r="S65" s="34"/>
      <c r="T65" s="34"/>
    </row>
    <row r="66" spans="1:20" ht="14.5" customHeight="1">
      <c r="A66" s="132"/>
      <c r="B66"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66" s="37" t="s">
        <v>37</v>
      </c>
      <c r="D66" s="37" t="s">
        <v>55</v>
      </c>
      <c r="E66" s="124" t="s">
        <v>139</v>
      </c>
      <c r="F66" s="125"/>
      <c r="G66" s="125"/>
      <c r="H66" s="126"/>
      <c r="I66" s="135"/>
      <c r="J66" s="135"/>
      <c r="K66" s="135"/>
      <c r="L66" s="34"/>
      <c r="M66" s="44" t="str">
        <f t="shared" si="2"/>
        <v>2 ضد 3 5 ضد 6 استراحة (لا توجد مباريات)</v>
      </c>
      <c r="N66" s="34"/>
      <c r="O66" s="34"/>
      <c r="P66" s="34"/>
      <c r="Q66" s="34"/>
      <c r="R66" s="34"/>
      <c r="S66" s="34"/>
      <c r="T66" s="34"/>
    </row>
    <row r="67" spans="1:20" ht="15" customHeight="1">
      <c r="A67" s="34"/>
      <c r="B67" s="34"/>
      <c r="C67" s="34"/>
      <c r="D67" s="34"/>
      <c r="E67" s="34"/>
      <c r="F67" s="34"/>
      <c r="G67" s="34"/>
      <c r="H67" s="34"/>
      <c r="I67" s="34"/>
      <c r="J67" s="34"/>
      <c r="K67" s="34"/>
      <c r="L67" s="34"/>
      <c r="M67" s="34"/>
      <c r="N67" s="34"/>
      <c r="O67" s="34"/>
      <c r="P67" s="34"/>
      <c r="Q67" s="34"/>
      <c r="R67" s="34"/>
      <c r="S67" s="34"/>
      <c r="T67" s="34"/>
    </row>
    <row r="68" spans="1:20" ht="15" customHeight="1">
      <c r="A68" s="34"/>
      <c r="B68" s="34"/>
      <c r="C68" s="34"/>
      <c r="D68" s="34"/>
      <c r="E68" s="34"/>
      <c r="F68" s="34"/>
      <c r="G68" s="34"/>
      <c r="H68" s="34"/>
      <c r="I68" s="34"/>
      <c r="J68" s="34"/>
      <c r="K68" s="34"/>
      <c r="L68" s="34"/>
      <c r="M68" s="34"/>
      <c r="N68" s="34"/>
      <c r="O68" s="34"/>
      <c r="P68" s="34"/>
      <c r="Q68" s="34"/>
      <c r="R68" s="34"/>
      <c r="S68" s="34"/>
      <c r="T68" s="34"/>
    </row>
    <row r="69" spans="1:20" ht="15.5" customHeight="1">
      <c r="A69" s="34"/>
      <c r="B69" s="109" t="s">
        <v>452</v>
      </c>
      <c r="C69" s="109"/>
      <c r="D69" s="109"/>
      <c r="E69" s="109"/>
      <c r="F69" s="109"/>
      <c r="G69" s="109"/>
      <c r="H69" s="109"/>
      <c r="I69" s="109"/>
      <c r="J69" s="109"/>
      <c r="K69" s="109"/>
      <c r="L69" s="109"/>
      <c r="M69" s="109"/>
      <c r="N69" s="109"/>
      <c r="O69" s="34"/>
      <c r="P69" s="34"/>
      <c r="Q69" s="34"/>
      <c r="R69" s="34"/>
      <c r="S69" s="34"/>
      <c r="T69" s="34"/>
    </row>
    <row r="70" spans="1:20" ht="14.5" customHeight="1">
      <c r="A70" s="34"/>
      <c r="B70" s="38" t="s">
        <v>83</v>
      </c>
      <c r="C70" s="110" t="s">
        <v>392</v>
      </c>
      <c r="D70" s="110"/>
      <c r="E70" s="110"/>
      <c r="F70" s="110" t="s">
        <v>216</v>
      </c>
      <c r="G70" s="110"/>
      <c r="H70" s="34"/>
      <c r="I70" s="38" t="s">
        <v>83</v>
      </c>
      <c r="J70" s="110" t="s">
        <v>393</v>
      </c>
      <c r="K70" s="110"/>
      <c r="L70" s="110"/>
      <c r="M70" s="110" t="s">
        <v>216</v>
      </c>
      <c r="N70" s="110"/>
      <c r="O70" s="34"/>
      <c r="P70" s="34"/>
      <c r="Q70" s="34"/>
      <c r="R70" s="34"/>
      <c r="S70" s="34"/>
      <c r="T70" s="34"/>
    </row>
    <row r="71" spans="1:20" ht="14.5" customHeight="1">
      <c r="A71" s="34"/>
      <c r="B71" s="39">
        <v>1</v>
      </c>
      <c r="C71" s="105" t="s">
        <v>354</v>
      </c>
      <c r="D71" s="105"/>
      <c r="E71" s="105"/>
      <c r="F71" s="105" t="s">
        <v>456</v>
      </c>
      <c r="G71" s="105"/>
      <c r="H71" s="34"/>
      <c r="I71" s="39">
        <v>8</v>
      </c>
      <c r="J71" s="105" t="s">
        <v>613</v>
      </c>
      <c r="K71" s="105"/>
      <c r="L71" s="105"/>
      <c r="M71" s="105" t="s">
        <v>456</v>
      </c>
      <c r="N71" s="105"/>
      <c r="O71" s="34"/>
      <c r="P71" s="34"/>
      <c r="Q71" s="34"/>
      <c r="R71" s="34"/>
      <c r="S71" s="34"/>
      <c r="T71" s="34"/>
    </row>
    <row r="72" spans="1:20" ht="14.5" customHeight="1">
      <c r="A72" s="34"/>
      <c r="B72" s="39">
        <v>2</v>
      </c>
      <c r="C72" s="105" t="s">
        <v>607</v>
      </c>
      <c r="D72" s="105"/>
      <c r="E72" s="105"/>
      <c r="F72" s="105" t="s">
        <v>456</v>
      </c>
      <c r="G72" s="105"/>
      <c r="H72" s="34"/>
      <c r="I72" s="39">
        <v>9</v>
      </c>
      <c r="J72" s="105" t="s">
        <v>608</v>
      </c>
      <c r="K72" s="105"/>
      <c r="L72" s="105"/>
      <c r="M72" s="105" t="s">
        <v>458</v>
      </c>
      <c r="N72" s="105"/>
      <c r="O72" s="34"/>
      <c r="P72" s="34"/>
      <c r="Q72" s="34"/>
      <c r="R72" s="34"/>
      <c r="S72" s="34"/>
      <c r="T72" s="34"/>
    </row>
    <row r="73" spans="1:20" ht="14.5" customHeight="1">
      <c r="A73" s="34"/>
      <c r="B73" s="39">
        <v>3</v>
      </c>
      <c r="C73" s="105" t="s">
        <v>614</v>
      </c>
      <c r="D73" s="105"/>
      <c r="E73" s="105"/>
      <c r="F73" s="105" t="s">
        <v>458</v>
      </c>
      <c r="G73" s="105"/>
      <c r="H73" s="34"/>
      <c r="I73" s="39">
        <v>10</v>
      </c>
      <c r="J73" s="105" t="s">
        <v>615</v>
      </c>
      <c r="K73" s="105"/>
      <c r="L73" s="105"/>
      <c r="M73" s="105" t="s">
        <v>458</v>
      </c>
      <c r="N73" s="105"/>
      <c r="O73" s="34"/>
      <c r="P73" s="34"/>
      <c r="Q73" s="34"/>
      <c r="R73" s="34"/>
      <c r="S73" s="34"/>
      <c r="T73" s="34"/>
    </row>
    <row r="74" spans="1:20" ht="14.5" customHeight="1">
      <c r="A74" s="34"/>
      <c r="B74" s="39">
        <v>4</v>
      </c>
      <c r="C74" s="105" t="s">
        <v>609</v>
      </c>
      <c r="D74" s="105"/>
      <c r="E74" s="105"/>
      <c r="F74" s="105" t="s">
        <v>473</v>
      </c>
      <c r="G74" s="105"/>
      <c r="H74" s="34"/>
      <c r="I74" s="39">
        <v>11</v>
      </c>
      <c r="J74" s="105" t="s">
        <v>616</v>
      </c>
      <c r="K74" s="105"/>
      <c r="L74" s="105"/>
      <c r="M74" s="105" t="s">
        <v>473</v>
      </c>
      <c r="N74" s="105"/>
      <c r="O74" s="34"/>
      <c r="P74" s="34"/>
      <c r="Q74" s="34"/>
      <c r="R74" s="34"/>
      <c r="S74" s="34"/>
      <c r="T74" s="34"/>
    </row>
    <row r="75" spans="1:20" ht="14.5" customHeight="1">
      <c r="A75" s="34"/>
      <c r="B75" s="39">
        <v>5</v>
      </c>
      <c r="C75" s="105" t="s">
        <v>610</v>
      </c>
      <c r="D75" s="105"/>
      <c r="E75" s="105"/>
      <c r="F75" s="105" t="s">
        <v>473</v>
      </c>
      <c r="G75" s="105"/>
      <c r="H75" s="34"/>
      <c r="I75" s="39">
        <v>12</v>
      </c>
      <c r="J75" s="105" t="s">
        <v>617</v>
      </c>
      <c r="K75" s="105"/>
      <c r="L75" s="105"/>
      <c r="M75" s="105" t="s">
        <v>473</v>
      </c>
      <c r="N75" s="105"/>
      <c r="O75" s="34"/>
      <c r="P75" s="34"/>
      <c r="Q75" s="34"/>
      <c r="R75" s="34"/>
      <c r="S75" s="34"/>
      <c r="T75" s="34"/>
    </row>
    <row r="76" spans="1:20" ht="14.5" customHeight="1">
      <c r="A76" s="34"/>
      <c r="B76" s="39">
        <v>6</v>
      </c>
      <c r="C76" s="105" t="s">
        <v>611</v>
      </c>
      <c r="D76" s="105"/>
      <c r="E76" s="105"/>
      <c r="F76" s="105" t="s">
        <v>473</v>
      </c>
      <c r="G76" s="105"/>
      <c r="H76" s="34"/>
      <c r="I76" s="39">
        <v>13</v>
      </c>
      <c r="J76" s="105" t="s">
        <v>618</v>
      </c>
      <c r="K76" s="105"/>
      <c r="L76" s="105"/>
      <c r="M76" s="105" t="s">
        <v>473</v>
      </c>
      <c r="N76" s="105"/>
      <c r="O76" s="34"/>
      <c r="P76" s="34"/>
      <c r="Q76" s="34"/>
      <c r="R76" s="34"/>
      <c r="S76" s="34"/>
      <c r="T76" s="34"/>
    </row>
    <row r="77" spans="1:20" ht="14.5" customHeight="1">
      <c r="A77" s="34"/>
      <c r="B77" s="39">
        <v>7</v>
      </c>
      <c r="C77" s="115" t="s">
        <v>612</v>
      </c>
      <c r="D77" s="116"/>
      <c r="E77" s="117"/>
      <c r="F77" s="105" t="s">
        <v>473</v>
      </c>
      <c r="G77" s="105"/>
      <c r="H77" s="34"/>
      <c r="I77" s="39">
        <v>14</v>
      </c>
      <c r="J77" s="105" t="s">
        <v>619</v>
      </c>
      <c r="K77" s="105"/>
      <c r="L77" s="105"/>
      <c r="M77" s="105" t="s">
        <v>473</v>
      </c>
      <c r="N77" s="105"/>
      <c r="O77" s="34"/>
      <c r="P77" s="34"/>
      <c r="Q77" s="34"/>
      <c r="R77" s="34"/>
      <c r="S77" s="34"/>
      <c r="T77" s="34"/>
    </row>
    <row r="78" spans="1:20" ht="14.5" customHeight="1">
      <c r="A78" s="34"/>
      <c r="B78" s="34"/>
      <c r="C78" s="34"/>
      <c r="D78" s="34"/>
      <c r="E78" s="34"/>
      <c r="F78" s="34"/>
      <c r="G78" s="34"/>
      <c r="H78" s="34"/>
      <c r="I78" s="39">
        <v>15</v>
      </c>
      <c r="J78" s="105" t="s">
        <v>620</v>
      </c>
      <c r="K78" s="105"/>
      <c r="L78" s="105"/>
      <c r="M78" s="105" t="s">
        <v>473</v>
      </c>
      <c r="N78" s="105"/>
      <c r="O78" s="34"/>
      <c r="P78" s="34"/>
      <c r="Q78" s="34"/>
      <c r="R78" s="34"/>
      <c r="S78" s="34"/>
      <c r="T78" s="34"/>
    </row>
    <row r="79" spans="1:20" ht="14.5" customHeight="1"/>
    <row r="80" spans="1:2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sheetData>
  <mergeCells count="99">
    <mergeCell ref="A58:A66"/>
    <mergeCell ref="I58:I66"/>
    <mergeCell ref="J58:J66"/>
    <mergeCell ref="K58:K66"/>
    <mergeCell ref="E59:H59"/>
    <mergeCell ref="E61:H61"/>
    <mergeCell ref="E63:H63"/>
    <mergeCell ref="E65:H65"/>
    <mergeCell ref="E66:H66"/>
    <mergeCell ref="A1:K1"/>
    <mergeCell ref="A4:A12"/>
    <mergeCell ref="J4:J12"/>
    <mergeCell ref="K4:K12"/>
    <mergeCell ref="E5:H5"/>
    <mergeCell ref="E7:H7"/>
    <mergeCell ref="E9:H9"/>
    <mergeCell ref="E11:H11"/>
    <mergeCell ref="E12:H12"/>
    <mergeCell ref="I4:I12"/>
    <mergeCell ref="A13:A21"/>
    <mergeCell ref="J13:J21"/>
    <mergeCell ref="K13:K21"/>
    <mergeCell ref="E14:H14"/>
    <mergeCell ref="E16:H16"/>
    <mergeCell ref="E18:H18"/>
    <mergeCell ref="E20:H20"/>
    <mergeCell ref="E21:H21"/>
    <mergeCell ref="I13:I21"/>
    <mergeCell ref="A40:A48"/>
    <mergeCell ref="J40:J48"/>
    <mergeCell ref="A22:A30"/>
    <mergeCell ref="J22:J30"/>
    <mergeCell ref="K22:K30"/>
    <mergeCell ref="E23:H23"/>
    <mergeCell ref="E25:H25"/>
    <mergeCell ref="E27:H27"/>
    <mergeCell ref="E29:H29"/>
    <mergeCell ref="E30:H30"/>
    <mergeCell ref="A31:A39"/>
    <mergeCell ref="J31:J39"/>
    <mergeCell ref="E32:H32"/>
    <mergeCell ref="E34:H34"/>
    <mergeCell ref="E36:H36"/>
    <mergeCell ref="E38:H38"/>
    <mergeCell ref="A49:A57"/>
    <mergeCell ref="J49:J57"/>
    <mergeCell ref="K49:K57"/>
    <mergeCell ref="E50:H50"/>
    <mergeCell ref="E52:H52"/>
    <mergeCell ref="E54:H54"/>
    <mergeCell ref="E56:H56"/>
    <mergeCell ref="E57:H57"/>
    <mergeCell ref="I49:I57"/>
    <mergeCell ref="I22:I30"/>
    <mergeCell ref="I31:I39"/>
    <mergeCell ref="K31:K39"/>
    <mergeCell ref="C73:E73"/>
    <mergeCell ref="F73:G73"/>
    <mergeCell ref="J73:L73"/>
    <mergeCell ref="K40:K48"/>
    <mergeCell ref="E41:H41"/>
    <mergeCell ref="E43:H43"/>
    <mergeCell ref="E45:H45"/>
    <mergeCell ref="J71:L71"/>
    <mergeCell ref="E47:H47"/>
    <mergeCell ref="E48:H48"/>
    <mergeCell ref="I40:I48"/>
    <mergeCell ref="E39:H39"/>
    <mergeCell ref="M73:N73"/>
    <mergeCell ref="B69:N69"/>
    <mergeCell ref="C70:E70"/>
    <mergeCell ref="F70:G70"/>
    <mergeCell ref="J70:L70"/>
    <mergeCell ref="M70:N70"/>
    <mergeCell ref="M71:N71"/>
    <mergeCell ref="C72:E72"/>
    <mergeCell ref="F72:G72"/>
    <mergeCell ref="J72:L72"/>
    <mergeCell ref="M72:N72"/>
    <mergeCell ref="C71:E71"/>
    <mergeCell ref="F71:G71"/>
    <mergeCell ref="C74:E74"/>
    <mergeCell ref="F74:G74"/>
    <mergeCell ref="J74:L74"/>
    <mergeCell ref="M74:N74"/>
    <mergeCell ref="C75:E75"/>
    <mergeCell ref="F75:G75"/>
    <mergeCell ref="J75:L75"/>
    <mergeCell ref="M75:N75"/>
    <mergeCell ref="J78:L78"/>
    <mergeCell ref="M78:N78"/>
    <mergeCell ref="C76:E76"/>
    <mergeCell ref="F76:G76"/>
    <mergeCell ref="J76:L76"/>
    <mergeCell ref="M76:N76"/>
    <mergeCell ref="J77:L77"/>
    <mergeCell ref="M77:N77"/>
    <mergeCell ref="C77:E77"/>
    <mergeCell ref="F77:G7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11A4B-A206-4E4E-B2F0-3CC4865C19EF}">
  <dimension ref="A1:N64"/>
  <sheetViews>
    <sheetView showGridLines="0" rightToLeft="1" workbookViewId="0">
      <pane ySplit="3" topLeftCell="A44" activePane="bottomLeft" state="frozen"/>
      <selection pane="bottomLeft" activeCell="M57" sqref="I57:N64"/>
    </sheetView>
  </sheetViews>
  <sheetFormatPr defaultRowHeight="14.5"/>
  <cols>
    <col min="1" max="1" width="10.90625" customWidth="1"/>
    <col min="2" max="2" width="17.26953125" customWidth="1"/>
    <col min="3" max="10" width="14.54296875" customWidth="1"/>
    <col min="11" max="13" width="15.453125" customWidth="1"/>
    <col min="14" max="14" width="5.453125" customWidth="1"/>
  </cols>
  <sheetData>
    <row r="1" spans="1:14" ht="26" customHeight="1">
      <c r="A1" s="111" t="s">
        <v>238</v>
      </c>
      <c r="B1" s="111"/>
      <c r="C1" s="111"/>
      <c r="D1" s="111"/>
      <c r="E1" s="111"/>
      <c r="F1" s="111"/>
      <c r="G1" s="111"/>
      <c r="H1" s="111"/>
      <c r="I1" s="111"/>
      <c r="J1" s="111"/>
      <c r="K1" s="111"/>
      <c r="L1" s="111"/>
      <c r="M1" s="111"/>
      <c r="N1" s="34"/>
    </row>
    <row r="2" spans="1:14" ht="8" customHeight="1">
      <c r="A2" s="34"/>
      <c r="B2" s="34"/>
      <c r="C2" s="34"/>
      <c r="D2" s="34"/>
      <c r="E2" s="34"/>
      <c r="F2" s="34"/>
      <c r="G2" s="34"/>
      <c r="H2" s="34"/>
      <c r="I2" s="34"/>
      <c r="J2" s="34"/>
      <c r="K2" s="34"/>
      <c r="L2" s="34"/>
      <c r="M2" s="34"/>
      <c r="N2" s="34"/>
    </row>
    <row r="3" spans="1:14" ht="32" customHeight="1">
      <c r="A3" s="35" t="s">
        <v>0</v>
      </c>
      <c r="B3" s="35" t="s">
        <v>1</v>
      </c>
      <c r="C3" s="35" t="s">
        <v>127</v>
      </c>
      <c r="D3" s="35" t="s">
        <v>128</v>
      </c>
      <c r="E3" s="35" t="s">
        <v>129</v>
      </c>
      <c r="F3" s="35" t="s">
        <v>130</v>
      </c>
      <c r="G3" s="35" t="s">
        <v>131</v>
      </c>
      <c r="H3" s="35" t="s">
        <v>132</v>
      </c>
      <c r="I3" s="35" t="s">
        <v>133</v>
      </c>
      <c r="J3" s="35" t="s">
        <v>134</v>
      </c>
      <c r="K3" s="35" t="s">
        <v>138</v>
      </c>
      <c r="L3" s="35" t="s">
        <v>170</v>
      </c>
      <c r="M3" s="35" t="s">
        <v>171</v>
      </c>
      <c r="N3" s="34"/>
    </row>
    <row r="4" spans="1:14"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69</v>
      </c>
      <c r="D4" s="37" t="s">
        <v>61</v>
      </c>
      <c r="E4" s="37" t="s">
        <v>62</v>
      </c>
      <c r="F4" s="37" t="s">
        <v>46</v>
      </c>
      <c r="G4" s="37" t="s">
        <v>153</v>
      </c>
      <c r="H4" s="37" t="s">
        <v>104</v>
      </c>
      <c r="I4" s="37" t="s">
        <v>79</v>
      </c>
      <c r="J4" s="37" t="s">
        <v>73</v>
      </c>
      <c r="K4" s="107">
        <f>COUNTIF(C4:J10,"* ضد *")</f>
        <v>32</v>
      </c>
      <c r="L4" s="108">
        <f>COUNTIF(C4:F10,"* ضد *")*2/8</f>
        <v>4</v>
      </c>
      <c r="M4" s="108">
        <f>COUNTIF(G4:J10,"* ضد *")*2/8</f>
        <v>4</v>
      </c>
      <c r="N4" s="34"/>
    </row>
    <row r="5" spans="1:14"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114" t="s">
        <v>139</v>
      </c>
      <c r="D5" s="114"/>
      <c r="E5" s="114"/>
      <c r="F5" s="114"/>
      <c r="G5" s="114" t="s">
        <v>139</v>
      </c>
      <c r="H5" s="114"/>
      <c r="I5" s="114"/>
      <c r="J5" s="114"/>
      <c r="K5" s="108"/>
      <c r="L5" s="108"/>
      <c r="M5" s="108"/>
      <c r="N5" s="34"/>
    </row>
    <row r="6" spans="1:14"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50</v>
      </c>
      <c r="D6" s="37" t="s">
        <v>164</v>
      </c>
      <c r="E6" s="37" t="s">
        <v>44</v>
      </c>
      <c r="F6" s="37" t="s">
        <v>47</v>
      </c>
      <c r="G6" s="37" t="s">
        <v>21</v>
      </c>
      <c r="H6" s="37" t="s">
        <v>182</v>
      </c>
      <c r="I6" s="37" t="s">
        <v>75</v>
      </c>
      <c r="J6" s="37" t="s">
        <v>155</v>
      </c>
      <c r="K6" s="108"/>
      <c r="L6" s="108"/>
      <c r="M6" s="108"/>
      <c r="N6" s="34"/>
    </row>
    <row r="7" spans="1:14"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114" t="s">
        <v>139</v>
      </c>
      <c r="D7" s="114"/>
      <c r="E7" s="114"/>
      <c r="F7" s="114"/>
      <c r="G7" s="114" t="s">
        <v>139</v>
      </c>
      <c r="H7" s="114"/>
      <c r="I7" s="114"/>
      <c r="J7" s="114"/>
      <c r="K7" s="108"/>
      <c r="L7" s="108"/>
      <c r="M7" s="108"/>
      <c r="N7" s="34"/>
    </row>
    <row r="8" spans="1:14"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165</v>
      </c>
      <c r="D8" s="37" t="s">
        <v>38</v>
      </c>
      <c r="E8" s="37" t="s">
        <v>166</v>
      </c>
      <c r="F8" s="37" t="s">
        <v>37</v>
      </c>
      <c r="G8" s="37" t="s">
        <v>184</v>
      </c>
      <c r="H8" s="37" t="s">
        <v>152</v>
      </c>
      <c r="I8" s="37" t="s">
        <v>185</v>
      </c>
      <c r="J8" s="37" t="s">
        <v>31</v>
      </c>
      <c r="K8" s="108"/>
      <c r="L8" s="108"/>
      <c r="M8" s="108"/>
      <c r="N8" s="34"/>
    </row>
    <row r="9" spans="1:14"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114" t="s">
        <v>139</v>
      </c>
      <c r="D9" s="114"/>
      <c r="E9" s="114"/>
      <c r="F9" s="114"/>
      <c r="G9" s="114" t="s">
        <v>139</v>
      </c>
      <c r="H9" s="114"/>
      <c r="I9" s="114"/>
      <c r="J9" s="114"/>
      <c r="K9" s="108"/>
      <c r="L9" s="108"/>
      <c r="M9" s="108"/>
      <c r="N9" s="34"/>
    </row>
    <row r="10" spans="1:14"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157</v>
      </c>
      <c r="D10" s="37" t="s">
        <v>163</v>
      </c>
      <c r="E10" s="37" t="s">
        <v>40</v>
      </c>
      <c r="F10" s="37" t="s">
        <v>167</v>
      </c>
      <c r="G10" s="37" t="s">
        <v>186</v>
      </c>
      <c r="H10" s="37" t="s">
        <v>187</v>
      </c>
      <c r="I10" s="37" t="s">
        <v>76</v>
      </c>
      <c r="J10" s="37" t="s">
        <v>179</v>
      </c>
      <c r="K10" s="108"/>
      <c r="L10" s="108"/>
      <c r="M10" s="108"/>
      <c r="N10" s="34"/>
    </row>
    <row r="11" spans="1:14" ht="14.5" customHeight="1">
      <c r="A11" s="106" t="s">
        <v>6</v>
      </c>
      <c r="B1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1" s="37" t="s">
        <v>159</v>
      </c>
      <c r="D11" s="37" t="s">
        <v>63</v>
      </c>
      <c r="E11" s="37" t="s">
        <v>45</v>
      </c>
      <c r="F11" s="37" t="s">
        <v>158</v>
      </c>
      <c r="G11" s="37" t="s">
        <v>189</v>
      </c>
      <c r="H11" s="37" t="s">
        <v>29</v>
      </c>
      <c r="I11" s="37" t="s">
        <v>101</v>
      </c>
      <c r="J11" s="37" t="s">
        <v>188</v>
      </c>
      <c r="K11" s="107">
        <f>COUNTIF(C11:J17,"* ضد *")</f>
        <v>32</v>
      </c>
      <c r="L11" s="108">
        <f>COUNTIF(C11:F17,"* ضد *")*2/8</f>
        <v>4</v>
      </c>
      <c r="M11" s="108">
        <f>COUNTIF(G11:J17,"* ضد *")*2/8</f>
        <v>4</v>
      </c>
      <c r="N11" s="34"/>
    </row>
    <row r="12" spans="1:14" ht="14.5" customHeight="1">
      <c r="A12" s="106"/>
      <c r="B1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2" s="114" t="s">
        <v>139</v>
      </c>
      <c r="D12" s="114"/>
      <c r="E12" s="114"/>
      <c r="F12" s="114"/>
      <c r="G12" s="114" t="s">
        <v>139</v>
      </c>
      <c r="H12" s="114"/>
      <c r="I12" s="114"/>
      <c r="J12" s="114"/>
      <c r="K12" s="108"/>
      <c r="L12" s="108"/>
      <c r="M12" s="108"/>
      <c r="N12" s="34"/>
    </row>
    <row r="13" spans="1:14" ht="14.5" customHeight="1">
      <c r="A13" s="106"/>
      <c r="B1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3" s="37" t="s">
        <v>20</v>
      </c>
      <c r="D13" s="37" t="s">
        <v>32</v>
      </c>
      <c r="E13" s="37" t="s">
        <v>160</v>
      </c>
      <c r="F13" s="37" t="s">
        <v>33</v>
      </c>
      <c r="G13" s="37" t="s">
        <v>54</v>
      </c>
      <c r="H13" s="37" t="s">
        <v>93</v>
      </c>
      <c r="I13" s="37" t="s">
        <v>172</v>
      </c>
      <c r="J13" s="37" t="s">
        <v>96</v>
      </c>
      <c r="K13" s="108"/>
      <c r="L13" s="108"/>
      <c r="M13" s="108"/>
      <c r="N13" s="34"/>
    </row>
    <row r="14" spans="1:14" ht="14.5" customHeight="1">
      <c r="A14" s="106"/>
      <c r="B1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4" s="114" t="s">
        <v>139</v>
      </c>
      <c r="D14" s="114"/>
      <c r="E14" s="114"/>
      <c r="F14" s="114"/>
      <c r="G14" s="114" t="s">
        <v>139</v>
      </c>
      <c r="H14" s="114"/>
      <c r="I14" s="114"/>
      <c r="J14" s="114"/>
      <c r="K14" s="108"/>
      <c r="L14" s="108"/>
      <c r="M14" s="108"/>
      <c r="N14" s="34"/>
    </row>
    <row r="15" spans="1:14" ht="14.5" customHeight="1">
      <c r="A15" s="106"/>
      <c r="B1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5" s="37" t="s">
        <v>43</v>
      </c>
      <c r="D15" s="37" t="s">
        <v>55</v>
      </c>
      <c r="E15" s="37" t="s">
        <v>30</v>
      </c>
      <c r="F15" s="37" t="s">
        <v>57</v>
      </c>
      <c r="G15" s="37" t="s">
        <v>103</v>
      </c>
      <c r="H15" s="37" t="s">
        <v>80</v>
      </c>
      <c r="I15" s="37" t="s">
        <v>48</v>
      </c>
      <c r="J15" s="37" t="s">
        <v>107</v>
      </c>
      <c r="K15" s="108"/>
      <c r="L15" s="108"/>
      <c r="M15" s="108"/>
      <c r="N15" s="34"/>
    </row>
    <row r="16" spans="1:14" ht="14.5" customHeight="1">
      <c r="A16" s="106"/>
      <c r="B1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6" s="114" t="s">
        <v>139</v>
      </c>
      <c r="D16" s="114"/>
      <c r="E16" s="114"/>
      <c r="F16" s="114"/>
      <c r="G16" s="114" t="s">
        <v>139</v>
      </c>
      <c r="H16" s="114"/>
      <c r="I16" s="114"/>
      <c r="J16" s="114"/>
      <c r="K16" s="108"/>
      <c r="L16" s="108"/>
      <c r="M16" s="108"/>
      <c r="N16" s="34"/>
    </row>
    <row r="17" spans="1:14" ht="14.5" customHeight="1">
      <c r="A17" s="106"/>
      <c r="B1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7" s="37" t="s">
        <v>61</v>
      </c>
      <c r="D17" s="37" t="s">
        <v>46</v>
      </c>
      <c r="E17" s="37" t="s">
        <v>62</v>
      </c>
      <c r="F17" s="37" t="s">
        <v>69</v>
      </c>
      <c r="G17" s="37" t="s">
        <v>104</v>
      </c>
      <c r="H17" s="37" t="s">
        <v>73</v>
      </c>
      <c r="I17" s="37" t="s">
        <v>79</v>
      </c>
      <c r="J17" s="37" t="s">
        <v>153</v>
      </c>
      <c r="K17" s="108"/>
      <c r="L17" s="108"/>
      <c r="M17" s="108"/>
      <c r="N17" s="34"/>
    </row>
    <row r="18" spans="1:14" ht="14.5" customHeight="1">
      <c r="A18" s="106" t="s">
        <v>7</v>
      </c>
      <c r="B18"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8" s="37" t="s">
        <v>164</v>
      </c>
      <c r="D18" s="37" t="s">
        <v>50</v>
      </c>
      <c r="E18" s="37" t="s">
        <v>47</v>
      </c>
      <c r="F18" s="37" t="s">
        <v>44</v>
      </c>
      <c r="G18" s="37" t="s">
        <v>182</v>
      </c>
      <c r="H18" s="37" t="s">
        <v>21</v>
      </c>
      <c r="I18" s="37" t="s">
        <v>155</v>
      </c>
      <c r="J18" s="37" t="s">
        <v>75</v>
      </c>
      <c r="K18" s="107">
        <f>COUNTIF(C18:J24,"* ضد *")</f>
        <v>32</v>
      </c>
      <c r="L18" s="108">
        <f>COUNTIF(C18:F24,"* ضد *")*2/8</f>
        <v>4</v>
      </c>
      <c r="M18" s="108">
        <f>COUNTIF(G18:J24,"* ضد *")*2/8</f>
        <v>4</v>
      </c>
      <c r="N18" s="34"/>
    </row>
    <row r="19" spans="1:14" ht="14.5" customHeight="1">
      <c r="A19" s="106"/>
      <c r="B19"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9" s="114" t="s">
        <v>139</v>
      </c>
      <c r="D19" s="114"/>
      <c r="E19" s="114"/>
      <c r="F19" s="114"/>
      <c r="G19" s="114" t="s">
        <v>139</v>
      </c>
      <c r="H19" s="114"/>
      <c r="I19" s="114"/>
      <c r="J19" s="114"/>
      <c r="K19" s="108"/>
      <c r="L19" s="108"/>
      <c r="M19" s="108"/>
      <c r="N19" s="34"/>
    </row>
    <row r="20" spans="1:14" ht="14.5" customHeight="1">
      <c r="A20" s="106"/>
      <c r="B20"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0" s="37" t="s">
        <v>165</v>
      </c>
      <c r="D20" s="37" t="s">
        <v>37</v>
      </c>
      <c r="E20" s="37" t="s">
        <v>166</v>
      </c>
      <c r="F20" s="37" t="s">
        <v>38</v>
      </c>
      <c r="G20" s="37" t="s">
        <v>184</v>
      </c>
      <c r="H20" s="37" t="s">
        <v>31</v>
      </c>
      <c r="I20" s="37" t="s">
        <v>185</v>
      </c>
      <c r="J20" s="37" t="s">
        <v>152</v>
      </c>
      <c r="K20" s="108"/>
      <c r="L20" s="108"/>
      <c r="M20" s="108"/>
      <c r="N20" s="34"/>
    </row>
    <row r="21" spans="1:14" ht="14.5" customHeight="1">
      <c r="A21" s="106"/>
      <c r="B21"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1" s="114" t="s">
        <v>139</v>
      </c>
      <c r="D21" s="114"/>
      <c r="E21" s="114"/>
      <c r="F21" s="114"/>
      <c r="G21" s="114" t="s">
        <v>139</v>
      </c>
      <c r="H21" s="114"/>
      <c r="I21" s="114"/>
      <c r="J21" s="114"/>
      <c r="K21" s="108"/>
      <c r="L21" s="108"/>
      <c r="M21" s="108"/>
      <c r="N21" s="34"/>
    </row>
    <row r="22" spans="1:14" ht="14.5" customHeight="1">
      <c r="A22" s="106"/>
      <c r="B22"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2" s="37" t="s">
        <v>40</v>
      </c>
      <c r="D22" s="37" t="s">
        <v>167</v>
      </c>
      <c r="E22" s="37" t="s">
        <v>163</v>
      </c>
      <c r="F22" s="37" t="s">
        <v>157</v>
      </c>
      <c r="G22" s="37" t="s">
        <v>76</v>
      </c>
      <c r="H22" s="37" t="s">
        <v>179</v>
      </c>
      <c r="I22" s="37" t="s">
        <v>187</v>
      </c>
      <c r="J22" s="37" t="s">
        <v>186</v>
      </c>
      <c r="K22" s="108"/>
      <c r="L22" s="108"/>
      <c r="M22" s="108"/>
      <c r="N22" s="34"/>
    </row>
    <row r="23" spans="1:14" ht="14.5" customHeight="1">
      <c r="A23" s="106"/>
      <c r="B23"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3" s="114" t="s">
        <v>139</v>
      </c>
      <c r="D23" s="114"/>
      <c r="E23" s="114"/>
      <c r="F23" s="114"/>
      <c r="G23" s="114" t="s">
        <v>139</v>
      </c>
      <c r="H23" s="114"/>
      <c r="I23" s="114"/>
      <c r="J23" s="114"/>
      <c r="K23" s="108"/>
      <c r="L23" s="108"/>
      <c r="M23" s="108"/>
      <c r="N23" s="34"/>
    </row>
    <row r="24" spans="1:14" ht="14.5" customHeight="1">
      <c r="A24" s="106"/>
      <c r="B24"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4" s="37" t="s">
        <v>158</v>
      </c>
      <c r="D24" s="37" t="s">
        <v>45</v>
      </c>
      <c r="E24" s="37" t="s">
        <v>159</v>
      </c>
      <c r="F24" s="37" t="s">
        <v>63</v>
      </c>
      <c r="G24" s="37" t="s">
        <v>188</v>
      </c>
      <c r="H24" s="37" t="s">
        <v>101</v>
      </c>
      <c r="I24" s="37" t="s">
        <v>189</v>
      </c>
      <c r="J24" s="37" t="s">
        <v>29</v>
      </c>
      <c r="K24" s="108"/>
      <c r="L24" s="108"/>
      <c r="M24" s="108"/>
      <c r="N24" s="34"/>
    </row>
    <row r="25" spans="1:14" ht="14.5" customHeight="1">
      <c r="A25" s="106" t="s">
        <v>8</v>
      </c>
      <c r="B25"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5" s="37" t="s">
        <v>160</v>
      </c>
      <c r="D25" s="37" t="s">
        <v>20</v>
      </c>
      <c r="E25" s="37" t="s">
        <v>32</v>
      </c>
      <c r="F25" s="37" t="s">
        <v>33</v>
      </c>
      <c r="G25" s="37" t="s">
        <v>172</v>
      </c>
      <c r="H25" s="37" t="s">
        <v>54</v>
      </c>
      <c r="I25" s="37" t="s">
        <v>93</v>
      </c>
      <c r="J25" s="37" t="s">
        <v>96</v>
      </c>
      <c r="K25" s="107">
        <f>COUNTIF(C25:J31,"* ضد *")</f>
        <v>32</v>
      </c>
      <c r="L25" s="108">
        <f>COUNTIF(C25:F31,"* ضد *")*2/8</f>
        <v>4</v>
      </c>
      <c r="M25" s="108">
        <f>COUNTIF(G25:J31,"* ضد *")*2/8</f>
        <v>4</v>
      </c>
      <c r="N25" s="34"/>
    </row>
    <row r="26" spans="1:14" ht="14.5" customHeight="1">
      <c r="A26" s="106"/>
      <c r="B26"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6" s="114" t="s">
        <v>139</v>
      </c>
      <c r="D26" s="114"/>
      <c r="E26" s="114"/>
      <c r="F26" s="114"/>
      <c r="G26" s="114" t="s">
        <v>139</v>
      </c>
      <c r="H26" s="114"/>
      <c r="I26" s="114"/>
      <c r="J26" s="114"/>
      <c r="K26" s="108"/>
      <c r="L26" s="108"/>
      <c r="M26" s="108"/>
      <c r="N26" s="34"/>
    </row>
    <row r="27" spans="1:14" ht="14.5" customHeight="1">
      <c r="A27" s="106"/>
      <c r="B27"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7" s="37" t="s">
        <v>57</v>
      </c>
      <c r="D27" s="37" t="s">
        <v>30</v>
      </c>
      <c r="E27" s="37" t="s">
        <v>55</v>
      </c>
      <c r="F27" s="37" t="s">
        <v>43</v>
      </c>
      <c r="G27" s="37" t="s">
        <v>107</v>
      </c>
      <c r="H27" s="37" t="s">
        <v>48</v>
      </c>
      <c r="I27" s="37" t="s">
        <v>80</v>
      </c>
      <c r="J27" s="37" t="s">
        <v>103</v>
      </c>
      <c r="K27" s="108"/>
      <c r="L27" s="108"/>
      <c r="M27" s="108"/>
      <c r="N27" s="34"/>
    </row>
    <row r="28" spans="1:14" ht="14.5" customHeight="1">
      <c r="A28" s="106"/>
      <c r="B28"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8" s="114" t="s">
        <v>139</v>
      </c>
      <c r="D28" s="114"/>
      <c r="E28" s="114"/>
      <c r="F28" s="114"/>
      <c r="G28" s="114" t="s">
        <v>139</v>
      </c>
      <c r="H28" s="114"/>
      <c r="I28" s="114"/>
      <c r="J28" s="114"/>
      <c r="K28" s="108"/>
      <c r="L28" s="108"/>
      <c r="M28" s="108"/>
      <c r="N28" s="34"/>
    </row>
    <row r="29" spans="1:14" ht="14.5" customHeight="1">
      <c r="A29" s="106"/>
      <c r="B29"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9" s="37" t="s">
        <v>69</v>
      </c>
      <c r="D29" s="37" t="s">
        <v>46</v>
      </c>
      <c r="E29" s="37" t="s">
        <v>62</v>
      </c>
      <c r="F29" s="37" t="s">
        <v>61</v>
      </c>
      <c r="G29" s="37" t="s">
        <v>153</v>
      </c>
      <c r="H29" s="37" t="s">
        <v>73</v>
      </c>
      <c r="I29" s="37" t="s">
        <v>79</v>
      </c>
      <c r="J29" s="37" t="s">
        <v>104</v>
      </c>
      <c r="K29" s="108"/>
      <c r="L29" s="108"/>
      <c r="M29" s="108"/>
      <c r="N29" s="34"/>
    </row>
    <row r="30" spans="1:14" ht="14.5" customHeight="1">
      <c r="A30" s="106"/>
      <c r="B30"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0" s="114" t="s">
        <v>139</v>
      </c>
      <c r="D30" s="114"/>
      <c r="E30" s="114"/>
      <c r="F30" s="114"/>
      <c r="G30" s="114" t="s">
        <v>139</v>
      </c>
      <c r="H30" s="114"/>
      <c r="I30" s="114"/>
      <c r="J30" s="114"/>
      <c r="K30" s="108"/>
      <c r="L30" s="108"/>
      <c r="M30" s="108"/>
      <c r="N30" s="34"/>
    </row>
    <row r="31" spans="1:14" ht="14.5" customHeight="1">
      <c r="A31" s="106"/>
      <c r="B31"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1" s="37" t="s">
        <v>44</v>
      </c>
      <c r="D31" s="37" t="s">
        <v>164</v>
      </c>
      <c r="E31" s="37" t="s">
        <v>47</v>
      </c>
      <c r="F31" s="37" t="s">
        <v>50</v>
      </c>
      <c r="G31" s="37" t="s">
        <v>75</v>
      </c>
      <c r="H31" s="37" t="s">
        <v>182</v>
      </c>
      <c r="I31" s="37" t="s">
        <v>155</v>
      </c>
      <c r="J31" s="37" t="s">
        <v>21</v>
      </c>
      <c r="K31" s="108"/>
      <c r="L31" s="108"/>
      <c r="M31" s="108"/>
      <c r="N31" s="34"/>
    </row>
    <row r="32" spans="1:14" ht="14.5" customHeight="1">
      <c r="A32" s="106" t="s">
        <v>9</v>
      </c>
      <c r="B3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2" s="37" t="s">
        <v>38</v>
      </c>
      <c r="D32" s="37" t="s">
        <v>165</v>
      </c>
      <c r="E32" s="37" t="s">
        <v>166</v>
      </c>
      <c r="F32" s="37" t="s">
        <v>37</v>
      </c>
      <c r="G32" s="37" t="s">
        <v>152</v>
      </c>
      <c r="H32" s="37" t="s">
        <v>184</v>
      </c>
      <c r="I32" s="37" t="s">
        <v>185</v>
      </c>
      <c r="J32" s="37" t="s">
        <v>31</v>
      </c>
      <c r="K32" s="107">
        <f>COUNTIF(C32:J38,"* ضد *")</f>
        <v>32</v>
      </c>
      <c r="L32" s="108">
        <f>COUNTIF(C32:F38,"* ضد *")*2/8</f>
        <v>4</v>
      </c>
      <c r="M32" s="108">
        <f>COUNTIF(G32:J38,"* ضد *")*2/8</f>
        <v>4</v>
      </c>
      <c r="N32" s="34"/>
    </row>
    <row r="33" spans="1:14" ht="14.5" customHeight="1">
      <c r="A33" s="106"/>
      <c r="B3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3" s="114" t="s">
        <v>139</v>
      </c>
      <c r="D33" s="114"/>
      <c r="E33" s="114"/>
      <c r="F33" s="114"/>
      <c r="G33" s="114" t="s">
        <v>139</v>
      </c>
      <c r="H33" s="114"/>
      <c r="I33" s="114"/>
      <c r="J33" s="114"/>
      <c r="K33" s="108"/>
      <c r="L33" s="108"/>
      <c r="M33" s="108"/>
      <c r="N33" s="34"/>
    </row>
    <row r="34" spans="1:14" ht="14.5" customHeight="1">
      <c r="A34" s="106"/>
      <c r="B3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4" s="37" t="s">
        <v>167</v>
      </c>
      <c r="D34" s="37" t="s">
        <v>157</v>
      </c>
      <c r="E34" s="37" t="s">
        <v>163</v>
      </c>
      <c r="F34" s="37" t="s">
        <v>40</v>
      </c>
      <c r="G34" s="37" t="s">
        <v>179</v>
      </c>
      <c r="H34" s="37" t="s">
        <v>186</v>
      </c>
      <c r="I34" s="37" t="s">
        <v>187</v>
      </c>
      <c r="J34" s="37" t="s">
        <v>76</v>
      </c>
      <c r="K34" s="108"/>
      <c r="L34" s="108"/>
      <c r="M34" s="108"/>
      <c r="N34" s="34"/>
    </row>
    <row r="35" spans="1:14" ht="14.5" customHeight="1">
      <c r="A35" s="106"/>
      <c r="B3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5" s="114" t="s">
        <v>139</v>
      </c>
      <c r="D35" s="114"/>
      <c r="E35" s="114"/>
      <c r="F35" s="114"/>
      <c r="G35" s="114" t="s">
        <v>139</v>
      </c>
      <c r="H35" s="114"/>
      <c r="I35" s="114"/>
      <c r="J35" s="114"/>
      <c r="K35" s="108"/>
      <c r="L35" s="108"/>
      <c r="M35" s="108"/>
      <c r="N35" s="34"/>
    </row>
    <row r="36" spans="1:14" ht="14.5" customHeight="1">
      <c r="A36" s="106"/>
      <c r="B3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6" s="37" t="s">
        <v>159</v>
      </c>
      <c r="D36" s="37" t="s">
        <v>158</v>
      </c>
      <c r="E36" s="37" t="s">
        <v>63</v>
      </c>
      <c r="F36" s="37" t="s">
        <v>45</v>
      </c>
      <c r="G36" s="37" t="s">
        <v>189</v>
      </c>
      <c r="H36" s="37" t="s">
        <v>188</v>
      </c>
      <c r="I36" s="37" t="s">
        <v>29</v>
      </c>
      <c r="J36" s="37" t="s">
        <v>101</v>
      </c>
      <c r="K36" s="108"/>
      <c r="L36" s="108"/>
      <c r="M36" s="108"/>
      <c r="N36" s="34"/>
    </row>
    <row r="37" spans="1:14" ht="14.5" customHeight="1">
      <c r="A37" s="106"/>
      <c r="B3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7" s="114" t="s">
        <v>139</v>
      </c>
      <c r="D37" s="114"/>
      <c r="E37" s="114"/>
      <c r="F37" s="114"/>
      <c r="G37" s="114" t="s">
        <v>139</v>
      </c>
      <c r="H37" s="114"/>
      <c r="I37" s="114"/>
      <c r="J37" s="114"/>
      <c r="K37" s="108"/>
      <c r="L37" s="108"/>
      <c r="M37" s="108"/>
      <c r="N37" s="34"/>
    </row>
    <row r="38" spans="1:14" ht="14.5" customHeight="1">
      <c r="A38" s="106"/>
      <c r="B3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8" s="37" t="s">
        <v>33</v>
      </c>
      <c r="D38" s="37" t="s">
        <v>20</v>
      </c>
      <c r="E38" s="37" t="s">
        <v>160</v>
      </c>
      <c r="F38" s="37" t="s">
        <v>32</v>
      </c>
      <c r="G38" s="37" t="s">
        <v>96</v>
      </c>
      <c r="H38" s="37" t="s">
        <v>54</v>
      </c>
      <c r="I38" s="37" t="s">
        <v>172</v>
      </c>
      <c r="J38" s="37" t="s">
        <v>93</v>
      </c>
      <c r="K38" s="108"/>
      <c r="L38" s="108"/>
      <c r="M38" s="108"/>
      <c r="N38" s="34"/>
    </row>
    <row r="39" spans="1:14" ht="14.5" customHeight="1">
      <c r="A39" s="106" t="s">
        <v>10</v>
      </c>
      <c r="B39"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9" s="37" t="s">
        <v>43</v>
      </c>
      <c r="D39" s="37" t="s">
        <v>30</v>
      </c>
      <c r="E39" s="37" t="s">
        <v>57</v>
      </c>
      <c r="F39" s="37" t="s">
        <v>55</v>
      </c>
      <c r="G39" s="37" t="s">
        <v>103</v>
      </c>
      <c r="H39" s="37" t="s">
        <v>48</v>
      </c>
      <c r="I39" s="37" t="s">
        <v>107</v>
      </c>
      <c r="J39" s="37" t="s">
        <v>80</v>
      </c>
      <c r="K39" s="107">
        <f>COUNTIF(C39:J45,"* ضد *")</f>
        <v>32</v>
      </c>
      <c r="L39" s="108">
        <f>COUNTIF(C39:F45,"* ضد *")*2/8</f>
        <v>4</v>
      </c>
      <c r="M39" s="108">
        <f>COUNTIF(G39:J45,"* ضد *")*2/8</f>
        <v>4</v>
      </c>
      <c r="N39" s="34"/>
    </row>
    <row r="40" spans="1:14" ht="14.5" customHeight="1">
      <c r="A40" s="106"/>
      <c r="B40"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0" s="114" t="s">
        <v>139</v>
      </c>
      <c r="D40" s="114"/>
      <c r="E40" s="114"/>
      <c r="F40" s="114"/>
      <c r="G40" s="114" t="s">
        <v>139</v>
      </c>
      <c r="H40" s="114"/>
      <c r="I40" s="114"/>
      <c r="J40" s="114"/>
      <c r="K40" s="108"/>
      <c r="L40" s="108"/>
      <c r="M40" s="108"/>
      <c r="N40" s="34"/>
    </row>
    <row r="41" spans="1:14" ht="14.5" customHeight="1">
      <c r="A41" s="106"/>
      <c r="B41"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1" s="37" t="s">
        <v>69</v>
      </c>
      <c r="D41" s="37" t="s">
        <v>61</v>
      </c>
      <c r="E41" s="37" t="s">
        <v>46</v>
      </c>
      <c r="F41" s="37" t="s">
        <v>62</v>
      </c>
      <c r="G41" s="37" t="s">
        <v>153</v>
      </c>
      <c r="H41" s="37" t="s">
        <v>104</v>
      </c>
      <c r="I41" s="37" t="s">
        <v>73</v>
      </c>
      <c r="J41" s="37" t="s">
        <v>79</v>
      </c>
      <c r="K41" s="108"/>
      <c r="L41" s="108"/>
      <c r="M41" s="108"/>
      <c r="N41" s="34"/>
    </row>
    <row r="42" spans="1:14" ht="14.5" customHeight="1">
      <c r="A42" s="106"/>
      <c r="B42"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2" s="114" t="s">
        <v>139</v>
      </c>
      <c r="D42" s="114"/>
      <c r="E42" s="114"/>
      <c r="F42" s="114"/>
      <c r="G42" s="114" t="s">
        <v>139</v>
      </c>
      <c r="H42" s="114"/>
      <c r="I42" s="114"/>
      <c r="J42" s="114"/>
      <c r="K42" s="108"/>
      <c r="L42" s="108"/>
      <c r="M42" s="108"/>
      <c r="N42" s="34"/>
    </row>
    <row r="43" spans="1:14" ht="14.5" customHeight="1">
      <c r="A43" s="106"/>
      <c r="B43"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3" s="37" t="s">
        <v>50</v>
      </c>
      <c r="D43" s="37" t="s">
        <v>164</v>
      </c>
      <c r="E43" s="37" t="s">
        <v>44</v>
      </c>
      <c r="F43" s="37" t="s">
        <v>47</v>
      </c>
      <c r="G43" s="37" t="s">
        <v>21</v>
      </c>
      <c r="H43" s="37" t="s">
        <v>182</v>
      </c>
      <c r="I43" s="37" t="s">
        <v>75</v>
      </c>
      <c r="J43" s="37" t="s">
        <v>155</v>
      </c>
      <c r="K43" s="108"/>
      <c r="L43" s="108"/>
      <c r="M43" s="108"/>
      <c r="N43" s="34"/>
    </row>
    <row r="44" spans="1:14" ht="14.5" customHeight="1">
      <c r="A44" s="106"/>
      <c r="B44"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4" s="114" t="s">
        <v>139</v>
      </c>
      <c r="D44" s="114"/>
      <c r="E44" s="114"/>
      <c r="F44" s="114"/>
      <c r="G44" s="114" t="s">
        <v>139</v>
      </c>
      <c r="H44" s="114"/>
      <c r="I44" s="114"/>
      <c r="J44" s="114"/>
      <c r="K44" s="108"/>
      <c r="L44" s="108"/>
      <c r="M44" s="108"/>
      <c r="N44" s="34"/>
    </row>
    <row r="45" spans="1:14" ht="14.5" customHeight="1">
      <c r="A45" s="106"/>
      <c r="B45"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5" s="37" t="s">
        <v>37</v>
      </c>
      <c r="D45" s="37" t="s">
        <v>165</v>
      </c>
      <c r="E45" s="37" t="s">
        <v>38</v>
      </c>
      <c r="F45" s="37" t="s">
        <v>166</v>
      </c>
      <c r="G45" s="37" t="s">
        <v>31</v>
      </c>
      <c r="H45" s="37" t="s">
        <v>184</v>
      </c>
      <c r="I45" s="37" t="s">
        <v>152</v>
      </c>
      <c r="J45" s="37" t="s">
        <v>185</v>
      </c>
      <c r="K45" s="108"/>
      <c r="L45" s="108"/>
      <c r="M45" s="108"/>
      <c r="N45" s="34"/>
    </row>
    <row r="46" spans="1:14" ht="14.5" customHeight="1">
      <c r="A46" s="106" t="s">
        <v>11</v>
      </c>
      <c r="B46"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6" s="37" t="s">
        <v>40</v>
      </c>
      <c r="D46" s="37" t="s">
        <v>157</v>
      </c>
      <c r="E46" s="37" t="s">
        <v>163</v>
      </c>
      <c r="F46" s="37" t="s">
        <v>167</v>
      </c>
      <c r="G46" s="37" t="s">
        <v>76</v>
      </c>
      <c r="H46" s="37" t="s">
        <v>186</v>
      </c>
      <c r="I46" s="37" t="s">
        <v>187</v>
      </c>
      <c r="J46" s="37" t="s">
        <v>179</v>
      </c>
      <c r="K46" s="107">
        <f>COUNTIF(C46:J52,"* ضد *")</f>
        <v>32</v>
      </c>
      <c r="L46" s="108">
        <f>COUNTIF(C46:F52,"* ضد *")*2/8</f>
        <v>4</v>
      </c>
      <c r="M46" s="108">
        <f>COUNTIF(G46:J52,"* ضد *")*2/8</f>
        <v>4</v>
      </c>
      <c r="N46" s="34"/>
    </row>
    <row r="47" spans="1:14" ht="14.5" customHeight="1">
      <c r="A47" s="106"/>
      <c r="B47"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7" s="114" t="s">
        <v>139</v>
      </c>
      <c r="D47" s="114"/>
      <c r="E47" s="114"/>
      <c r="F47" s="114"/>
      <c r="G47" s="114" t="s">
        <v>139</v>
      </c>
      <c r="H47" s="114"/>
      <c r="I47" s="114"/>
      <c r="J47" s="114"/>
      <c r="K47" s="108"/>
      <c r="L47" s="108"/>
      <c r="M47" s="108"/>
      <c r="N47" s="34"/>
    </row>
    <row r="48" spans="1:14" ht="14.5" customHeight="1">
      <c r="A48" s="106"/>
      <c r="B48"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8" s="37" t="s">
        <v>45</v>
      </c>
      <c r="D48" s="37" t="s">
        <v>63</v>
      </c>
      <c r="E48" s="37" t="s">
        <v>159</v>
      </c>
      <c r="F48" s="37" t="s">
        <v>158</v>
      </c>
      <c r="G48" s="37" t="s">
        <v>101</v>
      </c>
      <c r="H48" s="37" t="s">
        <v>29</v>
      </c>
      <c r="I48" s="37" t="s">
        <v>189</v>
      </c>
      <c r="J48" s="37" t="s">
        <v>188</v>
      </c>
      <c r="K48" s="108"/>
      <c r="L48" s="108"/>
      <c r="M48" s="108"/>
      <c r="N48" s="34"/>
    </row>
    <row r="49" spans="1:14" ht="14.5" customHeight="1">
      <c r="A49" s="106"/>
      <c r="B49"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9" s="114" t="s">
        <v>139</v>
      </c>
      <c r="D49" s="114"/>
      <c r="E49" s="114"/>
      <c r="F49" s="114"/>
      <c r="G49" s="114" t="s">
        <v>139</v>
      </c>
      <c r="H49" s="114"/>
      <c r="I49" s="114"/>
      <c r="J49" s="114"/>
      <c r="K49" s="108"/>
      <c r="L49" s="108"/>
      <c r="M49" s="108"/>
      <c r="N49" s="34"/>
    </row>
    <row r="50" spans="1:14" ht="14.5" customHeight="1">
      <c r="A50" s="106"/>
      <c r="B50"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0" s="37" t="s">
        <v>33</v>
      </c>
      <c r="D50" s="37" t="s">
        <v>20</v>
      </c>
      <c r="E50" s="37" t="s">
        <v>32</v>
      </c>
      <c r="F50" s="37" t="s">
        <v>160</v>
      </c>
      <c r="G50" s="37" t="s">
        <v>96</v>
      </c>
      <c r="H50" s="37" t="s">
        <v>54</v>
      </c>
      <c r="I50" s="37" t="s">
        <v>93</v>
      </c>
      <c r="J50" s="37" t="s">
        <v>172</v>
      </c>
      <c r="K50" s="108"/>
      <c r="L50" s="108"/>
      <c r="M50" s="108"/>
      <c r="N50" s="34"/>
    </row>
    <row r="51" spans="1:14" ht="14.5" customHeight="1">
      <c r="A51" s="106"/>
      <c r="B51"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1" s="114" t="s">
        <v>139</v>
      </c>
      <c r="D51" s="114"/>
      <c r="E51" s="114"/>
      <c r="F51" s="114"/>
      <c r="G51" s="114" t="s">
        <v>139</v>
      </c>
      <c r="H51" s="114"/>
      <c r="I51" s="114"/>
      <c r="J51" s="114"/>
      <c r="K51" s="108"/>
      <c r="L51" s="108"/>
      <c r="M51" s="108"/>
      <c r="N51" s="34"/>
    </row>
    <row r="52" spans="1:14" ht="14.5" customHeight="1">
      <c r="A52" s="106"/>
      <c r="B52"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2" s="37" t="s">
        <v>57</v>
      </c>
      <c r="D52" s="37" t="s">
        <v>43</v>
      </c>
      <c r="E52" s="37" t="s">
        <v>30</v>
      </c>
      <c r="F52" s="37" t="s">
        <v>55</v>
      </c>
      <c r="G52" s="37" t="s">
        <v>107</v>
      </c>
      <c r="H52" s="37" t="s">
        <v>103</v>
      </c>
      <c r="I52" s="37" t="s">
        <v>48</v>
      </c>
      <c r="J52" s="37" t="s">
        <v>80</v>
      </c>
      <c r="K52" s="108"/>
      <c r="L52" s="108"/>
      <c r="M52" s="108"/>
      <c r="N52" s="34"/>
    </row>
    <row r="53" spans="1:14">
      <c r="A53" s="34"/>
      <c r="B53" s="34"/>
      <c r="C53" s="34"/>
      <c r="D53" s="34"/>
      <c r="E53" s="34"/>
      <c r="F53" s="34"/>
      <c r="G53" s="34"/>
      <c r="H53" s="34"/>
      <c r="I53" s="34"/>
      <c r="J53" s="34"/>
      <c r="K53" s="34"/>
      <c r="L53" s="34"/>
      <c r="M53" s="34"/>
      <c r="N53" s="34"/>
    </row>
    <row r="54" spans="1:14">
      <c r="A54" s="34"/>
      <c r="B54" s="34"/>
      <c r="C54" s="34"/>
      <c r="D54" s="34"/>
      <c r="E54" s="34"/>
      <c r="F54" s="34"/>
      <c r="G54" s="34"/>
      <c r="H54" s="34"/>
      <c r="I54" s="34"/>
      <c r="J54" s="34"/>
      <c r="K54" s="34"/>
      <c r="L54" s="34"/>
      <c r="M54" s="34"/>
      <c r="N54" s="34"/>
    </row>
    <row r="55" spans="1:14" ht="15.5" customHeight="1">
      <c r="A55" s="34"/>
      <c r="B55" s="109" t="s">
        <v>453</v>
      </c>
      <c r="C55" s="109"/>
      <c r="D55" s="109"/>
      <c r="E55" s="109"/>
      <c r="F55" s="109"/>
      <c r="G55" s="109"/>
      <c r="H55" s="109"/>
      <c r="I55" s="109"/>
      <c r="J55" s="109"/>
      <c r="K55" s="109"/>
      <c r="L55" s="109"/>
      <c r="M55" s="109"/>
      <c r="N55" s="109"/>
    </row>
    <row r="56" spans="1:14" ht="14.5" customHeight="1">
      <c r="A56" s="34"/>
      <c r="B56" s="38" t="s">
        <v>83</v>
      </c>
      <c r="C56" s="110" t="s">
        <v>221</v>
      </c>
      <c r="D56" s="110"/>
      <c r="E56" s="110"/>
      <c r="F56" s="110" t="s">
        <v>216</v>
      </c>
      <c r="G56" s="110"/>
      <c r="H56" s="34"/>
      <c r="I56" s="38" t="s">
        <v>83</v>
      </c>
      <c r="J56" s="110" t="s">
        <v>239</v>
      </c>
      <c r="K56" s="110"/>
      <c r="L56" s="110"/>
      <c r="M56" s="110" t="s">
        <v>216</v>
      </c>
      <c r="N56" s="110"/>
    </row>
    <row r="57" spans="1:14" ht="14.5" customHeight="1">
      <c r="A57" s="34"/>
      <c r="B57" s="39">
        <v>1</v>
      </c>
      <c r="C57" s="105" t="s">
        <v>621</v>
      </c>
      <c r="D57" s="105"/>
      <c r="E57" s="105"/>
      <c r="F57" s="105" t="s">
        <v>456</v>
      </c>
      <c r="G57" s="105"/>
      <c r="H57" s="34"/>
      <c r="I57" s="39">
        <v>9</v>
      </c>
      <c r="J57" s="105" t="s">
        <v>629</v>
      </c>
      <c r="K57" s="105"/>
      <c r="L57" s="105"/>
      <c r="M57" s="105" t="s">
        <v>456</v>
      </c>
      <c r="N57" s="105"/>
    </row>
    <row r="58" spans="1:14" ht="14.5" customHeight="1">
      <c r="A58" s="34"/>
      <c r="B58" s="39">
        <v>2</v>
      </c>
      <c r="C58" s="105" t="s">
        <v>622</v>
      </c>
      <c r="D58" s="105"/>
      <c r="E58" s="105"/>
      <c r="F58" s="105" t="s">
        <v>456</v>
      </c>
      <c r="G58" s="105"/>
      <c r="H58" s="34"/>
      <c r="I58" s="39">
        <v>10</v>
      </c>
      <c r="J58" s="105" t="s">
        <v>630</v>
      </c>
      <c r="K58" s="105"/>
      <c r="L58" s="105"/>
      <c r="M58" s="105" t="s">
        <v>458</v>
      </c>
      <c r="N58" s="105"/>
    </row>
    <row r="59" spans="1:14" ht="14.5" customHeight="1">
      <c r="A59" s="34"/>
      <c r="B59" s="39">
        <v>3</v>
      </c>
      <c r="C59" s="105" t="s">
        <v>623</v>
      </c>
      <c r="D59" s="105"/>
      <c r="E59" s="105"/>
      <c r="F59" s="105" t="s">
        <v>458</v>
      </c>
      <c r="G59" s="105"/>
      <c r="H59" s="34"/>
      <c r="I59" s="39">
        <v>11</v>
      </c>
      <c r="J59" s="105" t="s">
        <v>631</v>
      </c>
      <c r="K59" s="105"/>
      <c r="L59" s="105"/>
      <c r="M59" s="105" t="s">
        <v>458</v>
      </c>
      <c r="N59" s="105"/>
    </row>
    <row r="60" spans="1:14" ht="14.5" customHeight="1">
      <c r="A60" s="34"/>
      <c r="B60" s="39">
        <v>4</v>
      </c>
      <c r="C60" s="105" t="s">
        <v>624</v>
      </c>
      <c r="D60" s="105"/>
      <c r="E60" s="105"/>
      <c r="F60" s="105" t="s">
        <v>458</v>
      </c>
      <c r="G60" s="105"/>
      <c r="H60" s="34"/>
      <c r="I60" s="39">
        <v>12</v>
      </c>
      <c r="J60" s="105" t="s">
        <v>632</v>
      </c>
      <c r="K60" s="105"/>
      <c r="L60" s="105"/>
      <c r="M60" s="105" t="s">
        <v>458</v>
      </c>
      <c r="N60" s="105"/>
    </row>
    <row r="61" spans="1:14" ht="14.5" customHeight="1">
      <c r="A61" s="34"/>
      <c r="B61" s="39">
        <v>5</v>
      </c>
      <c r="C61" s="105" t="s">
        <v>625</v>
      </c>
      <c r="D61" s="105"/>
      <c r="E61" s="105"/>
      <c r="F61" s="105" t="s">
        <v>458</v>
      </c>
      <c r="G61" s="105"/>
      <c r="H61" s="34"/>
      <c r="I61" s="39">
        <v>13</v>
      </c>
      <c r="J61" s="105" t="s">
        <v>633</v>
      </c>
      <c r="K61" s="105"/>
      <c r="L61" s="105"/>
      <c r="M61" s="105" t="s">
        <v>458</v>
      </c>
      <c r="N61" s="105"/>
    </row>
    <row r="62" spans="1:14" ht="14.5" customHeight="1">
      <c r="A62" s="34"/>
      <c r="B62" s="39">
        <v>6</v>
      </c>
      <c r="C62" s="105" t="s">
        <v>626</v>
      </c>
      <c r="D62" s="105"/>
      <c r="E62" s="105"/>
      <c r="F62" s="105" t="s">
        <v>458</v>
      </c>
      <c r="G62" s="105"/>
      <c r="H62" s="34"/>
      <c r="I62" s="39">
        <v>14</v>
      </c>
      <c r="J62" s="105" t="s">
        <v>634</v>
      </c>
      <c r="K62" s="105"/>
      <c r="L62" s="105"/>
      <c r="M62" s="105" t="s">
        <v>458</v>
      </c>
      <c r="N62" s="105"/>
    </row>
    <row r="63" spans="1:14" ht="14.5" customHeight="1">
      <c r="A63" s="34"/>
      <c r="B63" s="39">
        <v>7</v>
      </c>
      <c r="C63" s="105" t="s">
        <v>627</v>
      </c>
      <c r="D63" s="105"/>
      <c r="E63" s="105"/>
      <c r="F63" s="105" t="s">
        <v>473</v>
      </c>
      <c r="G63" s="105"/>
      <c r="H63" s="34"/>
      <c r="I63" s="39">
        <v>15</v>
      </c>
      <c r="J63" s="105" t="s">
        <v>635</v>
      </c>
      <c r="K63" s="105"/>
      <c r="L63" s="105"/>
      <c r="M63" s="105" t="s">
        <v>473</v>
      </c>
      <c r="N63" s="105"/>
    </row>
    <row r="64" spans="1:14" ht="14.5" customHeight="1">
      <c r="A64" s="34"/>
      <c r="B64" s="39">
        <v>8</v>
      </c>
      <c r="C64" s="105" t="s">
        <v>628</v>
      </c>
      <c r="D64" s="105"/>
      <c r="E64" s="105"/>
      <c r="F64" s="105" t="s">
        <v>473</v>
      </c>
      <c r="G64" s="105"/>
      <c r="H64" s="34"/>
      <c r="I64" s="39">
        <v>16</v>
      </c>
      <c r="J64" s="105" t="s">
        <v>636</v>
      </c>
      <c r="K64" s="105"/>
      <c r="L64" s="105"/>
      <c r="M64" s="105" t="s">
        <v>473</v>
      </c>
      <c r="N64" s="105"/>
    </row>
  </sheetData>
  <mergeCells count="108">
    <mergeCell ref="A1:M1"/>
    <mergeCell ref="A4:A10"/>
    <mergeCell ref="K4:K10"/>
    <mergeCell ref="L4:L10"/>
    <mergeCell ref="M4:M10"/>
    <mergeCell ref="C5:F5"/>
    <mergeCell ref="G5:J5"/>
    <mergeCell ref="C7:F7"/>
    <mergeCell ref="G7:J7"/>
    <mergeCell ref="C9:F9"/>
    <mergeCell ref="G9:J9"/>
    <mergeCell ref="A11:A17"/>
    <mergeCell ref="K11:K17"/>
    <mergeCell ref="L11:L17"/>
    <mergeCell ref="M11:M17"/>
    <mergeCell ref="C12:F12"/>
    <mergeCell ref="G12:J12"/>
    <mergeCell ref="C14:F14"/>
    <mergeCell ref="G14:J14"/>
    <mergeCell ref="C16:F16"/>
    <mergeCell ref="G16:J16"/>
    <mergeCell ref="A18:A24"/>
    <mergeCell ref="K18:K24"/>
    <mergeCell ref="L18:L24"/>
    <mergeCell ref="M18:M24"/>
    <mergeCell ref="C19:F19"/>
    <mergeCell ref="G19:J19"/>
    <mergeCell ref="C21:F21"/>
    <mergeCell ref="G21:J21"/>
    <mergeCell ref="C23:F23"/>
    <mergeCell ref="G23:J23"/>
    <mergeCell ref="A25:A31"/>
    <mergeCell ref="K25:K31"/>
    <mergeCell ref="L25:L31"/>
    <mergeCell ref="M25:M31"/>
    <mergeCell ref="C26:F26"/>
    <mergeCell ref="G26:J26"/>
    <mergeCell ref="C28:F28"/>
    <mergeCell ref="G28:J28"/>
    <mergeCell ref="C30:F30"/>
    <mergeCell ref="G30:J30"/>
    <mergeCell ref="C44:F44"/>
    <mergeCell ref="A32:A38"/>
    <mergeCell ref="K32:K38"/>
    <mergeCell ref="L32:L38"/>
    <mergeCell ref="M32:M38"/>
    <mergeCell ref="C33:F33"/>
    <mergeCell ref="G33:J33"/>
    <mergeCell ref="C35:F35"/>
    <mergeCell ref="G35:J35"/>
    <mergeCell ref="C37:F37"/>
    <mergeCell ref="G37:J37"/>
    <mergeCell ref="G51:J51"/>
    <mergeCell ref="B55:N55"/>
    <mergeCell ref="C56:E56"/>
    <mergeCell ref="F56:G56"/>
    <mergeCell ref="J56:L56"/>
    <mergeCell ref="M56:N56"/>
    <mergeCell ref="G44:J44"/>
    <mergeCell ref="A46:A52"/>
    <mergeCell ref="K46:K52"/>
    <mergeCell ref="L46:L52"/>
    <mergeCell ref="M46:M52"/>
    <mergeCell ref="C47:F47"/>
    <mergeCell ref="G47:J47"/>
    <mergeCell ref="C49:F49"/>
    <mergeCell ref="G49:J49"/>
    <mergeCell ref="C51:F51"/>
    <mergeCell ref="A39:A45"/>
    <mergeCell ref="K39:K45"/>
    <mergeCell ref="L39:L45"/>
    <mergeCell ref="M39:M45"/>
    <mergeCell ref="C40:F40"/>
    <mergeCell ref="G40:J40"/>
    <mergeCell ref="C42:F42"/>
    <mergeCell ref="G42:J42"/>
    <mergeCell ref="C59:E59"/>
    <mergeCell ref="F59:G59"/>
    <mergeCell ref="J59:L59"/>
    <mergeCell ref="M59:N59"/>
    <mergeCell ref="C60:E60"/>
    <mergeCell ref="F60:G60"/>
    <mergeCell ref="J60:L60"/>
    <mergeCell ref="M60:N60"/>
    <mergeCell ref="C57:E57"/>
    <mergeCell ref="F57:G57"/>
    <mergeCell ref="J57:L57"/>
    <mergeCell ref="M57:N57"/>
    <mergeCell ref="C58:E58"/>
    <mergeCell ref="F58:G58"/>
    <mergeCell ref="J58:L58"/>
    <mergeCell ref="M58:N58"/>
    <mergeCell ref="C63:E63"/>
    <mergeCell ref="F63:G63"/>
    <mergeCell ref="J63:L63"/>
    <mergeCell ref="M63:N63"/>
    <mergeCell ref="C64:E64"/>
    <mergeCell ref="F64:G64"/>
    <mergeCell ref="J64:L64"/>
    <mergeCell ref="M64:N64"/>
    <mergeCell ref="C61:E61"/>
    <mergeCell ref="F61:G61"/>
    <mergeCell ref="J61:L61"/>
    <mergeCell ref="M61:N61"/>
    <mergeCell ref="C62:E62"/>
    <mergeCell ref="F62:G62"/>
    <mergeCell ref="J62:L62"/>
    <mergeCell ref="M62:N6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F82D-FB68-4F78-9DE7-B5E1CCB23017}">
  <dimension ref="A1:W79"/>
  <sheetViews>
    <sheetView showGridLines="0" rightToLeft="1" zoomScale="72" workbookViewId="0">
      <pane ySplit="3" topLeftCell="A48" activePane="bottomLeft" state="frozen"/>
      <selection pane="bottomLeft" activeCell="M71" sqref="C71:N79"/>
    </sheetView>
  </sheetViews>
  <sheetFormatPr defaultRowHeight="14.5"/>
  <cols>
    <col min="1" max="1" width="10.90625" style="24" customWidth="1"/>
    <col min="2" max="2" width="17.26953125" style="24" customWidth="1"/>
    <col min="3" max="10" width="14.54296875" style="24" customWidth="1"/>
    <col min="11" max="13" width="15.453125" style="24" customWidth="1"/>
    <col min="14" max="14" width="5.453125" style="24" customWidth="1"/>
    <col min="15" max="15" width="4.54296875" style="24" customWidth="1"/>
    <col min="16" max="16" width="27.26953125" style="24" customWidth="1"/>
    <col min="17" max="17" width="4.54296875" style="24" customWidth="1"/>
    <col min="18" max="23" width="13.6328125" style="24" customWidth="1"/>
    <col min="24" max="16384" width="8.7265625" style="24"/>
  </cols>
  <sheetData>
    <row r="1" spans="1:23" ht="26" customHeight="1">
      <c r="A1" s="82" t="s">
        <v>178</v>
      </c>
      <c r="B1" s="82"/>
      <c r="C1" s="82"/>
      <c r="D1" s="82"/>
      <c r="E1" s="82"/>
      <c r="F1" s="82"/>
      <c r="G1" s="82"/>
      <c r="H1" s="82"/>
      <c r="I1" s="82"/>
      <c r="J1" s="82"/>
      <c r="K1" s="82"/>
      <c r="L1" s="82"/>
      <c r="M1" s="82"/>
      <c r="N1" s="22"/>
      <c r="O1" s="22"/>
      <c r="P1" s="22"/>
      <c r="Q1" s="22"/>
      <c r="R1" s="22"/>
      <c r="S1" s="22"/>
      <c r="T1" s="22"/>
      <c r="U1" s="22"/>
      <c r="V1" s="22"/>
      <c r="W1" s="22"/>
    </row>
    <row r="2" spans="1:23" ht="8" customHeight="1">
      <c r="A2" s="22"/>
      <c r="B2" s="22"/>
      <c r="C2" s="22"/>
      <c r="D2" s="22"/>
      <c r="E2" s="22"/>
      <c r="F2" s="22"/>
      <c r="G2" s="22"/>
      <c r="H2" s="22"/>
      <c r="I2" s="22"/>
      <c r="J2" s="22"/>
      <c r="K2" s="22"/>
      <c r="L2" s="22"/>
      <c r="M2" s="22"/>
      <c r="N2" s="22"/>
      <c r="O2" s="22"/>
      <c r="P2" s="22"/>
      <c r="Q2" s="22"/>
      <c r="R2" s="22"/>
      <c r="S2" s="22"/>
      <c r="T2" s="22"/>
      <c r="U2" s="22"/>
      <c r="V2" s="22"/>
      <c r="W2" s="22"/>
    </row>
    <row r="3" spans="1:23" ht="32" customHeight="1">
      <c r="A3" s="25" t="s">
        <v>0</v>
      </c>
      <c r="B3" s="25" t="s">
        <v>1</v>
      </c>
      <c r="C3" s="25" t="s">
        <v>127</v>
      </c>
      <c r="D3" s="25" t="s">
        <v>128</v>
      </c>
      <c r="E3" s="25" t="s">
        <v>129</v>
      </c>
      <c r="F3" s="25" t="s">
        <v>130</v>
      </c>
      <c r="G3" s="25" t="s">
        <v>131</v>
      </c>
      <c r="H3" s="25" t="s">
        <v>132</v>
      </c>
      <c r="I3" s="25" t="s">
        <v>133</v>
      </c>
      <c r="J3" s="25" t="s">
        <v>134</v>
      </c>
      <c r="K3" s="25" t="s">
        <v>138</v>
      </c>
      <c r="L3" s="25" t="s">
        <v>170</v>
      </c>
      <c r="M3" s="25" t="s">
        <v>171</v>
      </c>
      <c r="N3" s="22"/>
      <c r="O3" s="22"/>
      <c r="P3" s="50" t="s">
        <v>244</v>
      </c>
      <c r="Q3" s="22"/>
      <c r="R3" s="23" t="s">
        <v>245</v>
      </c>
      <c r="S3" s="23" t="s">
        <v>246</v>
      </c>
      <c r="T3" s="23" t="s">
        <v>247</v>
      </c>
      <c r="U3" s="23" t="s">
        <v>145</v>
      </c>
      <c r="V3" s="23" t="s">
        <v>146</v>
      </c>
      <c r="W3" s="23" t="s">
        <v>248</v>
      </c>
    </row>
    <row r="4" spans="1:23" ht="14.5" customHeight="1">
      <c r="A4" s="73" t="s">
        <v>5</v>
      </c>
      <c r="B4"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46" t="s">
        <v>69</v>
      </c>
      <c r="D4" s="46" t="s">
        <v>61</v>
      </c>
      <c r="E4" s="46" t="s">
        <v>62</v>
      </c>
      <c r="F4" s="46" t="s">
        <v>46</v>
      </c>
      <c r="G4" s="46" t="s">
        <v>153</v>
      </c>
      <c r="H4" s="46" t="s">
        <v>98</v>
      </c>
      <c r="I4" s="46"/>
      <c r="J4" s="46"/>
      <c r="K4" s="76">
        <f>COUNTIF(C4:J12,"* ضد *")</f>
        <v>34</v>
      </c>
      <c r="L4" s="79">
        <f>COUNTIF(C4:F12,"* ضد *")*2/8</f>
        <v>4</v>
      </c>
      <c r="M4" s="79">
        <f>COUNTIF(G4:J12,"* ضد *")*2/9</f>
        <v>4</v>
      </c>
      <c r="N4" s="22"/>
      <c r="O4" s="22"/>
      <c r="P4" s="51" t="str">
        <f t="shared" ref="P4:P35" si="0">_xlfn.TEXTJOIN(" ",TRUE,C4:J4)</f>
        <v>1 ضد 8 2 ضد 7 3 ضد 6 4 ضد 5 9 ضد 16 13 ضد 17</v>
      </c>
      <c r="Q4" s="22"/>
      <c r="R4" s="8">
        <v>1</v>
      </c>
      <c r="S4" s="8" cm="1">
        <f t="array" ref="S4">SUMPRODUCT(--ISNUMBER(SEARCH(" "&amp;$R4&amp;" "," "&amp;P$4:P$66&amp;" ")))</f>
        <v>28</v>
      </c>
      <c r="T4" s="8" cm="1">
        <f t="array" ref="T4">SUMPRODUCT(--ISNUMBER(SEARCH(" "&amp;$R4&amp;" "," "&amp;P$4:P$65&amp;" ")),--ISNUMBER(SEARCH(" "&amp;$R4&amp;" "," "&amp;P$5:P$66&amp;" ")),--(MOD(ROW(P$4:P$65)-4,$S$22)&lt;=$S$22-2))</f>
        <v>0</v>
      </c>
      <c r="U4" s="8" cm="1">
        <f t="array" ref="U4">SUMPRODUCT(--ISNUMBER(SEARCH(" "&amp;$R4&amp;" "," "&amp;P$4:P$64&amp;" ")),--ISNUMBER(SEARCH(" "&amp;$R4&amp;" "," "&amp;P$6:P$66&amp;" ")),--(MOD(ROW(P$4:P$64)-4,$S$22)&lt;=$S$22-3))</f>
        <v>21</v>
      </c>
      <c r="V4" s="8" cm="1">
        <f t="array" ref="V4">SUMPRODUCT(--ISNUMBER(SEARCH(" "&amp;$R4&amp;" "," "&amp;P$4:P$63&amp;" ")),--ISNUMBER(SEARCH(" "&amp;$R4&amp;" "," "&amp;P$7:P$66&amp;" ")),--(MOD(ROW(P$4:P$63)-4,$S$22)&lt;=$S$22-4))</f>
        <v>0</v>
      </c>
      <c r="W4" s="8">
        <f t="shared" ref="W4:W20" si="1">S4-COUNTIF($A$4:$A$66,"اليوم *")-T4-U4-V4</f>
        <v>0</v>
      </c>
    </row>
    <row r="5" spans="1:23" ht="14.5" customHeight="1">
      <c r="A5" s="74"/>
      <c r="B5"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70" t="s">
        <v>139</v>
      </c>
      <c r="D5" s="71"/>
      <c r="E5" s="71"/>
      <c r="F5" s="72"/>
      <c r="G5" s="49" t="s">
        <v>79</v>
      </c>
      <c r="H5" s="47" t="s">
        <v>103</v>
      </c>
      <c r="I5" s="47"/>
      <c r="J5" s="48"/>
      <c r="K5" s="77"/>
      <c r="L5" s="80"/>
      <c r="M5" s="80"/>
      <c r="N5" s="22"/>
      <c r="O5" s="22"/>
      <c r="P5" s="51" t="str">
        <f t="shared" si="0"/>
        <v>استراحة (لا توجد مباريات) 11 ضد 14 12 ضد 15</v>
      </c>
      <c r="Q5" s="22"/>
      <c r="R5" s="8">
        <v>2</v>
      </c>
      <c r="S5" s="8" cm="1">
        <f t="array" ref="S5">SUMPRODUCT(--ISNUMBER(SEARCH(" "&amp;$R5&amp;" "," "&amp;P$4:P$66&amp;" ")))</f>
        <v>28</v>
      </c>
      <c r="T5" s="8" cm="1">
        <f t="array" ref="T5">SUMPRODUCT(--ISNUMBER(SEARCH(" "&amp;$R5&amp;" "," "&amp;P$4:P$65&amp;" ")),--ISNUMBER(SEARCH(" "&amp;$R5&amp;" "," "&amp;P$5:P$66&amp;" ")),--(MOD(ROW(P$4:P$65)-4,$S$22)&lt;=$S$22-2))</f>
        <v>0</v>
      </c>
      <c r="U5" s="8" cm="1">
        <f t="array" ref="U5">SUMPRODUCT(--ISNUMBER(SEARCH(" "&amp;$R5&amp;" "," "&amp;P$4:P$64&amp;" ")),--ISNUMBER(SEARCH(" "&amp;$R5&amp;" "," "&amp;P$6:P$66&amp;" ")),--(MOD(ROW(P$4:P$64)-4,$S$22)&lt;=$S$22-3))</f>
        <v>21</v>
      </c>
      <c r="V5" s="8" cm="1">
        <f t="array" ref="V5">SUMPRODUCT(--ISNUMBER(SEARCH(" "&amp;$R5&amp;" "," "&amp;P$4:P$63&amp;" ")),--ISNUMBER(SEARCH(" "&amp;$R5&amp;" "," "&amp;P$7:P$66&amp;" ")),--(MOD(ROW(P$4:P$63)-4,$S$22)&lt;=$S$22-4))</f>
        <v>0</v>
      </c>
      <c r="W5" s="8">
        <f t="shared" si="1"/>
        <v>0</v>
      </c>
    </row>
    <row r="6" spans="1:23" ht="14.5" customHeight="1">
      <c r="A6" s="74"/>
      <c r="B6"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46" t="s">
        <v>50</v>
      </c>
      <c r="D6" s="46" t="s">
        <v>164</v>
      </c>
      <c r="E6" s="46" t="s">
        <v>44</v>
      </c>
      <c r="F6" s="46" t="s">
        <v>47</v>
      </c>
      <c r="G6" s="46" t="s">
        <v>89</v>
      </c>
      <c r="H6" s="46" t="s">
        <v>100</v>
      </c>
      <c r="I6" s="46"/>
      <c r="J6" s="46"/>
      <c r="K6" s="77"/>
      <c r="L6" s="80"/>
      <c r="M6" s="80"/>
      <c r="N6" s="22"/>
      <c r="O6" s="22"/>
      <c r="P6" s="51" t="str">
        <f t="shared" si="0"/>
        <v>3 ضد 4 8 ضد 6 2 ضد 5 1 ضد 7 9 ضد 17 10 ضد 16</v>
      </c>
      <c r="Q6" s="22"/>
      <c r="R6" s="8">
        <v>3</v>
      </c>
      <c r="S6" s="8" cm="1">
        <f t="array" ref="S6">SUMPRODUCT(--ISNUMBER(SEARCH(" "&amp;$R6&amp;" "," "&amp;P$4:P$66&amp;" ")))</f>
        <v>28</v>
      </c>
      <c r="T6" s="8" cm="1">
        <f t="array" ref="T6">SUMPRODUCT(--ISNUMBER(SEARCH(" "&amp;$R6&amp;" "," "&amp;P$4:P$65&amp;" ")),--ISNUMBER(SEARCH(" "&amp;$R6&amp;" "," "&amp;P$5:P$66&amp;" ")),--(MOD(ROW(P$4:P$65)-4,$S$22)&lt;=$S$22-2))</f>
        <v>0</v>
      </c>
      <c r="U6" s="8" cm="1">
        <f t="array" ref="U6">SUMPRODUCT(--ISNUMBER(SEARCH(" "&amp;$R6&amp;" "," "&amp;P$4:P$64&amp;" ")),--ISNUMBER(SEARCH(" "&amp;$R6&amp;" "," "&amp;P$6:P$66&amp;" ")),--(MOD(ROW(P$4:P$64)-4,$S$22)&lt;=$S$22-3))</f>
        <v>21</v>
      </c>
      <c r="V6" s="8" cm="1">
        <f t="array" ref="V6">SUMPRODUCT(--ISNUMBER(SEARCH(" "&amp;$R6&amp;" "," "&amp;P$4:P$63&amp;" ")),--ISNUMBER(SEARCH(" "&amp;$R6&amp;" "," "&amp;P$7:P$66&amp;" ")),--(MOD(ROW(P$4:P$63)-4,$S$22)&lt;=$S$22-4))</f>
        <v>0</v>
      </c>
      <c r="W6" s="8">
        <f t="shared" si="1"/>
        <v>0</v>
      </c>
    </row>
    <row r="7" spans="1:23" ht="14.5" customHeight="1">
      <c r="A7" s="74"/>
      <c r="B7"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70" t="s">
        <v>139</v>
      </c>
      <c r="D7" s="71"/>
      <c r="E7" s="71"/>
      <c r="F7" s="72"/>
      <c r="G7" s="49" t="s">
        <v>74</v>
      </c>
      <c r="H7" s="47" t="s">
        <v>96</v>
      </c>
      <c r="I7" s="47"/>
      <c r="J7" s="48"/>
      <c r="K7" s="77"/>
      <c r="L7" s="80"/>
      <c r="M7" s="80"/>
      <c r="N7" s="22"/>
      <c r="O7" s="22"/>
      <c r="P7" s="51" t="str">
        <f t="shared" si="0"/>
        <v>استراحة (لا توجد مباريات) 11 ضد 13 14 ضد 15</v>
      </c>
      <c r="Q7" s="22"/>
      <c r="R7" s="8">
        <v>4</v>
      </c>
      <c r="S7" s="8" cm="1">
        <f t="array" ref="S7">SUMPRODUCT(--ISNUMBER(SEARCH(" "&amp;$R7&amp;" "," "&amp;P$4:P$66&amp;" ")))</f>
        <v>28</v>
      </c>
      <c r="T7" s="8" cm="1">
        <f t="array" ref="T7">SUMPRODUCT(--ISNUMBER(SEARCH(" "&amp;$R7&amp;" "," "&amp;P$4:P$65&amp;" ")),--ISNUMBER(SEARCH(" "&amp;$R7&amp;" "," "&amp;P$5:P$66&amp;" ")),--(MOD(ROW(P$4:P$65)-4,$S$22)&lt;=$S$22-2))</f>
        <v>0</v>
      </c>
      <c r="U7" s="8" cm="1">
        <f t="array" ref="U7">SUMPRODUCT(--ISNUMBER(SEARCH(" "&amp;$R7&amp;" "," "&amp;P$4:P$64&amp;" ")),--ISNUMBER(SEARCH(" "&amp;$R7&amp;" "," "&amp;P$6:P$66&amp;" ")),--(MOD(ROW(P$4:P$64)-4,$S$22)&lt;=$S$22-3))</f>
        <v>21</v>
      </c>
      <c r="V7" s="8" cm="1">
        <f t="array" ref="V7">SUMPRODUCT(--ISNUMBER(SEARCH(" "&amp;$R7&amp;" "," "&amp;P$4:P$63&amp;" ")),--ISNUMBER(SEARCH(" "&amp;$R7&amp;" "," "&amp;P$7:P$66&amp;" ")),--(MOD(ROW(P$4:P$63)-4,$S$22)&lt;=$S$22-4))</f>
        <v>0</v>
      </c>
      <c r="W7" s="8">
        <f t="shared" si="1"/>
        <v>0</v>
      </c>
    </row>
    <row r="8" spans="1:23" ht="14.5" customHeight="1">
      <c r="A8" s="74"/>
      <c r="B8"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46" t="s">
        <v>165</v>
      </c>
      <c r="D8" s="46" t="s">
        <v>38</v>
      </c>
      <c r="E8" s="46" t="s">
        <v>166</v>
      </c>
      <c r="F8" s="46" t="s">
        <v>37</v>
      </c>
      <c r="G8" s="46" t="s">
        <v>185</v>
      </c>
      <c r="H8" s="46" t="s">
        <v>48</v>
      </c>
      <c r="I8" s="46"/>
      <c r="J8" s="46"/>
      <c r="K8" s="77"/>
      <c r="L8" s="80"/>
      <c r="M8" s="80"/>
      <c r="N8" s="22"/>
      <c r="O8" s="22"/>
      <c r="P8" s="51" t="str">
        <f t="shared" si="0"/>
        <v>7 ضد 5 1 ضد 6 8 ضد 4 2 ضد 3 16 ضد 12 9 ضد 10</v>
      </c>
      <c r="Q8" s="22"/>
      <c r="R8" s="8">
        <v>5</v>
      </c>
      <c r="S8" s="8" cm="1">
        <f t="array" ref="S8">SUMPRODUCT(--ISNUMBER(SEARCH(" "&amp;$R8&amp;" "," "&amp;P$4:P$66&amp;" ")))</f>
        <v>28</v>
      </c>
      <c r="T8" s="8" cm="1">
        <f t="array" ref="T8">SUMPRODUCT(--ISNUMBER(SEARCH(" "&amp;$R8&amp;" "," "&amp;P$4:P$65&amp;" ")),--ISNUMBER(SEARCH(" "&amp;$R8&amp;" "," "&amp;P$5:P$66&amp;" ")),--(MOD(ROW(P$4:P$65)-4,$S$22)&lt;=$S$22-2))</f>
        <v>0</v>
      </c>
      <c r="U8" s="8" cm="1">
        <f t="array" ref="U8">SUMPRODUCT(--ISNUMBER(SEARCH(" "&amp;$R8&amp;" "," "&amp;P$4:P$64&amp;" ")),--ISNUMBER(SEARCH(" "&amp;$R8&amp;" "," "&amp;P$6:P$66&amp;" ")),--(MOD(ROW(P$4:P$64)-4,$S$22)&lt;=$S$22-3))</f>
        <v>21</v>
      </c>
      <c r="V8" s="8" cm="1">
        <f t="array" ref="V8">SUMPRODUCT(--ISNUMBER(SEARCH(" "&amp;$R8&amp;" "," "&amp;P$4:P$63&amp;" ")),--ISNUMBER(SEARCH(" "&amp;$R8&amp;" "," "&amp;P$7:P$66&amp;" ")),--(MOD(ROW(P$4:P$63)-4,$S$22)&lt;=$S$22-4))</f>
        <v>0</v>
      </c>
      <c r="W8" s="8">
        <f t="shared" si="1"/>
        <v>0</v>
      </c>
    </row>
    <row r="9" spans="1:23" ht="14.5" customHeight="1">
      <c r="A9" s="74"/>
      <c r="B9"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70" t="s">
        <v>139</v>
      </c>
      <c r="D9" s="71"/>
      <c r="E9" s="71"/>
      <c r="F9" s="72"/>
      <c r="G9" s="49" t="s">
        <v>213</v>
      </c>
      <c r="H9" s="47" t="s">
        <v>80</v>
      </c>
      <c r="I9" s="47"/>
      <c r="J9" s="48"/>
      <c r="K9" s="77"/>
      <c r="L9" s="80"/>
      <c r="M9" s="80"/>
      <c r="N9" s="22"/>
      <c r="O9" s="22"/>
      <c r="P9" s="51" t="str">
        <f t="shared" si="0"/>
        <v>استراحة (لا توجد مباريات) 11 ضد 17 13 ضد 14</v>
      </c>
      <c r="Q9" s="22"/>
      <c r="R9" s="8">
        <v>6</v>
      </c>
      <c r="S9" s="8" cm="1">
        <f t="array" ref="S9">SUMPRODUCT(--ISNUMBER(SEARCH(" "&amp;$R9&amp;" "," "&amp;P$4:P$66&amp;" ")))</f>
        <v>28</v>
      </c>
      <c r="T9" s="8" cm="1">
        <f t="array" ref="T9">SUMPRODUCT(--ISNUMBER(SEARCH(" "&amp;$R9&amp;" "," "&amp;P$4:P$65&amp;" ")),--ISNUMBER(SEARCH(" "&amp;$R9&amp;" "," "&amp;P$5:P$66&amp;" ")),--(MOD(ROW(P$4:P$65)-4,$S$22)&lt;=$S$22-2))</f>
        <v>0</v>
      </c>
      <c r="U9" s="8" cm="1">
        <f t="array" ref="U9">SUMPRODUCT(--ISNUMBER(SEARCH(" "&amp;$R9&amp;" "," "&amp;P$4:P$64&amp;" ")),--ISNUMBER(SEARCH(" "&amp;$R9&amp;" "," "&amp;P$6:P$66&amp;" ")),--(MOD(ROW(P$4:P$64)-4,$S$22)&lt;=$S$22-3))</f>
        <v>21</v>
      </c>
      <c r="V9" s="8" cm="1">
        <f t="array" ref="V9">SUMPRODUCT(--ISNUMBER(SEARCH(" "&amp;$R9&amp;" "," "&amp;P$4:P$63&amp;" ")),--ISNUMBER(SEARCH(" "&amp;$R9&amp;" "," "&amp;P$7:P$66&amp;" ")),--(MOD(ROW(P$4:P$63)-4,$S$22)&lt;=$S$22-4))</f>
        <v>0</v>
      </c>
      <c r="W9" s="8">
        <f t="shared" si="1"/>
        <v>0</v>
      </c>
    </row>
    <row r="10" spans="1:23" ht="14.5" customHeight="1">
      <c r="A10" s="74"/>
      <c r="B10"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46" t="s">
        <v>157</v>
      </c>
      <c r="D10" s="46" t="s">
        <v>163</v>
      </c>
      <c r="E10" s="46" t="s">
        <v>40</v>
      </c>
      <c r="F10" s="46" t="s">
        <v>167</v>
      </c>
      <c r="G10" s="46" t="s">
        <v>172</v>
      </c>
      <c r="H10" s="46" t="s">
        <v>101</v>
      </c>
      <c r="I10" s="46"/>
      <c r="J10" s="46"/>
      <c r="K10" s="77"/>
      <c r="L10" s="80"/>
      <c r="M10" s="80"/>
      <c r="N10" s="22"/>
      <c r="O10" s="22"/>
      <c r="P10" s="51" t="str">
        <f t="shared" si="0"/>
        <v>6 ضد 4 7 ضد 3 1 ضد 5 8 ضد 2 12 ضد 10 15 ضد 16</v>
      </c>
      <c r="Q10" s="22"/>
      <c r="R10" s="8">
        <v>7</v>
      </c>
      <c r="S10" s="8" cm="1">
        <f t="array" ref="S10">SUMPRODUCT(--ISNUMBER(SEARCH(" "&amp;$R10&amp;" "," "&amp;P$4:P$66&amp;" ")))</f>
        <v>28</v>
      </c>
      <c r="T10" s="8" cm="1">
        <f t="array" ref="T10">SUMPRODUCT(--ISNUMBER(SEARCH(" "&amp;$R10&amp;" "," "&amp;P$4:P$65&amp;" ")),--ISNUMBER(SEARCH(" "&amp;$R10&amp;" "," "&amp;P$5:P$66&amp;" ")),--(MOD(ROW(P$4:P$65)-4,$S$22)&lt;=$S$22-2))</f>
        <v>0</v>
      </c>
      <c r="U10" s="8" cm="1">
        <f t="array" ref="U10">SUMPRODUCT(--ISNUMBER(SEARCH(" "&amp;$R10&amp;" "," "&amp;P$4:P$64&amp;" ")),--ISNUMBER(SEARCH(" "&amp;$R10&amp;" "," "&amp;P$6:P$66&amp;" ")),--(MOD(ROW(P$4:P$64)-4,$S$22)&lt;=$S$22-3))</f>
        <v>21</v>
      </c>
      <c r="V10" s="8" cm="1">
        <f t="array" ref="V10">SUMPRODUCT(--ISNUMBER(SEARCH(" "&amp;$R10&amp;" "," "&amp;P$4:P$63&amp;" ")),--ISNUMBER(SEARCH(" "&amp;$R10&amp;" "," "&amp;P$7:P$66&amp;" ")),--(MOD(ROW(P$4:P$63)-4,$S$22)&lt;=$S$22-4))</f>
        <v>0</v>
      </c>
      <c r="W10" s="8">
        <f t="shared" si="1"/>
        <v>0</v>
      </c>
    </row>
    <row r="11" spans="1:23" ht="14.5" customHeight="1">
      <c r="A11" s="74"/>
      <c r="B11"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70" t="s">
        <v>139</v>
      </c>
      <c r="D11" s="71"/>
      <c r="E11" s="71"/>
      <c r="F11" s="72"/>
      <c r="G11" s="49" t="s">
        <v>212</v>
      </c>
      <c r="H11" s="47" t="s">
        <v>90</v>
      </c>
      <c r="I11" s="47"/>
      <c r="J11" s="48"/>
      <c r="K11" s="77"/>
      <c r="L11" s="80"/>
      <c r="M11" s="80"/>
      <c r="N11" s="22"/>
      <c r="O11" s="22"/>
      <c r="P11" s="51" t="str">
        <f t="shared" si="0"/>
        <v>استراحة (لا توجد مباريات) 13 ضد 9 14 ضد 17</v>
      </c>
      <c r="Q11" s="22"/>
      <c r="R11" s="8">
        <v>8</v>
      </c>
      <c r="S11" s="8" cm="1">
        <f t="array" ref="S11">SUMPRODUCT(--ISNUMBER(SEARCH(" "&amp;$R11&amp;" "," "&amp;P$4:P$66&amp;" ")))</f>
        <v>28</v>
      </c>
      <c r="T11" s="8" cm="1">
        <f t="array" ref="T11">SUMPRODUCT(--ISNUMBER(SEARCH(" "&amp;$R11&amp;" "," "&amp;P$4:P$65&amp;" ")),--ISNUMBER(SEARCH(" "&amp;$R11&amp;" "," "&amp;P$5:P$66&amp;" ")),--(MOD(ROW(P$4:P$65)-4,$S$22)&lt;=$S$22-2))</f>
        <v>0</v>
      </c>
      <c r="U11" s="8" cm="1">
        <f t="array" ref="U11">SUMPRODUCT(--ISNUMBER(SEARCH(" "&amp;$R11&amp;" "," "&amp;P$4:P$64&amp;" ")),--ISNUMBER(SEARCH(" "&amp;$R11&amp;" "," "&amp;P$6:P$66&amp;" ")),--(MOD(ROW(P$4:P$64)-4,$S$22)&lt;=$S$22-3))</f>
        <v>21</v>
      </c>
      <c r="V11" s="8" cm="1">
        <f t="array" ref="V11">SUMPRODUCT(--ISNUMBER(SEARCH(" "&amp;$R11&amp;" "," "&amp;P$4:P$63&amp;" ")),--ISNUMBER(SEARCH(" "&amp;$R11&amp;" "," "&amp;P$7:P$66&amp;" ")),--(MOD(ROW(P$4:P$63)-4,$S$22)&lt;=$S$22-4))</f>
        <v>0</v>
      </c>
      <c r="W11" s="8">
        <f t="shared" si="1"/>
        <v>0</v>
      </c>
    </row>
    <row r="12" spans="1:23" ht="14.5" customHeight="1">
      <c r="A12" s="75"/>
      <c r="B12"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70" t="s">
        <v>139</v>
      </c>
      <c r="D12" s="71"/>
      <c r="E12" s="71"/>
      <c r="F12" s="72"/>
      <c r="G12" s="46" t="s">
        <v>259</v>
      </c>
      <c r="H12" s="46" t="s">
        <v>104</v>
      </c>
      <c r="I12" s="46"/>
      <c r="J12" s="46"/>
      <c r="K12" s="78"/>
      <c r="L12" s="81"/>
      <c r="M12" s="81"/>
      <c r="N12" s="22"/>
      <c r="O12" s="22"/>
      <c r="P12" s="51" t="str">
        <f t="shared" si="0"/>
        <v>استراحة (لا توجد مباريات) 12 ضد 11 10 ضد 15</v>
      </c>
      <c r="Q12" s="22"/>
      <c r="R12" s="8">
        <v>9</v>
      </c>
      <c r="S12" s="8" cm="1">
        <f t="array" ref="S12">SUMPRODUCT(--ISNUMBER(SEARCH(" "&amp;$R12&amp;" "," "&amp;P$4:P$66&amp;" ")))</f>
        <v>28</v>
      </c>
      <c r="T12" s="8" cm="1">
        <f t="array" ref="T12">SUMPRODUCT(--ISNUMBER(SEARCH(" "&amp;$R12&amp;" "," "&amp;P$4:P$65&amp;" ")),--ISNUMBER(SEARCH(" "&amp;$R12&amp;" "," "&amp;P$5:P$66&amp;" ")),--(MOD(ROW(P$4:P$65)-4,$S$22)&lt;=$S$22-2))</f>
        <v>0</v>
      </c>
      <c r="U12" s="8" cm="1">
        <f t="array" ref="U12">SUMPRODUCT(--ISNUMBER(SEARCH(" "&amp;$R12&amp;" "," "&amp;P$4:P$64&amp;" ")),--ISNUMBER(SEARCH(" "&amp;$R12&amp;" "," "&amp;P$6:P$66&amp;" ")),--(MOD(ROW(P$4:P$64)-4,$S$22)&lt;=$S$22-3))</f>
        <v>15</v>
      </c>
      <c r="V12" s="8" cm="1">
        <f t="array" ref="V12">SUMPRODUCT(--ISNUMBER(SEARCH(" "&amp;$R12&amp;" "," "&amp;P$4:P$63&amp;" ")),--ISNUMBER(SEARCH(" "&amp;$R12&amp;" "," "&amp;P$7:P$66&amp;" ")),--(MOD(ROW(P$4:P$63)-4,$S$22)&lt;=$S$22-4))</f>
        <v>6</v>
      </c>
      <c r="W12" s="8">
        <f t="shared" si="1"/>
        <v>0</v>
      </c>
    </row>
    <row r="13" spans="1:23" ht="14.5" customHeight="1">
      <c r="A13" s="73" t="s">
        <v>6</v>
      </c>
      <c r="B13"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46" t="s">
        <v>159</v>
      </c>
      <c r="D13" s="46" t="s">
        <v>63</v>
      </c>
      <c r="E13" s="46" t="s">
        <v>45</v>
      </c>
      <c r="F13" s="46" t="s">
        <v>158</v>
      </c>
      <c r="G13" s="46" t="s">
        <v>186</v>
      </c>
      <c r="H13" s="46" t="s">
        <v>75</v>
      </c>
      <c r="I13" s="46" t="s">
        <v>94</v>
      </c>
      <c r="J13" s="46"/>
      <c r="K13" s="76">
        <f>COUNTIF(C13:J21,"* ضد *")</f>
        <v>34</v>
      </c>
      <c r="L13" s="79">
        <f>COUNTIF(C13:F21,"* ضد *")*2/8</f>
        <v>4</v>
      </c>
      <c r="M13" s="79">
        <f>COUNTIF(G13:J21,"* ضد *")*2/9</f>
        <v>4</v>
      </c>
      <c r="N13" s="22"/>
      <c r="O13" s="22"/>
      <c r="P13" s="51" t="str">
        <f t="shared" si="0"/>
        <v>6 ضد 2 1 ضد 4 7 ضد 8 5 ضد 3 14 ضد 12 10 ضد 13 15 ضد 17</v>
      </c>
      <c r="Q13" s="22"/>
      <c r="R13" s="8">
        <v>10</v>
      </c>
      <c r="S13" s="8" cm="1">
        <f t="array" ref="S13">SUMPRODUCT(--ISNUMBER(SEARCH(" "&amp;$R13&amp;" "," "&amp;P$4:P$66&amp;" ")))</f>
        <v>28</v>
      </c>
      <c r="T13" s="8" cm="1">
        <f t="array" ref="T13">SUMPRODUCT(--ISNUMBER(SEARCH(" "&amp;$R13&amp;" "," "&amp;P$4:P$65&amp;" ")),--ISNUMBER(SEARCH(" "&amp;$R13&amp;" "," "&amp;P$5:P$66&amp;" ")),--(MOD(ROW(P$4:P$65)-4,$S$22)&lt;=$S$22-2))</f>
        <v>0</v>
      </c>
      <c r="U13" s="8" cm="1">
        <f t="array" ref="U13">SUMPRODUCT(--ISNUMBER(SEARCH(" "&amp;$R13&amp;" "," "&amp;P$4:P$64&amp;" ")),--ISNUMBER(SEARCH(" "&amp;$R13&amp;" "," "&amp;P$6:P$66&amp;" ")),--(MOD(ROW(P$4:P$64)-4,$S$22)&lt;=$S$22-3))</f>
        <v>15</v>
      </c>
      <c r="V13" s="8" cm="1">
        <f t="array" ref="V13">SUMPRODUCT(--ISNUMBER(SEARCH(" "&amp;$R13&amp;" "," "&amp;P$4:P$63&amp;" ")),--ISNUMBER(SEARCH(" "&amp;$R13&amp;" "," "&amp;P$7:P$66&amp;" ")),--(MOD(ROW(P$4:P$63)-4,$S$22)&lt;=$S$22-4))</f>
        <v>6</v>
      </c>
      <c r="W13" s="8">
        <f t="shared" si="1"/>
        <v>0</v>
      </c>
    </row>
    <row r="14" spans="1:23" ht="14.5" customHeight="1">
      <c r="A14" s="74"/>
      <c r="B14"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70" t="s">
        <v>139</v>
      </c>
      <c r="D14" s="71"/>
      <c r="E14" s="71"/>
      <c r="F14" s="72"/>
      <c r="G14" s="49" t="s">
        <v>107</v>
      </c>
      <c r="H14" s="47"/>
      <c r="I14" s="47"/>
      <c r="J14" s="48"/>
      <c r="K14" s="77"/>
      <c r="L14" s="80"/>
      <c r="M14" s="80"/>
      <c r="N14" s="22"/>
      <c r="O14" s="22"/>
      <c r="P14" s="51" t="str">
        <f t="shared" si="0"/>
        <v>استراحة (لا توجد مباريات) 11 ضد 16</v>
      </c>
      <c r="Q14" s="22"/>
      <c r="R14" s="8">
        <v>11</v>
      </c>
      <c r="S14" s="8" cm="1">
        <f t="array" ref="S14">SUMPRODUCT(--ISNUMBER(SEARCH(" "&amp;$R14&amp;" "," "&amp;P$4:P$66&amp;" ")))</f>
        <v>28</v>
      </c>
      <c r="T14" s="8" cm="1">
        <f t="array" ref="T14">SUMPRODUCT(--ISNUMBER(SEARCH(" "&amp;$R14&amp;" "," "&amp;P$4:P$65&amp;" ")),--ISNUMBER(SEARCH(" "&amp;$R14&amp;" "," "&amp;P$5:P$66&amp;" ")),--(MOD(ROW(P$4:P$65)-4,$S$22)&lt;=$S$22-2))</f>
        <v>0</v>
      </c>
      <c r="U14" s="8" cm="1">
        <f t="array" ref="U14">SUMPRODUCT(--ISNUMBER(SEARCH(" "&amp;$R14&amp;" "," "&amp;P$4:P$64&amp;" ")),--ISNUMBER(SEARCH(" "&amp;$R14&amp;" "," "&amp;P$6:P$66&amp;" ")),--(MOD(ROW(P$4:P$64)-4,$S$22)&lt;=$S$22-3))</f>
        <v>16</v>
      </c>
      <c r="V14" s="8" cm="1">
        <f t="array" ref="V14">SUMPRODUCT(--ISNUMBER(SEARCH(" "&amp;$R14&amp;" "," "&amp;P$4:P$63&amp;" ")),--ISNUMBER(SEARCH(" "&amp;$R14&amp;" "," "&amp;P$7:P$66&amp;" ")),--(MOD(ROW(P$4:P$63)-4,$S$22)&lt;=$S$22-4))</f>
        <v>5</v>
      </c>
      <c r="W14" s="8">
        <f t="shared" si="1"/>
        <v>0</v>
      </c>
    </row>
    <row r="15" spans="1:23" ht="14.5" customHeight="1">
      <c r="A15" s="74"/>
      <c r="B15"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46" t="s">
        <v>20</v>
      </c>
      <c r="D15" s="46" t="s">
        <v>32</v>
      </c>
      <c r="E15" s="46" t="s">
        <v>160</v>
      </c>
      <c r="F15" s="46" t="s">
        <v>33</v>
      </c>
      <c r="G15" s="46" t="s">
        <v>181</v>
      </c>
      <c r="H15" s="46" t="s">
        <v>184</v>
      </c>
      <c r="I15" s="46" t="s">
        <v>95</v>
      </c>
      <c r="J15" s="46"/>
      <c r="K15" s="77"/>
      <c r="L15" s="80"/>
      <c r="M15" s="80"/>
      <c r="N15" s="22"/>
      <c r="O15" s="22"/>
      <c r="P15" s="51" t="str">
        <f t="shared" si="0"/>
        <v>1 ضد 3 5 ضد 8 4 ضد 2 6 ضد 7 14 ضد 9 15 ضد 13 12 ضد 17</v>
      </c>
      <c r="Q15" s="22"/>
      <c r="R15" s="8">
        <v>12</v>
      </c>
      <c r="S15" s="8" cm="1">
        <f t="array" ref="S15">SUMPRODUCT(--ISNUMBER(SEARCH(" "&amp;$R15&amp;" "," "&amp;P$4:P$66&amp;" ")))</f>
        <v>28</v>
      </c>
      <c r="T15" s="8" cm="1">
        <f t="array" ref="T15">SUMPRODUCT(--ISNUMBER(SEARCH(" "&amp;$R15&amp;" "," "&amp;P$4:P$65&amp;" ")),--ISNUMBER(SEARCH(" "&amp;$R15&amp;" "," "&amp;P$5:P$66&amp;" ")),--(MOD(ROW(P$4:P$65)-4,$S$22)&lt;=$S$22-2))</f>
        <v>0</v>
      </c>
      <c r="U15" s="8" cm="1">
        <f t="array" ref="U15">SUMPRODUCT(--ISNUMBER(SEARCH(" "&amp;$R15&amp;" "," "&amp;P$4:P$64&amp;" ")),--ISNUMBER(SEARCH(" "&amp;$R15&amp;" "," "&amp;P$6:P$66&amp;" ")),--(MOD(ROW(P$4:P$64)-4,$S$22)&lt;=$S$22-3))</f>
        <v>15</v>
      </c>
      <c r="V15" s="8" cm="1">
        <f t="array" ref="V15">SUMPRODUCT(--ISNUMBER(SEARCH(" "&amp;$R15&amp;" "," "&amp;P$4:P$63&amp;" ")),--ISNUMBER(SEARCH(" "&amp;$R15&amp;" "," "&amp;P$7:P$66&amp;" ")),--(MOD(ROW(P$4:P$63)-4,$S$22)&lt;=$S$22-4))</f>
        <v>6</v>
      </c>
      <c r="W15" s="8">
        <f t="shared" si="1"/>
        <v>0</v>
      </c>
    </row>
    <row r="16" spans="1:23" ht="14.5" customHeight="1">
      <c r="A16" s="74"/>
      <c r="B16"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70" t="s">
        <v>139</v>
      </c>
      <c r="D16" s="71"/>
      <c r="E16" s="71"/>
      <c r="F16" s="72"/>
      <c r="G16" s="49" t="s">
        <v>31</v>
      </c>
      <c r="H16" s="47"/>
      <c r="I16" s="47"/>
      <c r="J16" s="48"/>
      <c r="K16" s="77"/>
      <c r="L16" s="80"/>
      <c r="M16" s="80"/>
      <c r="N16" s="22"/>
      <c r="O16" s="22"/>
      <c r="P16" s="51" t="str">
        <f t="shared" si="0"/>
        <v>استراحة (لا توجد مباريات) 10 ضد 11</v>
      </c>
      <c r="Q16" s="22"/>
      <c r="R16" s="8">
        <v>13</v>
      </c>
      <c r="S16" s="8" cm="1">
        <f t="array" ref="S16">SUMPRODUCT(--ISNUMBER(SEARCH(" "&amp;$R16&amp;" "," "&amp;P$4:P$66&amp;" ")))</f>
        <v>28</v>
      </c>
      <c r="T16" s="8" cm="1">
        <f t="array" ref="T16">SUMPRODUCT(--ISNUMBER(SEARCH(" "&amp;$R16&amp;" "," "&amp;P$4:P$65&amp;" ")),--ISNUMBER(SEARCH(" "&amp;$R16&amp;" "," "&amp;P$5:P$66&amp;" ")),--(MOD(ROW(P$4:P$65)-4,$S$22)&lt;=$S$22-2))</f>
        <v>0</v>
      </c>
      <c r="U16" s="8" cm="1">
        <f t="array" ref="U16">SUMPRODUCT(--ISNUMBER(SEARCH(" "&amp;$R16&amp;" "," "&amp;P$4:P$64&amp;" ")),--ISNUMBER(SEARCH(" "&amp;$R16&amp;" "," "&amp;P$6:P$66&amp;" ")),--(MOD(ROW(P$4:P$64)-4,$S$22)&lt;=$S$22-3))</f>
        <v>16</v>
      </c>
      <c r="V16" s="8" cm="1">
        <f t="array" ref="V16">SUMPRODUCT(--ISNUMBER(SEARCH(" "&amp;$R16&amp;" "," "&amp;P$4:P$63&amp;" ")),--ISNUMBER(SEARCH(" "&amp;$R16&amp;" "," "&amp;P$7:P$66&amp;" ")),--(MOD(ROW(P$4:P$63)-4,$S$22)&lt;=$S$22-4))</f>
        <v>5</v>
      </c>
      <c r="W16" s="8">
        <f t="shared" si="1"/>
        <v>0</v>
      </c>
    </row>
    <row r="17" spans="1:23" ht="14.5" customHeight="1">
      <c r="A17" s="74"/>
      <c r="B17"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46" t="s">
        <v>43</v>
      </c>
      <c r="D17" s="46" t="s">
        <v>55</v>
      </c>
      <c r="E17" s="46" t="s">
        <v>30</v>
      </c>
      <c r="F17" s="46" t="s">
        <v>57</v>
      </c>
      <c r="G17" s="46" t="s">
        <v>180</v>
      </c>
      <c r="H17" s="46" t="s">
        <v>73</v>
      </c>
      <c r="I17" s="46" t="s">
        <v>91</v>
      </c>
      <c r="J17" s="46"/>
      <c r="K17" s="77"/>
      <c r="L17" s="80"/>
      <c r="M17" s="80"/>
      <c r="N17" s="22"/>
      <c r="O17" s="22"/>
      <c r="P17" s="51" t="str">
        <f t="shared" si="0"/>
        <v>4 ضد 7 5 ضد 6 1 ضد 2 3 ضد 8 15 ضد 9 12 ضد 13 16 ضد 17</v>
      </c>
      <c r="Q17" s="22"/>
      <c r="R17" s="8">
        <v>14</v>
      </c>
      <c r="S17" s="8" cm="1">
        <f t="array" ref="S17">SUMPRODUCT(--ISNUMBER(SEARCH(" "&amp;$R17&amp;" "," "&amp;P$4:P$66&amp;" ")))</f>
        <v>28</v>
      </c>
      <c r="T17" s="8" cm="1">
        <f t="array" ref="T17">SUMPRODUCT(--ISNUMBER(SEARCH(" "&amp;$R17&amp;" "," "&amp;P$4:P$65&amp;" ")),--ISNUMBER(SEARCH(" "&amp;$R17&amp;" "," "&amp;P$5:P$66&amp;" ")),--(MOD(ROW(P$4:P$65)-4,$S$22)&lt;=$S$22-2))</f>
        <v>0</v>
      </c>
      <c r="U17" s="8" cm="1">
        <f t="array" ref="U17">SUMPRODUCT(--ISNUMBER(SEARCH(" "&amp;$R17&amp;" "," "&amp;P$4:P$64&amp;" ")),--ISNUMBER(SEARCH(" "&amp;$R17&amp;" "," "&amp;P$6:P$66&amp;" ")),--(MOD(ROW(P$4:P$64)-4,$S$22)&lt;=$S$22-3))</f>
        <v>16</v>
      </c>
      <c r="V17" s="8" cm="1">
        <f t="array" ref="V17">SUMPRODUCT(--ISNUMBER(SEARCH(" "&amp;$R17&amp;" "," "&amp;P$4:P$63&amp;" ")),--ISNUMBER(SEARCH(" "&amp;$R17&amp;" "," "&amp;P$7:P$66&amp;" ")),--(MOD(ROW(P$4:P$63)-4,$S$22)&lt;=$S$22-4))</f>
        <v>5</v>
      </c>
      <c r="W17" s="8">
        <f t="shared" si="1"/>
        <v>0</v>
      </c>
    </row>
    <row r="18" spans="1:23" ht="14.5" customHeight="1">
      <c r="A18" s="74"/>
      <c r="B18"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70" t="s">
        <v>139</v>
      </c>
      <c r="D18" s="71"/>
      <c r="E18" s="71"/>
      <c r="F18" s="72"/>
      <c r="G18" s="49" t="s">
        <v>77</v>
      </c>
      <c r="H18" s="47"/>
      <c r="I18" s="47"/>
      <c r="J18" s="48"/>
      <c r="K18" s="77"/>
      <c r="L18" s="80"/>
      <c r="M18" s="80"/>
      <c r="N18" s="22"/>
      <c r="O18" s="22"/>
      <c r="P18" s="51" t="str">
        <f t="shared" si="0"/>
        <v>استراحة (لا توجد مباريات) 10 ضد 14</v>
      </c>
      <c r="Q18" s="22"/>
      <c r="R18" s="8">
        <v>15</v>
      </c>
      <c r="S18" s="8" cm="1">
        <f t="array" ref="S18">SUMPRODUCT(--ISNUMBER(SEARCH(" "&amp;$R18&amp;" "," "&amp;P$4:P$66&amp;" ")))</f>
        <v>28</v>
      </c>
      <c r="T18" s="8" cm="1">
        <f t="array" ref="T18">SUMPRODUCT(--ISNUMBER(SEARCH(" "&amp;$R18&amp;" "," "&amp;P$4:P$65&amp;" ")),--ISNUMBER(SEARCH(" "&amp;$R18&amp;" "," "&amp;P$5:P$66&amp;" ")),--(MOD(ROW(P$4:P$65)-4,$S$22)&lt;=$S$22-2))</f>
        <v>0</v>
      </c>
      <c r="U18" s="8" cm="1">
        <f t="array" ref="U18">SUMPRODUCT(--ISNUMBER(SEARCH(" "&amp;$R18&amp;" "," "&amp;P$4:P$64&amp;" ")),--ISNUMBER(SEARCH(" "&amp;$R18&amp;" "," "&amp;P$6:P$66&amp;" ")),--(MOD(ROW(P$4:P$64)-4,$S$22)&lt;=$S$22-3))</f>
        <v>15</v>
      </c>
      <c r="V18" s="8" cm="1">
        <f t="array" ref="V18">SUMPRODUCT(--ISNUMBER(SEARCH(" "&amp;$R18&amp;" "," "&amp;P$4:P$63&amp;" ")),--ISNUMBER(SEARCH(" "&amp;$R18&amp;" "," "&amp;P$7:P$66&amp;" ")),--(MOD(ROW(P$4:P$63)-4,$S$22)&lt;=$S$22-4))</f>
        <v>6</v>
      </c>
      <c r="W18" s="8">
        <f t="shared" si="1"/>
        <v>0</v>
      </c>
    </row>
    <row r="19" spans="1:23" ht="14.5" customHeight="1">
      <c r="A19" s="74"/>
      <c r="B19"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46" t="s">
        <v>61</v>
      </c>
      <c r="D19" s="46" t="s">
        <v>46</v>
      </c>
      <c r="E19" s="46" t="s">
        <v>62</v>
      </c>
      <c r="F19" s="46" t="s">
        <v>69</v>
      </c>
      <c r="G19" s="46" t="s">
        <v>258</v>
      </c>
      <c r="H19" s="46" t="s">
        <v>110</v>
      </c>
      <c r="I19" s="46" t="s">
        <v>93</v>
      </c>
      <c r="J19" s="46"/>
      <c r="K19" s="77"/>
      <c r="L19" s="80"/>
      <c r="M19" s="80"/>
      <c r="N19" s="22"/>
      <c r="O19" s="22"/>
      <c r="P19" s="51" t="str">
        <f t="shared" si="0"/>
        <v>2 ضد 7 4 ضد 5 3 ضد 6 1 ضد 8 12 ضد 9 11 ضد 15 13 ضد 16</v>
      </c>
      <c r="Q19" s="22"/>
      <c r="R19" s="8">
        <v>16</v>
      </c>
      <c r="S19" s="8" cm="1">
        <f t="array" ref="S19">SUMPRODUCT(--ISNUMBER(SEARCH(" "&amp;$R19&amp;" "," "&amp;P$4:P$66&amp;" ")))</f>
        <v>28</v>
      </c>
      <c r="T19" s="8" cm="1">
        <f t="array" ref="T19">SUMPRODUCT(--ISNUMBER(SEARCH(" "&amp;$R19&amp;" "," "&amp;P$4:P$65&amp;" ")),--ISNUMBER(SEARCH(" "&amp;$R19&amp;" "," "&amp;P$5:P$66&amp;" ")),--(MOD(ROW(P$4:P$65)-4,$S$22)&lt;=$S$22-2))</f>
        <v>0</v>
      </c>
      <c r="U19" s="8" cm="1">
        <f t="array" ref="U19">SUMPRODUCT(--ISNUMBER(SEARCH(" "&amp;$R19&amp;" "," "&amp;P$4:P$64&amp;" ")),--ISNUMBER(SEARCH(" "&amp;$R19&amp;" "," "&amp;P$6:P$66&amp;" ")),--(MOD(ROW(P$4:P$64)-4,$S$22)&lt;=$S$22-3))</f>
        <v>15</v>
      </c>
      <c r="V19" s="8" cm="1">
        <f t="array" ref="V19">SUMPRODUCT(--ISNUMBER(SEARCH(" "&amp;$R19&amp;" "," "&amp;P$4:P$63&amp;" ")),--ISNUMBER(SEARCH(" "&amp;$R19&amp;" "," "&amp;P$7:P$66&amp;" ")),--(MOD(ROW(P$4:P$63)-4,$S$22)&lt;=$S$22-4))</f>
        <v>6</v>
      </c>
      <c r="W19" s="8">
        <f t="shared" si="1"/>
        <v>0</v>
      </c>
    </row>
    <row r="20" spans="1:23" ht="14.5" customHeight="1">
      <c r="A20" s="74"/>
      <c r="B20"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70" t="s">
        <v>139</v>
      </c>
      <c r="D20" s="71"/>
      <c r="E20" s="71"/>
      <c r="F20" s="72"/>
      <c r="G20" s="49" t="s">
        <v>97</v>
      </c>
      <c r="H20" s="47"/>
      <c r="I20" s="47"/>
      <c r="J20" s="48"/>
      <c r="K20" s="77"/>
      <c r="L20" s="80"/>
      <c r="M20" s="80"/>
      <c r="N20" s="22"/>
      <c r="O20" s="22"/>
      <c r="P20" s="51" t="str">
        <f t="shared" si="0"/>
        <v>استراحة (لا توجد مباريات) 10 ضد 17</v>
      </c>
      <c r="Q20" s="22"/>
      <c r="R20" s="8">
        <v>17</v>
      </c>
      <c r="S20" s="8" cm="1">
        <f t="array" ref="S20">SUMPRODUCT(--ISNUMBER(SEARCH(" "&amp;$R20&amp;" "," "&amp;P$4:P$66&amp;" ")))</f>
        <v>28</v>
      </c>
      <c r="T20" s="8" cm="1">
        <f t="array" ref="T20">SUMPRODUCT(--ISNUMBER(SEARCH(" "&amp;$R20&amp;" "," "&amp;P$4:P$65&amp;" ")),--ISNUMBER(SEARCH(" "&amp;$R20&amp;" "," "&amp;P$5:P$66&amp;" ")),--(MOD(ROW(P$4:P$65)-4,$S$22)&lt;=$S$22-2))</f>
        <v>0</v>
      </c>
      <c r="U20" s="8" cm="1">
        <f t="array" ref="U20">SUMPRODUCT(--ISNUMBER(SEARCH(" "&amp;$R20&amp;" "," "&amp;P$4:P$64&amp;" ")),--ISNUMBER(SEARCH(" "&amp;$R20&amp;" "," "&amp;P$6:P$66&amp;" ")),--(MOD(ROW(P$4:P$64)-4,$S$22)&lt;=$S$22-3))</f>
        <v>16</v>
      </c>
      <c r="V20" s="8" cm="1">
        <f t="array" ref="V20">SUMPRODUCT(--ISNUMBER(SEARCH(" "&amp;$R20&amp;" "," "&amp;P$4:P$63&amp;" ")),--ISNUMBER(SEARCH(" "&amp;$R20&amp;" "," "&amp;P$7:P$66&amp;" ")),--(MOD(ROW(P$4:P$63)-4,$S$22)&lt;=$S$22-4))</f>
        <v>5</v>
      </c>
      <c r="W20" s="8">
        <f t="shared" si="1"/>
        <v>0</v>
      </c>
    </row>
    <row r="21" spans="1:23" ht="14.5" customHeight="1">
      <c r="A21" s="75"/>
      <c r="B21"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70" t="s">
        <v>139</v>
      </c>
      <c r="D21" s="71"/>
      <c r="E21" s="71"/>
      <c r="F21" s="72"/>
      <c r="G21" s="46" t="s">
        <v>54</v>
      </c>
      <c r="H21" s="46" t="s">
        <v>105</v>
      </c>
      <c r="I21" s="46"/>
      <c r="J21" s="46"/>
      <c r="K21" s="78"/>
      <c r="L21" s="81"/>
      <c r="M21" s="81"/>
      <c r="N21" s="22"/>
      <c r="O21" s="22"/>
      <c r="P21" s="51" t="str">
        <f t="shared" si="0"/>
        <v>استراحة (لا توجد مباريات) 9 ضد 11 14 ضد 16</v>
      </c>
      <c r="Q21" s="22"/>
      <c r="R21" s="32" t="s">
        <v>249</v>
      </c>
      <c r="S21" s="32">
        <f>SUM(S4:S20)</f>
        <v>476</v>
      </c>
      <c r="T21" s="32">
        <f>SUM(T4:T20)</f>
        <v>0</v>
      </c>
      <c r="U21" s="32">
        <f>SUM(U4:U20)</f>
        <v>307</v>
      </c>
      <c r="V21" s="32">
        <f>SUM(V4:V20)</f>
        <v>50</v>
      </c>
      <c r="W21" s="32">
        <f>SUM(W4:W20)</f>
        <v>0</v>
      </c>
    </row>
    <row r="22" spans="1:23" ht="14.5" customHeight="1">
      <c r="A22" s="73" t="s">
        <v>7</v>
      </c>
      <c r="B22"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46" t="s">
        <v>164</v>
      </c>
      <c r="D22" s="46" t="s">
        <v>50</v>
      </c>
      <c r="E22" s="46" t="s">
        <v>47</v>
      </c>
      <c r="F22" s="46" t="s">
        <v>44</v>
      </c>
      <c r="G22" s="46" t="s">
        <v>31</v>
      </c>
      <c r="H22" s="46" t="s">
        <v>101</v>
      </c>
      <c r="I22" s="46"/>
      <c r="J22" s="46"/>
      <c r="K22" s="76">
        <f>COUNTIF(C22:J30,"* ضد *")</f>
        <v>34</v>
      </c>
      <c r="L22" s="79">
        <f>COUNTIF(C22:F30,"* ضد *")*2/8</f>
        <v>4</v>
      </c>
      <c r="M22" s="79">
        <f>COUNTIF(G22:J30,"* ضد *")*2/9</f>
        <v>4</v>
      </c>
      <c r="N22" s="22"/>
      <c r="O22" s="22"/>
      <c r="P22" s="51" t="str">
        <f t="shared" si="0"/>
        <v>8 ضد 6 3 ضد 4 1 ضد 7 2 ضد 5 10 ضد 11 15 ضد 16</v>
      </c>
      <c r="Q22" s="22"/>
      <c r="R22" s="8" t="s">
        <v>250</v>
      </c>
      <c r="S22" s="40">
        <v>9</v>
      </c>
      <c r="T22" s="8"/>
      <c r="U22" s="8"/>
      <c r="V22" s="8"/>
      <c r="W22" s="8"/>
    </row>
    <row r="23" spans="1:23" ht="14.5" customHeight="1">
      <c r="A23" s="74"/>
      <c r="B23"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70" t="s">
        <v>139</v>
      </c>
      <c r="D23" s="71"/>
      <c r="E23" s="71"/>
      <c r="F23" s="72"/>
      <c r="G23" s="49" t="s">
        <v>29</v>
      </c>
      <c r="H23" s="47" t="s">
        <v>98</v>
      </c>
      <c r="I23" s="47"/>
      <c r="J23" s="48"/>
      <c r="K23" s="77"/>
      <c r="L23" s="80"/>
      <c r="M23" s="80"/>
      <c r="N23" s="22"/>
      <c r="O23" s="22"/>
      <c r="P23" s="51" t="str">
        <f t="shared" si="0"/>
        <v>استراحة (لا توجد مباريات) 9 ضد 12 13 ضد 17</v>
      </c>
      <c r="Q23" s="22"/>
      <c r="R23" s="22"/>
      <c r="S23" s="22"/>
      <c r="T23" s="22"/>
      <c r="U23" s="22"/>
      <c r="V23" s="22"/>
      <c r="W23" s="22"/>
    </row>
    <row r="24" spans="1:23" ht="14.5" customHeight="1">
      <c r="A24" s="74"/>
      <c r="B24"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46" t="s">
        <v>165</v>
      </c>
      <c r="D24" s="46" t="s">
        <v>37</v>
      </c>
      <c r="E24" s="46" t="s">
        <v>166</v>
      </c>
      <c r="F24" s="46" t="s">
        <v>38</v>
      </c>
      <c r="G24" s="46" t="s">
        <v>77</v>
      </c>
      <c r="H24" s="46" t="s">
        <v>107</v>
      </c>
      <c r="I24" s="46"/>
      <c r="J24" s="46"/>
      <c r="K24" s="77"/>
      <c r="L24" s="80"/>
      <c r="M24" s="80"/>
      <c r="N24" s="22"/>
      <c r="O24" s="22"/>
      <c r="P24" s="51" t="str">
        <f t="shared" si="0"/>
        <v>7 ضد 5 2 ضد 3 8 ضد 4 1 ضد 6 10 ضد 14 11 ضد 16</v>
      </c>
      <c r="Q24" s="22"/>
      <c r="R24" s="22"/>
      <c r="S24" s="22"/>
      <c r="T24" s="22"/>
      <c r="U24" s="22"/>
      <c r="V24" s="22"/>
      <c r="W24" s="22"/>
    </row>
    <row r="25" spans="1:23" ht="14.5" customHeight="1">
      <c r="A25" s="74"/>
      <c r="B25"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70" t="s">
        <v>139</v>
      </c>
      <c r="D25" s="71"/>
      <c r="E25" s="71"/>
      <c r="F25" s="72"/>
      <c r="G25" s="49" t="s">
        <v>155</v>
      </c>
      <c r="H25" s="47" t="s">
        <v>95</v>
      </c>
      <c r="I25" s="47"/>
      <c r="J25" s="48"/>
      <c r="K25" s="77"/>
      <c r="L25" s="80"/>
      <c r="M25" s="80"/>
      <c r="N25" s="22"/>
      <c r="O25" s="22"/>
      <c r="P25" s="51" t="str">
        <f t="shared" si="0"/>
        <v>استراحة (لا توجد مباريات) 9 ضد 15 12 ضد 17</v>
      </c>
      <c r="Q25" s="22"/>
      <c r="R25" s="22"/>
      <c r="S25" s="22"/>
      <c r="T25" s="22"/>
      <c r="U25" s="22"/>
      <c r="V25" s="22"/>
      <c r="W25" s="22"/>
    </row>
    <row r="26" spans="1:23" ht="14.5" customHeight="1">
      <c r="A26" s="74"/>
      <c r="B26"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46" t="s">
        <v>40</v>
      </c>
      <c r="D26" s="46" t="s">
        <v>167</v>
      </c>
      <c r="E26" s="46" t="s">
        <v>163</v>
      </c>
      <c r="F26" s="46" t="s">
        <v>157</v>
      </c>
      <c r="G26" s="46" t="s">
        <v>74</v>
      </c>
      <c r="H26" s="46" t="s">
        <v>105</v>
      </c>
      <c r="I26" s="46"/>
      <c r="J26" s="46"/>
      <c r="K26" s="77"/>
      <c r="L26" s="80"/>
      <c r="M26" s="80"/>
      <c r="N26" s="22"/>
      <c r="O26" s="22"/>
      <c r="P26" s="51" t="str">
        <f t="shared" si="0"/>
        <v>1 ضد 5 8 ضد 2 7 ضد 3 6 ضد 4 11 ضد 13 14 ضد 16</v>
      </c>
      <c r="Q26" s="22"/>
      <c r="R26" s="22"/>
      <c r="S26" s="22"/>
      <c r="T26" s="22"/>
      <c r="U26" s="22"/>
      <c r="V26" s="22"/>
      <c r="W26" s="22"/>
    </row>
    <row r="27" spans="1:23" ht="14.5" customHeight="1">
      <c r="A27" s="74"/>
      <c r="B27"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70" t="s">
        <v>139</v>
      </c>
      <c r="D27" s="71"/>
      <c r="E27" s="71"/>
      <c r="F27" s="72"/>
      <c r="G27" s="49" t="s">
        <v>103</v>
      </c>
      <c r="H27" s="47" t="s">
        <v>97</v>
      </c>
      <c r="I27" s="47"/>
      <c r="J27" s="48"/>
      <c r="K27" s="77"/>
      <c r="L27" s="80"/>
      <c r="M27" s="80"/>
      <c r="N27" s="22"/>
      <c r="O27" s="22"/>
      <c r="P27" s="51" t="str">
        <f t="shared" si="0"/>
        <v>استراحة (لا توجد مباريات) 12 ضد 15 10 ضد 17</v>
      </c>
      <c r="Q27" s="22"/>
      <c r="R27" s="22"/>
      <c r="S27" s="22"/>
      <c r="T27" s="22"/>
      <c r="U27" s="22"/>
      <c r="V27" s="22"/>
      <c r="W27" s="22"/>
    </row>
    <row r="28" spans="1:23" ht="14.5" customHeight="1">
      <c r="A28" s="74"/>
      <c r="B28"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46" t="s">
        <v>158</v>
      </c>
      <c r="D28" s="46" t="s">
        <v>45</v>
      </c>
      <c r="E28" s="46" t="s">
        <v>159</v>
      </c>
      <c r="F28" s="46" t="s">
        <v>63</v>
      </c>
      <c r="G28" s="46" t="s">
        <v>173</v>
      </c>
      <c r="H28" s="46" t="s">
        <v>80</v>
      </c>
      <c r="I28" s="46"/>
      <c r="J28" s="46"/>
      <c r="K28" s="77"/>
      <c r="L28" s="80"/>
      <c r="M28" s="80"/>
      <c r="N28" s="22"/>
      <c r="O28" s="22"/>
      <c r="P28" s="51" t="str">
        <f t="shared" si="0"/>
        <v>5 ضد 3 7 ضد 8 6 ضد 2 1 ضد 4 11 ضد 9 13 ضد 14</v>
      </c>
      <c r="Q28" s="22"/>
      <c r="R28" s="22"/>
      <c r="S28" s="22"/>
      <c r="T28" s="22"/>
      <c r="U28" s="22"/>
      <c r="V28" s="22"/>
      <c r="W28" s="22"/>
    </row>
    <row r="29" spans="1:23" ht="14.5" customHeight="1">
      <c r="A29" s="74"/>
      <c r="B29"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70" t="s">
        <v>139</v>
      </c>
      <c r="D29" s="71"/>
      <c r="E29" s="71"/>
      <c r="F29" s="72"/>
      <c r="G29" s="49" t="s">
        <v>104</v>
      </c>
      <c r="H29" s="47" t="s">
        <v>91</v>
      </c>
      <c r="I29" s="47"/>
      <c r="J29" s="48"/>
      <c r="K29" s="77"/>
      <c r="L29" s="80"/>
      <c r="M29" s="80"/>
      <c r="N29" s="22"/>
      <c r="O29" s="22"/>
      <c r="P29" s="51" t="str">
        <f t="shared" si="0"/>
        <v>استراحة (لا توجد مباريات) 10 ضد 15 16 ضد 17</v>
      </c>
      <c r="Q29" s="22"/>
      <c r="R29" s="22"/>
      <c r="S29" s="22"/>
      <c r="T29" s="22"/>
      <c r="U29" s="22"/>
      <c r="V29" s="22"/>
      <c r="W29" s="22"/>
    </row>
    <row r="30" spans="1:23" ht="14.5" customHeight="1">
      <c r="A30" s="75"/>
      <c r="B30"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70" t="s">
        <v>139</v>
      </c>
      <c r="D30" s="71"/>
      <c r="E30" s="71"/>
      <c r="F30" s="72"/>
      <c r="G30" s="46" t="s">
        <v>76</v>
      </c>
      <c r="H30" s="46" t="s">
        <v>78</v>
      </c>
      <c r="I30" s="46"/>
      <c r="J30" s="46"/>
      <c r="K30" s="78"/>
      <c r="L30" s="81"/>
      <c r="M30" s="81"/>
      <c r="N30" s="22"/>
      <c r="O30" s="22"/>
      <c r="P30" s="51" t="str">
        <f t="shared" si="0"/>
        <v>استراحة (لا توجد مباريات) 9 ضد 13 12 ضد 14</v>
      </c>
      <c r="Q30" s="22"/>
      <c r="R30" s="22"/>
      <c r="S30" s="22"/>
      <c r="T30" s="22"/>
      <c r="U30" s="22"/>
      <c r="V30" s="22"/>
      <c r="W30" s="22"/>
    </row>
    <row r="31" spans="1:23" ht="14.5" customHeight="1">
      <c r="A31" s="73" t="s">
        <v>8</v>
      </c>
      <c r="B31"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46" t="s">
        <v>160</v>
      </c>
      <c r="D31" s="46" t="s">
        <v>20</v>
      </c>
      <c r="E31" s="46" t="s">
        <v>32</v>
      </c>
      <c r="F31" s="46" t="s">
        <v>33</v>
      </c>
      <c r="G31" s="46" t="s">
        <v>260</v>
      </c>
      <c r="H31" s="46" t="s">
        <v>184</v>
      </c>
      <c r="I31" s="46" t="s">
        <v>99</v>
      </c>
      <c r="J31" s="46"/>
      <c r="K31" s="76">
        <f>COUNTIF(C31:J39,"* ضد *")</f>
        <v>34</v>
      </c>
      <c r="L31" s="79">
        <f>COUNTIF(C31:F39,"* ضد *")*2/8</f>
        <v>4</v>
      </c>
      <c r="M31" s="79">
        <f>COUNTIF(G31:J39,"* ضد *")*2/9</f>
        <v>4</v>
      </c>
      <c r="N31" s="22"/>
      <c r="O31" s="22"/>
      <c r="P31" s="51" t="str">
        <f t="shared" si="0"/>
        <v>4 ضد 2 1 ضد 3 5 ضد 8 6 ضد 7 14 ضد 11 15 ضد 13 12 ضد 16</v>
      </c>
      <c r="Q31" s="22"/>
      <c r="R31" s="22"/>
      <c r="S31" s="22"/>
      <c r="T31" s="22"/>
      <c r="U31" s="22"/>
      <c r="V31" s="22"/>
      <c r="W31" s="22"/>
    </row>
    <row r="32" spans="1:23" ht="14.5" customHeight="1">
      <c r="A32" s="74"/>
      <c r="B32"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70" t="s">
        <v>139</v>
      </c>
      <c r="D32" s="71"/>
      <c r="E32" s="71"/>
      <c r="F32" s="72"/>
      <c r="G32" s="49" t="s">
        <v>89</v>
      </c>
      <c r="H32" s="47"/>
      <c r="I32" s="47"/>
      <c r="J32" s="48"/>
      <c r="K32" s="77"/>
      <c r="L32" s="80"/>
      <c r="M32" s="80"/>
      <c r="N32" s="22"/>
      <c r="O32" s="22"/>
      <c r="P32" s="51" t="str">
        <f t="shared" si="0"/>
        <v>استراحة (لا توجد مباريات) 9 ضد 17</v>
      </c>
      <c r="Q32" s="22"/>
      <c r="R32" s="22"/>
      <c r="S32" s="22"/>
      <c r="T32" s="22"/>
      <c r="U32" s="22"/>
      <c r="V32" s="22"/>
      <c r="W32" s="22"/>
    </row>
    <row r="33" spans="1:23" ht="14.5" customHeight="1">
      <c r="A33" s="74"/>
      <c r="B33"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46" t="s">
        <v>57</v>
      </c>
      <c r="D33" s="46" t="s">
        <v>30</v>
      </c>
      <c r="E33" s="46" t="s">
        <v>55</v>
      </c>
      <c r="F33" s="46" t="s">
        <v>43</v>
      </c>
      <c r="G33" s="46" t="s">
        <v>96</v>
      </c>
      <c r="H33" s="46" t="s">
        <v>73</v>
      </c>
      <c r="I33" s="46" t="s">
        <v>100</v>
      </c>
      <c r="J33" s="46"/>
      <c r="K33" s="77"/>
      <c r="L33" s="80"/>
      <c r="M33" s="80"/>
      <c r="N33" s="22"/>
      <c r="O33" s="22"/>
      <c r="P33" s="51" t="str">
        <f t="shared" si="0"/>
        <v>3 ضد 8 1 ضد 2 5 ضد 6 4 ضد 7 14 ضد 15 12 ضد 13 10 ضد 16</v>
      </c>
      <c r="Q33" s="22"/>
      <c r="R33" s="22"/>
      <c r="S33" s="22"/>
      <c r="T33" s="22"/>
      <c r="U33" s="22"/>
      <c r="V33" s="22"/>
      <c r="W33" s="22"/>
    </row>
    <row r="34" spans="1:23" ht="14.5" customHeight="1">
      <c r="A34" s="74"/>
      <c r="B34"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70" t="s">
        <v>139</v>
      </c>
      <c r="D34" s="71"/>
      <c r="E34" s="71"/>
      <c r="F34" s="72"/>
      <c r="G34" s="49" t="s">
        <v>213</v>
      </c>
      <c r="H34" s="47"/>
      <c r="I34" s="47"/>
      <c r="J34" s="48"/>
      <c r="K34" s="77"/>
      <c r="L34" s="80"/>
      <c r="M34" s="80"/>
      <c r="N34" s="22"/>
      <c r="O34" s="22"/>
      <c r="P34" s="51" t="str">
        <f t="shared" si="0"/>
        <v>استراحة (لا توجد مباريات) 11 ضد 17</v>
      </c>
      <c r="Q34" s="22"/>
      <c r="R34" s="22"/>
      <c r="S34" s="22"/>
      <c r="T34" s="22"/>
      <c r="U34" s="22"/>
      <c r="V34" s="22"/>
      <c r="W34" s="22"/>
    </row>
    <row r="35" spans="1:23" ht="14.5" customHeight="1">
      <c r="A35" s="74"/>
      <c r="B35"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46" t="s">
        <v>69</v>
      </c>
      <c r="D35" s="46" t="s">
        <v>46</v>
      </c>
      <c r="E35" s="46" t="s">
        <v>62</v>
      </c>
      <c r="F35" s="46" t="s">
        <v>61</v>
      </c>
      <c r="G35" s="46" t="s">
        <v>172</v>
      </c>
      <c r="H35" s="46" t="s">
        <v>93</v>
      </c>
      <c r="I35" s="46" t="s">
        <v>152</v>
      </c>
      <c r="J35" s="46"/>
      <c r="K35" s="77"/>
      <c r="L35" s="80"/>
      <c r="M35" s="80"/>
      <c r="N35" s="22"/>
      <c r="O35" s="22"/>
      <c r="P35" s="51" t="str">
        <f t="shared" si="0"/>
        <v>1 ضد 8 4 ضد 5 3 ضد 6 2 ضد 7 12 ضد 10 13 ضد 16 9 ضد 14</v>
      </c>
      <c r="Q35" s="22"/>
      <c r="R35" s="22"/>
      <c r="S35" s="22"/>
      <c r="T35" s="22"/>
      <c r="U35" s="22"/>
      <c r="V35" s="22"/>
      <c r="W35" s="22"/>
    </row>
    <row r="36" spans="1:23" ht="14.5" customHeight="1">
      <c r="A36" s="74"/>
      <c r="B36"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70" t="s">
        <v>139</v>
      </c>
      <c r="D36" s="71"/>
      <c r="E36" s="71"/>
      <c r="F36" s="72"/>
      <c r="G36" s="49" t="s">
        <v>110</v>
      </c>
      <c r="H36" s="47"/>
      <c r="I36" s="47"/>
      <c r="J36" s="48"/>
      <c r="K36" s="77"/>
      <c r="L36" s="80"/>
      <c r="M36" s="80"/>
      <c r="N36" s="22"/>
      <c r="O36" s="22"/>
      <c r="P36" s="51" t="str">
        <f t="shared" ref="P36:P66" si="2">_xlfn.TEXTJOIN(" ",TRUE,C36:J36)</f>
        <v>استراحة (لا توجد مباريات) 11 ضد 15</v>
      </c>
      <c r="Q36" s="22"/>
      <c r="R36" s="22"/>
      <c r="S36" s="22"/>
      <c r="T36" s="22"/>
      <c r="U36" s="22"/>
      <c r="V36" s="22"/>
      <c r="W36" s="22"/>
    </row>
    <row r="37" spans="1:23" ht="14.5" customHeight="1">
      <c r="A37" s="74"/>
      <c r="B37"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46" t="s">
        <v>44</v>
      </c>
      <c r="D37" s="46" t="s">
        <v>164</v>
      </c>
      <c r="E37" s="46" t="s">
        <v>47</v>
      </c>
      <c r="F37" s="46" t="s">
        <v>50</v>
      </c>
      <c r="G37" s="46" t="s">
        <v>233</v>
      </c>
      <c r="H37" s="46" t="s">
        <v>153</v>
      </c>
      <c r="I37" s="46" t="s">
        <v>90</v>
      </c>
      <c r="J37" s="46"/>
      <c r="K37" s="77"/>
      <c r="L37" s="80"/>
      <c r="M37" s="80"/>
      <c r="N37" s="22"/>
      <c r="O37" s="22"/>
      <c r="P37" s="51" t="str">
        <f t="shared" si="2"/>
        <v>2 ضد 5 8 ضد 6 1 ضد 7 3 ضد 4 13 ضد 10 9 ضد 16 14 ضد 17</v>
      </c>
      <c r="Q37" s="22"/>
      <c r="R37" s="22"/>
      <c r="S37" s="22"/>
      <c r="T37" s="22"/>
      <c r="U37" s="22"/>
      <c r="V37" s="22"/>
      <c r="W37" s="22"/>
    </row>
    <row r="38" spans="1:23" ht="14.5" customHeight="1">
      <c r="A38" s="74"/>
      <c r="B38"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70" t="s">
        <v>139</v>
      </c>
      <c r="D38" s="71"/>
      <c r="E38" s="71"/>
      <c r="F38" s="72"/>
      <c r="G38" s="49" t="s">
        <v>21</v>
      </c>
      <c r="H38" s="47"/>
      <c r="I38" s="47"/>
      <c r="J38" s="48"/>
      <c r="K38" s="77"/>
      <c r="L38" s="80"/>
      <c r="M38" s="80"/>
      <c r="N38" s="22"/>
      <c r="O38" s="22"/>
      <c r="P38" s="51" t="str">
        <f t="shared" si="2"/>
        <v>استراحة (لا توجد مباريات) 11 ضد 12</v>
      </c>
      <c r="Q38" s="22"/>
      <c r="R38" s="22"/>
      <c r="S38" s="22"/>
      <c r="T38" s="22"/>
      <c r="U38" s="22"/>
      <c r="V38" s="22"/>
      <c r="W38" s="22"/>
    </row>
    <row r="39" spans="1:23" ht="14.5" customHeight="1">
      <c r="A39" s="75"/>
      <c r="B39"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70" t="s">
        <v>139</v>
      </c>
      <c r="D39" s="71"/>
      <c r="E39" s="71"/>
      <c r="F39" s="72"/>
      <c r="G39" s="46" t="s">
        <v>48</v>
      </c>
      <c r="H39" s="46" t="s">
        <v>94</v>
      </c>
      <c r="I39" s="46"/>
      <c r="J39" s="46"/>
      <c r="K39" s="78"/>
      <c r="L39" s="81"/>
      <c r="M39" s="81"/>
      <c r="N39" s="22"/>
      <c r="O39" s="22"/>
      <c r="P39" s="51" t="str">
        <f t="shared" si="2"/>
        <v>استراحة (لا توجد مباريات) 9 ضد 10 15 ضد 17</v>
      </c>
      <c r="Q39" s="22"/>
      <c r="R39" s="22"/>
      <c r="S39" s="22"/>
      <c r="T39" s="22"/>
      <c r="U39" s="22"/>
      <c r="V39" s="22"/>
      <c r="W39" s="22"/>
    </row>
    <row r="40" spans="1:23" ht="14.5" customHeight="1">
      <c r="A40" s="73" t="s">
        <v>9</v>
      </c>
      <c r="B40"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46" t="s">
        <v>38</v>
      </c>
      <c r="D40" s="46" t="s">
        <v>165</v>
      </c>
      <c r="E40" s="46" t="s">
        <v>166</v>
      </c>
      <c r="F40" s="46" t="s">
        <v>37</v>
      </c>
      <c r="G40" s="46" t="s">
        <v>152</v>
      </c>
      <c r="H40" s="46" t="s">
        <v>97</v>
      </c>
      <c r="I40" s="46"/>
      <c r="J40" s="46"/>
      <c r="K40" s="76">
        <f>COUNTIF(C40:J48,"* ضد *")</f>
        <v>34</v>
      </c>
      <c r="L40" s="79">
        <f>COUNTIF(C40:F48,"* ضد *")*2/8</f>
        <v>4</v>
      </c>
      <c r="M40" s="79">
        <f>COUNTIF(G40:J48,"* ضد *")*2/9</f>
        <v>4</v>
      </c>
      <c r="N40" s="22"/>
      <c r="O40" s="22"/>
      <c r="P40" s="51" t="str">
        <f t="shared" si="2"/>
        <v>1 ضد 6 7 ضد 5 8 ضد 4 2 ضد 3 9 ضد 14 10 ضد 17</v>
      </c>
      <c r="Q40" s="22"/>
      <c r="R40" s="22"/>
      <c r="S40" s="22"/>
      <c r="T40" s="22"/>
      <c r="U40" s="22"/>
      <c r="V40" s="22"/>
      <c r="W40" s="22"/>
    </row>
    <row r="41" spans="1:23" ht="14.5" customHeight="1">
      <c r="A41" s="74"/>
      <c r="B41"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70" t="s">
        <v>139</v>
      </c>
      <c r="D41" s="71"/>
      <c r="E41" s="71"/>
      <c r="F41" s="72"/>
      <c r="G41" s="49" t="s">
        <v>74</v>
      </c>
      <c r="H41" s="47" t="s">
        <v>101</v>
      </c>
      <c r="I41" s="47"/>
      <c r="J41" s="48"/>
      <c r="K41" s="77"/>
      <c r="L41" s="80"/>
      <c r="M41" s="80"/>
      <c r="N41" s="22"/>
      <c r="O41" s="22"/>
      <c r="P41" s="51" t="str">
        <f t="shared" si="2"/>
        <v>استراحة (لا توجد مباريات) 11 ضد 13 15 ضد 16</v>
      </c>
      <c r="Q41" s="22"/>
      <c r="R41" s="22"/>
      <c r="S41" s="22"/>
      <c r="T41" s="22"/>
      <c r="U41" s="22"/>
      <c r="V41" s="22"/>
      <c r="W41" s="22"/>
    </row>
    <row r="42" spans="1:23" ht="14.5" customHeight="1">
      <c r="A42" s="74"/>
      <c r="B42"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46" t="s">
        <v>167</v>
      </c>
      <c r="D42" s="46" t="s">
        <v>157</v>
      </c>
      <c r="E42" s="46" t="s">
        <v>163</v>
      </c>
      <c r="F42" s="46" t="s">
        <v>40</v>
      </c>
      <c r="G42" s="46" t="s">
        <v>29</v>
      </c>
      <c r="H42" s="46" t="s">
        <v>77</v>
      </c>
      <c r="I42" s="46"/>
      <c r="J42" s="46"/>
      <c r="K42" s="77"/>
      <c r="L42" s="80"/>
      <c r="M42" s="80"/>
      <c r="N42" s="22"/>
      <c r="O42" s="22"/>
      <c r="P42" s="51" t="str">
        <f t="shared" si="2"/>
        <v>8 ضد 2 6 ضد 4 7 ضد 3 1 ضد 5 9 ضد 12 10 ضد 14</v>
      </c>
      <c r="Q42" s="22"/>
      <c r="R42" s="22"/>
      <c r="S42" s="22"/>
      <c r="T42" s="22"/>
      <c r="U42" s="22"/>
      <c r="V42" s="22"/>
      <c r="W42" s="22"/>
    </row>
    <row r="43" spans="1:23" ht="14.5" customHeight="1">
      <c r="A43" s="74"/>
      <c r="B43"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70" t="s">
        <v>139</v>
      </c>
      <c r="D43" s="71"/>
      <c r="E43" s="71"/>
      <c r="F43" s="72"/>
      <c r="G43" s="49" t="s">
        <v>184</v>
      </c>
      <c r="H43" s="47" t="s">
        <v>91</v>
      </c>
      <c r="I43" s="47"/>
      <c r="J43" s="48"/>
      <c r="K43" s="77"/>
      <c r="L43" s="80"/>
      <c r="M43" s="80"/>
      <c r="N43" s="22"/>
      <c r="O43" s="22"/>
      <c r="P43" s="51" t="str">
        <f t="shared" si="2"/>
        <v>استراحة (لا توجد مباريات) 15 ضد 13 16 ضد 17</v>
      </c>
      <c r="Q43" s="22"/>
      <c r="R43" s="22"/>
      <c r="S43" s="22"/>
      <c r="T43" s="22"/>
      <c r="U43" s="22"/>
      <c r="V43" s="22"/>
      <c r="W43" s="22"/>
    </row>
    <row r="44" spans="1:23" ht="14.5" customHeight="1">
      <c r="A44" s="74"/>
      <c r="B44"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46" t="s">
        <v>159</v>
      </c>
      <c r="D44" s="46" t="s">
        <v>158</v>
      </c>
      <c r="E44" s="46" t="s">
        <v>63</v>
      </c>
      <c r="F44" s="46" t="s">
        <v>45</v>
      </c>
      <c r="G44" s="46" t="s">
        <v>54</v>
      </c>
      <c r="H44" s="46" t="s">
        <v>64</v>
      </c>
      <c r="I44" s="46"/>
      <c r="J44" s="46"/>
      <c r="K44" s="77"/>
      <c r="L44" s="80"/>
      <c r="M44" s="80"/>
      <c r="N44" s="22"/>
      <c r="O44" s="22"/>
      <c r="P44" s="51" t="str">
        <f t="shared" si="2"/>
        <v>6 ضد 2 5 ضد 3 1 ضد 4 7 ضد 8 9 ضد 11 10 ضد 12</v>
      </c>
      <c r="Q44" s="22"/>
      <c r="R44" s="22"/>
      <c r="S44" s="22"/>
      <c r="T44" s="22"/>
      <c r="U44" s="22"/>
      <c r="V44" s="22"/>
      <c r="W44" s="22"/>
    </row>
    <row r="45" spans="1:23" ht="14.5" customHeight="1">
      <c r="A45" s="74"/>
      <c r="B45"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70" t="s">
        <v>139</v>
      </c>
      <c r="D45" s="71"/>
      <c r="E45" s="71"/>
      <c r="F45" s="72"/>
      <c r="G45" s="49" t="s">
        <v>182</v>
      </c>
      <c r="H45" s="47" t="s">
        <v>94</v>
      </c>
      <c r="I45" s="47"/>
      <c r="J45" s="48"/>
      <c r="K45" s="77"/>
      <c r="L45" s="80"/>
      <c r="M45" s="80"/>
      <c r="N45" s="22"/>
      <c r="O45" s="22"/>
      <c r="P45" s="51" t="str">
        <f t="shared" si="2"/>
        <v>استراحة (لا توجد مباريات) 16 ضد 14 15 ضد 17</v>
      </c>
      <c r="Q45" s="22"/>
      <c r="R45" s="22"/>
      <c r="S45" s="22"/>
      <c r="T45" s="22"/>
      <c r="U45" s="22"/>
      <c r="V45" s="22"/>
      <c r="W45" s="22"/>
    </row>
    <row r="46" spans="1:23" ht="14.5" customHeight="1">
      <c r="A46" s="74"/>
      <c r="B46"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46" t="s">
        <v>33</v>
      </c>
      <c r="D46" s="46" t="s">
        <v>20</v>
      </c>
      <c r="E46" s="46" t="s">
        <v>160</v>
      </c>
      <c r="F46" s="46" t="s">
        <v>32</v>
      </c>
      <c r="G46" s="46" t="s">
        <v>76</v>
      </c>
      <c r="H46" s="46" t="s">
        <v>21</v>
      </c>
      <c r="I46" s="46"/>
      <c r="J46" s="46"/>
      <c r="K46" s="77"/>
      <c r="L46" s="80"/>
      <c r="M46" s="80"/>
      <c r="N46" s="22"/>
      <c r="O46" s="22"/>
      <c r="P46" s="51" t="str">
        <f t="shared" si="2"/>
        <v>6 ضد 7 1 ضد 3 4 ضد 2 5 ضد 8 9 ضد 13 11 ضد 12</v>
      </c>
      <c r="Q46" s="22"/>
      <c r="R46" s="22"/>
      <c r="S46" s="22"/>
      <c r="T46" s="22"/>
      <c r="U46" s="22"/>
      <c r="V46" s="22"/>
      <c r="W46" s="22"/>
    </row>
    <row r="47" spans="1:23" ht="14.5" customHeight="1">
      <c r="A47" s="74"/>
      <c r="B47"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70" t="s">
        <v>139</v>
      </c>
      <c r="D47" s="71"/>
      <c r="E47" s="71"/>
      <c r="F47" s="72"/>
      <c r="G47" s="49" t="s">
        <v>104</v>
      </c>
      <c r="H47" s="47" t="s">
        <v>90</v>
      </c>
      <c r="I47" s="47"/>
      <c r="J47" s="48"/>
      <c r="K47" s="77"/>
      <c r="L47" s="80"/>
      <c r="M47" s="80"/>
      <c r="N47" s="22"/>
      <c r="O47" s="22"/>
      <c r="P47" s="51" t="str">
        <f t="shared" si="2"/>
        <v>استراحة (لا توجد مباريات) 10 ضد 15 14 ضد 17</v>
      </c>
      <c r="Q47" s="22"/>
      <c r="R47" s="22"/>
      <c r="S47" s="22"/>
      <c r="T47" s="22"/>
      <c r="U47" s="22"/>
      <c r="V47" s="22"/>
      <c r="W47" s="22"/>
    </row>
    <row r="48" spans="1:23" ht="14.5" customHeight="1">
      <c r="A48" s="75"/>
      <c r="B48"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70" t="s">
        <v>139</v>
      </c>
      <c r="D48" s="71"/>
      <c r="E48" s="71"/>
      <c r="F48" s="72"/>
      <c r="G48" s="46" t="s">
        <v>107</v>
      </c>
      <c r="H48" s="46" t="s">
        <v>73</v>
      </c>
      <c r="I48" s="46"/>
      <c r="J48" s="46"/>
      <c r="K48" s="78"/>
      <c r="L48" s="81"/>
      <c r="M48" s="81"/>
      <c r="N48" s="22"/>
      <c r="O48" s="22"/>
      <c r="P48" s="51" t="str">
        <f t="shared" si="2"/>
        <v>استراحة (لا توجد مباريات) 11 ضد 16 12 ضد 13</v>
      </c>
      <c r="Q48" s="22"/>
      <c r="R48" s="22"/>
      <c r="S48" s="22"/>
      <c r="T48" s="22"/>
      <c r="U48" s="22"/>
      <c r="V48" s="22"/>
      <c r="W48" s="22"/>
    </row>
    <row r="49" spans="1:23" ht="14.5" customHeight="1">
      <c r="A49" s="73" t="s">
        <v>10</v>
      </c>
      <c r="B49"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9" s="46" t="s">
        <v>43</v>
      </c>
      <c r="D49" s="46" t="s">
        <v>30</v>
      </c>
      <c r="E49" s="46" t="s">
        <v>57</v>
      </c>
      <c r="F49" s="46" t="s">
        <v>55</v>
      </c>
      <c r="G49" s="46" t="s">
        <v>153</v>
      </c>
      <c r="H49" s="46" t="s">
        <v>75</v>
      </c>
      <c r="I49" s="46" t="s">
        <v>96</v>
      </c>
      <c r="J49" s="46"/>
      <c r="K49" s="76">
        <f>COUNTIF(C49:J57,"* ضد *")</f>
        <v>34</v>
      </c>
      <c r="L49" s="79">
        <f>COUNTIF(C49:F57,"* ضد *")*2/8</f>
        <v>4</v>
      </c>
      <c r="M49" s="79">
        <f>COUNTIF(G49:J57,"* ضد *")*2/9</f>
        <v>4</v>
      </c>
      <c r="N49" s="22"/>
      <c r="O49" s="22"/>
      <c r="P49" s="51" t="str">
        <f t="shared" si="2"/>
        <v>4 ضد 7 1 ضد 2 3 ضد 8 5 ضد 6 9 ضد 16 10 ضد 13 14 ضد 15</v>
      </c>
      <c r="Q49" s="22"/>
      <c r="R49" s="22"/>
      <c r="S49" s="22"/>
      <c r="T49" s="22"/>
      <c r="U49" s="22"/>
      <c r="V49" s="22"/>
      <c r="W49" s="22"/>
    </row>
    <row r="50" spans="1:23" ht="14.5" customHeight="1">
      <c r="A50" s="74"/>
      <c r="B50"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0" s="70" t="s">
        <v>139</v>
      </c>
      <c r="D50" s="71"/>
      <c r="E50" s="71"/>
      <c r="F50" s="72"/>
      <c r="G50" s="49" t="s">
        <v>95</v>
      </c>
      <c r="H50" s="47"/>
      <c r="I50" s="47"/>
      <c r="J50" s="48"/>
      <c r="K50" s="77"/>
      <c r="L50" s="80"/>
      <c r="M50" s="80"/>
      <c r="N50" s="22"/>
      <c r="O50" s="22"/>
      <c r="P50" s="51" t="str">
        <f t="shared" si="2"/>
        <v>استراحة (لا توجد مباريات) 12 ضد 17</v>
      </c>
      <c r="Q50" s="22"/>
      <c r="R50" s="22"/>
      <c r="S50" s="22"/>
      <c r="T50" s="22"/>
      <c r="U50" s="22"/>
      <c r="V50" s="22"/>
      <c r="W50" s="22"/>
    </row>
    <row r="51" spans="1:23" ht="14.5" customHeight="1">
      <c r="A51" s="74"/>
      <c r="B51"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51" s="46" t="s">
        <v>69</v>
      </c>
      <c r="D51" s="46" t="s">
        <v>61</v>
      </c>
      <c r="E51" s="46" t="s">
        <v>46</v>
      </c>
      <c r="F51" s="46" t="s">
        <v>62</v>
      </c>
      <c r="G51" s="46" t="s">
        <v>100</v>
      </c>
      <c r="H51" s="46" t="s">
        <v>110</v>
      </c>
      <c r="I51" s="46" t="s">
        <v>80</v>
      </c>
      <c r="J51" s="46"/>
      <c r="K51" s="77"/>
      <c r="L51" s="80"/>
      <c r="M51" s="80"/>
      <c r="N51" s="22"/>
      <c r="O51" s="22"/>
      <c r="P51" s="51" t="str">
        <f t="shared" si="2"/>
        <v>1 ضد 8 2 ضد 7 4 ضد 5 3 ضد 6 10 ضد 16 11 ضد 15 13 ضد 14</v>
      </c>
      <c r="Q51" s="22"/>
      <c r="R51" s="22"/>
      <c r="S51" s="22"/>
      <c r="T51" s="22"/>
      <c r="U51" s="22"/>
      <c r="V51" s="22"/>
      <c r="W51" s="22"/>
    </row>
    <row r="52" spans="1:23" ht="14.5" customHeight="1">
      <c r="A52" s="74"/>
      <c r="B52"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52" s="70" t="s">
        <v>139</v>
      </c>
      <c r="D52" s="71"/>
      <c r="E52" s="71"/>
      <c r="F52" s="72"/>
      <c r="G52" s="49" t="s">
        <v>89</v>
      </c>
      <c r="H52" s="47"/>
      <c r="I52" s="47"/>
      <c r="J52" s="48"/>
      <c r="K52" s="77"/>
      <c r="L52" s="80"/>
      <c r="M52" s="80"/>
      <c r="N52" s="22"/>
      <c r="O52" s="22"/>
      <c r="P52" s="51" t="str">
        <f t="shared" si="2"/>
        <v>استراحة (لا توجد مباريات) 9 ضد 17</v>
      </c>
      <c r="Q52" s="22"/>
      <c r="R52" s="22"/>
      <c r="S52" s="22"/>
      <c r="T52" s="22"/>
      <c r="U52" s="22"/>
      <c r="V52" s="22"/>
      <c r="W52" s="22"/>
    </row>
    <row r="53" spans="1:23" ht="14.5" customHeight="1">
      <c r="A53" s="74"/>
      <c r="B53"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53" s="46" t="s">
        <v>50</v>
      </c>
      <c r="D53" s="46" t="s">
        <v>164</v>
      </c>
      <c r="E53" s="46" t="s">
        <v>44</v>
      </c>
      <c r="F53" s="46" t="s">
        <v>47</v>
      </c>
      <c r="G53" s="46" t="s">
        <v>79</v>
      </c>
      <c r="H53" s="46" t="s">
        <v>103</v>
      </c>
      <c r="I53" s="46"/>
      <c r="J53" s="46"/>
      <c r="K53" s="77"/>
      <c r="L53" s="80"/>
      <c r="M53" s="80"/>
      <c r="N53" s="22"/>
      <c r="O53" s="22"/>
      <c r="P53" s="51" t="str">
        <f t="shared" si="2"/>
        <v>3 ضد 4 8 ضد 6 2 ضد 5 1 ضد 7 11 ضد 14 12 ضد 15</v>
      </c>
      <c r="Q53" s="22"/>
      <c r="R53" s="22"/>
      <c r="S53" s="22"/>
      <c r="T53" s="22"/>
      <c r="U53" s="22"/>
      <c r="V53" s="22"/>
      <c r="W53" s="22"/>
    </row>
    <row r="54" spans="1:23" ht="14.5" customHeight="1">
      <c r="A54" s="74"/>
      <c r="B54"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54" s="70" t="s">
        <v>139</v>
      </c>
      <c r="D54" s="71"/>
      <c r="E54" s="71"/>
      <c r="F54" s="72"/>
      <c r="G54" s="49" t="s">
        <v>48</v>
      </c>
      <c r="H54" s="47" t="s">
        <v>93</v>
      </c>
      <c r="I54" s="47"/>
      <c r="J54" s="48"/>
      <c r="K54" s="77"/>
      <c r="L54" s="80"/>
      <c r="M54" s="80"/>
      <c r="N54" s="22"/>
      <c r="O54" s="22"/>
      <c r="P54" s="51" t="str">
        <f t="shared" si="2"/>
        <v>استراحة (لا توجد مباريات) 9 ضد 10 13 ضد 16</v>
      </c>
      <c r="Q54" s="22"/>
      <c r="R54" s="22"/>
      <c r="S54" s="22"/>
      <c r="T54" s="22"/>
      <c r="U54" s="22"/>
      <c r="V54" s="22"/>
      <c r="W54" s="22"/>
    </row>
    <row r="55" spans="1:23" ht="14.5" customHeight="1">
      <c r="A55" s="74"/>
      <c r="B55"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55" s="46" t="s">
        <v>37</v>
      </c>
      <c r="D55" s="46" t="s">
        <v>165</v>
      </c>
      <c r="E55" s="46" t="s">
        <v>38</v>
      </c>
      <c r="F55" s="46" t="s">
        <v>166</v>
      </c>
      <c r="G55" s="46" t="s">
        <v>213</v>
      </c>
      <c r="H55" s="46" t="s">
        <v>78</v>
      </c>
      <c r="I55" s="46"/>
      <c r="J55" s="46"/>
      <c r="K55" s="77"/>
      <c r="L55" s="80"/>
      <c r="M55" s="80"/>
      <c r="N55" s="22"/>
      <c r="O55" s="22"/>
      <c r="P55" s="51" t="str">
        <f t="shared" si="2"/>
        <v>2 ضد 3 7 ضد 5 1 ضد 6 8 ضد 4 11 ضد 17 12 ضد 14</v>
      </c>
      <c r="Q55" s="22"/>
      <c r="R55" s="22"/>
      <c r="S55" s="22"/>
      <c r="T55" s="22"/>
      <c r="U55" s="22"/>
      <c r="V55" s="22"/>
      <c r="W55" s="22"/>
    </row>
    <row r="56" spans="1:23" ht="14.5" customHeight="1">
      <c r="A56" s="74"/>
      <c r="B56"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56" s="70" t="s">
        <v>139</v>
      </c>
      <c r="D56" s="71"/>
      <c r="E56" s="71"/>
      <c r="F56" s="72"/>
      <c r="G56" s="49" t="s">
        <v>155</v>
      </c>
      <c r="H56" s="47"/>
      <c r="I56" s="47"/>
      <c r="J56" s="48"/>
      <c r="K56" s="77"/>
      <c r="L56" s="80"/>
      <c r="M56" s="80"/>
      <c r="N56" s="22"/>
      <c r="O56" s="22"/>
      <c r="P56" s="51" t="str">
        <f t="shared" si="2"/>
        <v>استراحة (لا توجد مباريات) 9 ضد 15</v>
      </c>
      <c r="Q56" s="22"/>
      <c r="R56" s="22"/>
      <c r="S56" s="22"/>
      <c r="T56" s="22"/>
      <c r="U56" s="22"/>
      <c r="V56" s="22"/>
      <c r="W56" s="22"/>
    </row>
    <row r="57" spans="1:23" ht="14.5" customHeight="1">
      <c r="A57" s="75"/>
      <c r="B57"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57" s="70" t="s">
        <v>139</v>
      </c>
      <c r="D57" s="71"/>
      <c r="E57" s="71"/>
      <c r="F57" s="72"/>
      <c r="G57" s="46" t="s">
        <v>31</v>
      </c>
      <c r="H57" s="46" t="s">
        <v>99</v>
      </c>
      <c r="I57" s="46" t="s">
        <v>98</v>
      </c>
      <c r="J57" s="46"/>
      <c r="K57" s="78"/>
      <c r="L57" s="81"/>
      <c r="M57" s="81"/>
      <c r="N57" s="22"/>
      <c r="O57" s="22"/>
      <c r="P57" s="51" t="str">
        <f t="shared" si="2"/>
        <v>استراحة (لا توجد مباريات) 10 ضد 11 12 ضد 16 13 ضد 17</v>
      </c>
      <c r="Q57" s="22"/>
      <c r="R57" s="22"/>
      <c r="S57" s="22"/>
      <c r="T57" s="22"/>
      <c r="U57" s="22"/>
      <c r="V57" s="22"/>
      <c r="W57" s="22"/>
    </row>
    <row r="58" spans="1:23" ht="14.5" customHeight="1">
      <c r="A58" s="73" t="s">
        <v>11</v>
      </c>
      <c r="B58" s="10"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58" s="46" t="s">
        <v>40</v>
      </c>
      <c r="D58" s="46" t="s">
        <v>157</v>
      </c>
      <c r="E58" s="46" t="s">
        <v>163</v>
      </c>
      <c r="F58" s="46" t="s">
        <v>167</v>
      </c>
      <c r="G58" s="46" t="s">
        <v>29</v>
      </c>
      <c r="H58" s="46" t="s">
        <v>77</v>
      </c>
      <c r="I58" s="46" t="s">
        <v>213</v>
      </c>
      <c r="J58" s="46"/>
      <c r="K58" s="76">
        <f>COUNTIF(C58:J66,"* ضد *")</f>
        <v>34</v>
      </c>
      <c r="L58" s="79">
        <f>COUNTIF(C58:F66,"* ضد *")*2/8</f>
        <v>4</v>
      </c>
      <c r="M58" s="79">
        <f>COUNTIF(G58:J66,"* ضد *")*2/9</f>
        <v>4</v>
      </c>
      <c r="N58" s="22"/>
      <c r="O58" s="22"/>
      <c r="P58" s="51" t="str">
        <f t="shared" si="2"/>
        <v>1 ضد 5 6 ضد 4 7 ضد 3 8 ضد 2 9 ضد 12 10 ضد 14 11 ضد 17</v>
      </c>
      <c r="Q58" s="22"/>
      <c r="R58" s="22"/>
      <c r="S58" s="22"/>
      <c r="T58" s="22"/>
      <c r="U58" s="22"/>
      <c r="V58" s="22"/>
      <c r="W58" s="22"/>
    </row>
    <row r="59" spans="1:23" ht="14.5" customHeight="1">
      <c r="A59" s="74"/>
      <c r="B59" s="1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9" s="70" t="s">
        <v>139</v>
      </c>
      <c r="D59" s="71"/>
      <c r="E59" s="71"/>
      <c r="F59" s="72"/>
      <c r="G59" s="49" t="s">
        <v>101</v>
      </c>
      <c r="H59" s="47"/>
      <c r="I59" s="47"/>
      <c r="J59" s="48"/>
      <c r="K59" s="77"/>
      <c r="L59" s="80"/>
      <c r="M59" s="80"/>
      <c r="N59" s="22"/>
      <c r="O59" s="22"/>
      <c r="P59" s="51" t="str">
        <f t="shared" si="2"/>
        <v>استراحة (لا توجد مباريات) 15 ضد 16</v>
      </c>
      <c r="Q59" s="22"/>
      <c r="R59" s="22"/>
      <c r="S59" s="22"/>
      <c r="T59" s="22"/>
      <c r="U59" s="22"/>
      <c r="V59" s="22"/>
      <c r="W59" s="22"/>
    </row>
    <row r="60" spans="1:23" ht="14.5" customHeight="1">
      <c r="A60" s="74"/>
      <c r="B60" s="10"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0" s="46" t="s">
        <v>45</v>
      </c>
      <c r="D60" s="46" t="s">
        <v>63</v>
      </c>
      <c r="E60" s="46" t="s">
        <v>159</v>
      </c>
      <c r="F60" s="46" t="s">
        <v>158</v>
      </c>
      <c r="G60" s="46" t="s">
        <v>74</v>
      </c>
      <c r="H60" s="46" t="s">
        <v>95</v>
      </c>
      <c r="I60" s="46"/>
      <c r="J60" s="46"/>
      <c r="K60" s="77"/>
      <c r="L60" s="80"/>
      <c r="M60" s="80"/>
      <c r="N60" s="22"/>
      <c r="O60" s="22"/>
      <c r="P60" s="51" t="str">
        <f t="shared" si="2"/>
        <v>7 ضد 8 1 ضد 4 6 ضد 2 5 ضد 3 11 ضد 13 12 ضد 17</v>
      </c>
      <c r="Q60" s="22"/>
      <c r="R60" s="22"/>
      <c r="S60" s="22"/>
      <c r="T60" s="22"/>
      <c r="U60" s="22"/>
      <c r="V60" s="22"/>
      <c r="W60" s="22"/>
    </row>
    <row r="61" spans="1:23" ht="14.5" customHeight="1">
      <c r="A61" s="74"/>
      <c r="B61" s="10"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61" s="70" t="s">
        <v>139</v>
      </c>
      <c r="D61" s="71"/>
      <c r="E61" s="71"/>
      <c r="F61" s="72"/>
      <c r="G61" s="49" t="s">
        <v>48</v>
      </c>
      <c r="H61" s="47" t="s">
        <v>96</v>
      </c>
      <c r="I61" s="47"/>
      <c r="J61" s="48"/>
      <c r="K61" s="77"/>
      <c r="L61" s="80"/>
      <c r="M61" s="80"/>
      <c r="N61" s="22"/>
      <c r="O61" s="22"/>
      <c r="P61" s="51" t="str">
        <f t="shared" si="2"/>
        <v>استراحة (لا توجد مباريات) 9 ضد 10 14 ضد 15</v>
      </c>
      <c r="Q61" s="22"/>
      <c r="R61" s="22"/>
      <c r="S61" s="22"/>
      <c r="T61" s="22"/>
      <c r="U61" s="22"/>
      <c r="V61" s="22"/>
      <c r="W61" s="22"/>
    </row>
    <row r="62" spans="1:23" ht="14.5" customHeight="1">
      <c r="A62" s="74"/>
      <c r="B62" s="1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62" s="46" t="s">
        <v>33</v>
      </c>
      <c r="D62" s="46" t="s">
        <v>20</v>
      </c>
      <c r="E62" s="46" t="s">
        <v>32</v>
      </c>
      <c r="F62" s="46" t="s">
        <v>160</v>
      </c>
      <c r="G62" s="46" t="s">
        <v>107</v>
      </c>
      <c r="H62" s="46" t="s">
        <v>98</v>
      </c>
      <c r="I62" s="46"/>
      <c r="J62" s="46"/>
      <c r="K62" s="77"/>
      <c r="L62" s="80"/>
      <c r="M62" s="80"/>
      <c r="N62" s="22"/>
      <c r="O62" s="22"/>
      <c r="P62" s="51" t="str">
        <f t="shared" si="2"/>
        <v>6 ضد 7 1 ضد 3 5 ضد 8 4 ضد 2 11 ضد 16 13 ضد 17</v>
      </c>
      <c r="Q62" s="22"/>
      <c r="R62" s="22"/>
      <c r="S62" s="22"/>
      <c r="T62" s="22"/>
      <c r="U62" s="22"/>
      <c r="V62" s="22"/>
      <c r="W62" s="22"/>
    </row>
    <row r="63" spans="1:23" ht="14.5" customHeight="1">
      <c r="A63" s="74"/>
      <c r="B63" s="1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63" s="70" t="s">
        <v>139</v>
      </c>
      <c r="D63" s="71"/>
      <c r="E63" s="71"/>
      <c r="F63" s="72"/>
      <c r="G63" s="49" t="s">
        <v>64</v>
      </c>
      <c r="H63" s="47"/>
      <c r="I63" s="47"/>
      <c r="J63" s="48"/>
      <c r="K63" s="77"/>
      <c r="L63" s="80"/>
      <c r="M63" s="80"/>
      <c r="N63" s="22"/>
      <c r="O63" s="22"/>
      <c r="P63" s="51" t="str">
        <f t="shared" si="2"/>
        <v>استراحة (لا توجد مباريات) 10 ضد 12</v>
      </c>
      <c r="Q63" s="22"/>
      <c r="R63" s="22"/>
      <c r="S63" s="22"/>
      <c r="T63" s="22"/>
      <c r="U63" s="22"/>
      <c r="V63" s="22"/>
      <c r="W63" s="22"/>
    </row>
    <row r="64" spans="1:23" ht="14.5" customHeight="1">
      <c r="A64" s="74"/>
      <c r="B64" s="10"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64" s="46" t="s">
        <v>57</v>
      </c>
      <c r="D64" s="46" t="s">
        <v>43</v>
      </c>
      <c r="E64" s="46" t="s">
        <v>30</v>
      </c>
      <c r="F64" s="46" t="s">
        <v>55</v>
      </c>
      <c r="G64" s="46" t="s">
        <v>155</v>
      </c>
      <c r="H64" s="46" t="s">
        <v>93</v>
      </c>
      <c r="I64" s="46" t="s">
        <v>90</v>
      </c>
      <c r="J64" s="46"/>
      <c r="K64" s="77"/>
      <c r="L64" s="80"/>
      <c r="M64" s="80"/>
      <c r="N64" s="22"/>
      <c r="O64" s="22"/>
      <c r="P64" s="51" t="str">
        <f t="shared" si="2"/>
        <v>3 ضد 8 4 ضد 7 1 ضد 2 5 ضد 6 9 ضد 15 13 ضد 16 14 ضد 17</v>
      </c>
      <c r="Q64" s="22"/>
      <c r="R64" s="22"/>
      <c r="S64" s="22"/>
      <c r="T64" s="22"/>
      <c r="U64" s="22"/>
      <c r="V64" s="22"/>
      <c r="W64" s="22"/>
    </row>
    <row r="65" spans="1:23" ht="14.5" customHeight="1">
      <c r="A65" s="74"/>
      <c r="B65" s="10"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65" s="70" t="s">
        <v>139</v>
      </c>
      <c r="D65" s="71"/>
      <c r="E65" s="71"/>
      <c r="F65" s="72"/>
      <c r="G65" s="49" t="s">
        <v>31</v>
      </c>
      <c r="H65" s="47"/>
      <c r="I65" s="47"/>
      <c r="J65" s="48"/>
      <c r="K65" s="77"/>
      <c r="L65" s="80"/>
      <c r="M65" s="80"/>
      <c r="N65" s="22"/>
      <c r="O65" s="22"/>
      <c r="P65" s="51" t="str">
        <f t="shared" si="2"/>
        <v>استراحة (لا توجد مباريات) 10 ضد 11</v>
      </c>
      <c r="Q65" s="22"/>
      <c r="R65" s="22"/>
      <c r="S65" s="22"/>
      <c r="T65" s="22"/>
      <c r="U65" s="22"/>
      <c r="V65" s="22"/>
      <c r="W65" s="22"/>
    </row>
    <row r="66" spans="1:23" ht="14.5" customHeight="1">
      <c r="A66" s="75"/>
      <c r="B66" s="10"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66" s="70" t="s">
        <v>139</v>
      </c>
      <c r="D66" s="71"/>
      <c r="E66" s="71"/>
      <c r="F66" s="72"/>
      <c r="G66" s="46" t="s">
        <v>153</v>
      </c>
      <c r="H66" s="46" t="s">
        <v>103</v>
      </c>
      <c r="I66" s="46" t="s">
        <v>80</v>
      </c>
      <c r="J66" s="46"/>
      <c r="K66" s="78"/>
      <c r="L66" s="81"/>
      <c r="M66" s="81"/>
      <c r="N66" s="22"/>
      <c r="O66" s="22"/>
      <c r="P66" s="51" t="str">
        <f t="shared" si="2"/>
        <v>استراحة (لا توجد مباريات) 9 ضد 16 12 ضد 15 13 ضد 14</v>
      </c>
      <c r="Q66" s="22"/>
      <c r="R66" s="22"/>
      <c r="S66" s="22"/>
      <c r="T66" s="22"/>
      <c r="U66" s="22"/>
      <c r="V66" s="22"/>
      <c r="W66" s="22"/>
    </row>
    <row r="67" spans="1:23">
      <c r="A67" s="22"/>
      <c r="B67" s="22"/>
      <c r="C67" s="22"/>
      <c r="D67" s="22"/>
      <c r="E67" s="22"/>
      <c r="F67" s="22"/>
      <c r="G67" s="22"/>
      <c r="H67" s="22"/>
      <c r="I67" s="22"/>
      <c r="J67" s="22"/>
      <c r="K67" s="22"/>
      <c r="L67" s="22"/>
      <c r="M67" s="22"/>
      <c r="N67" s="22"/>
      <c r="O67" s="22"/>
      <c r="P67" s="22"/>
      <c r="Q67" s="22"/>
      <c r="R67" s="22"/>
      <c r="S67" s="22"/>
      <c r="T67" s="22"/>
      <c r="U67" s="22"/>
      <c r="V67" s="22"/>
      <c r="W67" s="22"/>
    </row>
    <row r="68" spans="1:23" ht="14.5" customHeight="1">
      <c r="A68" s="22"/>
      <c r="B68" s="22"/>
      <c r="C68" s="22"/>
      <c r="D68" s="22"/>
      <c r="E68" s="22"/>
      <c r="F68" s="22"/>
      <c r="G68" s="22"/>
      <c r="H68" s="22"/>
      <c r="I68" s="22"/>
      <c r="J68" s="22"/>
      <c r="K68" s="22"/>
      <c r="L68" s="22"/>
      <c r="M68" s="22"/>
      <c r="N68" s="22"/>
      <c r="O68" s="22"/>
      <c r="P68" s="22"/>
      <c r="Q68" s="22"/>
      <c r="R68" s="22"/>
      <c r="S68" s="22"/>
      <c r="T68" s="22"/>
      <c r="U68" s="22"/>
      <c r="V68" s="22"/>
      <c r="W68" s="22"/>
    </row>
    <row r="69" spans="1:23" ht="14.5" customHeight="1">
      <c r="A69" s="22"/>
      <c r="B69" s="83" t="s">
        <v>454</v>
      </c>
      <c r="C69" s="83"/>
      <c r="D69" s="83"/>
      <c r="E69" s="83"/>
      <c r="F69" s="83"/>
      <c r="G69" s="83"/>
      <c r="H69" s="83"/>
      <c r="I69" s="83"/>
      <c r="J69" s="83"/>
      <c r="K69" s="83"/>
      <c r="L69" s="83"/>
      <c r="M69" s="83"/>
      <c r="N69" s="83"/>
      <c r="O69" s="22"/>
      <c r="P69" s="22"/>
      <c r="Q69" s="22"/>
      <c r="R69" s="22"/>
      <c r="S69" s="22"/>
      <c r="T69" s="22"/>
      <c r="U69" s="22"/>
      <c r="V69" s="22"/>
      <c r="W69" s="22"/>
    </row>
    <row r="70" spans="1:23">
      <c r="A70" s="22"/>
      <c r="B70" s="23" t="s">
        <v>83</v>
      </c>
      <c r="C70" s="84" t="s">
        <v>221</v>
      </c>
      <c r="D70" s="84"/>
      <c r="E70" s="84"/>
      <c r="F70" s="84" t="s">
        <v>216</v>
      </c>
      <c r="G70" s="84"/>
      <c r="H70" s="23"/>
      <c r="I70" s="23" t="s">
        <v>83</v>
      </c>
      <c r="J70" s="84" t="s">
        <v>222</v>
      </c>
      <c r="K70" s="84"/>
      <c r="L70" s="84"/>
      <c r="M70" s="84" t="s">
        <v>216</v>
      </c>
      <c r="N70" s="84"/>
      <c r="O70" s="22"/>
      <c r="P70" s="22"/>
      <c r="Q70" s="22"/>
      <c r="R70" s="22"/>
      <c r="S70" s="22"/>
      <c r="T70" s="22"/>
      <c r="U70" s="22"/>
      <c r="V70" s="22"/>
      <c r="W70" s="22"/>
    </row>
    <row r="71" spans="1:23">
      <c r="A71" s="22"/>
      <c r="B71" s="28">
        <v>1</v>
      </c>
      <c r="C71" s="85" t="s">
        <v>637</v>
      </c>
      <c r="D71" s="85"/>
      <c r="E71" s="85"/>
      <c r="F71" s="85" t="s">
        <v>456</v>
      </c>
      <c r="G71" s="85"/>
      <c r="H71" s="28"/>
      <c r="I71" s="28">
        <v>9</v>
      </c>
      <c r="J71" s="85" t="s">
        <v>645</v>
      </c>
      <c r="K71" s="85"/>
      <c r="L71" s="85"/>
      <c r="M71" s="85" t="s">
        <v>456</v>
      </c>
      <c r="N71" s="85"/>
      <c r="O71" s="22"/>
      <c r="P71" s="22"/>
      <c r="Q71" s="22"/>
      <c r="R71" s="22"/>
      <c r="S71" s="22"/>
      <c r="T71" s="22"/>
      <c r="U71" s="22"/>
      <c r="V71" s="22"/>
      <c r="W71" s="22"/>
    </row>
    <row r="72" spans="1:23" ht="14.5" customHeight="1">
      <c r="A72" s="22"/>
      <c r="B72" s="28">
        <v>2</v>
      </c>
      <c r="C72" s="85" t="s">
        <v>638</v>
      </c>
      <c r="D72" s="85"/>
      <c r="E72" s="85"/>
      <c r="F72" s="85" t="s">
        <v>456</v>
      </c>
      <c r="G72" s="85"/>
      <c r="H72" s="28"/>
      <c r="I72" s="28">
        <v>10</v>
      </c>
      <c r="J72" s="85" t="s">
        <v>639</v>
      </c>
      <c r="K72" s="85"/>
      <c r="L72" s="85"/>
      <c r="M72" s="85" t="s">
        <v>456</v>
      </c>
      <c r="N72" s="85"/>
      <c r="O72" s="22"/>
      <c r="P72" s="22"/>
      <c r="Q72" s="22"/>
      <c r="R72" s="22"/>
      <c r="S72" s="22"/>
      <c r="T72" s="22"/>
      <c r="U72" s="22"/>
      <c r="V72" s="22"/>
      <c r="W72" s="22"/>
    </row>
    <row r="73" spans="1:23" ht="14.5" customHeight="1">
      <c r="A73" s="22"/>
      <c r="B73" s="28">
        <v>3</v>
      </c>
      <c r="C73" s="85" t="s">
        <v>647</v>
      </c>
      <c r="D73" s="85"/>
      <c r="E73" s="85"/>
      <c r="F73" s="85" t="s">
        <v>456</v>
      </c>
      <c r="G73" s="85"/>
      <c r="H73" s="28"/>
      <c r="I73" s="28">
        <v>11</v>
      </c>
      <c r="J73" s="85" t="s">
        <v>646</v>
      </c>
      <c r="K73" s="85"/>
      <c r="L73" s="85"/>
      <c r="M73" s="85" t="s">
        <v>456</v>
      </c>
      <c r="N73" s="85"/>
      <c r="O73" s="22"/>
      <c r="P73" s="22"/>
      <c r="Q73" s="22"/>
      <c r="R73" s="22"/>
      <c r="S73" s="22"/>
      <c r="T73" s="22"/>
      <c r="U73" s="22"/>
      <c r="V73" s="22"/>
      <c r="W73" s="22"/>
    </row>
    <row r="74" spans="1:23">
      <c r="A74" s="22"/>
      <c r="B74" s="28">
        <v>4</v>
      </c>
      <c r="C74" s="85" t="s">
        <v>640</v>
      </c>
      <c r="D74" s="85"/>
      <c r="E74" s="85"/>
      <c r="F74" s="85" t="s">
        <v>456</v>
      </c>
      <c r="G74" s="85"/>
      <c r="H74" s="28"/>
      <c r="I74" s="28">
        <v>12</v>
      </c>
      <c r="J74" s="85" t="s">
        <v>648</v>
      </c>
      <c r="K74" s="85"/>
      <c r="L74" s="85"/>
      <c r="M74" s="85" t="s">
        <v>456</v>
      </c>
      <c r="N74" s="85"/>
      <c r="O74" s="22"/>
      <c r="P74" s="22"/>
      <c r="Q74" s="22"/>
      <c r="R74" s="22"/>
      <c r="S74" s="22"/>
      <c r="T74" s="22"/>
      <c r="U74" s="22"/>
      <c r="V74" s="22"/>
      <c r="W74" s="22"/>
    </row>
    <row r="75" spans="1:23">
      <c r="A75" s="22"/>
      <c r="B75" s="28">
        <v>5</v>
      </c>
      <c r="C75" s="85" t="s">
        <v>641</v>
      </c>
      <c r="D75" s="85"/>
      <c r="E75" s="85"/>
      <c r="F75" s="85" t="s">
        <v>458</v>
      </c>
      <c r="G75" s="85"/>
      <c r="H75" s="28"/>
      <c r="I75" s="28">
        <v>13</v>
      </c>
      <c r="J75" s="85" t="s">
        <v>649</v>
      </c>
      <c r="K75" s="85"/>
      <c r="L75" s="85"/>
      <c r="M75" s="85" t="s">
        <v>458</v>
      </c>
      <c r="N75" s="85"/>
      <c r="O75" s="22"/>
      <c r="P75" s="22"/>
      <c r="Q75" s="22"/>
      <c r="R75" s="22"/>
      <c r="S75" s="22"/>
      <c r="T75" s="22"/>
      <c r="U75" s="22"/>
      <c r="V75" s="22"/>
      <c r="W75" s="22"/>
    </row>
    <row r="76" spans="1:23">
      <c r="A76" s="22"/>
      <c r="B76" s="28">
        <v>6</v>
      </c>
      <c r="C76" s="85" t="s">
        <v>642</v>
      </c>
      <c r="D76" s="85"/>
      <c r="E76" s="85"/>
      <c r="F76" s="85" t="s">
        <v>458</v>
      </c>
      <c r="G76" s="85"/>
      <c r="H76" s="28"/>
      <c r="I76" s="28">
        <v>14</v>
      </c>
      <c r="J76" s="85" t="s">
        <v>650</v>
      </c>
      <c r="K76" s="85"/>
      <c r="L76" s="85"/>
      <c r="M76" s="85" t="s">
        <v>458</v>
      </c>
      <c r="N76" s="85"/>
      <c r="O76" s="22"/>
      <c r="P76" s="22"/>
      <c r="Q76" s="22"/>
      <c r="R76" s="22"/>
      <c r="S76" s="22"/>
      <c r="T76" s="22"/>
      <c r="U76" s="22"/>
      <c r="V76" s="22"/>
      <c r="W76" s="22"/>
    </row>
    <row r="77" spans="1:23">
      <c r="A77" s="22"/>
      <c r="B77" s="28">
        <v>7</v>
      </c>
      <c r="C77" s="85" t="s">
        <v>643</v>
      </c>
      <c r="D77" s="85"/>
      <c r="E77" s="85"/>
      <c r="F77" s="85" t="s">
        <v>458</v>
      </c>
      <c r="G77" s="85"/>
      <c r="H77" s="28"/>
      <c r="I77" s="28">
        <v>15</v>
      </c>
      <c r="J77" s="85" t="s">
        <v>651</v>
      </c>
      <c r="K77" s="85"/>
      <c r="L77" s="85"/>
      <c r="M77" s="85" t="s">
        <v>458</v>
      </c>
      <c r="N77" s="85"/>
      <c r="O77" s="22"/>
      <c r="P77" s="22"/>
      <c r="Q77" s="22"/>
      <c r="R77" s="22"/>
      <c r="S77" s="22"/>
      <c r="T77" s="22"/>
      <c r="U77" s="22"/>
      <c r="V77" s="22"/>
      <c r="W77" s="22"/>
    </row>
    <row r="78" spans="1:23">
      <c r="A78" s="22"/>
      <c r="B78" s="28">
        <v>8</v>
      </c>
      <c r="C78" s="85" t="s">
        <v>644</v>
      </c>
      <c r="D78" s="85"/>
      <c r="E78" s="85"/>
      <c r="F78" s="85" t="s">
        <v>473</v>
      </c>
      <c r="G78" s="85"/>
      <c r="H78" s="28"/>
      <c r="I78" s="28">
        <v>16</v>
      </c>
      <c r="J78" s="85" t="s">
        <v>652</v>
      </c>
      <c r="K78" s="85"/>
      <c r="L78" s="85"/>
      <c r="M78" s="85" t="s">
        <v>458</v>
      </c>
      <c r="N78" s="85"/>
      <c r="O78" s="22"/>
      <c r="P78" s="22"/>
      <c r="Q78" s="22"/>
      <c r="R78" s="22"/>
      <c r="S78" s="22"/>
      <c r="T78" s="22"/>
      <c r="U78" s="22"/>
      <c r="V78" s="22"/>
      <c r="W78" s="22"/>
    </row>
    <row r="79" spans="1:23">
      <c r="A79" s="22"/>
      <c r="B79" s="28"/>
      <c r="C79" s="28"/>
      <c r="D79" s="28"/>
      <c r="E79" s="28"/>
      <c r="F79" s="28"/>
      <c r="G79" s="28"/>
      <c r="H79" s="28"/>
      <c r="I79" s="28">
        <v>17</v>
      </c>
      <c r="J79" s="85" t="s">
        <v>653</v>
      </c>
      <c r="K79" s="85"/>
      <c r="L79" s="85"/>
      <c r="M79" s="85" t="s">
        <v>473</v>
      </c>
      <c r="N79" s="85"/>
      <c r="O79" s="22"/>
      <c r="P79" s="22"/>
      <c r="Q79" s="22"/>
      <c r="R79" s="22"/>
      <c r="S79" s="22"/>
      <c r="T79" s="22"/>
      <c r="U79" s="22"/>
      <c r="V79" s="22"/>
      <c r="W79" s="22"/>
    </row>
  </sheetData>
  <mergeCells count="103">
    <mergeCell ref="M77:N77"/>
    <mergeCell ref="J78:L78"/>
    <mergeCell ref="M78:N78"/>
    <mergeCell ref="J79:L79"/>
    <mergeCell ref="M79:N79"/>
    <mergeCell ref="C78:E78"/>
    <mergeCell ref="F78:G78"/>
    <mergeCell ref="J70:L70"/>
    <mergeCell ref="M70:N70"/>
    <mergeCell ref="J71:L71"/>
    <mergeCell ref="M71:N71"/>
    <mergeCell ref="J72:L72"/>
    <mergeCell ref="M72:N72"/>
    <mergeCell ref="J73:L73"/>
    <mergeCell ref="M73:N73"/>
    <mergeCell ref="J74:L74"/>
    <mergeCell ref="M74:N74"/>
    <mergeCell ref="J75:L75"/>
    <mergeCell ref="M75:N75"/>
    <mergeCell ref="J76:L76"/>
    <mergeCell ref="M76:N76"/>
    <mergeCell ref="C75:E75"/>
    <mergeCell ref="F75:G75"/>
    <mergeCell ref="C71:E71"/>
    <mergeCell ref="C77:E77"/>
    <mergeCell ref="F77:G77"/>
    <mergeCell ref="C72:E72"/>
    <mergeCell ref="F72:G72"/>
    <mergeCell ref="C73:E73"/>
    <mergeCell ref="F73:G73"/>
    <mergeCell ref="C74:E74"/>
    <mergeCell ref="F74:G74"/>
    <mergeCell ref="J77:L77"/>
    <mergeCell ref="B69:N69"/>
    <mergeCell ref="C70:E70"/>
    <mergeCell ref="F70:G70"/>
    <mergeCell ref="F71:G71"/>
    <mergeCell ref="C59:F59"/>
    <mergeCell ref="C61:F61"/>
    <mergeCell ref="C63:F63"/>
    <mergeCell ref="C76:E76"/>
    <mergeCell ref="F76:G76"/>
    <mergeCell ref="K58:K66"/>
    <mergeCell ref="L58:L66"/>
    <mergeCell ref="M58:M66"/>
    <mergeCell ref="C65:F65"/>
    <mergeCell ref="C66:F66"/>
    <mergeCell ref="M40:M48"/>
    <mergeCell ref="M49:M57"/>
    <mergeCell ref="C43:F43"/>
    <mergeCell ref="C45:F45"/>
    <mergeCell ref="C47:F47"/>
    <mergeCell ref="C48:F48"/>
    <mergeCell ref="C50:F50"/>
    <mergeCell ref="C52:F52"/>
    <mergeCell ref="C54:F54"/>
    <mergeCell ref="A49:A57"/>
    <mergeCell ref="K49:K57"/>
    <mergeCell ref="L49:L57"/>
    <mergeCell ref="C41:F41"/>
    <mergeCell ref="C56:F56"/>
    <mergeCell ref="C57:F57"/>
    <mergeCell ref="A58:A66"/>
    <mergeCell ref="A1:M1"/>
    <mergeCell ref="M4:M12"/>
    <mergeCell ref="M13:M21"/>
    <mergeCell ref="M22:M30"/>
    <mergeCell ref="M31:M39"/>
    <mergeCell ref="C5:F5"/>
    <mergeCell ref="C7:F7"/>
    <mergeCell ref="C9:F9"/>
    <mergeCell ref="C11:F11"/>
    <mergeCell ref="C12:F12"/>
    <mergeCell ref="C14:F14"/>
    <mergeCell ref="C16:F16"/>
    <mergeCell ref="C23:F23"/>
    <mergeCell ref="K22:K30"/>
    <mergeCell ref="L22:L30"/>
    <mergeCell ref="C32:F32"/>
    <mergeCell ref="C34:F34"/>
    <mergeCell ref="C36:F36"/>
    <mergeCell ref="C38:F38"/>
    <mergeCell ref="C39:F39"/>
    <mergeCell ref="A4:A12"/>
    <mergeCell ref="K4:K12"/>
    <mergeCell ref="L4:L12"/>
    <mergeCell ref="K31:K39"/>
    <mergeCell ref="L31:L39"/>
    <mergeCell ref="A40:A48"/>
    <mergeCell ref="K40:K48"/>
    <mergeCell ref="L40:L48"/>
    <mergeCell ref="A31:A39"/>
    <mergeCell ref="A13:A21"/>
    <mergeCell ref="K13:K21"/>
    <mergeCell ref="L13:L21"/>
    <mergeCell ref="A22:A30"/>
    <mergeCell ref="C18:F18"/>
    <mergeCell ref="C20:F20"/>
    <mergeCell ref="C21:F21"/>
    <mergeCell ref="C25:F25"/>
    <mergeCell ref="C27:F27"/>
    <mergeCell ref="C29:F29"/>
    <mergeCell ref="C30:F30"/>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31B6-FFA2-4606-A921-839AF823A642}">
  <dimension ref="A1:AZ200"/>
  <sheetViews>
    <sheetView showGridLines="0" rightToLeft="1" tabSelected="1" zoomScale="78" workbookViewId="0">
      <pane ySplit="3" topLeftCell="A41" activePane="bottomLeft" state="frozen"/>
      <selection pane="bottomLeft" activeCell="M53" sqref="J53:N63"/>
    </sheetView>
  </sheetViews>
  <sheetFormatPr defaultRowHeight="14.5"/>
  <cols>
    <col min="1" max="1" width="10.90625" style="24" customWidth="1"/>
    <col min="2" max="2" width="17.26953125" style="24" customWidth="1"/>
    <col min="3" max="10" width="14.54296875" style="24" customWidth="1"/>
    <col min="11" max="13" width="15.453125" style="24" customWidth="1"/>
    <col min="14" max="14" width="11.6328125" style="24" customWidth="1"/>
    <col min="15" max="15" width="27.26953125" style="24" customWidth="1"/>
    <col min="16" max="16" width="11.6328125" style="24" customWidth="1"/>
    <col min="17" max="22" width="13.6328125" style="24" customWidth="1"/>
    <col min="23" max="52" width="11.6328125" style="24" customWidth="1"/>
    <col min="53" max="16384" width="8.7265625" style="24"/>
  </cols>
  <sheetData>
    <row r="1" spans="1:52" ht="26" customHeight="1">
      <c r="A1" s="111" t="s">
        <v>268</v>
      </c>
      <c r="B1" s="111"/>
      <c r="C1" s="111"/>
      <c r="D1" s="111"/>
      <c r="E1" s="111"/>
      <c r="F1" s="111"/>
      <c r="G1" s="111"/>
      <c r="H1" s="111"/>
      <c r="I1" s="111"/>
      <c r="J1" s="111"/>
      <c r="K1" s="111"/>
      <c r="L1" s="111"/>
      <c r="M1" s="111"/>
      <c r="N1" s="34"/>
      <c r="O1" s="34"/>
      <c r="P1" s="34"/>
      <c r="Q1" s="34"/>
      <c r="R1" s="34"/>
      <c r="S1" s="34"/>
      <c r="T1" s="34"/>
      <c r="U1" s="34"/>
      <c r="V1" s="34"/>
      <c r="W1"/>
      <c r="X1"/>
      <c r="Y1"/>
      <c r="Z1"/>
      <c r="AA1"/>
      <c r="AB1"/>
      <c r="AC1"/>
      <c r="AD1"/>
      <c r="AE1"/>
      <c r="AF1"/>
      <c r="AG1"/>
      <c r="AH1"/>
      <c r="AI1"/>
      <c r="AJ1"/>
      <c r="AK1"/>
      <c r="AL1"/>
      <c r="AM1"/>
      <c r="AN1"/>
      <c r="AO1"/>
      <c r="AP1"/>
      <c r="AQ1"/>
      <c r="AR1"/>
      <c r="AS1"/>
      <c r="AT1"/>
      <c r="AU1"/>
      <c r="AV1"/>
      <c r="AW1"/>
      <c r="AX1"/>
      <c r="AY1"/>
      <c r="AZ1"/>
    </row>
    <row r="2" spans="1:52" ht="8" customHeight="1">
      <c r="A2" s="34"/>
      <c r="B2" s="34"/>
      <c r="C2" s="34"/>
      <c r="D2" s="34"/>
      <c r="E2" s="34"/>
      <c r="F2" s="34"/>
      <c r="G2" s="34"/>
      <c r="H2" s="34"/>
      <c r="I2" s="34"/>
      <c r="J2" s="34"/>
      <c r="K2" s="34"/>
      <c r="L2" s="34"/>
      <c r="M2" s="34"/>
      <c r="N2" s="34"/>
      <c r="O2" s="34"/>
      <c r="P2" s="34"/>
      <c r="Q2" s="34"/>
      <c r="R2" s="34"/>
      <c r="S2" s="34"/>
      <c r="T2" s="34"/>
      <c r="U2" s="34"/>
      <c r="V2" s="34"/>
      <c r="W2"/>
      <c r="X2"/>
      <c r="Y2"/>
      <c r="Z2"/>
      <c r="AA2"/>
      <c r="AB2"/>
      <c r="AC2"/>
      <c r="AD2"/>
      <c r="AE2"/>
      <c r="AF2"/>
      <c r="AG2"/>
      <c r="AH2"/>
      <c r="AI2"/>
      <c r="AJ2"/>
      <c r="AK2"/>
      <c r="AL2"/>
      <c r="AM2"/>
      <c r="AN2"/>
      <c r="AO2"/>
      <c r="AP2"/>
      <c r="AQ2"/>
      <c r="AR2"/>
      <c r="AS2"/>
      <c r="AT2"/>
      <c r="AU2"/>
      <c r="AV2"/>
      <c r="AW2"/>
      <c r="AX2"/>
      <c r="AY2"/>
      <c r="AZ2"/>
    </row>
    <row r="3" spans="1:52" ht="32" customHeight="1">
      <c r="A3" s="35" t="s">
        <v>0</v>
      </c>
      <c r="B3" s="35" t="s">
        <v>1</v>
      </c>
      <c r="C3" s="35" t="s">
        <v>127</v>
      </c>
      <c r="D3" s="35" t="s">
        <v>128</v>
      </c>
      <c r="E3" s="35" t="s">
        <v>129</v>
      </c>
      <c r="F3" s="35" t="s">
        <v>130</v>
      </c>
      <c r="G3" s="35" t="s">
        <v>131</v>
      </c>
      <c r="H3" s="35" t="s">
        <v>132</v>
      </c>
      <c r="I3" s="35" t="s">
        <v>133</v>
      </c>
      <c r="J3" s="35" t="s">
        <v>134</v>
      </c>
      <c r="K3" s="35" t="s">
        <v>138</v>
      </c>
      <c r="L3" s="35" t="s">
        <v>170</v>
      </c>
      <c r="M3" s="35" t="s">
        <v>171</v>
      </c>
      <c r="N3" s="34"/>
      <c r="O3" s="43" t="s">
        <v>244</v>
      </c>
      <c r="P3" s="34"/>
      <c r="Q3" s="35" t="s">
        <v>245</v>
      </c>
      <c r="R3" s="35" t="s">
        <v>246</v>
      </c>
      <c r="S3" s="35" t="s">
        <v>247</v>
      </c>
      <c r="T3" s="35" t="s">
        <v>145</v>
      </c>
      <c r="U3" s="35" t="s">
        <v>146</v>
      </c>
      <c r="V3" s="35" t="s">
        <v>248</v>
      </c>
      <c r="W3"/>
      <c r="X3"/>
      <c r="Y3"/>
      <c r="Z3"/>
      <c r="AA3"/>
      <c r="AB3"/>
      <c r="AC3"/>
      <c r="AD3"/>
      <c r="AE3"/>
      <c r="AF3"/>
      <c r="AG3"/>
      <c r="AH3"/>
      <c r="AI3"/>
      <c r="AJ3"/>
      <c r="AK3"/>
      <c r="AL3"/>
      <c r="AM3"/>
      <c r="AN3"/>
      <c r="AO3"/>
      <c r="AP3"/>
      <c r="AQ3"/>
      <c r="AR3"/>
      <c r="AS3"/>
      <c r="AT3"/>
      <c r="AU3"/>
      <c r="AV3"/>
      <c r="AW3"/>
      <c r="AX3"/>
      <c r="AY3"/>
      <c r="AZ3"/>
    </row>
    <row r="4" spans="1:52" ht="14.5" customHeight="1">
      <c r="A4" s="106" t="s">
        <v>5</v>
      </c>
      <c r="B4"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 s="37" t="s">
        <v>33</v>
      </c>
      <c r="D4" s="37" t="s">
        <v>67</v>
      </c>
      <c r="E4" s="37"/>
      <c r="F4" s="37"/>
      <c r="G4" s="37" t="s">
        <v>106</v>
      </c>
      <c r="H4" s="37" t="s">
        <v>123</v>
      </c>
      <c r="I4" s="37"/>
      <c r="J4" s="37"/>
      <c r="K4" s="107">
        <f>COUNTIF(C4:J12,"* ضد *")</f>
        <v>44</v>
      </c>
      <c r="L4" s="108">
        <f>COUNTIF(C4:F12,"* ضد *")*2/11</f>
        <v>4</v>
      </c>
      <c r="M4" s="108">
        <f>COUNTIF(G4:J12,"* ضد *")*2/11</f>
        <v>4</v>
      </c>
      <c r="N4" s="34"/>
      <c r="O4" s="44" t="str">
        <f t="shared" ref="O4:O48" si="0">_xlfn.TEXTJOIN(" ",TRUE,C4:J4)</f>
        <v>6 ضد 7 8 ضد 9 17 ضد 18 19 ضد 20</v>
      </c>
      <c r="P4" s="34"/>
      <c r="Q4" s="39">
        <v>1</v>
      </c>
      <c r="R4" s="39" cm="1">
        <f t="array" ref="R4">SUMPRODUCT(--ISNUMBER(SEARCH(" "&amp;$Q4&amp;" "," "&amp;O$4:O$48&amp;" ")))</f>
        <v>20</v>
      </c>
      <c r="S4" s="39" cm="1">
        <f t="array" ref="S4">SUMPRODUCT(--ISNUMBER(SEARCH(" "&amp;$Q4&amp;" "," "&amp;O$4:O$47&amp;" ")),--ISNUMBER(SEARCH(" "&amp;$Q4&amp;" "," "&amp;O$5:O$48&amp;" ")),--(MOD(ROW(O$4:O$47)-4,$R$27)&lt;=$R$27-2))</f>
        <v>0</v>
      </c>
      <c r="T4" s="39" cm="1">
        <f t="array" ref="T4">SUMPRODUCT(--ISNUMBER(SEARCH(" "&amp;$Q4&amp;" "," "&amp;O$4:O$46&amp;" ")),--ISNUMBER(SEARCH(" "&amp;$Q4&amp;" "," "&amp;O$6:O$48&amp;" ")),--(MOD(ROW(O$4:O$46)-4,$R$27)&lt;=$R$27-3))</f>
        <v>13</v>
      </c>
      <c r="U4" s="39" cm="1">
        <f t="array" ref="U4">SUMPRODUCT(--ISNUMBER(SEARCH(" "&amp;$Q4&amp;" "," "&amp;O$4:O$45&amp;" ")),--ISNUMBER(SEARCH(" "&amp;$Q4&amp;" "," "&amp;O$7:O$48&amp;" ")),--(MOD(ROW(O$4:O$45)-4,$R$27)&lt;=$R$27-4))</f>
        <v>2</v>
      </c>
      <c r="V4" s="39">
        <f t="shared" ref="V4:V25" si="1">R4-COUNTIF($A$4:$A$48,"اليوم *")-S4-T4-U4</f>
        <v>0</v>
      </c>
      <c r="W4"/>
      <c r="X4"/>
      <c r="Y4"/>
      <c r="Z4"/>
      <c r="AA4"/>
      <c r="AB4"/>
      <c r="AC4"/>
      <c r="AD4"/>
      <c r="AE4"/>
      <c r="AF4"/>
      <c r="AG4"/>
      <c r="AH4"/>
      <c r="AI4"/>
      <c r="AJ4"/>
      <c r="AK4"/>
      <c r="AL4"/>
      <c r="AM4"/>
      <c r="AN4"/>
      <c r="AO4"/>
      <c r="AP4"/>
      <c r="AQ4"/>
      <c r="AR4"/>
      <c r="AS4"/>
      <c r="AT4"/>
      <c r="AU4"/>
      <c r="AV4"/>
      <c r="AW4"/>
      <c r="AX4"/>
      <c r="AY4"/>
      <c r="AZ4"/>
    </row>
    <row r="5" spans="1:52" ht="14.5" customHeight="1">
      <c r="A5" s="106"/>
      <c r="B5"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5" s="37" t="s">
        <v>20</v>
      </c>
      <c r="D5" s="37" t="s">
        <v>230</v>
      </c>
      <c r="E5" s="37" t="s">
        <v>36</v>
      </c>
      <c r="F5" s="37"/>
      <c r="G5" s="37" t="s">
        <v>78</v>
      </c>
      <c r="H5" s="37" t="s">
        <v>269</v>
      </c>
      <c r="I5" s="37" t="s">
        <v>270</v>
      </c>
      <c r="J5" s="37"/>
      <c r="K5" s="108"/>
      <c r="L5" s="108"/>
      <c r="M5" s="108"/>
      <c r="N5" s="34"/>
      <c r="O5" s="44" t="str">
        <f t="shared" si="0"/>
        <v>1 ضد 3 2 ضد 10 5 ضد 11 12 ضد 14 13 ضد 21 16 ضد 22</v>
      </c>
      <c r="P5" s="34"/>
      <c r="Q5" s="39">
        <v>2</v>
      </c>
      <c r="R5" s="39" cm="1">
        <f t="array" ref="R5">SUMPRODUCT(--ISNUMBER(SEARCH(" "&amp;$Q5&amp;" "," "&amp;O$4:O$48&amp;" ")))</f>
        <v>20</v>
      </c>
      <c r="S5" s="39" cm="1">
        <f t="array" ref="S5">SUMPRODUCT(--ISNUMBER(SEARCH(" "&amp;$Q5&amp;" "," "&amp;O$4:O$47&amp;" ")),--ISNUMBER(SEARCH(" "&amp;$Q5&amp;" "," "&amp;O$5:O$48&amp;" ")),--(MOD(ROW(O$4:O$47)-4,$R$27)&lt;=$R$27-2))</f>
        <v>0</v>
      </c>
      <c r="T5" s="39" cm="1">
        <f t="array" ref="T5">SUMPRODUCT(--ISNUMBER(SEARCH(" "&amp;$Q5&amp;" "," "&amp;O$4:O$46&amp;" ")),--ISNUMBER(SEARCH(" "&amp;$Q5&amp;" "," "&amp;O$6:O$48&amp;" ")),--(MOD(ROW(O$4:O$46)-4,$R$27)&lt;=$R$27-3))</f>
        <v>12</v>
      </c>
      <c r="U5" s="39" cm="1">
        <f t="array" ref="U5">SUMPRODUCT(--ISNUMBER(SEARCH(" "&amp;$Q5&amp;" "," "&amp;O$4:O$45&amp;" ")),--ISNUMBER(SEARCH(" "&amp;$Q5&amp;" "," "&amp;O$7:O$48&amp;" ")),--(MOD(ROW(O$4:O$45)-4,$R$27)&lt;=$R$27-4))</f>
        <v>3</v>
      </c>
      <c r="V5" s="39">
        <f t="shared" si="1"/>
        <v>0</v>
      </c>
      <c r="W5"/>
      <c r="X5"/>
      <c r="Y5"/>
      <c r="Z5"/>
      <c r="AA5"/>
      <c r="AB5"/>
      <c r="AC5"/>
      <c r="AD5"/>
      <c r="AE5"/>
      <c r="AF5"/>
      <c r="AG5"/>
      <c r="AH5"/>
      <c r="AI5"/>
      <c r="AJ5"/>
      <c r="AK5"/>
      <c r="AL5"/>
      <c r="AM5"/>
      <c r="AN5"/>
      <c r="AO5"/>
      <c r="AP5"/>
      <c r="AQ5"/>
      <c r="AR5"/>
      <c r="AS5"/>
      <c r="AT5"/>
      <c r="AU5"/>
      <c r="AV5"/>
      <c r="AW5"/>
      <c r="AX5"/>
      <c r="AY5"/>
      <c r="AZ5"/>
    </row>
    <row r="6" spans="1:52" ht="14.5" customHeight="1">
      <c r="A6" s="106"/>
      <c r="B6"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6" s="37" t="s">
        <v>256</v>
      </c>
      <c r="D6" s="37" t="s">
        <v>34</v>
      </c>
      <c r="E6" s="37"/>
      <c r="F6" s="37"/>
      <c r="G6" s="37" t="s">
        <v>271</v>
      </c>
      <c r="H6" s="37" t="s">
        <v>117</v>
      </c>
      <c r="I6" s="37"/>
      <c r="J6" s="37"/>
      <c r="K6" s="108"/>
      <c r="L6" s="108"/>
      <c r="M6" s="108"/>
      <c r="N6" s="34"/>
      <c r="O6" s="44" t="str">
        <f t="shared" si="0"/>
        <v>8 ضد 7 4 ضد 9 19 ضد 18 15 ضد 20</v>
      </c>
      <c r="P6" s="34"/>
      <c r="Q6" s="39">
        <v>3</v>
      </c>
      <c r="R6" s="39" cm="1">
        <f t="array" ref="R6">SUMPRODUCT(--ISNUMBER(SEARCH(" "&amp;$Q6&amp;" "," "&amp;O$4:O$48&amp;" ")))</f>
        <v>20</v>
      </c>
      <c r="S6" s="39" cm="1">
        <f t="array" ref="S6">SUMPRODUCT(--ISNUMBER(SEARCH(" "&amp;$Q6&amp;" "," "&amp;O$4:O$47&amp;" ")),--ISNUMBER(SEARCH(" "&amp;$Q6&amp;" "," "&amp;O$5:O$48&amp;" ")),--(MOD(ROW(O$4:O$47)-4,$R$27)&lt;=$R$27-2))</f>
        <v>0</v>
      </c>
      <c r="T6" s="39" cm="1">
        <f t="array" ref="T6">SUMPRODUCT(--ISNUMBER(SEARCH(" "&amp;$Q6&amp;" "," "&amp;O$4:O$46&amp;" ")),--ISNUMBER(SEARCH(" "&amp;$Q6&amp;" "," "&amp;O$6:O$48&amp;" ")),--(MOD(ROW(O$4:O$46)-4,$R$27)&lt;=$R$27-3))</f>
        <v>12</v>
      </c>
      <c r="U6" s="39" cm="1">
        <f t="array" ref="U6">SUMPRODUCT(--ISNUMBER(SEARCH(" "&amp;$Q6&amp;" "," "&amp;O$4:O$45&amp;" ")),--ISNUMBER(SEARCH(" "&amp;$Q6&amp;" "," "&amp;O$7:O$48&amp;" ")),--(MOD(ROW(O$4:O$45)-4,$R$27)&lt;=$R$27-4))</f>
        <v>3</v>
      </c>
      <c r="V6" s="39">
        <f t="shared" si="1"/>
        <v>0</v>
      </c>
      <c r="W6"/>
      <c r="X6"/>
      <c r="Y6"/>
      <c r="Z6"/>
      <c r="AA6"/>
      <c r="AB6"/>
      <c r="AC6"/>
      <c r="AD6"/>
      <c r="AE6"/>
      <c r="AF6"/>
      <c r="AG6"/>
      <c r="AH6"/>
      <c r="AI6"/>
      <c r="AJ6"/>
      <c r="AK6"/>
      <c r="AL6"/>
      <c r="AM6"/>
      <c r="AN6"/>
      <c r="AO6"/>
      <c r="AP6"/>
      <c r="AQ6"/>
      <c r="AR6"/>
      <c r="AS6"/>
      <c r="AT6"/>
      <c r="AU6"/>
      <c r="AV6"/>
      <c r="AW6"/>
      <c r="AX6"/>
      <c r="AY6"/>
      <c r="AZ6"/>
    </row>
    <row r="7" spans="1:52" ht="14.5" customHeight="1">
      <c r="A7" s="106"/>
      <c r="B7"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7" s="37" t="s">
        <v>202</v>
      </c>
      <c r="D7" s="37" t="s">
        <v>62</v>
      </c>
      <c r="E7" s="37" t="s">
        <v>53</v>
      </c>
      <c r="F7" s="37"/>
      <c r="G7" s="37" t="s">
        <v>113</v>
      </c>
      <c r="H7" s="37" t="s">
        <v>90</v>
      </c>
      <c r="I7" s="37" t="s">
        <v>114</v>
      </c>
      <c r="J7" s="37"/>
      <c r="K7" s="108"/>
      <c r="L7" s="108"/>
      <c r="M7" s="108"/>
      <c r="N7" s="34"/>
      <c r="O7" s="44" t="str">
        <f t="shared" si="0"/>
        <v>2 ضد 11 3 ضد 6 5 ضد 10 13 ضد 22 14 ضد 17 16 ضد 21</v>
      </c>
      <c r="P7" s="34"/>
      <c r="Q7" s="39">
        <v>4</v>
      </c>
      <c r="R7" s="39" cm="1">
        <f t="array" ref="R7">SUMPRODUCT(--ISNUMBER(SEARCH(" "&amp;$Q7&amp;" "," "&amp;O$4:O$48&amp;" ")))</f>
        <v>20</v>
      </c>
      <c r="S7" s="39" cm="1">
        <f t="array" ref="S7">SUMPRODUCT(--ISNUMBER(SEARCH(" "&amp;$Q7&amp;" "," "&amp;O$4:O$47&amp;" ")),--ISNUMBER(SEARCH(" "&amp;$Q7&amp;" "," "&amp;O$5:O$48&amp;" ")),--(MOD(ROW(O$4:O$47)-4,$R$27)&lt;=$R$27-2))</f>
        <v>0</v>
      </c>
      <c r="T7" s="39" cm="1">
        <f t="array" ref="T7">SUMPRODUCT(--ISNUMBER(SEARCH(" "&amp;$Q7&amp;" "," "&amp;O$4:O$46&amp;" ")),--ISNUMBER(SEARCH(" "&amp;$Q7&amp;" "," "&amp;O$6:O$48&amp;" ")),--(MOD(ROW(O$4:O$46)-4,$R$27)&lt;=$R$27-3))</f>
        <v>13</v>
      </c>
      <c r="U7" s="39" cm="1">
        <f t="array" ref="U7">SUMPRODUCT(--ISNUMBER(SEARCH(" "&amp;$Q7&amp;" "," "&amp;O$4:O$45&amp;" ")),--ISNUMBER(SEARCH(" "&amp;$Q7&amp;" "," "&amp;O$7:O$48&amp;" ")),--(MOD(ROW(O$4:O$45)-4,$R$27)&lt;=$R$27-4))</f>
        <v>2</v>
      </c>
      <c r="V7" s="39">
        <f t="shared" si="1"/>
        <v>0</v>
      </c>
      <c r="W7"/>
      <c r="X7"/>
      <c r="Y7"/>
      <c r="Z7"/>
      <c r="AA7"/>
      <c r="AB7"/>
      <c r="AC7"/>
      <c r="AD7"/>
      <c r="AE7"/>
      <c r="AF7"/>
      <c r="AG7"/>
      <c r="AH7"/>
      <c r="AI7"/>
      <c r="AJ7"/>
      <c r="AK7"/>
      <c r="AL7"/>
      <c r="AM7"/>
      <c r="AN7"/>
      <c r="AO7"/>
      <c r="AP7"/>
      <c r="AQ7"/>
      <c r="AR7"/>
      <c r="AS7"/>
      <c r="AT7"/>
      <c r="AU7"/>
      <c r="AV7"/>
      <c r="AW7"/>
      <c r="AX7"/>
      <c r="AY7"/>
      <c r="AZ7"/>
    </row>
    <row r="8" spans="1:52" ht="14.5" customHeight="1">
      <c r="A8" s="106"/>
      <c r="B8"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8" s="37" t="s">
        <v>161</v>
      </c>
      <c r="D8" s="37" t="s">
        <v>39</v>
      </c>
      <c r="E8" s="37"/>
      <c r="F8" s="37"/>
      <c r="G8" s="37" t="s">
        <v>183</v>
      </c>
      <c r="H8" s="37" t="s">
        <v>272</v>
      </c>
      <c r="I8" s="37"/>
      <c r="J8" s="37"/>
      <c r="K8" s="108"/>
      <c r="L8" s="108"/>
      <c r="M8" s="108"/>
      <c r="N8" s="34"/>
      <c r="O8" s="44" t="str">
        <f t="shared" si="0"/>
        <v>7 ضد 1 4 ضد 8 18 ضد 12 15 ضد 19</v>
      </c>
      <c r="P8" s="34"/>
      <c r="Q8" s="39">
        <v>5</v>
      </c>
      <c r="R8" s="39" cm="1">
        <f t="array" ref="R8">SUMPRODUCT(--ISNUMBER(SEARCH(" "&amp;$Q8&amp;" "," "&amp;O$4:O$48&amp;" ")))</f>
        <v>20</v>
      </c>
      <c r="S8" s="39" cm="1">
        <f t="array" ref="S8">SUMPRODUCT(--ISNUMBER(SEARCH(" "&amp;$Q8&amp;" "," "&amp;O$4:O$47&amp;" ")),--ISNUMBER(SEARCH(" "&amp;$Q8&amp;" "," "&amp;O$5:O$48&amp;" ")),--(MOD(ROW(O$4:O$47)-4,$R$27)&lt;=$R$27-2))</f>
        <v>0</v>
      </c>
      <c r="T8" s="39" cm="1">
        <f t="array" ref="T8">SUMPRODUCT(--ISNUMBER(SEARCH(" "&amp;$Q8&amp;" "," "&amp;O$4:O$46&amp;" ")),--ISNUMBER(SEARCH(" "&amp;$Q8&amp;" "," "&amp;O$6:O$48&amp;" ")),--(MOD(ROW(O$4:O$46)-4,$R$27)&lt;=$R$27-3))</f>
        <v>11</v>
      </c>
      <c r="U8" s="39" cm="1">
        <f t="array" ref="U8">SUMPRODUCT(--ISNUMBER(SEARCH(" "&amp;$Q8&amp;" "," "&amp;O$4:O$45&amp;" ")),--ISNUMBER(SEARCH(" "&amp;$Q8&amp;" "," "&amp;O$7:O$48&amp;" ")),--(MOD(ROW(O$4:O$45)-4,$R$27)&lt;=$R$27-4))</f>
        <v>4</v>
      </c>
      <c r="V8" s="39">
        <f t="shared" si="1"/>
        <v>0</v>
      </c>
      <c r="W8"/>
      <c r="X8"/>
      <c r="Y8"/>
      <c r="Z8"/>
      <c r="AA8"/>
      <c r="AB8"/>
      <c r="AC8"/>
      <c r="AD8"/>
      <c r="AE8"/>
      <c r="AF8"/>
      <c r="AG8"/>
      <c r="AH8"/>
      <c r="AI8"/>
      <c r="AJ8"/>
      <c r="AK8"/>
      <c r="AL8"/>
      <c r="AM8"/>
      <c r="AN8"/>
      <c r="AO8"/>
      <c r="AP8"/>
      <c r="AQ8"/>
      <c r="AR8"/>
      <c r="AS8"/>
      <c r="AT8"/>
      <c r="AU8"/>
      <c r="AV8"/>
      <c r="AW8"/>
      <c r="AX8"/>
      <c r="AY8"/>
      <c r="AZ8"/>
    </row>
    <row r="9" spans="1:52" ht="14.5" customHeight="1">
      <c r="A9" s="106"/>
      <c r="B9"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9" s="37" t="s">
        <v>177</v>
      </c>
      <c r="D9" s="37" t="s">
        <v>205</v>
      </c>
      <c r="E9" s="37" t="s">
        <v>55</v>
      </c>
      <c r="F9" s="37"/>
      <c r="G9" s="37" t="s">
        <v>191</v>
      </c>
      <c r="H9" s="37" t="s">
        <v>154</v>
      </c>
      <c r="I9" s="37" t="s">
        <v>91</v>
      </c>
      <c r="J9" s="37"/>
      <c r="K9" s="108"/>
      <c r="L9" s="108"/>
      <c r="M9" s="108"/>
      <c r="N9" s="34"/>
      <c r="O9" s="44" t="str">
        <f t="shared" si="0"/>
        <v>11 ضد 3 2 ضد 9 5 ضد 6 22 ضد 14 13 ضد 20 16 ضد 17</v>
      </c>
      <c r="P9" s="34"/>
      <c r="Q9" s="39">
        <v>6</v>
      </c>
      <c r="R9" s="39" cm="1">
        <f t="array" ref="R9">SUMPRODUCT(--ISNUMBER(SEARCH(" "&amp;$Q9&amp;" "," "&amp;O$4:O$48&amp;" ")))</f>
        <v>20</v>
      </c>
      <c r="S9" s="39" cm="1">
        <f t="array" ref="S9">SUMPRODUCT(--ISNUMBER(SEARCH(" "&amp;$Q9&amp;" "," "&amp;O$4:O$47&amp;" ")),--ISNUMBER(SEARCH(" "&amp;$Q9&amp;" "," "&amp;O$5:O$48&amp;" ")),--(MOD(ROW(O$4:O$47)-4,$R$27)&lt;=$R$27-2))</f>
        <v>0</v>
      </c>
      <c r="T9" s="39" cm="1">
        <f t="array" ref="T9">SUMPRODUCT(--ISNUMBER(SEARCH(" "&amp;$Q9&amp;" "," "&amp;O$4:O$46&amp;" ")),--ISNUMBER(SEARCH(" "&amp;$Q9&amp;" "," "&amp;O$6:O$48&amp;" ")),--(MOD(ROW(O$4:O$46)-4,$R$27)&lt;=$R$27-3))</f>
        <v>13</v>
      </c>
      <c r="U9" s="39" cm="1">
        <f t="array" ref="U9">SUMPRODUCT(--ISNUMBER(SEARCH(" "&amp;$Q9&amp;" "," "&amp;O$4:O$45&amp;" ")),--ISNUMBER(SEARCH(" "&amp;$Q9&amp;" "," "&amp;O$7:O$48&amp;" ")),--(MOD(ROW(O$4:O$45)-4,$R$27)&lt;=$R$27-4))</f>
        <v>2</v>
      </c>
      <c r="V9" s="39">
        <f t="shared" si="1"/>
        <v>0</v>
      </c>
      <c r="W9"/>
      <c r="X9"/>
      <c r="Y9"/>
      <c r="Z9"/>
      <c r="AA9"/>
      <c r="AB9"/>
      <c r="AC9"/>
      <c r="AD9"/>
      <c r="AE9"/>
      <c r="AF9"/>
      <c r="AG9"/>
      <c r="AH9"/>
      <c r="AI9"/>
      <c r="AJ9"/>
      <c r="AK9"/>
      <c r="AL9"/>
      <c r="AM9"/>
      <c r="AN9"/>
      <c r="AO9"/>
      <c r="AP9"/>
      <c r="AQ9"/>
      <c r="AR9"/>
      <c r="AS9"/>
      <c r="AT9"/>
      <c r="AU9"/>
      <c r="AV9"/>
      <c r="AW9"/>
      <c r="AX9"/>
      <c r="AY9"/>
      <c r="AZ9"/>
    </row>
    <row r="10" spans="1:52" ht="14.5" customHeight="1">
      <c r="A10" s="106"/>
      <c r="B10"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0" s="37" t="s">
        <v>236</v>
      </c>
      <c r="D10" s="37" t="s">
        <v>27</v>
      </c>
      <c r="E10" s="37"/>
      <c r="F10" s="37"/>
      <c r="G10" s="37" t="s">
        <v>273</v>
      </c>
      <c r="H10" s="37" t="s">
        <v>274</v>
      </c>
      <c r="I10" s="37"/>
      <c r="J10" s="37"/>
      <c r="K10" s="108"/>
      <c r="L10" s="108"/>
      <c r="M10" s="108"/>
      <c r="N10" s="34"/>
      <c r="O10" s="44" t="str">
        <f t="shared" si="0"/>
        <v>4 ضد 1 8 ضد 10 15 ضد 12 19 ضد 21</v>
      </c>
      <c r="P10" s="34"/>
      <c r="Q10" s="39">
        <v>7</v>
      </c>
      <c r="R10" s="39" cm="1">
        <f t="array" ref="R10">SUMPRODUCT(--ISNUMBER(SEARCH(" "&amp;$Q10&amp;" "," "&amp;O$4:O$48&amp;" ")))</f>
        <v>20</v>
      </c>
      <c r="S10" s="39" cm="1">
        <f t="array" ref="S10">SUMPRODUCT(--ISNUMBER(SEARCH(" "&amp;$Q10&amp;" "," "&amp;O$4:O$47&amp;" ")),--ISNUMBER(SEARCH(" "&amp;$Q10&amp;" "," "&amp;O$5:O$48&amp;" ")),--(MOD(ROW(O$4:O$47)-4,$R$27)&lt;=$R$27-2))</f>
        <v>0</v>
      </c>
      <c r="T10" s="39" cm="1">
        <f t="array" ref="T10">SUMPRODUCT(--ISNUMBER(SEARCH(" "&amp;$Q10&amp;" "," "&amp;O$4:O$46&amp;" ")),--ISNUMBER(SEARCH(" "&amp;$Q10&amp;" "," "&amp;O$6:O$48&amp;" ")),--(MOD(ROW(O$4:O$46)-4,$R$27)&lt;=$R$27-3))</f>
        <v>12</v>
      </c>
      <c r="U10" s="39" cm="1">
        <f t="array" ref="U10">SUMPRODUCT(--ISNUMBER(SEARCH(" "&amp;$Q10&amp;" "," "&amp;O$4:O$45&amp;" ")),--ISNUMBER(SEARCH(" "&amp;$Q10&amp;" "," "&amp;O$7:O$48&amp;" ")),--(MOD(ROW(O$4:O$45)-4,$R$27)&lt;=$R$27-4))</f>
        <v>3</v>
      </c>
      <c r="V10" s="39">
        <f t="shared" si="1"/>
        <v>0</v>
      </c>
      <c r="W10"/>
      <c r="X10"/>
      <c r="Y10"/>
      <c r="Z10"/>
      <c r="AA10"/>
      <c r="AB10"/>
      <c r="AC10"/>
      <c r="AD10"/>
      <c r="AE10"/>
      <c r="AF10"/>
      <c r="AG10"/>
      <c r="AH10"/>
      <c r="AI10"/>
      <c r="AJ10"/>
      <c r="AK10"/>
      <c r="AL10"/>
      <c r="AM10"/>
      <c r="AN10"/>
      <c r="AO10"/>
      <c r="AP10"/>
      <c r="AQ10"/>
      <c r="AR10"/>
      <c r="AS10"/>
      <c r="AT10"/>
      <c r="AU10"/>
      <c r="AV10"/>
      <c r="AW10"/>
      <c r="AX10"/>
      <c r="AY10"/>
      <c r="AZ10"/>
    </row>
    <row r="11" spans="1:52" ht="14.5" customHeight="1">
      <c r="A11" s="106"/>
      <c r="B11"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11" s="37" t="s">
        <v>37</v>
      </c>
      <c r="D11" s="37" t="s">
        <v>23</v>
      </c>
      <c r="E11" s="37" t="s">
        <v>65</v>
      </c>
      <c r="F11" s="37"/>
      <c r="G11" s="37" t="s">
        <v>80</v>
      </c>
      <c r="H11" s="37" t="s">
        <v>116</v>
      </c>
      <c r="I11" s="37" t="s">
        <v>275</v>
      </c>
      <c r="J11" s="37"/>
      <c r="K11" s="108"/>
      <c r="L11" s="108"/>
      <c r="M11" s="108"/>
      <c r="N11" s="34"/>
      <c r="O11" s="44" t="str">
        <f t="shared" si="0"/>
        <v>2 ضد 3 6 ضد 9 7 ضد 11 13 ضد 14 17 ضد 20 18 ضد 22</v>
      </c>
      <c r="P11" s="34"/>
      <c r="Q11" s="39">
        <v>8</v>
      </c>
      <c r="R11" s="39" cm="1">
        <f t="array" ref="R11">SUMPRODUCT(--ISNUMBER(SEARCH(" "&amp;$Q11&amp;" "," "&amp;O$4:O$48&amp;" ")))</f>
        <v>20</v>
      </c>
      <c r="S11" s="39" cm="1">
        <f t="array" ref="S11">SUMPRODUCT(--ISNUMBER(SEARCH(" "&amp;$Q11&amp;" "," "&amp;O$4:O$47&amp;" ")),--ISNUMBER(SEARCH(" "&amp;$Q11&amp;" "," "&amp;O$5:O$48&amp;" ")),--(MOD(ROW(O$4:O$47)-4,$R$27)&lt;=$R$27-2))</f>
        <v>0</v>
      </c>
      <c r="T11" s="39" cm="1">
        <f t="array" ref="T11">SUMPRODUCT(--ISNUMBER(SEARCH(" "&amp;$Q11&amp;" "," "&amp;O$4:O$46&amp;" ")),--ISNUMBER(SEARCH(" "&amp;$Q11&amp;" "," "&amp;O$6:O$48&amp;" ")),--(MOD(ROW(O$4:O$46)-4,$R$27)&lt;=$R$27-3))</f>
        <v>13</v>
      </c>
      <c r="U11" s="39" cm="1">
        <f t="array" ref="U11">SUMPRODUCT(--ISNUMBER(SEARCH(" "&amp;$Q11&amp;" "," "&amp;O$4:O$45&amp;" ")),--ISNUMBER(SEARCH(" "&amp;$Q11&amp;" "," "&amp;O$7:O$48&amp;" ")),--(MOD(ROW(O$4:O$45)-4,$R$27)&lt;=$R$27-4))</f>
        <v>2</v>
      </c>
      <c r="V11" s="39">
        <f t="shared" si="1"/>
        <v>0</v>
      </c>
      <c r="W11"/>
      <c r="X11"/>
      <c r="Y11"/>
      <c r="Z11"/>
      <c r="AA11"/>
      <c r="AB11"/>
      <c r="AC11"/>
      <c r="AD11"/>
      <c r="AE11"/>
      <c r="AF11"/>
      <c r="AG11"/>
      <c r="AH11"/>
      <c r="AI11"/>
      <c r="AJ11"/>
      <c r="AK11"/>
      <c r="AL11"/>
      <c r="AM11"/>
      <c r="AN11"/>
      <c r="AO11"/>
      <c r="AP11"/>
      <c r="AQ11"/>
      <c r="AR11"/>
      <c r="AS11"/>
      <c r="AT11"/>
      <c r="AU11"/>
      <c r="AV11"/>
      <c r="AW11"/>
      <c r="AX11"/>
      <c r="AY11"/>
      <c r="AZ11"/>
    </row>
    <row r="12" spans="1:52" ht="14.5" customHeight="1">
      <c r="A12" s="106"/>
      <c r="B12"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12" s="37" t="s">
        <v>40</v>
      </c>
      <c r="D12" s="37" t="s">
        <v>24</v>
      </c>
      <c r="E12" s="37"/>
      <c r="F12" s="37"/>
      <c r="G12" s="37" t="s">
        <v>99</v>
      </c>
      <c r="H12" s="37" t="s">
        <v>276</v>
      </c>
      <c r="I12" s="37"/>
      <c r="J12" s="37"/>
      <c r="K12" s="108"/>
      <c r="L12" s="108"/>
      <c r="M12" s="108"/>
      <c r="N12" s="34"/>
      <c r="O12" s="44" t="str">
        <f t="shared" si="0"/>
        <v>1 ضد 5 4 ضد 10 12 ضد 16 15 ضد 21</v>
      </c>
      <c r="P12" s="34"/>
      <c r="Q12" s="39">
        <v>9</v>
      </c>
      <c r="R12" s="39" cm="1">
        <f t="array" ref="R12">SUMPRODUCT(--ISNUMBER(SEARCH(" "&amp;$Q12&amp;" "," "&amp;O$4:O$48&amp;" ")))</f>
        <v>20</v>
      </c>
      <c r="S12" s="39" cm="1">
        <f t="array" ref="S12">SUMPRODUCT(--ISNUMBER(SEARCH(" "&amp;$Q12&amp;" "," "&amp;O$4:O$47&amp;" ")),--ISNUMBER(SEARCH(" "&amp;$Q12&amp;" "," "&amp;O$5:O$48&amp;" ")),--(MOD(ROW(O$4:O$47)-4,$R$27)&lt;=$R$27-2))</f>
        <v>0</v>
      </c>
      <c r="T12" s="39" cm="1">
        <f t="array" ref="T12">SUMPRODUCT(--ISNUMBER(SEARCH(" "&amp;$Q12&amp;" "," "&amp;O$4:O$46&amp;" ")),--ISNUMBER(SEARCH(" "&amp;$Q12&amp;" "," "&amp;O$6:O$48&amp;" ")),--(MOD(ROW(O$4:O$46)-4,$R$27)&lt;=$R$27-3))</f>
        <v>13</v>
      </c>
      <c r="U12" s="39" cm="1">
        <f t="array" ref="U12">SUMPRODUCT(--ISNUMBER(SEARCH(" "&amp;$Q12&amp;" "," "&amp;O$4:O$45&amp;" ")),--ISNUMBER(SEARCH(" "&amp;$Q12&amp;" "," "&amp;O$7:O$48&amp;" ")),--(MOD(ROW(O$4:O$45)-4,$R$27)&lt;=$R$27-4))</f>
        <v>2</v>
      </c>
      <c r="V12" s="39">
        <f t="shared" si="1"/>
        <v>0</v>
      </c>
      <c r="W12"/>
      <c r="X12"/>
      <c r="Y12"/>
      <c r="Z12"/>
      <c r="AA12"/>
      <c r="AB12"/>
      <c r="AC12"/>
      <c r="AD12"/>
      <c r="AE12"/>
      <c r="AF12"/>
      <c r="AG12"/>
      <c r="AH12"/>
      <c r="AI12"/>
      <c r="AJ12"/>
      <c r="AK12"/>
      <c r="AL12"/>
      <c r="AM12"/>
      <c r="AN12"/>
      <c r="AO12"/>
      <c r="AP12"/>
      <c r="AQ12"/>
      <c r="AR12"/>
      <c r="AS12"/>
      <c r="AT12"/>
      <c r="AU12"/>
      <c r="AV12"/>
      <c r="AW12"/>
      <c r="AX12"/>
      <c r="AY12"/>
      <c r="AZ12"/>
    </row>
    <row r="13" spans="1:52" ht="14.5" customHeight="1">
      <c r="A13" s="106" t="s">
        <v>6</v>
      </c>
      <c r="B13"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13" s="37" t="s">
        <v>50</v>
      </c>
      <c r="D13" s="37" t="s">
        <v>41</v>
      </c>
      <c r="E13" s="37"/>
      <c r="F13" s="37"/>
      <c r="G13" s="37" t="s">
        <v>96</v>
      </c>
      <c r="H13" s="37" t="s">
        <v>277</v>
      </c>
      <c r="I13" s="37"/>
      <c r="J13" s="37"/>
      <c r="K13" s="107">
        <f>COUNTIF(C13:J21,"* ضد *")</f>
        <v>44</v>
      </c>
      <c r="L13" s="108">
        <f>COUNTIF(C13:F21,"* ضد *")*2/11</f>
        <v>4</v>
      </c>
      <c r="M13" s="108">
        <f>COUNTIF(G13:J21,"* ضد *")*2/11</f>
        <v>4</v>
      </c>
      <c r="N13" s="34"/>
      <c r="O13" s="44" t="str">
        <f t="shared" si="0"/>
        <v>3 ضد 4 6 ضد 10 14 ضد 15 17 ضد 21</v>
      </c>
      <c r="P13" s="34"/>
      <c r="Q13" s="39">
        <v>10</v>
      </c>
      <c r="R13" s="39" cm="1">
        <f t="array" ref="R13">SUMPRODUCT(--ISNUMBER(SEARCH(" "&amp;$Q13&amp;" "," "&amp;O$4:O$48&amp;" ")))</f>
        <v>20</v>
      </c>
      <c r="S13" s="39" cm="1">
        <f t="array" ref="S13">SUMPRODUCT(--ISNUMBER(SEARCH(" "&amp;$Q13&amp;" "," "&amp;O$4:O$47&amp;" ")),--ISNUMBER(SEARCH(" "&amp;$Q13&amp;" "," "&amp;O$5:O$48&amp;" ")),--(MOD(ROW(O$4:O$47)-4,$R$27)&lt;=$R$27-2))</f>
        <v>0</v>
      </c>
      <c r="T13" s="39" cm="1">
        <f t="array" ref="T13">SUMPRODUCT(--ISNUMBER(SEARCH(" "&amp;$Q13&amp;" "," "&amp;O$4:O$46&amp;" ")),--ISNUMBER(SEARCH(" "&amp;$Q13&amp;" "," "&amp;O$6:O$48&amp;" ")),--(MOD(ROW(O$4:O$46)-4,$R$27)&lt;=$R$27-3))</f>
        <v>12</v>
      </c>
      <c r="U13" s="39" cm="1">
        <f t="array" ref="U13">SUMPRODUCT(--ISNUMBER(SEARCH(" "&amp;$Q13&amp;" "," "&amp;O$4:O$45&amp;" ")),--ISNUMBER(SEARCH(" "&amp;$Q13&amp;" "," "&amp;O$7:O$48&amp;" ")),--(MOD(ROW(O$4:O$45)-4,$R$27)&lt;=$R$27-4))</f>
        <v>3</v>
      </c>
      <c r="V13" s="39">
        <f t="shared" si="1"/>
        <v>0</v>
      </c>
      <c r="W13"/>
      <c r="X13"/>
      <c r="Y13"/>
      <c r="Z13"/>
      <c r="AA13"/>
      <c r="AB13"/>
      <c r="AC13"/>
      <c r="AD13"/>
      <c r="AE13"/>
      <c r="AF13"/>
      <c r="AG13"/>
      <c r="AH13"/>
      <c r="AI13"/>
      <c r="AJ13"/>
      <c r="AK13"/>
      <c r="AL13"/>
      <c r="AM13"/>
      <c r="AN13"/>
      <c r="AO13"/>
      <c r="AP13"/>
      <c r="AQ13"/>
      <c r="AR13"/>
      <c r="AS13"/>
      <c r="AT13"/>
      <c r="AU13"/>
      <c r="AV13"/>
      <c r="AW13"/>
      <c r="AX13"/>
      <c r="AY13"/>
      <c r="AZ13"/>
    </row>
    <row r="14" spans="1:52" ht="14.5" customHeight="1">
      <c r="A14" s="106"/>
      <c r="B14"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14" s="37" t="s">
        <v>237</v>
      </c>
      <c r="D14" s="37" t="s">
        <v>61</v>
      </c>
      <c r="E14" s="37" t="s">
        <v>58</v>
      </c>
      <c r="F14" s="37"/>
      <c r="G14" s="37" t="s">
        <v>278</v>
      </c>
      <c r="H14" s="37" t="s">
        <v>109</v>
      </c>
      <c r="I14" s="37" t="s">
        <v>279</v>
      </c>
      <c r="J14" s="37"/>
      <c r="K14" s="108"/>
      <c r="L14" s="108"/>
      <c r="M14" s="108"/>
      <c r="N14" s="34"/>
      <c r="O14" s="44" t="str">
        <f t="shared" si="0"/>
        <v>11 ضد 8 2 ضد 7 5 ضد 9 22 ضد 19 13 ضد 18 16 ضد 20</v>
      </c>
      <c r="P14" s="34"/>
      <c r="Q14" s="39">
        <v>11</v>
      </c>
      <c r="R14" s="39" cm="1">
        <f t="array" ref="R14">SUMPRODUCT(--ISNUMBER(SEARCH(" "&amp;$Q14&amp;" "," "&amp;O$4:O$48&amp;" ")))</f>
        <v>20</v>
      </c>
      <c r="S14" s="39" cm="1">
        <f t="array" ref="S14">SUMPRODUCT(--ISNUMBER(SEARCH(" "&amp;$Q14&amp;" "," "&amp;O$4:O$47&amp;" ")),--ISNUMBER(SEARCH(" "&amp;$Q14&amp;" "," "&amp;O$5:O$48&amp;" ")),--(MOD(ROW(O$4:O$47)-4,$R$27)&lt;=$R$27-2))</f>
        <v>0</v>
      </c>
      <c r="T14" s="39" cm="1">
        <f t="array" ref="T14">SUMPRODUCT(--ISNUMBER(SEARCH(" "&amp;$Q14&amp;" "," "&amp;O$4:O$46&amp;" ")),--ISNUMBER(SEARCH(" "&amp;$Q14&amp;" "," "&amp;O$6:O$48&amp;" ")),--(MOD(ROW(O$4:O$46)-4,$R$27)&lt;=$R$27-3))</f>
        <v>11</v>
      </c>
      <c r="U14" s="39" cm="1">
        <f t="array" ref="U14">SUMPRODUCT(--ISNUMBER(SEARCH(" "&amp;$Q14&amp;" "," "&amp;O$4:O$45&amp;" ")),--ISNUMBER(SEARCH(" "&amp;$Q14&amp;" "," "&amp;O$7:O$48&amp;" ")),--(MOD(ROW(O$4:O$45)-4,$R$27)&lt;=$R$27-4))</f>
        <v>4</v>
      </c>
      <c r="V14" s="39">
        <f t="shared" si="1"/>
        <v>0</v>
      </c>
      <c r="W14"/>
      <c r="X14"/>
      <c r="Y14"/>
      <c r="Z14"/>
      <c r="AA14"/>
      <c r="AB14"/>
      <c r="AC14"/>
      <c r="AD14"/>
      <c r="AE14"/>
      <c r="AF14"/>
      <c r="AG14"/>
      <c r="AH14"/>
      <c r="AI14"/>
      <c r="AJ14"/>
      <c r="AK14"/>
      <c r="AL14"/>
      <c r="AM14"/>
      <c r="AN14"/>
      <c r="AO14"/>
      <c r="AP14"/>
      <c r="AQ14"/>
      <c r="AR14"/>
      <c r="AS14"/>
      <c r="AT14"/>
      <c r="AU14"/>
      <c r="AV14"/>
      <c r="AW14"/>
      <c r="AX14"/>
      <c r="AY14"/>
      <c r="AZ14"/>
    </row>
    <row r="15" spans="1:52" ht="14.5" customHeight="1">
      <c r="A15" s="106"/>
      <c r="B15"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15" s="37" t="s">
        <v>28</v>
      </c>
      <c r="D15" s="37" t="s">
        <v>206</v>
      </c>
      <c r="E15" s="37"/>
      <c r="F15" s="37"/>
      <c r="G15" s="37" t="s">
        <v>94</v>
      </c>
      <c r="H15" s="37" t="s">
        <v>124</v>
      </c>
      <c r="I15" s="37"/>
      <c r="J15" s="37"/>
      <c r="K15" s="108"/>
      <c r="L15" s="108"/>
      <c r="M15" s="108"/>
      <c r="N15" s="34"/>
      <c r="O15" s="44" t="str">
        <f t="shared" si="0"/>
        <v>4 ضد 6 1 ضد 10 15 ضد 17 12 ضد 21</v>
      </c>
      <c r="P15" s="34"/>
      <c r="Q15" s="39">
        <v>12</v>
      </c>
      <c r="R15" s="39" cm="1">
        <f t="array" ref="R15">SUMPRODUCT(--ISNUMBER(SEARCH(" "&amp;$Q15&amp;" "," "&amp;O$4:O$48&amp;" ")))</f>
        <v>20</v>
      </c>
      <c r="S15" s="39" cm="1">
        <f t="array" ref="S15">SUMPRODUCT(--ISNUMBER(SEARCH(" "&amp;$Q15&amp;" "," "&amp;O$4:O$47&amp;" ")),--ISNUMBER(SEARCH(" "&amp;$Q15&amp;" "," "&amp;O$5:O$48&amp;" ")),--(MOD(ROW(O$4:O$47)-4,$R$27)&lt;=$R$27-2))</f>
        <v>0</v>
      </c>
      <c r="T15" s="39" cm="1">
        <f t="array" ref="T15">SUMPRODUCT(--ISNUMBER(SEARCH(" "&amp;$Q15&amp;" "," "&amp;O$4:O$46&amp;" ")),--ISNUMBER(SEARCH(" "&amp;$Q15&amp;" "," "&amp;O$6:O$48&amp;" ")),--(MOD(ROW(O$4:O$46)-4,$R$27)&lt;=$R$27-3))</f>
        <v>13</v>
      </c>
      <c r="U15" s="39" cm="1">
        <f t="array" ref="U15">SUMPRODUCT(--ISNUMBER(SEARCH(" "&amp;$Q15&amp;" "," "&amp;O$4:O$45&amp;" ")),--ISNUMBER(SEARCH(" "&amp;$Q15&amp;" "," "&amp;O$7:O$48&amp;" ")),--(MOD(ROW(O$4:O$45)-4,$R$27)&lt;=$R$27-4))</f>
        <v>2</v>
      </c>
      <c r="V15" s="39">
        <f t="shared" si="1"/>
        <v>0</v>
      </c>
      <c r="W15"/>
      <c r="X15"/>
      <c r="Y15"/>
      <c r="Z15"/>
      <c r="AA15"/>
      <c r="AB15"/>
      <c r="AC15"/>
      <c r="AD15"/>
      <c r="AE15"/>
      <c r="AF15"/>
      <c r="AG15"/>
      <c r="AH15"/>
      <c r="AI15"/>
      <c r="AJ15"/>
      <c r="AK15"/>
      <c r="AL15"/>
      <c r="AM15"/>
      <c r="AN15"/>
      <c r="AO15"/>
      <c r="AP15"/>
      <c r="AQ15"/>
      <c r="AR15"/>
      <c r="AS15"/>
      <c r="AT15"/>
      <c r="AU15"/>
      <c r="AV15"/>
      <c r="AW15"/>
      <c r="AX15"/>
      <c r="AY15"/>
      <c r="AZ15"/>
    </row>
    <row r="16" spans="1:52" ht="14.5" customHeight="1">
      <c r="A16" s="106"/>
      <c r="B16"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16" s="37" t="s">
        <v>22</v>
      </c>
      <c r="D16" s="37" t="s">
        <v>25</v>
      </c>
      <c r="E16" s="37" t="s">
        <v>26</v>
      </c>
      <c r="F16" s="37"/>
      <c r="G16" s="37" t="s">
        <v>280</v>
      </c>
      <c r="H16" s="37" t="s">
        <v>281</v>
      </c>
      <c r="I16" s="37" t="s">
        <v>282</v>
      </c>
      <c r="J16" s="37"/>
      <c r="K16" s="108"/>
      <c r="L16" s="108"/>
      <c r="M16" s="108"/>
      <c r="N16" s="34"/>
      <c r="O16" s="44" t="str">
        <f t="shared" si="0"/>
        <v>2 ضد 8 5 ضد 7 3 ضد 9 13 ضد 19 16 ضد 18 14 ضد 20</v>
      </c>
      <c r="P16" s="34"/>
      <c r="Q16" s="39">
        <v>13</v>
      </c>
      <c r="R16" s="39" cm="1">
        <f t="array" ref="R16">SUMPRODUCT(--ISNUMBER(SEARCH(" "&amp;$Q16&amp;" "," "&amp;O$4:O$48&amp;" ")))</f>
        <v>20</v>
      </c>
      <c r="S16" s="39" cm="1">
        <f t="array" ref="S16">SUMPRODUCT(--ISNUMBER(SEARCH(" "&amp;$Q16&amp;" "," "&amp;O$4:O$47&amp;" ")),--ISNUMBER(SEARCH(" "&amp;$Q16&amp;" "," "&amp;O$5:O$48&amp;" ")),--(MOD(ROW(O$4:O$47)-4,$R$27)&lt;=$R$27-2))</f>
        <v>0</v>
      </c>
      <c r="T16" s="39" cm="1">
        <f t="array" ref="T16">SUMPRODUCT(--ISNUMBER(SEARCH(" "&amp;$Q16&amp;" "," "&amp;O$4:O$46&amp;" ")),--ISNUMBER(SEARCH(" "&amp;$Q16&amp;" "," "&amp;O$6:O$48&amp;" ")),--(MOD(ROW(O$4:O$46)-4,$R$27)&lt;=$R$27-3))</f>
        <v>12</v>
      </c>
      <c r="U16" s="39" cm="1">
        <f t="array" ref="U16">SUMPRODUCT(--ISNUMBER(SEARCH(" "&amp;$Q16&amp;" "," "&amp;O$4:O$45&amp;" ")),--ISNUMBER(SEARCH(" "&amp;$Q16&amp;" "," "&amp;O$7:O$48&amp;" ")),--(MOD(ROW(O$4:O$45)-4,$R$27)&lt;=$R$27-4))</f>
        <v>3</v>
      </c>
      <c r="V16" s="39">
        <f t="shared" si="1"/>
        <v>0</v>
      </c>
      <c r="W16"/>
      <c r="X16"/>
      <c r="Y16"/>
      <c r="Z16"/>
      <c r="AA16"/>
      <c r="AB16"/>
      <c r="AC16"/>
      <c r="AD16"/>
      <c r="AE16"/>
      <c r="AF16"/>
      <c r="AG16"/>
      <c r="AH16"/>
      <c r="AI16"/>
      <c r="AJ16"/>
      <c r="AK16"/>
      <c r="AL16"/>
      <c r="AM16"/>
      <c r="AN16"/>
      <c r="AO16"/>
      <c r="AP16"/>
      <c r="AQ16"/>
      <c r="AR16"/>
      <c r="AS16"/>
      <c r="AT16"/>
      <c r="AU16"/>
      <c r="AV16"/>
      <c r="AW16"/>
      <c r="AX16"/>
      <c r="AY16"/>
      <c r="AZ16"/>
    </row>
    <row r="17" spans="1:52" ht="14.5" customHeight="1">
      <c r="A17" s="106"/>
      <c r="B17"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17" s="37" t="s">
        <v>210</v>
      </c>
      <c r="D17" s="37" t="s">
        <v>38</v>
      </c>
      <c r="E17" s="37"/>
      <c r="F17" s="37"/>
      <c r="G17" s="37" t="s">
        <v>115</v>
      </c>
      <c r="H17" s="37" t="s">
        <v>95</v>
      </c>
      <c r="I17" s="37"/>
      <c r="J17" s="37"/>
      <c r="K17" s="108"/>
      <c r="L17" s="108"/>
      <c r="M17" s="108"/>
      <c r="N17" s="34"/>
      <c r="O17" s="44" t="str">
        <f t="shared" si="0"/>
        <v>4 ضد 11 1 ضد 6 15 ضد 22 12 ضد 17</v>
      </c>
      <c r="P17" s="34"/>
      <c r="Q17" s="39">
        <v>14</v>
      </c>
      <c r="R17" s="39" cm="1">
        <f t="array" ref="R17">SUMPRODUCT(--ISNUMBER(SEARCH(" "&amp;$Q17&amp;" "," "&amp;O$4:O$48&amp;" ")))</f>
        <v>20</v>
      </c>
      <c r="S17" s="39" cm="1">
        <f t="array" ref="S17">SUMPRODUCT(--ISNUMBER(SEARCH(" "&amp;$Q17&amp;" "," "&amp;O$4:O$47&amp;" ")),--ISNUMBER(SEARCH(" "&amp;$Q17&amp;" "," "&amp;O$5:O$48&amp;" ")),--(MOD(ROW(O$4:O$47)-4,$R$27)&lt;=$R$27-2))</f>
        <v>0</v>
      </c>
      <c r="T17" s="39" cm="1">
        <f t="array" ref="T17">SUMPRODUCT(--ISNUMBER(SEARCH(" "&amp;$Q17&amp;" "," "&amp;O$4:O$46&amp;" ")),--ISNUMBER(SEARCH(" "&amp;$Q17&amp;" "," "&amp;O$6:O$48&amp;" ")),--(MOD(ROW(O$4:O$46)-4,$R$27)&lt;=$R$27-3))</f>
        <v>12</v>
      </c>
      <c r="U17" s="39" cm="1">
        <f t="array" ref="U17">SUMPRODUCT(--ISNUMBER(SEARCH(" "&amp;$Q17&amp;" "," "&amp;O$4:O$45&amp;" ")),--ISNUMBER(SEARCH(" "&amp;$Q17&amp;" "," "&amp;O$7:O$48&amp;" ")),--(MOD(ROW(O$4:O$45)-4,$R$27)&lt;=$R$27-4))</f>
        <v>3</v>
      </c>
      <c r="V17" s="39">
        <f t="shared" si="1"/>
        <v>0</v>
      </c>
      <c r="W17"/>
      <c r="X17"/>
      <c r="Y17"/>
      <c r="Z17"/>
      <c r="AA17"/>
      <c r="AB17"/>
      <c r="AC17"/>
      <c r="AD17"/>
      <c r="AE17"/>
      <c r="AF17"/>
      <c r="AG17"/>
      <c r="AH17"/>
      <c r="AI17"/>
      <c r="AJ17"/>
      <c r="AK17"/>
      <c r="AL17"/>
      <c r="AM17"/>
      <c r="AN17"/>
      <c r="AO17"/>
      <c r="AP17"/>
      <c r="AQ17"/>
      <c r="AR17"/>
      <c r="AS17"/>
      <c r="AT17"/>
      <c r="AU17"/>
      <c r="AV17"/>
      <c r="AW17"/>
      <c r="AX17"/>
      <c r="AY17"/>
      <c r="AZ17"/>
    </row>
    <row r="18" spans="1:52" ht="14.5" customHeight="1">
      <c r="A18" s="106"/>
      <c r="B18"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18" s="37" t="s">
        <v>32</v>
      </c>
      <c r="D18" s="37" t="s">
        <v>203</v>
      </c>
      <c r="E18" s="37" t="s">
        <v>51</v>
      </c>
      <c r="F18" s="37"/>
      <c r="G18" s="37" t="s">
        <v>108</v>
      </c>
      <c r="H18" s="37" t="s">
        <v>121</v>
      </c>
      <c r="I18" s="37" t="s">
        <v>283</v>
      </c>
      <c r="J18" s="37"/>
      <c r="K18" s="108"/>
      <c r="L18" s="108"/>
      <c r="M18" s="108"/>
      <c r="N18" s="34"/>
      <c r="O18" s="44" t="str">
        <f t="shared" si="0"/>
        <v>5 ضد 8 3 ضد 10 7 ضد 9 16 ضد 19 14 ضد 21 18 ضد 20</v>
      </c>
      <c r="P18" s="34"/>
      <c r="Q18" s="39">
        <v>15</v>
      </c>
      <c r="R18" s="39" cm="1">
        <f t="array" ref="R18">SUMPRODUCT(--ISNUMBER(SEARCH(" "&amp;$Q18&amp;" "," "&amp;O$4:O$48&amp;" ")))</f>
        <v>20</v>
      </c>
      <c r="S18" s="39" cm="1">
        <f t="array" ref="S18">SUMPRODUCT(--ISNUMBER(SEARCH(" "&amp;$Q18&amp;" "," "&amp;O$4:O$47&amp;" ")),--ISNUMBER(SEARCH(" "&amp;$Q18&amp;" "," "&amp;O$5:O$48&amp;" ")),--(MOD(ROW(O$4:O$47)-4,$R$27)&lt;=$R$27-2))</f>
        <v>0</v>
      </c>
      <c r="T18" s="39" cm="1">
        <f t="array" ref="T18">SUMPRODUCT(--ISNUMBER(SEARCH(" "&amp;$Q18&amp;" "," "&amp;O$4:O$46&amp;" ")),--ISNUMBER(SEARCH(" "&amp;$Q18&amp;" "," "&amp;O$6:O$48&amp;" ")),--(MOD(ROW(O$4:O$46)-4,$R$27)&lt;=$R$27-3))</f>
        <v>13</v>
      </c>
      <c r="U18" s="39" cm="1">
        <f t="array" ref="U18">SUMPRODUCT(--ISNUMBER(SEARCH(" "&amp;$Q18&amp;" "," "&amp;O$4:O$45&amp;" ")),--ISNUMBER(SEARCH(" "&amp;$Q18&amp;" "," "&amp;O$7:O$48&amp;" ")),--(MOD(ROW(O$4:O$45)-4,$R$27)&lt;=$R$27-4))</f>
        <v>2</v>
      </c>
      <c r="V18" s="39">
        <f t="shared" si="1"/>
        <v>0</v>
      </c>
      <c r="W18"/>
      <c r="X18"/>
      <c r="Y18"/>
      <c r="Z18"/>
      <c r="AA18"/>
      <c r="AB18"/>
      <c r="AC18"/>
      <c r="AD18"/>
      <c r="AE18"/>
      <c r="AF18"/>
      <c r="AG18"/>
      <c r="AH18"/>
      <c r="AI18"/>
      <c r="AJ18"/>
      <c r="AK18"/>
      <c r="AL18"/>
      <c r="AM18"/>
      <c r="AN18"/>
      <c r="AO18"/>
      <c r="AP18"/>
      <c r="AQ18"/>
      <c r="AR18"/>
      <c r="AS18"/>
      <c r="AT18"/>
      <c r="AU18"/>
      <c r="AV18"/>
      <c r="AW18"/>
      <c r="AX18"/>
      <c r="AY18"/>
      <c r="AZ18"/>
    </row>
    <row r="19" spans="1:52" ht="14.5" customHeight="1">
      <c r="A19" s="106"/>
      <c r="B19"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19" s="37" t="s">
        <v>30</v>
      </c>
      <c r="D19" s="37" t="s">
        <v>68</v>
      </c>
      <c r="E19" s="37"/>
      <c r="F19" s="37"/>
      <c r="G19" s="37" t="s">
        <v>73</v>
      </c>
      <c r="H19" s="37" t="s">
        <v>118</v>
      </c>
      <c r="I19" s="37"/>
      <c r="J19" s="37"/>
      <c r="K19" s="108"/>
      <c r="L19" s="108"/>
      <c r="M19" s="108"/>
      <c r="N19" s="34"/>
      <c r="O19" s="44" t="str">
        <f t="shared" si="0"/>
        <v>1 ضد 2 6 ضد 11 12 ضد 13 17 ضد 22</v>
      </c>
      <c r="P19" s="34"/>
      <c r="Q19" s="39">
        <v>16</v>
      </c>
      <c r="R19" s="39" cm="1">
        <f t="array" ref="R19">SUMPRODUCT(--ISNUMBER(SEARCH(" "&amp;$Q19&amp;" "," "&amp;O$4:O$48&amp;" ")))</f>
        <v>20</v>
      </c>
      <c r="S19" s="39" cm="1">
        <f t="array" ref="S19">SUMPRODUCT(--ISNUMBER(SEARCH(" "&amp;$Q19&amp;" "," "&amp;O$4:O$47&amp;" ")),--ISNUMBER(SEARCH(" "&amp;$Q19&amp;" "," "&amp;O$5:O$48&amp;" ")),--(MOD(ROW(O$4:O$47)-4,$R$27)&lt;=$R$27-2))</f>
        <v>0</v>
      </c>
      <c r="T19" s="39" cm="1">
        <f t="array" ref="T19">SUMPRODUCT(--ISNUMBER(SEARCH(" "&amp;$Q19&amp;" "," "&amp;O$4:O$46&amp;" ")),--ISNUMBER(SEARCH(" "&amp;$Q19&amp;" "," "&amp;O$6:O$48&amp;" ")),--(MOD(ROW(O$4:O$46)-4,$R$27)&lt;=$R$27-3))</f>
        <v>11</v>
      </c>
      <c r="U19" s="39" cm="1">
        <f t="array" ref="U19">SUMPRODUCT(--ISNUMBER(SEARCH(" "&amp;$Q19&amp;" "," "&amp;O$4:O$45&amp;" ")),--ISNUMBER(SEARCH(" "&amp;$Q19&amp;" "," "&amp;O$7:O$48&amp;" ")),--(MOD(ROW(O$4:O$45)-4,$R$27)&lt;=$R$27-4))</f>
        <v>4</v>
      </c>
      <c r="V19" s="39">
        <f t="shared" si="1"/>
        <v>0</v>
      </c>
      <c r="W19"/>
      <c r="X19"/>
      <c r="Y19"/>
      <c r="Z19"/>
      <c r="AA19"/>
      <c r="AB19"/>
      <c r="AC19"/>
      <c r="AD19"/>
      <c r="AE19"/>
      <c r="AF19"/>
      <c r="AG19"/>
      <c r="AH19"/>
      <c r="AI19"/>
      <c r="AJ19"/>
      <c r="AK19"/>
      <c r="AL19"/>
      <c r="AM19"/>
      <c r="AN19"/>
      <c r="AO19"/>
      <c r="AP19"/>
      <c r="AQ19"/>
      <c r="AR19"/>
      <c r="AS19"/>
      <c r="AT19"/>
      <c r="AU19"/>
      <c r="AV19"/>
      <c r="AW19"/>
      <c r="AX19"/>
      <c r="AY19"/>
      <c r="AZ19"/>
    </row>
    <row r="20" spans="1:52" ht="14.5" customHeight="1">
      <c r="A20" s="106"/>
      <c r="B20"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0" s="37" t="s">
        <v>43</v>
      </c>
      <c r="D20" s="37" t="s">
        <v>57</v>
      </c>
      <c r="E20" s="37" t="s">
        <v>48</v>
      </c>
      <c r="F20" s="37"/>
      <c r="G20" s="37" t="s">
        <v>102</v>
      </c>
      <c r="H20" s="37" t="s">
        <v>122</v>
      </c>
      <c r="I20" s="37" t="s">
        <v>119</v>
      </c>
      <c r="J20" s="37"/>
      <c r="K20" s="108"/>
      <c r="L20" s="108"/>
      <c r="M20" s="108"/>
      <c r="N20" s="34"/>
      <c r="O20" s="44" t="str">
        <f t="shared" si="0"/>
        <v>4 ضد 7 3 ضد 8 9 ضد 10 15 ضد 18 14 ضد 19 20 ضد 21</v>
      </c>
      <c r="P20" s="34"/>
      <c r="Q20" s="39">
        <v>17</v>
      </c>
      <c r="R20" s="39" cm="1">
        <f t="array" ref="R20">SUMPRODUCT(--ISNUMBER(SEARCH(" "&amp;$Q20&amp;" "," "&amp;O$4:O$48&amp;" ")))</f>
        <v>20</v>
      </c>
      <c r="S20" s="39" cm="1">
        <f t="array" ref="S20">SUMPRODUCT(--ISNUMBER(SEARCH(" "&amp;$Q20&amp;" "," "&amp;O$4:O$47&amp;" ")),--ISNUMBER(SEARCH(" "&amp;$Q20&amp;" "," "&amp;O$5:O$48&amp;" ")),--(MOD(ROW(O$4:O$47)-4,$R$27)&lt;=$R$27-2))</f>
        <v>0</v>
      </c>
      <c r="T20" s="39" cm="1">
        <f t="array" ref="T20">SUMPRODUCT(--ISNUMBER(SEARCH(" "&amp;$Q20&amp;" "," "&amp;O$4:O$46&amp;" ")),--ISNUMBER(SEARCH(" "&amp;$Q20&amp;" "," "&amp;O$6:O$48&amp;" ")),--(MOD(ROW(O$4:O$46)-4,$R$27)&lt;=$R$27-3))</f>
        <v>13</v>
      </c>
      <c r="U20" s="39" cm="1">
        <f t="array" ref="U20">SUMPRODUCT(--ISNUMBER(SEARCH(" "&amp;$Q20&amp;" "," "&amp;O$4:O$45&amp;" ")),--ISNUMBER(SEARCH(" "&amp;$Q20&amp;" "," "&amp;O$7:O$48&amp;" ")),--(MOD(ROW(O$4:O$45)-4,$R$27)&lt;=$R$27-4))</f>
        <v>2</v>
      </c>
      <c r="V20" s="39">
        <f t="shared" si="1"/>
        <v>0</v>
      </c>
      <c r="W20"/>
      <c r="X20"/>
      <c r="Y20"/>
      <c r="Z20"/>
      <c r="AA20"/>
      <c r="AB20"/>
      <c r="AC20"/>
      <c r="AD20"/>
      <c r="AE20"/>
      <c r="AF20"/>
      <c r="AG20"/>
      <c r="AH20"/>
      <c r="AI20"/>
      <c r="AJ20"/>
      <c r="AK20"/>
      <c r="AL20"/>
      <c r="AM20"/>
      <c r="AN20"/>
      <c r="AO20"/>
      <c r="AP20"/>
      <c r="AQ20"/>
      <c r="AR20"/>
      <c r="AS20"/>
      <c r="AT20"/>
      <c r="AU20"/>
      <c r="AV20"/>
      <c r="AW20"/>
      <c r="AX20"/>
      <c r="AY20"/>
      <c r="AZ20"/>
    </row>
    <row r="21" spans="1:52" ht="14.5" customHeight="1">
      <c r="A21" s="106"/>
      <c r="B21"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21" s="37" t="s">
        <v>204</v>
      </c>
      <c r="D21" s="37" t="s">
        <v>44</v>
      </c>
      <c r="E21" s="37"/>
      <c r="F21" s="37"/>
      <c r="G21" s="37" t="s">
        <v>284</v>
      </c>
      <c r="H21" s="37" t="s">
        <v>93</v>
      </c>
      <c r="I21" s="37"/>
      <c r="J21" s="37"/>
      <c r="K21" s="108"/>
      <c r="L21" s="108"/>
      <c r="M21" s="108"/>
      <c r="N21" s="34"/>
      <c r="O21" s="44" t="str">
        <f t="shared" si="0"/>
        <v>1 ضد 11 2 ضد 5 12 ضد 22 13 ضد 16</v>
      </c>
      <c r="P21" s="34"/>
      <c r="Q21" s="39">
        <v>18</v>
      </c>
      <c r="R21" s="39" cm="1">
        <f t="array" ref="R21">SUMPRODUCT(--ISNUMBER(SEARCH(" "&amp;$Q21&amp;" "," "&amp;O$4:O$48&amp;" ")))</f>
        <v>20</v>
      </c>
      <c r="S21" s="39" cm="1">
        <f t="array" ref="S21">SUMPRODUCT(--ISNUMBER(SEARCH(" "&amp;$Q21&amp;" "," "&amp;O$4:O$47&amp;" ")),--ISNUMBER(SEARCH(" "&amp;$Q21&amp;" "," "&amp;O$5:O$48&amp;" ")),--(MOD(ROW(O$4:O$47)-4,$R$27)&lt;=$R$27-2))</f>
        <v>0</v>
      </c>
      <c r="T21" s="39" cm="1">
        <f t="array" ref="T21">SUMPRODUCT(--ISNUMBER(SEARCH(" "&amp;$Q21&amp;" "," "&amp;O$4:O$46&amp;" ")),--ISNUMBER(SEARCH(" "&amp;$Q21&amp;" "," "&amp;O$6:O$48&amp;" ")),--(MOD(ROW(O$4:O$46)-4,$R$27)&lt;=$R$27-3))</f>
        <v>12</v>
      </c>
      <c r="U21" s="39" cm="1">
        <f t="array" ref="U21">SUMPRODUCT(--ISNUMBER(SEARCH(" "&amp;$Q21&amp;" "," "&amp;O$4:O$45&amp;" ")),--ISNUMBER(SEARCH(" "&amp;$Q21&amp;" "," "&amp;O$7:O$48&amp;" ")),--(MOD(ROW(O$4:O$45)-4,$R$27)&lt;=$R$27-4))</f>
        <v>3</v>
      </c>
      <c r="V21" s="39">
        <f t="shared" si="1"/>
        <v>0</v>
      </c>
      <c r="W21"/>
      <c r="X21"/>
      <c r="Y21"/>
      <c r="Z21"/>
      <c r="AA21"/>
      <c r="AB21"/>
      <c r="AC21"/>
      <c r="AD21"/>
      <c r="AE21"/>
      <c r="AF21"/>
      <c r="AG21"/>
      <c r="AH21"/>
      <c r="AI21"/>
      <c r="AJ21"/>
      <c r="AK21"/>
      <c r="AL21"/>
      <c r="AM21"/>
      <c r="AN21"/>
      <c r="AO21"/>
      <c r="AP21"/>
      <c r="AQ21"/>
      <c r="AR21"/>
      <c r="AS21"/>
      <c r="AT21"/>
      <c r="AU21"/>
      <c r="AV21"/>
      <c r="AW21"/>
      <c r="AX21"/>
      <c r="AY21"/>
      <c r="AZ21"/>
    </row>
    <row r="22" spans="1:52" ht="14.5" customHeight="1">
      <c r="A22" s="106" t="s">
        <v>7</v>
      </c>
      <c r="B22"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22" s="37" t="s">
        <v>70</v>
      </c>
      <c r="D22" s="37" t="s">
        <v>158</v>
      </c>
      <c r="E22" s="37" t="s">
        <v>60</v>
      </c>
      <c r="F22" s="37"/>
      <c r="G22" s="37" t="s">
        <v>92</v>
      </c>
      <c r="H22" s="37" t="s">
        <v>182</v>
      </c>
      <c r="I22" s="37" t="s">
        <v>120</v>
      </c>
      <c r="J22" s="37"/>
      <c r="K22" s="107">
        <f>COUNTIF(C22:J30,"* ضد *")</f>
        <v>44</v>
      </c>
      <c r="L22" s="108">
        <f>COUNTIF(C22:F30,"* ضد *")*2/11</f>
        <v>4</v>
      </c>
      <c r="M22" s="108">
        <f>COUNTIF(G22:J30,"* ضد *")*2/11</f>
        <v>4</v>
      </c>
      <c r="N22" s="34"/>
      <c r="O22" s="44" t="str">
        <f t="shared" si="0"/>
        <v>2 ضد 4 5 ضد 3 7 ضد 10 13 ضد 15 16 ضد 14 18 ضد 21</v>
      </c>
      <c r="P22" s="34"/>
      <c r="Q22" s="39">
        <v>19</v>
      </c>
      <c r="R22" s="39" cm="1">
        <f t="array" ref="R22">SUMPRODUCT(--ISNUMBER(SEARCH(" "&amp;$Q22&amp;" "," "&amp;O$4:O$48&amp;" ")))</f>
        <v>20</v>
      </c>
      <c r="S22" s="39" cm="1">
        <f t="array" ref="S22">SUMPRODUCT(--ISNUMBER(SEARCH(" "&amp;$Q22&amp;" "," "&amp;O$4:O$47&amp;" ")),--ISNUMBER(SEARCH(" "&amp;$Q22&amp;" "," "&amp;O$5:O$48&amp;" ")),--(MOD(ROW(O$4:O$47)-4,$R$27)&lt;=$R$27-2))</f>
        <v>0</v>
      </c>
      <c r="T22" s="39" cm="1">
        <f t="array" ref="T22">SUMPRODUCT(--ISNUMBER(SEARCH(" "&amp;$Q22&amp;" "," "&amp;O$4:O$46&amp;" ")),--ISNUMBER(SEARCH(" "&amp;$Q22&amp;" "," "&amp;O$6:O$48&amp;" ")),--(MOD(ROW(O$4:O$46)-4,$R$27)&lt;=$R$27-3))</f>
        <v>13</v>
      </c>
      <c r="U22" s="39" cm="1">
        <f t="array" ref="U22">SUMPRODUCT(--ISNUMBER(SEARCH(" "&amp;$Q22&amp;" "," "&amp;O$4:O$45&amp;" ")),--ISNUMBER(SEARCH(" "&amp;$Q22&amp;" "," "&amp;O$7:O$48&amp;" ")),--(MOD(ROW(O$4:O$45)-4,$R$27)&lt;=$R$27-4))</f>
        <v>2</v>
      </c>
      <c r="V22" s="39">
        <f t="shared" si="1"/>
        <v>0</v>
      </c>
      <c r="W22"/>
      <c r="X22"/>
      <c r="Y22"/>
      <c r="Z22"/>
      <c r="AA22"/>
      <c r="AB22"/>
      <c r="AC22"/>
      <c r="AD22"/>
      <c r="AE22"/>
      <c r="AF22"/>
      <c r="AG22"/>
      <c r="AH22"/>
      <c r="AI22"/>
      <c r="AJ22"/>
      <c r="AK22"/>
      <c r="AL22"/>
      <c r="AM22"/>
      <c r="AN22"/>
      <c r="AO22"/>
      <c r="AP22"/>
      <c r="AQ22"/>
      <c r="AR22"/>
      <c r="AS22"/>
      <c r="AT22"/>
      <c r="AU22"/>
      <c r="AV22"/>
      <c r="AW22"/>
      <c r="AX22"/>
      <c r="AY22"/>
      <c r="AZ22"/>
    </row>
    <row r="23" spans="1:52" ht="14.5" customHeight="1">
      <c r="A23" s="106"/>
      <c r="B23"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23" s="37" t="s">
        <v>168</v>
      </c>
      <c r="D23" s="37" t="s">
        <v>54</v>
      </c>
      <c r="E23" s="37"/>
      <c r="F23" s="37"/>
      <c r="G23" s="37" t="s">
        <v>285</v>
      </c>
      <c r="H23" s="37" t="s">
        <v>286</v>
      </c>
      <c r="I23" s="37"/>
      <c r="J23" s="37"/>
      <c r="K23" s="108"/>
      <c r="L23" s="108"/>
      <c r="M23" s="108"/>
      <c r="N23" s="34"/>
      <c r="O23" s="44" t="str">
        <f t="shared" si="0"/>
        <v>8 ضد 1 9 ضد 11 19 ضد 12 20 ضد 22</v>
      </c>
      <c r="P23" s="34"/>
      <c r="Q23" s="39">
        <v>20</v>
      </c>
      <c r="R23" s="39" cm="1">
        <f t="array" ref="R23">SUMPRODUCT(--ISNUMBER(SEARCH(" "&amp;$Q23&amp;" "," "&amp;O$4:O$48&amp;" ")))</f>
        <v>20</v>
      </c>
      <c r="S23" s="39" cm="1">
        <f t="array" ref="S23">SUMPRODUCT(--ISNUMBER(SEARCH(" "&amp;$Q23&amp;" "," "&amp;O$4:O$47&amp;" ")),--ISNUMBER(SEARCH(" "&amp;$Q23&amp;" "," "&amp;O$5:O$48&amp;" ")),--(MOD(ROW(O$4:O$47)-4,$R$27)&lt;=$R$27-2))</f>
        <v>0</v>
      </c>
      <c r="T23" s="39" cm="1">
        <f t="array" ref="T23">SUMPRODUCT(--ISNUMBER(SEARCH(" "&amp;$Q23&amp;" "," "&amp;O$4:O$46&amp;" ")),--ISNUMBER(SEARCH(" "&amp;$Q23&amp;" "," "&amp;O$6:O$48&amp;" ")),--(MOD(ROW(O$4:O$46)-4,$R$27)&lt;=$R$27-3))</f>
        <v>13</v>
      </c>
      <c r="U23" s="39" cm="1">
        <f t="array" ref="U23">SUMPRODUCT(--ISNUMBER(SEARCH(" "&amp;$Q23&amp;" "," "&amp;O$4:O$45&amp;" ")),--ISNUMBER(SEARCH(" "&amp;$Q23&amp;" "," "&amp;O$7:O$48&amp;" ")),--(MOD(ROW(O$4:O$45)-4,$R$27)&lt;=$R$27-4))</f>
        <v>2</v>
      </c>
      <c r="V23" s="39">
        <f t="shared" si="1"/>
        <v>0</v>
      </c>
      <c r="W23"/>
      <c r="X23"/>
      <c r="Y23"/>
      <c r="Z23"/>
      <c r="AA23"/>
      <c r="AB23"/>
      <c r="AC23"/>
      <c r="AD23"/>
      <c r="AE23"/>
      <c r="AF23"/>
      <c r="AG23"/>
      <c r="AH23"/>
      <c r="AI23"/>
      <c r="AJ23"/>
      <c r="AK23"/>
      <c r="AL23"/>
      <c r="AM23"/>
      <c r="AN23"/>
      <c r="AO23"/>
      <c r="AP23"/>
      <c r="AQ23"/>
      <c r="AR23"/>
      <c r="AS23"/>
      <c r="AT23"/>
      <c r="AU23"/>
      <c r="AV23"/>
      <c r="AW23"/>
      <c r="AX23"/>
      <c r="AY23"/>
      <c r="AZ23"/>
    </row>
    <row r="24" spans="1:52" ht="14.5" customHeight="1">
      <c r="A24" s="106"/>
      <c r="B24"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24" s="37" t="s">
        <v>52</v>
      </c>
      <c r="D24" s="37" t="s">
        <v>56</v>
      </c>
      <c r="E24" s="37" t="s">
        <v>46</v>
      </c>
      <c r="F24" s="37"/>
      <c r="G24" s="37" t="s">
        <v>98</v>
      </c>
      <c r="H24" s="37" t="s">
        <v>287</v>
      </c>
      <c r="I24" s="37" t="s">
        <v>101</v>
      </c>
      <c r="J24" s="37"/>
      <c r="K24" s="108"/>
      <c r="L24" s="108"/>
      <c r="M24" s="108"/>
      <c r="N24" s="34"/>
      <c r="O24" s="44" t="str">
        <f t="shared" si="0"/>
        <v>2 ضد 6 3 ضد 7 4 ضد 5 13 ضد 17 14 ضد 18 15 ضد 16</v>
      </c>
      <c r="P24" s="34"/>
      <c r="Q24" s="39">
        <v>21</v>
      </c>
      <c r="R24" s="39" cm="1">
        <f t="array" ref="R24">SUMPRODUCT(--ISNUMBER(SEARCH(" "&amp;$Q24&amp;" "," "&amp;O$4:O$48&amp;" ")))</f>
        <v>20</v>
      </c>
      <c r="S24" s="39" cm="1">
        <f t="array" ref="S24">SUMPRODUCT(--ISNUMBER(SEARCH(" "&amp;$Q24&amp;" "," "&amp;O$4:O$47&amp;" ")),--ISNUMBER(SEARCH(" "&amp;$Q24&amp;" "," "&amp;O$5:O$48&amp;" ")),--(MOD(ROW(O$4:O$47)-4,$R$27)&lt;=$R$27-2))</f>
        <v>0</v>
      </c>
      <c r="T24" s="39" cm="1">
        <f t="array" ref="T24">SUMPRODUCT(--ISNUMBER(SEARCH(" "&amp;$Q24&amp;" "," "&amp;O$4:O$46&amp;" ")),--ISNUMBER(SEARCH(" "&amp;$Q24&amp;" "," "&amp;O$6:O$48&amp;" ")),--(MOD(ROW(O$4:O$46)-4,$R$27)&lt;=$R$27-3))</f>
        <v>12</v>
      </c>
      <c r="U24" s="39" cm="1">
        <f t="array" ref="U24">SUMPRODUCT(--ISNUMBER(SEARCH(" "&amp;$Q24&amp;" "," "&amp;O$4:O$45&amp;" ")),--ISNUMBER(SEARCH(" "&amp;$Q24&amp;" "," "&amp;O$7:O$48&amp;" ")),--(MOD(ROW(O$4:O$45)-4,$R$27)&lt;=$R$27-4))</f>
        <v>3</v>
      </c>
      <c r="V24" s="39">
        <f t="shared" si="1"/>
        <v>0</v>
      </c>
      <c r="W24"/>
      <c r="X24"/>
      <c r="Y24"/>
      <c r="Z24"/>
      <c r="AA24"/>
      <c r="AB24"/>
      <c r="AC24"/>
      <c r="AD24"/>
      <c r="AE24"/>
      <c r="AF24"/>
      <c r="AG24"/>
      <c r="AH24"/>
      <c r="AI24"/>
      <c r="AJ24"/>
      <c r="AK24"/>
      <c r="AL24"/>
      <c r="AM24"/>
      <c r="AN24"/>
      <c r="AO24"/>
      <c r="AP24"/>
      <c r="AQ24"/>
      <c r="AR24"/>
      <c r="AS24"/>
      <c r="AT24"/>
      <c r="AU24"/>
      <c r="AV24"/>
      <c r="AW24"/>
      <c r="AX24"/>
      <c r="AY24"/>
      <c r="AZ24"/>
    </row>
    <row r="25" spans="1:52" ht="14.5" customHeight="1">
      <c r="A25" s="106"/>
      <c r="B25"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25" s="37" t="s">
        <v>207</v>
      </c>
      <c r="D25" s="37" t="s">
        <v>31</v>
      </c>
      <c r="E25" s="37"/>
      <c r="F25" s="37"/>
      <c r="G25" s="37" t="s">
        <v>288</v>
      </c>
      <c r="H25" s="37" t="s">
        <v>126</v>
      </c>
      <c r="I25" s="37"/>
      <c r="J25" s="37"/>
      <c r="K25" s="108"/>
      <c r="L25" s="108"/>
      <c r="M25" s="108"/>
      <c r="N25" s="34"/>
      <c r="O25" s="44" t="str">
        <f t="shared" si="0"/>
        <v>1 ضد 9 10 ضد 11 12 ضد 20 21 ضد 22</v>
      </c>
      <c r="P25" s="34"/>
      <c r="Q25" s="39">
        <v>22</v>
      </c>
      <c r="R25" s="39" cm="1">
        <f t="array" ref="R25">SUMPRODUCT(--ISNUMBER(SEARCH(" "&amp;$Q25&amp;" "," "&amp;O$4:O$48&amp;" ")))</f>
        <v>20</v>
      </c>
      <c r="S25" s="39" cm="1">
        <f t="array" ref="S25">SUMPRODUCT(--ISNUMBER(SEARCH(" "&amp;$Q25&amp;" "," "&amp;O$4:O$47&amp;" ")),--ISNUMBER(SEARCH(" "&amp;$Q25&amp;" "," "&amp;O$5:O$48&amp;" ")),--(MOD(ROW(O$4:O$47)-4,$R$27)&lt;=$R$27-2))</f>
        <v>0</v>
      </c>
      <c r="T25" s="39" cm="1">
        <f t="array" ref="T25">SUMPRODUCT(--ISNUMBER(SEARCH(" "&amp;$Q25&amp;" "," "&amp;O$4:O$46&amp;" ")),--ISNUMBER(SEARCH(" "&amp;$Q25&amp;" "," "&amp;O$6:O$48&amp;" ")),--(MOD(ROW(O$4:O$46)-4,$R$27)&lt;=$R$27-3))</f>
        <v>11</v>
      </c>
      <c r="U25" s="39" cm="1">
        <f t="array" ref="U25">SUMPRODUCT(--ISNUMBER(SEARCH(" "&amp;$Q25&amp;" "," "&amp;O$4:O$45&amp;" ")),--ISNUMBER(SEARCH(" "&amp;$Q25&amp;" "," "&amp;O$7:O$48&amp;" ")),--(MOD(ROW(O$4:O$45)-4,$R$27)&lt;=$R$27-4))</f>
        <v>4</v>
      </c>
      <c r="V25" s="39">
        <f t="shared" si="1"/>
        <v>0</v>
      </c>
      <c r="W25"/>
      <c r="X25"/>
      <c r="Y25"/>
      <c r="Z25"/>
      <c r="AA25"/>
      <c r="AB25"/>
      <c r="AC25"/>
      <c r="AD25"/>
      <c r="AE25"/>
      <c r="AF25"/>
      <c r="AG25"/>
      <c r="AH25"/>
      <c r="AI25"/>
      <c r="AJ25"/>
      <c r="AK25"/>
      <c r="AL25"/>
      <c r="AM25"/>
      <c r="AN25"/>
      <c r="AO25"/>
      <c r="AP25"/>
      <c r="AQ25"/>
      <c r="AR25"/>
      <c r="AS25"/>
      <c r="AT25"/>
      <c r="AU25"/>
      <c r="AV25"/>
      <c r="AW25"/>
      <c r="AX25"/>
      <c r="AY25"/>
      <c r="AZ25"/>
    </row>
    <row r="26" spans="1:52" ht="14.5" customHeight="1">
      <c r="A26" s="106"/>
      <c r="B26"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26" s="37" t="s">
        <v>59</v>
      </c>
      <c r="D26" s="37" t="s">
        <v>61</v>
      </c>
      <c r="E26" s="37" t="s">
        <v>50</v>
      </c>
      <c r="F26" s="37"/>
      <c r="G26" s="37" t="s">
        <v>289</v>
      </c>
      <c r="H26" s="37" t="s">
        <v>109</v>
      </c>
      <c r="I26" s="37" t="s">
        <v>96</v>
      </c>
      <c r="J26" s="37"/>
      <c r="K26" s="108"/>
      <c r="L26" s="108"/>
      <c r="M26" s="108"/>
      <c r="N26" s="34"/>
      <c r="O26" s="44" t="str">
        <f t="shared" si="0"/>
        <v>6 ضد 8 2 ضد 7 3 ضد 4 17 ضد 19 13 ضد 18 14 ضد 15</v>
      </c>
      <c r="P26" s="34"/>
      <c r="Q26" s="45" t="s">
        <v>249</v>
      </c>
      <c r="R26" s="45">
        <f>SUM(R4:R25)</f>
        <v>440</v>
      </c>
      <c r="S26" s="45">
        <f>SUM(S4:S25)</f>
        <v>0</v>
      </c>
      <c r="T26" s="45">
        <f>SUM(T4:T25)</f>
        <v>270</v>
      </c>
      <c r="U26" s="45">
        <f>SUM(U4:U25)</f>
        <v>60</v>
      </c>
      <c r="V26" s="45">
        <f>SUM(V4:V25)</f>
        <v>0</v>
      </c>
      <c r="W26"/>
      <c r="X26"/>
      <c r="Y26"/>
      <c r="Z26"/>
      <c r="AA26"/>
      <c r="AB26"/>
      <c r="AC26"/>
      <c r="AD26"/>
      <c r="AE26"/>
      <c r="AF26"/>
      <c r="AG26"/>
      <c r="AH26"/>
      <c r="AI26"/>
      <c r="AJ26"/>
      <c r="AK26"/>
      <c r="AL26"/>
      <c r="AM26"/>
      <c r="AN26"/>
      <c r="AO26"/>
      <c r="AP26"/>
      <c r="AQ26"/>
      <c r="AR26"/>
      <c r="AS26"/>
      <c r="AT26"/>
      <c r="AU26"/>
      <c r="AV26"/>
      <c r="AW26"/>
      <c r="AX26"/>
      <c r="AY26"/>
      <c r="AZ26"/>
    </row>
    <row r="27" spans="1:52" ht="14.5" customHeight="1">
      <c r="A27" s="106"/>
      <c r="B27"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27" s="37" t="s">
        <v>257</v>
      </c>
      <c r="D27" s="37" t="s">
        <v>204</v>
      </c>
      <c r="E27" s="37"/>
      <c r="F27" s="37"/>
      <c r="G27" s="37" t="s">
        <v>290</v>
      </c>
      <c r="H27" s="37" t="s">
        <v>284</v>
      </c>
      <c r="I27" s="37"/>
      <c r="J27" s="37"/>
      <c r="K27" s="108"/>
      <c r="L27" s="108"/>
      <c r="M27" s="108"/>
      <c r="N27" s="34"/>
      <c r="O27" s="44" t="str">
        <f t="shared" si="0"/>
        <v>10 ضد 5 1 ضد 11 21 ضد 16 12 ضد 22</v>
      </c>
      <c r="P27" s="34"/>
      <c r="Q27" s="39" t="s">
        <v>250</v>
      </c>
      <c r="R27" s="52">
        <v>9</v>
      </c>
      <c r="S27" s="39"/>
      <c r="T27" s="39"/>
      <c r="U27" s="39"/>
      <c r="V27" s="39"/>
      <c r="W27"/>
      <c r="X27"/>
      <c r="Y27"/>
      <c r="Z27"/>
      <c r="AA27"/>
      <c r="AB27"/>
      <c r="AC27"/>
      <c r="AD27"/>
      <c r="AE27"/>
      <c r="AF27"/>
      <c r="AG27"/>
      <c r="AH27"/>
      <c r="AI27"/>
      <c r="AJ27"/>
      <c r="AK27"/>
      <c r="AL27"/>
      <c r="AM27"/>
      <c r="AN27"/>
      <c r="AO27"/>
      <c r="AP27"/>
      <c r="AQ27"/>
      <c r="AR27"/>
      <c r="AS27"/>
      <c r="AT27"/>
      <c r="AU27"/>
      <c r="AV27"/>
      <c r="AW27"/>
      <c r="AX27"/>
      <c r="AY27"/>
      <c r="AZ27"/>
    </row>
    <row r="28" spans="1:52" ht="14.5" customHeight="1">
      <c r="A28" s="106"/>
      <c r="B28"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28" s="37" t="s">
        <v>62</v>
      </c>
      <c r="D28" s="37" t="s">
        <v>39</v>
      </c>
      <c r="E28" s="37" t="s">
        <v>51</v>
      </c>
      <c r="F28" s="37"/>
      <c r="G28" s="37" t="s">
        <v>90</v>
      </c>
      <c r="H28" s="37" t="s">
        <v>272</v>
      </c>
      <c r="I28" s="37" t="s">
        <v>283</v>
      </c>
      <c r="J28" s="37"/>
      <c r="K28" s="108"/>
      <c r="L28" s="108"/>
      <c r="M28" s="108"/>
      <c r="N28" s="34"/>
      <c r="O28" s="44" t="str">
        <f t="shared" si="0"/>
        <v>3 ضد 6 4 ضد 8 7 ضد 9 14 ضد 17 15 ضد 19 18 ضد 20</v>
      </c>
      <c r="P28" s="34"/>
      <c r="Q28" s="34"/>
      <c r="R28" s="34"/>
      <c r="S28" s="34"/>
      <c r="T28" s="34"/>
      <c r="U28" s="34"/>
      <c r="V28" s="34"/>
      <c r="W28"/>
      <c r="X28"/>
      <c r="Y28"/>
      <c r="Z28"/>
      <c r="AA28"/>
      <c r="AB28"/>
      <c r="AC28"/>
      <c r="AD28"/>
      <c r="AE28"/>
      <c r="AF28"/>
      <c r="AG28"/>
      <c r="AH28"/>
      <c r="AI28"/>
      <c r="AJ28"/>
      <c r="AK28"/>
      <c r="AL28"/>
      <c r="AM28"/>
      <c r="AN28"/>
      <c r="AO28"/>
      <c r="AP28"/>
      <c r="AQ28"/>
      <c r="AR28"/>
      <c r="AS28"/>
      <c r="AT28"/>
      <c r="AU28"/>
      <c r="AV28"/>
      <c r="AW28"/>
      <c r="AX28"/>
      <c r="AY28"/>
      <c r="AZ28"/>
    </row>
    <row r="29" spans="1:52" ht="14.5" customHeight="1">
      <c r="A29" s="106"/>
      <c r="B29"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29" s="37" t="s">
        <v>228</v>
      </c>
      <c r="D29" s="37" t="s">
        <v>206</v>
      </c>
      <c r="E29" s="37"/>
      <c r="F29" s="37"/>
      <c r="G29" s="37" t="s">
        <v>291</v>
      </c>
      <c r="H29" s="37" t="s">
        <v>124</v>
      </c>
      <c r="I29" s="37"/>
      <c r="J29" s="37"/>
      <c r="K29" s="108"/>
      <c r="L29" s="108"/>
      <c r="M29" s="108"/>
      <c r="N29" s="34"/>
      <c r="O29" s="44" t="str">
        <f t="shared" si="0"/>
        <v>5 ضد 2 1 ضد 10 16 ضد 13 12 ضد 21</v>
      </c>
      <c r="P29" s="34"/>
      <c r="Q29" s="34"/>
      <c r="R29" s="34"/>
      <c r="S29" s="34"/>
      <c r="T29" s="34"/>
      <c r="U29" s="34"/>
      <c r="V29" s="34"/>
      <c r="W29"/>
      <c r="X29"/>
      <c r="Y29"/>
      <c r="Z29"/>
      <c r="AA29"/>
      <c r="AB29"/>
      <c r="AC29"/>
      <c r="AD29"/>
      <c r="AE29"/>
      <c r="AF29"/>
      <c r="AG29"/>
      <c r="AH29"/>
      <c r="AI29"/>
      <c r="AJ29"/>
      <c r="AK29"/>
      <c r="AL29"/>
      <c r="AM29"/>
      <c r="AN29"/>
      <c r="AO29"/>
      <c r="AP29"/>
      <c r="AQ29"/>
      <c r="AR29"/>
      <c r="AS29"/>
      <c r="AT29"/>
      <c r="AU29"/>
      <c r="AV29"/>
      <c r="AW29"/>
      <c r="AX29"/>
      <c r="AY29"/>
      <c r="AZ29"/>
    </row>
    <row r="30" spans="1:52" ht="14.5" customHeight="1">
      <c r="A30" s="106"/>
      <c r="B30"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0" s="37" t="s">
        <v>23</v>
      </c>
      <c r="D30" s="37" t="s">
        <v>49</v>
      </c>
      <c r="E30" s="37"/>
      <c r="F30" s="37"/>
      <c r="G30" s="37" t="s">
        <v>116</v>
      </c>
      <c r="H30" s="37" t="s">
        <v>112</v>
      </c>
      <c r="I30" s="37"/>
      <c r="J30" s="37"/>
      <c r="K30" s="108"/>
      <c r="L30" s="108"/>
      <c r="M30" s="108"/>
      <c r="N30" s="34"/>
      <c r="O30" s="44" t="str">
        <f t="shared" si="0"/>
        <v>6 ضد 9 8 ضد 11 17 ضد 20 19 ضد 22</v>
      </c>
      <c r="P30" s="34"/>
      <c r="Q30" s="34"/>
      <c r="R30" s="34"/>
      <c r="S30" s="34"/>
      <c r="T30" s="34"/>
      <c r="U30" s="34"/>
      <c r="V30" s="34"/>
      <c r="W30"/>
      <c r="X30"/>
      <c r="Y30"/>
      <c r="Z30"/>
      <c r="AA30"/>
      <c r="AB30"/>
      <c r="AC30"/>
      <c r="AD30"/>
      <c r="AE30"/>
      <c r="AF30"/>
      <c r="AG30"/>
      <c r="AH30"/>
      <c r="AI30"/>
      <c r="AJ30"/>
      <c r="AK30"/>
      <c r="AL30"/>
      <c r="AM30"/>
      <c r="AN30"/>
      <c r="AO30"/>
      <c r="AP30"/>
      <c r="AQ30"/>
      <c r="AR30"/>
      <c r="AS30"/>
      <c r="AT30"/>
      <c r="AU30"/>
      <c r="AV30"/>
      <c r="AW30"/>
      <c r="AX30"/>
      <c r="AY30"/>
      <c r="AZ30"/>
    </row>
    <row r="31" spans="1:52" ht="14.5" customHeight="1">
      <c r="A31" s="106" t="s">
        <v>8</v>
      </c>
      <c r="B31"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31" s="37" t="s">
        <v>207</v>
      </c>
      <c r="D31" s="37" t="s">
        <v>22</v>
      </c>
      <c r="E31" s="37"/>
      <c r="F31" s="37"/>
      <c r="G31" s="37" t="s">
        <v>288</v>
      </c>
      <c r="H31" s="37" t="s">
        <v>280</v>
      </c>
      <c r="I31" s="37"/>
      <c r="J31" s="37"/>
      <c r="K31" s="107">
        <f>COUNTIF(C31:J39,"* ضد *")</f>
        <v>44</v>
      </c>
      <c r="L31" s="108">
        <f>COUNTIF(C31:F39,"* ضد *")*2/11</f>
        <v>4</v>
      </c>
      <c r="M31" s="108">
        <f>COUNTIF(G31:J39,"* ضد *")*2/11</f>
        <v>4</v>
      </c>
      <c r="N31" s="34"/>
      <c r="O31" s="44" t="str">
        <f t="shared" si="0"/>
        <v>1 ضد 9 2 ضد 8 12 ضد 20 13 ضد 19</v>
      </c>
      <c r="P31" s="34"/>
      <c r="Q31" s="34"/>
      <c r="R31" s="34"/>
      <c r="S31" s="34"/>
      <c r="T31" s="34"/>
      <c r="U31" s="34"/>
      <c r="V31" s="34"/>
      <c r="W31"/>
      <c r="X31"/>
      <c r="Y31"/>
      <c r="Z31"/>
      <c r="AA31"/>
      <c r="AB31"/>
      <c r="AC31"/>
      <c r="AD31"/>
      <c r="AE31"/>
      <c r="AF31"/>
      <c r="AG31"/>
      <c r="AH31"/>
      <c r="AI31"/>
      <c r="AJ31"/>
      <c r="AK31"/>
      <c r="AL31"/>
      <c r="AM31"/>
      <c r="AN31"/>
      <c r="AO31"/>
      <c r="AP31"/>
      <c r="AQ31"/>
      <c r="AR31"/>
      <c r="AS31"/>
      <c r="AT31"/>
      <c r="AU31"/>
      <c r="AV31"/>
      <c r="AW31"/>
      <c r="AX31"/>
      <c r="AY31"/>
      <c r="AZ31"/>
    </row>
    <row r="32" spans="1:52" ht="14.5" customHeight="1">
      <c r="A32" s="106"/>
      <c r="B32"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32" s="37" t="s">
        <v>203</v>
      </c>
      <c r="D32" s="37" t="s">
        <v>43</v>
      </c>
      <c r="E32" s="37" t="s">
        <v>68</v>
      </c>
      <c r="F32" s="37"/>
      <c r="G32" s="37" t="s">
        <v>121</v>
      </c>
      <c r="H32" s="37" t="s">
        <v>102</v>
      </c>
      <c r="I32" s="37" t="s">
        <v>118</v>
      </c>
      <c r="J32" s="37"/>
      <c r="K32" s="108"/>
      <c r="L32" s="108"/>
      <c r="M32" s="108"/>
      <c r="N32" s="34"/>
      <c r="O32" s="44" t="str">
        <f t="shared" si="0"/>
        <v>3 ضد 10 4 ضد 7 6 ضد 11 14 ضد 21 15 ضد 18 17 ضد 22</v>
      </c>
      <c r="P32" s="34"/>
      <c r="Q32" s="34"/>
      <c r="R32" s="34"/>
      <c r="S32" s="34"/>
      <c r="T32" s="34"/>
      <c r="U32" s="34"/>
      <c r="V32" s="34"/>
      <c r="W32"/>
      <c r="X32"/>
      <c r="Y32"/>
      <c r="Z32"/>
      <c r="AA32"/>
      <c r="AB32"/>
      <c r="AC32"/>
      <c r="AD32"/>
      <c r="AE32"/>
      <c r="AF32"/>
      <c r="AG32"/>
      <c r="AH32"/>
      <c r="AI32"/>
      <c r="AJ32"/>
      <c r="AK32"/>
      <c r="AL32"/>
      <c r="AM32"/>
      <c r="AN32"/>
      <c r="AO32"/>
      <c r="AP32"/>
      <c r="AQ32"/>
      <c r="AR32"/>
      <c r="AS32"/>
      <c r="AT32"/>
      <c r="AU32"/>
      <c r="AV32"/>
      <c r="AW32"/>
      <c r="AX32"/>
      <c r="AY32"/>
      <c r="AZ32"/>
    </row>
    <row r="33" spans="1:52" ht="14.5" customHeight="1">
      <c r="A33" s="106"/>
      <c r="B33"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33" s="37" t="s">
        <v>205</v>
      </c>
      <c r="D33" s="37" t="s">
        <v>32</v>
      </c>
      <c r="E33" s="37"/>
      <c r="F33" s="37"/>
      <c r="G33" s="37" t="s">
        <v>154</v>
      </c>
      <c r="H33" s="37" t="s">
        <v>108</v>
      </c>
      <c r="I33" s="37"/>
      <c r="J33" s="37"/>
      <c r="K33" s="108"/>
      <c r="L33" s="108"/>
      <c r="M33" s="108"/>
      <c r="N33" s="34"/>
      <c r="O33" s="44" t="str">
        <f t="shared" si="0"/>
        <v>2 ضد 9 5 ضد 8 13 ضد 20 16 ضد 19</v>
      </c>
      <c r="P33" s="34"/>
      <c r="Q33" s="34"/>
      <c r="R33" s="34"/>
      <c r="S33" s="34"/>
      <c r="T33" s="34"/>
      <c r="U33" s="34"/>
      <c r="V33" s="34"/>
      <c r="W33"/>
      <c r="X33"/>
      <c r="Y33"/>
      <c r="Z33"/>
      <c r="AA33"/>
      <c r="AB33"/>
      <c r="AC33"/>
      <c r="AD33"/>
      <c r="AE33"/>
      <c r="AF33"/>
      <c r="AG33"/>
      <c r="AH33"/>
      <c r="AI33"/>
      <c r="AJ33"/>
      <c r="AK33"/>
      <c r="AL33"/>
      <c r="AM33"/>
      <c r="AN33"/>
      <c r="AO33"/>
      <c r="AP33"/>
      <c r="AQ33"/>
      <c r="AR33"/>
      <c r="AS33"/>
      <c r="AT33"/>
      <c r="AU33"/>
      <c r="AV33"/>
      <c r="AW33"/>
      <c r="AX33"/>
      <c r="AY33"/>
      <c r="AZ33"/>
    </row>
    <row r="34" spans="1:52" ht="14.5" customHeight="1">
      <c r="A34" s="106"/>
      <c r="B34"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34" s="37" t="s">
        <v>47</v>
      </c>
      <c r="D34" s="37" t="s">
        <v>41</v>
      </c>
      <c r="E34" s="37" t="s">
        <v>210</v>
      </c>
      <c r="F34" s="37"/>
      <c r="G34" s="37" t="s">
        <v>292</v>
      </c>
      <c r="H34" s="37" t="s">
        <v>277</v>
      </c>
      <c r="I34" s="37" t="s">
        <v>115</v>
      </c>
      <c r="J34" s="37"/>
      <c r="K34" s="108"/>
      <c r="L34" s="108"/>
      <c r="M34" s="108"/>
      <c r="N34" s="34"/>
      <c r="O34" s="44" t="str">
        <f t="shared" si="0"/>
        <v>1 ضد 7 6 ضد 10 4 ضد 11 12 ضد 18 17 ضد 21 15 ضد 22</v>
      </c>
      <c r="P34" s="34"/>
      <c r="Q34" s="34"/>
      <c r="R34" s="34"/>
      <c r="S34" s="34"/>
      <c r="T34" s="34"/>
      <c r="U34" s="34"/>
      <c r="V34" s="34"/>
      <c r="W34"/>
      <c r="X34"/>
      <c r="Y34"/>
      <c r="Z34"/>
      <c r="AA34"/>
      <c r="AB34"/>
      <c r="AC34"/>
      <c r="AD34"/>
      <c r="AE34"/>
      <c r="AF34"/>
      <c r="AG34"/>
      <c r="AH34"/>
      <c r="AI34"/>
      <c r="AJ34"/>
      <c r="AK34"/>
      <c r="AL34"/>
      <c r="AM34"/>
      <c r="AN34"/>
      <c r="AO34"/>
      <c r="AP34"/>
      <c r="AQ34"/>
      <c r="AR34"/>
      <c r="AS34"/>
      <c r="AT34"/>
      <c r="AU34"/>
      <c r="AV34"/>
      <c r="AW34"/>
      <c r="AX34"/>
      <c r="AY34"/>
      <c r="AZ34"/>
    </row>
    <row r="35" spans="1:52" ht="14.5" customHeight="1">
      <c r="A35" s="106"/>
      <c r="B35"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35" s="37" t="s">
        <v>37</v>
      </c>
      <c r="D35" s="37" t="s">
        <v>58</v>
      </c>
      <c r="E35" s="37"/>
      <c r="F35" s="37"/>
      <c r="G35" s="37" t="s">
        <v>80</v>
      </c>
      <c r="H35" s="37" t="s">
        <v>279</v>
      </c>
      <c r="I35" s="37"/>
      <c r="J35" s="37"/>
      <c r="K35" s="108"/>
      <c r="L35" s="108"/>
      <c r="M35" s="108"/>
      <c r="N35" s="34"/>
      <c r="O35" s="44" t="str">
        <f t="shared" si="0"/>
        <v>2 ضد 3 5 ضد 9 13 ضد 14 16 ضد 20</v>
      </c>
      <c r="P35" s="34"/>
      <c r="Q35" s="34"/>
      <c r="R35" s="34"/>
      <c r="S35" s="34"/>
      <c r="T35" s="34"/>
      <c r="U35" s="34"/>
      <c r="V35" s="34"/>
      <c r="W35"/>
      <c r="X35"/>
      <c r="Y35"/>
      <c r="Z35"/>
      <c r="AA35"/>
      <c r="AB35"/>
      <c r="AC35"/>
      <c r="AD35"/>
      <c r="AE35"/>
      <c r="AF35"/>
      <c r="AG35"/>
      <c r="AH35"/>
      <c r="AI35"/>
      <c r="AJ35"/>
      <c r="AK35"/>
      <c r="AL35"/>
      <c r="AM35"/>
      <c r="AN35"/>
      <c r="AO35"/>
      <c r="AP35"/>
      <c r="AQ35"/>
      <c r="AR35"/>
      <c r="AS35"/>
      <c r="AT35"/>
      <c r="AU35"/>
      <c r="AV35"/>
      <c r="AW35"/>
      <c r="AX35"/>
      <c r="AY35"/>
      <c r="AZ35"/>
    </row>
    <row r="36" spans="1:52" ht="14.5" customHeight="1">
      <c r="A36" s="106"/>
      <c r="B36"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36" s="37" t="s">
        <v>235</v>
      </c>
      <c r="D36" s="37" t="s">
        <v>28</v>
      </c>
      <c r="E36" s="37" t="s">
        <v>69</v>
      </c>
      <c r="F36" s="37"/>
      <c r="G36" s="37" t="s">
        <v>293</v>
      </c>
      <c r="H36" s="37" t="s">
        <v>94</v>
      </c>
      <c r="I36" s="37" t="s">
        <v>111</v>
      </c>
      <c r="J36" s="37"/>
      <c r="K36" s="108"/>
      <c r="L36" s="108"/>
      <c r="M36" s="108"/>
      <c r="N36" s="34"/>
      <c r="O36" s="44" t="str">
        <f t="shared" si="0"/>
        <v>11 ضد 10 4 ضد 6 1 ضد 8 22 ضد 21 15 ضد 17 12 ضد 19</v>
      </c>
      <c r="P36" s="34"/>
      <c r="Q36" s="34"/>
      <c r="R36" s="34"/>
      <c r="S36" s="34"/>
      <c r="T36" s="34"/>
      <c r="U36" s="34"/>
      <c r="V36" s="34"/>
      <c r="W36"/>
      <c r="X36"/>
      <c r="Y36"/>
      <c r="Z36"/>
      <c r="AA36"/>
      <c r="AB36"/>
      <c r="AC36"/>
      <c r="AD36"/>
      <c r="AE36"/>
      <c r="AF36"/>
      <c r="AG36"/>
      <c r="AH36"/>
      <c r="AI36"/>
      <c r="AJ36"/>
      <c r="AK36"/>
      <c r="AL36"/>
      <c r="AM36"/>
      <c r="AN36"/>
      <c r="AO36"/>
      <c r="AP36"/>
      <c r="AQ36"/>
      <c r="AR36"/>
      <c r="AS36"/>
      <c r="AT36"/>
      <c r="AU36"/>
      <c r="AV36"/>
      <c r="AW36"/>
      <c r="AX36"/>
      <c r="AY36"/>
      <c r="AZ36"/>
    </row>
    <row r="37" spans="1:52" ht="14.5" customHeight="1">
      <c r="A37" s="106"/>
      <c r="B37"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37" s="37" t="s">
        <v>169</v>
      </c>
      <c r="D37" s="37" t="s">
        <v>25</v>
      </c>
      <c r="E37" s="37"/>
      <c r="F37" s="37"/>
      <c r="G37" s="37" t="s">
        <v>192</v>
      </c>
      <c r="H37" s="37" t="s">
        <v>281</v>
      </c>
      <c r="I37" s="37"/>
      <c r="J37" s="37"/>
      <c r="K37" s="108"/>
      <c r="L37" s="108"/>
      <c r="M37" s="108"/>
      <c r="N37" s="34"/>
      <c r="O37" s="44" t="str">
        <f t="shared" si="0"/>
        <v>9 ضد 3 5 ضد 7 20 ضد 14 16 ضد 18</v>
      </c>
      <c r="P37" s="34"/>
      <c r="Q37" s="34"/>
      <c r="R37" s="34"/>
      <c r="S37" s="34"/>
      <c r="T37" s="34"/>
      <c r="U37" s="34"/>
      <c r="V37" s="34"/>
      <c r="W37"/>
      <c r="X37"/>
      <c r="Y37"/>
      <c r="Z37"/>
      <c r="AA37"/>
      <c r="AB37"/>
      <c r="AC37"/>
      <c r="AD37"/>
      <c r="AE37"/>
      <c r="AF37"/>
      <c r="AG37"/>
      <c r="AH37"/>
      <c r="AI37"/>
      <c r="AJ37"/>
      <c r="AK37"/>
      <c r="AL37"/>
      <c r="AM37"/>
      <c r="AN37"/>
      <c r="AO37"/>
      <c r="AP37"/>
      <c r="AQ37"/>
      <c r="AR37"/>
      <c r="AS37"/>
      <c r="AT37"/>
      <c r="AU37"/>
      <c r="AV37"/>
      <c r="AW37"/>
      <c r="AX37"/>
      <c r="AY37"/>
      <c r="AZ37"/>
    </row>
    <row r="38" spans="1:52" ht="14.5" customHeight="1">
      <c r="A38" s="106"/>
      <c r="B38"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38" s="37" t="s">
        <v>176</v>
      </c>
      <c r="D38" s="37" t="s">
        <v>38</v>
      </c>
      <c r="E38" s="37" t="s">
        <v>27</v>
      </c>
      <c r="F38" s="37"/>
      <c r="G38" s="37" t="s">
        <v>294</v>
      </c>
      <c r="H38" s="37" t="s">
        <v>95</v>
      </c>
      <c r="I38" s="37" t="s">
        <v>274</v>
      </c>
      <c r="J38" s="37"/>
      <c r="K38" s="108"/>
      <c r="L38" s="108"/>
      <c r="M38" s="108"/>
      <c r="N38" s="34"/>
      <c r="O38" s="44" t="str">
        <f t="shared" si="0"/>
        <v>11 ضد 2 1 ضد 6 8 ضد 10 22 ضد 13 12 ضد 17 19 ضد 21</v>
      </c>
      <c r="P38" s="34"/>
      <c r="Q38" s="34"/>
      <c r="R38" s="34"/>
      <c r="S38" s="34"/>
      <c r="T38" s="34"/>
      <c r="U38" s="34"/>
      <c r="V38" s="34"/>
      <c r="W38"/>
      <c r="X38"/>
      <c r="Y38"/>
      <c r="Z38"/>
      <c r="AA38"/>
      <c r="AB38"/>
      <c r="AC38"/>
      <c r="AD38"/>
      <c r="AE38"/>
      <c r="AF38"/>
      <c r="AG38"/>
      <c r="AH38"/>
      <c r="AI38"/>
      <c r="AJ38"/>
      <c r="AK38"/>
      <c r="AL38"/>
      <c r="AM38"/>
      <c r="AN38"/>
      <c r="AO38"/>
      <c r="AP38"/>
      <c r="AQ38"/>
      <c r="AR38"/>
      <c r="AS38"/>
      <c r="AT38"/>
      <c r="AU38"/>
      <c r="AV38"/>
      <c r="AW38"/>
      <c r="AX38"/>
      <c r="AY38"/>
      <c r="AZ38"/>
    </row>
    <row r="39" spans="1:52" ht="14.5" customHeight="1">
      <c r="A39" s="106"/>
      <c r="B39"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39" s="37" t="s">
        <v>46</v>
      </c>
      <c r="D39" s="37" t="s">
        <v>56</v>
      </c>
      <c r="E39" s="37"/>
      <c r="F39" s="37"/>
      <c r="G39" s="37" t="s">
        <v>101</v>
      </c>
      <c r="H39" s="37" t="s">
        <v>287</v>
      </c>
      <c r="I39" s="37"/>
      <c r="J39" s="37"/>
      <c r="K39" s="108"/>
      <c r="L39" s="108"/>
      <c r="M39" s="108"/>
      <c r="N39" s="34"/>
      <c r="O39" s="44" t="str">
        <f t="shared" si="0"/>
        <v>4 ضد 5 3 ضد 7 15 ضد 16 14 ضد 18</v>
      </c>
      <c r="P39" s="34"/>
      <c r="Q39" s="34"/>
      <c r="R39" s="34"/>
      <c r="S39" s="34"/>
      <c r="T39" s="34"/>
      <c r="U39" s="34"/>
      <c r="V39" s="34"/>
      <c r="W39"/>
      <c r="X39"/>
      <c r="Y39"/>
      <c r="Z39"/>
      <c r="AA39"/>
      <c r="AB39"/>
      <c r="AC39"/>
      <c r="AD39"/>
      <c r="AE39"/>
      <c r="AF39"/>
      <c r="AG39"/>
      <c r="AH39"/>
      <c r="AI39"/>
      <c r="AJ39"/>
      <c r="AK39"/>
      <c r="AL39"/>
      <c r="AM39"/>
      <c r="AN39"/>
      <c r="AO39"/>
      <c r="AP39"/>
      <c r="AQ39"/>
      <c r="AR39"/>
      <c r="AS39"/>
      <c r="AT39"/>
      <c r="AU39"/>
      <c r="AV39"/>
      <c r="AW39"/>
      <c r="AX39"/>
      <c r="AY39"/>
      <c r="AZ39"/>
    </row>
    <row r="40" spans="1:52" ht="14.5" customHeight="1">
      <c r="A40" s="106" t="s">
        <v>9</v>
      </c>
      <c r="B40" s="3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4:00–4:15 م</v>
      </c>
      <c r="C40" s="37" t="s">
        <v>20</v>
      </c>
      <c r="D40" s="37" t="s">
        <v>36</v>
      </c>
      <c r="E40" s="37"/>
      <c r="F40" s="37"/>
      <c r="G40" s="37" t="s">
        <v>78</v>
      </c>
      <c r="H40" s="37" t="s">
        <v>270</v>
      </c>
      <c r="I40" s="37"/>
      <c r="J40" s="37"/>
      <c r="K40" s="107">
        <f>COUNTIF(C40:J48,"* ضد *")</f>
        <v>44</v>
      </c>
      <c r="L40" s="108">
        <f>COUNTIF(C40:F48,"* ضد *")*2/11</f>
        <v>4</v>
      </c>
      <c r="M40" s="108">
        <f>COUNTIF(G40:J48,"* ضد *")*2/11</f>
        <v>4</v>
      </c>
      <c r="N40" s="34"/>
      <c r="O40" s="44" t="str">
        <f t="shared" si="0"/>
        <v>1 ضد 3 5 ضد 11 12 ضد 14 16 ضد 22</v>
      </c>
      <c r="P40" s="34"/>
      <c r="Q40" s="34"/>
      <c r="R40" s="34"/>
      <c r="S40" s="34"/>
      <c r="T40" s="34"/>
      <c r="U40" s="34"/>
      <c r="V40" s="34"/>
      <c r="W40"/>
      <c r="X40"/>
      <c r="Y40"/>
      <c r="Z40"/>
      <c r="AA40"/>
      <c r="AB40"/>
      <c r="AC40"/>
      <c r="AD40"/>
      <c r="AE40"/>
      <c r="AF40"/>
      <c r="AG40"/>
      <c r="AH40"/>
      <c r="AI40"/>
      <c r="AJ40"/>
      <c r="AK40"/>
      <c r="AL40"/>
      <c r="AM40"/>
      <c r="AN40"/>
      <c r="AO40"/>
      <c r="AP40"/>
      <c r="AQ40"/>
      <c r="AR40"/>
      <c r="AS40"/>
      <c r="AT40"/>
      <c r="AU40"/>
      <c r="AV40"/>
      <c r="AW40"/>
      <c r="AX40"/>
      <c r="AY40"/>
      <c r="AZ40"/>
    </row>
    <row r="41" spans="1:52" ht="14.5" customHeight="1">
      <c r="A41" s="106"/>
      <c r="B41" s="3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4:15–4:30 م</v>
      </c>
      <c r="C41" s="37" t="s">
        <v>33</v>
      </c>
      <c r="D41" s="37"/>
      <c r="E41" s="37"/>
      <c r="F41" s="37"/>
      <c r="G41" s="37" t="s">
        <v>106</v>
      </c>
      <c r="H41" s="37"/>
      <c r="I41" s="37"/>
      <c r="J41" s="37"/>
      <c r="K41" s="108"/>
      <c r="L41" s="108"/>
      <c r="M41" s="108"/>
      <c r="N41" s="34"/>
      <c r="O41" s="44" t="str">
        <f t="shared" si="0"/>
        <v>6 ضد 7 17 ضد 18</v>
      </c>
      <c r="P41" s="34"/>
      <c r="Q41" s="34"/>
      <c r="R41" s="34"/>
      <c r="S41" s="34"/>
      <c r="T41" s="34"/>
      <c r="U41" s="34"/>
      <c r="V41" s="34"/>
      <c r="W41"/>
      <c r="X41"/>
      <c r="Y41"/>
      <c r="Z41"/>
      <c r="AA41"/>
      <c r="AB41"/>
      <c r="AC41"/>
      <c r="AD41"/>
      <c r="AE41"/>
      <c r="AF41"/>
      <c r="AG41"/>
      <c r="AH41"/>
      <c r="AI41"/>
      <c r="AJ41"/>
      <c r="AK41"/>
      <c r="AL41"/>
      <c r="AM41"/>
      <c r="AN41"/>
      <c r="AO41"/>
      <c r="AP41"/>
      <c r="AQ41"/>
      <c r="AR41"/>
      <c r="AS41"/>
      <c r="AT41"/>
      <c r="AU41"/>
      <c r="AV41"/>
      <c r="AW41"/>
      <c r="AX41"/>
      <c r="AY41"/>
      <c r="AZ41"/>
    </row>
    <row r="42" spans="1:52" ht="14.5" customHeight="1">
      <c r="A42" s="106"/>
      <c r="B42" s="3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4:30–4:45 م</v>
      </c>
      <c r="C42" s="37" t="s">
        <v>57</v>
      </c>
      <c r="D42" s="37" t="s">
        <v>254</v>
      </c>
      <c r="E42" s="37" t="s">
        <v>230</v>
      </c>
      <c r="F42" s="37" t="s">
        <v>34</v>
      </c>
      <c r="G42" s="37" t="s">
        <v>122</v>
      </c>
      <c r="H42" s="37" t="s">
        <v>185</v>
      </c>
      <c r="I42" s="37" t="s">
        <v>269</v>
      </c>
      <c r="J42" s="37" t="s">
        <v>117</v>
      </c>
      <c r="K42" s="108"/>
      <c r="L42" s="108"/>
      <c r="M42" s="108"/>
      <c r="N42" s="34"/>
      <c r="O42" s="44" t="str">
        <f t="shared" si="0"/>
        <v>3 ضد 8 5 ضد 1 2 ضد 10 4 ضد 9 14 ضد 19 16 ضد 12 13 ضد 21 15 ضد 20</v>
      </c>
      <c r="P42" s="34"/>
      <c r="Q42" s="34"/>
      <c r="R42" s="34"/>
      <c r="S42" s="34"/>
      <c r="T42" s="34"/>
      <c r="U42" s="34"/>
      <c r="V42" s="34"/>
      <c r="W42"/>
      <c r="X42"/>
      <c r="Y42"/>
      <c r="Z42"/>
      <c r="AA42"/>
      <c r="AB42"/>
      <c r="AC42"/>
      <c r="AD42"/>
      <c r="AE42"/>
      <c r="AF42"/>
      <c r="AG42"/>
      <c r="AH42"/>
      <c r="AI42"/>
      <c r="AJ42"/>
      <c r="AK42"/>
      <c r="AL42"/>
      <c r="AM42"/>
      <c r="AN42"/>
      <c r="AO42"/>
      <c r="AP42"/>
      <c r="AQ42"/>
      <c r="AR42"/>
      <c r="AS42"/>
      <c r="AT42"/>
      <c r="AU42"/>
      <c r="AV42"/>
      <c r="AW42"/>
      <c r="AX42"/>
      <c r="AY42"/>
      <c r="AZ42"/>
    </row>
    <row r="43" spans="1:52" ht="14.5" customHeight="1">
      <c r="A43" s="106"/>
      <c r="B43" s="3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4:45–5:00 م</v>
      </c>
      <c r="C43" s="37" t="s">
        <v>65</v>
      </c>
      <c r="D43" s="37"/>
      <c r="E43" s="37"/>
      <c r="F43" s="37"/>
      <c r="G43" s="37" t="s">
        <v>275</v>
      </c>
      <c r="H43" s="37"/>
      <c r="I43" s="37"/>
      <c r="J43" s="37"/>
      <c r="K43" s="108"/>
      <c r="L43" s="108"/>
      <c r="M43" s="108"/>
      <c r="N43" s="34"/>
      <c r="O43" s="44" t="str">
        <f t="shared" si="0"/>
        <v>7 ضد 11 18 ضد 22</v>
      </c>
      <c r="P43" s="34"/>
      <c r="Q43" s="34"/>
      <c r="R43" s="34"/>
      <c r="S43" s="34"/>
      <c r="T43" s="34"/>
      <c r="U43" s="34"/>
      <c r="V43" s="34"/>
      <c r="W43"/>
      <c r="X43"/>
      <c r="Y43"/>
      <c r="Z43"/>
      <c r="AA43"/>
      <c r="AB43"/>
      <c r="AC43"/>
      <c r="AD43"/>
      <c r="AE43"/>
      <c r="AF43"/>
      <c r="AG43"/>
      <c r="AH43"/>
      <c r="AI43"/>
      <c r="AJ43"/>
      <c r="AK43"/>
      <c r="AL43"/>
      <c r="AM43"/>
      <c r="AN43"/>
      <c r="AO43"/>
      <c r="AP43"/>
      <c r="AQ43"/>
      <c r="AR43"/>
      <c r="AS43"/>
      <c r="AT43"/>
      <c r="AU43"/>
      <c r="AV43"/>
      <c r="AW43"/>
      <c r="AX43"/>
      <c r="AY43"/>
      <c r="AZ43"/>
    </row>
    <row r="44" spans="1:52" ht="14.5" customHeight="1">
      <c r="A44" s="106"/>
      <c r="B44" s="3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5:00–5:15 م</v>
      </c>
      <c r="C44" s="37" t="s">
        <v>55</v>
      </c>
      <c r="D44" s="37" t="s">
        <v>67</v>
      </c>
      <c r="E44" s="37" t="s">
        <v>209</v>
      </c>
      <c r="F44" s="37" t="s">
        <v>30</v>
      </c>
      <c r="G44" s="37" t="s">
        <v>91</v>
      </c>
      <c r="H44" s="37" t="s">
        <v>123</v>
      </c>
      <c r="I44" s="37" t="s">
        <v>190</v>
      </c>
      <c r="J44" s="37" t="s">
        <v>73</v>
      </c>
      <c r="K44" s="108"/>
      <c r="L44" s="108"/>
      <c r="M44" s="108"/>
      <c r="N44" s="34"/>
      <c r="O44" s="44" t="str">
        <f t="shared" si="0"/>
        <v>5 ضد 6 8 ضد 9 10 ضد 4 1 ضد 2 16 ضد 17 19 ضد 20 21 ضد 15 12 ضد 13</v>
      </c>
      <c r="P44" s="34"/>
      <c r="Q44" s="34"/>
      <c r="R44" s="34"/>
      <c r="S44" s="34"/>
      <c r="T44" s="34"/>
      <c r="U44" s="34"/>
      <c r="V44" s="34"/>
      <c r="W44"/>
      <c r="X44"/>
      <c r="Y44"/>
      <c r="Z44"/>
      <c r="AA44"/>
      <c r="AB44"/>
      <c r="AC44"/>
      <c r="AD44"/>
      <c r="AE44"/>
      <c r="AF44"/>
      <c r="AG44"/>
      <c r="AH44"/>
      <c r="AI44"/>
      <c r="AJ44"/>
      <c r="AK44"/>
      <c r="AL44"/>
      <c r="AM44"/>
      <c r="AN44"/>
      <c r="AO44"/>
      <c r="AP44"/>
      <c r="AQ44"/>
      <c r="AR44"/>
      <c r="AS44"/>
      <c r="AT44"/>
      <c r="AU44"/>
      <c r="AV44"/>
      <c r="AW44"/>
      <c r="AX44"/>
      <c r="AY44"/>
      <c r="AZ44"/>
    </row>
    <row r="45" spans="1:52" ht="14.5" customHeight="1">
      <c r="A45" s="106"/>
      <c r="B45" s="3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5:15–5:30 م</v>
      </c>
      <c r="C45" s="37" t="s">
        <v>229</v>
      </c>
      <c r="D45" s="37"/>
      <c r="E45" s="37"/>
      <c r="F45" s="37"/>
      <c r="G45" s="37" t="s">
        <v>295</v>
      </c>
      <c r="H45" s="37"/>
      <c r="I45" s="37"/>
      <c r="J45" s="37"/>
      <c r="K45" s="108"/>
      <c r="L45" s="108"/>
      <c r="M45" s="108"/>
      <c r="N45" s="34"/>
      <c r="O45" s="44" t="str">
        <f t="shared" si="0"/>
        <v>3 ضد 11 14 ضد 22</v>
      </c>
      <c r="P45" s="34"/>
      <c r="Q45" s="34"/>
      <c r="R45" s="34"/>
      <c r="S45" s="34"/>
      <c r="T45" s="34"/>
      <c r="U45" s="34"/>
      <c r="V45" s="34"/>
      <c r="W45"/>
      <c r="X45"/>
      <c r="Y45"/>
      <c r="Z45"/>
      <c r="AA45"/>
      <c r="AB45"/>
      <c r="AC45"/>
      <c r="AD45"/>
      <c r="AE45"/>
      <c r="AF45"/>
      <c r="AG45"/>
      <c r="AH45"/>
      <c r="AI45"/>
      <c r="AJ45"/>
      <c r="AK45"/>
      <c r="AL45"/>
      <c r="AM45"/>
      <c r="AN45"/>
      <c r="AO45"/>
      <c r="AP45"/>
      <c r="AQ45"/>
      <c r="AR45"/>
      <c r="AS45"/>
      <c r="AT45"/>
      <c r="AU45"/>
      <c r="AV45"/>
      <c r="AW45"/>
      <c r="AX45"/>
      <c r="AY45"/>
      <c r="AZ45"/>
    </row>
    <row r="46" spans="1:52" ht="14.5" customHeight="1">
      <c r="A46" s="106"/>
      <c r="B46" s="3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5:30–5:45 م</v>
      </c>
      <c r="C46" s="37" t="s">
        <v>63</v>
      </c>
      <c r="D46" s="37" t="s">
        <v>52</v>
      </c>
      <c r="E46" s="37" t="s">
        <v>256</v>
      </c>
      <c r="F46" s="37" t="s">
        <v>48</v>
      </c>
      <c r="G46" s="37" t="s">
        <v>103</v>
      </c>
      <c r="H46" s="37" t="s">
        <v>98</v>
      </c>
      <c r="I46" s="37" t="s">
        <v>271</v>
      </c>
      <c r="J46" s="37" t="s">
        <v>119</v>
      </c>
      <c r="K46" s="108"/>
      <c r="L46" s="108"/>
      <c r="M46" s="108"/>
      <c r="N46" s="34"/>
      <c r="O46" s="44" t="str">
        <f t="shared" si="0"/>
        <v>1 ضد 4 2 ضد 6 8 ضد 7 9 ضد 10 12 ضد 15 13 ضد 17 19 ضد 18 20 ضد 21</v>
      </c>
      <c r="P46" s="34"/>
      <c r="Q46" s="34"/>
      <c r="R46" s="34"/>
      <c r="S46" s="34"/>
      <c r="T46" s="34"/>
      <c r="U46" s="34"/>
      <c r="V46" s="34"/>
      <c r="W46"/>
      <c r="X46"/>
      <c r="Y46"/>
      <c r="Z46"/>
      <c r="AA46"/>
      <c r="AB46"/>
      <c r="AC46"/>
      <c r="AD46"/>
      <c r="AE46"/>
      <c r="AF46"/>
      <c r="AG46"/>
      <c r="AH46"/>
      <c r="AI46"/>
      <c r="AJ46"/>
      <c r="AK46"/>
      <c r="AL46"/>
      <c r="AM46"/>
      <c r="AN46"/>
      <c r="AO46"/>
      <c r="AP46"/>
      <c r="AQ46"/>
      <c r="AR46"/>
      <c r="AS46"/>
      <c r="AT46"/>
      <c r="AU46"/>
      <c r="AV46"/>
      <c r="AW46"/>
      <c r="AX46"/>
      <c r="AY46"/>
      <c r="AZ46"/>
    </row>
    <row r="47" spans="1:52" ht="14.5" customHeight="1">
      <c r="A47" s="106"/>
      <c r="B47" s="3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5:45–6:00 م</v>
      </c>
      <c r="C47" s="37" t="s">
        <v>66</v>
      </c>
      <c r="D47" s="37"/>
      <c r="E47" s="37"/>
      <c r="F47" s="37"/>
      <c r="G47" s="37" t="s">
        <v>105</v>
      </c>
      <c r="H47" s="37"/>
      <c r="I47" s="37"/>
      <c r="J47" s="37"/>
      <c r="K47" s="108"/>
      <c r="L47" s="108"/>
      <c r="M47" s="108"/>
      <c r="N47" s="34"/>
      <c r="O47" s="44" t="str">
        <f t="shared" si="0"/>
        <v>3 ضد 5 14 ضد 16</v>
      </c>
      <c r="P47" s="34"/>
      <c r="Q47" s="34"/>
      <c r="R47" s="34"/>
      <c r="S47" s="34"/>
      <c r="T47" s="34"/>
      <c r="U47" s="34"/>
      <c r="V47" s="34"/>
      <c r="W47"/>
      <c r="X47"/>
      <c r="Y47"/>
      <c r="Z47"/>
      <c r="AA47"/>
      <c r="AB47"/>
      <c r="AC47"/>
      <c r="AD47"/>
      <c r="AE47"/>
      <c r="AF47"/>
      <c r="AG47"/>
      <c r="AH47"/>
      <c r="AI47"/>
      <c r="AJ47"/>
      <c r="AK47"/>
      <c r="AL47"/>
      <c r="AM47"/>
      <c r="AN47"/>
      <c r="AO47"/>
      <c r="AP47"/>
      <c r="AQ47"/>
      <c r="AR47"/>
      <c r="AS47"/>
      <c r="AT47"/>
      <c r="AU47"/>
      <c r="AV47"/>
      <c r="AW47"/>
      <c r="AX47"/>
      <c r="AY47"/>
      <c r="AZ47"/>
    </row>
    <row r="48" spans="1:52" ht="14.5" customHeight="1">
      <c r="A48" s="106"/>
      <c r="B48" s="3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6:00–6:15 م</v>
      </c>
      <c r="C48" s="37" t="s">
        <v>70</v>
      </c>
      <c r="D48" s="37" t="s">
        <v>59</v>
      </c>
      <c r="E48" s="37" t="s">
        <v>60</v>
      </c>
      <c r="F48" s="37" t="s">
        <v>54</v>
      </c>
      <c r="G48" s="37" t="s">
        <v>92</v>
      </c>
      <c r="H48" s="37" t="s">
        <v>289</v>
      </c>
      <c r="I48" s="37" t="s">
        <v>120</v>
      </c>
      <c r="J48" s="37" t="s">
        <v>286</v>
      </c>
      <c r="K48" s="108"/>
      <c r="L48" s="108"/>
      <c r="M48" s="108"/>
      <c r="N48" s="34"/>
      <c r="O48" s="44" t="str">
        <f t="shared" si="0"/>
        <v>2 ضد 4 6 ضد 8 7 ضد 10 9 ضد 11 13 ضد 15 17 ضد 19 18 ضد 21 20 ضد 22</v>
      </c>
      <c r="P48" s="34"/>
      <c r="Q48" s="34"/>
      <c r="R48" s="34"/>
      <c r="S48" s="34"/>
      <c r="T48" s="34"/>
      <c r="U48" s="34"/>
      <c r="V48" s="34"/>
      <c r="W48"/>
      <c r="X48"/>
      <c r="Y48"/>
      <c r="Z48"/>
      <c r="AA48"/>
      <c r="AB48"/>
      <c r="AC48"/>
      <c r="AD48"/>
      <c r="AE48"/>
      <c r="AF48"/>
      <c r="AG48"/>
      <c r="AH48"/>
      <c r="AI48"/>
      <c r="AJ48"/>
      <c r="AK48"/>
      <c r="AL48"/>
      <c r="AM48"/>
      <c r="AN48"/>
      <c r="AO48"/>
      <c r="AP48"/>
      <c r="AQ48"/>
      <c r="AR48"/>
      <c r="AS48"/>
      <c r="AT48"/>
      <c r="AU48"/>
      <c r="AV48"/>
      <c r="AW48"/>
      <c r="AX48"/>
      <c r="AY48"/>
      <c r="AZ48"/>
    </row>
    <row r="49" spans="1:52" ht="15" customHeight="1">
      <c r="A49" s="34"/>
      <c r="B49" s="34"/>
      <c r="C49" s="34"/>
      <c r="D49" s="34"/>
      <c r="E49" s="34"/>
      <c r="F49" s="34"/>
      <c r="G49" s="34"/>
      <c r="H49" s="34"/>
      <c r="I49" s="34"/>
      <c r="J49" s="34"/>
      <c r="K49" s="34"/>
      <c r="L49" s="34"/>
      <c r="M49" s="34"/>
      <c r="N49" s="34"/>
      <c r="O49" s="34"/>
      <c r="P49" s="34"/>
      <c r="Q49" s="34"/>
      <c r="R49" s="34"/>
      <c r="S49" s="34"/>
      <c r="T49" s="34"/>
      <c r="U49" s="34"/>
      <c r="V49" s="34"/>
      <c r="W49"/>
      <c r="X49"/>
      <c r="Y49"/>
      <c r="Z49"/>
      <c r="AA49"/>
      <c r="AB49"/>
      <c r="AC49"/>
      <c r="AD49"/>
      <c r="AE49"/>
      <c r="AF49"/>
      <c r="AG49"/>
      <c r="AH49"/>
      <c r="AI49"/>
      <c r="AJ49"/>
      <c r="AK49"/>
      <c r="AL49"/>
      <c r="AM49"/>
      <c r="AN49"/>
      <c r="AO49"/>
      <c r="AP49"/>
      <c r="AQ49"/>
      <c r="AR49"/>
      <c r="AS49"/>
      <c r="AT49"/>
      <c r="AU49"/>
      <c r="AV49"/>
      <c r="AW49"/>
      <c r="AX49"/>
      <c r="AY49"/>
      <c r="AZ49"/>
    </row>
    <row r="50" spans="1:52" ht="15" customHeight="1">
      <c r="A50" s="34"/>
      <c r="B50" s="34"/>
      <c r="C50" s="34"/>
      <c r="D50" s="34"/>
      <c r="E50" s="34"/>
      <c r="F50" s="34"/>
      <c r="G50" s="34"/>
      <c r="H50" s="34"/>
      <c r="I50" s="34"/>
      <c r="J50" s="34"/>
      <c r="K50" s="34"/>
      <c r="L50" s="34"/>
      <c r="M50" s="34"/>
      <c r="N50" s="34"/>
      <c r="O50" s="34"/>
      <c r="P50" s="34"/>
      <c r="Q50" s="34"/>
      <c r="R50" s="34"/>
      <c r="S50" s="34"/>
      <c r="T50" s="34"/>
      <c r="U50" s="34"/>
      <c r="V50" s="34"/>
      <c r="W50"/>
      <c r="X50"/>
      <c r="Y50"/>
      <c r="Z50"/>
      <c r="AA50"/>
      <c r="AB50"/>
      <c r="AC50"/>
      <c r="AD50"/>
      <c r="AE50"/>
      <c r="AF50"/>
      <c r="AG50"/>
      <c r="AH50"/>
      <c r="AI50"/>
      <c r="AJ50"/>
      <c r="AK50"/>
      <c r="AL50"/>
      <c r="AM50"/>
      <c r="AN50"/>
      <c r="AO50"/>
      <c r="AP50"/>
      <c r="AQ50"/>
      <c r="AR50"/>
      <c r="AS50"/>
      <c r="AT50"/>
      <c r="AU50"/>
      <c r="AV50"/>
      <c r="AW50"/>
      <c r="AX50"/>
      <c r="AY50"/>
      <c r="AZ50"/>
    </row>
    <row r="51" spans="1:52" ht="15.5" customHeight="1">
      <c r="A51" s="34"/>
      <c r="B51" s="109" t="s">
        <v>455</v>
      </c>
      <c r="C51" s="109"/>
      <c r="D51" s="109"/>
      <c r="E51" s="109"/>
      <c r="F51" s="109"/>
      <c r="G51" s="109"/>
      <c r="H51" s="109"/>
      <c r="I51" s="109"/>
      <c r="J51" s="109"/>
      <c r="K51" s="109"/>
      <c r="L51" s="109"/>
      <c r="M51" s="109"/>
      <c r="N51" s="109"/>
      <c r="O51" s="34"/>
      <c r="P51" s="34"/>
      <c r="Q51" s="34"/>
      <c r="R51" s="34"/>
      <c r="S51" s="34"/>
      <c r="T51" s="34"/>
      <c r="U51" s="34"/>
      <c r="V51" s="34"/>
      <c r="W51"/>
      <c r="X51"/>
      <c r="Y51"/>
      <c r="Z51"/>
      <c r="AA51"/>
      <c r="AB51"/>
      <c r="AC51"/>
      <c r="AD51"/>
      <c r="AE51"/>
      <c r="AF51"/>
      <c r="AG51"/>
      <c r="AH51"/>
      <c r="AI51"/>
      <c r="AJ51"/>
      <c r="AK51"/>
      <c r="AL51"/>
      <c r="AM51"/>
      <c r="AN51"/>
      <c r="AO51"/>
      <c r="AP51"/>
      <c r="AQ51"/>
      <c r="AR51"/>
      <c r="AS51"/>
      <c r="AT51"/>
      <c r="AU51"/>
      <c r="AV51"/>
      <c r="AW51"/>
      <c r="AX51"/>
      <c r="AY51"/>
      <c r="AZ51"/>
    </row>
    <row r="52" spans="1:52" ht="14.5" customHeight="1">
      <c r="A52" s="34"/>
      <c r="B52" s="38" t="s">
        <v>83</v>
      </c>
      <c r="C52" s="110" t="s">
        <v>296</v>
      </c>
      <c r="D52" s="110"/>
      <c r="E52" s="110"/>
      <c r="F52" s="110" t="s">
        <v>216</v>
      </c>
      <c r="G52" s="110"/>
      <c r="H52" s="34"/>
      <c r="I52" s="38" t="s">
        <v>83</v>
      </c>
      <c r="J52" s="110" t="s">
        <v>297</v>
      </c>
      <c r="K52" s="110"/>
      <c r="L52" s="110"/>
      <c r="M52" s="110" t="s">
        <v>216</v>
      </c>
      <c r="N52" s="110"/>
      <c r="O52" s="34"/>
      <c r="P52" s="34"/>
      <c r="Q52" s="34"/>
      <c r="R52" s="34"/>
      <c r="S52" s="34"/>
      <c r="T52" s="34"/>
      <c r="U52" s="34"/>
      <c r="V52" s="34"/>
      <c r="W52"/>
      <c r="X52"/>
      <c r="Y52"/>
      <c r="Z52"/>
      <c r="AA52"/>
      <c r="AB52"/>
      <c r="AC52"/>
      <c r="AD52"/>
      <c r="AE52"/>
      <c r="AF52"/>
      <c r="AG52"/>
      <c r="AH52"/>
      <c r="AI52"/>
      <c r="AJ52"/>
      <c r="AK52"/>
      <c r="AL52"/>
      <c r="AM52"/>
      <c r="AN52"/>
      <c r="AO52"/>
      <c r="AP52"/>
      <c r="AQ52"/>
      <c r="AR52"/>
      <c r="AS52"/>
      <c r="AT52"/>
      <c r="AU52"/>
      <c r="AV52"/>
      <c r="AW52"/>
      <c r="AX52"/>
      <c r="AY52"/>
      <c r="AZ52"/>
    </row>
    <row r="53" spans="1:52" ht="14.5" customHeight="1">
      <c r="A53" s="34"/>
      <c r="B53" s="39">
        <v>1</v>
      </c>
      <c r="C53" s="105" t="s">
        <v>654</v>
      </c>
      <c r="D53" s="105"/>
      <c r="E53" s="105"/>
      <c r="F53" s="105" t="s">
        <v>456</v>
      </c>
      <c r="G53" s="105"/>
      <c r="H53" s="34"/>
      <c r="I53" s="39">
        <v>12</v>
      </c>
      <c r="J53" s="105" t="s">
        <v>665</v>
      </c>
      <c r="K53" s="105"/>
      <c r="L53" s="105"/>
      <c r="M53" s="105" t="s">
        <v>456</v>
      </c>
      <c r="N53" s="105"/>
      <c r="O53" s="34"/>
      <c r="P53" s="34"/>
      <c r="Q53" s="34"/>
      <c r="R53" s="34"/>
      <c r="S53" s="34"/>
      <c r="T53" s="34"/>
      <c r="U53" s="34"/>
      <c r="V53" s="34"/>
      <c r="W53"/>
      <c r="X53"/>
      <c r="Y53"/>
      <c r="Z53"/>
      <c r="AA53"/>
      <c r="AB53"/>
      <c r="AC53"/>
      <c r="AD53"/>
      <c r="AE53"/>
      <c r="AF53"/>
      <c r="AG53"/>
      <c r="AH53"/>
      <c r="AI53"/>
      <c r="AJ53"/>
      <c r="AK53"/>
      <c r="AL53"/>
      <c r="AM53"/>
      <c r="AN53"/>
      <c r="AO53"/>
      <c r="AP53"/>
      <c r="AQ53"/>
      <c r="AR53"/>
      <c r="AS53"/>
      <c r="AT53"/>
      <c r="AU53"/>
      <c r="AV53"/>
      <c r="AW53"/>
      <c r="AX53"/>
      <c r="AY53"/>
      <c r="AZ53"/>
    </row>
    <row r="54" spans="1:52" ht="14.5" customHeight="1">
      <c r="A54" s="34"/>
      <c r="B54" s="39">
        <v>2</v>
      </c>
      <c r="C54" s="105" t="s">
        <v>655</v>
      </c>
      <c r="D54" s="105"/>
      <c r="E54" s="105"/>
      <c r="F54" s="105" t="s">
        <v>456</v>
      </c>
      <c r="G54" s="105"/>
      <c r="H54" s="34"/>
      <c r="I54" s="39">
        <v>13</v>
      </c>
      <c r="J54" s="105" t="s">
        <v>666</v>
      </c>
      <c r="K54" s="105"/>
      <c r="L54" s="105"/>
      <c r="M54" s="105" t="s">
        <v>456</v>
      </c>
      <c r="N54" s="105"/>
      <c r="O54" s="34"/>
      <c r="P54" s="34"/>
      <c r="Q54" s="34"/>
      <c r="R54" s="34"/>
      <c r="S54" s="34"/>
      <c r="T54" s="34"/>
      <c r="U54" s="34"/>
      <c r="V54" s="34"/>
      <c r="W54"/>
      <c r="X54"/>
      <c r="Y54"/>
      <c r="Z54"/>
      <c r="AA54"/>
      <c r="AB54"/>
      <c r="AC54"/>
      <c r="AD54"/>
      <c r="AE54"/>
      <c r="AF54"/>
      <c r="AG54"/>
      <c r="AH54"/>
      <c r="AI54"/>
      <c r="AJ54"/>
      <c r="AK54"/>
      <c r="AL54"/>
      <c r="AM54"/>
      <c r="AN54"/>
      <c r="AO54"/>
      <c r="AP54"/>
      <c r="AQ54"/>
      <c r="AR54"/>
      <c r="AS54"/>
      <c r="AT54"/>
      <c r="AU54"/>
      <c r="AV54"/>
      <c r="AW54"/>
      <c r="AX54"/>
      <c r="AY54"/>
      <c r="AZ54"/>
    </row>
    <row r="55" spans="1:52" ht="14.5" customHeight="1">
      <c r="A55" s="34"/>
      <c r="B55" s="39">
        <v>3</v>
      </c>
      <c r="C55" s="105" t="s">
        <v>656</v>
      </c>
      <c r="D55" s="105"/>
      <c r="E55" s="105"/>
      <c r="F55" s="105" t="s">
        <v>458</v>
      </c>
      <c r="G55" s="105"/>
      <c r="H55" s="34"/>
      <c r="I55" s="39">
        <v>14</v>
      </c>
      <c r="J55" s="105" t="s">
        <v>667</v>
      </c>
      <c r="K55" s="105"/>
      <c r="L55" s="105"/>
      <c r="M55" s="105" t="s">
        <v>458</v>
      </c>
      <c r="N55" s="105"/>
      <c r="O55" s="34"/>
      <c r="P55" s="34"/>
      <c r="Q55" s="34"/>
      <c r="R55" s="34"/>
      <c r="S55" s="34"/>
      <c r="T55" s="34"/>
      <c r="U55" s="34"/>
      <c r="V55" s="34"/>
      <c r="W55"/>
      <c r="X55"/>
      <c r="Y55"/>
      <c r="Z55"/>
      <c r="AA55"/>
      <c r="AB55"/>
      <c r="AC55"/>
      <c r="AD55"/>
      <c r="AE55"/>
      <c r="AF55"/>
      <c r="AG55"/>
      <c r="AH55"/>
      <c r="AI55"/>
      <c r="AJ55"/>
      <c r="AK55"/>
      <c r="AL55"/>
      <c r="AM55"/>
      <c r="AN55"/>
      <c r="AO55"/>
      <c r="AP55"/>
      <c r="AQ55"/>
      <c r="AR55"/>
      <c r="AS55"/>
      <c r="AT55"/>
      <c r="AU55"/>
      <c r="AV55"/>
      <c r="AW55"/>
      <c r="AX55"/>
      <c r="AY55"/>
      <c r="AZ55"/>
    </row>
    <row r="56" spans="1:52" ht="14.5" customHeight="1">
      <c r="A56" s="34"/>
      <c r="B56" s="39">
        <v>4</v>
      </c>
      <c r="C56" s="105" t="s">
        <v>657</v>
      </c>
      <c r="D56" s="105"/>
      <c r="E56" s="105"/>
      <c r="F56" s="105" t="s">
        <v>458</v>
      </c>
      <c r="G56" s="105"/>
      <c r="H56" s="34"/>
      <c r="I56" s="39">
        <v>15</v>
      </c>
      <c r="J56" s="105" t="s">
        <v>668</v>
      </c>
      <c r="K56" s="105"/>
      <c r="L56" s="105"/>
      <c r="M56" s="105" t="s">
        <v>458</v>
      </c>
      <c r="N56" s="105"/>
      <c r="O56" s="34"/>
      <c r="P56" s="34"/>
      <c r="Q56" s="34"/>
      <c r="R56" s="34"/>
      <c r="S56" s="34"/>
      <c r="T56" s="34"/>
      <c r="U56" s="34"/>
      <c r="V56" s="34"/>
      <c r="W56"/>
      <c r="X56"/>
      <c r="Y56"/>
      <c r="Z56"/>
      <c r="AA56"/>
      <c r="AB56"/>
      <c r="AC56"/>
      <c r="AD56"/>
      <c r="AE56"/>
      <c r="AF56"/>
      <c r="AG56"/>
      <c r="AH56"/>
      <c r="AI56"/>
      <c r="AJ56"/>
      <c r="AK56"/>
      <c r="AL56"/>
      <c r="AM56"/>
      <c r="AN56"/>
      <c r="AO56"/>
      <c r="AP56"/>
      <c r="AQ56"/>
      <c r="AR56"/>
      <c r="AS56"/>
      <c r="AT56"/>
      <c r="AU56"/>
      <c r="AV56"/>
      <c r="AW56"/>
      <c r="AX56"/>
      <c r="AY56"/>
      <c r="AZ56"/>
    </row>
    <row r="57" spans="1:52" ht="14.5" customHeight="1">
      <c r="A57" s="34"/>
      <c r="B57" s="39">
        <v>5</v>
      </c>
      <c r="C57" s="105" t="s">
        <v>658</v>
      </c>
      <c r="D57" s="105"/>
      <c r="E57" s="105"/>
      <c r="F57" s="105" t="s">
        <v>458</v>
      </c>
      <c r="G57" s="105"/>
      <c r="H57" s="34"/>
      <c r="I57" s="39">
        <v>16</v>
      </c>
      <c r="J57" s="105" t="s">
        <v>669</v>
      </c>
      <c r="K57" s="105"/>
      <c r="L57" s="105"/>
      <c r="M57" s="105" t="s">
        <v>458</v>
      </c>
      <c r="N57" s="105"/>
      <c r="O57" s="34"/>
      <c r="P57" s="34"/>
      <c r="Q57" s="34"/>
      <c r="R57" s="34"/>
      <c r="S57" s="34"/>
      <c r="T57" s="34"/>
      <c r="U57" s="34"/>
      <c r="V57" s="34"/>
      <c r="W57"/>
      <c r="X57"/>
      <c r="Y57"/>
      <c r="Z57"/>
      <c r="AA57"/>
      <c r="AB57"/>
      <c r="AC57"/>
      <c r="AD57"/>
      <c r="AE57"/>
      <c r="AF57"/>
      <c r="AG57"/>
      <c r="AH57"/>
      <c r="AI57"/>
      <c r="AJ57"/>
      <c r="AK57"/>
      <c r="AL57"/>
      <c r="AM57"/>
      <c r="AN57"/>
      <c r="AO57"/>
      <c r="AP57"/>
      <c r="AQ57"/>
      <c r="AR57"/>
      <c r="AS57"/>
      <c r="AT57"/>
      <c r="AU57"/>
      <c r="AV57"/>
      <c r="AW57"/>
      <c r="AX57"/>
      <c r="AY57"/>
      <c r="AZ57"/>
    </row>
    <row r="58" spans="1:52" ht="14.5" customHeight="1">
      <c r="A58" s="34"/>
      <c r="B58" s="39">
        <v>6</v>
      </c>
      <c r="C58" s="105" t="s">
        <v>659</v>
      </c>
      <c r="D58" s="105"/>
      <c r="E58" s="105"/>
      <c r="F58" s="105" t="s">
        <v>458</v>
      </c>
      <c r="G58" s="105"/>
      <c r="H58" s="34"/>
      <c r="I58" s="39">
        <v>17</v>
      </c>
      <c r="J58" s="105" t="s">
        <v>670</v>
      </c>
      <c r="K58" s="105"/>
      <c r="L58" s="105"/>
      <c r="M58" s="105" t="s">
        <v>458</v>
      </c>
      <c r="N58" s="105"/>
      <c r="O58" s="34"/>
      <c r="P58" s="34"/>
      <c r="Q58" s="34"/>
      <c r="R58" s="34"/>
      <c r="S58" s="34"/>
      <c r="T58" s="34"/>
      <c r="U58" s="34"/>
      <c r="V58" s="34"/>
      <c r="W58"/>
      <c r="X58"/>
      <c r="Y58"/>
      <c r="Z58"/>
      <c r="AA58"/>
      <c r="AB58"/>
      <c r="AC58"/>
      <c r="AD58"/>
      <c r="AE58"/>
      <c r="AF58"/>
      <c r="AG58"/>
      <c r="AH58"/>
      <c r="AI58"/>
      <c r="AJ58"/>
      <c r="AK58"/>
      <c r="AL58"/>
      <c r="AM58"/>
      <c r="AN58"/>
      <c r="AO58"/>
      <c r="AP58"/>
      <c r="AQ58"/>
      <c r="AR58"/>
      <c r="AS58"/>
      <c r="AT58"/>
      <c r="AU58"/>
      <c r="AV58"/>
      <c r="AW58"/>
      <c r="AX58"/>
      <c r="AY58"/>
      <c r="AZ58"/>
    </row>
    <row r="59" spans="1:52" ht="14.5" customHeight="1">
      <c r="A59" s="34"/>
      <c r="B59" s="39">
        <v>7</v>
      </c>
      <c r="C59" s="105" t="s">
        <v>660</v>
      </c>
      <c r="D59" s="105"/>
      <c r="E59" s="105"/>
      <c r="F59" s="105" t="s">
        <v>458</v>
      </c>
      <c r="G59" s="105"/>
      <c r="H59" s="34"/>
      <c r="I59" s="39">
        <v>18</v>
      </c>
      <c r="J59" s="105" t="s">
        <v>671</v>
      </c>
      <c r="K59" s="105"/>
      <c r="L59" s="105"/>
      <c r="M59" s="105" t="s">
        <v>458</v>
      </c>
      <c r="N59" s="105"/>
      <c r="O59" s="34"/>
      <c r="P59" s="34"/>
      <c r="Q59" s="34"/>
      <c r="R59" s="34"/>
      <c r="S59" s="34"/>
      <c r="T59" s="34"/>
      <c r="U59" s="34"/>
      <c r="V59" s="34"/>
      <c r="W59"/>
      <c r="X59"/>
      <c r="Y59"/>
      <c r="Z59"/>
      <c r="AA59"/>
      <c r="AB59"/>
      <c r="AC59"/>
      <c r="AD59"/>
      <c r="AE59"/>
      <c r="AF59"/>
      <c r="AG59"/>
      <c r="AH59"/>
      <c r="AI59"/>
      <c r="AJ59"/>
      <c r="AK59"/>
      <c r="AL59"/>
      <c r="AM59"/>
      <c r="AN59"/>
      <c r="AO59"/>
      <c r="AP59"/>
      <c r="AQ59"/>
      <c r="AR59"/>
      <c r="AS59"/>
      <c r="AT59"/>
      <c r="AU59"/>
      <c r="AV59"/>
      <c r="AW59"/>
      <c r="AX59"/>
      <c r="AY59"/>
      <c r="AZ59"/>
    </row>
    <row r="60" spans="1:52" ht="14.5" customHeight="1">
      <c r="A60" s="34"/>
      <c r="B60" s="39">
        <v>8</v>
      </c>
      <c r="C60" s="105" t="s">
        <v>661</v>
      </c>
      <c r="D60" s="105"/>
      <c r="E60" s="105"/>
      <c r="F60" s="105" t="s">
        <v>458</v>
      </c>
      <c r="G60" s="105"/>
      <c r="H60" s="34"/>
      <c r="I60" s="39">
        <v>19</v>
      </c>
      <c r="J60" s="105" t="s">
        <v>672</v>
      </c>
      <c r="K60" s="105"/>
      <c r="L60" s="105"/>
      <c r="M60" s="105" t="s">
        <v>473</v>
      </c>
      <c r="N60" s="105"/>
      <c r="O60" s="34"/>
      <c r="P60" s="34"/>
      <c r="Q60" s="34"/>
      <c r="R60" s="34"/>
      <c r="S60" s="34"/>
      <c r="T60" s="34"/>
      <c r="U60" s="34"/>
      <c r="V60" s="34"/>
      <c r="W60"/>
      <c r="X60"/>
      <c r="Y60"/>
      <c r="Z60"/>
      <c r="AA60"/>
      <c r="AB60"/>
      <c r="AC60"/>
      <c r="AD60"/>
      <c r="AE60"/>
      <c r="AF60"/>
      <c r="AG60"/>
      <c r="AH60"/>
      <c r="AI60"/>
      <c r="AJ60"/>
      <c r="AK60"/>
      <c r="AL60"/>
      <c r="AM60"/>
      <c r="AN60"/>
      <c r="AO60"/>
      <c r="AP60"/>
      <c r="AQ60"/>
      <c r="AR60"/>
      <c r="AS60"/>
      <c r="AT60"/>
      <c r="AU60"/>
      <c r="AV60"/>
      <c r="AW60"/>
      <c r="AX60"/>
      <c r="AY60"/>
      <c r="AZ60"/>
    </row>
    <row r="61" spans="1:52" ht="14.5" customHeight="1">
      <c r="A61" s="34"/>
      <c r="B61" s="39">
        <v>9</v>
      </c>
      <c r="C61" s="105" t="s">
        <v>662</v>
      </c>
      <c r="D61" s="105"/>
      <c r="E61" s="105"/>
      <c r="F61" s="105" t="s">
        <v>473</v>
      </c>
      <c r="G61" s="105"/>
      <c r="H61" s="34"/>
      <c r="I61" s="39">
        <v>20</v>
      </c>
      <c r="J61" s="105" t="s">
        <v>673</v>
      </c>
      <c r="K61" s="105"/>
      <c r="L61" s="105"/>
      <c r="M61" s="105" t="s">
        <v>473</v>
      </c>
      <c r="N61" s="105"/>
      <c r="O61" s="34"/>
      <c r="P61" s="34"/>
      <c r="Q61" s="34"/>
      <c r="R61" s="34"/>
      <c r="S61" s="34"/>
      <c r="T61" s="34"/>
      <c r="U61" s="34"/>
      <c r="V61" s="34"/>
      <c r="W61"/>
      <c r="X61"/>
      <c r="Y61"/>
      <c r="Z61"/>
      <c r="AA61"/>
      <c r="AB61"/>
      <c r="AC61"/>
      <c r="AD61"/>
      <c r="AE61"/>
      <c r="AF61"/>
      <c r="AG61"/>
      <c r="AH61"/>
      <c r="AI61"/>
      <c r="AJ61"/>
      <c r="AK61"/>
      <c r="AL61"/>
      <c r="AM61"/>
      <c r="AN61"/>
      <c r="AO61"/>
      <c r="AP61"/>
      <c r="AQ61"/>
      <c r="AR61"/>
      <c r="AS61"/>
      <c r="AT61"/>
      <c r="AU61"/>
      <c r="AV61"/>
      <c r="AW61"/>
      <c r="AX61"/>
      <c r="AY61"/>
      <c r="AZ61"/>
    </row>
    <row r="62" spans="1:52" ht="14.5" customHeight="1">
      <c r="A62" s="34"/>
      <c r="B62" s="39">
        <v>10</v>
      </c>
      <c r="C62" s="105" t="s">
        <v>663</v>
      </c>
      <c r="D62" s="105"/>
      <c r="E62" s="105"/>
      <c r="F62" s="105" t="s">
        <v>473</v>
      </c>
      <c r="G62" s="105"/>
      <c r="H62" s="34"/>
      <c r="I62" s="39">
        <v>21</v>
      </c>
      <c r="J62" s="105" t="s">
        <v>674</v>
      </c>
      <c r="K62" s="105"/>
      <c r="L62" s="105"/>
      <c r="M62" s="105" t="s">
        <v>473</v>
      </c>
      <c r="N62" s="105"/>
      <c r="O62" s="34"/>
      <c r="P62" s="34"/>
      <c r="Q62" s="34"/>
      <c r="R62" s="34"/>
      <c r="S62" s="34"/>
      <c r="T62" s="34"/>
      <c r="U62" s="34"/>
      <c r="V62" s="34"/>
      <c r="W62"/>
      <c r="X62"/>
      <c r="Y62"/>
      <c r="Z62"/>
      <c r="AA62"/>
      <c r="AB62"/>
      <c r="AC62"/>
      <c r="AD62"/>
      <c r="AE62"/>
      <c r="AF62"/>
      <c r="AG62"/>
      <c r="AH62"/>
      <c r="AI62"/>
      <c r="AJ62"/>
      <c r="AK62"/>
      <c r="AL62"/>
      <c r="AM62"/>
      <c r="AN62"/>
      <c r="AO62"/>
      <c r="AP62"/>
      <c r="AQ62"/>
      <c r="AR62"/>
      <c r="AS62"/>
      <c r="AT62"/>
      <c r="AU62"/>
      <c r="AV62"/>
      <c r="AW62"/>
      <c r="AX62"/>
      <c r="AY62"/>
      <c r="AZ62"/>
    </row>
    <row r="63" spans="1:52" ht="14.5" customHeight="1">
      <c r="A63" s="34"/>
      <c r="B63" s="39">
        <v>11</v>
      </c>
      <c r="C63" s="105" t="s">
        <v>664</v>
      </c>
      <c r="D63" s="105"/>
      <c r="E63" s="105"/>
      <c r="F63" s="105" t="s">
        <v>473</v>
      </c>
      <c r="G63" s="105"/>
      <c r="H63" s="34"/>
      <c r="I63" s="39">
        <v>22</v>
      </c>
      <c r="J63" s="105" t="s">
        <v>675</v>
      </c>
      <c r="K63" s="105"/>
      <c r="L63" s="105"/>
      <c r="M63" s="105" t="s">
        <v>473</v>
      </c>
      <c r="N63" s="105"/>
      <c r="O63" s="34"/>
      <c r="P63" s="34"/>
      <c r="Q63" s="34"/>
      <c r="R63" s="34"/>
      <c r="S63" s="34"/>
      <c r="T63" s="34"/>
      <c r="U63" s="34"/>
      <c r="V63" s="34"/>
      <c r="W63"/>
      <c r="X63"/>
      <c r="Y63"/>
      <c r="Z63"/>
      <c r="AA63"/>
      <c r="AB63"/>
      <c r="AC63"/>
      <c r="AD63"/>
      <c r="AE63"/>
      <c r="AF63"/>
      <c r="AG63"/>
      <c r="AH63"/>
      <c r="AI63"/>
      <c r="AJ63"/>
      <c r="AK63"/>
      <c r="AL63"/>
      <c r="AM63"/>
      <c r="AN63"/>
      <c r="AO63"/>
      <c r="AP63"/>
      <c r="AQ63"/>
      <c r="AR63"/>
      <c r="AS63"/>
      <c r="AT63"/>
      <c r="AU63"/>
      <c r="AV63"/>
      <c r="AW63"/>
      <c r="AX63"/>
      <c r="AY63"/>
      <c r="AZ63"/>
    </row>
    <row r="64" spans="1:52" ht="15" customHeight="1">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row>
    <row r="65" spans="1:52" ht="15" customHeight="1">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row>
    <row r="66" spans="1:52" ht="15" customHeight="1">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row>
    <row r="67" spans="1:52" ht="15" customHeight="1">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row>
    <row r="68" spans="1:52" ht="15" customHeight="1">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row>
    <row r="69" spans="1:52" ht="15" customHeight="1">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row>
    <row r="70" spans="1:52" ht="15" customHeight="1">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row>
    <row r="71" spans="1:52" ht="15" customHeight="1">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row>
    <row r="72" spans="1:52" ht="15" customHeight="1">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row>
    <row r="73" spans="1:52" ht="15" customHeight="1">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row>
    <row r="74" spans="1:52" ht="15" customHeight="1">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row>
    <row r="75" spans="1:52" ht="1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row>
    <row r="76" spans="1:52" ht="1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row>
    <row r="77" spans="1:52" ht="1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row>
    <row r="78" spans="1:52" ht="1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row>
    <row r="79" spans="1:52" ht="1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row>
    <row r="80" spans="1:52" ht="1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row>
    <row r="81" spans="1:52" ht="1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row>
    <row r="82" spans="1:52" ht="1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row>
    <row r="83" spans="1:52" ht="1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row>
    <row r="84" spans="1:52" ht="1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row>
    <row r="85" spans="1:52" ht="1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row>
    <row r="86" spans="1:52" ht="1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row>
    <row r="87" spans="1:52" ht="1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row>
    <row r="88" spans="1:52" ht="1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row>
    <row r="89" spans="1:52" ht="1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row>
    <row r="90" spans="1:52" ht="1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row>
    <row r="91" spans="1:52" ht="1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row>
    <row r="92" spans="1:52" ht="1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row>
    <row r="93" spans="1:52" ht="1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row>
    <row r="94" spans="1:52" ht="1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row>
    <row r="95" spans="1:52" ht="1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row>
    <row r="96" spans="1:52" ht="1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row>
    <row r="97" spans="1:52" ht="1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row>
    <row r="98" spans="1:52" ht="1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row>
    <row r="99" spans="1:52" ht="1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row>
    <row r="100" spans="1:52" ht="1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row>
    <row r="101" spans="1:52" ht="1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row>
    <row r="102" spans="1:52" ht="1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row>
    <row r="103" spans="1:52" ht="1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row>
    <row r="104" spans="1:52" ht="1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row>
    <row r="105" spans="1:52" ht="1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row>
    <row r="106" spans="1:52" ht="1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row>
    <row r="107" spans="1:52" ht="1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row>
    <row r="108" spans="1:52" ht="1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row>
    <row r="109" spans="1:52" ht="1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row>
    <row r="110" spans="1:52" ht="1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52" ht="1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52" ht="1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52" ht="1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52" ht="1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52" ht="1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row>
    <row r="116" spans="1:52" ht="1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row>
    <row r="117" spans="1:52" ht="1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row>
    <row r="118" spans="1:52" ht="1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row>
    <row r="119" spans="1:52" ht="1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row>
    <row r="120" spans="1:52" ht="1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row>
    <row r="121" spans="1:52" ht="1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row>
    <row r="122" spans="1:52" ht="1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row>
    <row r="123" spans="1:52" ht="1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row>
    <row r="124" spans="1:52" ht="1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row>
    <row r="125" spans="1:52" ht="1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row>
    <row r="126" spans="1:52" ht="1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row>
    <row r="127" spans="1:52" ht="1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row>
    <row r="128" spans="1:52" ht="1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row>
    <row r="129" spans="1:52" ht="1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row>
    <row r="130" spans="1:52" ht="1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row>
    <row r="131" spans="1:52" ht="1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row>
    <row r="132" spans="1:52" ht="1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row>
    <row r="133" spans="1:52" ht="1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row>
    <row r="134" spans="1:52" ht="1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row>
    <row r="135" spans="1:52" ht="1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row>
    <row r="136" spans="1:52" ht="1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row>
    <row r="137" spans="1:52" ht="1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row>
    <row r="138" spans="1:52" ht="1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row>
    <row r="139" spans="1:52" ht="1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row>
    <row r="140" spans="1:52" ht="1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row>
    <row r="141" spans="1:52" ht="1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row>
    <row r="142" spans="1:52" ht="1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row>
    <row r="143" spans="1:52" ht="1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row>
    <row r="144" spans="1:52" ht="1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row>
    <row r="145" spans="1:52" ht="1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row>
    <row r="146" spans="1:52" ht="1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row>
    <row r="147" spans="1:52" ht="1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row>
    <row r="148" spans="1:52" ht="1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row>
    <row r="149" spans="1:52" ht="1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row>
    <row r="150" spans="1:52" ht="1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row>
    <row r="151" spans="1:52" ht="1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row>
    <row r="152" spans="1:52" ht="1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row>
    <row r="153" spans="1:52" ht="1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row>
    <row r="154" spans="1:52" ht="1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row>
    <row r="155" spans="1:52" ht="1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row>
    <row r="156" spans="1:52" ht="1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row>
    <row r="157" spans="1:52" ht="1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row>
    <row r="158" spans="1:52" ht="1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row>
    <row r="159" spans="1:52" ht="1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row>
    <row r="160" spans="1:52" ht="1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row>
    <row r="161" spans="1:52" ht="1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row>
    <row r="162" spans="1:52" ht="1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row>
    <row r="163" spans="1:52" ht="1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row>
    <row r="164" spans="1:52" ht="1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row>
    <row r="165" spans="1:52" ht="1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row>
    <row r="166" spans="1:52" ht="1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row>
    <row r="167" spans="1:52" ht="1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row>
    <row r="168" spans="1:52" ht="1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row>
    <row r="169" spans="1:52" ht="1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row>
    <row r="170" spans="1:52" ht="1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row>
    <row r="171" spans="1:52" ht="1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row>
    <row r="172" spans="1:52" ht="1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row>
    <row r="173" spans="1:52" ht="1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row>
    <row r="174" spans="1:52" ht="1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row>
    <row r="175" spans="1:52" ht="1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row>
    <row r="176" spans="1:52" ht="1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row>
    <row r="177" spans="1:52" ht="1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row>
    <row r="178" spans="1:52" ht="1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row>
    <row r="179" spans="1:52" ht="1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row>
    <row r="180" spans="1:52" ht="1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row>
    <row r="181" spans="1:52" ht="1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row>
    <row r="182" spans="1:52" ht="1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row>
    <row r="183" spans="1:52" ht="1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row>
    <row r="184" spans="1:52" ht="1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row>
    <row r="185" spans="1:52" ht="1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row>
    <row r="186" spans="1:52" ht="1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row>
    <row r="187" spans="1:52" ht="1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row>
    <row r="188" spans="1:52" ht="1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row>
    <row r="189" spans="1:52" ht="1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row>
    <row r="190" spans="1:52" ht="1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row>
    <row r="191" spans="1:52" ht="1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row>
    <row r="192" spans="1:52" ht="1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row>
    <row r="193" spans="1:52" ht="1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row>
    <row r="194" spans="1:52" ht="1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row>
    <row r="195" spans="1:52" ht="1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row>
    <row r="196" spans="1:52" ht="1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row>
    <row r="197" spans="1:52" ht="1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row>
    <row r="198" spans="1:52" ht="1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row>
    <row r="199" spans="1:52" ht="1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row>
    <row r="200" spans="1:52" ht="1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row>
  </sheetData>
  <mergeCells count="70">
    <mergeCell ref="C63:E63"/>
    <mergeCell ref="F63:G63"/>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A13:A21"/>
    <mergeCell ref="K13:K21"/>
    <mergeCell ref="L13:L21"/>
    <mergeCell ref="M13:M21"/>
    <mergeCell ref="A22:A30"/>
    <mergeCell ref="K22:K30"/>
    <mergeCell ref="L22:L30"/>
    <mergeCell ref="M22:M30"/>
    <mergeCell ref="A1:M1"/>
    <mergeCell ref="A4:A12"/>
    <mergeCell ref="K4:K12"/>
    <mergeCell ref="L4:L12"/>
    <mergeCell ref="M4:M12"/>
    <mergeCell ref="A31:A39"/>
    <mergeCell ref="K31:K39"/>
    <mergeCell ref="L31:L39"/>
    <mergeCell ref="M31:M39"/>
    <mergeCell ref="A40:A48"/>
    <mergeCell ref="K40:K48"/>
    <mergeCell ref="L40:L48"/>
    <mergeCell ref="M40:M48"/>
    <mergeCell ref="B51:N51"/>
    <mergeCell ref="J52:L52"/>
    <mergeCell ref="M52:N52"/>
    <mergeCell ref="J53:L53"/>
    <mergeCell ref="M53:N53"/>
    <mergeCell ref="C52:E52"/>
    <mergeCell ref="F52:G52"/>
    <mergeCell ref="C53:E53"/>
    <mergeCell ref="F53:G53"/>
    <mergeCell ref="J54:L54"/>
    <mergeCell ref="M54:N54"/>
    <mergeCell ref="J55:L55"/>
    <mergeCell ref="M55:N55"/>
    <mergeCell ref="J56:L56"/>
    <mergeCell ref="M56:N56"/>
    <mergeCell ref="J57:L57"/>
    <mergeCell ref="M57:N57"/>
    <mergeCell ref="J58:L58"/>
    <mergeCell ref="M58:N58"/>
    <mergeCell ref="J59:L59"/>
    <mergeCell ref="M59:N59"/>
    <mergeCell ref="J63:L63"/>
    <mergeCell ref="M63:N63"/>
    <mergeCell ref="J60:L60"/>
    <mergeCell ref="M60:N60"/>
    <mergeCell ref="J61:L61"/>
    <mergeCell ref="M61:N61"/>
    <mergeCell ref="J62:L62"/>
    <mergeCell ref="M62:N6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8A673-1C37-4897-BF81-101628B20E0E}">
  <dimension ref="A1:S21"/>
  <sheetViews>
    <sheetView showGridLines="0" rightToLeft="1" zoomScale="81" workbookViewId="0">
      <pane ySplit="3" topLeftCell="A4" activePane="bottomLeft" state="frozen"/>
      <selection pane="bottomLeft" activeCell="A3" sqref="A3:J16"/>
    </sheetView>
  </sheetViews>
  <sheetFormatPr defaultRowHeight="14.5"/>
  <cols>
    <col min="1" max="11" width="20" customWidth="1"/>
    <col min="13" max="19" width="12.7265625" customWidth="1"/>
  </cols>
  <sheetData>
    <row r="1" spans="1:19" ht="18.5">
      <c r="A1" s="136" t="s">
        <v>421</v>
      </c>
      <c r="B1" s="136"/>
      <c r="C1" s="136"/>
      <c r="D1" s="136"/>
      <c r="E1" s="136"/>
      <c r="F1" s="136"/>
      <c r="G1" s="136"/>
      <c r="H1" s="136"/>
      <c r="I1" s="136"/>
      <c r="J1" s="136"/>
      <c r="K1" s="64"/>
    </row>
    <row r="2" spans="1:19">
      <c r="A2" s="33"/>
      <c r="B2" s="33"/>
      <c r="C2" s="33"/>
      <c r="D2" s="33"/>
      <c r="E2" s="33"/>
      <c r="F2" s="33"/>
      <c r="G2" s="33"/>
      <c r="H2" s="33"/>
      <c r="I2" s="33"/>
      <c r="J2" s="33"/>
      <c r="K2" s="33"/>
      <c r="M2" s="67" t="s">
        <v>423</v>
      </c>
    </row>
    <row r="3" spans="1:19" ht="48" customHeight="1">
      <c r="A3" s="9" t="s">
        <v>400</v>
      </c>
      <c r="B3" s="9" t="s">
        <v>241</v>
      </c>
      <c r="C3" s="9" t="s">
        <v>412</v>
      </c>
      <c r="D3" s="9" t="s">
        <v>424</v>
      </c>
      <c r="E3" s="9" t="s">
        <v>413</v>
      </c>
      <c r="F3" s="9" t="s">
        <v>414</v>
      </c>
      <c r="G3" s="9" t="s">
        <v>415</v>
      </c>
      <c r="H3" s="9" t="s">
        <v>419</v>
      </c>
      <c r="I3" s="9" t="s">
        <v>422</v>
      </c>
      <c r="J3" s="9" t="s">
        <v>420</v>
      </c>
      <c r="M3" s="66">
        <v>1</v>
      </c>
      <c r="N3" s="66">
        <v>2</v>
      </c>
      <c r="O3" s="66">
        <v>3</v>
      </c>
      <c r="P3" s="66">
        <v>4</v>
      </c>
      <c r="Q3" s="66">
        <v>5</v>
      </c>
      <c r="R3" s="66">
        <v>6</v>
      </c>
      <c r="S3" s="66">
        <v>7</v>
      </c>
    </row>
    <row r="4" spans="1:19">
      <c r="A4" s="8">
        <f>'ملخص البطولات'!A4</f>
        <v>5</v>
      </c>
      <c r="B4" s="1">
        <f>'ملخص البطولات'!M4</f>
        <v>1</v>
      </c>
      <c r="C4" s="1">
        <f>'ملخص البطولات'!K4*المدخلات!$B$10</f>
        <v>1</v>
      </c>
      <c r="D4" s="61">
        <f>I4*المدخلات!$B$5/60</f>
        <v>2.5</v>
      </c>
      <c r="E4" s="61">
        <f t="shared" ref="E4:E15" si="0">C4*D4</f>
        <v>2.5</v>
      </c>
      <c r="F4" s="1">
        <f t="shared" ref="F4:F15" si="1">B4*C4</f>
        <v>1</v>
      </c>
      <c r="G4" s="61">
        <f t="shared" ref="G4:G15" si="2">B4*E4</f>
        <v>2.5</v>
      </c>
      <c r="H4" s="1">
        <f>'ملخص البطولات'!F4</f>
        <v>7</v>
      </c>
      <c r="I4" s="1">
        <f t="shared" ref="I4:I15" si="3">MAX(M4:S4)</f>
        <v>10</v>
      </c>
      <c r="J4" s="61">
        <f t="shared" ref="J4:J15" si="4">G4*H4</f>
        <v>17.5</v>
      </c>
      <c r="M4" s="1">
        <f>IFERROR(IFERROR(MATCH("اليوم "&amp;(M$3+1),'5 فرق'!$A$1:$A$73,0),74)-MATCH("اليوم "&amp;M$3,'5 فرق'!$A$1:$A$73,0),0)</f>
        <v>10</v>
      </c>
      <c r="N4" s="1">
        <f>IFERROR(IFERROR(MATCH("اليوم "&amp;(N$3+1),'5 فرق'!$A$1:$A$73,0),74)-MATCH("اليوم "&amp;N$3,'5 فرق'!$A$1:$A$73,0),0)</f>
        <v>10</v>
      </c>
      <c r="O4" s="1">
        <f>IFERROR(IFERROR(MATCH("اليوم "&amp;(O$3+1),'5 فرق'!$A$1:$A$73,0),74)-MATCH("اليوم "&amp;O$3,'5 فرق'!$A$1:$A$73,0),0)</f>
        <v>10</v>
      </c>
      <c r="P4" s="1">
        <f>IFERROR(IFERROR(MATCH("اليوم "&amp;(P$3+1),'5 فرق'!$A$1:$A$73,0),74)-MATCH("اليوم "&amp;P$3,'5 فرق'!$A$1:$A$73,0),0)</f>
        <v>10</v>
      </c>
      <c r="Q4" s="1">
        <f>IFERROR(IFERROR(MATCH("اليوم "&amp;(Q$3+1),'5 فرق'!$A$1:$A$73,0),74)-MATCH("اليوم "&amp;Q$3,'5 فرق'!$A$1:$A$73,0),0)</f>
        <v>10</v>
      </c>
      <c r="R4" s="1">
        <f>IFERROR(IFERROR(MATCH("اليوم "&amp;(R$3+1),'5 فرق'!$A$1:$A$73,0),74)-MATCH("اليوم "&amp;R$3,'5 فرق'!$A$1:$A$73,0),0)</f>
        <v>10</v>
      </c>
      <c r="S4" s="1">
        <f>IFERROR(IFERROR(MATCH("اليوم "&amp;(S$3+1),'5 فرق'!$A$1:$A$73,0),74)-MATCH("اليوم "&amp;S$3,'5 فرق'!$A$1:$A$73,0),0)</f>
        <v>10</v>
      </c>
    </row>
    <row r="5" spans="1:19">
      <c r="A5" s="8">
        <f>'ملخص البطولات'!A5</f>
        <v>6</v>
      </c>
      <c r="B5" s="1">
        <f>'ملخص البطولات'!M5</f>
        <v>3</v>
      </c>
      <c r="C5" s="1">
        <f>'ملخص البطولات'!K5*المدخلات!$B$10</f>
        <v>3</v>
      </c>
      <c r="D5" s="61">
        <f>I5*المدخلات!$B$5/60</f>
        <v>2.25</v>
      </c>
      <c r="E5" s="61">
        <f t="shared" si="0"/>
        <v>6.75</v>
      </c>
      <c r="F5" s="1">
        <f t="shared" si="1"/>
        <v>9</v>
      </c>
      <c r="G5" s="61">
        <f t="shared" si="2"/>
        <v>20.25</v>
      </c>
      <c r="H5" s="1">
        <f>'ملخص البطولات'!F5</f>
        <v>6</v>
      </c>
      <c r="I5" s="1">
        <f t="shared" si="3"/>
        <v>9</v>
      </c>
      <c r="J5" s="61">
        <f t="shared" si="4"/>
        <v>121.5</v>
      </c>
      <c r="M5" s="1">
        <f>IFERROR(IFERROR(MATCH("اليوم "&amp;(M$3+1),'6 فرق'!$A$1:$A$47,0),48)-MATCH("اليوم "&amp;M$3,'6 فرق'!$A$1:$A$47,0),0)</f>
        <v>7</v>
      </c>
      <c r="N5" s="1">
        <f>IFERROR(IFERROR(MATCH("اليوم "&amp;(N$3+1),'6 فرق'!$A$1:$A$47,0),48)-MATCH("اليوم "&amp;N$3,'6 فرق'!$A$1:$A$47,0),0)</f>
        <v>7</v>
      </c>
      <c r="O5" s="1">
        <f>IFERROR(IFERROR(MATCH("اليوم "&amp;(O$3+1),'6 فرق'!$A$1:$A$47,0),48)-MATCH("اليوم "&amp;O$3,'6 فرق'!$A$1:$A$47,0),0)</f>
        <v>7</v>
      </c>
      <c r="P5" s="1">
        <f>IFERROR(IFERROR(MATCH("اليوم "&amp;(P$3+1),'6 فرق'!$A$1:$A$47,0),48)-MATCH("اليوم "&amp;P$3,'6 فرق'!$A$1:$A$47,0),0)</f>
        <v>7</v>
      </c>
      <c r="Q5" s="1">
        <f>IFERROR(IFERROR(MATCH("اليوم "&amp;(Q$3+1),'6 فرق'!$A$1:$A$47,0),48)-MATCH("اليوم "&amp;Q$3,'6 فرق'!$A$1:$A$47,0),0)</f>
        <v>7</v>
      </c>
      <c r="R5" s="1">
        <f>IFERROR(IFERROR(MATCH("اليوم "&amp;(R$3+1),'6 فرق'!$A$1:$A$47,0),48)-MATCH("اليوم "&amp;R$3,'6 فرق'!$A$1:$A$47,0),0)</f>
        <v>9</v>
      </c>
      <c r="S5" s="1">
        <f>IFERROR(IFERROR(MATCH("اليوم "&amp;(S$3+1),'6 فرق'!$A$1:$A$47,0),48)-MATCH("اليوم "&amp;S$3,'6 فرق'!$A$1:$A$47,0),0)</f>
        <v>0</v>
      </c>
    </row>
    <row r="6" spans="1:19">
      <c r="A6" s="8">
        <f>'ملخص البطولات'!A6</f>
        <v>7</v>
      </c>
      <c r="B6" s="1">
        <f>'ملخص البطولات'!M6</f>
        <v>2</v>
      </c>
      <c r="C6" s="1">
        <f>'ملخص البطولات'!K6*المدخلات!$B$10</f>
        <v>2</v>
      </c>
      <c r="D6" s="61">
        <f>I6*المدخلات!$B$5/60</f>
        <v>2.25</v>
      </c>
      <c r="E6" s="61">
        <f t="shared" si="0"/>
        <v>4.5</v>
      </c>
      <c r="F6" s="1">
        <f t="shared" si="1"/>
        <v>4</v>
      </c>
      <c r="G6" s="61">
        <f t="shared" si="2"/>
        <v>9</v>
      </c>
      <c r="H6" s="1">
        <f>'ملخص البطولات'!F6</f>
        <v>6</v>
      </c>
      <c r="I6" s="1">
        <f t="shared" si="3"/>
        <v>9</v>
      </c>
      <c r="J6" s="61">
        <f t="shared" si="4"/>
        <v>54</v>
      </c>
      <c r="M6" s="1">
        <f>IFERROR(IFERROR(MATCH("اليوم "&amp;(M$3+1),'7 فرق'!$A$1:$A$57,0),58)-MATCH("اليوم "&amp;M$3,'7 فرق'!$A$1:$A$57,0),0)</f>
        <v>9</v>
      </c>
      <c r="N6" s="1">
        <f>IFERROR(IFERROR(MATCH("اليوم "&amp;(N$3+1),'7 فرق'!$A$1:$A$57,0),58)-MATCH("اليوم "&amp;N$3,'7 فرق'!$A$1:$A$57,0),0)</f>
        <v>9</v>
      </c>
      <c r="O6" s="1">
        <f>IFERROR(IFERROR(MATCH("اليوم "&amp;(O$3+1),'7 فرق'!$A$1:$A$57,0),58)-MATCH("اليوم "&amp;O$3,'7 فرق'!$A$1:$A$57,0),0)</f>
        <v>9</v>
      </c>
      <c r="P6" s="1">
        <f>IFERROR(IFERROR(MATCH("اليوم "&amp;(P$3+1),'7 فرق'!$A$1:$A$57,0),58)-MATCH("اليوم "&amp;P$3,'7 فرق'!$A$1:$A$57,0),0)</f>
        <v>9</v>
      </c>
      <c r="Q6" s="1">
        <f>IFERROR(IFERROR(MATCH("اليوم "&amp;(Q$3+1),'7 فرق'!$A$1:$A$57,0),58)-MATCH("اليوم "&amp;Q$3,'7 فرق'!$A$1:$A$57,0),0)</f>
        <v>9</v>
      </c>
      <c r="R6" s="1">
        <f>IFERROR(IFERROR(MATCH("اليوم "&amp;(R$3+1),'7 فرق'!$A$1:$A$57,0),58)-MATCH("اليوم "&amp;R$3,'7 فرق'!$A$1:$A$57,0),0)</f>
        <v>9</v>
      </c>
      <c r="S6" s="1">
        <f>IFERROR(IFERROR(MATCH("اليوم "&amp;(S$3+1),'7 فرق'!$A$1:$A$57,0),58)-MATCH("اليوم "&amp;S$3,'7 فرق'!$A$1:$A$57,0),0)</f>
        <v>0</v>
      </c>
    </row>
    <row r="7" spans="1:19">
      <c r="A7" s="8">
        <f>'ملخص البطولات'!A7</f>
        <v>8</v>
      </c>
      <c r="B7" s="1">
        <f>'ملخص البطولات'!M7</f>
        <v>3</v>
      </c>
      <c r="C7" s="1">
        <f>'ملخص البطولات'!K7*المدخلات!$B$10</f>
        <v>4</v>
      </c>
      <c r="D7" s="61">
        <f>I7*المدخلات!$B$5/60</f>
        <v>1.75</v>
      </c>
      <c r="E7" s="61">
        <f t="shared" si="0"/>
        <v>7</v>
      </c>
      <c r="F7" s="1">
        <f t="shared" si="1"/>
        <v>12</v>
      </c>
      <c r="G7" s="61">
        <f t="shared" si="2"/>
        <v>21</v>
      </c>
      <c r="H7" s="1">
        <f>'ملخص البطولات'!F7</f>
        <v>7</v>
      </c>
      <c r="I7" s="1">
        <f t="shared" si="3"/>
        <v>7</v>
      </c>
      <c r="J7" s="61">
        <f t="shared" si="4"/>
        <v>147</v>
      </c>
      <c r="M7" s="1">
        <f>IFERROR(IFERROR(MATCH("اليوم "&amp;(M$3+1),'8 فرق'!$A$1:$A$52,0),53)-MATCH("اليوم "&amp;M$3,'8 فرق'!$A$1:$A$52,0),0)</f>
        <v>7</v>
      </c>
      <c r="N7" s="1">
        <f>IFERROR(IFERROR(MATCH("اليوم "&amp;(N$3+1),'8 فرق'!$A$1:$A$52,0),53)-MATCH("اليوم "&amp;N$3,'8 فرق'!$A$1:$A$52,0),0)</f>
        <v>7</v>
      </c>
      <c r="O7" s="1">
        <f>IFERROR(IFERROR(MATCH("اليوم "&amp;(O$3+1),'8 فرق'!$A$1:$A$52,0),53)-MATCH("اليوم "&amp;O$3,'8 فرق'!$A$1:$A$52,0),0)</f>
        <v>7</v>
      </c>
      <c r="P7" s="1">
        <f>IFERROR(IFERROR(MATCH("اليوم "&amp;(P$3+1),'8 فرق'!$A$1:$A$52,0),53)-MATCH("اليوم "&amp;P$3,'8 فرق'!$A$1:$A$52,0),0)</f>
        <v>7</v>
      </c>
      <c r="Q7" s="1">
        <f>IFERROR(IFERROR(MATCH("اليوم "&amp;(Q$3+1),'8 فرق'!$A$1:$A$52,0),53)-MATCH("اليوم "&amp;Q$3,'8 فرق'!$A$1:$A$52,0),0)</f>
        <v>7</v>
      </c>
      <c r="R7" s="1">
        <f>IFERROR(IFERROR(MATCH("اليوم "&amp;(R$3+1),'8 فرق'!$A$1:$A$52,0),53)-MATCH("اليوم "&amp;R$3,'8 فرق'!$A$1:$A$52,0),0)</f>
        <v>7</v>
      </c>
      <c r="S7" s="1">
        <f>IFERROR(IFERROR(MATCH("اليوم "&amp;(S$3+1),'8 فرق'!$A$1:$A$52,0),53)-MATCH("اليوم "&amp;S$3,'8 فرق'!$A$1:$A$52,0),0)</f>
        <v>7</v>
      </c>
    </row>
    <row r="8" spans="1:19">
      <c r="A8" s="8">
        <f>'ملخص البطولات'!A8</f>
        <v>9</v>
      </c>
      <c r="B8" s="1">
        <f>'ملخص البطولات'!M8</f>
        <v>3</v>
      </c>
      <c r="C8" s="1">
        <f>'ملخص البطولات'!K8*المدخلات!$B$10</f>
        <v>3</v>
      </c>
      <c r="D8" s="61">
        <f>I8*المدخلات!$B$5/60</f>
        <v>2.25</v>
      </c>
      <c r="E8" s="61">
        <f t="shared" si="0"/>
        <v>6.75</v>
      </c>
      <c r="F8" s="1">
        <f t="shared" si="1"/>
        <v>9</v>
      </c>
      <c r="G8" s="61">
        <f t="shared" si="2"/>
        <v>20.25</v>
      </c>
      <c r="H8" s="1">
        <f>'ملخص البطولات'!F8</f>
        <v>6</v>
      </c>
      <c r="I8" s="1">
        <f t="shared" si="3"/>
        <v>9</v>
      </c>
      <c r="J8" s="61">
        <f t="shared" si="4"/>
        <v>121.5</v>
      </c>
      <c r="M8" s="1">
        <f>IFERROR(IFERROR(MATCH("اليوم "&amp;(M$3+1),'9 فرق'!$A$1:$A$57,0),58)-MATCH("اليوم "&amp;M$3,'9 فرق'!$A$1:$A$57,0),0)</f>
        <v>9</v>
      </c>
      <c r="N8" s="1">
        <f>IFERROR(IFERROR(MATCH("اليوم "&amp;(N$3+1),'9 فرق'!$A$1:$A$57,0),58)-MATCH("اليوم "&amp;N$3,'9 فرق'!$A$1:$A$57,0),0)</f>
        <v>9</v>
      </c>
      <c r="O8" s="1">
        <f>IFERROR(IFERROR(MATCH("اليوم "&amp;(O$3+1),'9 فرق'!$A$1:$A$57,0),58)-MATCH("اليوم "&amp;O$3,'9 فرق'!$A$1:$A$57,0),0)</f>
        <v>9</v>
      </c>
      <c r="P8" s="1">
        <f>IFERROR(IFERROR(MATCH("اليوم "&amp;(P$3+1),'9 فرق'!$A$1:$A$57,0),58)-MATCH("اليوم "&amp;P$3,'9 فرق'!$A$1:$A$57,0),0)</f>
        <v>9</v>
      </c>
      <c r="Q8" s="1">
        <f>IFERROR(IFERROR(MATCH("اليوم "&amp;(Q$3+1),'9 فرق'!$A$1:$A$57,0),58)-MATCH("اليوم "&amp;Q$3,'9 فرق'!$A$1:$A$57,0),0)</f>
        <v>9</v>
      </c>
      <c r="R8" s="1">
        <f>IFERROR(IFERROR(MATCH("اليوم "&amp;(R$3+1),'9 فرق'!$A$1:$A$57,0),58)-MATCH("اليوم "&amp;R$3,'9 فرق'!$A$1:$A$57,0),0)</f>
        <v>9</v>
      </c>
      <c r="S8" s="1">
        <f>IFERROR(IFERROR(MATCH("اليوم "&amp;(S$3+1),'9 فرق'!$A$1:$A$57,0),58)-MATCH("اليوم "&amp;S$3,'9 فرق'!$A$1:$A$57,0),0)</f>
        <v>0</v>
      </c>
    </row>
    <row r="9" spans="1:19">
      <c r="A9" s="8">
        <f>'ملخص البطولات'!A9</f>
        <v>11</v>
      </c>
      <c r="B9" s="1">
        <f>'ملخص البطولات'!M9</f>
        <v>1</v>
      </c>
      <c r="C9" s="1">
        <f>'ملخص البطولات'!K9*المدخلات!$B$10</f>
        <v>4</v>
      </c>
      <c r="D9" s="61">
        <f>I9*المدخلات!$B$5/60</f>
        <v>2.25</v>
      </c>
      <c r="E9" s="61">
        <f t="shared" si="0"/>
        <v>9</v>
      </c>
      <c r="F9" s="1">
        <f t="shared" si="1"/>
        <v>4</v>
      </c>
      <c r="G9" s="61">
        <f t="shared" si="2"/>
        <v>9</v>
      </c>
      <c r="H9" s="1">
        <f>'ملخص البطولات'!F9</f>
        <v>5</v>
      </c>
      <c r="I9" s="1">
        <f t="shared" si="3"/>
        <v>9</v>
      </c>
      <c r="J9" s="61">
        <f t="shared" si="4"/>
        <v>45</v>
      </c>
      <c r="M9" s="1">
        <f>IFERROR(IFERROR(MATCH("اليوم "&amp;(M$3+1),'11 فريقًا'!$A$1:$A$48,0),49)-MATCH("اليوم "&amp;M$3,'11 فريقًا'!$A$1:$A$48,0),0)</f>
        <v>9</v>
      </c>
      <c r="N9" s="1">
        <f>IFERROR(IFERROR(MATCH("اليوم "&amp;(N$3+1),'11 فريقًا'!$A$1:$A$48,0),49)-MATCH("اليوم "&amp;N$3,'11 فريقًا'!$A$1:$A$48,0),0)</f>
        <v>9</v>
      </c>
      <c r="O9" s="1">
        <f>IFERROR(IFERROR(MATCH("اليوم "&amp;(O$3+1),'11 فريقًا'!$A$1:$A$48,0),49)-MATCH("اليوم "&amp;O$3,'11 فريقًا'!$A$1:$A$48,0),0)</f>
        <v>9</v>
      </c>
      <c r="P9" s="1">
        <f>IFERROR(IFERROR(MATCH("اليوم "&amp;(P$3+1),'11 فريقًا'!$A$1:$A$48,0),49)-MATCH("اليوم "&amp;P$3,'11 فريقًا'!$A$1:$A$48,0),0)</f>
        <v>9</v>
      </c>
      <c r="Q9" s="1">
        <f>IFERROR(IFERROR(MATCH("اليوم "&amp;(Q$3+1),'11 فريقًا'!$A$1:$A$48,0),49)-MATCH("اليوم "&amp;Q$3,'11 فريقًا'!$A$1:$A$48,0),0)</f>
        <v>9</v>
      </c>
      <c r="R9" s="1">
        <f>IFERROR(IFERROR(MATCH("اليوم "&amp;(R$3+1),'11 فريقًا'!$A$1:$A$48,0),49)-MATCH("اليوم "&amp;R$3,'11 فريقًا'!$A$1:$A$48,0),0)</f>
        <v>0</v>
      </c>
      <c r="S9" s="1">
        <f>IFERROR(IFERROR(MATCH("اليوم "&amp;(S$3+1),'11 فريقًا'!$A$1:$A$48,0),49)-MATCH("اليوم "&amp;S$3,'11 فريقًا'!$A$1:$A$48,0),0)</f>
        <v>0</v>
      </c>
    </row>
    <row r="10" spans="1:19">
      <c r="A10" s="8">
        <f>'ملخص البطولات'!A10</f>
        <v>12</v>
      </c>
      <c r="B10" s="1">
        <f>'ملخص البطولات'!M10</f>
        <v>2</v>
      </c>
      <c r="C10" s="1">
        <f>'ملخص البطولات'!K10*المدخلات!$B$10</f>
        <v>6</v>
      </c>
      <c r="D10" s="61">
        <f>I10*المدخلات!$B$5/60</f>
        <v>2.25</v>
      </c>
      <c r="E10" s="61">
        <f t="shared" si="0"/>
        <v>13.5</v>
      </c>
      <c r="F10" s="1">
        <f t="shared" si="1"/>
        <v>12</v>
      </c>
      <c r="G10" s="61">
        <f t="shared" si="2"/>
        <v>27</v>
      </c>
      <c r="H10" s="1">
        <f>'ملخص البطولات'!F10</f>
        <v>6</v>
      </c>
      <c r="I10" s="1">
        <f t="shared" si="3"/>
        <v>9</v>
      </c>
      <c r="J10" s="61">
        <f t="shared" si="4"/>
        <v>162</v>
      </c>
      <c r="M10" s="1">
        <f>IFERROR(IFERROR(MATCH("اليوم "&amp;(M$3+1),'12 فريقًا'!$A$1:$A$57,0),58)-MATCH("اليوم "&amp;M$3,'12 فريقًا'!$A$1:$A$57,0),0)</f>
        <v>9</v>
      </c>
      <c r="N10" s="1">
        <f>IFERROR(IFERROR(MATCH("اليوم "&amp;(N$3+1),'12 فريقًا'!$A$1:$A$57,0),58)-MATCH("اليوم "&amp;N$3,'12 فريقًا'!$A$1:$A$57,0),0)</f>
        <v>9</v>
      </c>
      <c r="O10" s="1">
        <f>IFERROR(IFERROR(MATCH("اليوم "&amp;(O$3+1),'12 فريقًا'!$A$1:$A$57,0),58)-MATCH("اليوم "&amp;O$3,'12 فريقًا'!$A$1:$A$57,0),0)</f>
        <v>9</v>
      </c>
      <c r="P10" s="1">
        <f>IFERROR(IFERROR(MATCH("اليوم "&amp;(P$3+1),'12 فريقًا'!$A$1:$A$57,0),58)-MATCH("اليوم "&amp;P$3,'12 فريقًا'!$A$1:$A$57,0),0)</f>
        <v>9</v>
      </c>
      <c r="Q10" s="1">
        <f>IFERROR(IFERROR(MATCH("اليوم "&amp;(Q$3+1),'12 فريقًا'!$A$1:$A$57,0),58)-MATCH("اليوم "&amp;Q$3,'12 فريقًا'!$A$1:$A$57,0),0)</f>
        <v>9</v>
      </c>
      <c r="R10" s="1">
        <f>IFERROR(IFERROR(MATCH("اليوم "&amp;(R$3+1),'12 فريقًا'!$A$1:$A$57,0),58)-MATCH("اليوم "&amp;R$3,'12 فريقًا'!$A$1:$A$57,0),0)</f>
        <v>9</v>
      </c>
      <c r="S10" s="1">
        <f>IFERROR(IFERROR(MATCH("اليوم "&amp;(S$3+1),'12 فريقًا'!$A$1:$A$57,0),58)-MATCH("اليوم "&amp;S$3,'12 فريقًا'!$A$1:$A$57,0),0)</f>
        <v>0</v>
      </c>
    </row>
    <row r="11" spans="1:19">
      <c r="A11" s="8">
        <f>'ملخص البطولات'!A11</f>
        <v>13</v>
      </c>
      <c r="B11" s="1">
        <f>'ملخص البطولات'!M11</f>
        <v>2</v>
      </c>
      <c r="C11" s="1">
        <f>'ملخص البطولات'!K11*المدخلات!$B$10</f>
        <v>5</v>
      </c>
      <c r="D11" s="61">
        <f>I11*المدخلات!$B$5/60</f>
        <v>2.25</v>
      </c>
      <c r="E11" s="61">
        <f t="shared" si="0"/>
        <v>11.25</v>
      </c>
      <c r="F11" s="1">
        <f t="shared" si="1"/>
        <v>10</v>
      </c>
      <c r="G11" s="61">
        <f t="shared" si="2"/>
        <v>22.5</v>
      </c>
      <c r="H11" s="1">
        <f>'ملخص البطولات'!F11</f>
        <v>6</v>
      </c>
      <c r="I11" s="1">
        <f t="shared" si="3"/>
        <v>9</v>
      </c>
      <c r="J11" s="61">
        <f t="shared" si="4"/>
        <v>135</v>
      </c>
      <c r="M11" s="1">
        <f>IFERROR(IFERROR(MATCH("اليوم "&amp;(M$3+1),'13 فريقًا'!$A$1:$A$57,0),58)-MATCH("اليوم "&amp;M$3,'13 فريقًا'!$A$1:$A$57,0),0)</f>
        <v>9</v>
      </c>
      <c r="N11" s="1">
        <f>IFERROR(IFERROR(MATCH("اليوم "&amp;(N$3+1),'13 فريقًا'!$A$1:$A$57,0),58)-MATCH("اليوم "&amp;N$3,'13 فريقًا'!$A$1:$A$57,0),0)</f>
        <v>9</v>
      </c>
      <c r="O11" s="1">
        <f>IFERROR(IFERROR(MATCH("اليوم "&amp;(O$3+1),'13 فريقًا'!$A$1:$A$57,0),58)-MATCH("اليوم "&amp;O$3,'13 فريقًا'!$A$1:$A$57,0),0)</f>
        <v>9</v>
      </c>
      <c r="P11" s="1">
        <f>IFERROR(IFERROR(MATCH("اليوم "&amp;(P$3+1),'13 فريقًا'!$A$1:$A$57,0),58)-MATCH("اليوم "&amp;P$3,'13 فريقًا'!$A$1:$A$57,0),0)</f>
        <v>9</v>
      </c>
      <c r="Q11" s="1">
        <f>IFERROR(IFERROR(MATCH("اليوم "&amp;(Q$3+1),'13 فريقًا'!$A$1:$A$57,0),58)-MATCH("اليوم "&amp;Q$3,'13 فريقًا'!$A$1:$A$57,0),0)</f>
        <v>9</v>
      </c>
      <c r="R11" s="1">
        <f>IFERROR(IFERROR(MATCH("اليوم "&amp;(R$3+1),'13 فريقًا'!$A$1:$A$57,0),58)-MATCH("اليوم "&amp;R$3,'13 فريقًا'!$A$1:$A$57,0),0)</f>
        <v>9</v>
      </c>
      <c r="S11" s="1">
        <f>IFERROR(IFERROR(MATCH("اليوم "&amp;(S$3+1),'13 فريقًا'!$A$1:$A$57,0),58)-MATCH("اليوم "&amp;S$3,'13 فريقًا'!$A$1:$A$57,0),0)</f>
        <v>0</v>
      </c>
    </row>
    <row r="12" spans="1:19">
      <c r="A12" s="8">
        <f>'ملخص البطولات'!A12</f>
        <v>15</v>
      </c>
      <c r="B12" s="1">
        <f>'ملخص البطولات'!M12</f>
        <v>1</v>
      </c>
      <c r="C12" s="1">
        <f>'ملخص البطولات'!K12*المدخلات!$B$10</f>
        <v>6</v>
      </c>
      <c r="D12" s="61">
        <f>I12*المدخلات!$B$5/60</f>
        <v>2.25</v>
      </c>
      <c r="E12" s="61">
        <f t="shared" si="0"/>
        <v>13.5</v>
      </c>
      <c r="F12" s="1">
        <f t="shared" si="1"/>
        <v>6</v>
      </c>
      <c r="G12" s="61">
        <f t="shared" si="2"/>
        <v>13.5</v>
      </c>
      <c r="H12" s="1">
        <f>'ملخص البطولات'!F12</f>
        <v>7</v>
      </c>
      <c r="I12" s="1">
        <f t="shared" si="3"/>
        <v>9</v>
      </c>
      <c r="J12" s="61">
        <f t="shared" si="4"/>
        <v>94.5</v>
      </c>
      <c r="M12" s="1">
        <f>IFERROR(IFERROR(MATCH("اليوم "&amp;(M$3+1),'15 فريقًا'!$A$1:$A$66,0),67)-MATCH("اليوم "&amp;M$3,'15 فريقًا'!$A$1:$A$66,0),0)</f>
        <v>9</v>
      </c>
      <c r="N12" s="1">
        <f>IFERROR(IFERROR(MATCH("اليوم "&amp;(N$3+1),'15 فريقًا'!$A$1:$A$66,0),67)-MATCH("اليوم "&amp;N$3,'15 فريقًا'!$A$1:$A$66,0),0)</f>
        <v>9</v>
      </c>
      <c r="O12" s="1">
        <f>IFERROR(IFERROR(MATCH("اليوم "&amp;(O$3+1),'15 فريقًا'!$A$1:$A$66,0),67)-MATCH("اليوم "&amp;O$3,'15 فريقًا'!$A$1:$A$66,0),0)</f>
        <v>9</v>
      </c>
      <c r="P12" s="1">
        <f>IFERROR(IFERROR(MATCH("اليوم "&amp;(P$3+1),'15 فريقًا'!$A$1:$A$66,0),67)-MATCH("اليوم "&amp;P$3,'15 فريقًا'!$A$1:$A$66,0),0)</f>
        <v>9</v>
      </c>
      <c r="Q12" s="1">
        <f>IFERROR(IFERROR(MATCH("اليوم "&amp;(Q$3+1),'15 فريقًا'!$A$1:$A$66,0),67)-MATCH("اليوم "&amp;Q$3,'15 فريقًا'!$A$1:$A$66,0),0)</f>
        <v>9</v>
      </c>
      <c r="R12" s="1">
        <f>IFERROR(IFERROR(MATCH("اليوم "&amp;(R$3+1),'15 فريقًا'!$A$1:$A$66,0),67)-MATCH("اليوم "&amp;R$3,'15 فريقًا'!$A$1:$A$66,0),0)</f>
        <v>9</v>
      </c>
      <c r="S12" s="1">
        <f>IFERROR(IFERROR(MATCH("اليوم "&amp;(S$3+1),'15 فريقًا'!$A$1:$A$66,0),67)-MATCH("اليوم "&amp;S$3,'15 فريقًا'!$A$1:$A$66,0),0)</f>
        <v>9</v>
      </c>
    </row>
    <row r="13" spans="1:19">
      <c r="A13" s="8">
        <f>'ملخص البطولات'!A13</f>
        <v>16</v>
      </c>
      <c r="B13" s="1">
        <f>'ملخص البطولات'!M13</f>
        <v>1</v>
      </c>
      <c r="C13" s="1">
        <f>'ملخص البطولات'!K13*المدخلات!$B$10</f>
        <v>8</v>
      </c>
      <c r="D13" s="61">
        <f>I13*المدخلات!$B$5/60</f>
        <v>1.75</v>
      </c>
      <c r="E13" s="61">
        <f t="shared" si="0"/>
        <v>14</v>
      </c>
      <c r="F13" s="1">
        <f t="shared" si="1"/>
        <v>8</v>
      </c>
      <c r="G13" s="61">
        <f t="shared" si="2"/>
        <v>14</v>
      </c>
      <c r="H13" s="1">
        <f>'ملخص البطولات'!F13</f>
        <v>7</v>
      </c>
      <c r="I13" s="1">
        <f t="shared" si="3"/>
        <v>7</v>
      </c>
      <c r="J13" s="61">
        <f t="shared" si="4"/>
        <v>98</v>
      </c>
      <c r="M13" s="1">
        <f>IFERROR(IFERROR(MATCH("اليوم "&amp;(M$3+1),'16 فريقًا'!$A$1:$A$52,0),53)-MATCH("اليوم "&amp;M$3,'16 فريقًا'!$A$1:$A$52,0),0)</f>
        <v>7</v>
      </c>
      <c r="N13" s="1">
        <f>IFERROR(IFERROR(MATCH("اليوم "&amp;(N$3+1),'16 فريقًا'!$A$1:$A$52,0),53)-MATCH("اليوم "&amp;N$3,'16 فريقًا'!$A$1:$A$52,0),0)</f>
        <v>7</v>
      </c>
      <c r="O13" s="1">
        <f>IFERROR(IFERROR(MATCH("اليوم "&amp;(O$3+1),'16 فريقًا'!$A$1:$A$52,0),53)-MATCH("اليوم "&amp;O$3,'16 فريقًا'!$A$1:$A$52,0),0)</f>
        <v>7</v>
      </c>
      <c r="P13" s="1">
        <f>IFERROR(IFERROR(MATCH("اليوم "&amp;(P$3+1),'16 فريقًا'!$A$1:$A$52,0),53)-MATCH("اليوم "&amp;P$3,'16 فريقًا'!$A$1:$A$52,0),0)</f>
        <v>7</v>
      </c>
      <c r="Q13" s="1">
        <f>IFERROR(IFERROR(MATCH("اليوم "&amp;(Q$3+1),'16 فريقًا'!$A$1:$A$52,0),53)-MATCH("اليوم "&amp;Q$3,'16 فريقًا'!$A$1:$A$52,0),0)</f>
        <v>7</v>
      </c>
      <c r="R13" s="1">
        <f>IFERROR(IFERROR(MATCH("اليوم "&amp;(R$3+1),'16 فريقًا'!$A$1:$A$52,0),53)-MATCH("اليوم "&amp;R$3,'16 فريقًا'!$A$1:$A$52,0),0)</f>
        <v>7</v>
      </c>
      <c r="S13" s="1">
        <f>IFERROR(IFERROR(MATCH("اليوم "&amp;(S$3+1),'16 فريقًا'!$A$1:$A$52,0),53)-MATCH("اليوم "&amp;S$3,'16 فريقًا'!$A$1:$A$52,0),0)</f>
        <v>7</v>
      </c>
    </row>
    <row r="14" spans="1:19">
      <c r="A14" s="8">
        <f>'ملخص البطولات'!A14</f>
        <v>17</v>
      </c>
      <c r="B14" s="1">
        <f>'ملخص البطولات'!M14</f>
        <v>1</v>
      </c>
      <c r="C14" s="1">
        <f>'ملخص البطولات'!K14*المدخلات!$B$10</f>
        <v>8</v>
      </c>
      <c r="D14" s="61">
        <f>I14*المدخلات!$B$5/60</f>
        <v>2.25</v>
      </c>
      <c r="E14" s="61">
        <f t="shared" si="0"/>
        <v>18</v>
      </c>
      <c r="F14" s="1">
        <f t="shared" si="1"/>
        <v>8</v>
      </c>
      <c r="G14" s="61">
        <f t="shared" si="2"/>
        <v>18</v>
      </c>
      <c r="H14" s="1">
        <f>'ملخص البطولات'!F14</f>
        <v>7</v>
      </c>
      <c r="I14" s="1">
        <f t="shared" si="3"/>
        <v>9</v>
      </c>
      <c r="J14" s="61">
        <f t="shared" si="4"/>
        <v>126</v>
      </c>
      <c r="M14" s="1">
        <f>IFERROR(IFERROR(MATCH("اليوم "&amp;(M$3+1),'17 فريقًا'!$A$1:$A$66,0),67)-MATCH("اليوم "&amp;M$3,'17 فريقًا'!$A$1:$A$66,0),0)</f>
        <v>9</v>
      </c>
      <c r="N14" s="1">
        <f>IFERROR(IFERROR(MATCH("اليوم "&amp;(N$3+1),'17 فريقًا'!$A$1:$A$66,0),67)-MATCH("اليوم "&amp;N$3,'17 فريقًا'!$A$1:$A$66,0),0)</f>
        <v>9</v>
      </c>
      <c r="O14" s="1">
        <f>IFERROR(IFERROR(MATCH("اليوم "&amp;(O$3+1),'17 فريقًا'!$A$1:$A$66,0),67)-MATCH("اليوم "&amp;O$3,'17 فريقًا'!$A$1:$A$66,0),0)</f>
        <v>9</v>
      </c>
      <c r="P14" s="1">
        <f>IFERROR(IFERROR(MATCH("اليوم "&amp;(P$3+1),'17 فريقًا'!$A$1:$A$66,0),67)-MATCH("اليوم "&amp;P$3,'17 فريقًا'!$A$1:$A$66,0),0)</f>
        <v>9</v>
      </c>
      <c r="Q14" s="1">
        <f>IFERROR(IFERROR(MATCH("اليوم "&amp;(Q$3+1),'17 فريقًا'!$A$1:$A$66,0),67)-MATCH("اليوم "&amp;Q$3,'17 فريقًا'!$A$1:$A$66,0),0)</f>
        <v>9</v>
      </c>
      <c r="R14" s="1">
        <f>IFERROR(IFERROR(MATCH("اليوم "&amp;(R$3+1),'17 فريقًا'!$A$1:$A$66,0),67)-MATCH("اليوم "&amp;R$3,'17 فريقًا'!$A$1:$A$66,0),0)</f>
        <v>9</v>
      </c>
      <c r="S14" s="1">
        <f>IFERROR(IFERROR(MATCH("اليوم "&amp;(S$3+1),'17 فريقًا'!$A$1:$A$66,0),67)-MATCH("اليوم "&amp;S$3,'17 فريقًا'!$A$1:$A$66,0),0)</f>
        <v>9</v>
      </c>
    </row>
    <row r="15" spans="1:19">
      <c r="A15" s="8">
        <f>'ملخص البطولات'!A15</f>
        <v>22</v>
      </c>
      <c r="B15" s="1">
        <f>'ملخص البطولات'!M15</f>
        <v>1</v>
      </c>
      <c r="C15" s="1">
        <f>'ملخص البطولات'!K15*المدخلات!$B$10</f>
        <v>8</v>
      </c>
      <c r="D15" s="61">
        <f>I15*المدخلات!$B$5/60</f>
        <v>2.25</v>
      </c>
      <c r="E15" s="61">
        <f t="shared" si="0"/>
        <v>18</v>
      </c>
      <c r="F15" s="1">
        <f t="shared" si="1"/>
        <v>8</v>
      </c>
      <c r="G15" s="61">
        <f t="shared" si="2"/>
        <v>18</v>
      </c>
      <c r="H15" s="1">
        <f>'ملخص البطولات'!F15</f>
        <v>5</v>
      </c>
      <c r="I15" s="1">
        <f t="shared" si="3"/>
        <v>9</v>
      </c>
      <c r="J15" s="61">
        <f t="shared" si="4"/>
        <v>90</v>
      </c>
      <c r="M15" s="1">
        <f>IFERROR(IFERROR(MATCH("اليوم "&amp;(M$3+1),'22 فريقًا'!$A$1:$A$48,0),49)-MATCH("اليوم "&amp;M$3,'22 فريقًا'!$A$1:$A$48,0),0)</f>
        <v>9</v>
      </c>
      <c r="N15" s="1">
        <f>IFERROR(IFERROR(MATCH("اليوم "&amp;(N$3+1),'22 فريقًا'!$A$1:$A$48,0),49)-MATCH("اليوم "&amp;N$3,'22 فريقًا'!$A$1:$A$48,0),0)</f>
        <v>9</v>
      </c>
      <c r="O15" s="1">
        <f>IFERROR(IFERROR(MATCH("اليوم "&amp;(O$3+1),'22 فريقًا'!$A$1:$A$48,0),49)-MATCH("اليوم "&amp;O$3,'22 فريقًا'!$A$1:$A$48,0),0)</f>
        <v>9</v>
      </c>
      <c r="P15" s="1">
        <f>IFERROR(IFERROR(MATCH("اليوم "&amp;(P$3+1),'22 فريقًا'!$A$1:$A$48,0),49)-MATCH("اليوم "&amp;P$3,'22 فريقًا'!$A$1:$A$48,0),0)</f>
        <v>9</v>
      </c>
      <c r="Q15" s="1">
        <f>IFERROR(IFERROR(MATCH("اليوم "&amp;(Q$3+1),'22 فريقًا'!$A$1:$A$48,0),49)-MATCH("اليوم "&amp;Q$3,'22 فريقًا'!$A$1:$A$48,0),0)</f>
        <v>9</v>
      </c>
      <c r="R15" s="1">
        <f>IFERROR(IFERROR(MATCH("اليوم "&amp;(R$3+1),'22 فريقًا'!$A$1:$A$48,0),49)-MATCH("اليوم "&amp;R$3,'22 فريقًا'!$A$1:$A$48,0),0)</f>
        <v>0</v>
      </c>
      <c r="S15" s="1">
        <f>IFERROR(IFERROR(MATCH("اليوم "&amp;(S$3+1),'22 فريقًا'!$A$1:$A$48,0),49)-MATCH("اليوم "&amp;S$3,'22 فريقًا'!$A$1:$A$48,0),0)</f>
        <v>0</v>
      </c>
    </row>
    <row r="16" spans="1:19">
      <c r="A16" s="32" t="s">
        <v>416</v>
      </c>
      <c r="B16" s="62">
        <f>SUM(B4:B15)</f>
        <v>21</v>
      </c>
      <c r="C16" s="62"/>
      <c r="D16" s="63"/>
      <c r="E16" s="63"/>
      <c r="F16" s="62">
        <f>SUM(F4:F15)</f>
        <v>91</v>
      </c>
      <c r="G16" s="63">
        <f>SUM(G4:G15)</f>
        <v>195</v>
      </c>
      <c r="H16" s="62"/>
      <c r="I16" s="62"/>
      <c r="J16" s="63">
        <f>SUM(J4:J15)</f>
        <v>1212</v>
      </c>
    </row>
    <row r="18" spans="1:1">
      <c r="A18" s="4" t="s">
        <v>417</v>
      </c>
    </row>
    <row r="19" spans="1:1">
      <c r="A19" s="65" t="s">
        <v>425</v>
      </c>
    </row>
    <row r="20" spans="1:1">
      <c r="A20" s="65" t="s">
        <v>418</v>
      </c>
    </row>
    <row r="21" spans="1:1">
      <c r="A21" s="65" t="s">
        <v>426</v>
      </c>
    </row>
  </sheetData>
  <mergeCells count="1">
    <mergeCell ref="A1:J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DF7F7-60E8-48A1-B635-34C62B689CA1}">
  <dimension ref="A1:H28"/>
  <sheetViews>
    <sheetView showGridLines="0" rightToLeft="1" workbookViewId="0">
      <pane ySplit="3" topLeftCell="A4" activePane="bottomLeft" state="frozen"/>
      <selection pane="bottomLeft" activeCell="A3" sqref="A3:H25"/>
    </sheetView>
  </sheetViews>
  <sheetFormatPr defaultRowHeight="14.5"/>
  <cols>
    <col min="1" max="1" width="27.26953125" customWidth="1"/>
    <col min="2" max="2" width="30.90625" customWidth="1"/>
    <col min="3" max="8" width="20" customWidth="1"/>
  </cols>
  <sheetData>
    <row r="1" spans="1:8" ht="18.5">
      <c r="A1" s="136" t="s">
        <v>430</v>
      </c>
      <c r="B1" s="136"/>
      <c r="C1" s="136"/>
      <c r="D1" s="136"/>
      <c r="E1" s="136"/>
      <c r="F1" s="136"/>
      <c r="G1" s="136"/>
      <c r="H1" s="136"/>
    </row>
    <row r="2" spans="1:8">
      <c r="A2" s="33"/>
      <c r="B2" s="33"/>
      <c r="C2" s="33"/>
      <c r="D2" s="33"/>
      <c r="E2" s="33"/>
      <c r="F2" s="33"/>
      <c r="G2" s="33"/>
      <c r="H2" s="33"/>
    </row>
    <row r="3" spans="1:8" ht="48" customHeight="1">
      <c r="A3" s="9" t="s">
        <v>427</v>
      </c>
      <c r="B3" s="9" t="s">
        <v>433</v>
      </c>
      <c r="C3" s="9" t="s">
        <v>13</v>
      </c>
      <c r="D3" s="9" t="s">
        <v>428</v>
      </c>
      <c r="E3" s="9" t="s">
        <v>434</v>
      </c>
      <c r="F3" s="9" t="s">
        <v>431</v>
      </c>
      <c r="G3" s="9" t="s">
        <v>194</v>
      </c>
      <c r="H3" s="9" t="s">
        <v>429</v>
      </c>
    </row>
    <row r="4" spans="1:8">
      <c r="A4" s="69" t="str">
        <f>'أسماء المجموعات'!C3</f>
        <v>مجموعة طبرجل</v>
      </c>
      <c r="B4" s="11" t="str">
        <f>'أسماء المجموعات'!E3</f>
        <v>طبرجل</v>
      </c>
      <c r="C4" s="1">
        <f>'أسماء المجموعات'!F3</f>
        <v>5</v>
      </c>
      <c r="D4" s="1">
        <f>INDEX(الحكام!$C$4:$C$15,MATCH($C4,الحكام!$A$4:$A$15,0))</f>
        <v>1</v>
      </c>
      <c r="E4" s="61">
        <f>INDEX(الحكام!$D$4:$D$15,MATCH($C4,الحكام!$A$4:$A$15,0))</f>
        <v>2.5</v>
      </c>
      <c r="F4" s="61">
        <f t="shared" ref="F4:F24" si="0">D4*E4</f>
        <v>2.5</v>
      </c>
      <c r="G4" s="1">
        <f>INDEX(الحكام!$H$4:$H$15,MATCH($C4,الحكام!$A$4:$A$15,0))</f>
        <v>7</v>
      </c>
      <c r="H4" s="61">
        <f t="shared" ref="H4:H24" si="1">F4*G4</f>
        <v>17.5</v>
      </c>
    </row>
    <row r="5" spans="1:8">
      <c r="A5" s="69" t="str">
        <f>'أسماء المجموعات'!C19</f>
        <v>مجموعة حائل</v>
      </c>
      <c r="B5" s="11" t="str">
        <f>'أسماء المجموعات'!E19</f>
        <v>حائل</v>
      </c>
      <c r="C5" s="1">
        <f>'أسماء المجموعات'!F19</f>
        <v>6</v>
      </c>
      <c r="D5" s="1">
        <f>INDEX(الحكام!$C$4:$C$15,MATCH($C5,الحكام!$A$4:$A$15,0))</f>
        <v>3</v>
      </c>
      <c r="E5" s="61">
        <f>INDEX(الحكام!$D$4:$D$15,MATCH($C5,الحكام!$A$4:$A$15,0))</f>
        <v>2.25</v>
      </c>
      <c r="F5" s="61">
        <f t="shared" si="0"/>
        <v>6.75</v>
      </c>
      <c r="G5" s="1">
        <f>INDEX(الحكام!$H$4:$H$15,MATCH($C5,الحكام!$A$4:$A$15,0))</f>
        <v>6</v>
      </c>
      <c r="H5" s="61">
        <f t="shared" si="1"/>
        <v>40.5</v>
      </c>
    </row>
    <row r="6" spans="1:8">
      <c r="A6" s="69" t="str">
        <f>'أسماء المجموعات'!C20</f>
        <v>مجموعة القريات</v>
      </c>
      <c r="B6" s="11" t="str">
        <f>'أسماء المجموعات'!E20</f>
        <v>القريات</v>
      </c>
      <c r="C6" s="1">
        <f>'أسماء المجموعات'!F20</f>
        <v>6</v>
      </c>
      <c r="D6" s="1">
        <f>INDEX(الحكام!$C$4:$C$15,MATCH($C6,الحكام!$A$4:$A$15,0))</f>
        <v>3</v>
      </c>
      <c r="E6" s="61">
        <f>INDEX(الحكام!$D$4:$D$15,MATCH($C6,الحكام!$A$4:$A$15,0))</f>
        <v>2.25</v>
      </c>
      <c r="F6" s="61">
        <f t="shared" si="0"/>
        <v>6.75</v>
      </c>
      <c r="G6" s="1">
        <f>INDEX(الحكام!$H$4:$H$15,MATCH($C6,الحكام!$A$4:$A$15,0))</f>
        <v>6</v>
      </c>
      <c r="H6" s="61">
        <f t="shared" si="1"/>
        <v>40.5</v>
      </c>
    </row>
    <row r="7" spans="1:8">
      <c r="A7" s="69" t="str">
        <f>'أسماء المجموعات'!C21</f>
        <v>مجموعة شرورة</v>
      </c>
      <c r="B7" s="11" t="str">
        <f>'أسماء المجموعات'!E21</f>
        <v>شرورة</v>
      </c>
      <c r="C7" s="1">
        <f>'أسماء المجموعات'!F21</f>
        <v>6</v>
      </c>
      <c r="D7" s="1">
        <f>INDEX(الحكام!$C$4:$C$15,MATCH($C7,الحكام!$A$4:$A$15,0))</f>
        <v>3</v>
      </c>
      <c r="E7" s="61">
        <f>INDEX(الحكام!$D$4:$D$15,MATCH($C7,الحكام!$A$4:$A$15,0))</f>
        <v>2.25</v>
      </c>
      <c r="F7" s="61">
        <f t="shared" si="0"/>
        <v>6.75</v>
      </c>
      <c r="G7" s="1">
        <f>INDEX(الحكام!$H$4:$H$15,MATCH($C7,الحكام!$A$4:$A$15,0))</f>
        <v>6</v>
      </c>
      <c r="H7" s="61">
        <f t="shared" si="1"/>
        <v>40.5</v>
      </c>
    </row>
    <row r="8" spans="1:8">
      <c r="A8" s="69" t="str">
        <f>'أسماء المجموعات'!C30</f>
        <v>مجموعة مركز الرفيعة</v>
      </c>
      <c r="B8" s="11" t="str">
        <f>'أسماء المجموعات'!E30</f>
        <v>مركز الرفيعة</v>
      </c>
      <c r="C8" s="1">
        <f>'أسماء المجموعات'!F30</f>
        <v>7</v>
      </c>
      <c r="D8" s="1">
        <f>INDEX(الحكام!$C$4:$C$15,MATCH($C8,الحكام!$A$4:$A$15,0))</f>
        <v>2</v>
      </c>
      <c r="E8" s="61">
        <f>INDEX(الحكام!$D$4:$D$15,MATCH($C8,الحكام!$A$4:$A$15,0))</f>
        <v>2.25</v>
      </c>
      <c r="F8" s="61">
        <f t="shared" si="0"/>
        <v>4.5</v>
      </c>
      <c r="G8" s="1">
        <f>INDEX(الحكام!$H$4:$H$15,MATCH($C8,الحكام!$A$4:$A$15,0))</f>
        <v>6</v>
      </c>
      <c r="H8" s="61">
        <f t="shared" si="1"/>
        <v>27</v>
      </c>
    </row>
    <row r="9" spans="1:8">
      <c r="A9" s="69" t="str">
        <f>'أسماء المجموعات'!C31</f>
        <v>مجموعة القطيف</v>
      </c>
      <c r="B9" s="11" t="str">
        <f>'أسماء المجموعات'!E31</f>
        <v>القطيف</v>
      </c>
      <c r="C9" s="1">
        <f>'أسماء المجموعات'!F31</f>
        <v>7</v>
      </c>
      <c r="D9" s="1">
        <f>INDEX(الحكام!$C$4:$C$15,MATCH($C9,الحكام!$A$4:$A$15,0))</f>
        <v>2</v>
      </c>
      <c r="E9" s="61">
        <f>INDEX(الحكام!$D$4:$D$15,MATCH($C9,الحكام!$A$4:$A$15,0))</f>
        <v>2.25</v>
      </c>
      <c r="F9" s="61">
        <f t="shared" si="0"/>
        <v>4.5</v>
      </c>
      <c r="G9" s="1">
        <f>INDEX(الحكام!$H$4:$H$15,MATCH($C9,الحكام!$A$4:$A$15,0))</f>
        <v>6</v>
      </c>
      <c r="H9" s="61">
        <f t="shared" si="1"/>
        <v>27</v>
      </c>
    </row>
    <row r="10" spans="1:8">
      <c r="A10" s="69" t="str">
        <f>'أسماء المجموعات'!C52</f>
        <v>مجموعة الدمام</v>
      </c>
      <c r="B10" s="11" t="str">
        <f>'أسماء المجموعات'!E52</f>
        <v>الخبر، الدمام، سيهات</v>
      </c>
      <c r="C10" s="1">
        <f>'أسماء المجموعات'!F52</f>
        <v>8</v>
      </c>
      <c r="D10" s="1">
        <f>INDEX(الحكام!$C$4:$C$15,MATCH($C10,الحكام!$A$4:$A$15,0))</f>
        <v>4</v>
      </c>
      <c r="E10" s="61">
        <f>INDEX(الحكام!$D$4:$D$15,MATCH($C10,الحكام!$A$4:$A$15,0))</f>
        <v>1.75</v>
      </c>
      <c r="F10" s="61">
        <f t="shared" si="0"/>
        <v>7</v>
      </c>
      <c r="G10" s="1">
        <f>INDEX(الحكام!$H$4:$H$15,MATCH($C10,الحكام!$A$4:$A$15,0))</f>
        <v>7</v>
      </c>
      <c r="H10" s="61">
        <f t="shared" si="1"/>
        <v>49</v>
      </c>
    </row>
    <row r="11" spans="1:8">
      <c r="A11" s="69" t="str">
        <f>'أسماء المجموعات'!C53</f>
        <v>مجموعة أحد المسارحة</v>
      </c>
      <c r="B11" s="11" t="str">
        <f>'أسماء المجموعات'!E53</f>
        <v>أحد المسارحة</v>
      </c>
      <c r="C11" s="1">
        <f>'أسماء المجموعات'!F53</f>
        <v>8</v>
      </c>
      <c r="D11" s="1">
        <f>INDEX(الحكام!$C$4:$C$15,MATCH($C11,الحكام!$A$4:$A$15,0))</f>
        <v>4</v>
      </c>
      <c r="E11" s="61">
        <f>INDEX(الحكام!$D$4:$D$15,MATCH($C11,الحكام!$A$4:$A$15,0))</f>
        <v>1.75</v>
      </c>
      <c r="F11" s="61">
        <f t="shared" si="0"/>
        <v>7</v>
      </c>
      <c r="G11" s="1">
        <f>INDEX(الحكام!$H$4:$H$15,MATCH($C11,الحكام!$A$4:$A$15,0))</f>
        <v>7</v>
      </c>
      <c r="H11" s="61">
        <f t="shared" si="1"/>
        <v>49</v>
      </c>
    </row>
    <row r="12" spans="1:8">
      <c r="A12" s="69" t="str">
        <f>'أسماء المجموعات'!C54</f>
        <v>مجموعة صامطة</v>
      </c>
      <c r="B12" s="11" t="str">
        <f>'أسماء المجموعات'!E54</f>
        <v>صامطة</v>
      </c>
      <c r="C12" s="1">
        <f>'أسماء المجموعات'!F54</f>
        <v>8</v>
      </c>
      <c r="D12" s="1">
        <f>INDEX(الحكام!$C$4:$C$15,MATCH($C12,الحكام!$A$4:$A$15,0))</f>
        <v>4</v>
      </c>
      <c r="E12" s="61">
        <f>INDEX(الحكام!$D$4:$D$15,MATCH($C12,الحكام!$A$4:$A$15,0))</f>
        <v>1.75</v>
      </c>
      <c r="F12" s="61">
        <f t="shared" si="0"/>
        <v>7</v>
      </c>
      <c r="G12" s="1">
        <f>INDEX(الحكام!$H$4:$H$15,MATCH($C12,الحكام!$A$4:$A$15,0))</f>
        <v>7</v>
      </c>
      <c r="H12" s="61">
        <f t="shared" si="1"/>
        <v>49</v>
      </c>
    </row>
    <row r="13" spans="1:8">
      <c r="A13" s="69" t="str">
        <f>'أسماء المجموعات'!C65</f>
        <v>مجموعة المدينة المنورة</v>
      </c>
      <c r="B13" s="11" t="str">
        <f>'أسماء المجموعات'!E65</f>
        <v>المدينة المنورة</v>
      </c>
      <c r="C13" s="1">
        <f>'أسماء المجموعات'!F65</f>
        <v>9</v>
      </c>
      <c r="D13" s="1">
        <f>INDEX(الحكام!$C$4:$C$15,MATCH($C13,الحكام!$A$4:$A$15,0))</f>
        <v>3</v>
      </c>
      <c r="E13" s="61">
        <f>INDEX(الحكام!$D$4:$D$15,MATCH($C13,الحكام!$A$4:$A$15,0))</f>
        <v>2.25</v>
      </c>
      <c r="F13" s="61">
        <f t="shared" si="0"/>
        <v>6.75</v>
      </c>
      <c r="G13" s="1">
        <f>INDEX(الحكام!$H$4:$H$15,MATCH($C13,الحكام!$A$4:$A$15,0))</f>
        <v>6</v>
      </c>
      <c r="H13" s="61">
        <f t="shared" si="1"/>
        <v>40.5</v>
      </c>
    </row>
    <row r="14" spans="1:8">
      <c r="A14" s="69" t="str">
        <f>'أسماء المجموعات'!C66</f>
        <v>مجموعة جازان</v>
      </c>
      <c r="B14" s="11" t="str">
        <f>'أسماء المجموعات'!E66</f>
        <v>جيزان</v>
      </c>
      <c r="C14" s="1">
        <f>'أسماء المجموعات'!F66</f>
        <v>9</v>
      </c>
      <c r="D14" s="1">
        <f>INDEX(الحكام!$C$4:$C$15,MATCH($C14,الحكام!$A$4:$A$15,0))</f>
        <v>3</v>
      </c>
      <c r="E14" s="61">
        <f>INDEX(الحكام!$D$4:$D$15,MATCH($C14,الحكام!$A$4:$A$15,0))</f>
        <v>2.25</v>
      </c>
      <c r="F14" s="61">
        <f t="shared" si="0"/>
        <v>6.75</v>
      </c>
      <c r="G14" s="1">
        <f>INDEX(الحكام!$H$4:$H$15,MATCH($C14,الحكام!$A$4:$A$15,0))</f>
        <v>6</v>
      </c>
      <c r="H14" s="61">
        <f t="shared" si="1"/>
        <v>40.5</v>
      </c>
    </row>
    <row r="15" spans="1:8">
      <c r="A15" s="69" t="str">
        <f>'أسماء المجموعات'!C67</f>
        <v>مجموعة أبو عريش</v>
      </c>
      <c r="B15" s="11" t="str">
        <f>'أسماء المجموعات'!E67</f>
        <v>أبو عريش</v>
      </c>
      <c r="C15" s="1">
        <f>'أسماء المجموعات'!F67</f>
        <v>9</v>
      </c>
      <c r="D15" s="1">
        <f>INDEX(الحكام!$C$4:$C$15,MATCH($C15,الحكام!$A$4:$A$15,0))</f>
        <v>3</v>
      </c>
      <c r="E15" s="61">
        <f>INDEX(الحكام!$D$4:$D$15,MATCH($C15,الحكام!$A$4:$A$15,0))</f>
        <v>2.25</v>
      </c>
      <c r="F15" s="61">
        <f t="shared" si="0"/>
        <v>6.75</v>
      </c>
      <c r="G15" s="1">
        <f>INDEX(الحكام!$H$4:$H$15,MATCH($C15,الحكام!$A$4:$A$15,0))</f>
        <v>6</v>
      </c>
      <c r="H15" s="61">
        <f t="shared" si="1"/>
        <v>40.5</v>
      </c>
    </row>
    <row r="16" spans="1:8">
      <c r="A16" s="69" t="str">
        <f>'أسماء المجموعات'!C96</f>
        <v>مجموعة الطائف</v>
      </c>
      <c r="B16" s="11" t="str">
        <f>'أسماء المجموعات'!E96</f>
        <v>الطائف</v>
      </c>
      <c r="C16" s="62">
        <f>'أسماء المجموعات'!F96</f>
        <v>11</v>
      </c>
      <c r="D16" s="62">
        <f>INDEX(الحكام!$C$4:$C$15,MATCH($C16,الحكام!$A$4:$A$15,0))</f>
        <v>4</v>
      </c>
      <c r="E16" s="63">
        <f>INDEX(الحكام!$D$4:$D$15,MATCH($C16,الحكام!$A$4:$A$15,0))</f>
        <v>2.25</v>
      </c>
      <c r="F16" s="63">
        <f t="shared" si="0"/>
        <v>9</v>
      </c>
      <c r="G16" s="62">
        <f>INDEX(الحكام!$H$4:$H$15,MATCH($C16,الحكام!$A$4:$A$15,0))</f>
        <v>5</v>
      </c>
      <c r="H16" s="63">
        <f t="shared" si="1"/>
        <v>45</v>
      </c>
    </row>
    <row r="17" spans="1:8">
      <c r="A17" s="69" t="str">
        <f>'أسماء المجموعات'!C104</f>
        <v>مجموعة الخفجي</v>
      </c>
      <c r="B17" s="11" t="str">
        <f>'أسماء المجموعات'!E104</f>
        <v>الخفجي</v>
      </c>
      <c r="C17" s="1">
        <f>'أسماء المجموعات'!F104</f>
        <v>12</v>
      </c>
      <c r="D17" s="1">
        <f>INDEX(الحكام!$C$4:$C$15,MATCH($C17,الحكام!$A$4:$A$15,0))</f>
        <v>6</v>
      </c>
      <c r="E17" s="61">
        <f>INDEX(الحكام!$D$4:$D$15,MATCH($C17,الحكام!$A$4:$A$15,0))</f>
        <v>2.25</v>
      </c>
      <c r="F17" s="61">
        <f t="shared" si="0"/>
        <v>13.5</v>
      </c>
      <c r="G17" s="1">
        <f>INDEX(الحكام!$H$4:$H$15,MATCH($C17,الحكام!$A$4:$A$15,0))</f>
        <v>6</v>
      </c>
      <c r="H17" s="61">
        <f t="shared" si="1"/>
        <v>81</v>
      </c>
    </row>
    <row r="18" spans="1:8">
      <c r="A18" s="69" t="str">
        <f>'أسماء المجموعات'!C105</f>
        <v>مجموعة سكاكا</v>
      </c>
      <c r="B18" s="11" t="str">
        <f>'أسماء المجموعات'!E105</f>
        <v>سكاكا، دومة الجندل</v>
      </c>
      <c r="C18" s="1">
        <f>'أسماء المجموعات'!F105</f>
        <v>12</v>
      </c>
      <c r="D18" s="1">
        <f>INDEX(الحكام!$C$4:$C$15,MATCH($C18,الحكام!$A$4:$A$15,0))</f>
        <v>6</v>
      </c>
      <c r="E18" s="61">
        <f>INDEX(الحكام!$D$4:$D$15,MATCH($C18,الحكام!$A$4:$A$15,0))</f>
        <v>2.25</v>
      </c>
      <c r="F18" s="61">
        <f t="shared" si="0"/>
        <v>13.5</v>
      </c>
      <c r="G18" s="1">
        <f>INDEX(الحكام!$H$4:$H$15,MATCH($C18,الحكام!$A$4:$A$15,0))</f>
        <v>6</v>
      </c>
      <c r="H18" s="61">
        <f t="shared" si="1"/>
        <v>81</v>
      </c>
    </row>
    <row r="19" spans="1:8">
      <c r="A19" s="69" t="str">
        <f>'أسماء المجموعات'!C111</f>
        <v>مجموعة الأحساء</v>
      </c>
      <c r="B19" s="11" t="str">
        <f>'أسماء المجموعات'!E111</f>
        <v>الأحساء</v>
      </c>
      <c r="C19" s="1">
        <f>'أسماء المجموعات'!F111</f>
        <v>13</v>
      </c>
      <c r="D19" s="1">
        <f>INDEX(الحكام!$C$4:$C$15,MATCH($C19,الحكام!$A$4:$A$15,0))</f>
        <v>5</v>
      </c>
      <c r="E19" s="61">
        <f>INDEX(الحكام!$D$4:$D$15,MATCH($C19,الحكام!$A$4:$A$15,0))</f>
        <v>2.25</v>
      </c>
      <c r="F19" s="61">
        <f t="shared" si="0"/>
        <v>11.25</v>
      </c>
      <c r="G19" s="1">
        <f>INDEX(الحكام!$H$4:$H$15,MATCH($C19,الحكام!$A$4:$A$15,0))</f>
        <v>6</v>
      </c>
      <c r="H19" s="61">
        <f t="shared" si="1"/>
        <v>67.5</v>
      </c>
    </row>
    <row r="20" spans="1:8">
      <c r="A20" s="69" t="str">
        <f>'أسماء المجموعات'!C112</f>
        <v>مجموعة صبيا</v>
      </c>
      <c r="B20" s="11" t="str">
        <f>'أسماء المجموعات'!E112</f>
        <v>صبيا، ضمد</v>
      </c>
      <c r="C20" s="1">
        <f>'أسماء المجموعات'!F112</f>
        <v>13</v>
      </c>
      <c r="D20" s="1">
        <f>INDEX(الحكام!$C$4:$C$15,MATCH($C20,الحكام!$A$4:$A$15,0))</f>
        <v>5</v>
      </c>
      <c r="E20" s="61">
        <f>INDEX(الحكام!$D$4:$D$15,MATCH($C20,الحكام!$A$4:$A$15,0))</f>
        <v>2.25</v>
      </c>
      <c r="F20" s="61">
        <f t="shared" si="0"/>
        <v>11.25</v>
      </c>
      <c r="G20" s="1">
        <f>INDEX(الحكام!$H$4:$H$15,MATCH($C20,الحكام!$A$4:$A$15,0))</f>
        <v>6</v>
      </c>
      <c r="H20" s="61">
        <f t="shared" si="1"/>
        <v>67.5</v>
      </c>
    </row>
    <row r="21" spans="1:8">
      <c r="A21" s="69" t="str">
        <f>'أسماء المجموعات'!C131</f>
        <v>مجموعة مكة المكرمة</v>
      </c>
      <c r="B21" s="11" t="str">
        <f>'أسماء المجموعات'!E131</f>
        <v>مكة المكرمة</v>
      </c>
      <c r="C21" s="1">
        <f>'أسماء المجموعات'!F131</f>
        <v>15</v>
      </c>
      <c r="D21" s="1">
        <f>INDEX(الحكام!$C$4:$C$15,MATCH($C21,الحكام!$A$4:$A$15,0))</f>
        <v>6</v>
      </c>
      <c r="E21" s="61">
        <f>INDEX(الحكام!$D$4:$D$15,MATCH($C21,الحكام!$A$4:$A$15,0))</f>
        <v>2.25</v>
      </c>
      <c r="F21" s="61">
        <f t="shared" si="0"/>
        <v>13.5</v>
      </c>
      <c r="G21" s="1">
        <f>INDEX(الحكام!$H$4:$H$15,MATCH($C21,الحكام!$A$4:$A$15,0))</f>
        <v>7</v>
      </c>
      <c r="H21" s="61">
        <f t="shared" si="1"/>
        <v>94.5</v>
      </c>
    </row>
    <row r="22" spans="1:8">
      <c r="A22" s="69" t="str">
        <f>'أسماء المجموعات'!C144</f>
        <v>مجموعة حفر الباطن</v>
      </c>
      <c r="B22" s="11" t="str">
        <f>'أسماء المجموعات'!E144</f>
        <v>حفر الباطن</v>
      </c>
      <c r="C22" s="1">
        <f>'أسماء المجموعات'!F144</f>
        <v>16</v>
      </c>
      <c r="D22" s="1">
        <f>INDEX(الحكام!$C$4:$C$15,MATCH($C22,الحكام!$A$4:$A$15,0))</f>
        <v>8</v>
      </c>
      <c r="E22" s="61">
        <f>INDEX(الحكام!$D$4:$D$15,MATCH($C22,الحكام!$A$4:$A$15,0))</f>
        <v>1.75</v>
      </c>
      <c r="F22" s="61">
        <f t="shared" si="0"/>
        <v>14</v>
      </c>
      <c r="G22" s="1">
        <f>INDEX(الحكام!$H$4:$H$15,MATCH($C22,الحكام!$A$4:$A$15,0))</f>
        <v>7</v>
      </c>
      <c r="H22" s="61">
        <f t="shared" si="1"/>
        <v>98</v>
      </c>
    </row>
    <row r="23" spans="1:8">
      <c r="A23" s="69" t="str">
        <f>'أسماء المجموعات'!C150</f>
        <v>مجموعة الرياض</v>
      </c>
      <c r="B23" s="11" t="str">
        <f>'أسماء المجموعات'!E150</f>
        <v>الرياض</v>
      </c>
      <c r="C23" s="1">
        <f>'أسماء المجموعات'!F150</f>
        <v>17</v>
      </c>
      <c r="D23" s="1">
        <f>INDEX(الحكام!$C$4:$C$15,MATCH($C23,الحكام!$A$4:$A$15,0))</f>
        <v>8</v>
      </c>
      <c r="E23" s="61">
        <f>INDEX(الحكام!$D$4:$D$15,MATCH($C23,الحكام!$A$4:$A$15,0))</f>
        <v>2.25</v>
      </c>
      <c r="F23" s="61">
        <f t="shared" si="0"/>
        <v>18</v>
      </c>
      <c r="G23" s="1">
        <f>INDEX(الحكام!$H$4:$H$15,MATCH($C23,الحكام!$A$4:$A$15,0))</f>
        <v>7</v>
      </c>
      <c r="H23" s="61">
        <f t="shared" si="1"/>
        <v>126</v>
      </c>
    </row>
    <row r="24" spans="1:8">
      <c r="A24" s="69" t="str">
        <f>'أسماء المجموعات'!C159</f>
        <v>مجموعة جدة</v>
      </c>
      <c r="B24" s="11" t="str">
        <f>'أسماء المجموعات'!E159</f>
        <v>جدة</v>
      </c>
      <c r="C24" s="1">
        <f>'أسماء المجموعات'!F159</f>
        <v>22</v>
      </c>
      <c r="D24" s="1">
        <f>INDEX(الحكام!$C$4:$C$15,MATCH($C24,الحكام!$A$4:$A$15,0))</f>
        <v>8</v>
      </c>
      <c r="E24" s="61">
        <f>INDEX(الحكام!$D$4:$D$15,MATCH($C24,الحكام!$A$4:$A$15,0))</f>
        <v>2.25</v>
      </c>
      <c r="F24" s="61">
        <f t="shared" si="0"/>
        <v>18</v>
      </c>
      <c r="G24" s="1">
        <f>INDEX(الحكام!$H$4:$H$15,MATCH($C24,الحكام!$A$4:$A$15,0))</f>
        <v>5</v>
      </c>
      <c r="H24" s="61">
        <f t="shared" si="1"/>
        <v>90</v>
      </c>
    </row>
    <row r="25" spans="1:8">
      <c r="A25" s="32" t="s">
        <v>416</v>
      </c>
      <c r="B25" s="68"/>
      <c r="C25" s="62" t="str">
        <f>COUNTA(A4:A24)&amp;" مجموعة"</f>
        <v>21 مجموعة</v>
      </c>
      <c r="D25" s="62">
        <f>SUM(D4:D24)</f>
        <v>91</v>
      </c>
      <c r="E25" s="63"/>
      <c r="F25" s="63">
        <f>SUM(F4:F24)</f>
        <v>195</v>
      </c>
      <c r="G25" s="62"/>
      <c r="H25" s="63">
        <f>SUM(H4:H24)</f>
        <v>1212</v>
      </c>
    </row>
    <row r="27" spans="1:8">
      <c r="A27" s="4" t="str">
        <f>IF(AND(D25=الحكام!F16,H25=الحكام!J16),"✔ الإجماليات مطابقة لورقة الحكام","✘ الإجماليات لا تطابق ورقة الحكام – راجع المجموعات")</f>
        <v>✔ الإجماليات مطابقة لورقة الحكام</v>
      </c>
      <c r="B27" s="4"/>
    </row>
    <row r="28" spans="1:8">
      <c r="A28" s="65" t="s">
        <v>432</v>
      </c>
      <c r="B28" s="65"/>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6be648b-369d-4545-b3ec-980ea45f5768" xsi:nil="true"/>
    <lcf76f155ced4ddcb4097134ff3c332f xmlns="892e9dcf-b510-48d2-a32f-1ed59fe9f3e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BC82852503AF4EAB2EF5018DE9DEC7" ma:contentTypeVersion="16" ma:contentTypeDescription="Create a new document." ma:contentTypeScope="" ma:versionID="eab508c9951ee695015998ff06a21af9">
  <xsd:schema xmlns:xsd="http://www.w3.org/2001/XMLSchema" xmlns:xs="http://www.w3.org/2001/XMLSchema" xmlns:p="http://schemas.microsoft.com/office/2006/metadata/properties" xmlns:ns2="892e9dcf-b510-48d2-a32f-1ed59fe9f3eb" xmlns:ns3="16be648b-369d-4545-b3ec-980ea45f5768" targetNamespace="http://schemas.microsoft.com/office/2006/metadata/properties" ma:root="true" ma:fieldsID="73c3eb72b85b8edb3d3b90476ca60681" ns2:_="" ns3:_="">
    <xsd:import namespace="892e9dcf-b510-48d2-a32f-1ed59fe9f3eb"/>
    <xsd:import namespace="16be648b-369d-4545-b3ec-980ea45f57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e9dcf-b510-48d2-a32f-1ed59fe9f3eb"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SearchProperties" ma:index="7" nillable="true" ma:displayName="MediaServiceSearchProperties" ma:hidden="true" ma:internalName="MediaServiceSearchProperties" ma:readOnly="true">
      <xsd:simpleType>
        <xsd:restriction base="dms:Note"/>
      </xsd:simpleType>
    </xsd:element>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9a84c0e-7c84-4ab2-b13f-ac9038868f2e" ma:termSetId="09814cd3-568e-fe90-9814-8d621ff8fb84" ma:anchorId="fba54fb3-c3e1-fe81-a776-ca4b69148c4d" ma:open="true" ma:isKeyword="false">
      <xsd:complexType>
        <xsd:sequence>
          <xsd:element ref="pc:Terms" minOccurs="0" maxOccurs="1"/>
        </xsd:sequence>
      </xsd:complex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MediaLengthInSeconds" ma:index="1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be648b-369d-4545-b3ec-980ea45f576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7a77de0-3755-4ac5-a23f-87046020bd02}" ma:internalName="TaxCatchAll" ma:showField="CatchAllData" ma:web="16be648b-369d-4545-b3ec-980ea45f5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D41F5D-E336-4E39-A843-BEE67140D2E6}">
  <ds:schemaRefs>
    <ds:schemaRef ds:uri="http://schemas.microsoft.com/office/2006/metadata/properties"/>
    <ds:schemaRef ds:uri="http://schemas.microsoft.com/office/infopath/2007/PartnerControls"/>
    <ds:schemaRef ds:uri="16be648b-369d-4545-b3ec-980ea45f5768"/>
    <ds:schemaRef ds:uri="892e9dcf-b510-48d2-a32f-1ed59fe9f3eb"/>
  </ds:schemaRefs>
</ds:datastoreItem>
</file>

<file path=customXml/itemProps2.xml><?xml version="1.0" encoding="utf-8"?>
<ds:datastoreItem xmlns:ds="http://schemas.openxmlformats.org/officeDocument/2006/customXml" ds:itemID="{CAA7DBB3-5CEB-4980-949F-43392DF11DFE}">
  <ds:schemaRefs>
    <ds:schemaRef ds:uri="http://schemas.microsoft.com/sharepoint/v3/contenttype/forms"/>
  </ds:schemaRefs>
</ds:datastoreItem>
</file>

<file path=customXml/itemProps3.xml><?xml version="1.0" encoding="utf-8"?>
<ds:datastoreItem xmlns:ds="http://schemas.openxmlformats.org/officeDocument/2006/customXml" ds:itemID="{718BDCAE-F12F-4F71-AD87-30136D732E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2e9dcf-b510-48d2-a32f-1ed59fe9f3eb"/>
    <ds:schemaRef ds:uri="16be648b-369d-4545-b3ec-980ea45f5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أسماء المجموعات</vt:lpstr>
      <vt:lpstr>المدخلات</vt:lpstr>
      <vt:lpstr>المبادئ</vt:lpstr>
      <vt:lpstr>ملخص البطولات</vt:lpstr>
      <vt:lpstr>ملخص المجموعات</vt:lpstr>
      <vt:lpstr>5 فرق</vt:lpstr>
      <vt:lpstr>6 فرق</vt:lpstr>
      <vt:lpstr>7 فرق</vt:lpstr>
      <vt:lpstr>8 فرق</vt:lpstr>
      <vt:lpstr>9 فرق</vt:lpstr>
      <vt:lpstr>11 فريقًا</vt:lpstr>
      <vt:lpstr>12 فريقًا</vt:lpstr>
      <vt:lpstr>13 فريقًا</vt:lpstr>
      <vt:lpstr>15 فريقًا</vt:lpstr>
      <vt:lpstr>16 فريقًا</vt:lpstr>
      <vt:lpstr>17 فريقًا</vt:lpstr>
      <vt:lpstr>22 فريقًا</vt:lpstr>
      <vt:lpstr>الحكام</vt:lpstr>
      <vt:lpstr>حكام تحت 5 تفصيلي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Alnajjar</cp:lastModifiedBy>
  <dcterms:created xsi:type="dcterms:W3CDTF">2026-09-07T08:40:52Z</dcterms:created>
  <dcterms:modified xsi:type="dcterms:W3CDTF">2026-09-30T11:29:36Z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0x010100AFBC82852503AF4EAB2EF5018DE9DEC7</vt:lpwstr>
  </property>
  <property fmtid="{D5CDD505-2E9C-101B-9397-08002B2CF9AE}" pid="3" name="MediaServiceImageTags">
    <vt:lpwstr/>
  </property>
</Properties>
</file>