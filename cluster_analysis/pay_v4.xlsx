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Youth Competitions/Analysis/Club clustering/"/>
    </mc:Choice>
  </mc:AlternateContent>
  <xr:revisionPtr revIDLastSave="2127" documentId="8_{B00DDD8B-5C2C-4DE5-B508-A19EDE329445}" xr6:coauthVersionLast="47" xr6:coauthVersionMax="47" xr10:uidLastSave="{E20CCA63-B0CB-4AE8-A8B2-AC13A9CB41F3}"/>
  <bookViews>
    <workbookView xWindow="28680" yWindow="-120" windowWidth="29040" windowHeight="15720" firstSheet="4" activeTab="6" xr2:uid="{696254E1-FDC9-4707-85DD-EE834AB8F841}"/>
  </bookViews>
  <sheets>
    <sheet name="Sheet1" sheetId="15" r:id="rId1"/>
    <sheet name="عدد الملاعب_بناء على الجداول" sheetId="16" r:id="rId2"/>
    <sheet name="عدد الملاعب" sheetId="11" r:id="rId3"/>
    <sheet name="عدد المباريات" sheetId="8" r:id="rId4"/>
    <sheet name="عدد اللاعبين" sheetId="9" r:id="rId5"/>
    <sheet name="ملخص المجموعات" sheetId="4" r:id="rId6"/>
    <sheet name="بيانات التسجيل" sheetId="7" r:id="rId7"/>
    <sheet name="المدخلات" sheetId="5" r:id="rId8"/>
    <sheet name="عدد الفرق لكل مدينة" sheetId="19" r:id="rId9"/>
    <sheet name="سجل تصفير الفئات" sheetId="20" r:id="rId10"/>
  </sheets>
  <definedNames>
    <definedName name="_xlnm._FilterDatabase" localSheetId="7" hidden="1">المدخلات!$F$2:$I$94</definedName>
    <definedName name="_xlnm._FilterDatabase" localSheetId="6" hidden="1">'بيانات التسجيل'!$G$2:$Q$560</definedName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9" l="1" a="1"/>
  <c r="D4" i="19" s="1"/>
  <c r="E4" i="19" a="1"/>
  <c r="E4" i="19" s="1"/>
  <c r="F4" i="19"/>
  <c r="D5" i="19" a="1"/>
  <c r="D5" i="19" s="1"/>
  <c r="E5" i="19" a="1"/>
  <c r="E5" i="19" s="1"/>
  <c r="F5" i="19"/>
  <c r="D6" i="19" a="1"/>
  <c r="D6" i="19" s="1"/>
  <c r="E6" i="19" a="1"/>
  <c r="E6" i="19" s="1"/>
  <c r="F6" i="19"/>
  <c r="D7" i="19" a="1"/>
  <c r="D7" i="19" s="1"/>
  <c r="E7" i="19" a="1"/>
  <c r="E7" i="19" s="1"/>
  <c r="F7" i="19"/>
  <c r="D8" i="19" a="1"/>
  <c r="D8" i="19" s="1"/>
  <c r="E8" i="19" a="1"/>
  <c r="E8" i="19" s="1"/>
  <c r="F8" i="19"/>
  <c r="D9" i="19" a="1"/>
  <c r="D9" i="19" s="1"/>
  <c r="E9" i="19" a="1"/>
  <c r="E9" i="19" s="1"/>
  <c r="F9" i="19"/>
  <c r="D10" i="19" a="1"/>
  <c r="D10" i="19" s="1"/>
  <c r="G10" i="19" s="1"/>
  <c r="E10" i="19" a="1"/>
  <c r="E10" i="19" s="1"/>
  <c r="F10" i="19"/>
  <c r="D11" i="19" a="1"/>
  <c r="D11" i="19" s="1"/>
  <c r="G11" i="19" s="1"/>
  <c r="E11" i="19" a="1"/>
  <c r="E11" i="19" s="1"/>
  <c r="F11" i="19"/>
  <c r="D12" i="19" a="1"/>
  <c r="D12" i="19" s="1"/>
  <c r="G12" i="19" s="1"/>
  <c r="E12" i="19" a="1"/>
  <c r="E12" i="19" s="1"/>
  <c r="F12" i="19"/>
  <c r="D13" i="19" a="1"/>
  <c r="D13" i="19" s="1"/>
  <c r="E13" i="19" a="1"/>
  <c r="E13" i="19" s="1"/>
  <c r="F13" i="19"/>
  <c r="D14" i="19" a="1"/>
  <c r="D14" i="19" s="1"/>
  <c r="E14" i="19" a="1"/>
  <c r="E14" i="19" s="1"/>
  <c r="F14" i="19"/>
  <c r="D15" i="19" a="1"/>
  <c r="D15" i="19" s="1"/>
  <c r="G15" i="19" s="1"/>
  <c r="E15" i="19" a="1"/>
  <c r="E15" i="19" s="1"/>
  <c r="F15" i="19"/>
  <c r="D16" i="19" a="1"/>
  <c r="D16" i="19" s="1"/>
  <c r="E16" i="19" a="1"/>
  <c r="E16" i="19" s="1"/>
  <c r="F16" i="19"/>
  <c r="D17" i="19" a="1"/>
  <c r="D17" i="19" s="1"/>
  <c r="E17" i="19" a="1"/>
  <c r="E17" i="19" s="1"/>
  <c r="F17" i="19"/>
  <c r="D18" i="19" a="1"/>
  <c r="D18" i="19" s="1"/>
  <c r="E18" i="19" a="1"/>
  <c r="E18" i="19" s="1"/>
  <c r="F18" i="19"/>
  <c r="D19" i="19" a="1"/>
  <c r="D19" i="19" s="1"/>
  <c r="E19" i="19" a="1"/>
  <c r="E19" i="19" s="1"/>
  <c r="F19" i="19"/>
  <c r="D20" i="19" a="1"/>
  <c r="D20" i="19" s="1"/>
  <c r="E20" i="19" a="1"/>
  <c r="E20" i="19" s="1"/>
  <c r="F20" i="19"/>
  <c r="D21" i="19" a="1"/>
  <c r="D21" i="19" s="1"/>
  <c r="E21" i="19" a="1"/>
  <c r="E21" i="19" s="1"/>
  <c r="F21" i="19"/>
  <c r="D22" i="19" a="1"/>
  <c r="D22" i="19" s="1"/>
  <c r="E22" i="19" a="1"/>
  <c r="E22" i="19" s="1"/>
  <c r="F22" i="19"/>
  <c r="D23" i="19" a="1"/>
  <c r="D23" i="19" s="1"/>
  <c r="E23" i="19" a="1"/>
  <c r="E23" i="19" s="1"/>
  <c r="F23" i="19"/>
  <c r="D24" i="19" a="1"/>
  <c r="D24" i="19" s="1"/>
  <c r="G24" i="19" s="1"/>
  <c r="E24" i="19" a="1"/>
  <c r="E24" i="19" s="1"/>
  <c r="F24" i="19"/>
  <c r="D25" i="19" a="1"/>
  <c r="D25" i="19" s="1"/>
  <c r="G25" i="19" s="1"/>
  <c r="E25" i="19" a="1"/>
  <c r="E25" i="19" s="1"/>
  <c r="F25" i="19"/>
  <c r="D26" i="19" a="1"/>
  <c r="D26" i="19" s="1"/>
  <c r="G26" i="19" s="1"/>
  <c r="E26" i="19" a="1"/>
  <c r="E26" i="19" s="1"/>
  <c r="F26" i="19"/>
  <c r="D27" i="19" a="1"/>
  <c r="D27" i="19" s="1"/>
  <c r="E27" i="19" a="1"/>
  <c r="E27" i="19" s="1"/>
  <c r="F27" i="19"/>
  <c r="D28" i="19" a="1"/>
  <c r="D28" i="19" s="1"/>
  <c r="G28" i="19" s="1"/>
  <c r="E28" i="19" a="1"/>
  <c r="E28" i="19" s="1"/>
  <c r="F28" i="19"/>
  <c r="D29" i="19" a="1"/>
  <c r="D29" i="19" s="1"/>
  <c r="G29" i="19" s="1"/>
  <c r="E29" i="19" a="1"/>
  <c r="E29" i="19" s="1"/>
  <c r="F29" i="19"/>
  <c r="D30" i="19" a="1"/>
  <c r="D30" i="19" s="1"/>
  <c r="G30" i="19" s="1"/>
  <c r="E30" i="19" a="1"/>
  <c r="E30" i="19" s="1"/>
  <c r="F30" i="19"/>
  <c r="D31" i="19" a="1"/>
  <c r="D31" i="19" s="1"/>
  <c r="E31" i="19" a="1"/>
  <c r="E31" i="19" s="1"/>
  <c r="F31" i="19"/>
  <c r="D32" i="19" a="1"/>
  <c r="D32" i="19" s="1"/>
  <c r="E32" i="19" a="1"/>
  <c r="E32" i="19" s="1"/>
  <c r="F32" i="19"/>
  <c r="D33" i="19" a="1"/>
  <c r="D33" i="19" s="1"/>
  <c r="E33" i="19" a="1"/>
  <c r="E33" i="19" s="1"/>
  <c r="F33" i="19"/>
  <c r="D34" i="19" a="1"/>
  <c r="D34" i="19" s="1"/>
  <c r="E34" i="19" a="1"/>
  <c r="E34" i="19" s="1"/>
  <c r="F34" i="19"/>
  <c r="D35" i="19" a="1"/>
  <c r="D35" i="19" s="1"/>
  <c r="E35" i="19" a="1"/>
  <c r="E35" i="19" s="1"/>
  <c r="F35" i="19"/>
  <c r="D36" i="19" a="1"/>
  <c r="D36" i="19" s="1"/>
  <c r="E36" i="19" a="1"/>
  <c r="E36" i="19" s="1"/>
  <c r="F36" i="19"/>
  <c r="D37" i="19" a="1"/>
  <c r="D37" i="19" s="1"/>
  <c r="E37" i="19" a="1"/>
  <c r="E37" i="19" s="1"/>
  <c r="F37" i="19"/>
  <c r="D38" i="19" a="1"/>
  <c r="D38" i="19" s="1"/>
  <c r="G38" i="19" s="1"/>
  <c r="E38" i="19" a="1"/>
  <c r="E38" i="19" s="1"/>
  <c r="F38" i="19"/>
  <c r="D39" i="19" a="1"/>
  <c r="D39" i="19" s="1"/>
  <c r="E39" i="19" a="1"/>
  <c r="E39" i="19" s="1"/>
  <c r="F39" i="19"/>
  <c r="D40" i="19" a="1"/>
  <c r="D40" i="19" s="1"/>
  <c r="E40" i="19" a="1"/>
  <c r="E40" i="19" s="1"/>
  <c r="F40" i="19"/>
  <c r="D41" i="19" a="1"/>
  <c r="D41" i="19" s="1"/>
  <c r="E41" i="19" a="1"/>
  <c r="E41" i="19" s="1"/>
  <c r="F41" i="19"/>
  <c r="D42" i="19" a="1"/>
  <c r="D42" i="19" s="1"/>
  <c r="E42" i="19" a="1"/>
  <c r="E42" i="19" s="1"/>
  <c r="F42" i="19"/>
  <c r="D43" i="19" a="1"/>
  <c r="D43" i="19" s="1"/>
  <c r="E43" i="19" a="1"/>
  <c r="E43" i="19" s="1"/>
  <c r="F43" i="19"/>
  <c r="D44" i="19" a="1"/>
  <c r="D44" i="19" s="1"/>
  <c r="E44" i="19" a="1"/>
  <c r="E44" i="19" s="1"/>
  <c r="F44" i="19"/>
  <c r="D45" i="19" a="1"/>
  <c r="D45" i="19" s="1"/>
  <c r="E45" i="19" a="1"/>
  <c r="E45" i="19" s="1"/>
  <c r="F45" i="19"/>
  <c r="D46" i="19" a="1"/>
  <c r="D46" i="19" s="1"/>
  <c r="E46" i="19" a="1"/>
  <c r="E46" i="19" s="1"/>
  <c r="F46" i="19"/>
  <c r="D47" i="19" a="1"/>
  <c r="D47" i="19" s="1"/>
  <c r="E47" i="19" a="1"/>
  <c r="E47" i="19" s="1"/>
  <c r="F47" i="19"/>
  <c r="D48" i="19" a="1"/>
  <c r="D48" i="19" s="1"/>
  <c r="E48" i="19" a="1"/>
  <c r="E48" i="19" s="1"/>
  <c r="F48" i="19"/>
  <c r="D49" i="19" a="1"/>
  <c r="D49" i="19" s="1"/>
  <c r="E49" i="19" a="1"/>
  <c r="E49" i="19" s="1"/>
  <c r="F49" i="19"/>
  <c r="D50" i="19" a="1"/>
  <c r="D50" i="19" s="1"/>
  <c r="E50" i="19" a="1"/>
  <c r="E50" i="19" s="1"/>
  <c r="F50" i="19"/>
  <c r="D51" i="19" a="1"/>
  <c r="D51" i="19" s="1"/>
  <c r="E51" i="19" a="1"/>
  <c r="E51" i="19" s="1"/>
  <c r="F51" i="19"/>
  <c r="D52" i="19" a="1"/>
  <c r="D52" i="19" s="1"/>
  <c r="E52" i="19" a="1"/>
  <c r="E52" i="19" s="1"/>
  <c r="F52" i="19"/>
  <c r="D53" i="19" a="1"/>
  <c r="D53" i="19" s="1"/>
  <c r="E53" i="19" a="1"/>
  <c r="E53" i="19" s="1"/>
  <c r="F53" i="19"/>
  <c r="D54" i="19" a="1"/>
  <c r="D54" i="19" s="1"/>
  <c r="E54" i="19" a="1"/>
  <c r="E54" i="19" s="1"/>
  <c r="F54" i="19"/>
  <c r="D55" i="19" a="1"/>
  <c r="D55" i="19" s="1"/>
  <c r="E55" i="19" a="1"/>
  <c r="E55" i="19" s="1"/>
  <c r="F55" i="19"/>
  <c r="D56" i="19" a="1"/>
  <c r="D56" i="19" s="1"/>
  <c r="E56" i="19" a="1"/>
  <c r="E56" i="19" s="1"/>
  <c r="F56" i="19"/>
  <c r="D57" i="19" a="1"/>
  <c r="D57" i="19" s="1"/>
  <c r="E57" i="19" a="1"/>
  <c r="E57" i="19" s="1"/>
  <c r="F57" i="19"/>
  <c r="D58" i="19" a="1"/>
  <c r="D58" i="19" s="1"/>
  <c r="E58" i="19" a="1"/>
  <c r="E58" i="19" s="1"/>
  <c r="F58" i="19"/>
  <c r="D59" i="19" a="1"/>
  <c r="D59" i="19" s="1"/>
  <c r="G59" i="19" s="1"/>
  <c r="E59" i="19" a="1"/>
  <c r="E59" i="19" s="1"/>
  <c r="F59" i="19"/>
  <c r="D60" i="19" a="1"/>
  <c r="D60" i="19" s="1"/>
  <c r="E60" i="19" a="1"/>
  <c r="E60" i="19" s="1"/>
  <c r="F60" i="19"/>
  <c r="D61" i="19" a="1"/>
  <c r="D61" i="19" s="1"/>
  <c r="E61" i="19" a="1"/>
  <c r="E61" i="19" s="1"/>
  <c r="F61" i="19"/>
  <c r="D62" i="19" a="1"/>
  <c r="D62" i="19" s="1"/>
  <c r="G62" i="19" s="1"/>
  <c r="E62" i="19" a="1"/>
  <c r="E62" i="19" s="1"/>
  <c r="F62" i="19"/>
  <c r="D63" i="19" a="1"/>
  <c r="D63" i="19" s="1"/>
  <c r="E63" i="19" a="1"/>
  <c r="E63" i="19" s="1"/>
  <c r="F63" i="19"/>
  <c r="D64" i="19" a="1"/>
  <c r="D64" i="19" s="1"/>
  <c r="E64" i="19" a="1"/>
  <c r="E64" i="19" s="1"/>
  <c r="F64" i="19"/>
  <c r="D65" i="19" a="1"/>
  <c r="D65" i="19" s="1"/>
  <c r="E65" i="19" a="1"/>
  <c r="E65" i="19" s="1"/>
  <c r="F65" i="19"/>
  <c r="D66" i="19" a="1"/>
  <c r="D66" i="19" s="1"/>
  <c r="G66" i="19" s="1"/>
  <c r="E66" i="19" a="1"/>
  <c r="E66" i="19" s="1"/>
  <c r="F66" i="19"/>
  <c r="D67" i="19" a="1"/>
  <c r="D67" i="19" s="1"/>
  <c r="E67" i="19" a="1"/>
  <c r="E67" i="19" s="1"/>
  <c r="F67" i="19"/>
  <c r="D68" i="19" a="1"/>
  <c r="D68" i="19" s="1"/>
  <c r="E68" i="19" a="1"/>
  <c r="E68" i="19" s="1"/>
  <c r="F68" i="19"/>
  <c r="D69" i="19" a="1"/>
  <c r="D69" i="19" s="1"/>
  <c r="G69" i="19" s="1"/>
  <c r="E69" i="19" a="1"/>
  <c r="E69" i="19" s="1"/>
  <c r="F69" i="19"/>
  <c r="D70" i="19" a="1"/>
  <c r="D70" i="19" s="1"/>
  <c r="E70" i="19" a="1"/>
  <c r="E70" i="19" s="1"/>
  <c r="F70" i="19"/>
  <c r="D71" i="19" a="1"/>
  <c r="D71" i="19" s="1"/>
  <c r="E71" i="19" a="1"/>
  <c r="E71" i="19" s="1"/>
  <c r="F71" i="19"/>
  <c r="D72" i="19" a="1"/>
  <c r="D72" i="19" s="1"/>
  <c r="E72" i="19" a="1"/>
  <c r="E72" i="19" s="1"/>
  <c r="F72" i="19"/>
  <c r="D73" i="19" a="1"/>
  <c r="D73" i="19" s="1"/>
  <c r="G73" i="19" s="1"/>
  <c r="E73" i="19" a="1"/>
  <c r="E73" i="19" s="1"/>
  <c r="F73" i="19"/>
  <c r="D74" i="19" a="1"/>
  <c r="D74" i="19" s="1"/>
  <c r="E74" i="19" a="1"/>
  <c r="E74" i="19" s="1"/>
  <c r="F74" i="19"/>
  <c r="D75" i="19" a="1"/>
  <c r="D75" i="19" s="1"/>
  <c r="E75" i="19" a="1"/>
  <c r="E75" i="19" s="1"/>
  <c r="F75" i="19"/>
  <c r="D76" i="19" a="1"/>
  <c r="D76" i="19" s="1"/>
  <c r="G76" i="19" s="1"/>
  <c r="E76" i="19" a="1"/>
  <c r="E76" i="19" s="1"/>
  <c r="F76" i="19"/>
  <c r="D77" i="19" a="1"/>
  <c r="D77" i="19" s="1"/>
  <c r="E77" i="19" a="1"/>
  <c r="E77" i="19" s="1"/>
  <c r="F77" i="19"/>
  <c r="D78" i="19" a="1"/>
  <c r="D78" i="19" s="1"/>
  <c r="E78" i="19" a="1"/>
  <c r="E78" i="19" s="1"/>
  <c r="F78" i="19"/>
  <c r="D79" i="19" a="1"/>
  <c r="D79" i="19" s="1"/>
  <c r="E79" i="19" a="1"/>
  <c r="E79" i="19" s="1"/>
  <c r="F79" i="19"/>
  <c r="D80" i="19" a="1"/>
  <c r="D80" i="19" s="1"/>
  <c r="G80" i="19" s="1"/>
  <c r="E80" i="19" a="1"/>
  <c r="E80" i="19" s="1"/>
  <c r="F80" i="19"/>
  <c r="D81" i="19" a="1"/>
  <c r="D81" i="19" s="1"/>
  <c r="G81" i="19" s="1"/>
  <c r="E81" i="19" a="1"/>
  <c r="E81" i="19" s="1"/>
  <c r="F81" i="19"/>
  <c r="D82" i="19" a="1"/>
  <c r="D82" i="19" s="1"/>
  <c r="E82" i="19" a="1"/>
  <c r="E82" i="19" s="1"/>
  <c r="F82" i="19"/>
  <c r="D83" i="19" a="1"/>
  <c r="D83" i="19" s="1"/>
  <c r="E83" i="19" a="1"/>
  <c r="E83" i="19" s="1"/>
  <c r="F83" i="19"/>
  <c r="D84" i="19" a="1"/>
  <c r="D84" i="19" s="1"/>
  <c r="E84" i="19" a="1"/>
  <c r="E84" i="19" s="1"/>
  <c r="F84" i="19"/>
  <c r="D85" i="19" a="1"/>
  <c r="D85" i="19" s="1"/>
  <c r="E85" i="19" a="1"/>
  <c r="E85" i="19" s="1"/>
  <c r="F85" i="19"/>
  <c r="D86" i="19" a="1"/>
  <c r="D86" i="19" s="1"/>
  <c r="E86" i="19" a="1"/>
  <c r="E86" i="19" s="1"/>
  <c r="F86" i="19"/>
  <c r="D87" i="19" a="1"/>
  <c r="D87" i="19" s="1"/>
  <c r="E87" i="19" a="1"/>
  <c r="E87" i="19" s="1"/>
  <c r="F87" i="19"/>
  <c r="D88" i="19" a="1"/>
  <c r="D88" i="19" s="1"/>
  <c r="E88" i="19" a="1"/>
  <c r="E88" i="19" s="1"/>
  <c r="F88" i="19"/>
  <c r="D89" i="19" a="1"/>
  <c r="D89" i="19" s="1"/>
  <c r="E89" i="19" a="1"/>
  <c r="E89" i="19" s="1"/>
  <c r="F89" i="19"/>
  <c r="D90" i="19" a="1"/>
  <c r="D90" i="19" s="1"/>
  <c r="E90" i="19" a="1"/>
  <c r="E90" i="19" s="1"/>
  <c r="F90" i="19"/>
  <c r="D91" i="19" a="1"/>
  <c r="D91" i="19" s="1"/>
  <c r="E91" i="19" a="1"/>
  <c r="E91" i="19" s="1"/>
  <c r="F91" i="19"/>
  <c r="D92" i="19" a="1"/>
  <c r="D92" i="19" s="1"/>
  <c r="E92" i="19" a="1"/>
  <c r="E92" i="19" s="1"/>
  <c r="F92" i="19"/>
  <c r="D93" i="19" a="1"/>
  <c r="D93" i="19" s="1"/>
  <c r="E93" i="19" a="1"/>
  <c r="E93" i="19" s="1"/>
  <c r="F93" i="19"/>
  <c r="D94" i="19" a="1"/>
  <c r="D94" i="19" s="1"/>
  <c r="E94" i="19" a="1"/>
  <c r="E94" i="19" s="1"/>
  <c r="F94" i="19"/>
  <c r="D95" i="19" a="1"/>
  <c r="D95" i="19" s="1"/>
  <c r="E95" i="19" a="1"/>
  <c r="E95" i="19" s="1"/>
  <c r="F95" i="19"/>
  <c r="D96" i="19" a="1"/>
  <c r="D96" i="19" s="1"/>
  <c r="E96" i="19" a="1"/>
  <c r="E96" i="19" s="1"/>
  <c r="F96" i="19"/>
  <c r="D97" i="19" a="1"/>
  <c r="D97" i="19" s="1"/>
  <c r="E97" i="19" a="1"/>
  <c r="E97" i="19" s="1"/>
  <c r="F97" i="19"/>
  <c r="D98" i="19" a="1"/>
  <c r="D98" i="19" s="1"/>
  <c r="E98" i="19" a="1"/>
  <c r="E98" i="19" s="1"/>
  <c r="F98" i="19"/>
  <c r="D99" i="19" a="1"/>
  <c r="D99" i="19" s="1"/>
  <c r="E99" i="19" a="1"/>
  <c r="E99" i="19" s="1"/>
  <c r="F99" i="19"/>
  <c r="D100" i="19" a="1"/>
  <c r="D100" i="19" s="1"/>
  <c r="E100" i="19" a="1"/>
  <c r="E100" i="19" s="1"/>
  <c r="F100" i="19"/>
  <c r="D101" i="19" a="1"/>
  <c r="D101" i="19" s="1"/>
  <c r="G101" i="19" s="1"/>
  <c r="E101" i="19" a="1"/>
  <c r="E101" i="19" s="1"/>
  <c r="F101" i="19"/>
  <c r="D102" i="19" a="1"/>
  <c r="D102" i="19" s="1"/>
  <c r="E102" i="19" a="1"/>
  <c r="E102" i="19" s="1"/>
  <c r="F102" i="19"/>
  <c r="D103" i="19" a="1"/>
  <c r="D103" i="19" s="1"/>
  <c r="G103" i="19" s="1"/>
  <c r="E103" i="19" a="1"/>
  <c r="E103" i="19" s="1"/>
  <c r="F103" i="19"/>
  <c r="D104" i="19" a="1"/>
  <c r="D104" i="19"/>
  <c r="G104" i="19" s="1"/>
  <c r="E104" i="19" a="1"/>
  <c r="E104" i="19" s="1"/>
  <c r="F104" i="19"/>
  <c r="D105" i="19" a="1"/>
  <c r="D105" i="19" s="1"/>
  <c r="G105" i="19" s="1"/>
  <c r="E105" i="19" a="1"/>
  <c r="E105" i="19" s="1"/>
  <c r="F105" i="19"/>
  <c r="D106" i="19" a="1"/>
  <c r="D106" i="19" s="1"/>
  <c r="G106" i="19" s="1"/>
  <c r="E106" i="19" a="1"/>
  <c r="E106" i="19" s="1"/>
  <c r="F106" i="19"/>
  <c r="D107" i="19" a="1"/>
  <c r="D107" i="19" s="1"/>
  <c r="G107" i="19" s="1"/>
  <c r="E107" i="19" a="1"/>
  <c r="E107" i="19" s="1"/>
  <c r="F107" i="19"/>
  <c r="D108" i="19" a="1"/>
  <c r="D108" i="19" s="1"/>
  <c r="G108" i="19" s="1"/>
  <c r="E108" i="19" a="1"/>
  <c r="E108" i="19" s="1"/>
  <c r="F108" i="19"/>
  <c r="D109" i="19" a="1"/>
  <c r="D109" i="19" s="1"/>
  <c r="G109" i="19" s="1"/>
  <c r="E109" i="19" a="1"/>
  <c r="E109" i="19" s="1"/>
  <c r="F109" i="19"/>
  <c r="D110" i="19" a="1"/>
  <c r="D110" i="19" s="1"/>
  <c r="E110" i="19" a="1"/>
  <c r="E110" i="19" s="1"/>
  <c r="F110" i="19"/>
  <c r="D111" i="19" a="1"/>
  <c r="D111" i="19" s="1"/>
  <c r="E111" i="19" a="1"/>
  <c r="E111" i="19" s="1"/>
  <c r="F111" i="19"/>
  <c r="D112" i="19" a="1"/>
  <c r="D112" i="19" s="1"/>
  <c r="E112" i="19" a="1"/>
  <c r="E112" i="19" s="1"/>
  <c r="F112" i="19"/>
  <c r="D113" i="19" a="1"/>
  <c r="D113" i="19" s="1"/>
  <c r="E113" i="19" a="1"/>
  <c r="E113" i="19" s="1"/>
  <c r="F113" i="19"/>
  <c r="D114" i="19" a="1"/>
  <c r="D114" i="19" s="1"/>
  <c r="E114" i="19" a="1"/>
  <c r="E114" i="19" s="1"/>
  <c r="F114" i="19"/>
  <c r="D115" i="19" a="1"/>
  <c r="D115" i="19" s="1"/>
  <c r="E115" i="19" a="1"/>
  <c r="E115" i="19" s="1"/>
  <c r="F115" i="19"/>
  <c r="D116" i="19" a="1"/>
  <c r="D116" i="19" s="1"/>
  <c r="E116" i="19" a="1"/>
  <c r="E116" i="19" s="1"/>
  <c r="F116" i="19"/>
  <c r="D117" i="19" a="1"/>
  <c r="D117" i="19" s="1"/>
  <c r="E117" i="19" a="1"/>
  <c r="E117" i="19" s="1"/>
  <c r="F117" i="19"/>
  <c r="D118" i="19" a="1"/>
  <c r="D118" i="19" s="1"/>
  <c r="E118" i="19" a="1"/>
  <c r="E118" i="19" s="1"/>
  <c r="F118" i="19"/>
  <c r="D119" i="19" a="1"/>
  <c r="D119" i="19" s="1"/>
  <c r="E119" i="19" a="1"/>
  <c r="E119" i="19" s="1"/>
  <c r="F119" i="19"/>
  <c r="D120" i="19" a="1"/>
  <c r="D120" i="19" s="1"/>
  <c r="E120" i="19" a="1"/>
  <c r="E120" i="19" s="1"/>
  <c r="F120" i="19"/>
  <c r="D121" i="19" a="1"/>
  <c r="D121" i="19" s="1"/>
  <c r="E121" i="19" a="1"/>
  <c r="E121" i="19" s="1"/>
  <c r="F121" i="19"/>
  <c r="D122" i="19" a="1"/>
  <c r="D122" i="19" s="1"/>
  <c r="G122" i="19" s="1"/>
  <c r="E122" i="19" a="1"/>
  <c r="E122" i="19" s="1"/>
  <c r="F122" i="19"/>
  <c r="D123" i="19" a="1"/>
  <c r="D123" i="19" s="1"/>
  <c r="G123" i="19" s="1"/>
  <c r="E123" i="19" a="1"/>
  <c r="E123" i="19" s="1"/>
  <c r="F123" i="19"/>
  <c r="D124" i="19" a="1"/>
  <c r="D124" i="19" s="1"/>
  <c r="E124" i="19" a="1"/>
  <c r="E124" i="19" s="1"/>
  <c r="F124" i="19"/>
  <c r="D125" i="19" a="1"/>
  <c r="D125" i="19" s="1"/>
  <c r="E125" i="19" a="1"/>
  <c r="E125" i="19" s="1"/>
  <c r="F125" i="19"/>
  <c r="D126" i="19" a="1"/>
  <c r="D126" i="19" s="1"/>
  <c r="E126" i="19" a="1"/>
  <c r="E126" i="19" s="1"/>
  <c r="F126" i="19"/>
  <c r="D127" i="19" a="1"/>
  <c r="D127" i="19" s="1"/>
  <c r="E127" i="19" a="1"/>
  <c r="E127" i="19" s="1"/>
  <c r="F127" i="19"/>
  <c r="D128" i="19" a="1"/>
  <c r="D128" i="19" s="1"/>
  <c r="E128" i="19" a="1"/>
  <c r="E128" i="19" s="1"/>
  <c r="F128" i="19"/>
  <c r="D129" i="19" a="1"/>
  <c r="D129" i="19" s="1"/>
  <c r="G129" i="19" s="1"/>
  <c r="E129" i="19" a="1"/>
  <c r="E129" i="19" s="1"/>
  <c r="F129" i="19"/>
  <c r="D130" i="19" a="1"/>
  <c r="D130" i="19" s="1"/>
  <c r="G130" i="19" s="1"/>
  <c r="E130" i="19" a="1"/>
  <c r="E130" i="19" s="1"/>
  <c r="F130" i="19"/>
  <c r="D131" i="19" a="1"/>
  <c r="D131" i="19" s="1"/>
  <c r="G131" i="19" s="1"/>
  <c r="E131" i="19" a="1"/>
  <c r="E131" i="19" s="1"/>
  <c r="F131" i="19"/>
  <c r="D132" i="19" a="1"/>
  <c r="D132" i="19" s="1"/>
  <c r="G132" i="19" s="1"/>
  <c r="E132" i="19" a="1"/>
  <c r="E132" i="19" s="1"/>
  <c r="F132" i="19"/>
  <c r="D133" i="19" a="1"/>
  <c r="D133" i="19" s="1"/>
  <c r="E133" i="19" a="1"/>
  <c r="E133" i="19" s="1"/>
  <c r="F133" i="19"/>
  <c r="D134" i="19" a="1"/>
  <c r="D134" i="19" s="1"/>
  <c r="G134" i="19" s="1"/>
  <c r="E134" i="19" a="1"/>
  <c r="E134" i="19" s="1"/>
  <c r="F134" i="19"/>
  <c r="D135" i="19" a="1"/>
  <c r="D135" i="19" s="1"/>
  <c r="E135" i="19" a="1"/>
  <c r="E135" i="19" s="1"/>
  <c r="F135" i="19"/>
  <c r="D136" i="19" a="1"/>
  <c r="D136" i="19" s="1"/>
  <c r="E136" i="19" a="1"/>
  <c r="E136" i="19" s="1"/>
  <c r="F136" i="19"/>
  <c r="D137" i="19" a="1"/>
  <c r="D137" i="19" s="1"/>
  <c r="E137" i="19" a="1"/>
  <c r="E137" i="19" s="1"/>
  <c r="F137" i="19"/>
  <c r="D138" i="19" a="1"/>
  <c r="D138" i="19" s="1"/>
  <c r="E138" i="19" a="1"/>
  <c r="E138" i="19" s="1"/>
  <c r="F138" i="19"/>
  <c r="D139" i="19" a="1"/>
  <c r="D139" i="19" s="1"/>
  <c r="E139" i="19" a="1"/>
  <c r="E139" i="19" s="1"/>
  <c r="F139" i="19"/>
  <c r="D140" i="19" a="1"/>
  <c r="D140" i="19" s="1"/>
  <c r="E140" i="19" a="1"/>
  <c r="E140" i="19" s="1"/>
  <c r="F140" i="19"/>
  <c r="D141" i="19" a="1"/>
  <c r="D141" i="19" s="1"/>
  <c r="E141" i="19" a="1"/>
  <c r="E141" i="19" s="1"/>
  <c r="F141" i="19"/>
  <c r="D142" i="19" a="1"/>
  <c r="D142" i="19" s="1"/>
  <c r="E142" i="19" a="1"/>
  <c r="E142" i="19" s="1"/>
  <c r="F142" i="19"/>
  <c r="D143" i="19" a="1"/>
  <c r="D143" i="19" s="1"/>
  <c r="E143" i="19" a="1"/>
  <c r="E143" i="19" s="1"/>
  <c r="F143" i="19"/>
  <c r="D144" i="19" a="1"/>
  <c r="D144" i="19" s="1"/>
  <c r="E144" i="19" a="1"/>
  <c r="E144" i="19" s="1"/>
  <c r="F144" i="19"/>
  <c r="D145" i="19" a="1"/>
  <c r="D145" i="19" s="1"/>
  <c r="E145" i="19" a="1"/>
  <c r="E145" i="19" s="1"/>
  <c r="F145" i="19"/>
  <c r="D146" i="19" a="1"/>
  <c r="D146" i="19" s="1"/>
  <c r="E146" i="19" a="1"/>
  <c r="E146" i="19" s="1"/>
  <c r="F146" i="19"/>
  <c r="D147" i="19" a="1"/>
  <c r="D147" i="19" s="1"/>
  <c r="E147" i="19" a="1"/>
  <c r="E147" i="19" s="1"/>
  <c r="F147" i="19"/>
  <c r="D148" i="19" a="1"/>
  <c r="D148" i="19" s="1"/>
  <c r="E148" i="19" a="1"/>
  <c r="E148" i="19" s="1"/>
  <c r="F148" i="19"/>
  <c r="D149" i="19" a="1"/>
  <c r="D149" i="19" s="1"/>
  <c r="E149" i="19" a="1"/>
  <c r="E149" i="19" s="1"/>
  <c r="F149" i="19"/>
  <c r="D150" i="19" a="1"/>
  <c r="D150" i="19" s="1"/>
  <c r="E150" i="19" a="1"/>
  <c r="E150" i="19" s="1"/>
  <c r="F150" i="19"/>
  <c r="D151" i="19" a="1"/>
  <c r="D151" i="19" s="1"/>
  <c r="E151" i="19" a="1"/>
  <c r="E151" i="19" s="1"/>
  <c r="F151" i="19"/>
  <c r="D152" i="19" a="1"/>
  <c r="D152" i="19" s="1"/>
  <c r="E152" i="19" a="1"/>
  <c r="E152" i="19" s="1"/>
  <c r="F152" i="19"/>
  <c r="D153" i="19" a="1"/>
  <c r="D153" i="19" s="1"/>
  <c r="E153" i="19" a="1"/>
  <c r="E153" i="19" s="1"/>
  <c r="F153" i="19"/>
  <c r="D154" i="19" a="1"/>
  <c r="D154" i="19" s="1"/>
  <c r="E154" i="19" a="1"/>
  <c r="E154" i="19" s="1"/>
  <c r="F154" i="19"/>
  <c r="D155" i="19" a="1"/>
  <c r="D155" i="19" s="1"/>
  <c r="E155" i="19" a="1"/>
  <c r="E155" i="19" s="1"/>
  <c r="F155" i="19"/>
  <c r="D156" i="19" a="1"/>
  <c r="D156" i="19" s="1"/>
  <c r="E156" i="19" a="1"/>
  <c r="E156" i="19" s="1"/>
  <c r="F156" i="19"/>
  <c r="D157" i="19" a="1"/>
  <c r="D157" i="19" s="1"/>
  <c r="E157" i="19" a="1"/>
  <c r="E157" i="19" s="1"/>
  <c r="F157" i="19"/>
  <c r="D158" i="19" a="1"/>
  <c r="D158" i="19" s="1"/>
  <c r="E158" i="19" a="1"/>
  <c r="E158" i="19" s="1"/>
  <c r="F158" i="19"/>
  <c r="D159" i="19" a="1"/>
  <c r="D159" i="19" s="1"/>
  <c r="E159" i="19" a="1"/>
  <c r="E159" i="19" s="1"/>
  <c r="F159" i="19"/>
  <c r="D160" i="19" a="1"/>
  <c r="D160" i="19" s="1"/>
  <c r="E160" i="19" a="1"/>
  <c r="E160" i="19" s="1"/>
  <c r="F160" i="19"/>
  <c r="D161" i="19" a="1"/>
  <c r="D161" i="19" s="1"/>
  <c r="E161" i="19" a="1"/>
  <c r="E161" i="19" s="1"/>
  <c r="F161" i="19"/>
  <c r="D162" i="19" a="1"/>
  <c r="D162" i="19" s="1"/>
  <c r="E162" i="19" a="1"/>
  <c r="E162" i="19" s="1"/>
  <c r="F162" i="19"/>
  <c r="D163" i="19" a="1"/>
  <c r="D163" i="19" s="1"/>
  <c r="E163" i="19" a="1"/>
  <c r="E163" i="19" s="1"/>
  <c r="F163" i="19"/>
  <c r="D164" i="19" a="1"/>
  <c r="D164" i="19" s="1"/>
  <c r="E164" i="19" a="1"/>
  <c r="E164" i="19" s="1"/>
  <c r="F164" i="19"/>
  <c r="D165" i="19" a="1"/>
  <c r="D165" i="19" s="1"/>
  <c r="E165" i="19" a="1"/>
  <c r="E165" i="19" s="1"/>
  <c r="F165" i="19"/>
  <c r="D166" i="19" a="1"/>
  <c r="D166" i="19" s="1"/>
  <c r="E166" i="19" a="1"/>
  <c r="E166" i="19" s="1"/>
  <c r="F166" i="19"/>
  <c r="D167" i="19" a="1"/>
  <c r="D167" i="19" s="1"/>
  <c r="E167" i="19" a="1"/>
  <c r="E167" i="19" s="1"/>
  <c r="F167" i="19"/>
  <c r="D168" i="19" a="1"/>
  <c r="D168" i="19" s="1"/>
  <c r="E168" i="19" a="1"/>
  <c r="E168" i="19" s="1"/>
  <c r="F168" i="19"/>
  <c r="D169" i="19" a="1"/>
  <c r="D169" i="19" s="1"/>
  <c r="E169" i="19" a="1"/>
  <c r="E169" i="19" s="1"/>
  <c r="F169" i="19"/>
  <c r="D170" i="19" a="1"/>
  <c r="D170" i="19" s="1"/>
  <c r="E170" i="19" a="1"/>
  <c r="E170" i="19" s="1"/>
  <c r="F170" i="19"/>
  <c r="D171" i="19" a="1"/>
  <c r="D171" i="19" s="1"/>
  <c r="G171" i="19" s="1"/>
  <c r="E171" i="19" a="1"/>
  <c r="E171" i="19" s="1"/>
  <c r="F171" i="19"/>
  <c r="D172" i="19" a="1"/>
  <c r="D172" i="19" s="1"/>
  <c r="E172" i="19" a="1"/>
  <c r="E172" i="19" s="1"/>
  <c r="F172" i="19"/>
  <c r="D173" i="19" a="1"/>
  <c r="D173" i="19" s="1"/>
  <c r="E173" i="19" a="1"/>
  <c r="E173" i="19" s="1"/>
  <c r="F173" i="19"/>
  <c r="D174" i="19" a="1"/>
  <c r="D174" i="19" s="1"/>
  <c r="E174" i="19" a="1"/>
  <c r="E174" i="19" s="1"/>
  <c r="F174" i="19"/>
  <c r="D175" i="19" a="1"/>
  <c r="D175" i="19" s="1"/>
  <c r="E175" i="19" a="1"/>
  <c r="E175" i="19" s="1"/>
  <c r="F175" i="19"/>
  <c r="D176" i="19" a="1"/>
  <c r="D176" i="19" s="1"/>
  <c r="E176" i="19" a="1"/>
  <c r="E176" i="19" s="1"/>
  <c r="F176" i="19"/>
  <c r="D177" i="19" a="1"/>
  <c r="D177" i="19" s="1"/>
  <c r="E177" i="19" a="1"/>
  <c r="E177" i="19" s="1"/>
  <c r="F177" i="19"/>
  <c r="D178" i="19" a="1"/>
  <c r="D178" i="19" s="1"/>
  <c r="G178" i="19" s="1"/>
  <c r="E178" i="19" a="1"/>
  <c r="E178" i="19" s="1"/>
  <c r="F178" i="19"/>
  <c r="D179" i="19" a="1"/>
  <c r="D179" i="19" s="1"/>
  <c r="E179" i="19" a="1"/>
  <c r="E179" i="19" s="1"/>
  <c r="F179" i="19"/>
  <c r="D180" i="19" a="1"/>
  <c r="D180" i="19" s="1"/>
  <c r="E180" i="19" a="1"/>
  <c r="E180" i="19" s="1"/>
  <c r="F180" i="19"/>
  <c r="D181" i="19" a="1"/>
  <c r="D181" i="19" s="1"/>
  <c r="E181" i="19" a="1"/>
  <c r="E181" i="19" s="1"/>
  <c r="F181" i="19"/>
  <c r="D182" i="19" a="1"/>
  <c r="D182" i="19" s="1"/>
  <c r="E182" i="19" a="1"/>
  <c r="E182" i="19" s="1"/>
  <c r="F182" i="19"/>
  <c r="D183" i="19" a="1"/>
  <c r="D183" i="19" s="1"/>
  <c r="E183" i="19" a="1"/>
  <c r="E183" i="19" s="1"/>
  <c r="F183" i="19"/>
  <c r="D184" i="19" a="1"/>
  <c r="D184" i="19" s="1"/>
  <c r="E184" i="19" a="1"/>
  <c r="E184" i="19" s="1"/>
  <c r="F184" i="19"/>
  <c r="D185" i="19" a="1"/>
  <c r="D185" i="19" s="1"/>
  <c r="E185" i="19" a="1"/>
  <c r="E185" i="19" s="1"/>
  <c r="F185" i="19"/>
  <c r="D186" i="19" a="1"/>
  <c r="D186" i="19" s="1"/>
  <c r="E186" i="19" a="1"/>
  <c r="E186" i="19" s="1"/>
  <c r="F186" i="19"/>
  <c r="D187" i="19" a="1"/>
  <c r="D187" i="19" s="1"/>
  <c r="E187" i="19" a="1"/>
  <c r="E187" i="19" s="1"/>
  <c r="F187" i="19"/>
  <c r="D188" i="19" a="1"/>
  <c r="D188" i="19" s="1"/>
  <c r="E188" i="19" a="1"/>
  <c r="E188" i="19" s="1"/>
  <c r="F188" i="19"/>
  <c r="D189" i="19" a="1"/>
  <c r="D189" i="19" s="1"/>
  <c r="E189" i="19" a="1"/>
  <c r="E189" i="19" s="1"/>
  <c r="F189" i="19"/>
  <c r="D190" i="19" a="1"/>
  <c r="D190" i="19" s="1"/>
  <c r="E190" i="19" a="1"/>
  <c r="E190" i="19" s="1"/>
  <c r="F190" i="19"/>
  <c r="D191" i="19" a="1"/>
  <c r="D191" i="19" s="1"/>
  <c r="E191" i="19" a="1"/>
  <c r="E191" i="19" s="1"/>
  <c r="F191" i="19"/>
  <c r="D192" i="19" a="1"/>
  <c r="D192" i="19" s="1"/>
  <c r="G192" i="19" s="1"/>
  <c r="E192" i="19" a="1"/>
  <c r="E192" i="19" s="1"/>
  <c r="F192" i="19"/>
  <c r="D193" i="19" a="1"/>
  <c r="D193" i="19" s="1"/>
  <c r="G193" i="19" s="1"/>
  <c r="E193" i="19" a="1"/>
  <c r="E193" i="19" s="1"/>
  <c r="F193" i="19"/>
  <c r="D194" i="19" a="1"/>
  <c r="D194" i="19" s="1"/>
  <c r="E194" i="19" a="1"/>
  <c r="E194" i="19" s="1"/>
  <c r="F194" i="19"/>
  <c r="D195" i="19" a="1"/>
  <c r="D195" i="19" s="1"/>
  <c r="E195" i="19" a="1"/>
  <c r="E195" i="19" s="1"/>
  <c r="F195" i="19"/>
  <c r="D196" i="19" a="1"/>
  <c r="D196" i="19" s="1"/>
  <c r="E196" i="19" a="1"/>
  <c r="E196" i="19" s="1"/>
  <c r="F196" i="19"/>
  <c r="D197" i="19" a="1"/>
  <c r="D197" i="19" s="1"/>
  <c r="E197" i="19" a="1"/>
  <c r="E197" i="19" s="1"/>
  <c r="F197" i="19"/>
  <c r="D198" i="19" a="1"/>
  <c r="D198" i="19" s="1"/>
  <c r="E198" i="19" a="1"/>
  <c r="E198" i="19" s="1"/>
  <c r="F198" i="19"/>
  <c r="D199" i="19" a="1"/>
  <c r="D199" i="19" s="1"/>
  <c r="G199" i="19" s="1"/>
  <c r="E199" i="19" a="1"/>
  <c r="E199" i="19" s="1"/>
  <c r="F199" i="19"/>
  <c r="D200" i="19" a="1"/>
  <c r="D200" i="19" s="1"/>
  <c r="G200" i="19" s="1"/>
  <c r="E200" i="19" a="1"/>
  <c r="E200" i="19" s="1"/>
  <c r="F200" i="19"/>
  <c r="D201" i="19" a="1"/>
  <c r="D201" i="19" s="1"/>
  <c r="E201" i="19" a="1"/>
  <c r="E201" i="19" s="1"/>
  <c r="F201" i="19"/>
  <c r="D202" i="19" a="1"/>
  <c r="D202" i="19" s="1"/>
  <c r="G202" i="19" s="1"/>
  <c r="E202" i="19" a="1"/>
  <c r="E202" i="19" s="1"/>
  <c r="F202" i="19"/>
  <c r="D203" i="19" a="1"/>
  <c r="D203" i="19" s="1"/>
  <c r="G203" i="19" s="1"/>
  <c r="E203" i="19" a="1"/>
  <c r="E203" i="19" s="1"/>
  <c r="F203" i="19"/>
  <c r="D204" i="19" a="1"/>
  <c r="D204" i="19" s="1"/>
  <c r="G204" i="19" s="1"/>
  <c r="E204" i="19" a="1"/>
  <c r="E204" i="19" s="1"/>
  <c r="F204" i="19"/>
  <c r="D205" i="19" a="1"/>
  <c r="D205" i="19" s="1"/>
  <c r="G205" i="19" s="1"/>
  <c r="E205" i="19" a="1"/>
  <c r="E205" i="19" s="1"/>
  <c r="F205" i="19"/>
  <c r="D206" i="19" a="1"/>
  <c r="D206" i="19" s="1"/>
  <c r="G206" i="19" s="1"/>
  <c r="E206" i="19" a="1"/>
  <c r="E206" i="19" s="1"/>
  <c r="F206" i="19"/>
  <c r="D207" i="19" a="1"/>
  <c r="D207" i="19" s="1"/>
  <c r="G207" i="19" s="1"/>
  <c r="E207" i="19" a="1"/>
  <c r="E207" i="19" s="1"/>
  <c r="F207" i="19"/>
  <c r="D208" i="19" a="1"/>
  <c r="D208" i="19" s="1"/>
  <c r="G208" i="19" s="1"/>
  <c r="E208" i="19" a="1"/>
  <c r="E208" i="19" s="1"/>
  <c r="F208" i="19"/>
  <c r="D209" i="19" a="1"/>
  <c r="D209" i="19" s="1"/>
  <c r="E209" i="19" a="1"/>
  <c r="E209" i="19" s="1"/>
  <c r="F209" i="19"/>
  <c r="D210" i="19" a="1"/>
  <c r="D210" i="19" s="1"/>
  <c r="E210" i="19" a="1"/>
  <c r="E210" i="19" s="1"/>
  <c r="F210" i="19"/>
  <c r="D211" i="19" a="1"/>
  <c r="D211" i="19" s="1"/>
  <c r="E211" i="19" a="1"/>
  <c r="E211" i="19" s="1"/>
  <c r="F211" i="19"/>
  <c r="D212" i="19" a="1"/>
  <c r="D212" i="19" s="1"/>
  <c r="E212" i="19" a="1"/>
  <c r="E212" i="19" s="1"/>
  <c r="F212" i="19"/>
  <c r="D213" i="19" a="1"/>
  <c r="D213" i="19" s="1"/>
  <c r="G213" i="19" s="1"/>
  <c r="E213" i="19" a="1"/>
  <c r="E213" i="19" s="1"/>
  <c r="F213" i="19"/>
  <c r="D214" i="19" a="1"/>
  <c r="D214" i="19" s="1"/>
  <c r="G214" i="19" s="1"/>
  <c r="E214" i="19" a="1"/>
  <c r="E214" i="19" s="1"/>
  <c r="F214" i="19"/>
  <c r="D215" i="19" a="1"/>
  <c r="D215" i="19" s="1"/>
  <c r="G215" i="19" s="1"/>
  <c r="E215" i="19" a="1"/>
  <c r="E215" i="19" s="1"/>
  <c r="F215" i="19"/>
  <c r="D216" i="19" a="1"/>
  <c r="D216" i="19" s="1"/>
  <c r="E216" i="19" a="1"/>
  <c r="E216" i="19" s="1"/>
  <c r="F216" i="19"/>
  <c r="D217" i="19" a="1"/>
  <c r="D217" i="19" s="1"/>
  <c r="E217" i="19" a="1"/>
  <c r="E217" i="19" s="1"/>
  <c r="F217" i="19"/>
  <c r="D218" i="19" a="1"/>
  <c r="D218" i="19" s="1"/>
  <c r="E218" i="19" a="1"/>
  <c r="E218" i="19" s="1"/>
  <c r="F218" i="19"/>
  <c r="D219" i="19" a="1"/>
  <c r="D219" i="19" s="1"/>
  <c r="E219" i="19" a="1"/>
  <c r="E219" i="19" s="1"/>
  <c r="F219" i="19"/>
  <c r="D220" i="19" a="1"/>
  <c r="D220" i="19" s="1"/>
  <c r="G220" i="19" s="1"/>
  <c r="E220" i="19" a="1"/>
  <c r="E220" i="19" s="1"/>
  <c r="F220" i="19"/>
  <c r="D221" i="19" a="1"/>
  <c r="D221" i="19" s="1"/>
  <c r="G221" i="19" s="1"/>
  <c r="E221" i="19" a="1"/>
  <c r="E221" i="19" s="1"/>
  <c r="F221" i="19"/>
  <c r="D222" i="19" a="1"/>
  <c r="D222" i="19" s="1"/>
  <c r="G222" i="19" s="1"/>
  <c r="E222" i="19" a="1"/>
  <c r="E222" i="19" s="1"/>
  <c r="F222" i="19"/>
  <c r="D223" i="19" a="1"/>
  <c r="D223" i="19" s="1"/>
  <c r="G223" i="19" s="1"/>
  <c r="E223" i="19" a="1"/>
  <c r="E223" i="19" s="1"/>
  <c r="F223" i="19"/>
  <c r="D224" i="19" a="1"/>
  <c r="D224" i="19" s="1"/>
  <c r="E224" i="19" a="1"/>
  <c r="E224" i="19" s="1"/>
  <c r="F224" i="19"/>
  <c r="D225" i="19" a="1"/>
  <c r="D225" i="19" s="1"/>
  <c r="G225" i="19" s="1"/>
  <c r="E225" i="19" a="1"/>
  <c r="E225" i="19" s="1"/>
  <c r="F225" i="19"/>
  <c r="D226" i="19" a="1"/>
  <c r="D226" i="19" s="1"/>
  <c r="E226" i="19" a="1"/>
  <c r="E226" i="19" s="1"/>
  <c r="F226" i="19"/>
  <c r="D227" i="19" a="1"/>
  <c r="D227" i="19" s="1"/>
  <c r="E227" i="19" a="1"/>
  <c r="E227" i="19" s="1"/>
  <c r="F227" i="19"/>
  <c r="D228" i="19" a="1"/>
  <c r="D228" i="19" s="1"/>
  <c r="E228" i="19" a="1"/>
  <c r="E228" i="19" s="1"/>
  <c r="F228" i="19"/>
  <c r="D229" i="19" a="1"/>
  <c r="D229" i="19" s="1"/>
  <c r="E229" i="19" a="1"/>
  <c r="E229" i="19" s="1"/>
  <c r="F229" i="19"/>
  <c r="D230" i="19" a="1"/>
  <c r="D230" i="19" s="1"/>
  <c r="E230" i="19" a="1"/>
  <c r="E230" i="19" s="1"/>
  <c r="F230" i="19"/>
  <c r="D231" i="19" a="1"/>
  <c r="D231" i="19" s="1"/>
  <c r="E231" i="19" a="1"/>
  <c r="E231" i="19" s="1"/>
  <c r="F231" i="19"/>
  <c r="D232" i="19" a="1"/>
  <c r="D232" i="19" s="1"/>
  <c r="E232" i="19" a="1"/>
  <c r="E232" i="19" s="1"/>
  <c r="F232" i="19"/>
  <c r="D233" i="19" a="1"/>
  <c r="D233" i="19" s="1"/>
  <c r="E233" i="19" a="1"/>
  <c r="E233" i="19" s="1"/>
  <c r="F233" i="19"/>
  <c r="D234" i="19" a="1"/>
  <c r="D234" i="19" s="1"/>
  <c r="G234" i="19" s="1"/>
  <c r="E234" i="19" a="1"/>
  <c r="E234" i="19" s="1"/>
  <c r="F234" i="19"/>
  <c r="D235" i="19" a="1"/>
  <c r="D235" i="19" s="1"/>
  <c r="G235" i="19" s="1"/>
  <c r="E235" i="19" a="1"/>
  <c r="E235" i="19" s="1"/>
  <c r="F235" i="19"/>
  <c r="D236" i="19" a="1"/>
  <c r="D236" i="19" s="1"/>
  <c r="G236" i="19" s="1"/>
  <c r="E236" i="19" a="1"/>
  <c r="E236" i="19" s="1"/>
  <c r="F236" i="19"/>
  <c r="D237" i="19" a="1"/>
  <c r="D237" i="19" s="1"/>
  <c r="G237" i="19" s="1"/>
  <c r="E237" i="19" a="1"/>
  <c r="E237" i="19" s="1"/>
  <c r="F237" i="19"/>
  <c r="D238" i="19" a="1"/>
  <c r="D238" i="19" s="1"/>
  <c r="E238" i="19" a="1"/>
  <c r="E238" i="19" s="1"/>
  <c r="F238" i="19"/>
  <c r="D239" i="19" a="1"/>
  <c r="D239" i="19" s="1"/>
  <c r="G239" i="19" s="1"/>
  <c r="E239" i="19" a="1"/>
  <c r="E239" i="19" s="1"/>
  <c r="F239" i="19"/>
  <c r="D240" i="19" a="1"/>
  <c r="D240" i="19" s="1"/>
  <c r="G240" i="19" s="1"/>
  <c r="E240" i="19" a="1"/>
  <c r="E240" i="19" s="1"/>
  <c r="F240" i="19"/>
  <c r="D241" i="19" a="1"/>
  <c r="D241" i="19" s="1"/>
  <c r="G241" i="19" s="1"/>
  <c r="E241" i="19" a="1"/>
  <c r="E241" i="19" s="1"/>
  <c r="F241" i="19"/>
  <c r="D242" i="19" a="1"/>
  <c r="D242" i="19" s="1"/>
  <c r="G242" i="19" s="1"/>
  <c r="E242" i="19" a="1"/>
  <c r="E242" i="19" s="1"/>
  <c r="F242" i="19"/>
  <c r="D243" i="19" a="1"/>
  <c r="D243" i="19" s="1"/>
  <c r="G243" i="19" s="1"/>
  <c r="E243" i="19" a="1"/>
  <c r="E243" i="19" s="1"/>
  <c r="F243" i="19"/>
  <c r="D244" i="19" a="1"/>
  <c r="D244" i="19" s="1"/>
  <c r="G244" i="19" s="1"/>
  <c r="E244" i="19" a="1"/>
  <c r="E244" i="19" s="1"/>
  <c r="F244" i="19"/>
  <c r="D245" i="19" a="1"/>
  <c r="D245" i="19" s="1"/>
  <c r="G245" i="19" s="1"/>
  <c r="E245" i="19" a="1"/>
  <c r="E245" i="19" s="1"/>
  <c r="F245" i="19"/>
  <c r="D246" i="19" a="1"/>
  <c r="D246" i="19" s="1"/>
  <c r="G246" i="19" s="1"/>
  <c r="E246" i="19" a="1"/>
  <c r="E246" i="19" s="1"/>
  <c r="F246" i="19"/>
  <c r="D247" i="19" a="1"/>
  <c r="D247" i="19" s="1"/>
  <c r="G247" i="19" s="1"/>
  <c r="E247" i="19" a="1"/>
  <c r="E247" i="19" s="1"/>
  <c r="F247" i="19"/>
  <c r="D248" i="19" a="1"/>
  <c r="D248" i="19" s="1"/>
  <c r="G248" i="19" s="1"/>
  <c r="E248" i="19" a="1"/>
  <c r="E248" i="19" s="1"/>
  <c r="F248" i="19"/>
  <c r="D249" i="19" a="1"/>
  <c r="D249" i="19" s="1"/>
  <c r="G249" i="19" s="1"/>
  <c r="E249" i="19" a="1"/>
  <c r="E249" i="19" s="1"/>
  <c r="F249" i="19"/>
  <c r="D250" i="19" a="1"/>
  <c r="D250" i="19" s="1"/>
  <c r="G250" i="19" s="1"/>
  <c r="E250" i="19" a="1"/>
  <c r="E250" i="19" s="1"/>
  <c r="F250" i="19"/>
  <c r="D251" i="19" a="1"/>
  <c r="D251" i="19" s="1"/>
  <c r="G251" i="19" s="1"/>
  <c r="E251" i="19" a="1"/>
  <c r="E251" i="19" s="1"/>
  <c r="F251" i="19"/>
  <c r="D252" i="19" a="1"/>
  <c r="D252" i="19" s="1"/>
  <c r="G252" i="19" s="1"/>
  <c r="E252" i="19" a="1"/>
  <c r="E252" i="19" s="1"/>
  <c r="F252" i="19"/>
  <c r="D253" i="19" a="1"/>
  <c r="D253" i="19" s="1"/>
  <c r="G253" i="19" s="1"/>
  <c r="E253" i="19" a="1"/>
  <c r="E253" i="19" s="1"/>
  <c r="F253" i="19"/>
  <c r="D254" i="19" a="1"/>
  <c r="D254" i="19" s="1"/>
  <c r="G254" i="19" s="1"/>
  <c r="E254" i="19" a="1"/>
  <c r="E254" i="19" s="1"/>
  <c r="F254" i="19"/>
  <c r="D255" i="19" a="1"/>
  <c r="D255" i="19" s="1"/>
  <c r="G255" i="19" s="1"/>
  <c r="E255" i="19" a="1"/>
  <c r="E255" i="19" s="1"/>
  <c r="F255" i="19"/>
  <c r="D256" i="19" a="1"/>
  <c r="D256" i="19" s="1"/>
  <c r="G256" i="19" s="1"/>
  <c r="E256" i="19" a="1"/>
  <c r="E256" i="19" s="1"/>
  <c r="F256" i="19"/>
  <c r="D257" i="19" a="1"/>
  <c r="D257" i="19" s="1"/>
  <c r="G257" i="19" s="1"/>
  <c r="E257" i="19" a="1"/>
  <c r="E257" i="19" s="1"/>
  <c r="F257" i="19"/>
  <c r="D258" i="19" a="1"/>
  <c r="D258" i="19" s="1"/>
  <c r="E258" i="19" a="1"/>
  <c r="E258" i="19" s="1"/>
  <c r="F258" i="19"/>
  <c r="D259" i="19" a="1"/>
  <c r="D259" i="19" s="1"/>
  <c r="E259" i="19" a="1"/>
  <c r="E259" i="19" s="1"/>
  <c r="F259" i="19"/>
  <c r="D260" i="19" a="1"/>
  <c r="D260" i="19" s="1"/>
  <c r="E260" i="19" a="1"/>
  <c r="E260" i="19" s="1"/>
  <c r="F260" i="19"/>
  <c r="D261" i="19" a="1"/>
  <c r="D261" i="19" s="1"/>
  <c r="E261" i="19" a="1"/>
  <c r="E261" i="19" s="1"/>
  <c r="F261" i="19"/>
  <c r="D262" i="19" a="1"/>
  <c r="D262" i="19" s="1"/>
  <c r="E262" i="19" a="1"/>
  <c r="E262" i="19" s="1"/>
  <c r="F262" i="19"/>
  <c r="D263" i="19" a="1"/>
  <c r="D263" i="19" s="1"/>
  <c r="E263" i="19" a="1"/>
  <c r="E263" i="19" s="1"/>
  <c r="F263" i="19"/>
  <c r="D264" i="19" a="1"/>
  <c r="D264" i="19" s="1"/>
  <c r="E264" i="19" a="1"/>
  <c r="E264" i="19" s="1"/>
  <c r="F264" i="19"/>
  <c r="D265" i="19" a="1"/>
  <c r="D265" i="19" s="1"/>
  <c r="E265" i="19" a="1"/>
  <c r="E265" i="19" s="1"/>
  <c r="F265" i="19"/>
  <c r="D266" i="19" a="1"/>
  <c r="D266" i="19" s="1"/>
  <c r="E266" i="19" a="1"/>
  <c r="E266" i="19" s="1"/>
  <c r="F266" i="19"/>
  <c r="D267" i="19" a="1"/>
  <c r="D267" i="19" s="1"/>
  <c r="E267" i="19" a="1"/>
  <c r="E267" i="19" s="1"/>
  <c r="F267" i="19"/>
  <c r="D268" i="19" a="1"/>
  <c r="D268" i="19" s="1"/>
  <c r="E268" i="19" a="1"/>
  <c r="E268" i="19" s="1"/>
  <c r="F268" i="19"/>
  <c r="D269" i="19" a="1"/>
  <c r="D269" i="19" s="1"/>
  <c r="E269" i="19" a="1"/>
  <c r="E269" i="19" s="1"/>
  <c r="F269" i="19"/>
  <c r="D270" i="19" a="1"/>
  <c r="D270" i="19" s="1"/>
  <c r="E270" i="19" a="1"/>
  <c r="E270" i="19" s="1"/>
  <c r="F270" i="19"/>
  <c r="D271" i="19" a="1"/>
  <c r="D271" i="19" s="1"/>
  <c r="E271" i="19" a="1"/>
  <c r="E271" i="19" s="1"/>
  <c r="F271" i="19"/>
  <c r="D272" i="19" a="1"/>
  <c r="D272" i="19" s="1"/>
  <c r="E272" i="19" a="1"/>
  <c r="E272" i="19" s="1"/>
  <c r="F272" i="19"/>
  <c r="D273" i="19" a="1"/>
  <c r="D273" i="19" s="1"/>
  <c r="E273" i="19" a="1"/>
  <c r="E273" i="19" s="1"/>
  <c r="F273" i="19"/>
  <c r="D274" i="19" a="1"/>
  <c r="D274" i="19" s="1"/>
  <c r="E274" i="19" a="1"/>
  <c r="E274" i="19" s="1"/>
  <c r="F274" i="19"/>
  <c r="D275" i="19" a="1"/>
  <c r="D275" i="19" s="1"/>
  <c r="E275" i="19" a="1"/>
  <c r="E275" i="19" s="1"/>
  <c r="F275" i="19"/>
  <c r="D276" i="19" a="1"/>
  <c r="D276" i="19" s="1"/>
  <c r="E276" i="19" a="1"/>
  <c r="E276" i="19" s="1"/>
  <c r="F276" i="19"/>
  <c r="D277" i="19" a="1"/>
  <c r="D277" i="19" s="1"/>
  <c r="E277" i="19" a="1"/>
  <c r="E277" i="19" s="1"/>
  <c r="F277" i="19"/>
  <c r="D278" i="19" a="1"/>
  <c r="D278" i="19" s="1"/>
  <c r="E278" i="19" a="1"/>
  <c r="E278" i="19" s="1"/>
  <c r="F278" i="19"/>
  <c r="D279" i="19" a="1"/>
  <c r="D279" i="19" s="1"/>
  <c r="E279" i="19" a="1"/>
  <c r="E279" i="19" s="1"/>
  <c r="F279" i="19"/>
  <c r="D280" i="19" a="1"/>
  <c r="D280" i="19" s="1"/>
  <c r="E280" i="19" a="1"/>
  <c r="E280" i="19" s="1"/>
  <c r="F280" i="19"/>
  <c r="D281" i="19" a="1"/>
  <c r="D281" i="19" s="1"/>
  <c r="E281" i="19" a="1"/>
  <c r="E281" i="19" s="1"/>
  <c r="F281" i="19"/>
  <c r="D282" i="19" a="1"/>
  <c r="D282" i="19" s="1"/>
  <c r="E282" i="19" a="1"/>
  <c r="E282" i="19" s="1"/>
  <c r="F282" i="19"/>
  <c r="D283" i="19" a="1"/>
  <c r="D283" i="19" s="1"/>
  <c r="E283" i="19" a="1"/>
  <c r="E283" i="19" s="1"/>
  <c r="F283" i="19"/>
  <c r="D284" i="19" a="1"/>
  <c r="D284" i="19" s="1"/>
  <c r="E284" i="19" a="1"/>
  <c r="E284" i="19" s="1"/>
  <c r="F284" i="19"/>
  <c r="D285" i="19" a="1"/>
  <c r="D285" i="19" s="1"/>
  <c r="E285" i="19" a="1"/>
  <c r="E285" i="19" s="1"/>
  <c r="F285" i="19"/>
  <c r="D286" i="19" a="1"/>
  <c r="D286" i="19" s="1"/>
  <c r="E286" i="19" a="1"/>
  <c r="E286" i="19" s="1"/>
  <c r="F286" i="19"/>
  <c r="D287" i="19" a="1"/>
  <c r="D287" i="19" s="1"/>
  <c r="E287" i="19" a="1"/>
  <c r="E287" i="19" s="1"/>
  <c r="F287" i="19"/>
  <c r="D288" i="19" a="1"/>
  <c r="D288" i="19" s="1"/>
  <c r="E288" i="19" a="1"/>
  <c r="E288" i="19" s="1"/>
  <c r="F288" i="19"/>
  <c r="D289" i="19" a="1"/>
  <c r="D289" i="19" s="1"/>
  <c r="E289" i="19" a="1"/>
  <c r="E289" i="19" s="1"/>
  <c r="F289" i="19"/>
  <c r="D290" i="19" a="1"/>
  <c r="D290" i="19" s="1"/>
  <c r="E290" i="19" a="1"/>
  <c r="E290" i="19" s="1"/>
  <c r="F290" i="19"/>
  <c r="D291" i="19" a="1"/>
  <c r="D291" i="19" s="1"/>
  <c r="E291" i="19" a="1"/>
  <c r="E291" i="19" s="1"/>
  <c r="F291" i="19"/>
  <c r="D292" i="19" a="1"/>
  <c r="D292" i="19" s="1"/>
  <c r="E292" i="19" a="1"/>
  <c r="E292" i="19" s="1"/>
  <c r="F292" i="19"/>
  <c r="D293" i="19" a="1"/>
  <c r="D293" i="19" s="1"/>
  <c r="E293" i="19" a="1"/>
  <c r="E293" i="19" s="1"/>
  <c r="F293" i="19"/>
  <c r="D294" i="19" a="1"/>
  <c r="D294" i="19" s="1"/>
  <c r="E294" i="19" a="1"/>
  <c r="E294" i="19" s="1"/>
  <c r="F294" i="19"/>
  <c r="D295" i="19" a="1"/>
  <c r="D295" i="19" s="1"/>
  <c r="E295" i="19" a="1"/>
  <c r="E295" i="19" s="1"/>
  <c r="F295" i="19"/>
  <c r="D296" i="19" a="1"/>
  <c r="D296" i="19" s="1"/>
  <c r="E296" i="19" a="1"/>
  <c r="E296" i="19" s="1"/>
  <c r="F296" i="19"/>
  <c r="D297" i="19" a="1"/>
  <c r="D297" i="19" s="1"/>
  <c r="E297" i="19" a="1"/>
  <c r="E297" i="19" s="1"/>
  <c r="F297" i="19"/>
  <c r="D298" i="19" a="1"/>
  <c r="D298" i="19" s="1"/>
  <c r="E298" i="19" a="1"/>
  <c r="E298" i="19" s="1"/>
  <c r="F298" i="19"/>
  <c r="D299" i="19" a="1"/>
  <c r="D299" i="19" s="1"/>
  <c r="E299" i="19" a="1"/>
  <c r="E299" i="19" s="1"/>
  <c r="F299" i="19"/>
  <c r="D300" i="19" a="1"/>
  <c r="D300" i="19" s="1"/>
  <c r="E300" i="19" a="1"/>
  <c r="E300" i="19" s="1"/>
  <c r="F300" i="19"/>
  <c r="D301" i="19" a="1"/>
  <c r="D301" i="19" s="1"/>
  <c r="E301" i="19" a="1"/>
  <c r="E301" i="19" s="1"/>
  <c r="F301" i="19"/>
  <c r="D302" i="19" a="1"/>
  <c r="D302" i="19" s="1"/>
  <c r="G302" i="19" s="1"/>
  <c r="E302" i="19" a="1"/>
  <c r="E302" i="19" s="1"/>
  <c r="F302" i="19"/>
  <c r="D303" i="19" a="1"/>
  <c r="D303" i="19" s="1"/>
  <c r="E303" i="19" a="1"/>
  <c r="E303" i="19" s="1"/>
  <c r="F303" i="19"/>
  <c r="D304" i="19" a="1"/>
  <c r="D304" i="19" s="1"/>
  <c r="E304" i="19" a="1"/>
  <c r="E304" i="19" s="1"/>
  <c r="F304" i="19"/>
  <c r="D305" i="19" a="1"/>
  <c r="D305" i="19" s="1"/>
  <c r="E305" i="19" a="1"/>
  <c r="E305" i="19" s="1"/>
  <c r="F305" i="19"/>
  <c r="D306" i="19" a="1"/>
  <c r="D306" i="19" s="1"/>
  <c r="E306" i="19" a="1"/>
  <c r="E306" i="19" s="1"/>
  <c r="F306" i="19"/>
  <c r="D307" i="19" a="1"/>
  <c r="D307" i="19" s="1"/>
  <c r="E307" i="19" a="1"/>
  <c r="E307" i="19" s="1"/>
  <c r="F307" i="19"/>
  <c r="D308" i="19" a="1"/>
  <c r="D308" i="19" s="1"/>
  <c r="E308" i="19" a="1"/>
  <c r="E308" i="19" s="1"/>
  <c r="F308" i="19"/>
  <c r="D309" i="19" a="1"/>
  <c r="D309" i="19" s="1"/>
  <c r="E309" i="19" a="1"/>
  <c r="E309" i="19" s="1"/>
  <c r="F309" i="19"/>
  <c r="D310" i="19" a="1"/>
  <c r="D310" i="19" s="1"/>
  <c r="E310" i="19" a="1"/>
  <c r="E310" i="19" s="1"/>
  <c r="F310" i="19"/>
  <c r="D311" i="19" a="1"/>
  <c r="D311" i="19" s="1"/>
  <c r="E311" i="19" a="1"/>
  <c r="E311" i="19" s="1"/>
  <c r="F311" i="19"/>
  <c r="D312" i="19" a="1"/>
  <c r="D312" i="19" s="1"/>
  <c r="E312" i="19" a="1"/>
  <c r="E312" i="19" s="1"/>
  <c r="F312" i="19"/>
  <c r="D313" i="19" a="1"/>
  <c r="D313" i="19" s="1"/>
  <c r="E313" i="19" a="1"/>
  <c r="E313" i="19" s="1"/>
  <c r="F313" i="19"/>
  <c r="D314" i="19" a="1"/>
  <c r="D314" i="19" s="1"/>
  <c r="E314" i="19" a="1"/>
  <c r="E314" i="19" s="1"/>
  <c r="F314" i="19"/>
  <c r="D315" i="19" a="1"/>
  <c r="D315" i="19" s="1"/>
  <c r="E315" i="19" a="1"/>
  <c r="E315" i="19" s="1"/>
  <c r="F315" i="19"/>
  <c r="D316" i="19" a="1"/>
  <c r="D316" i="19"/>
  <c r="E316" i="19" a="1"/>
  <c r="E316" i="19" s="1"/>
  <c r="F316" i="19"/>
  <c r="D317" i="19" a="1"/>
  <c r="D317" i="19" s="1"/>
  <c r="E317" i="19" a="1"/>
  <c r="E317" i="19" s="1"/>
  <c r="F317" i="19"/>
  <c r="D318" i="19" a="1"/>
  <c r="D318" i="19" s="1"/>
  <c r="G318" i="19" s="1"/>
  <c r="E318" i="19" a="1"/>
  <c r="E318" i="19" s="1"/>
  <c r="F318" i="19"/>
  <c r="D319" i="19" a="1"/>
  <c r="D319" i="19" s="1"/>
  <c r="E319" i="19" a="1"/>
  <c r="E319" i="19" s="1"/>
  <c r="F319" i="19"/>
  <c r="D320" i="19" a="1"/>
  <c r="D320" i="19" s="1"/>
  <c r="E320" i="19" a="1"/>
  <c r="E320" i="19" s="1"/>
  <c r="F320" i="19"/>
  <c r="D321" i="19" a="1"/>
  <c r="D321" i="19" s="1"/>
  <c r="E321" i="19" a="1"/>
  <c r="E321" i="19" s="1"/>
  <c r="F321" i="19"/>
  <c r="D322" i="19" a="1"/>
  <c r="D322" i="19" s="1"/>
  <c r="E322" i="19" a="1"/>
  <c r="E322" i="19" s="1"/>
  <c r="F322" i="19"/>
  <c r="D323" i="19" a="1"/>
  <c r="D323" i="19" s="1"/>
  <c r="E323" i="19" a="1"/>
  <c r="E323" i="19" s="1"/>
  <c r="F323" i="19"/>
  <c r="D324" i="19" a="1"/>
  <c r="D324" i="19" s="1"/>
  <c r="E324" i="19" a="1"/>
  <c r="E324" i="19" s="1"/>
  <c r="F324" i="19"/>
  <c r="D325" i="19" a="1"/>
  <c r="D325" i="19" s="1"/>
  <c r="G325" i="19" s="1"/>
  <c r="E325" i="19" a="1"/>
  <c r="E325" i="19" s="1"/>
  <c r="F325" i="19"/>
  <c r="D326" i="19" a="1"/>
  <c r="D326" i="19" s="1"/>
  <c r="E326" i="19" a="1"/>
  <c r="E326" i="19" s="1"/>
  <c r="F326" i="19"/>
  <c r="D327" i="19" a="1"/>
  <c r="D327" i="19" s="1"/>
  <c r="E327" i="19" a="1"/>
  <c r="E327" i="19" s="1"/>
  <c r="F327" i="19"/>
  <c r="D328" i="19" a="1"/>
  <c r="D328" i="19" s="1"/>
  <c r="E328" i="19" a="1"/>
  <c r="E328" i="19" s="1"/>
  <c r="F328" i="19"/>
  <c r="D329" i="19" a="1"/>
  <c r="D329" i="19" s="1"/>
  <c r="E329" i="19" a="1"/>
  <c r="E329" i="19" s="1"/>
  <c r="F329" i="19"/>
  <c r="D330" i="19" a="1"/>
  <c r="D330" i="19" s="1"/>
  <c r="E330" i="19" a="1"/>
  <c r="E330" i="19" s="1"/>
  <c r="F330" i="19"/>
  <c r="D331" i="19" a="1"/>
  <c r="D331" i="19" s="1"/>
  <c r="E331" i="19" a="1"/>
  <c r="E331" i="19" s="1"/>
  <c r="F331" i="19"/>
  <c r="D332" i="19" a="1"/>
  <c r="D332" i="19" s="1"/>
  <c r="G332" i="19" s="1"/>
  <c r="E332" i="19" a="1"/>
  <c r="E332" i="19" s="1"/>
  <c r="F332" i="19"/>
  <c r="D333" i="19" a="1"/>
  <c r="D333" i="19" s="1"/>
  <c r="G333" i="19" s="1"/>
  <c r="E333" i="19" a="1"/>
  <c r="E333" i="19" s="1"/>
  <c r="F333" i="19"/>
  <c r="D334" i="19" a="1"/>
  <c r="D334" i="19" s="1"/>
  <c r="G334" i="19" s="1"/>
  <c r="E334" i="19" a="1"/>
  <c r="E334" i="19" s="1"/>
  <c r="F334" i="19"/>
  <c r="D335" i="19" a="1"/>
  <c r="D335" i="19" s="1"/>
  <c r="G335" i="19" s="1"/>
  <c r="E335" i="19" a="1"/>
  <c r="E335" i="19" s="1"/>
  <c r="F335" i="19"/>
  <c r="D336" i="19" a="1"/>
  <c r="D336" i="19" s="1"/>
  <c r="G336" i="19" s="1"/>
  <c r="E336" i="19" a="1"/>
  <c r="E336" i="19" s="1"/>
  <c r="F336" i="19"/>
  <c r="D337" i="19" a="1"/>
  <c r="D337" i="19" s="1"/>
  <c r="G337" i="19" s="1"/>
  <c r="E337" i="19" a="1"/>
  <c r="E337" i="19" s="1"/>
  <c r="F337" i="19"/>
  <c r="D338" i="19" a="1"/>
  <c r="D338" i="19" s="1"/>
  <c r="G338" i="19" s="1"/>
  <c r="E338" i="19" a="1"/>
  <c r="E338" i="19" s="1"/>
  <c r="F338" i="19"/>
  <c r="D339" i="19" a="1"/>
  <c r="D339" i="19" s="1"/>
  <c r="E339" i="19" a="1"/>
  <c r="E339" i="19" s="1"/>
  <c r="F339" i="19"/>
  <c r="D340" i="19" a="1"/>
  <c r="D340" i="19" s="1"/>
  <c r="E340" i="19" a="1"/>
  <c r="E340" i="19" s="1"/>
  <c r="F340" i="19"/>
  <c r="D341" i="19" a="1"/>
  <c r="D341" i="19" s="1"/>
  <c r="E341" i="19" a="1"/>
  <c r="E341" i="19" s="1"/>
  <c r="F341" i="19"/>
  <c r="D342" i="19" a="1"/>
  <c r="D342" i="19" s="1"/>
  <c r="E342" i="19" a="1"/>
  <c r="E342" i="19" s="1"/>
  <c r="F342" i="19"/>
  <c r="D343" i="19" a="1"/>
  <c r="D343" i="19" s="1"/>
  <c r="E343" i="19" a="1"/>
  <c r="E343" i="19" s="1"/>
  <c r="F343" i="19"/>
  <c r="D344" i="19" a="1"/>
  <c r="D344" i="19" s="1"/>
  <c r="E344" i="19" a="1"/>
  <c r="E344" i="19" s="1"/>
  <c r="F344" i="19"/>
  <c r="D345" i="19" a="1"/>
  <c r="D345" i="19" s="1"/>
  <c r="E345" i="19" a="1"/>
  <c r="E345" i="19" s="1"/>
  <c r="F345" i="19"/>
  <c r="D346" i="19" a="1"/>
  <c r="D346" i="19" s="1"/>
  <c r="E346" i="19" a="1"/>
  <c r="E346" i="19" s="1"/>
  <c r="F346" i="19"/>
  <c r="D347" i="19" a="1"/>
  <c r="D347" i="19" s="1"/>
  <c r="E347" i="19" a="1"/>
  <c r="E347" i="19" s="1"/>
  <c r="F347" i="19"/>
  <c r="D348" i="19" a="1"/>
  <c r="D348" i="19" s="1"/>
  <c r="E348" i="19" a="1"/>
  <c r="E348" i="19" s="1"/>
  <c r="F348" i="19"/>
  <c r="D349" i="19" a="1"/>
  <c r="D349" i="19" s="1"/>
  <c r="E349" i="19" a="1"/>
  <c r="E349" i="19" s="1"/>
  <c r="F349" i="19"/>
  <c r="D350" i="19" a="1"/>
  <c r="D350" i="19" s="1"/>
  <c r="E350" i="19" a="1"/>
  <c r="E350" i="19" s="1"/>
  <c r="F350" i="19"/>
  <c r="D351" i="19" a="1"/>
  <c r="D351" i="19" s="1"/>
  <c r="E351" i="19" a="1"/>
  <c r="E351" i="19" s="1"/>
  <c r="F351" i="19"/>
  <c r="D352" i="19" a="1"/>
  <c r="D352" i="19" s="1"/>
  <c r="E352" i="19" a="1"/>
  <c r="E352" i="19" s="1"/>
  <c r="F352" i="19"/>
  <c r="D353" i="19" a="1"/>
  <c r="D353" i="19" s="1"/>
  <c r="G353" i="19" s="1"/>
  <c r="E353" i="19" a="1"/>
  <c r="E353" i="19" s="1"/>
  <c r="F353" i="19"/>
  <c r="D354" i="19" a="1"/>
  <c r="D354" i="19" s="1"/>
  <c r="G354" i="19" s="1"/>
  <c r="E354" i="19" a="1"/>
  <c r="E354" i="19" s="1"/>
  <c r="F354" i="19"/>
  <c r="D355" i="19" a="1"/>
  <c r="D355" i="19" s="1"/>
  <c r="G355" i="19" s="1"/>
  <c r="E355" i="19" a="1"/>
  <c r="E355" i="19" s="1"/>
  <c r="F355" i="19"/>
  <c r="D356" i="19" a="1"/>
  <c r="D356" i="19" s="1"/>
  <c r="G356" i="19" s="1"/>
  <c r="E356" i="19" a="1"/>
  <c r="E356" i="19" s="1"/>
  <c r="F356" i="19"/>
  <c r="D357" i="19" a="1"/>
  <c r="D357" i="19" s="1"/>
  <c r="G357" i="19" s="1"/>
  <c r="E357" i="19" a="1"/>
  <c r="E357" i="19" s="1"/>
  <c r="F357" i="19"/>
  <c r="D358" i="19" a="1"/>
  <c r="D358" i="19" s="1"/>
  <c r="G358" i="19" s="1"/>
  <c r="E358" i="19" a="1"/>
  <c r="E358" i="19" s="1"/>
  <c r="F358" i="19"/>
  <c r="D359" i="19" a="1"/>
  <c r="D359" i="19" s="1"/>
  <c r="G359" i="19" s="1"/>
  <c r="E359" i="19" a="1"/>
  <c r="E359" i="19" s="1"/>
  <c r="F359" i="19"/>
  <c r="D360" i="19" a="1"/>
  <c r="D360" i="19" s="1"/>
  <c r="G360" i="19" s="1"/>
  <c r="E360" i="19" a="1"/>
  <c r="E360" i="19" s="1"/>
  <c r="F360" i="19"/>
  <c r="D361" i="19" a="1"/>
  <c r="D361" i="19" s="1"/>
  <c r="G361" i="19" s="1"/>
  <c r="E361" i="19" a="1"/>
  <c r="E361" i="19" s="1"/>
  <c r="F361" i="19"/>
  <c r="D362" i="19" a="1"/>
  <c r="D362" i="19" s="1"/>
  <c r="G362" i="19" s="1"/>
  <c r="E362" i="19" a="1"/>
  <c r="E362" i="19" s="1"/>
  <c r="F362" i="19"/>
  <c r="D363" i="19" a="1"/>
  <c r="D363" i="19" s="1"/>
  <c r="G363" i="19" s="1"/>
  <c r="E363" i="19" a="1"/>
  <c r="E363" i="19" s="1"/>
  <c r="F363" i="19"/>
  <c r="D364" i="19" a="1"/>
  <c r="D364" i="19" s="1"/>
  <c r="E364" i="19" a="1"/>
  <c r="E364" i="19" s="1"/>
  <c r="F364" i="19"/>
  <c r="D365" i="19" a="1"/>
  <c r="D365" i="19" s="1"/>
  <c r="G365" i="19" s="1"/>
  <c r="E365" i="19" a="1"/>
  <c r="E365" i="19" s="1"/>
  <c r="F365" i="19"/>
  <c r="D366" i="19" a="1"/>
  <c r="D366" i="19" s="1"/>
  <c r="G366" i="19" s="1"/>
  <c r="E366" i="19" a="1"/>
  <c r="E366" i="19" s="1"/>
  <c r="F366" i="19"/>
  <c r="D367" i="19" a="1"/>
  <c r="D367" i="19" s="1"/>
  <c r="G367" i="19" s="1"/>
  <c r="E367" i="19" a="1"/>
  <c r="E367" i="19" s="1"/>
  <c r="F367" i="19"/>
  <c r="D368" i="19" a="1"/>
  <c r="D368" i="19" s="1"/>
  <c r="E368" i="19" a="1"/>
  <c r="E368" i="19" s="1"/>
  <c r="F368" i="19"/>
  <c r="D369" i="19" a="1"/>
  <c r="D369" i="19" s="1"/>
  <c r="E369" i="19" a="1"/>
  <c r="E369" i="19" s="1"/>
  <c r="F369" i="19"/>
  <c r="D370" i="19" a="1"/>
  <c r="D370" i="19" s="1"/>
  <c r="G370" i="19" s="1"/>
  <c r="E370" i="19" a="1"/>
  <c r="E370" i="19" s="1"/>
  <c r="F370" i="19"/>
  <c r="D371" i="19" a="1"/>
  <c r="D371" i="19" s="1"/>
  <c r="E371" i="19" a="1"/>
  <c r="E371" i="19" s="1"/>
  <c r="F371" i="19"/>
  <c r="D372" i="19" a="1"/>
  <c r="D372" i="19" s="1"/>
  <c r="E372" i="19" a="1"/>
  <c r="E372" i="19" s="1"/>
  <c r="F372" i="19"/>
  <c r="D373" i="19" a="1"/>
  <c r="D373" i="19" s="1"/>
  <c r="E373" i="19" a="1"/>
  <c r="E373" i="19" s="1"/>
  <c r="F373" i="19"/>
  <c r="D374" i="19" a="1"/>
  <c r="D374" i="19" s="1"/>
  <c r="E374" i="19" a="1"/>
  <c r="E374" i="19" s="1"/>
  <c r="F374" i="19"/>
  <c r="D375" i="19" a="1"/>
  <c r="D375" i="19" s="1"/>
  <c r="E375" i="19" a="1"/>
  <c r="E375" i="19" s="1"/>
  <c r="F375" i="19"/>
  <c r="D376" i="19" a="1"/>
  <c r="D376" i="19" s="1"/>
  <c r="E376" i="19" a="1"/>
  <c r="E376" i="19" s="1"/>
  <c r="F376" i="19"/>
  <c r="D377" i="19" a="1"/>
  <c r="D377" i="19" s="1"/>
  <c r="E377" i="19" a="1"/>
  <c r="E377" i="19" s="1"/>
  <c r="F377" i="19"/>
  <c r="D378" i="19" a="1"/>
  <c r="D378" i="19" s="1"/>
  <c r="E378" i="19" a="1"/>
  <c r="E378" i="19" s="1"/>
  <c r="F378" i="19"/>
  <c r="D379" i="19" a="1"/>
  <c r="D379" i="19" s="1"/>
  <c r="E379" i="19" a="1"/>
  <c r="E379" i="19" s="1"/>
  <c r="F379" i="19"/>
  <c r="D380" i="19" a="1"/>
  <c r="D380" i="19" s="1"/>
  <c r="E380" i="19" a="1"/>
  <c r="E380" i="19" s="1"/>
  <c r="F380" i="19"/>
  <c r="D381" i="19" a="1"/>
  <c r="D381" i="19" s="1"/>
  <c r="G381" i="19" s="1"/>
  <c r="E381" i="19" a="1"/>
  <c r="E381" i="19" s="1"/>
  <c r="F381" i="19"/>
  <c r="D382" i="19" a="1"/>
  <c r="D382" i="19" s="1"/>
  <c r="G382" i="19" s="1"/>
  <c r="E382" i="19" a="1"/>
  <c r="E382" i="19" s="1"/>
  <c r="F382" i="19"/>
  <c r="D383" i="19" a="1"/>
  <c r="D383" i="19" s="1"/>
  <c r="G383" i="19" s="1"/>
  <c r="E383" i="19" a="1"/>
  <c r="E383" i="19" s="1"/>
  <c r="F383" i="19"/>
  <c r="D384" i="19" a="1"/>
  <c r="D384" i="19" s="1"/>
  <c r="G384" i="19" s="1"/>
  <c r="E384" i="19" a="1"/>
  <c r="E384" i="19" s="1"/>
  <c r="F384" i="19"/>
  <c r="D385" i="19" a="1"/>
  <c r="D385" i="19" s="1"/>
  <c r="G385" i="19" s="1"/>
  <c r="E385" i="19" a="1"/>
  <c r="E385" i="19" s="1"/>
  <c r="F385" i="19"/>
  <c r="D386" i="19" a="1"/>
  <c r="D386" i="19" s="1"/>
  <c r="G386" i="19" s="1"/>
  <c r="E386" i="19" a="1"/>
  <c r="E386" i="19" s="1"/>
  <c r="F386" i="19"/>
  <c r="D387" i="19" a="1"/>
  <c r="D387" i="19" s="1"/>
  <c r="G387" i="19" s="1"/>
  <c r="E387" i="19" a="1"/>
  <c r="E387" i="19" s="1"/>
  <c r="F387" i="19"/>
  <c r="D388" i="19" a="1"/>
  <c r="D388" i="19" s="1"/>
  <c r="G388" i="19" s="1"/>
  <c r="E388" i="19" a="1"/>
  <c r="E388" i="19" s="1"/>
  <c r="F388" i="19"/>
  <c r="D389" i="19" a="1"/>
  <c r="D389" i="19" s="1"/>
  <c r="G389" i="19" s="1"/>
  <c r="E389" i="19" a="1"/>
  <c r="E389" i="19" s="1"/>
  <c r="F389" i="19"/>
  <c r="D390" i="19" a="1"/>
  <c r="D390" i="19" s="1"/>
  <c r="G390" i="19" s="1"/>
  <c r="E390" i="19" a="1"/>
  <c r="E390" i="19" s="1"/>
  <c r="F390" i="19"/>
  <c r="D391" i="19" a="1"/>
  <c r="D391" i="19" s="1"/>
  <c r="G391" i="19" s="1"/>
  <c r="E391" i="19" a="1"/>
  <c r="E391" i="19" s="1"/>
  <c r="F391" i="19"/>
  <c r="D392" i="19" a="1"/>
  <c r="D392" i="19" s="1"/>
  <c r="G392" i="19" s="1"/>
  <c r="E392" i="19" a="1"/>
  <c r="E392" i="19" s="1"/>
  <c r="F392" i="19"/>
  <c r="D393" i="19" a="1"/>
  <c r="D393" i="19" s="1"/>
  <c r="G393" i="19" s="1"/>
  <c r="E393" i="19" a="1"/>
  <c r="E393" i="19" s="1"/>
  <c r="F393" i="19"/>
  <c r="D394" i="19" a="1"/>
  <c r="D394" i="19" s="1"/>
  <c r="G394" i="19" s="1"/>
  <c r="E394" i="19" a="1"/>
  <c r="E394" i="19" s="1"/>
  <c r="F394" i="19"/>
  <c r="D395" i="19" a="1"/>
  <c r="D395" i="19" s="1"/>
  <c r="E395" i="19" a="1"/>
  <c r="E395" i="19" s="1"/>
  <c r="F395" i="19"/>
  <c r="D396" i="19" a="1"/>
  <c r="D396" i="19" s="1"/>
  <c r="E396" i="19" a="1"/>
  <c r="E396" i="19" s="1"/>
  <c r="F396" i="19"/>
  <c r="D397" i="19" a="1"/>
  <c r="D397" i="19" s="1"/>
  <c r="E397" i="19" a="1"/>
  <c r="E397" i="19" s="1"/>
  <c r="F397" i="19"/>
  <c r="D398" i="19" a="1"/>
  <c r="D398" i="19" s="1"/>
  <c r="E398" i="19" a="1"/>
  <c r="E398" i="19" s="1"/>
  <c r="F398" i="19"/>
  <c r="D399" i="19" a="1"/>
  <c r="D399" i="19" s="1"/>
  <c r="E399" i="19" a="1"/>
  <c r="E399" i="19" s="1"/>
  <c r="F399" i="19"/>
  <c r="D400" i="19" a="1"/>
  <c r="D400" i="19" s="1"/>
  <c r="E400" i="19" a="1"/>
  <c r="E400" i="19" s="1"/>
  <c r="F400" i="19"/>
  <c r="D401" i="19" a="1"/>
  <c r="D401" i="19" s="1"/>
  <c r="E401" i="19" a="1"/>
  <c r="E401" i="19" s="1"/>
  <c r="F401" i="19"/>
  <c r="D402" i="19" a="1"/>
  <c r="D402" i="19" s="1"/>
  <c r="G402" i="19" s="1"/>
  <c r="E402" i="19" a="1"/>
  <c r="E402" i="19" s="1"/>
  <c r="F402" i="19"/>
  <c r="D403" i="19" a="1"/>
  <c r="D403" i="19" s="1"/>
  <c r="G403" i="19" s="1"/>
  <c r="E403" i="19" a="1"/>
  <c r="E403" i="19" s="1"/>
  <c r="F403" i="19"/>
  <c r="D404" i="19" a="1"/>
  <c r="D404" i="19" s="1"/>
  <c r="E404" i="19" a="1"/>
  <c r="E404" i="19" s="1"/>
  <c r="F404" i="19"/>
  <c r="D405" i="19" a="1"/>
  <c r="D405" i="19" s="1"/>
  <c r="E405" i="19" a="1"/>
  <c r="E405" i="19" s="1"/>
  <c r="F405" i="19"/>
  <c r="D406" i="19" a="1"/>
  <c r="D406" i="19" s="1"/>
  <c r="E406" i="19" a="1"/>
  <c r="E406" i="19" s="1"/>
  <c r="F406" i="19"/>
  <c r="D407" i="19" a="1"/>
  <c r="D407" i="19" s="1"/>
  <c r="E407" i="19" a="1"/>
  <c r="E407" i="19" s="1"/>
  <c r="F407" i="19"/>
  <c r="D408" i="19" a="1"/>
  <c r="D408" i="19" s="1"/>
  <c r="E408" i="19" a="1"/>
  <c r="E408" i="19" s="1"/>
  <c r="F408" i="19"/>
  <c r="D409" i="19" a="1"/>
  <c r="D409" i="19" s="1"/>
  <c r="E409" i="19" a="1"/>
  <c r="E409" i="19" s="1"/>
  <c r="F409" i="19"/>
  <c r="D410" i="19" a="1"/>
  <c r="D410" i="19" s="1"/>
  <c r="E410" i="19" a="1"/>
  <c r="E410" i="19" s="1"/>
  <c r="F410" i="19"/>
  <c r="D411" i="19" a="1"/>
  <c r="D411" i="19" s="1"/>
  <c r="E411" i="19" a="1"/>
  <c r="E411" i="19" s="1"/>
  <c r="F411" i="19"/>
  <c r="D412" i="19" a="1"/>
  <c r="D412" i="19" s="1"/>
  <c r="E412" i="19" a="1"/>
  <c r="E412" i="19" s="1"/>
  <c r="F412" i="19"/>
  <c r="D413" i="19" a="1"/>
  <c r="D413" i="19" s="1"/>
  <c r="E413" i="19" a="1"/>
  <c r="E413" i="19" s="1"/>
  <c r="F413" i="19"/>
  <c r="D414" i="19" a="1"/>
  <c r="D414" i="19" s="1"/>
  <c r="E414" i="19" a="1"/>
  <c r="E414" i="19" s="1"/>
  <c r="F414" i="19"/>
  <c r="D415" i="19" a="1"/>
  <c r="D415" i="19" s="1"/>
  <c r="E415" i="19" a="1"/>
  <c r="E415" i="19" s="1"/>
  <c r="F415" i="19"/>
  <c r="D416" i="19" a="1"/>
  <c r="D416" i="19" s="1"/>
  <c r="E416" i="19" a="1"/>
  <c r="E416" i="19" s="1"/>
  <c r="F416" i="19"/>
  <c r="D417" i="19" a="1"/>
  <c r="D417" i="19" s="1"/>
  <c r="E417" i="19" a="1"/>
  <c r="E417" i="19" s="1"/>
  <c r="F417" i="19"/>
  <c r="D418" i="19" a="1"/>
  <c r="D418" i="19" s="1"/>
  <c r="E418" i="19" a="1"/>
  <c r="E418" i="19" s="1"/>
  <c r="F418" i="19"/>
  <c r="D419" i="19" a="1"/>
  <c r="D419" i="19" s="1"/>
  <c r="E419" i="19" a="1"/>
  <c r="E419" i="19" s="1"/>
  <c r="F419" i="19"/>
  <c r="D420" i="19" a="1"/>
  <c r="D420" i="19" s="1"/>
  <c r="E420" i="19" a="1"/>
  <c r="E420" i="19" s="1"/>
  <c r="F420" i="19"/>
  <c r="D421" i="19" a="1"/>
  <c r="D421" i="19" s="1"/>
  <c r="E421" i="19" a="1"/>
  <c r="E421" i="19" s="1"/>
  <c r="F421" i="19"/>
  <c r="D422" i="19" a="1"/>
  <c r="D422" i="19" s="1"/>
  <c r="E422" i="19" a="1"/>
  <c r="E422" i="19" s="1"/>
  <c r="F422" i="19"/>
  <c r="D423" i="19" a="1"/>
  <c r="D423" i="19" s="1"/>
  <c r="G423" i="19" s="1"/>
  <c r="E423" i="19" a="1"/>
  <c r="E423" i="19" s="1"/>
  <c r="F423" i="19"/>
  <c r="D424" i="19" a="1"/>
  <c r="D424" i="19" s="1"/>
  <c r="G424" i="19" s="1"/>
  <c r="E424" i="19" a="1"/>
  <c r="E424" i="19" s="1"/>
  <c r="F424" i="19"/>
  <c r="D425" i="19" a="1"/>
  <c r="D425" i="19" s="1"/>
  <c r="E425" i="19" a="1"/>
  <c r="E425" i="19" s="1"/>
  <c r="F425" i="19"/>
  <c r="D426" i="19" a="1"/>
  <c r="D426" i="19" s="1"/>
  <c r="E426" i="19" a="1"/>
  <c r="E426" i="19" s="1"/>
  <c r="F426" i="19"/>
  <c r="D427" i="19" a="1"/>
  <c r="D427" i="19" s="1"/>
  <c r="E427" i="19" a="1"/>
  <c r="E427" i="19" s="1"/>
  <c r="F427" i="19"/>
  <c r="D428" i="19" a="1"/>
  <c r="D428" i="19" s="1"/>
  <c r="E428" i="19" a="1"/>
  <c r="E428" i="19" s="1"/>
  <c r="F428" i="19"/>
  <c r="D429" i="19" a="1"/>
  <c r="D429" i="19" s="1"/>
  <c r="E429" i="19" a="1"/>
  <c r="E429" i="19" s="1"/>
  <c r="F429" i="19"/>
  <c r="D430" i="19" a="1"/>
  <c r="D430" i="19" s="1"/>
  <c r="G430" i="19" s="1"/>
  <c r="E430" i="19" a="1"/>
  <c r="E430" i="19" s="1"/>
  <c r="F430" i="19"/>
  <c r="D431" i="19" a="1"/>
  <c r="D431" i="19" s="1"/>
  <c r="G431" i="19" s="1"/>
  <c r="E431" i="19" a="1"/>
  <c r="E431" i="19" s="1"/>
  <c r="F431" i="19"/>
  <c r="D432" i="19" a="1"/>
  <c r="D432" i="19" s="1"/>
  <c r="G432" i="19" s="1"/>
  <c r="E432" i="19" a="1"/>
  <c r="E432" i="19" s="1"/>
  <c r="F432" i="19"/>
  <c r="D433" i="19" a="1"/>
  <c r="D433" i="19" s="1"/>
  <c r="G433" i="19" s="1"/>
  <c r="E433" i="19" a="1"/>
  <c r="E433" i="19" s="1"/>
  <c r="F433" i="19"/>
  <c r="D434" i="19" a="1"/>
  <c r="D434" i="19"/>
  <c r="E434" i="19" a="1"/>
  <c r="E434" i="19" s="1"/>
  <c r="F434" i="19"/>
  <c r="D435" i="19" a="1"/>
  <c r="D435" i="19" s="1"/>
  <c r="E435" i="19" a="1"/>
  <c r="E435" i="19" s="1"/>
  <c r="F435" i="19"/>
  <c r="D436" i="19" a="1"/>
  <c r="D436" i="19" s="1"/>
  <c r="E436" i="19" a="1"/>
  <c r="E436" i="19" s="1"/>
  <c r="F436" i="19"/>
  <c r="D437" i="19" a="1"/>
  <c r="D437" i="19" s="1"/>
  <c r="E437" i="19" a="1"/>
  <c r="E437" i="19" s="1"/>
  <c r="F437" i="19"/>
  <c r="D438" i="19" a="1"/>
  <c r="D438" i="19" s="1"/>
  <c r="G438" i="19" s="1"/>
  <c r="E438" i="19" a="1"/>
  <c r="E438" i="19" s="1"/>
  <c r="F438" i="19"/>
  <c r="D439" i="19" a="1"/>
  <c r="D439" i="19" s="1"/>
  <c r="G439" i="19" s="1"/>
  <c r="E439" i="19" a="1"/>
  <c r="E439" i="19" s="1"/>
  <c r="F439" i="19"/>
  <c r="D440" i="19" a="1"/>
  <c r="D440" i="19" s="1"/>
  <c r="G440" i="19" s="1"/>
  <c r="E440" i="19" a="1"/>
  <c r="E440" i="19" s="1"/>
  <c r="F440" i="19"/>
  <c r="D441" i="19" a="1"/>
  <c r="D441" i="19" s="1"/>
  <c r="G441" i="19" s="1"/>
  <c r="E441" i="19" a="1"/>
  <c r="E441" i="19" s="1"/>
  <c r="F441" i="19"/>
  <c r="D442" i="19" a="1"/>
  <c r="D442" i="19"/>
  <c r="G442" i="19" s="1"/>
  <c r="E442" i="19" a="1"/>
  <c r="E442" i="19" s="1"/>
  <c r="F442" i="19"/>
  <c r="D443" i="19" a="1"/>
  <c r="D443" i="19" s="1"/>
  <c r="E443" i="19" a="1"/>
  <c r="E443" i="19" s="1"/>
  <c r="F443" i="19"/>
  <c r="D444" i="19" a="1"/>
  <c r="D444" i="19" s="1"/>
  <c r="G444" i="19" s="1"/>
  <c r="E444" i="19" a="1"/>
  <c r="E444" i="19" s="1"/>
  <c r="F444" i="19"/>
  <c r="D445" i="19" a="1"/>
  <c r="D445" i="19" s="1"/>
  <c r="E445" i="19" a="1"/>
  <c r="E445" i="19" s="1"/>
  <c r="F445" i="19"/>
  <c r="D446" i="19" a="1"/>
  <c r="D446" i="19" s="1"/>
  <c r="G446" i="19" s="1"/>
  <c r="E446" i="19" a="1"/>
  <c r="E446" i="19" s="1"/>
  <c r="F446" i="19"/>
  <c r="D447" i="19" a="1"/>
  <c r="D447" i="19" s="1"/>
  <c r="E447" i="19" a="1"/>
  <c r="E447" i="19" s="1"/>
  <c r="F447" i="19"/>
  <c r="D448" i="19" a="1"/>
  <c r="D448" i="19" s="1"/>
  <c r="E448" i="19" a="1"/>
  <c r="E448" i="19" s="1"/>
  <c r="F448" i="19"/>
  <c r="D449" i="19" a="1"/>
  <c r="D449" i="19" s="1"/>
  <c r="E449" i="19" a="1"/>
  <c r="E449" i="19" s="1"/>
  <c r="F449" i="19"/>
  <c r="D450" i="19" a="1"/>
  <c r="D450" i="19" s="1"/>
  <c r="G450" i="19" s="1"/>
  <c r="E450" i="19" a="1"/>
  <c r="E450" i="19" s="1"/>
  <c r="F450" i="19"/>
  <c r="D451" i="19" a="1"/>
  <c r="D451" i="19" s="1"/>
  <c r="E451" i="19" a="1"/>
  <c r="E451" i="19" s="1"/>
  <c r="F451" i="19"/>
  <c r="D452" i="19" a="1"/>
  <c r="D452" i="19" s="1"/>
  <c r="E452" i="19" a="1"/>
  <c r="E452" i="19" s="1"/>
  <c r="F452" i="19"/>
  <c r="D453" i="19" a="1"/>
  <c r="D453" i="19" s="1"/>
  <c r="E453" i="19" a="1"/>
  <c r="E453" i="19" s="1"/>
  <c r="F453" i="19"/>
  <c r="D454" i="19" a="1"/>
  <c r="D454" i="19" s="1"/>
  <c r="G454" i="19" s="1"/>
  <c r="E454" i="19" a="1"/>
  <c r="E454" i="19" s="1"/>
  <c r="F454" i="19"/>
  <c r="D455" i="19" a="1"/>
  <c r="D455" i="19" s="1"/>
  <c r="G455" i="19" s="1"/>
  <c r="E455" i="19" a="1"/>
  <c r="E455" i="19" s="1"/>
  <c r="F455" i="19"/>
  <c r="D456" i="19" a="1"/>
  <c r="D456" i="19" s="1"/>
  <c r="G456" i="19" s="1"/>
  <c r="E456" i="19" a="1"/>
  <c r="E456" i="19" s="1"/>
  <c r="F456" i="19"/>
  <c r="D457" i="19" a="1"/>
  <c r="D457" i="19" s="1"/>
  <c r="G457" i="19" s="1"/>
  <c r="E457" i="19" a="1"/>
  <c r="E457" i="19" s="1"/>
  <c r="F457" i="19"/>
  <c r="D458" i="19" a="1"/>
  <c r="D458" i="19" s="1"/>
  <c r="G458" i="19" s="1"/>
  <c r="E458" i="19" a="1"/>
  <c r="E458" i="19" s="1"/>
  <c r="F458" i="19"/>
  <c r="D459" i="19" a="1"/>
  <c r="D459" i="19" s="1"/>
  <c r="G459" i="19" s="1"/>
  <c r="E459" i="19" a="1"/>
  <c r="E459" i="19" s="1"/>
  <c r="F459" i="19"/>
  <c r="D460" i="19" a="1"/>
  <c r="D460" i="19" s="1"/>
  <c r="G460" i="19" s="1"/>
  <c r="E460" i="19" a="1"/>
  <c r="E460" i="19" s="1"/>
  <c r="F460" i="19"/>
  <c r="D461" i="19" a="1"/>
  <c r="D461" i="19" s="1"/>
  <c r="G461" i="19" s="1"/>
  <c r="E461" i="19" a="1"/>
  <c r="E461" i="19" s="1"/>
  <c r="F461" i="19"/>
  <c r="D462" i="19" a="1"/>
  <c r="D462" i="19" s="1"/>
  <c r="G462" i="19" s="1"/>
  <c r="E462" i="19" a="1"/>
  <c r="E462" i="19" s="1"/>
  <c r="F462" i="19"/>
  <c r="D463" i="19" a="1"/>
  <c r="D463" i="19" s="1"/>
  <c r="G463" i="19" s="1"/>
  <c r="E463" i="19" a="1"/>
  <c r="E463" i="19" s="1"/>
  <c r="F463" i="19"/>
  <c r="D464" i="19" a="1"/>
  <c r="D464" i="19" s="1"/>
  <c r="G464" i="19" s="1"/>
  <c r="E464" i="19" a="1"/>
  <c r="E464" i="19" s="1"/>
  <c r="F464" i="19"/>
  <c r="D465" i="19" a="1"/>
  <c r="D465" i="19" s="1"/>
  <c r="G465" i="19" s="1"/>
  <c r="E465" i="19" a="1"/>
  <c r="E465" i="19" s="1"/>
  <c r="F465" i="19"/>
  <c r="D466" i="19" a="1"/>
  <c r="D466" i="19" s="1"/>
  <c r="G466" i="19" s="1"/>
  <c r="E466" i="19" a="1"/>
  <c r="E466" i="19" s="1"/>
  <c r="F466" i="19"/>
  <c r="D467" i="19" a="1"/>
  <c r="D467" i="19" s="1"/>
  <c r="G467" i="19" s="1"/>
  <c r="E467" i="19" a="1"/>
  <c r="E467" i="19" s="1"/>
  <c r="F467" i="19"/>
  <c r="D468" i="19" a="1"/>
  <c r="D468" i="19" s="1"/>
  <c r="G468" i="19" s="1"/>
  <c r="E468" i="19" a="1"/>
  <c r="E468" i="19" s="1"/>
  <c r="F468" i="19"/>
  <c r="D469" i="19" a="1"/>
  <c r="D469" i="19"/>
  <c r="G469" i="19" s="1"/>
  <c r="E469" i="19" a="1"/>
  <c r="E469" i="19" s="1"/>
  <c r="F469" i="19"/>
  <c r="D470" i="19" a="1"/>
  <c r="D470" i="19" s="1"/>
  <c r="E470" i="19" a="1"/>
  <c r="E470" i="19" s="1"/>
  <c r="F470" i="19"/>
  <c r="D471" i="19" a="1"/>
  <c r="D471" i="19" s="1"/>
  <c r="E471" i="19" a="1"/>
  <c r="E471" i="19" s="1"/>
  <c r="F471" i="19"/>
  <c r="D472" i="19" a="1"/>
  <c r="D472" i="19" s="1"/>
  <c r="E472" i="19" a="1"/>
  <c r="E472" i="19" s="1"/>
  <c r="F472" i="19"/>
  <c r="D473" i="19" a="1"/>
  <c r="D473" i="19" s="1"/>
  <c r="E473" i="19" a="1"/>
  <c r="E473" i="19" s="1"/>
  <c r="F473" i="19"/>
  <c r="F3" i="19"/>
  <c r="E3" i="19" a="1"/>
  <c r="E3" i="19" s="1"/>
  <c r="D3" i="19" a="1"/>
  <c r="D3" i="19" s="1"/>
  <c r="F8" i="4" l="1"/>
  <c r="F13" i="4"/>
  <c r="F84" i="4"/>
  <c r="F161" i="4"/>
  <c r="F14" i="4"/>
  <c r="F86" i="4"/>
  <c r="F105" i="4"/>
  <c r="F83" i="4"/>
  <c r="G83" i="4" s="1"/>
  <c r="F28" i="4"/>
  <c r="G28" i="4" s="1"/>
  <c r="F171" i="4"/>
  <c r="G171" i="4" s="1"/>
  <c r="F115" i="4"/>
  <c r="G115" i="4" s="1"/>
  <c r="F21" i="4"/>
  <c r="G21" i="4" s="1"/>
  <c r="F45" i="4"/>
  <c r="G45" i="4" s="1"/>
  <c r="F38" i="4"/>
  <c r="G38" i="4" s="1"/>
  <c r="F70" i="4"/>
  <c r="F155" i="4"/>
  <c r="F180" i="4"/>
  <c r="F63" i="4"/>
  <c r="F163" i="4"/>
  <c r="G163" i="4" s="1"/>
  <c r="F59" i="4"/>
  <c r="F136" i="4"/>
  <c r="G136" i="4" s="1"/>
  <c r="F6" i="4"/>
  <c r="F68" i="4"/>
  <c r="G68" i="4" s="1"/>
  <c r="F67" i="4"/>
  <c r="G67" i="4" s="1"/>
  <c r="F40" i="4"/>
  <c r="G40" i="4" s="1"/>
  <c r="F26" i="4"/>
  <c r="G26" i="4" s="1"/>
  <c r="F31" i="4"/>
  <c r="G31" i="4" s="1"/>
  <c r="F152" i="4"/>
  <c r="G152" i="4" s="1"/>
  <c r="F174" i="4"/>
  <c r="F129" i="4"/>
  <c r="F169" i="4"/>
  <c r="F150" i="4"/>
  <c r="G150" i="4" s="1"/>
  <c r="F151" i="4"/>
  <c r="F5" i="4"/>
  <c r="F52" i="4"/>
  <c r="G52" i="4" s="1"/>
  <c r="F10" i="4"/>
  <c r="F145" i="4"/>
  <c r="G145" i="4" s="1"/>
  <c r="F160" i="4"/>
  <c r="G160" i="4" s="1"/>
  <c r="F126" i="4"/>
  <c r="G126" i="4" s="1"/>
  <c r="F154" i="4"/>
  <c r="F55" i="4"/>
  <c r="G55" i="4" s="1"/>
  <c r="F143" i="4"/>
  <c r="G143" i="4" s="1"/>
  <c r="F76" i="4"/>
  <c r="F75" i="4"/>
  <c r="F182" i="4"/>
  <c r="F94" i="4"/>
  <c r="G94" i="4" s="1"/>
  <c r="F62" i="4"/>
  <c r="F57" i="4"/>
  <c r="F159" i="4"/>
  <c r="G159" i="4" s="1"/>
  <c r="F186" i="4"/>
  <c r="G186" i="4" s="1"/>
  <c r="F164" i="4"/>
  <c r="G164" i="4" s="1"/>
  <c r="F97" i="4"/>
  <c r="G97" i="4" s="1"/>
  <c r="F177" i="4"/>
  <c r="G177" i="4" s="1"/>
  <c r="F176" i="4"/>
  <c r="G176" i="4" s="1"/>
  <c r="F168" i="4"/>
  <c r="G168" i="4" s="1"/>
  <c r="F4" i="4"/>
  <c r="G4" i="4" s="1"/>
  <c r="F48" i="4"/>
  <c r="F9" i="4"/>
  <c r="F65" i="4"/>
  <c r="G65" i="4" s="1"/>
  <c r="F11" i="4"/>
  <c r="F124" i="4"/>
  <c r="F112" i="4"/>
  <c r="G112" i="4" s="1"/>
  <c r="F78" i="4"/>
  <c r="G78" i="4" s="1"/>
  <c r="F60" i="4"/>
  <c r="G60" i="4" s="1"/>
  <c r="F12" i="4"/>
  <c r="F79" i="4"/>
  <c r="G79" i="4" s="1"/>
  <c r="F25" i="4"/>
  <c r="G25" i="4" s="1"/>
  <c r="F77" i="4"/>
  <c r="G77" i="4" s="1"/>
  <c r="F33" i="4"/>
  <c r="G33" i="4" s="1"/>
  <c r="F144" i="4"/>
  <c r="G144" i="4" s="1"/>
  <c r="F140" i="4"/>
  <c r="F90" i="4"/>
  <c r="F99" i="4"/>
  <c r="G99" i="4" s="1"/>
  <c r="F181" i="4"/>
  <c r="F61" i="4"/>
  <c r="F7" i="4"/>
  <c r="F36" i="4"/>
  <c r="G36" i="4" s="1"/>
  <c r="F157" i="4"/>
  <c r="G157" i="4" s="1"/>
  <c r="F185" i="4"/>
  <c r="G185" i="4" s="1"/>
  <c r="F146" i="4"/>
  <c r="G146" i="4" s="1"/>
  <c r="F131" i="4"/>
  <c r="G131" i="4" s="1"/>
  <c r="F170" i="4"/>
  <c r="G170" i="4" s="1"/>
  <c r="F183" i="4"/>
  <c r="G183" i="4" s="1"/>
  <c r="F54" i="4"/>
  <c r="G54" i="4" s="1"/>
  <c r="F22" i="4"/>
  <c r="F43" i="4"/>
  <c r="G43" i="4" s="1"/>
  <c r="F114" i="4"/>
  <c r="F87" i="4"/>
  <c r="F51" i="4"/>
  <c r="G51" i="4" s="1"/>
  <c r="F179" i="4"/>
  <c r="G179" i="4" s="1"/>
  <c r="F108" i="4"/>
  <c r="G108" i="4" s="1"/>
  <c r="F15" i="4"/>
  <c r="F35" i="4"/>
  <c r="G35" i="4" s="1"/>
  <c r="F49" i="4"/>
  <c r="G49" i="4" s="1"/>
  <c r="F42" i="4"/>
  <c r="G42" i="4" s="1"/>
  <c r="F71" i="4"/>
  <c r="G71" i="4" s="1"/>
  <c r="F20" i="4"/>
  <c r="G20" i="4" s="1"/>
  <c r="F111" i="4"/>
  <c r="G111" i="4" s="1"/>
  <c r="F127" i="4"/>
  <c r="F89" i="4"/>
  <c r="F56" i="4"/>
  <c r="F173" i="4"/>
  <c r="F149" i="4"/>
  <c r="G149" i="4" s="1"/>
  <c r="F34" i="4"/>
  <c r="G34" i="4" s="1"/>
  <c r="F156" i="4"/>
  <c r="G156" i="4" s="1"/>
  <c r="F184" i="4"/>
  <c r="G184" i="4" s="1"/>
  <c r="F66" i="4"/>
  <c r="G66" i="4" s="1"/>
  <c r="F142" i="4"/>
  <c r="G142" i="4" s="1"/>
  <c r="F178" i="4"/>
  <c r="G178" i="4" s="1"/>
  <c r="F64" i="4"/>
  <c r="G64" i="4" s="1"/>
  <c r="F128" i="4"/>
  <c r="G128" i="4" s="1"/>
  <c r="F123" i="4"/>
  <c r="G123" i="4" s="1"/>
  <c r="F74" i="4"/>
  <c r="F133" i="4"/>
  <c r="G133" i="4" s="1"/>
  <c r="F172" i="4"/>
  <c r="G172" i="4" s="1"/>
  <c r="F95" i="4"/>
  <c r="G95" i="4" s="1"/>
  <c r="F130" i="4"/>
  <c r="G130" i="4" s="1"/>
  <c r="F47" i="4"/>
  <c r="G47" i="4" s="1"/>
  <c r="F80" i="4"/>
  <c r="G80" i="4" s="1"/>
  <c r="F153" i="4"/>
  <c r="G153" i="4" s="1"/>
  <c r="F120" i="4"/>
  <c r="G120" i="4" s="1"/>
  <c r="F165" i="4"/>
  <c r="G165" i="4" s="1"/>
  <c r="F166" i="4"/>
  <c r="G166" i="4" s="1"/>
  <c r="F32" i="4"/>
  <c r="G32" i="4" s="1"/>
  <c r="F18" i="4"/>
  <c r="G18" i="4" s="1"/>
  <c r="F41" i="4"/>
  <c r="G41" i="4" s="1"/>
  <c r="F113" i="4"/>
  <c r="F148" i="4"/>
  <c r="F17" i="4"/>
  <c r="G17" i="4" s="1"/>
  <c r="F175" i="4"/>
  <c r="G175" i="4" s="1"/>
  <c r="F106" i="4"/>
  <c r="G106" i="4" s="1"/>
  <c r="F96" i="4"/>
  <c r="G96" i="4" s="1"/>
  <c r="F104" i="4"/>
  <c r="G104" i="4" s="1"/>
  <c r="F30" i="4"/>
  <c r="G30" i="4" s="1"/>
  <c r="F16" i="4"/>
  <c r="G16" i="4" s="1"/>
  <c r="F122" i="4"/>
  <c r="G122" i="4" s="1"/>
  <c r="F147" i="4"/>
  <c r="G147" i="4" s="1"/>
  <c r="F50" i="4"/>
  <c r="G50" i="4" s="1"/>
  <c r="F137" i="4"/>
  <c r="G137" i="4" s="1"/>
  <c r="F138" i="4"/>
  <c r="G138" i="4" s="1"/>
  <c r="F158" i="4"/>
  <c r="G158" i="4" s="1"/>
  <c r="F110" i="4"/>
  <c r="F121" i="4"/>
  <c r="G121" i="4" s="1"/>
  <c r="F46" i="4"/>
  <c r="G46" i="4" s="1"/>
  <c r="F72" i="4"/>
  <c r="G72" i="4" s="1"/>
  <c r="F141" i="4"/>
  <c r="G141" i="4" s="1"/>
  <c r="F53" i="4"/>
  <c r="G53" i="4" s="1"/>
  <c r="F27" i="4"/>
  <c r="G27" i="4" s="1"/>
  <c r="F162" i="4"/>
  <c r="G162" i="4" s="1"/>
  <c r="F29" i="4"/>
  <c r="G29" i="4" s="1"/>
  <c r="F39" i="4"/>
  <c r="G39" i="4" s="1"/>
  <c r="F134" i="4"/>
  <c r="G134" i="4" s="1"/>
  <c r="F125" i="4"/>
  <c r="G125" i="4" s="1"/>
  <c r="F109" i="4"/>
  <c r="G109" i="4" s="1"/>
  <c r="F132" i="4"/>
  <c r="G132" i="4" s="1"/>
  <c r="F101" i="4"/>
  <c r="F118" i="4"/>
  <c r="G118" i="4" s="1"/>
  <c r="F102" i="4"/>
  <c r="G102" i="4" s="1"/>
  <c r="F119" i="4"/>
  <c r="G119" i="4" s="1"/>
  <c r="F135" i="4"/>
  <c r="G135" i="4" s="1"/>
  <c r="F37" i="4"/>
  <c r="G37" i="4" s="1"/>
  <c r="F98" i="4"/>
  <c r="G98" i="4" s="1"/>
  <c r="F139" i="4"/>
  <c r="G139" i="4" s="1"/>
  <c r="F85" i="4"/>
  <c r="G85" i="4" s="1"/>
  <c r="F103" i="4"/>
  <c r="G103" i="4" s="1"/>
  <c r="F93" i="4"/>
  <c r="G93" i="4" s="1"/>
  <c r="F167" i="4"/>
  <c r="G167" i="4" s="1"/>
  <c r="F44" i="4"/>
  <c r="G44" i="4" s="1"/>
  <c r="F88" i="4"/>
  <c r="G88" i="4" s="1"/>
  <c r="F69" i="4"/>
  <c r="G69" i="4" s="1"/>
  <c r="F19" i="4"/>
  <c r="G19" i="4" s="1"/>
  <c r="F100" i="4"/>
  <c r="G100" i="4" s="1"/>
  <c r="F58" i="4"/>
  <c r="G58" i="4" s="1"/>
  <c r="F3" i="4"/>
  <c r="F117" i="4"/>
  <c r="G117" i="4" s="1"/>
  <c r="F116" i="4"/>
  <c r="G116" i="4" s="1"/>
  <c r="F92" i="4"/>
  <c r="G92" i="4" s="1"/>
  <c r="F73" i="4"/>
  <c r="G73" i="4" s="1"/>
  <c r="F107" i="4"/>
  <c r="G107" i="4" s="1"/>
  <c r="F23" i="4"/>
  <c r="G23" i="4" s="1"/>
  <c r="F24" i="4"/>
  <c r="G24" i="4" s="1"/>
  <c r="F82" i="4"/>
  <c r="G82" i="4" s="1"/>
  <c r="F81" i="4"/>
  <c r="G81" i="4" s="1"/>
  <c r="F91" i="4"/>
  <c r="G91" i="4" s="1"/>
  <c r="G44" i="9"/>
  <c r="G45" i="9"/>
  <c r="G10" i="9"/>
  <c r="E8" i="9"/>
  <c r="F58" i="8" a="1"/>
  <c r="F58" i="8" s="1"/>
  <c r="D112" i="4"/>
  <c r="E33" i="9"/>
  <c r="G125" i="9"/>
  <c r="E77" i="9"/>
  <c r="G126" i="9"/>
  <c r="G77" i="8"/>
  <c r="G84" i="8"/>
  <c r="E50" i="9"/>
  <c r="E84" i="9"/>
  <c r="F171" i="9" a="1"/>
  <c r="F171" i="9" s="1"/>
  <c r="E43" i="9"/>
  <c r="G102" i="9"/>
  <c r="G121" i="8"/>
  <c r="E40" i="8"/>
  <c r="G114" i="8"/>
  <c r="G172" i="8"/>
  <c r="E94" i="9"/>
  <c r="G193" i="9"/>
  <c r="G69" i="8"/>
  <c r="E192" i="9"/>
  <c r="G188" i="9"/>
  <c r="G61" i="8"/>
  <c r="E61" i="9"/>
  <c r="G13" i="19"/>
  <c r="E26" i="9"/>
  <c r="G113" i="8"/>
  <c r="E111" i="9"/>
  <c r="G119" i="9"/>
  <c r="E142" i="8"/>
  <c r="E67" i="9"/>
  <c r="G26" i="9"/>
  <c r="E95" i="9"/>
  <c r="E112" i="9"/>
  <c r="G142" i="9"/>
  <c r="E27" i="8"/>
  <c r="E71" i="8"/>
  <c r="G190" i="8"/>
  <c r="E171" i="9"/>
  <c r="E18" i="8"/>
  <c r="G167" i="8"/>
  <c r="G99" i="8"/>
  <c r="E36" i="9"/>
  <c r="F10" i="8" a="1"/>
  <c r="F10" i="8" s="1"/>
  <c r="G163" i="9"/>
  <c r="E60" i="9"/>
  <c r="F163" i="8" a="1"/>
  <c r="F163" i="8" s="1"/>
  <c r="F141" i="9" a="1"/>
  <c r="F141" i="9" s="1"/>
  <c r="E118" i="9"/>
  <c r="E16" i="9"/>
  <c r="F8" i="9" a="1"/>
  <c r="F8" i="9" s="1"/>
  <c r="F12" i="9" a="1"/>
  <c r="F12" i="9" s="1"/>
  <c r="F16" i="9" a="1"/>
  <c r="F16" i="9" s="1"/>
  <c r="F20" i="9" a="1"/>
  <c r="F20" i="9" s="1"/>
  <c r="F33" i="9" a="1"/>
  <c r="F33" i="9" s="1"/>
  <c r="F37" i="9" a="1"/>
  <c r="F37" i="9" s="1"/>
  <c r="F50" i="9" a="1"/>
  <c r="F50" i="9" s="1"/>
  <c r="G58" i="9"/>
  <c r="F67" i="9" a="1"/>
  <c r="F67" i="9" s="1"/>
  <c r="G75" i="9"/>
  <c r="F84" i="9" a="1"/>
  <c r="F84" i="9" s="1"/>
  <c r="F101" i="9" a="1"/>
  <c r="F101" i="9" s="1"/>
  <c r="F118" i="9" a="1"/>
  <c r="F118" i="9" s="1"/>
  <c r="E127" i="9"/>
  <c r="F131" i="9" a="1"/>
  <c r="F131" i="9" s="1"/>
  <c r="F135" i="9" a="1"/>
  <c r="F135" i="9" s="1"/>
  <c r="F148" i="9" a="1"/>
  <c r="F148" i="9" s="1"/>
  <c r="F165" i="9" a="1"/>
  <c r="F165" i="9" s="1"/>
  <c r="G173" i="9"/>
  <c r="F182" i="9" a="1"/>
  <c r="F182" i="9" s="1"/>
  <c r="F8" i="8" a="1"/>
  <c r="F8" i="8" s="1"/>
  <c r="G12" i="8"/>
  <c r="F25" i="8" a="1"/>
  <c r="F25" i="8" s="1"/>
  <c r="E34" i="8"/>
  <c r="F38" i="8" a="1"/>
  <c r="F38" i="8" s="1"/>
  <c r="F42" i="8" a="1"/>
  <c r="F42" i="8" s="1"/>
  <c r="E51" i="8"/>
  <c r="F55" i="8" a="1"/>
  <c r="F55" i="8" s="1"/>
  <c r="F72" i="8" a="1"/>
  <c r="F72" i="8" s="1"/>
  <c r="F89" i="8" a="1"/>
  <c r="F89" i="8" s="1"/>
  <c r="F106" i="8" a="1"/>
  <c r="F106" i="8" s="1"/>
  <c r="F123" i="8" a="1"/>
  <c r="F123" i="8" s="1"/>
  <c r="G127" i="8"/>
  <c r="F136" i="8" a="1"/>
  <c r="F136" i="8" s="1"/>
  <c r="F140" i="8" a="1"/>
  <c r="F140" i="8" s="1"/>
  <c r="F153" i="8" a="1"/>
  <c r="F153" i="8" s="1"/>
  <c r="F170" i="8" a="1"/>
  <c r="F170" i="8" s="1"/>
  <c r="F4" i="9" a="1"/>
  <c r="F4" i="9" s="1"/>
  <c r="F29" i="9" a="1"/>
  <c r="F29" i="9" s="1"/>
  <c r="F46" i="9" a="1"/>
  <c r="F46" i="9" s="1"/>
  <c r="E59" i="9"/>
  <c r="F63" i="9" a="1"/>
  <c r="F63" i="9" s="1"/>
  <c r="E76" i="9"/>
  <c r="F80" i="9" a="1"/>
  <c r="F80" i="9" s="1"/>
  <c r="G84" i="9"/>
  <c r="F97" i="9" a="1"/>
  <c r="F97" i="9" s="1"/>
  <c r="F110" i="9" a="1"/>
  <c r="F110" i="9" s="1"/>
  <c r="F114" i="9" a="1"/>
  <c r="F114" i="9" s="1"/>
  <c r="F127" i="9" a="1"/>
  <c r="F127" i="9" s="1"/>
  <c r="F144" i="9" a="1"/>
  <c r="F144" i="9" s="1"/>
  <c r="F161" i="9" a="1"/>
  <c r="F161" i="9" s="1"/>
  <c r="F178" i="9" a="1"/>
  <c r="F178" i="9" s="1"/>
  <c r="F4" i="8" a="1"/>
  <c r="F4" i="8" s="1"/>
  <c r="F17" i="8" a="1"/>
  <c r="F17" i="8" s="1"/>
  <c r="F21" i="8" a="1"/>
  <c r="F21" i="8" s="1"/>
  <c r="F34" i="8" a="1"/>
  <c r="F34" i="8" s="1"/>
  <c r="F51" i="8" a="1"/>
  <c r="F51" i="8" s="1"/>
  <c r="G59" i="8"/>
  <c r="F68" i="8" a="1"/>
  <c r="F68" i="8" s="1"/>
  <c r="G76" i="8"/>
  <c r="F85" i="8" a="1"/>
  <c r="F85" i="8" s="1"/>
  <c r="F102" i="8" a="1"/>
  <c r="F102" i="8" s="1"/>
  <c r="F115" i="8" a="1"/>
  <c r="F115" i="8" s="1"/>
  <c r="F119" i="8" a="1"/>
  <c r="F119" i="8" s="1"/>
  <c r="F132" i="8" a="1"/>
  <c r="F132" i="8" s="1"/>
  <c r="E145" i="8"/>
  <c r="F149" i="8" a="1"/>
  <c r="F149" i="8" s="1"/>
  <c r="G12" i="9"/>
  <c r="F25" i="9" a="1"/>
  <c r="F25" i="9" s="1"/>
  <c r="G33" i="9"/>
  <c r="F42" i="9" a="1"/>
  <c r="F42" i="9" s="1"/>
  <c r="G50" i="9"/>
  <c r="F59" i="9" a="1"/>
  <c r="F59" i="9" s="1"/>
  <c r="F76" i="9" a="1"/>
  <c r="F76" i="9" s="1"/>
  <c r="F89" i="9" a="1"/>
  <c r="F89" i="9" s="1"/>
  <c r="F93" i="9" a="1"/>
  <c r="F93" i="9" s="1"/>
  <c r="F106" i="9" a="1"/>
  <c r="F106" i="9" s="1"/>
  <c r="F123" i="9" a="1"/>
  <c r="F123" i="9" s="1"/>
  <c r="E136" i="9"/>
  <c r="F140" i="9" a="1"/>
  <c r="F140" i="9" s="1"/>
  <c r="F157" i="9" a="1"/>
  <c r="F157" i="9" s="1"/>
  <c r="F174" i="9" a="1"/>
  <c r="F174" i="9" s="1"/>
  <c r="F187" i="9" a="1"/>
  <c r="F187" i="9" s="1"/>
  <c r="F191" i="9" a="1"/>
  <c r="F191" i="9" s="1"/>
  <c r="F13" i="8" a="1"/>
  <c r="F13" i="8" s="1"/>
  <c r="F30" i="8" a="1"/>
  <c r="F30" i="8" s="1"/>
  <c r="F47" i="8" a="1"/>
  <c r="F47" i="8" s="1"/>
  <c r="G51" i="8"/>
  <c r="F64" i="8" a="1"/>
  <c r="F64" i="8" s="1"/>
  <c r="E77" i="8"/>
  <c r="F81" i="8" a="1"/>
  <c r="F81" i="8" s="1"/>
  <c r="F94" i="8" a="1"/>
  <c r="F94" i="8" s="1"/>
  <c r="F98" i="8" a="1"/>
  <c r="F98" i="8" s="1"/>
  <c r="F111" i="8" a="1"/>
  <c r="F111" i="8" s="1"/>
  <c r="F128" i="8" a="1"/>
  <c r="F128" i="8" s="1"/>
  <c r="G136" i="8"/>
  <c r="F145" i="8" a="1"/>
  <c r="F145" i="8" s="1"/>
  <c r="F162" i="8" a="1"/>
  <c r="F162" i="8" s="1"/>
  <c r="F17" i="9" a="1"/>
  <c r="F17" i="9" s="1"/>
  <c r="F21" i="9" a="1"/>
  <c r="F21" i="9" s="1"/>
  <c r="E34" i="9"/>
  <c r="F38" i="9" a="1"/>
  <c r="F38" i="9" s="1"/>
  <c r="E51" i="9"/>
  <c r="F55" i="9" a="1"/>
  <c r="F55" i="9" s="1"/>
  <c r="G59" i="9"/>
  <c r="F68" i="9" a="1"/>
  <c r="F68" i="9" s="1"/>
  <c r="F72" i="9" a="1"/>
  <c r="F72" i="9" s="1"/>
  <c r="G76" i="9"/>
  <c r="F85" i="9" a="1"/>
  <c r="F85" i="9" s="1"/>
  <c r="F102" i="9" a="1"/>
  <c r="F102" i="9" s="1"/>
  <c r="F119" i="9" a="1"/>
  <c r="F119" i="9" s="1"/>
  <c r="F6" i="9" a="1"/>
  <c r="F6" i="9" s="1"/>
  <c r="F31" i="9" a="1"/>
  <c r="F31" i="9" s="1"/>
  <c r="F48" i="9" a="1"/>
  <c r="F48" i="9" s="1"/>
  <c r="G52" i="9"/>
  <c r="F61" i="9" a="1"/>
  <c r="F61" i="9" s="1"/>
  <c r="F65" i="9" a="1"/>
  <c r="F65" i="9" s="1"/>
  <c r="E74" i="9"/>
  <c r="F78" i="9" a="1"/>
  <c r="F78" i="9" s="1"/>
  <c r="F95" i="9" a="1"/>
  <c r="F95" i="9" s="1"/>
  <c r="F112" i="9" a="1"/>
  <c r="F112" i="9" s="1"/>
  <c r="E125" i="9"/>
  <c r="F129" i="9" a="1"/>
  <c r="F129" i="9" s="1"/>
  <c r="F146" i="9" a="1"/>
  <c r="F146" i="9" s="1"/>
  <c r="F159" i="9" a="1"/>
  <c r="F159" i="9" s="1"/>
  <c r="F163" i="9" a="1"/>
  <c r="F163" i="9" s="1"/>
  <c r="F176" i="9" a="1"/>
  <c r="F176" i="9" s="1"/>
  <c r="F193" i="9" a="1"/>
  <c r="F193" i="9" s="1"/>
  <c r="F19" i="8" a="1"/>
  <c r="F19" i="8" s="1"/>
  <c r="F36" i="8" a="1"/>
  <c r="F36" i="8" s="1"/>
  <c r="F53" i="8" a="1"/>
  <c r="F53" i="8" s="1"/>
  <c r="F66" i="8" a="1"/>
  <c r="F66" i="8" s="1"/>
  <c r="F70" i="8" a="1"/>
  <c r="F70" i="8" s="1"/>
  <c r="G74" i="8"/>
  <c r="F83" i="8" a="1"/>
  <c r="F83" i="8" s="1"/>
  <c r="F100" i="8" a="1"/>
  <c r="F100" i="8" s="1"/>
  <c r="F117" i="8" a="1"/>
  <c r="F117" i="8" s="1"/>
  <c r="F7" i="9" a="1"/>
  <c r="F7" i="9" s="1"/>
  <c r="F11" i="9" a="1"/>
  <c r="F11" i="9" s="1"/>
  <c r="F32" i="9" a="1"/>
  <c r="F32" i="9" s="1"/>
  <c r="F49" i="9" a="1"/>
  <c r="F49" i="9" s="1"/>
  <c r="F66" i="9" a="1"/>
  <c r="F66" i="9" s="1"/>
  <c r="E75" i="9"/>
  <c r="F83" i="9" a="1"/>
  <c r="F83" i="9" s="1"/>
  <c r="F96" i="9" a="1"/>
  <c r="F96" i="9" s="1"/>
  <c r="F100" i="9" a="1"/>
  <c r="F100" i="9" s="1"/>
  <c r="F113" i="9" a="1"/>
  <c r="F113" i="9" s="1"/>
  <c r="E126" i="9"/>
  <c r="F130" i="9" a="1"/>
  <c r="F130" i="9" s="1"/>
  <c r="F147" i="9" a="1"/>
  <c r="F147" i="9" s="1"/>
  <c r="F164" i="9" a="1"/>
  <c r="F164" i="9" s="1"/>
  <c r="E173" i="9"/>
  <c r="F181" i="9" a="1"/>
  <c r="F181" i="9" s="1"/>
  <c r="F3" i="9" a="1"/>
  <c r="F3" i="9" s="1"/>
  <c r="F7" i="8" a="1"/>
  <c r="F7" i="8" s="1"/>
  <c r="F20" i="8" a="1"/>
  <c r="F20" i="8" s="1"/>
  <c r="E33" i="8"/>
  <c r="F37" i="8" a="1"/>
  <c r="F37" i="8" s="1"/>
  <c r="E50" i="8"/>
  <c r="F54" i="8" a="1"/>
  <c r="F54" i="8" s="1"/>
  <c r="G58" i="8"/>
  <c r="F71" i="8" a="1"/>
  <c r="F71" i="8" s="1"/>
  <c r="G75" i="8"/>
  <c r="E84" i="8"/>
  <c r="F88" i="8" a="1"/>
  <c r="F88" i="8" s="1"/>
  <c r="F101" i="8" a="1"/>
  <c r="F101" i="8" s="1"/>
  <c r="F105" i="8" a="1"/>
  <c r="F105" i="8" s="1"/>
  <c r="F118" i="8" a="1"/>
  <c r="F118" i="8" s="1"/>
  <c r="G126" i="8"/>
  <c r="F135" i="8" a="1"/>
  <c r="F135" i="8" s="1"/>
  <c r="F152" i="8" a="1"/>
  <c r="F152" i="8" s="1"/>
  <c r="F28" i="9" a="1"/>
  <c r="F28" i="9" s="1"/>
  <c r="F45" i="9" a="1"/>
  <c r="F45" i="9" s="1"/>
  <c r="E58" i="9"/>
  <c r="F62" i="9" a="1"/>
  <c r="F62" i="9" s="1"/>
  <c r="F75" i="9" a="1"/>
  <c r="F75" i="9" s="1"/>
  <c r="F79" i="9" a="1"/>
  <c r="F79" i="9" s="1"/>
  <c r="F92" i="9" a="1"/>
  <c r="F92" i="9" s="1"/>
  <c r="F109" i="9" a="1"/>
  <c r="F109" i="9" s="1"/>
  <c r="F126" i="9" a="1"/>
  <c r="F126" i="9" s="1"/>
  <c r="F143" i="9" a="1"/>
  <c r="F143" i="9" s="1"/>
  <c r="F160" i="9" a="1"/>
  <c r="F160" i="9" s="1"/>
  <c r="F173" i="9" a="1"/>
  <c r="F173" i="9" s="1"/>
  <c r="F177" i="9" a="1"/>
  <c r="F177" i="9" s="1"/>
  <c r="F190" i="9" a="1"/>
  <c r="F190" i="9" s="1"/>
  <c r="E12" i="8"/>
  <c r="F16" i="8" a="1"/>
  <c r="F16" i="8" s="1"/>
  <c r="F33" i="8" a="1"/>
  <c r="F33" i="8" s="1"/>
  <c r="F50" i="8" a="1"/>
  <c r="F50" i="8" s="1"/>
  <c r="E59" i="8"/>
  <c r="F67" i="8" a="1"/>
  <c r="F67" i="8" s="1"/>
  <c r="E76" i="8"/>
  <c r="F80" i="8" a="1"/>
  <c r="F80" i="8" s="1"/>
  <c r="F84" i="8" a="1"/>
  <c r="F84" i="8" s="1"/>
  <c r="F97" i="8" a="1"/>
  <c r="F97" i="8" s="1"/>
  <c r="F114" i="8" a="1"/>
  <c r="F114" i="8" s="1"/>
  <c r="E127" i="8"/>
  <c r="F131" i="8" a="1"/>
  <c r="F131" i="8" s="1"/>
  <c r="G24" i="9"/>
  <c r="E63" i="9"/>
  <c r="E80" i="9"/>
  <c r="G88" i="9"/>
  <c r="E110" i="9"/>
  <c r="G139" i="9"/>
  <c r="G63" i="8"/>
  <c r="G80" i="8"/>
  <c r="G110" i="8"/>
  <c r="E25" i="9"/>
  <c r="G37" i="9"/>
  <c r="G54" i="9"/>
  <c r="G118" i="9"/>
  <c r="E140" i="9"/>
  <c r="G169" i="9"/>
  <c r="E174" i="9"/>
  <c r="G25" i="8"/>
  <c r="E98" i="8"/>
  <c r="G140" i="8"/>
  <c r="E55" i="9"/>
  <c r="G63" i="9"/>
  <c r="G80" i="9"/>
  <c r="G55" i="8"/>
  <c r="G25" i="9"/>
  <c r="E98" i="9"/>
  <c r="G110" i="9"/>
  <c r="G22" i="9"/>
  <c r="E189" i="9"/>
  <c r="G23" i="8"/>
  <c r="G23" i="9"/>
  <c r="G53" i="9"/>
  <c r="G87" i="9"/>
  <c r="E177" i="9"/>
  <c r="E80" i="8"/>
  <c r="E24" i="9"/>
  <c r="E54" i="9"/>
  <c r="E88" i="9"/>
  <c r="G117" i="9"/>
  <c r="G130" i="9"/>
  <c r="E139" i="9"/>
  <c r="G164" i="9"/>
  <c r="E169" i="9"/>
  <c r="G24" i="8"/>
  <c r="G37" i="8"/>
  <c r="G54" i="8"/>
  <c r="E63" i="8"/>
  <c r="G88" i="8"/>
  <c r="E110" i="8"/>
  <c r="G139" i="8"/>
  <c r="G191" i="8"/>
  <c r="F187" i="8" a="1"/>
  <c r="F187" i="8" s="1"/>
  <c r="E183" i="8"/>
  <c r="G178" i="8"/>
  <c r="E170" i="8"/>
  <c r="F165" i="8" a="1"/>
  <c r="F165" i="8" s="1"/>
  <c r="G155" i="8"/>
  <c r="E144" i="8"/>
  <c r="E138" i="8"/>
  <c r="G130" i="8"/>
  <c r="E125" i="8"/>
  <c r="G117" i="8"/>
  <c r="F110" i="8" a="1"/>
  <c r="F110" i="8" s="1"/>
  <c r="F103" i="8" a="1"/>
  <c r="F103" i="8" s="1"/>
  <c r="F95" i="8" a="1"/>
  <c r="F95" i="8" s="1"/>
  <c r="G87" i="8"/>
  <c r="G65" i="8"/>
  <c r="E58" i="8"/>
  <c r="G50" i="8"/>
  <c r="G43" i="8"/>
  <c r="G35" i="8"/>
  <c r="E28" i="8"/>
  <c r="G20" i="8"/>
  <c r="G13" i="8"/>
  <c r="E6" i="8"/>
  <c r="F189" i="9" a="1"/>
  <c r="F189" i="9" s="1"/>
  <c r="E182" i="9"/>
  <c r="E175" i="9"/>
  <c r="E167" i="9"/>
  <c r="F152" i="9" a="1"/>
  <c r="F152" i="9" s="1"/>
  <c r="F145" i="9" a="1"/>
  <c r="F145" i="9" s="1"/>
  <c r="F137" i="9" a="1"/>
  <c r="F137" i="9" s="1"/>
  <c r="G129" i="9"/>
  <c r="F122" i="9" a="1"/>
  <c r="F122" i="9" s="1"/>
  <c r="G113" i="9"/>
  <c r="F105" i="9" a="1"/>
  <c r="F105" i="9" s="1"/>
  <c r="G96" i="9"/>
  <c r="F88" i="9" a="1"/>
  <c r="F88" i="9" s="1"/>
  <c r="G79" i="9"/>
  <c r="F71" i="9" a="1"/>
  <c r="F71" i="9" s="1"/>
  <c r="G62" i="9"/>
  <c r="F54" i="9" a="1"/>
  <c r="F54" i="9" s="1"/>
  <c r="E37" i="9"/>
  <c r="G28" i="9"/>
  <c r="E20" i="9"/>
  <c r="E12" i="9"/>
  <c r="F181" i="8" a="1"/>
  <c r="F181" i="8" s="1"/>
  <c r="F156" i="9" a="1"/>
  <c r="F156" i="9" s="1"/>
  <c r="F189" i="8" a="1"/>
  <c r="F189" i="8" s="1"/>
  <c r="F77" i="8" a="1"/>
  <c r="F77" i="8" s="1"/>
  <c r="E54" i="8"/>
  <c r="G39" i="8"/>
  <c r="D103" i="4"/>
  <c r="E46" i="9"/>
  <c r="G92" i="9"/>
  <c r="G105" i="9"/>
  <c r="E144" i="9"/>
  <c r="E161" i="9"/>
  <c r="G186" i="9"/>
  <c r="G46" i="8"/>
  <c r="G93" i="8"/>
  <c r="G144" i="8"/>
  <c r="E149" i="8"/>
  <c r="G161" i="8"/>
  <c r="E93" i="9"/>
  <c r="E106" i="9"/>
  <c r="G135" i="9"/>
  <c r="E187" i="9"/>
  <c r="G8" i="8"/>
  <c r="E47" i="8"/>
  <c r="E81" i="8"/>
  <c r="G106" i="8"/>
  <c r="G8" i="9"/>
  <c r="G46" i="9"/>
  <c r="G144" i="9"/>
  <c r="G161" i="9"/>
  <c r="E60" i="8"/>
  <c r="E107" i="8"/>
  <c r="G149" i="8"/>
  <c r="E158" i="8"/>
  <c r="E47" i="9"/>
  <c r="E81" i="9"/>
  <c r="G93" i="9"/>
  <c r="E91" i="9"/>
  <c r="G150" i="9"/>
  <c r="E155" i="9"/>
  <c r="E32" i="8"/>
  <c r="E45" i="8"/>
  <c r="E49" i="8"/>
  <c r="E62" i="8"/>
  <c r="G91" i="8"/>
  <c r="E45" i="9"/>
  <c r="E62" i="9"/>
  <c r="E92" i="9"/>
  <c r="G104" i="9"/>
  <c r="G155" i="9"/>
  <c r="G11" i="8"/>
  <c r="G45" i="8"/>
  <c r="G62" i="8"/>
  <c r="G92" i="8"/>
  <c r="G11" i="9"/>
  <c r="G32" i="9"/>
  <c r="G49" i="9"/>
  <c r="E105" i="9"/>
  <c r="E186" i="9"/>
  <c r="E46" i="8"/>
  <c r="E93" i="8"/>
  <c r="G105" i="8"/>
  <c r="G135" i="8"/>
  <c r="F191" i="8" a="1"/>
  <c r="F191" i="8" s="1"/>
  <c r="E187" i="8"/>
  <c r="G182" i="8"/>
  <c r="F174" i="8" a="1"/>
  <c r="F174" i="8" s="1"/>
  <c r="G169" i="8"/>
  <c r="E165" i="8"/>
  <c r="F160" i="8" a="1"/>
  <c r="F160" i="8" s="1"/>
  <c r="F155" i="8" a="1"/>
  <c r="F155" i="8" s="1"/>
  <c r="F150" i="8" a="1"/>
  <c r="F150" i="8" s="1"/>
  <c r="G137" i="8"/>
  <c r="F130" i="8" a="1"/>
  <c r="F130" i="8" s="1"/>
  <c r="G124" i="8"/>
  <c r="E117" i="8"/>
  <c r="F109" i="8" a="1"/>
  <c r="F109" i="8" s="1"/>
  <c r="E103" i="8"/>
  <c r="E95" i="8"/>
  <c r="F87" i="8" a="1"/>
  <c r="F87" i="8" s="1"/>
  <c r="G79" i="8"/>
  <c r="F73" i="8" a="1"/>
  <c r="F73" i="8" s="1"/>
  <c r="F65" i="8" a="1"/>
  <c r="F65" i="8" s="1"/>
  <c r="F57" i="8" a="1"/>
  <c r="F57" i="8" s="1"/>
  <c r="G49" i="8"/>
  <c r="F43" i="8" a="1"/>
  <c r="F43" i="8" s="1"/>
  <c r="F35" i="8" a="1"/>
  <c r="F35" i="8" s="1"/>
  <c r="E20" i="8"/>
  <c r="G5" i="8"/>
  <c r="E181" i="9"/>
  <c r="G174" i="9"/>
  <c r="G166" i="9"/>
  <c r="E159" i="9"/>
  <c r="F151" i="9" a="1"/>
  <c r="F151" i="9" s="1"/>
  <c r="E145" i="9"/>
  <c r="E137" i="9"/>
  <c r="E129" i="9"/>
  <c r="F121" i="9" a="1"/>
  <c r="F121" i="9" s="1"/>
  <c r="E113" i="9"/>
  <c r="F104" i="9" a="1"/>
  <c r="F104" i="9" s="1"/>
  <c r="E96" i="9"/>
  <c r="F87" i="9" a="1"/>
  <c r="F87" i="9" s="1"/>
  <c r="G78" i="9"/>
  <c r="F70" i="9" a="1"/>
  <c r="F70" i="9" s="1"/>
  <c r="G61" i="9"/>
  <c r="F53" i="9" a="1"/>
  <c r="F53" i="9" s="1"/>
  <c r="F36" i="9" a="1"/>
  <c r="F36" i="9" s="1"/>
  <c r="G27" i="9"/>
  <c r="F19" i="9" a="1"/>
  <c r="F19" i="9" s="1"/>
  <c r="E11" i="9"/>
  <c r="E129" i="8"/>
  <c r="F172" i="8" a="1"/>
  <c r="F172" i="8" s="1"/>
  <c r="E153" i="8"/>
  <c r="E147" i="8"/>
  <c r="G141" i="8"/>
  <c r="G128" i="8"/>
  <c r="F24" i="9" a="1"/>
  <c r="F24" i="9" s="1"/>
  <c r="D84" i="4"/>
  <c r="E191" i="8"/>
  <c r="G186" i="8"/>
  <c r="F182" i="8" a="1"/>
  <c r="F182" i="8" s="1"/>
  <c r="F178" i="8" a="1"/>
  <c r="F178" i="8" s="1"/>
  <c r="E174" i="8"/>
  <c r="F169" i="8" a="1"/>
  <c r="F169" i="8" s="1"/>
  <c r="G164" i="8"/>
  <c r="E160" i="8"/>
  <c r="E155" i="8"/>
  <c r="E150" i="8"/>
  <c r="F143" i="8" a="1"/>
  <c r="F143" i="8" s="1"/>
  <c r="F137" i="8" a="1"/>
  <c r="F137" i="8" s="1"/>
  <c r="E130" i="8"/>
  <c r="F124" i="8" a="1"/>
  <c r="F124" i="8" s="1"/>
  <c r="G116" i="8"/>
  <c r="E109" i="8"/>
  <c r="G101" i="8"/>
  <c r="G94" i="8"/>
  <c r="E87" i="8"/>
  <c r="F79" i="8" a="1"/>
  <c r="F79" i="8" s="1"/>
  <c r="E72" i="8"/>
  <c r="E65" i="8"/>
  <c r="E57" i="8"/>
  <c r="F49" i="8" a="1"/>
  <c r="F49" i="8" s="1"/>
  <c r="E42" i="8"/>
  <c r="E35" i="8"/>
  <c r="F27" i="8" a="1"/>
  <c r="F27" i="8" s="1"/>
  <c r="G19" i="8"/>
  <c r="F12" i="8" a="1"/>
  <c r="F12" i="8" s="1"/>
  <c r="F5" i="8" a="1"/>
  <c r="F5" i="8" s="1"/>
  <c r="F188" i="9" a="1"/>
  <c r="F188" i="9" s="1"/>
  <c r="G180" i="9"/>
  <c r="G158" i="9"/>
  <c r="E151" i="9"/>
  <c r="G143" i="9"/>
  <c r="G136" i="9"/>
  <c r="G128" i="9"/>
  <c r="E121" i="9"/>
  <c r="G112" i="9"/>
  <c r="E104" i="9"/>
  <c r="G95" i="9"/>
  <c r="E87" i="9"/>
  <c r="E70" i="9"/>
  <c r="E53" i="9"/>
  <c r="F44" i="9" a="1"/>
  <c r="F44" i="9" s="1"/>
  <c r="F27" i="9" a="1"/>
  <c r="F27" i="9" s="1"/>
  <c r="E19" i="9"/>
  <c r="F32" i="8" a="1"/>
  <c r="F32" i="8" s="1"/>
  <c r="E25" i="8"/>
  <c r="E4" i="9"/>
  <c r="G41" i="9"/>
  <c r="E97" i="9"/>
  <c r="E114" i="9"/>
  <c r="E4" i="8"/>
  <c r="E68" i="8"/>
  <c r="G97" i="8"/>
  <c r="E102" i="8"/>
  <c r="E42" i="9"/>
  <c r="E89" i="9"/>
  <c r="G101" i="9"/>
  <c r="G165" i="9"/>
  <c r="G182" i="9"/>
  <c r="E191" i="9"/>
  <c r="G42" i="8"/>
  <c r="G89" i="8"/>
  <c r="E94" i="8"/>
  <c r="G4" i="9"/>
  <c r="E68" i="9"/>
  <c r="G97" i="9"/>
  <c r="E102" i="9"/>
  <c r="G114" i="9"/>
  <c r="G148" i="9"/>
  <c r="E170" i="9"/>
  <c r="G4" i="8"/>
  <c r="E43" i="8"/>
  <c r="G68" i="8"/>
  <c r="E73" i="8"/>
  <c r="G102" i="8"/>
  <c r="E5" i="9"/>
  <c r="G42" i="9"/>
  <c r="E40" i="9"/>
  <c r="G120" i="9"/>
  <c r="G133" i="9"/>
  <c r="E172" i="9"/>
  <c r="G10" i="8"/>
  <c r="G40" i="8"/>
  <c r="E96" i="8"/>
  <c r="E28" i="9"/>
  <c r="G40" i="9"/>
  <c r="G121" i="9"/>
  <c r="E143" i="9"/>
  <c r="E160" i="9"/>
  <c r="G28" i="8"/>
  <c r="E97" i="8"/>
  <c r="E114" i="8"/>
  <c r="G143" i="8"/>
  <c r="E148" i="8"/>
  <c r="G19" i="9"/>
  <c r="E41" i="9"/>
  <c r="G147" i="9"/>
  <c r="G41" i="8"/>
  <c r="G193" i="8"/>
  <c r="F185" i="9" a="1"/>
  <c r="F185" i="9" s="1"/>
  <c r="E149" i="9"/>
  <c r="E101" i="9"/>
  <c r="E178" i="9"/>
  <c r="E17" i="8"/>
  <c r="E21" i="8"/>
  <c r="E85" i="8"/>
  <c r="G16" i="9"/>
  <c r="E13" i="8"/>
  <c r="E64" i="8"/>
  <c r="E128" i="8"/>
  <c r="E17" i="9"/>
  <c r="E21" i="9"/>
  <c r="E85" i="9"/>
  <c r="G131" i="9"/>
  <c r="G178" i="9"/>
  <c r="G21" i="8"/>
  <c r="G85" i="8"/>
  <c r="E141" i="8"/>
  <c r="E13" i="9"/>
  <c r="E64" i="9"/>
  <c r="G14" i="9"/>
  <c r="G35" i="9"/>
  <c r="G86" i="9"/>
  <c r="G116" i="9"/>
  <c r="E138" i="9"/>
  <c r="E15" i="8"/>
  <c r="G70" i="9"/>
  <c r="E109" i="9"/>
  <c r="G138" i="9"/>
  <c r="E16" i="8"/>
  <c r="G109" i="8"/>
  <c r="E131" i="8"/>
  <c r="G15" i="9"/>
  <c r="G36" i="9"/>
  <c r="F186" i="8" a="1"/>
  <c r="F186" i="8" s="1"/>
  <c r="E182" i="8"/>
  <c r="E178" i="8"/>
  <c r="G173" i="8"/>
  <c r="E169" i="8"/>
  <c r="G159" i="8"/>
  <c r="G154" i="8"/>
  <c r="G148" i="8"/>
  <c r="E143" i="8"/>
  <c r="E137" i="8"/>
  <c r="G129" i="8"/>
  <c r="E123" i="8"/>
  <c r="F116" i="8" a="1"/>
  <c r="F116" i="8" s="1"/>
  <c r="E101" i="8"/>
  <c r="G86" i="8"/>
  <c r="G78" i="8"/>
  <c r="G64" i="8"/>
  <c r="G56" i="8"/>
  <c r="G48" i="8"/>
  <c r="F41" i="8" a="1"/>
  <c r="F41" i="8" s="1"/>
  <c r="G34" i="8"/>
  <c r="E19" i="8"/>
  <c r="F11" i="8" a="1"/>
  <c r="F11" i="8" s="1"/>
  <c r="E5" i="8"/>
  <c r="E188" i="9"/>
  <c r="F180" i="9" a="1"/>
  <c r="F180" i="9" s="1"/>
  <c r="G172" i="9"/>
  <c r="F166" i="9" a="1"/>
  <c r="F166" i="9" s="1"/>
  <c r="F158" i="9" a="1"/>
  <c r="F158" i="9" s="1"/>
  <c r="F150" i="9" a="1"/>
  <c r="F150" i="9" s="1"/>
  <c r="F136" i="9" a="1"/>
  <c r="F136" i="9" s="1"/>
  <c r="F128" i="9" a="1"/>
  <c r="F128" i="9" s="1"/>
  <c r="F86" i="9" a="1"/>
  <c r="F86" i="9" s="1"/>
  <c r="E78" i="9"/>
  <c r="F69" i="9" a="1"/>
  <c r="F69" i="9" s="1"/>
  <c r="F52" i="9" a="1"/>
  <c r="F52" i="9" s="1"/>
  <c r="G43" i="9"/>
  <c r="F35" i="9" a="1"/>
  <c r="F35" i="9" s="1"/>
  <c r="F18" i="9" a="1"/>
  <c r="F18" i="9" s="1"/>
  <c r="F10" i="9" a="1"/>
  <c r="F10" i="9" s="1"/>
  <c r="F62" i="8" a="1"/>
  <c r="F62" i="8" s="1"/>
  <c r="E55" i="8"/>
  <c r="E48" i="8"/>
  <c r="F158" i="8" a="1"/>
  <c r="F158" i="8" s="1"/>
  <c r="F133" i="9" a="1"/>
  <c r="F133" i="9" s="1"/>
  <c r="G16" i="19"/>
  <c r="E29" i="9"/>
  <c r="G122" i="9"/>
  <c r="G156" i="9"/>
  <c r="G29" i="8"/>
  <c r="E115" i="8"/>
  <c r="G20" i="9"/>
  <c r="E123" i="9"/>
  <c r="G152" i="9"/>
  <c r="E30" i="8"/>
  <c r="G123" i="8"/>
  <c r="E38" i="9"/>
  <c r="E153" i="9"/>
  <c r="E183" i="9"/>
  <c r="G38" i="8"/>
  <c r="E90" i="8"/>
  <c r="E124" i="8"/>
  <c r="G153" i="8"/>
  <c r="G29" i="9"/>
  <c r="E115" i="9"/>
  <c r="E44" i="9"/>
  <c r="G69" i="9"/>
  <c r="G103" i="9"/>
  <c r="G184" i="9"/>
  <c r="G168" i="9"/>
  <c r="G7" i="9"/>
  <c r="G66" i="9"/>
  <c r="G83" i="9"/>
  <c r="E122" i="9"/>
  <c r="G134" i="9"/>
  <c r="E152" i="9"/>
  <c r="E156" i="9"/>
  <c r="G181" i="9"/>
  <c r="G7" i="8"/>
  <c r="E29" i="8"/>
  <c r="G122" i="8"/>
  <c r="E3" i="8"/>
  <c r="F190" i="8" a="1"/>
  <c r="F190" i="8" s="1"/>
  <c r="E186" i="8"/>
  <c r="G181" i="8"/>
  <c r="G177" i="8"/>
  <c r="F173" i="8" a="1"/>
  <c r="F173" i="8" s="1"/>
  <c r="G168" i="8"/>
  <c r="F164" i="8" a="1"/>
  <c r="F164" i="8" s="1"/>
  <c r="F159" i="8" a="1"/>
  <c r="F159" i="8" s="1"/>
  <c r="F154" i="8" a="1"/>
  <c r="F154" i="8" s="1"/>
  <c r="F148" i="8" a="1"/>
  <c r="F148" i="8" s="1"/>
  <c r="G142" i="8"/>
  <c r="E136" i="8"/>
  <c r="F122" i="8" a="1"/>
  <c r="F122" i="8" s="1"/>
  <c r="E116" i="8"/>
  <c r="F108" i="8" a="1"/>
  <c r="F108" i="8" s="1"/>
  <c r="G100" i="8"/>
  <c r="F93" i="8" a="1"/>
  <c r="F93" i="8" s="1"/>
  <c r="F86" i="8" a="1"/>
  <c r="F86" i="8" s="1"/>
  <c r="F78" i="8" a="1"/>
  <c r="F78" i="8" s="1"/>
  <c r="G70" i="8"/>
  <c r="F63" i="8" a="1"/>
  <c r="F63" i="8" s="1"/>
  <c r="F56" i="8" a="1"/>
  <c r="F56" i="8" s="1"/>
  <c r="E41" i="8"/>
  <c r="G33" i="8"/>
  <c r="G26" i="8"/>
  <c r="G18" i="8"/>
  <c r="E11" i="8"/>
  <c r="E3" i="9"/>
  <c r="G187" i="9"/>
  <c r="E180" i="9"/>
  <c r="F172" i="9" a="1"/>
  <c r="F172" i="9" s="1"/>
  <c r="E165" i="9"/>
  <c r="E158" i="9"/>
  <c r="E150" i="9"/>
  <c r="F142" i="9" a="1"/>
  <c r="F142" i="9" s="1"/>
  <c r="E135" i="9"/>
  <c r="E128" i="9"/>
  <c r="F120" i="9" a="1"/>
  <c r="F120" i="9" s="1"/>
  <c r="G111" i="9"/>
  <c r="F103" i="9" a="1"/>
  <c r="F103" i="9" s="1"/>
  <c r="G94" i="9"/>
  <c r="E86" i="9"/>
  <c r="G77" i="9"/>
  <c r="E69" i="9"/>
  <c r="G60" i="9"/>
  <c r="E52" i="9"/>
  <c r="E35" i="9"/>
  <c r="E18" i="9"/>
  <c r="E10" i="9"/>
  <c r="G3" i="8"/>
  <c r="E168" i="8"/>
  <c r="F149" i="9" a="1"/>
  <c r="F149" i="9" s="1"/>
  <c r="F121" i="8" a="1"/>
  <c r="F121" i="8" s="1"/>
  <c r="F3" i="8" a="1"/>
  <c r="F3" i="8" s="1"/>
  <c r="E190" i="8"/>
  <c r="G185" i="8"/>
  <c r="F177" i="8" a="1"/>
  <c r="F177" i="8" s="1"/>
  <c r="E173" i="8"/>
  <c r="F168" i="8" a="1"/>
  <c r="F168" i="8" s="1"/>
  <c r="E164" i="8"/>
  <c r="E159" i="8"/>
  <c r="E154" i="8"/>
  <c r="G147" i="8"/>
  <c r="F142" i="8" a="1"/>
  <c r="F142" i="8" s="1"/>
  <c r="E135" i="8"/>
  <c r="F129" i="8" a="1"/>
  <c r="F129" i="8" s="1"/>
  <c r="E122" i="8"/>
  <c r="G115" i="8"/>
  <c r="E108" i="8"/>
  <c r="E100" i="8"/>
  <c r="F92" i="8" a="1"/>
  <c r="F92" i="8" s="1"/>
  <c r="E86" i="8"/>
  <c r="E78" i="8"/>
  <c r="E70" i="8"/>
  <c r="E56" i="8"/>
  <c r="F48" i="8" a="1"/>
  <c r="F48" i="8" s="1"/>
  <c r="F40" i="8" a="1"/>
  <c r="F40" i="8" s="1"/>
  <c r="G32" i="8"/>
  <c r="F26" i="8" a="1"/>
  <c r="F26" i="8" s="1"/>
  <c r="F18" i="8" a="1"/>
  <c r="F18" i="8" s="1"/>
  <c r="G3" i="9"/>
  <c r="G179" i="9"/>
  <c r="G171" i="9"/>
  <c r="E164" i="9"/>
  <c r="G157" i="9"/>
  <c r="G149" i="9"/>
  <c r="G141" i="9"/>
  <c r="F134" i="9" a="1"/>
  <c r="F134" i="9" s="1"/>
  <c r="G127" i="9"/>
  <c r="E120" i="9"/>
  <c r="F111" i="9" a="1"/>
  <c r="F111" i="9" s="1"/>
  <c r="E103" i="9"/>
  <c r="F94" i="9" a="1"/>
  <c r="F94" i="9" s="1"/>
  <c r="G85" i="9"/>
  <c r="F77" i="9" a="1"/>
  <c r="F77" i="9" s="1"/>
  <c r="G68" i="9"/>
  <c r="F60" i="9" a="1"/>
  <c r="F60" i="9" s="1"/>
  <c r="G51" i="9"/>
  <c r="F43" i="9" a="1"/>
  <c r="F43" i="9" s="1"/>
  <c r="G34" i="9"/>
  <c r="F26" i="9" a="1"/>
  <c r="F26" i="9" s="1"/>
  <c r="G17" i="9"/>
  <c r="G9" i="9"/>
  <c r="E177" i="8"/>
  <c r="F34" i="9" a="1"/>
  <c r="F34" i="9" s="1"/>
  <c r="F107" i="8" a="1"/>
  <c r="F107" i="8" s="1"/>
  <c r="F193" i="8" a="1"/>
  <c r="F193" i="8" s="1"/>
  <c r="E189" i="8"/>
  <c r="E185" i="8"/>
  <c r="G180" i="8"/>
  <c r="F176" i="8" a="1"/>
  <c r="F176" i="8" s="1"/>
  <c r="E172" i="8"/>
  <c r="E163" i="8"/>
  <c r="G157" i="8"/>
  <c r="G152" i="8"/>
  <c r="G146" i="8"/>
  <c r="F141" i="8" a="1"/>
  <c r="F141" i="8" s="1"/>
  <c r="E134" i="8"/>
  <c r="F127" i="8" a="1"/>
  <c r="F127" i="8" s="1"/>
  <c r="E121" i="8"/>
  <c r="F113" i="8" a="1"/>
  <c r="F113" i="8" s="1"/>
  <c r="E106" i="8"/>
  <c r="E99" i="8"/>
  <c r="E91" i="8"/>
  <c r="F76" i="8" a="1"/>
  <c r="F76" i="8" s="1"/>
  <c r="F69" i="8" a="1"/>
  <c r="F69" i="8" s="1"/>
  <c r="F61" i="8" a="1"/>
  <c r="F61" i="8" s="1"/>
  <c r="G53" i="8"/>
  <c r="F46" i="8" a="1"/>
  <c r="F46" i="8" s="1"/>
  <c r="F39" i="8" a="1"/>
  <c r="F39" i="8" s="1"/>
  <c r="E24" i="8"/>
  <c r="G16" i="8"/>
  <c r="G9" i="8"/>
  <c r="G192" i="9"/>
  <c r="E185" i="9"/>
  <c r="G177" i="9"/>
  <c r="G170" i="9"/>
  <c r="G162" i="9"/>
  <c r="F155" i="9" a="1"/>
  <c r="F155" i="9" s="1"/>
  <c r="E148" i="9"/>
  <c r="E141" i="9"/>
  <c r="E133" i="9"/>
  <c r="F125" i="9" a="1"/>
  <c r="F125" i="9" s="1"/>
  <c r="F117" i="9" a="1"/>
  <c r="F117" i="9" s="1"/>
  <c r="G108" i="9"/>
  <c r="E100" i="9"/>
  <c r="G91" i="9"/>
  <c r="E83" i="9"/>
  <c r="G74" i="9"/>
  <c r="E66" i="9"/>
  <c r="E49" i="9"/>
  <c r="E32" i="9"/>
  <c r="F23" i="9" a="1"/>
  <c r="F23" i="9" s="1"/>
  <c r="F15" i="9" a="1"/>
  <c r="F15" i="9" s="1"/>
  <c r="E7" i="9"/>
  <c r="F186" i="9" a="1"/>
  <c r="F186" i="9" s="1"/>
  <c r="F91" i="8" a="1"/>
  <c r="F91" i="8" s="1"/>
  <c r="G83" i="8"/>
  <c r="G47" i="8"/>
  <c r="G31" i="8"/>
  <c r="G17" i="8"/>
  <c r="E10" i="8"/>
  <c r="E179" i="9"/>
  <c r="E163" i="9"/>
  <c r="G109" i="9"/>
  <c r="D161" i="4"/>
  <c r="E193" i="8"/>
  <c r="G188" i="8"/>
  <c r="G184" i="8"/>
  <c r="F180" i="8" a="1"/>
  <c r="F180" i="8" s="1"/>
  <c r="E176" i="8"/>
  <c r="G171" i="8"/>
  <c r="F167" i="8" a="1"/>
  <c r="F167" i="8" s="1"/>
  <c r="G162" i="8"/>
  <c r="F157" i="8" a="1"/>
  <c r="F157" i="8" s="1"/>
  <c r="E152" i="8"/>
  <c r="E140" i="8"/>
  <c r="G133" i="8"/>
  <c r="F126" i="8" a="1"/>
  <c r="F126" i="8" s="1"/>
  <c r="G120" i="8"/>
  <c r="G112" i="8"/>
  <c r="E105" i="8"/>
  <c r="G98" i="8"/>
  <c r="G90" i="8"/>
  <c r="E83" i="8"/>
  <c r="F75" i="8" a="1"/>
  <c r="F75" i="8" s="1"/>
  <c r="E69" i="8"/>
  <c r="E61" i="8"/>
  <c r="E53" i="8"/>
  <c r="E39" i="8"/>
  <c r="F31" i="8" a="1"/>
  <c r="F31" i="8" s="1"/>
  <c r="F23" i="8" a="1"/>
  <c r="F23" i="8" s="1"/>
  <c r="G15" i="8"/>
  <c r="F9" i="8" a="1"/>
  <c r="F9" i="8" s="1"/>
  <c r="F192" i="9" a="1"/>
  <c r="F192" i="9" s="1"/>
  <c r="F184" i="9" a="1"/>
  <c r="F184" i="9" s="1"/>
  <c r="G176" i="9"/>
  <c r="F170" i="9" a="1"/>
  <c r="F170" i="9" s="1"/>
  <c r="G154" i="9"/>
  <c r="E147" i="9"/>
  <c r="G140" i="9"/>
  <c r="G132" i="9"/>
  <c r="G124" i="9"/>
  <c r="E117" i="9"/>
  <c r="F108" i="9" a="1"/>
  <c r="F108" i="9" s="1"/>
  <c r="G99" i="9"/>
  <c r="F91" i="9" a="1"/>
  <c r="F91" i="9" s="1"/>
  <c r="G82" i="9"/>
  <c r="F74" i="9" a="1"/>
  <c r="F74" i="9" s="1"/>
  <c r="G65" i="9"/>
  <c r="F57" i="9" a="1"/>
  <c r="F57" i="9" s="1"/>
  <c r="G48" i="9"/>
  <c r="F40" i="9" a="1"/>
  <c r="F40" i="9" s="1"/>
  <c r="G31" i="9"/>
  <c r="E23" i="9"/>
  <c r="E15" i="9"/>
  <c r="G6" i="9"/>
  <c r="G189" i="8"/>
  <c r="G158" i="8"/>
  <c r="F51" i="9" a="1"/>
  <c r="F51" i="9" s="1"/>
  <c r="F185" i="8" a="1"/>
  <c r="F185" i="8" s="1"/>
  <c r="E181" i="8"/>
  <c r="G176" i="8"/>
  <c r="F41" i="9" a="1"/>
  <c r="F41" i="9" s="1"/>
  <c r="D118" i="4"/>
  <c r="D71" i="4"/>
  <c r="G155" i="4"/>
  <c r="G192" i="8"/>
  <c r="F184" i="8" a="1"/>
  <c r="F184" i="8" s="1"/>
  <c r="E180" i="8"/>
  <c r="G175" i="8"/>
  <c r="E167" i="8"/>
  <c r="E162" i="8"/>
  <c r="E157" i="8"/>
  <c r="G151" i="8"/>
  <c r="F146" i="8" a="1"/>
  <c r="F146" i="8" s="1"/>
  <c r="F139" i="8" a="1"/>
  <c r="F139" i="8" s="1"/>
  <c r="F133" i="8" a="1"/>
  <c r="F133" i="8" s="1"/>
  <c r="E126" i="8"/>
  <c r="F120" i="8" a="1"/>
  <c r="F120" i="8" s="1"/>
  <c r="F112" i="8" a="1"/>
  <c r="F112" i="8" s="1"/>
  <c r="G104" i="8"/>
  <c r="G82" i="8"/>
  <c r="E75" i="8"/>
  <c r="G67" i="8"/>
  <c r="G60" i="8"/>
  <c r="G52" i="8"/>
  <c r="F45" i="8" a="1"/>
  <c r="F45" i="8" s="1"/>
  <c r="E38" i="8"/>
  <c r="E31" i="8"/>
  <c r="E23" i="8"/>
  <c r="F15" i="8" a="1"/>
  <c r="F15" i="8" s="1"/>
  <c r="E8" i="8"/>
  <c r="E184" i="9"/>
  <c r="F169" i="9" a="1"/>
  <c r="F169" i="9" s="1"/>
  <c r="F162" i="9" a="1"/>
  <c r="F162" i="9" s="1"/>
  <c r="F154" i="9" a="1"/>
  <c r="F154" i="9" s="1"/>
  <c r="G146" i="9"/>
  <c r="F139" i="9" a="1"/>
  <c r="F139" i="9" s="1"/>
  <c r="F132" i="9" a="1"/>
  <c r="F132" i="9" s="1"/>
  <c r="F116" i="9" a="1"/>
  <c r="F116" i="9" s="1"/>
  <c r="G107" i="9"/>
  <c r="F99" i="9" a="1"/>
  <c r="F99" i="9" s="1"/>
  <c r="G90" i="9"/>
  <c r="F82" i="9" a="1"/>
  <c r="F82" i="9" s="1"/>
  <c r="G73" i="9"/>
  <c r="E65" i="9"/>
  <c r="G56" i="9"/>
  <c r="E48" i="9"/>
  <c r="G39" i="9"/>
  <c r="E31" i="9"/>
  <c r="F14" i="9" a="1"/>
  <c r="F14" i="9" s="1"/>
  <c r="E6" i="9"/>
  <c r="F179" i="9" a="1"/>
  <c r="F179" i="9" s="1"/>
  <c r="E134" i="9"/>
  <c r="F24" i="8" a="1"/>
  <c r="F24" i="8" s="1"/>
  <c r="E193" i="9"/>
  <c r="G190" i="9"/>
  <c r="E119" i="8"/>
  <c r="E132" i="8"/>
  <c r="E166" i="8"/>
  <c r="G67" i="9"/>
  <c r="G71" i="9"/>
  <c r="E157" i="9"/>
  <c r="G72" i="8"/>
  <c r="E111" i="8"/>
  <c r="E72" i="9"/>
  <c r="E119" i="9"/>
  <c r="E166" i="9"/>
  <c r="E9" i="8"/>
  <c r="E26" i="8"/>
  <c r="G119" i="8"/>
  <c r="E9" i="9"/>
  <c r="G18" i="9"/>
  <c r="E27" i="9"/>
  <c r="E57" i="9"/>
  <c r="E108" i="9"/>
  <c r="E142" i="9"/>
  <c r="G167" i="9"/>
  <c r="G27" i="8"/>
  <c r="G57" i="8"/>
  <c r="E79" i="8"/>
  <c r="G108" i="8"/>
  <c r="E113" i="8"/>
  <c r="G57" i="9"/>
  <c r="E79" i="9"/>
  <c r="G151" i="9"/>
  <c r="G185" i="9"/>
  <c r="E190" i="9"/>
  <c r="E67" i="8"/>
  <c r="E71" i="9"/>
  <c r="G100" i="9"/>
  <c r="G71" i="8"/>
  <c r="F188" i="8" a="1"/>
  <c r="F188" i="8" s="1"/>
  <c r="E184" i="8"/>
  <c r="G179" i="8"/>
  <c r="F175" i="8" a="1"/>
  <c r="F175" i="8" s="1"/>
  <c r="F171" i="8" a="1"/>
  <c r="F171" i="8" s="1"/>
  <c r="G166" i="8"/>
  <c r="F161" i="8" a="1"/>
  <c r="F161" i="8" s="1"/>
  <c r="G156" i="8"/>
  <c r="F151" i="8" a="1"/>
  <c r="F151" i="8" s="1"/>
  <c r="E146" i="8"/>
  <c r="E139" i="8"/>
  <c r="E133" i="8"/>
  <c r="G125" i="8"/>
  <c r="E120" i="8"/>
  <c r="E112" i="8"/>
  <c r="F104" i="8" a="1"/>
  <c r="F104" i="8" s="1"/>
  <c r="G96" i="8"/>
  <c r="F90" i="8" a="1"/>
  <c r="F90" i="8" s="1"/>
  <c r="F82" i="8" a="1"/>
  <c r="F82" i="8" s="1"/>
  <c r="F74" i="8" a="1"/>
  <c r="F74" i="8" s="1"/>
  <c r="G66" i="8"/>
  <c r="F60" i="8" a="1"/>
  <c r="F60" i="8" s="1"/>
  <c r="G44" i="8"/>
  <c r="E37" i="8"/>
  <c r="G30" i="8"/>
  <c r="G22" i="8"/>
  <c r="G14" i="8"/>
  <c r="E7" i="8"/>
  <c r="G191" i="9"/>
  <c r="G183" i="9"/>
  <c r="E176" i="9"/>
  <c r="F168" i="9" a="1"/>
  <c r="F168" i="9" s="1"/>
  <c r="E162" i="9"/>
  <c r="E154" i="9"/>
  <c r="E146" i="9"/>
  <c r="E132" i="9"/>
  <c r="F124" i="9" a="1"/>
  <c r="F124" i="9" s="1"/>
  <c r="E116" i="9"/>
  <c r="F107" i="9" a="1"/>
  <c r="F107" i="9" s="1"/>
  <c r="E99" i="9"/>
  <c r="F90" i="9" a="1"/>
  <c r="F90" i="9" s="1"/>
  <c r="E82" i="9"/>
  <c r="F73" i="9" a="1"/>
  <c r="F73" i="9" s="1"/>
  <c r="G64" i="9"/>
  <c r="F56" i="9" a="1"/>
  <c r="F56" i="9" s="1"/>
  <c r="G47" i="9"/>
  <c r="F39" i="9" a="1"/>
  <c r="F39" i="9" s="1"/>
  <c r="G30" i="9"/>
  <c r="F22" i="9" a="1"/>
  <c r="F22" i="9" s="1"/>
  <c r="E14" i="9"/>
  <c r="G5" i="9"/>
  <c r="F147" i="8" a="1"/>
  <c r="F147" i="8" s="1"/>
  <c r="G134" i="8"/>
  <c r="G107" i="8"/>
  <c r="E92" i="8"/>
  <c r="F9" i="9" a="1"/>
  <c r="F9" i="9" s="1"/>
  <c r="F134" i="8" a="1"/>
  <c r="F134" i="8" s="1"/>
  <c r="F58" i="9" a="1"/>
  <c r="F58" i="9" s="1"/>
  <c r="F192" i="8" a="1"/>
  <c r="F192" i="8" s="1"/>
  <c r="E188" i="8"/>
  <c r="G183" i="8"/>
  <c r="F179" i="8" a="1"/>
  <c r="F179" i="8" s="1"/>
  <c r="E175" i="8"/>
  <c r="E171" i="8"/>
  <c r="F166" i="8" a="1"/>
  <c r="F166" i="8" s="1"/>
  <c r="E161" i="8"/>
  <c r="F156" i="8" a="1"/>
  <c r="F156" i="8" s="1"/>
  <c r="E151" i="8"/>
  <c r="G145" i="8"/>
  <c r="G138" i="8"/>
  <c r="G132" i="8"/>
  <c r="G118" i="8"/>
  <c r="G111" i="8"/>
  <c r="E104" i="8"/>
  <c r="F96" i="8" a="1"/>
  <c r="F96" i="8" s="1"/>
  <c r="E89" i="8"/>
  <c r="E82" i="8"/>
  <c r="E74" i="8"/>
  <c r="F59" i="8" a="1"/>
  <c r="F59" i="8" s="1"/>
  <c r="F52" i="8" a="1"/>
  <c r="F52" i="8" s="1"/>
  <c r="F44" i="8" a="1"/>
  <c r="F44" i="8" s="1"/>
  <c r="G36" i="8"/>
  <c r="F29" i="8" a="1"/>
  <c r="F29" i="8" s="1"/>
  <c r="F22" i="8" a="1"/>
  <c r="F22" i="8" s="1"/>
  <c r="F14" i="8" a="1"/>
  <c r="F14" i="8" s="1"/>
  <c r="G6" i="8"/>
  <c r="G175" i="9"/>
  <c r="E168" i="9"/>
  <c r="G160" i="9"/>
  <c r="G153" i="9"/>
  <c r="G145" i="9"/>
  <c r="F138" i="9" a="1"/>
  <c r="F138" i="9" s="1"/>
  <c r="E131" i="9"/>
  <c r="E124" i="9"/>
  <c r="G115" i="9"/>
  <c r="E107" i="9"/>
  <c r="G98" i="9"/>
  <c r="E90" i="9"/>
  <c r="G81" i="9"/>
  <c r="E73" i="9"/>
  <c r="E56" i="9"/>
  <c r="E39" i="9"/>
  <c r="F30" i="9" a="1"/>
  <c r="F30" i="9" s="1"/>
  <c r="E22" i="9"/>
  <c r="G13" i="9"/>
  <c r="G163" i="8"/>
  <c r="F99" i="8" a="1"/>
  <c r="F99" i="8" s="1"/>
  <c r="E192" i="8"/>
  <c r="G187" i="8"/>
  <c r="F183" i="8" a="1"/>
  <c r="F183" i="8" s="1"/>
  <c r="E179" i="8"/>
  <c r="G174" i="8"/>
  <c r="G170" i="8"/>
  <c r="G165" i="8"/>
  <c r="G160" i="8"/>
  <c r="E156" i="8"/>
  <c r="G150" i="8"/>
  <c r="F144" i="8" a="1"/>
  <c r="F144" i="8" s="1"/>
  <c r="F138" i="8" a="1"/>
  <c r="F138" i="8" s="1"/>
  <c r="G131" i="8"/>
  <c r="F125" i="8" a="1"/>
  <c r="F125" i="8" s="1"/>
  <c r="E118" i="8"/>
  <c r="G103" i="8"/>
  <c r="G95" i="8"/>
  <c r="E88" i="8"/>
  <c r="G81" i="8"/>
  <c r="G73" i="8"/>
  <c r="E66" i="8"/>
  <c r="E52" i="8"/>
  <c r="E44" i="8"/>
  <c r="E36" i="8"/>
  <c r="F28" i="8" a="1"/>
  <c r="F28" i="8" s="1"/>
  <c r="E22" i="8"/>
  <c r="E14" i="8"/>
  <c r="F6" i="8" a="1"/>
  <c r="F6" i="8" s="1"/>
  <c r="G189" i="9"/>
  <c r="F183" i="9" a="1"/>
  <c r="F183" i="9" s="1"/>
  <c r="F175" i="9" a="1"/>
  <c r="F175" i="9" s="1"/>
  <c r="F167" i="9" a="1"/>
  <c r="F167" i="9" s="1"/>
  <c r="G159" i="9"/>
  <c r="F153" i="9" a="1"/>
  <c r="F153" i="9" s="1"/>
  <c r="G137" i="9"/>
  <c r="E130" i="9"/>
  <c r="G123" i="9"/>
  <c r="F115" i="9" a="1"/>
  <c r="F115" i="9" s="1"/>
  <c r="G106" i="9"/>
  <c r="F98" i="9" a="1"/>
  <c r="F98" i="9" s="1"/>
  <c r="G89" i="9"/>
  <c r="F81" i="9" a="1"/>
  <c r="F81" i="9" s="1"/>
  <c r="G72" i="9"/>
  <c r="F64" i="9" a="1"/>
  <c r="F64" i="9" s="1"/>
  <c r="G55" i="9"/>
  <c r="F47" i="9" a="1"/>
  <c r="F47" i="9" s="1"/>
  <c r="G38" i="9"/>
  <c r="E30" i="9"/>
  <c r="G21" i="9"/>
  <c r="F13" i="9" a="1"/>
  <c r="F13" i="9" s="1"/>
  <c r="F5" i="9" a="1"/>
  <c r="F5" i="9" s="1"/>
  <c r="G181" i="4"/>
  <c r="D158" i="4"/>
  <c r="D60" i="4"/>
  <c r="E45" i="4" a="1"/>
  <c r="E45" i="4" s="1"/>
  <c r="E42" i="4" a="1"/>
  <c r="E42" i="4" s="1"/>
  <c r="G113" i="4"/>
  <c r="D151" i="4"/>
  <c r="D129" i="4"/>
  <c r="E78" i="4" a="1"/>
  <c r="E78" i="4" s="1"/>
  <c r="E119" i="4" a="1"/>
  <c r="E119" i="4" s="1"/>
  <c r="D4" i="4"/>
  <c r="E60" i="4" a="1"/>
  <c r="E60" i="4" s="1"/>
  <c r="D61" i="4"/>
  <c r="E170" i="4" a="1"/>
  <c r="E170" i="4" s="1"/>
  <c r="D106" i="4"/>
  <c r="G102" i="19"/>
  <c r="G56" i="4"/>
  <c r="D88" i="4"/>
  <c r="D34" i="4"/>
  <c r="D21" i="4"/>
  <c r="G14" i="19"/>
  <c r="D119" i="4"/>
  <c r="D42" i="4"/>
  <c r="D153" i="4"/>
  <c r="D78" i="4"/>
  <c r="D170" i="4"/>
  <c r="D159" i="4"/>
  <c r="D163" i="4"/>
  <c r="D186" i="4"/>
  <c r="E173" i="4" a="1"/>
  <c r="E173" i="4" s="1"/>
  <c r="E122" i="4" a="1"/>
  <c r="E122" i="4" s="1"/>
  <c r="E153" i="4" a="1"/>
  <c r="E153" i="4" s="1"/>
  <c r="D70" i="4"/>
  <c r="D25" i="4"/>
  <c r="D135" i="4"/>
  <c r="D169" i="4"/>
  <c r="G11" i="4"/>
  <c r="E29" i="4" a="1"/>
  <c r="E29" i="4" s="1"/>
  <c r="D148" i="4"/>
  <c r="E62" i="4" a="1"/>
  <c r="E62" i="4" s="1"/>
  <c r="D10" i="4"/>
  <c r="G59" i="4"/>
  <c r="D172" i="4"/>
  <c r="E43" i="4" a="1"/>
  <c r="E43" i="4" s="1"/>
  <c r="G148" i="4"/>
  <c r="G169" i="4"/>
  <c r="E67" i="4" a="1"/>
  <c r="E67" i="4" s="1"/>
  <c r="D26" i="4"/>
  <c r="D108" i="4"/>
  <c r="D90" i="4"/>
  <c r="D37" i="4"/>
  <c r="D11" i="4"/>
  <c r="D181" i="4"/>
  <c r="D6" i="4"/>
  <c r="D98" i="4"/>
  <c r="D99" i="4"/>
  <c r="E58" i="4" a="1"/>
  <c r="E58" i="4" s="1"/>
  <c r="D58" i="4"/>
  <c r="D124" i="4"/>
  <c r="G90" i="4"/>
  <c r="D156" i="4"/>
  <c r="D164" i="4"/>
  <c r="E124" i="4" a="1"/>
  <c r="E124" i="4" s="1"/>
  <c r="D36" i="4"/>
  <c r="G124" i="4"/>
  <c r="D59" i="4"/>
  <c r="D125" i="4"/>
  <c r="D134" i="4"/>
  <c r="D175" i="4"/>
  <c r="E84" i="4" a="1"/>
  <c r="E84" i="4" s="1"/>
  <c r="E136" i="4" a="1"/>
  <c r="E136" i="4" s="1"/>
  <c r="E12" i="4" a="1"/>
  <c r="E12" i="4" s="1"/>
  <c r="G27" i="19"/>
  <c r="D12" i="4"/>
  <c r="D131" i="4"/>
  <c r="D3" i="4"/>
  <c r="D85" i="4"/>
  <c r="D96" i="4"/>
  <c r="D180" i="4"/>
  <c r="D15" i="4"/>
  <c r="D65" i="4"/>
  <c r="G8" i="4"/>
  <c r="D50" i="4"/>
  <c r="D52" i="4"/>
  <c r="D150" i="4"/>
  <c r="D123" i="4"/>
  <c r="D19" i="4"/>
  <c r="D104" i="4"/>
  <c r="D87" i="4"/>
  <c r="G180" i="4"/>
  <c r="D51" i="4"/>
  <c r="D155" i="4"/>
  <c r="D165" i="4"/>
  <c r="D30" i="4"/>
  <c r="G87" i="4"/>
  <c r="D29" i="4"/>
  <c r="D95" i="4"/>
  <c r="D86" i="4"/>
  <c r="D179" i="4"/>
  <c r="D49" i="4"/>
  <c r="D8" i="4"/>
  <c r="D144" i="4"/>
  <c r="G86" i="4"/>
  <c r="D168" i="4"/>
  <c r="D136" i="4"/>
  <c r="G31" i="19"/>
  <c r="G22" i="4"/>
  <c r="G110" i="4"/>
  <c r="D122" i="4"/>
  <c r="D45" i="4"/>
  <c r="D121" i="4"/>
  <c r="D149" i="4"/>
  <c r="G84" i="4"/>
  <c r="D176" i="4"/>
  <c r="D44" i="4"/>
  <c r="D173" i="4"/>
  <c r="D55" i="4"/>
  <c r="D130" i="4"/>
  <c r="D171" i="4"/>
  <c r="E88" i="4" a="1"/>
  <c r="E88" i="4" s="1"/>
  <c r="E34" i="4" a="1"/>
  <c r="E34" i="4" s="1"/>
  <c r="G57" i="4"/>
  <c r="G14" i="4"/>
  <c r="E185" i="4" a="1"/>
  <c r="E185" i="4" s="1"/>
  <c r="D185" i="4"/>
  <c r="E164" i="4" a="1"/>
  <c r="E164" i="4" s="1"/>
  <c r="E156" i="4" a="1"/>
  <c r="E156" i="4" s="1"/>
  <c r="G48" i="4"/>
  <c r="D184" i="4"/>
  <c r="E161" i="4" a="1"/>
  <c r="E161" i="4" s="1"/>
  <c r="E37" i="4" a="1"/>
  <c r="E37" i="4" s="1"/>
  <c r="E186" i="4" a="1"/>
  <c r="E186" i="4" s="1"/>
  <c r="E176" i="4" a="1"/>
  <c r="E176" i="4" s="1"/>
  <c r="E163" i="4" a="1"/>
  <c r="E163" i="4" s="1"/>
  <c r="D139" i="4"/>
  <c r="E159" i="4" a="1"/>
  <c r="E159" i="4" s="1"/>
  <c r="E157" i="4" a="1"/>
  <c r="E157" i="4" s="1"/>
  <c r="E79" i="4" a="1"/>
  <c r="E79" i="4" s="1"/>
  <c r="G151" i="4"/>
  <c r="E149" i="4" a="1"/>
  <c r="E149" i="4" s="1"/>
  <c r="E94" i="4" a="1"/>
  <c r="E94" i="4" s="1"/>
  <c r="D116" i="4"/>
  <c r="D92" i="4"/>
  <c r="E114" i="4" a="1"/>
  <c r="E114" i="4" s="1"/>
  <c r="E93" i="4" a="1"/>
  <c r="E93" i="4" s="1"/>
  <c r="D100" i="4"/>
  <c r="E53" i="4" a="1"/>
  <c r="E53" i="4" s="1"/>
  <c r="E49" i="4" a="1"/>
  <c r="E49" i="4" s="1"/>
  <c r="D13" i="4"/>
  <c r="E35" i="4" a="1"/>
  <c r="E35" i="4" s="1"/>
  <c r="E179" i="4" a="1"/>
  <c r="E179" i="4" s="1"/>
  <c r="E160" i="4" a="1"/>
  <c r="E160" i="4" s="1"/>
  <c r="D157" i="4"/>
  <c r="E86" i="4" a="1"/>
  <c r="E86" i="4" s="1"/>
  <c r="D79" i="4"/>
  <c r="E121" i="4" a="1"/>
  <c r="E121" i="4" s="1"/>
  <c r="D94" i="4"/>
  <c r="G129" i="4"/>
  <c r="E138" i="4" a="1"/>
  <c r="E138" i="4" s="1"/>
  <c r="E128" i="4" a="1"/>
  <c r="E128" i="4" s="1"/>
  <c r="E95" i="4" a="1"/>
  <c r="E95" i="4" s="1"/>
  <c r="D114" i="4"/>
  <c r="E109" i="4" a="1"/>
  <c r="E109" i="4" s="1"/>
  <c r="D93" i="4"/>
  <c r="E80" i="4" a="1"/>
  <c r="E80" i="4" s="1"/>
  <c r="D53" i="4"/>
  <c r="E16" i="4" a="1"/>
  <c r="E16" i="4" s="1"/>
  <c r="E14" i="4" a="1"/>
  <c r="E14" i="4" s="1"/>
  <c r="E36" i="4" a="1"/>
  <c r="E36" i="4" s="1"/>
  <c r="D35" i="4"/>
  <c r="E23" i="4" a="1"/>
  <c r="E23" i="4" s="1"/>
  <c r="E17" i="4" a="1"/>
  <c r="E17" i="4" s="1"/>
  <c r="E184" i="4" a="1"/>
  <c r="E184" i="4" s="1"/>
  <c r="G173" i="4"/>
  <c r="E175" i="4" a="1"/>
  <c r="E175" i="4" s="1"/>
  <c r="D160" i="4"/>
  <c r="G161" i="4"/>
  <c r="E158" i="4" a="1"/>
  <c r="E158" i="4" s="1"/>
  <c r="E71" i="4" a="1"/>
  <c r="E71" i="4" s="1"/>
  <c r="E151" i="4" a="1"/>
  <c r="E151" i="4" s="1"/>
  <c r="E55" i="4" a="1"/>
  <c r="E55" i="4" s="1"/>
  <c r="E129" i="4" a="1"/>
  <c r="E129" i="4" s="1"/>
  <c r="D138" i="4"/>
  <c r="E130" i="4" a="1"/>
  <c r="E130" i="4" s="1"/>
  <c r="D128" i="4"/>
  <c r="E118" i="4" a="1"/>
  <c r="E118" i="4" s="1"/>
  <c r="E106" i="4" a="1"/>
  <c r="E106" i="4" s="1"/>
  <c r="E103" i="4" a="1"/>
  <c r="E103" i="4" s="1"/>
  <c r="E112" i="4" a="1"/>
  <c r="E112" i="4" s="1"/>
  <c r="D109" i="4"/>
  <c r="D80" i="4"/>
  <c r="G62" i="4"/>
  <c r="E4" i="4" a="1"/>
  <c r="E4" i="4" s="1"/>
  <c r="D16" i="4"/>
  <c r="E21" i="4" a="1"/>
  <c r="E21" i="4" s="1"/>
  <c r="D14" i="4"/>
  <c r="D23" i="4"/>
  <c r="D17" i="4"/>
  <c r="E167" i="4" a="1"/>
  <c r="E167" i="4" s="1"/>
  <c r="E113" i="4" a="1"/>
  <c r="E113" i="4" s="1"/>
  <c r="E68" i="4" a="1"/>
  <c r="E68" i="4" s="1"/>
  <c r="E99" i="4" a="1"/>
  <c r="E99" i="4" s="1"/>
  <c r="E126" i="4" a="1"/>
  <c r="E126" i="4" s="1"/>
  <c r="E28" i="4" a="1"/>
  <c r="E28" i="4" s="1"/>
  <c r="E98" i="4" a="1"/>
  <c r="E98" i="4" s="1"/>
  <c r="D67" i="4"/>
  <c r="E56" i="4" a="1"/>
  <c r="E56" i="4" s="1"/>
  <c r="E91" i="4" a="1"/>
  <c r="E91" i="4" s="1"/>
  <c r="E30" i="4" a="1"/>
  <c r="E30" i="4" s="1"/>
  <c r="D62" i="4"/>
  <c r="E7" i="4" a="1"/>
  <c r="E7" i="4" s="1"/>
  <c r="E27" i="4" a="1"/>
  <c r="E27" i="4" s="1"/>
  <c r="D43" i="4"/>
  <c r="E33" i="4" a="1"/>
  <c r="E33" i="4" s="1"/>
  <c r="E181" i="4" a="1"/>
  <c r="E181" i="4" s="1"/>
  <c r="E178" i="4" a="1"/>
  <c r="E178" i="4" s="1"/>
  <c r="G174" i="4"/>
  <c r="E165" i="4" a="1"/>
  <c r="E165" i="4" s="1"/>
  <c r="D167" i="4"/>
  <c r="E133" i="4" a="1"/>
  <c r="E133" i="4" s="1"/>
  <c r="D113" i="4"/>
  <c r="E155" i="4" a="1"/>
  <c r="E155" i="4" s="1"/>
  <c r="D68" i="4"/>
  <c r="G127" i="4"/>
  <c r="E145" i="4" a="1"/>
  <c r="E145" i="4" s="1"/>
  <c r="E48" i="4" a="1"/>
  <c r="E48" i="4" s="1"/>
  <c r="E117" i="4" a="1"/>
  <c r="E117" i="4" s="1"/>
  <c r="E110" i="4" a="1"/>
  <c r="E110" i="4" s="1"/>
  <c r="D126" i="4"/>
  <c r="D28" i="4"/>
  <c r="D56" i="4"/>
  <c r="D91" i="4"/>
  <c r="E22" i="4" a="1"/>
  <c r="E22" i="4" s="1"/>
  <c r="D7" i="4"/>
  <c r="E31" i="4" a="1"/>
  <c r="E31" i="4" s="1"/>
  <c r="D27" i="4"/>
  <c r="E11" i="4" a="1"/>
  <c r="E11" i="4" s="1"/>
  <c r="D33" i="4"/>
  <c r="D178" i="4"/>
  <c r="E174" i="4" a="1"/>
  <c r="E174" i="4" s="1"/>
  <c r="D133" i="4"/>
  <c r="E83" i="4" a="1"/>
  <c r="E83" i="4" s="1"/>
  <c r="G76" i="4"/>
  <c r="E90" i="4" a="1"/>
  <c r="E90" i="4" s="1"/>
  <c r="D145" i="4"/>
  <c r="D48" i="4"/>
  <c r="E57" i="4" a="1"/>
  <c r="E57" i="4" s="1"/>
  <c r="D117" i="4"/>
  <c r="D110" i="4"/>
  <c r="E51" i="4" a="1"/>
  <c r="E51" i="4" s="1"/>
  <c r="E47" i="4" a="1"/>
  <c r="E47" i="4" s="1"/>
  <c r="E64" i="4" a="1"/>
  <c r="E64" i="4" s="1"/>
  <c r="E108" i="4" a="1"/>
  <c r="E108" i="4" s="1"/>
  <c r="D22" i="4"/>
  <c r="E41" i="4" a="1"/>
  <c r="E41" i="4" s="1"/>
  <c r="D31" i="4"/>
  <c r="G63" i="4"/>
  <c r="E24" i="4" a="1"/>
  <c r="E24" i="4" s="1"/>
  <c r="E183" i="4" a="1"/>
  <c r="E183" i="4" s="1"/>
  <c r="D174" i="4"/>
  <c r="E162" i="4" a="1"/>
  <c r="E162" i="4" s="1"/>
  <c r="E141" i="4" a="1"/>
  <c r="E141" i="4" s="1"/>
  <c r="E87" i="4" a="1"/>
  <c r="E87" i="4" s="1"/>
  <c r="D83" i="4"/>
  <c r="G140" i="4"/>
  <c r="E76" i="4" a="1"/>
  <c r="E76" i="4" s="1"/>
  <c r="E127" i="4" a="1"/>
  <c r="E127" i="4" s="1"/>
  <c r="E152" i="4" a="1"/>
  <c r="E152" i="4" s="1"/>
  <c r="E38" i="4" a="1"/>
  <c r="E38" i="4" s="1"/>
  <c r="D57" i="4"/>
  <c r="E104" i="4" a="1"/>
  <c r="E104" i="4" s="1"/>
  <c r="E102" i="4" a="1"/>
  <c r="E102" i="4" s="1"/>
  <c r="G101" i="4"/>
  <c r="E115" i="4" a="1"/>
  <c r="E115" i="4" s="1"/>
  <c r="D47" i="4"/>
  <c r="E97" i="4" a="1"/>
  <c r="E97" i="4" s="1"/>
  <c r="D64" i="4"/>
  <c r="E81" i="4" a="1"/>
  <c r="E81" i="4" s="1"/>
  <c r="E46" i="4" a="1"/>
  <c r="E46" i="4" s="1"/>
  <c r="E26" i="4" a="1"/>
  <c r="E26" i="4" s="1"/>
  <c r="E19" i="4" a="1"/>
  <c r="E19" i="4" s="1"/>
  <c r="D41" i="4"/>
  <c r="E69" i="4" a="1"/>
  <c r="E69" i="4" s="1"/>
  <c r="E63" i="4" a="1"/>
  <c r="E63" i="4" s="1"/>
  <c r="D24" i="4"/>
  <c r="E39" i="4" a="1"/>
  <c r="E39" i="4" s="1"/>
  <c r="E6" i="4" a="1"/>
  <c r="E6" i="4" s="1"/>
  <c r="D183" i="4"/>
  <c r="E171" i="4" a="1"/>
  <c r="E171" i="4" s="1"/>
  <c r="D162" i="4"/>
  <c r="D141" i="4"/>
  <c r="E123" i="4" a="1"/>
  <c r="E123" i="4" s="1"/>
  <c r="E132" i="4" a="1"/>
  <c r="E132" i="4" s="1"/>
  <c r="D76" i="4"/>
  <c r="D127" i="4"/>
  <c r="D152" i="4"/>
  <c r="E111" i="4" a="1"/>
  <c r="E111" i="4" s="1"/>
  <c r="D38" i="4"/>
  <c r="G75" i="4"/>
  <c r="E137" i="4" a="1"/>
  <c r="E137" i="4" s="1"/>
  <c r="D102" i="4"/>
  <c r="E101" i="4" a="1"/>
  <c r="E101" i="4" s="1"/>
  <c r="D115" i="4"/>
  <c r="D97" i="4"/>
  <c r="D81" i="4"/>
  <c r="D46" i="4"/>
  <c r="D69" i="4"/>
  <c r="E18" i="4" a="1"/>
  <c r="E18" i="4" s="1"/>
  <c r="D63" i="4"/>
  <c r="G9" i="4"/>
  <c r="E20" i="4" a="1"/>
  <c r="E20" i="4" s="1"/>
  <c r="D39" i="4"/>
  <c r="G182" i="4"/>
  <c r="E177" i="4" a="1"/>
  <c r="E177" i="4" s="1"/>
  <c r="E172" i="4" a="1"/>
  <c r="E172" i="4" s="1"/>
  <c r="E166" i="4" a="1"/>
  <c r="E166" i="4" s="1"/>
  <c r="E150" i="4" a="1"/>
  <c r="E150" i="4" s="1"/>
  <c r="E140" i="4" a="1"/>
  <c r="E140" i="4" s="1"/>
  <c r="D132" i="4"/>
  <c r="G89" i="4"/>
  <c r="G154" i="4"/>
  <c r="E52" i="4" a="1"/>
  <c r="E52" i="4" s="1"/>
  <c r="D111" i="4"/>
  <c r="E75" i="4" a="1"/>
  <c r="E75" i="4" s="1"/>
  <c r="E146" i="4" a="1"/>
  <c r="E146" i="4" s="1"/>
  <c r="E120" i="4" a="1"/>
  <c r="E120" i="4" s="1"/>
  <c r="D137" i="4"/>
  <c r="D101" i="4"/>
  <c r="G74" i="4"/>
  <c r="E73" i="4" a="1"/>
  <c r="E73" i="4" s="1"/>
  <c r="E82" i="4" a="1"/>
  <c r="E82" i="4" s="1"/>
  <c r="E66" i="4" a="1"/>
  <c r="E66" i="4" s="1"/>
  <c r="E50" i="4" a="1"/>
  <c r="E50" i="4" s="1"/>
  <c r="E65" i="4" a="1"/>
  <c r="E65" i="4" s="1"/>
  <c r="E15" i="4" a="1"/>
  <c r="E15" i="4" s="1"/>
  <c r="D18" i="4"/>
  <c r="E10" i="4" a="1"/>
  <c r="E10" i="4" s="1"/>
  <c r="G61" i="4"/>
  <c r="D20" i="4"/>
  <c r="E180" i="4" a="1"/>
  <c r="E180" i="4" s="1"/>
  <c r="D177" i="4"/>
  <c r="D166" i="4"/>
  <c r="E148" i="4" a="1"/>
  <c r="E148" i="4" s="1"/>
  <c r="D140" i="4"/>
  <c r="E154" i="4" a="1"/>
  <c r="E154" i="4" s="1"/>
  <c r="G70" i="4"/>
  <c r="E54" i="4" a="1"/>
  <c r="E54" i="4" s="1"/>
  <c r="D75" i="4"/>
  <c r="D146" i="4"/>
  <c r="D120" i="4"/>
  <c r="E96" i="4" a="1"/>
  <c r="E96" i="4" s="1"/>
  <c r="E74" i="4" a="1"/>
  <c r="E74" i="4" s="1"/>
  <c r="D73" i="4"/>
  <c r="G105" i="4"/>
  <c r="E72" i="4" a="1"/>
  <c r="E72" i="4" s="1"/>
  <c r="D82" i="4"/>
  <c r="E85" i="4" a="1"/>
  <c r="E85" i="4" s="1"/>
  <c r="D66" i="4"/>
  <c r="E32" i="4" a="1"/>
  <c r="E32" i="4" s="1"/>
  <c r="E40" i="4" a="1"/>
  <c r="E40" i="4" s="1"/>
  <c r="G5" i="4"/>
  <c r="E9" i="4" a="1"/>
  <c r="E9" i="4" s="1"/>
  <c r="E3" i="4" a="1"/>
  <c r="E3" i="4" s="1"/>
  <c r="E182" i="4" a="1"/>
  <c r="E182" i="4" s="1"/>
  <c r="E169" i="4" a="1"/>
  <c r="E169" i="4" s="1"/>
  <c r="E143" i="4" a="1"/>
  <c r="E143" i="4" s="1"/>
  <c r="E77" i="4" a="1"/>
  <c r="E77" i="4" s="1"/>
  <c r="E89" i="4" a="1"/>
  <c r="E89" i="4" s="1"/>
  <c r="D154" i="4"/>
  <c r="E147" i="4" a="1"/>
  <c r="E147" i="4" s="1"/>
  <c r="D54" i="4"/>
  <c r="E135" i="4" a="1"/>
  <c r="E135" i="4" s="1"/>
  <c r="E142" i="4" a="1"/>
  <c r="E142" i="4" s="1"/>
  <c r="E131" i="4" a="1"/>
  <c r="E131" i="4" s="1"/>
  <c r="E107" i="4" a="1"/>
  <c r="E107" i="4" s="1"/>
  <c r="D74" i="4"/>
  <c r="G114" i="4"/>
  <c r="E105" i="4" a="1"/>
  <c r="E105" i="4" s="1"/>
  <c r="D72" i="4"/>
  <c r="D32" i="4"/>
  <c r="D40" i="4"/>
  <c r="E5" i="4" a="1"/>
  <c r="E5" i="4" s="1"/>
  <c r="G13" i="4"/>
  <c r="E25" i="4" a="1"/>
  <c r="E25" i="4" s="1"/>
  <c r="E61" i="4" a="1"/>
  <c r="E61" i="4" s="1"/>
  <c r="D9" i="4"/>
  <c r="D182" i="4"/>
  <c r="E168" i="4" a="1"/>
  <c r="E168" i="4" s="1"/>
  <c r="E139" i="4" a="1"/>
  <c r="E139" i="4" s="1"/>
  <c r="D143" i="4"/>
  <c r="D77" i="4"/>
  <c r="E144" i="4" a="1"/>
  <c r="E144" i="4" s="1"/>
  <c r="D89" i="4"/>
  <c r="E70" i="4" a="1"/>
  <c r="E70" i="4" s="1"/>
  <c r="D147" i="4"/>
  <c r="D142" i="4"/>
  <c r="E116" i="4" a="1"/>
  <c r="E116" i="4" s="1"/>
  <c r="E134" i="4" a="1"/>
  <c r="E134" i="4" s="1"/>
  <c r="E92" i="4" a="1"/>
  <c r="E92" i="4" s="1"/>
  <c r="E125" i="4" a="1"/>
  <c r="E125" i="4" s="1"/>
  <c r="D107" i="4"/>
  <c r="D105" i="4"/>
  <c r="E100" i="4" a="1"/>
  <c r="E100" i="4" s="1"/>
  <c r="E59" i="4" a="1"/>
  <c r="E59" i="4" s="1"/>
  <c r="E8" i="4" a="1"/>
  <c r="E8" i="4" s="1"/>
  <c r="E44" i="4" a="1"/>
  <c r="E44" i="4" s="1"/>
  <c r="D5" i="4"/>
  <c r="E13" i="4" a="1"/>
  <c r="E13" i="4" s="1"/>
  <c r="K11" i="4" l="1" a="1"/>
  <c r="K11" i="4" s="1"/>
  <c r="J11" i="4" a="1"/>
  <c r="J11" i="4" s="1"/>
  <c r="I11" i="4" a="1"/>
  <c r="I11" i="4" s="1"/>
  <c r="G10" i="4"/>
  <c r="G6" i="4"/>
  <c r="G7" i="4"/>
  <c r="G15" i="4"/>
  <c r="G3" i="4"/>
  <c r="G12" i="4"/>
  <c r="I4" i="4" l="1" a="1"/>
  <c r="I4" i="4" s="1"/>
  <c r="I3" i="4" a="1"/>
  <c r="I3" i="4" s="1"/>
  <c r="C4" i="9"/>
  <c r="D4" i="9"/>
  <c r="C5" i="9"/>
  <c r="D5" i="9"/>
  <c r="E16" i="11" s="1"/>
  <c r="C6" i="9"/>
  <c r="D6" i="9"/>
  <c r="C7" i="9"/>
  <c r="D7" i="9"/>
  <c r="C8" i="9"/>
  <c r="C19" i="16" s="1"/>
  <c r="D8" i="9"/>
  <c r="C9" i="9"/>
  <c r="D9" i="9"/>
  <c r="E20" i="11" s="1"/>
  <c r="C10" i="9"/>
  <c r="D10" i="9"/>
  <c r="C11" i="9"/>
  <c r="D11" i="9"/>
  <c r="C12" i="9"/>
  <c r="D12" i="9"/>
  <c r="E23" i="11" s="1"/>
  <c r="C13" i="9"/>
  <c r="C24" i="11" s="1"/>
  <c r="D13" i="9"/>
  <c r="E24" i="11" s="1"/>
  <c r="C14" i="9"/>
  <c r="D14" i="9"/>
  <c r="C15" i="9"/>
  <c r="C26" i="11" s="1"/>
  <c r="D15" i="9"/>
  <c r="E26" i="11" s="1"/>
  <c r="C16" i="9"/>
  <c r="D16" i="9"/>
  <c r="E27" i="11" s="1"/>
  <c r="C17" i="9"/>
  <c r="D17" i="9"/>
  <c r="C18" i="9"/>
  <c r="D18" i="9"/>
  <c r="C19" i="9"/>
  <c r="D19" i="9"/>
  <c r="E30" i="11" s="1"/>
  <c r="C20" i="9"/>
  <c r="C31" i="11" s="1"/>
  <c r="D31" i="11" s="1"/>
  <c r="D20" i="9"/>
  <c r="E31" i="11" s="1"/>
  <c r="C21" i="9"/>
  <c r="C32" i="11" s="1"/>
  <c r="D21" i="9"/>
  <c r="E32" i="11" s="1"/>
  <c r="C22" i="9"/>
  <c r="C33" i="11" s="1"/>
  <c r="D22" i="9"/>
  <c r="E33" i="11" s="1"/>
  <c r="C23" i="9"/>
  <c r="D23" i="9"/>
  <c r="C24" i="9"/>
  <c r="D24" i="9"/>
  <c r="C25" i="9"/>
  <c r="D25" i="9"/>
  <c r="C26" i="9"/>
  <c r="C37" i="11" s="1"/>
  <c r="H37" i="11" s="1"/>
  <c r="D26" i="9"/>
  <c r="C27" i="9"/>
  <c r="D27" i="9"/>
  <c r="C28" i="9"/>
  <c r="D28" i="9"/>
  <c r="E39" i="11" s="1"/>
  <c r="C29" i="9"/>
  <c r="C40" i="11" s="1"/>
  <c r="D29" i="9"/>
  <c r="E40" i="11" s="1"/>
  <c r="C30" i="9"/>
  <c r="D30" i="9"/>
  <c r="C31" i="9"/>
  <c r="D31" i="9"/>
  <c r="C32" i="9"/>
  <c r="D32" i="9"/>
  <c r="C33" i="9"/>
  <c r="C44" i="11" s="1"/>
  <c r="D33" i="9"/>
  <c r="E44" i="11" s="1"/>
  <c r="C34" i="9"/>
  <c r="C45" i="11" s="1"/>
  <c r="D45" i="11" s="1"/>
  <c r="D34" i="9"/>
  <c r="E45" i="11" s="1"/>
  <c r="C35" i="9"/>
  <c r="C46" i="11" s="1"/>
  <c r="D35" i="9"/>
  <c r="E46" i="11" s="1"/>
  <c r="C36" i="9"/>
  <c r="C47" i="11" s="1"/>
  <c r="D36" i="9"/>
  <c r="E47" i="11" s="1"/>
  <c r="C37" i="9"/>
  <c r="D37" i="9"/>
  <c r="E48" i="11" s="1"/>
  <c r="C38" i="9"/>
  <c r="C49" i="11" s="1"/>
  <c r="D49" i="11" s="1"/>
  <c r="D38" i="9"/>
  <c r="C39" i="9"/>
  <c r="D39" i="9"/>
  <c r="C40" i="9"/>
  <c r="C51" i="11" s="1"/>
  <c r="D40" i="9"/>
  <c r="C41" i="9"/>
  <c r="C52" i="11" s="1"/>
  <c r="D41" i="9"/>
  <c r="E52" i="11" s="1"/>
  <c r="C42" i="9"/>
  <c r="C53" i="11" s="1"/>
  <c r="D42" i="9"/>
  <c r="C43" i="9"/>
  <c r="C54" i="11" s="1"/>
  <c r="D43" i="9"/>
  <c r="E54" i="11" s="1"/>
  <c r="C44" i="9"/>
  <c r="D44" i="9"/>
  <c r="E55" i="11" s="1"/>
  <c r="C45" i="9"/>
  <c r="D45" i="9"/>
  <c r="C46" i="9"/>
  <c r="D46" i="9"/>
  <c r="C47" i="9"/>
  <c r="C58" i="11" s="1"/>
  <c r="D47" i="9"/>
  <c r="C48" i="9"/>
  <c r="C59" i="11" s="1"/>
  <c r="D48" i="9"/>
  <c r="E59" i="11" s="1"/>
  <c r="C49" i="9"/>
  <c r="C60" i="11" s="1"/>
  <c r="D49" i="9"/>
  <c r="E60" i="11" s="1"/>
  <c r="C50" i="9"/>
  <c r="C61" i="11" s="1"/>
  <c r="D50" i="9"/>
  <c r="C51" i="9"/>
  <c r="D51" i="9"/>
  <c r="C52" i="9"/>
  <c r="D52" i="9"/>
  <c r="C53" i="9"/>
  <c r="D53" i="9"/>
  <c r="C54" i="9"/>
  <c r="C65" i="11" s="1"/>
  <c r="D54" i="9"/>
  <c r="E65" i="11" s="1"/>
  <c r="C55" i="9"/>
  <c r="C66" i="11" s="1"/>
  <c r="D66" i="11" s="1"/>
  <c r="D55" i="9"/>
  <c r="E66" i="16" s="1"/>
  <c r="C56" i="9"/>
  <c r="D56" i="9"/>
  <c r="E67" i="11" s="1"/>
  <c r="C57" i="9"/>
  <c r="C68" i="11" s="1"/>
  <c r="D57" i="9"/>
  <c r="E68" i="11" s="1"/>
  <c r="C58" i="9"/>
  <c r="D58" i="9"/>
  <c r="E69" i="16" s="1"/>
  <c r="C59" i="9"/>
  <c r="C70" i="11" s="1"/>
  <c r="D59" i="9"/>
  <c r="C60" i="9"/>
  <c r="D60" i="9"/>
  <c r="C61" i="9"/>
  <c r="C72" i="11" s="1"/>
  <c r="D61" i="9"/>
  <c r="E72" i="11" s="1"/>
  <c r="C62" i="9"/>
  <c r="C73" i="11" s="1"/>
  <c r="D62" i="9"/>
  <c r="E73" i="11" s="1"/>
  <c r="C63" i="9"/>
  <c r="D63" i="9"/>
  <c r="C64" i="9"/>
  <c r="C75" i="11" s="1"/>
  <c r="D64" i="9"/>
  <c r="E75" i="11" s="1"/>
  <c r="C65" i="9"/>
  <c r="C76" i="11" s="1"/>
  <c r="D65" i="9"/>
  <c r="E76" i="16" s="1"/>
  <c r="C66" i="9"/>
  <c r="D66" i="9"/>
  <c r="C67" i="9"/>
  <c r="D67" i="9"/>
  <c r="C68" i="9"/>
  <c r="C79" i="11" s="1"/>
  <c r="D68" i="9"/>
  <c r="E79" i="11" s="1"/>
  <c r="C69" i="9"/>
  <c r="C80" i="11" s="1"/>
  <c r="D80" i="11" s="1"/>
  <c r="D69" i="9"/>
  <c r="C70" i="9"/>
  <c r="C81" i="11" s="1"/>
  <c r="D70" i="9"/>
  <c r="C71" i="9"/>
  <c r="C82" i="11" s="1"/>
  <c r="D71" i="9"/>
  <c r="E82" i="11" s="1"/>
  <c r="C72" i="9"/>
  <c r="D72" i="9"/>
  <c r="C73" i="9"/>
  <c r="D73" i="9"/>
  <c r="C74" i="9"/>
  <c r="C85" i="11" s="1"/>
  <c r="D85" i="11" s="1"/>
  <c r="D74" i="9"/>
  <c r="E85" i="11" s="1"/>
  <c r="C75" i="9"/>
  <c r="C86" i="11" s="1"/>
  <c r="D75" i="9"/>
  <c r="E86" i="11" s="1"/>
  <c r="C76" i="9"/>
  <c r="C87" i="11" s="1"/>
  <c r="D76" i="9"/>
  <c r="C77" i="9"/>
  <c r="D77" i="9"/>
  <c r="E88" i="11" s="1"/>
  <c r="C78" i="9"/>
  <c r="C89" i="11" s="1"/>
  <c r="D78" i="9"/>
  <c r="E89" i="11" s="1"/>
  <c r="C79" i="9"/>
  <c r="D79" i="9"/>
  <c r="C80" i="9"/>
  <c r="C91" i="11" s="1"/>
  <c r="D91" i="11" s="1"/>
  <c r="D80" i="9"/>
  <c r="E91" i="11" s="1"/>
  <c r="C81" i="9"/>
  <c r="D81" i="9"/>
  <c r="C82" i="9"/>
  <c r="C93" i="11" s="1"/>
  <c r="D82" i="9"/>
  <c r="C83" i="9"/>
  <c r="C94" i="11" s="1"/>
  <c r="D83" i="9"/>
  <c r="C84" i="9"/>
  <c r="D84" i="9"/>
  <c r="E95" i="11" s="1"/>
  <c r="C85" i="9"/>
  <c r="C96" i="11" s="1"/>
  <c r="D85" i="9"/>
  <c r="E96" i="11" s="1"/>
  <c r="C86" i="9"/>
  <c r="D86" i="9"/>
  <c r="E97" i="11" s="1"/>
  <c r="C87" i="9"/>
  <c r="C98" i="11" s="1"/>
  <c r="D87" i="9"/>
  <c r="E98" i="11" s="1"/>
  <c r="C88" i="9"/>
  <c r="D88" i="9"/>
  <c r="C89" i="9"/>
  <c r="C100" i="11" s="1"/>
  <c r="H100" i="11" s="1"/>
  <c r="D89" i="9"/>
  <c r="E100" i="11" s="1"/>
  <c r="C90" i="9"/>
  <c r="D90" i="9"/>
  <c r="C91" i="9"/>
  <c r="C102" i="11" s="1"/>
  <c r="D91" i="9"/>
  <c r="C92" i="9"/>
  <c r="D92" i="9"/>
  <c r="C93" i="9"/>
  <c r="C104" i="11" s="1"/>
  <c r="D93" i="9"/>
  <c r="E104" i="11" s="1"/>
  <c r="C94" i="9"/>
  <c r="D94" i="9"/>
  <c r="C95" i="9"/>
  <c r="D95" i="9"/>
  <c r="C96" i="9"/>
  <c r="D96" i="9"/>
  <c r="E107" i="11" s="1"/>
  <c r="C97" i="9"/>
  <c r="C108" i="11" s="1"/>
  <c r="D97" i="9"/>
  <c r="E108" i="11" s="1"/>
  <c r="C98" i="9"/>
  <c r="C109" i="11" s="1"/>
  <c r="D98" i="9"/>
  <c r="E109" i="11" s="1"/>
  <c r="C99" i="9"/>
  <c r="C110" i="16" s="1"/>
  <c r="D110" i="16" s="1"/>
  <c r="D99" i="9"/>
  <c r="C100" i="9"/>
  <c r="D100" i="9"/>
  <c r="C101" i="9"/>
  <c r="D101" i="9"/>
  <c r="C102" i="9"/>
  <c r="C113" i="11" s="1"/>
  <c r="D102" i="9"/>
  <c r="C103" i="9"/>
  <c r="C114" i="11" s="1"/>
  <c r="D103" i="9"/>
  <c r="C104" i="9"/>
  <c r="C115" i="11" s="1"/>
  <c r="D104" i="9"/>
  <c r="C105" i="9"/>
  <c r="D105" i="9"/>
  <c r="E116" i="11" s="1"/>
  <c r="C106" i="9"/>
  <c r="D106" i="9"/>
  <c r="E117" i="11" s="1"/>
  <c r="C107" i="9"/>
  <c r="D107" i="9"/>
  <c r="E118" i="11" s="1"/>
  <c r="C108" i="9"/>
  <c r="D108" i="9"/>
  <c r="C109" i="9"/>
  <c r="D109" i="9"/>
  <c r="C110" i="9"/>
  <c r="D110" i="9"/>
  <c r="E121" i="11" s="1"/>
  <c r="C111" i="9"/>
  <c r="D111" i="9"/>
  <c r="C112" i="9"/>
  <c r="C123" i="16" s="1"/>
  <c r="D112" i="9"/>
  <c r="E123" i="11" s="1"/>
  <c r="C113" i="9"/>
  <c r="D113" i="9"/>
  <c r="E124" i="11" s="1"/>
  <c r="C114" i="9"/>
  <c r="C125" i="11" s="1"/>
  <c r="H125" i="11" s="1"/>
  <c r="D114" i="9"/>
  <c r="E125" i="11" s="1"/>
  <c r="C115" i="9"/>
  <c r="D115" i="9"/>
  <c r="C116" i="9"/>
  <c r="D116" i="9"/>
  <c r="C117" i="9"/>
  <c r="C128" i="11" s="1"/>
  <c r="D117" i="9"/>
  <c r="E128" i="16" s="1"/>
  <c r="C118" i="9"/>
  <c r="D118" i="9"/>
  <c r="C119" i="9"/>
  <c r="D119" i="9"/>
  <c r="E130" i="11" s="1"/>
  <c r="C120" i="9"/>
  <c r="C131" i="11" s="1"/>
  <c r="D120" i="9"/>
  <c r="C121" i="9"/>
  <c r="D121" i="9"/>
  <c r="E132" i="16" s="1"/>
  <c r="C122" i="9"/>
  <c r="D122" i="9"/>
  <c r="E133" i="11" s="1"/>
  <c r="C123" i="9"/>
  <c r="D123" i="9"/>
  <c r="C124" i="9"/>
  <c r="C135" i="11" s="1"/>
  <c r="D135" i="11" s="1"/>
  <c r="D124" i="9"/>
  <c r="E135" i="11" s="1"/>
  <c r="C125" i="9"/>
  <c r="D125" i="9"/>
  <c r="E136" i="16" s="1"/>
  <c r="C126" i="9"/>
  <c r="C137" i="11" s="1"/>
  <c r="D126" i="9"/>
  <c r="E137" i="11" s="1"/>
  <c r="C127" i="9"/>
  <c r="C138" i="11" s="1"/>
  <c r="D138" i="11" s="1"/>
  <c r="D127" i="9"/>
  <c r="E138" i="11" s="1"/>
  <c r="C128" i="9"/>
  <c r="C139" i="11" s="1"/>
  <c r="D128" i="9"/>
  <c r="C129" i="9"/>
  <c r="D129" i="9"/>
  <c r="C130" i="9"/>
  <c r="D130" i="9"/>
  <c r="C131" i="9"/>
  <c r="C142" i="11" s="1"/>
  <c r="D131" i="9"/>
  <c r="E142" i="11" s="1"/>
  <c r="C132" i="9"/>
  <c r="D132" i="9"/>
  <c r="E143" i="11" s="1"/>
  <c r="C133" i="9"/>
  <c r="C144" i="11" s="1"/>
  <c r="D133" i="9"/>
  <c r="E144" i="11" s="1"/>
  <c r="C134" i="9"/>
  <c r="D134" i="9"/>
  <c r="C135" i="9"/>
  <c r="D135" i="9"/>
  <c r="C136" i="9"/>
  <c r="C147" i="11" s="1"/>
  <c r="D136" i="9"/>
  <c r="E147" i="11" s="1"/>
  <c r="C137" i="9"/>
  <c r="D137" i="9"/>
  <c r="C138" i="9"/>
  <c r="C149" i="11" s="1"/>
  <c r="D149" i="11" s="1"/>
  <c r="D138" i="9"/>
  <c r="E149" i="11" s="1"/>
  <c r="C139" i="9"/>
  <c r="C150" i="11" s="1"/>
  <c r="D139" i="9"/>
  <c r="C140" i="9"/>
  <c r="C151" i="11" s="1"/>
  <c r="D140" i="9"/>
  <c r="E151" i="11" s="1"/>
  <c r="C141" i="9"/>
  <c r="C152" i="11" s="1"/>
  <c r="D152" i="11" s="1"/>
  <c r="D141" i="9"/>
  <c r="C142" i="9"/>
  <c r="C153" i="11" s="1"/>
  <c r="D142" i="9"/>
  <c r="C143" i="9"/>
  <c r="D143" i="9"/>
  <c r="C144" i="9"/>
  <c r="C155" i="11" s="1"/>
  <c r="D155" i="11" s="1"/>
  <c r="D144" i="9"/>
  <c r="E155" i="11" s="1"/>
  <c r="C145" i="9"/>
  <c r="C156" i="11" s="1"/>
  <c r="D145" i="9"/>
  <c r="C146" i="9"/>
  <c r="C157" i="11" s="1"/>
  <c r="D146" i="9"/>
  <c r="E157" i="11" s="1"/>
  <c r="C147" i="9"/>
  <c r="D147" i="9"/>
  <c r="E158" i="11" s="1"/>
  <c r="C148" i="9"/>
  <c r="C159" i="11" s="1"/>
  <c r="D159" i="11" s="1"/>
  <c r="D148" i="9"/>
  <c r="E159" i="11" s="1"/>
  <c r="C149" i="9"/>
  <c r="C160" i="11" s="1"/>
  <c r="D149" i="9"/>
  <c r="C150" i="9"/>
  <c r="D150" i="9"/>
  <c r="C151" i="9"/>
  <c r="D151" i="9"/>
  <c r="E162" i="11" s="1"/>
  <c r="C152" i="9"/>
  <c r="C163" i="11" s="1"/>
  <c r="D163" i="11" s="1"/>
  <c r="D152" i="9"/>
  <c r="E163" i="11" s="1"/>
  <c r="C153" i="9"/>
  <c r="C164" i="11" s="1"/>
  <c r="D153" i="9"/>
  <c r="E164" i="11" s="1"/>
  <c r="C154" i="9"/>
  <c r="D154" i="9"/>
  <c r="C155" i="9"/>
  <c r="C166" i="16" s="1"/>
  <c r="D155" i="9"/>
  <c r="E166" i="11" s="1"/>
  <c r="C156" i="9"/>
  <c r="D156" i="9"/>
  <c r="E167" i="16" s="1"/>
  <c r="C157" i="9"/>
  <c r="C168" i="11" s="1"/>
  <c r="D157" i="9"/>
  <c r="E168" i="11" s="1"/>
  <c r="C158" i="9"/>
  <c r="D158" i="9"/>
  <c r="C159" i="9"/>
  <c r="C170" i="11" s="1"/>
  <c r="D159" i="9"/>
  <c r="C160" i="9"/>
  <c r="C171" i="11" s="1"/>
  <c r="D160" i="9"/>
  <c r="E171" i="16" s="1"/>
  <c r="C161" i="9"/>
  <c r="C172" i="11" s="1"/>
  <c r="D161" i="9"/>
  <c r="C162" i="9"/>
  <c r="C173" i="11" s="1"/>
  <c r="D162" i="9"/>
  <c r="E173" i="11" s="1"/>
  <c r="C163" i="9"/>
  <c r="D163" i="9"/>
  <c r="E174" i="16" s="1"/>
  <c r="C164" i="9"/>
  <c r="D164" i="9"/>
  <c r="E175" i="11" s="1"/>
  <c r="C165" i="9"/>
  <c r="C176" i="11" s="1"/>
  <c r="D165" i="9"/>
  <c r="C166" i="9"/>
  <c r="C177" i="11" s="1"/>
  <c r="D166" i="9"/>
  <c r="E177" i="11" s="1"/>
  <c r="C167" i="9"/>
  <c r="C178" i="11" s="1"/>
  <c r="D167" i="9"/>
  <c r="E178" i="16" s="1"/>
  <c r="C168" i="9"/>
  <c r="D168" i="9"/>
  <c r="E179" i="11" s="1"/>
  <c r="C169" i="9"/>
  <c r="C180" i="11" s="1"/>
  <c r="D169" i="9"/>
  <c r="E180" i="11" s="1"/>
  <c r="C170" i="9"/>
  <c r="D170" i="9"/>
  <c r="E181" i="16" s="1"/>
  <c r="C171" i="9"/>
  <c r="D171" i="9"/>
  <c r="C172" i="9"/>
  <c r="D172" i="9"/>
  <c r="E183" i="11" s="1"/>
  <c r="C173" i="9"/>
  <c r="C184" i="11" s="1"/>
  <c r="D184" i="11" s="1"/>
  <c r="D173" i="9"/>
  <c r="E184" i="11" s="1"/>
  <c r="C174" i="9"/>
  <c r="C185" i="11" s="1"/>
  <c r="D174" i="9"/>
  <c r="C175" i="9"/>
  <c r="C186" i="11" s="1"/>
  <c r="H186" i="11" s="1"/>
  <c r="D175" i="9"/>
  <c r="E186" i="11" s="1"/>
  <c r="C176" i="9"/>
  <c r="C187" i="11" s="1"/>
  <c r="D187" i="11" s="1"/>
  <c r="D176" i="9"/>
  <c r="E187" i="11" s="1"/>
  <c r="C177" i="9"/>
  <c r="C188" i="11" s="1"/>
  <c r="D177" i="9"/>
  <c r="E188" i="11" s="1"/>
  <c r="C178" i="9"/>
  <c r="D178" i="9"/>
  <c r="C179" i="9"/>
  <c r="D179" i="9"/>
  <c r="E190" i="11" s="1"/>
  <c r="C180" i="9"/>
  <c r="C191" i="11" s="1"/>
  <c r="D180" i="9"/>
  <c r="E191" i="11" s="1"/>
  <c r="C181" i="9"/>
  <c r="C192" i="11" s="1"/>
  <c r="D181" i="9"/>
  <c r="E192" i="11" s="1"/>
  <c r="C182" i="9"/>
  <c r="C193" i="11" s="1"/>
  <c r="D182" i="9"/>
  <c r="E193" i="11" s="1"/>
  <c r="C183" i="9"/>
  <c r="C194" i="11" s="1"/>
  <c r="D183" i="9"/>
  <c r="E194" i="11" s="1"/>
  <c r="C184" i="9"/>
  <c r="D184" i="9"/>
  <c r="E195" i="11" s="1"/>
  <c r="C185" i="9"/>
  <c r="D185" i="9"/>
  <c r="C186" i="9"/>
  <c r="D186" i="9"/>
  <c r="C187" i="9"/>
  <c r="D187" i="9"/>
  <c r="E198" i="11" s="1"/>
  <c r="C188" i="9"/>
  <c r="C199" i="11" s="1"/>
  <c r="D188" i="9"/>
  <c r="E199" i="11" s="1"/>
  <c r="C189" i="9"/>
  <c r="C200" i="11" s="1"/>
  <c r="D189" i="9"/>
  <c r="E200" i="11" s="1"/>
  <c r="C190" i="9"/>
  <c r="C201" i="11" s="1"/>
  <c r="D201" i="11" s="1"/>
  <c r="D190" i="9"/>
  <c r="E201" i="11" s="1"/>
  <c r="C191" i="9"/>
  <c r="D191" i="9"/>
  <c r="E202" i="11" s="1"/>
  <c r="C192" i="9"/>
  <c r="C203" i="16" s="1"/>
  <c r="D192" i="9"/>
  <c r="C193" i="9"/>
  <c r="D193" i="9"/>
  <c r="D3" i="9"/>
  <c r="E14" i="11" s="1"/>
  <c r="C3" i="9"/>
  <c r="C14" i="11" s="1"/>
  <c r="C152" i="16" l="1"/>
  <c r="D152" i="16" s="1"/>
  <c r="C150" i="16"/>
  <c r="D150" i="16" s="1"/>
  <c r="E144" i="16"/>
  <c r="C125" i="16"/>
  <c r="H125" i="16" s="1"/>
  <c r="C75" i="16"/>
  <c r="D75" i="16" s="1"/>
  <c r="C73" i="16"/>
  <c r="D73" i="16" s="1"/>
  <c r="C72" i="16"/>
  <c r="D72" i="16" s="1"/>
  <c r="C61" i="16"/>
  <c r="D61" i="16" s="1"/>
  <c r="C52" i="16"/>
  <c r="D52" i="16" s="1"/>
  <c r="E133" i="16"/>
  <c r="C70" i="16"/>
  <c r="H70" i="16" s="1"/>
  <c r="C128" i="16"/>
  <c r="D128" i="16" s="1"/>
  <c r="C65" i="16"/>
  <c r="D65" i="16" s="1"/>
  <c r="E167" i="11"/>
  <c r="E100" i="16"/>
  <c r="C51" i="16"/>
  <c r="E171" i="11"/>
  <c r="E66" i="11"/>
  <c r="C100" i="16"/>
  <c r="H100" i="16" s="1"/>
  <c r="C45" i="16"/>
  <c r="D45" i="16" s="1"/>
  <c r="C115" i="16"/>
  <c r="C94" i="16"/>
  <c r="H94" i="16" s="1"/>
  <c r="C40" i="16"/>
  <c r="D40" i="16" s="1"/>
  <c r="E180" i="16"/>
  <c r="E88" i="16"/>
  <c r="C37" i="16"/>
  <c r="D37" i="16" s="1"/>
  <c r="C180" i="16"/>
  <c r="D180" i="16" s="1"/>
  <c r="C87" i="16"/>
  <c r="D87" i="16" s="1"/>
  <c r="E33" i="16"/>
  <c r="C160" i="16"/>
  <c r="D160" i="16" s="1"/>
  <c r="E79" i="16"/>
  <c r="C24" i="16"/>
  <c r="H24" i="16" s="1"/>
  <c r="H200" i="11"/>
  <c r="D200" i="11"/>
  <c r="D144" i="11"/>
  <c r="H144" i="11"/>
  <c r="E76" i="11"/>
  <c r="C193" i="16"/>
  <c r="C149" i="16"/>
  <c r="H149" i="16" s="1"/>
  <c r="E54" i="16"/>
  <c r="E178" i="11"/>
  <c r="C186" i="16"/>
  <c r="D186" i="16" s="1"/>
  <c r="E164" i="16"/>
  <c r="E147" i="16"/>
  <c r="E121" i="16"/>
  <c r="C93" i="16"/>
  <c r="H93" i="16" s="1"/>
  <c r="C54" i="16"/>
  <c r="D54" i="16" s="1"/>
  <c r="E39" i="16"/>
  <c r="E174" i="11"/>
  <c r="E69" i="11"/>
  <c r="C185" i="16"/>
  <c r="D185" i="16" s="1"/>
  <c r="C164" i="16"/>
  <c r="C147" i="16"/>
  <c r="D147" i="16" s="1"/>
  <c r="E118" i="16"/>
  <c r="C91" i="16"/>
  <c r="H91" i="16" s="1"/>
  <c r="E72" i="16"/>
  <c r="C53" i="16"/>
  <c r="H53" i="16" s="1"/>
  <c r="E157" i="16"/>
  <c r="C166" i="11"/>
  <c r="D166" i="11" s="1"/>
  <c r="C19" i="11"/>
  <c r="H19" i="11" s="1"/>
  <c r="C157" i="16"/>
  <c r="D157" i="16" s="1"/>
  <c r="C144" i="16"/>
  <c r="E109" i="16"/>
  <c r="E86" i="16"/>
  <c r="C68" i="16"/>
  <c r="H68" i="16" s="1"/>
  <c r="C33" i="16"/>
  <c r="H152" i="11"/>
  <c r="E14" i="16"/>
  <c r="C178" i="16"/>
  <c r="D178" i="16" s="1"/>
  <c r="C156" i="16"/>
  <c r="H156" i="16" s="1"/>
  <c r="C142" i="16"/>
  <c r="H142" i="16" s="1"/>
  <c r="C109" i="16"/>
  <c r="H109" i="16" s="1"/>
  <c r="E82" i="16"/>
  <c r="E31" i="16"/>
  <c r="E202" i="16"/>
  <c r="E173" i="16"/>
  <c r="C153" i="16"/>
  <c r="H153" i="16" s="1"/>
  <c r="C139" i="16"/>
  <c r="H139" i="16" s="1"/>
  <c r="E107" i="16"/>
  <c r="C82" i="16"/>
  <c r="D82" i="16" s="1"/>
  <c r="C49" i="16"/>
  <c r="H49" i="16" s="1"/>
  <c r="C31" i="16"/>
  <c r="D31" i="16" s="1"/>
  <c r="E200" i="16"/>
  <c r="C173" i="16"/>
  <c r="D173" i="16" s="1"/>
  <c r="H152" i="16"/>
  <c r="E135" i="16"/>
  <c r="C104" i="16"/>
  <c r="D104" i="16" s="1"/>
  <c r="C81" i="16"/>
  <c r="H81" i="16" s="1"/>
  <c r="C66" i="16"/>
  <c r="C47" i="16"/>
  <c r="D47" i="16" s="1"/>
  <c r="E30" i="16"/>
  <c r="C172" i="16"/>
  <c r="H172" i="16" s="1"/>
  <c r="E24" i="16"/>
  <c r="C203" i="11"/>
  <c r="H203" i="11" s="1"/>
  <c r="E136" i="11"/>
  <c r="C200" i="16"/>
  <c r="C151" i="16"/>
  <c r="H151" i="16" s="1"/>
  <c r="E130" i="16"/>
  <c r="C46" i="16"/>
  <c r="E128" i="11"/>
  <c r="E198" i="16"/>
  <c r="C170" i="16"/>
  <c r="E98" i="16"/>
  <c r="C79" i="16"/>
  <c r="E60" i="16"/>
  <c r="E45" i="16"/>
  <c r="E16" i="16"/>
  <c r="C123" i="11"/>
  <c r="H123" i="11" s="1"/>
  <c r="E193" i="16"/>
  <c r="C168" i="16"/>
  <c r="H168" i="16" s="1"/>
  <c r="C98" i="16"/>
  <c r="H98" i="16" s="1"/>
  <c r="C110" i="11"/>
  <c r="D110" i="11" s="1"/>
  <c r="E149" i="16"/>
  <c r="E125" i="16"/>
  <c r="C96" i="16"/>
  <c r="D96" i="16" s="1"/>
  <c r="E73" i="16"/>
  <c r="C58" i="16"/>
  <c r="E40" i="16"/>
  <c r="E134" i="11"/>
  <c r="E134" i="16"/>
  <c r="E120" i="11"/>
  <c r="E120" i="16"/>
  <c r="E106" i="11"/>
  <c r="E106" i="16"/>
  <c r="E92" i="11"/>
  <c r="E92" i="16"/>
  <c r="E78" i="11"/>
  <c r="E78" i="16"/>
  <c r="E71" i="11"/>
  <c r="E71" i="16"/>
  <c r="E57" i="11"/>
  <c r="E57" i="16"/>
  <c r="E50" i="11"/>
  <c r="E50" i="16"/>
  <c r="E36" i="11"/>
  <c r="E36" i="16"/>
  <c r="E15" i="11"/>
  <c r="E15" i="16"/>
  <c r="C204" i="11"/>
  <c r="H204" i="11" s="1"/>
  <c r="C204" i="16"/>
  <c r="C197" i="11"/>
  <c r="H197" i="11" s="1"/>
  <c r="C197" i="16"/>
  <c r="H197" i="16" s="1"/>
  <c r="C190" i="11"/>
  <c r="H190" i="11" s="1"/>
  <c r="C190" i="16"/>
  <c r="C183" i="11"/>
  <c r="D183" i="11" s="1"/>
  <c r="C183" i="16"/>
  <c r="D183" i="16" s="1"/>
  <c r="C169" i="11"/>
  <c r="D169" i="11" s="1"/>
  <c r="C169" i="16"/>
  <c r="C162" i="11"/>
  <c r="H162" i="11" s="1"/>
  <c r="C162" i="16"/>
  <c r="C148" i="11"/>
  <c r="H148" i="11" s="1"/>
  <c r="C148" i="16"/>
  <c r="H148" i="16" s="1"/>
  <c r="C141" i="11"/>
  <c r="D141" i="11" s="1"/>
  <c r="C141" i="16"/>
  <c r="C134" i="11"/>
  <c r="H134" i="11" s="1"/>
  <c r="C134" i="16"/>
  <c r="D134" i="16" s="1"/>
  <c r="C127" i="11"/>
  <c r="D127" i="11" s="1"/>
  <c r="C127" i="16"/>
  <c r="C120" i="11"/>
  <c r="D120" i="11" s="1"/>
  <c r="C120" i="16"/>
  <c r="C106" i="11"/>
  <c r="D106" i="11" s="1"/>
  <c r="C106" i="16"/>
  <c r="C99" i="11"/>
  <c r="D99" i="11" s="1"/>
  <c r="C99" i="16"/>
  <c r="H99" i="16" s="1"/>
  <c r="C92" i="11"/>
  <c r="D92" i="11" s="1"/>
  <c r="C92" i="16"/>
  <c r="C78" i="11"/>
  <c r="C78" i="16"/>
  <c r="C71" i="11"/>
  <c r="D71" i="11" s="1"/>
  <c r="C71" i="16"/>
  <c r="H71" i="16" s="1"/>
  <c r="C64" i="11"/>
  <c r="D64" i="11" s="1"/>
  <c r="C64" i="16"/>
  <c r="C57" i="11"/>
  <c r="H57" i="11" s="1"/>
  <c r="C57" i="16"/>
  <c r="C50" i="11"/>
  <c r="D50" i="11" s="1"/>
  <c r="C50" i="16"/>
  <c r="C43" i="11"/>
  <c r="H43" i="11" s="1"/>
  <c r="C43" i="16"/>
  <c r="D43" i="16" s="1"/>
  <c r="C36" i="11"/>
  <c r="D36" i="11" s="1"/>
  <c r="C36" i="16"/>
  <c r="C29" i="11"/>
  <c r="D29" i="11" s="1"/>
  <c r="C29" i="16"/>
  <c r="H29" i="16" s="1"/>
  <c r="C22" i="11"/>
  <c r="D22" i="11" s="1"/>
  <c r="C22" i="16"/>
  <c r="C15" i="11"/>
  <c r="D15" i="11" s="1"/>
  <c r="C15" i="16"/>
  <c r="E85" i="16"/>
  <c r="E203" i="11"/>
  <c r="E203" i="16"/>
  <c r="E196" i="11"/>
  <c r="E196" i="16"/>
  <c r="E189" i="11"/>
  <c r="E189" i="16"/>
  <c r="E182" i="11"/>
  <c r="E182" i="16"/>
  <c r="E161" i="11"/>
  <c r="E161" i="16"/>
  <c r="E154" i="11"/>
  <c r="E154" i="16"/>
  <c r="E140" i="11"/>
  <c r="E140" i="16"/>
  <c r="E126" i="11"/>
  <c r="E126" i="16"/>
  <c r="E119" i="16"/>
  <c r="E119" i="11"/>
  <c r="E112" i="11"/>
  <c r="E112" i="16"/>
  <c r="E105" i="11"/>
  <c r="E105" i="16"/>
  <c r="E84" i="11"/>
  <c r="E84" i="16"/>
  <c r="E77" i="11"/>
  <c r="E77" i="16"/>
  <c r="E70" i="11"/>
  <c r="E70" i="16"/>
  <c r="E63" i="11"/>
  <c r="E63" i="16"/>
  <c r="E56" i="16"/>
  <c r="E56" i="11"/>
  <c r="E49" i="11"/>
  <c r="E49" i="16"/>
  <c r="E42" i="11"/>
  <c r="E42" i="16"/>
  <c r="E35" i="11"/>
  <c r="E35" i="16"/>
  <c r="E28" i="11"/>
  <c r="E28" i="16"/>
  <c r="E21" i="11"/>
  <c r="E21" i="16"/>
  <c r="E190" i="16"/>
  <c r="C85" i="16"/>
  <c r="D85" i="16" s="1"/>
  <c r="E55" i="16"/>
  <c r="C196" i="16"/>
  <c r="C196" i="11"/>
  <c r="D196" i="11" s="1"/>
  <c r="C189" i="11"/>
  <c r="H189" i="11" s="1"/>
  <c r="C189" i="16"/>
  <c r="C182" i="11"/>
  <c r="D182" i="11" s="1"/>
  <c r="C182" i="16"/>
  <c r="C175" i="11"/>
  <c r="D175" i="11" s="1"/>
  <c r="C175" i="16"/>
  <c r="C161" i="11"/>
  <c r="D161" i="11" s="1"/>
  <c r="C161" i="16"/>
  <c r="C154" i="11"/>
  <c r="D154" i="11" s="1"/>
  <c r="C154" i="16"/>
  <c r="H154" i="16" s="1"/>
  <c r="C140" i="11"/>
  <c r="C140" i="16"/>
  <c r="C133" i="11"/>
  <c r="H133" i="11" s="1"/>
  <c r="C133" i="16"/>
  <c r="C126" i="11"/>
  <c r="D126" i="11" s="1"/>
  <c r="C126" i="16"/>
  <c r="C119" i="11"/>
  <c r="H119" i="11" s="1"/>
  <c r="C119" i="16"/>
  <c r="H119" i="16" s="1"/>
  <c r="C112" i="11"/>
  <c r="D112" i="11" s="1"/>
  <c r="C112" i="16"/>
  <c r="C105" i="11"/>
  <c r="D105" i="11" s="1"/>
  <c r="C105" i="16"/>
  <c r="D105" i="16" s="1"/>
  <c r="C84" i="11"/>
  <c r="D84" i="11" s="1"/>
  <c r="C84" i="16"/>
  <c r="C77" i="11"/>
  <c r="D77" i="11" s="1"/>
  <c r="C77" i="16"/>
  <c r="C63" i="11"/>
  <c r="H63" i="11" s="1"/>
  <c r="C63" i="16"/>
  <c r="C56" i="11"/>
  <c r="D56" i="11" s="1"/>
  <c r="C56" i="16"/>
  <c r="H56" i="16" s="1"/>
  <c r="C42" i="11"/>
  <c r="C42" i="16"/>
  <c r="C35" i="11"/>
  <c r="D35" i="11" s="1"/>
  <c r="C35" i="16"/>
  <c r="D35" i="16" s="1"/>
  <c r="C28" i="11"/>
  <c r="D28" i="11" s="1"/>
  <c r="C28" i="16"/>
  <c r="C21" i="11"/>
  <c r="D21" i="11" s="1"/>
  <c r="C21" i="16"/>
  <c r="H21" i="16" s="1"/>
  <c r="E183" i="16"/>
  <c r="E20" i="16"/>
  <c r="E204" i="11"/>
  <c r="E204" i="16"/>
  <c r="E83" i="11"/>
  <c r="E83" i="16"/>
  <c r="E41" i="11"/>
  <c r="E41" i="16"/>
  <c r="E34" i="11"/>
  <c r="E34" i="16"/>
  <c r="E195" i="16"/>
  <c r="C176" i="16"/>
  <c r="C76" i="16"/>
  <c r="E27" i="16"/>
  <c r="E197" i="11"/>
  <c r="E197" i="16"/>
  <c r="E141" i="11"/>
  <c r="E141" i="16"/>
  <c r="E43" i="11"/>
  <c r="E43" i="16"/>
  <c r="C202" i="11"/>
  <c r="H202" i="11" s="1"/>
  <c r="C202" i="16"/>
  <c r="C174" i="11"/>
  <c r="D174" i="11" s="1"/>
  <c r="C174" i="16"/>
  <c r="C167" i="11"/>
  <c r="D167" i="11" s="1"/>
  <c r="C167" i="16"/>
  <c r="C118" i="11"/>
  <c r="C118" i="16"/>
  <c r="E176" i="11"/>
  <c r="E176" i="16"/>
  <c r="E22" i="11"/>
  <c r="E22" i="16"/>
  <c r="E90" i="11"/>
  <c r="E90" i="16"/>
  <c r="C181" i="11"/>
  <c r="H181" i="11" s="1"/>
  <c r="C181" i="16"/>
  <c r="C83" i="16"/>
  <c r="C83" i="11"/>
  <c r="H83" i="11" s="1"/>
  <c r="E111" i="11"/>
  <c r="E111" i="16"/>
  <c r="C27" i="11"/>
  <c r="D27" i="11" s="1"/>
  <c r="C27" i="16"/>
  <c r="C188" i="16"/>
  <c r="H188" i="16" s="1"/>
  <c r="E168" i="16"/>
  <c r="E155" i="16"/>
  <c r="E29" i="11"/>
  <c r="E29" i="16"/>
  <c r="C132" i="11"/>
  <c r="H132" i="11" s="1"/>
  <c r="C132" i="16"/>
  <c r="C69" i="11"/>
  <c r="D69" i="11" s="1"/>
  <c r="C69" i="16"/>
  <c r="E104" i="16"/>
  <c r="E169" i="11"/>
  <c r="E169" i="16"/>
  <c r="E148" i="11"/>
  <c r="E148" i="16"/>
  <c r="E127" i="11"/>
  <c r="E127" i="16"/>
  <c r="E113" i="11"/>
  <c r="E113" i="16"/>
  <c r="E99" i="11"/>
  <c r="E99" i="16"/>
  <c r="E64" i="11"/>
  <c r="E64" i="16"/>
  <c r="E160" i="11"/>
  <c r="E160" i="16"/>
  <c r="E153" i="11"/>
  <c r="E153" i="16"/>
  <c r="E146" i="11"/>
  <c r="E146" i="16"/>
  <c r="E139" i="11"/>
  <c r="E139" i="16"/>
  <c r="E62" i="16"/>
  <c r="E62" i="11"/>
  <c r="C195" i="11"/>
  <c r="D195" i="11" s="1"/>
  <c r="C195" i="16"/>
  <c r="C146" i="11"/>
  <c r="H146" i="11" s="1"/>
  <c r="C146" i="16"/>
  <c r="C111" i="11"/>
  <c r="H111" i="11" s="1"/>
  <c r="C111" i="16"/>
  <c r="D111" i="16" s="1"/>
  <c r="C97" i="11"/>
  <c r="H97" i="11" s="1"/>
  <c r="C97" i="16"/>
  <c r="C90" i="11"/>
  <c r="H90" i="11" s="1"/>
  <c r="C90" i="16"/>
  <c r="H90" i="16" s="1"/>
  <c r="C62" i="11"/>
  <c r="C62" i="16"/>
  <c r="H62" i="16" s="1"/>
  <c r="C55" i="11"/>
  <c r="H55" i="11" s="1"/>
  <c r="C55" i="16"/>
  <c r="C48" i="11"/>
  <c r="C48" i="16"/>
  <c r="H48" i="16" s="1"/>
  <c r="C41" i="11"/>
  <c r="H41" i="11" s="1"/>
  <c r="C41" i="16"/>
  <c r="C34" i="11"/>
  <c r="C34" i="16"/>
  <c r="H34" i="16" s="1"/>
  <c r="C20" i="11"/>
  <c r="H20" i="11" s="1"/>
  <c r="C20" i="16"/>
  <c r="C113" i="16"/>
  <c r="E48" i="16"/>
  <c r="E132" i="11"/>
  <c r="E188" i="16"/>
  <c r="E91" i="16"/>
  <c r="E181" i="11"/>
  <c r="E162" i="16"/>
  <c r="E175" i="16"/>
  <c r="H193" i="11"/>
  <c r="D193" i="11"/>
  <c r="D151" i="11"/>
  <c r="H151" i="11"/>
  <c r="H123" i="16"/>
  <c r="D123" i="16"/>
  <c r="C155" i="16"/>
  <c r="E97" i="16"/>
  <c r="E152" i="11"/>
  <c r="E152" i="16"/>
  <c r="E145" i="11"/>
  <c r="E145" i="16"/>
  <c r="E131" i="11"/>
  <c r="E131" i="16"/>
  <c r="E110" i="11"/>
  <c r="E110" i="16"/>
  <c r="E103" i="11"/>
  <c r="E103" i="16"/>
  <c r="E61" i="11"/>
  <c r="E61" i="16"/>
  <c r="E19" i="11"/>
  <c r="E19" i="16"/>
  <c r="E192" i="16"/>
  <c r="E159" i="16"/>
  <c r="E138" i="16"/>
  <c r="C145" i="11"/>
  <c r="D145" i="11" s="1"/>
  <c r="C145" i="16"/>
  <c r="D145" i="16" s="1"/>
  <c r="C124" i="11"/>
  <c r="D124" i="11" s="1"/>
  <c r="C124" i="16"/>
  <c r="C117" i="11"/>
  <c r="H117" i="11" s="1"/>
  <c r="C117" i="16"/>
  <c r="D117" i="16" s="1"/>
  <c r="C103" i="11"/>
  <c r="D103" i="11" s="1"/>
  <c r="C103" i="16"/>
  <c r="C192" i="16"/>
  <c r="D192" i="16" s="1"/>
  <c r="E177" i="16"/>
  <c r="C159" i="16"/>
  <c r="D159" i="16" s="1"/>
  <c r="C138" i="16"/>
  <c r="C135" i="16"/>
  <c r="E124" i="16"/>
  <c r="C114" i="16"/>
  <c r="E75" i="16"/>
  <c r="E68" i="16"/>
  <c r="E65" i="16"/>
  <c r="C60" i="16"/>
  <c r="E23" i="16"/>
  <c r="E172" i="11"/>
  <c r="E172" i="16"/>
  <c r="E165" i="11"/>
  <c r="E165" i="16"/>
  <c r="E102" i="11"/>
  <c r="E102" i="16"/>
  <c r="E81" i="11"/>
  <c r="E81" i="16"/>
  <c r="E74" i="11"/>
  <c r="E74" i="16"/>
  <c r="E53" i="11"/>
  <c r="E53" i="16"/>
  <c r="E25" i="11"/>
  <c r="E25" i="16"/>
  <c r="E18" i="11"/>
  <c r="E18" i="16"/>
  <c r="E187" i="16"/>
  <c r="E151" i="16"/>
  <c r="E143" i="16"/>
  <c r="E26" i="16"/>
  <c r="C179" i="11"/>
  <c r="H179" i="11" s="1"/>
  <c r="C179" i="16"/>
  <c r="C165" i="11"/>
  <c r="H165" i="11" s="1"/>
  <c r="C165" i="16"/>
  <c r="H165" i="16" s="1"/>
  <c r="C158" i="11"/>
  <c r="C158" i="16"/>
  <c r="C130" i="11"/>
  <c r="D130" i="11" s="1"/>
  <c r="C130" i="16"/>
  <c r="C116" i="11"/>
  <c r="H116" i="11" s="1"/>
  <c r="C116" i="16"/>
  <c r="H116" i="16" s="1"/>
  <c r="C95" i="11"/>
  <c r="D95" i="11" s="1"/>
  <c r="C95" i="16"/>
  <c r="C88" i="11"/>
  <c r="H88" i="11" s="1"/>
  <c r="C88" i="16"/>
  <c r="D88" i="16" s="1"/>
  <c r="C74" i="11"/>
  <c r="H74" i="11" s="1"/>
  <c r="C74" i="16"/>
  <c r="H74" i="16" s="1"/>
  <c r="C67" i="11"/>
  <c r="D67" i="11" s="1"/>
  <c r="C67" i="16"/>
  <c r="H67" i="16" s="1"/>
  <c r="C39" i="11"/>
  <c r="H39" i="11" s="1"/>
  <c r="C39" i="16"/>
  <c r="C25" i="11"/>
  <c r="D25" i="11" s="1"/>
  <c r="C25" i="16"/>
  <c r="C18" i="11"/>
  <c r="D18" i="11" s="1"/>
  <c r="C18" i="16"/>
  <c r="H18" i="16" s="1"/>
  <c r="E199" i="16"/>
  <c r="C187" i="16"/>
  <c r="E184" i="16"/>
  <c r="C177" i="16"/>
  <c r="E166" i="16"/>
  <c r="E163" i="16"/>
  <c r="E117" i="16"/>
  <c r="E108" i="16"/>
  <c r="E96" i="16"/>
  <c r="E59" i="16"/>
  <c r="E47" i="16"/>
  <c r="E44" i="16"/>
  <c r="C26" i="16"/>
  <c r="D26" i="16" s="1"/>
  <c r="E185" i="11"/>
  <c r="E185" i="16"/>
  <c r="E150" i="11"/>
  <c r="E150" i="16"/>
  <c r="E129" i="11"/>
  <c r="E129" i="16"/>
  <c r="E122" i="11"/>
  <c r="E122" i="16"/>
  <c r="E115" i="11"/>
  <c r="E115" i="16"/>
  <c r="E101" i="11"/>
  <c r="E101" i="16"/>
  <c r="E94" i="11"/>
  <c r="E94" i="16"/>
  <c r="E87" i="16"/>
  <c r="E87" i="11"/>
  <c r="E80" i="11"/>
  <c r="E80" i="16"/>
  <c r="E38" i="11"/>
  <c r="E38" i="16"/>
  <c r="E17" i="11"/>
  <c r="E17" i="16"/>
  <c r="E201" i="16"/>
  <c r="C199" i="16"/>
  <c r="E158" i="16"/>
  <c r="E137" i="16"/>
  <c r="E123" i="16"/>
  <c r="C108" i="16"/>
  <c r="D108" i="16" s="1"/>
  <c r="C59" i="16"/>
  <c r="D59" i="16" s="1"/>
  <c r="E32" i="16"/>
  <c r="C136" i="11"/>
  <c r="H136" i="11" s="1"/>
  <c r="C136" i="16"/>
  <c r="D136" i="16" s="1"/>
  <c r="C129" i="11"/>
  <c r="D129" i="11" s="1"/>
  <c r="C129" i="16"/>
  <c r="D129" i="16" s="1"/>
  <c r="C38" i="11"/>
  <c r="H38" i="11" s="1"/>
  <c r="C38" i="16"/>
  <c r="D38" i="16" s="1"/>
  <c r="C17" i="11"/>
  <c r="H17" i="11" s="1"/>
  <c r="C17" i="16"/>
  <c r="D17" i="16" s="1"/>
  <c r="C201" i="16"/>
  <c r="E194" i="16"/>
  <c r="C184" i="16"/>
  <c r="C163" i="16"/>
  <c r="C137" i="16"/>
  <c r="D137" i="16" s="1"/>
  <c r="C102" i="16"/>
  <c r="E89" i="16"/>
  <c r="C80" i="16"/>
  <c r="H80" i="16" s="1"/>
  <c r="C44" i="16"/>
  <c r="E170" i="11"/>
  <c r="E170" i="16"/>
  <c r="E156" i="11"/>
  <c r="E156" i="16"/>
  <c r="E114" i="11"/>
  <c r="E114" i="16"/>
  <c r="E93" i="11"/>
  <c r="E93" i="16"/>
  <c r="E58" i="11"/>
  <c r="E58" i="16"/>
  <c r="E51" i="11"/>
  <c r="E51" i="16"/>
  <c r="E37" i="11"/>
  <c r="E37" i="16"/>
  <c r="C194" i="16"/>
  <c r="D194" i="16" s="1"/>
  <c r="E191" i="16"/>
  <c r="E186" i="16"/>
  <c r="E179" i="16"/>
  <c r="E95" i="16"/>
  <c r="C89" i="16"/>
  <c r="C86" i="16"/>
  <c r="E67" i="16"/>
  <c r="C32" i="16"/>
  <c r="C143" i="11"/>
  <c r="D143" i="11" s="1"/>
  <c r="C143" i="16"/>
  <c r="D143" i="16" s="1"/>
  <c r="C122" i="11"/>
  <c r="D122" i="11" s="1"/>
  <c r="C122" i="16"/>
  <c r="D122" i="16" s="1"/>
  <c r="C101" i="11"/>
  <c r="H101" i="11" s="1"/>
  <c r="C101" i="16"/>
  <c r="C198" i="11"/>
  <c r="D198" i="11" s="1"/>
  <c r="C198" i="16"/>
  <c r="C121" i="11"/>
  <c r="H121" i="11" s="1"/>
  <c r="C121" i="16"/>
  <c r="C107" i="11"/>
  <c r="H107" i="11" s="1"/>
  <c r="C107" i="16"/>
  <c r="C30" i="11"/>
  <c r="D30" i="11" s="1"/>
  <c r="C30" i="16"/>
  <c r="C23" i="11"/>
  <c r="H23" i="11" s="1"/>
  <c r="C23" i="16"/>
  <c r="C16" i="11"/>
  <c r="H16" i="11" s="1"/>
  <c r="C16" i="16"/>
  <c r="C14" i="16"/>
  <c r="C191" i="16"/>
  <c r="H191" i="16" s="1"/>
  <c r="C171" i="16"/>
  <c r="D171" i="16" s="1"/>
  <c r="E142" i="16"/>
  <c r="C131" i="16"/>
  <c r="D131" i="16" s="1"/>
  <c r="E116" i="16"/>
  <c r="E52" i="16"/>
  <c r="E46" i="16"/>
  <c r="D203" i="16"/>
  <c r="H203" i="16"/>
  <c r="D19" i="16"/>
  <c r="H19" i="16"/>
  <c r="D166" i="16"/>
  <c r="H166" i="16"/>
  <c r="H110" i="16"/>
  <c r="H187" i="11"/>
  <c r="H172" i="11"/>
  <c r="D172" i="11"/>
  <c r="H137" i="11"/>
  <c r="D137" i="11"/>
  <c r="H176" i="11"/>
  <c r="D176" i="11"/>
  <c r="D157" i="11"/>
  <c r="H157" i="11"/>
  <c r="D150" i="11"/>
  <c r="H150" i="11"/>
  <c r="D108" i="11"/>
  <c r="H108" i="11"/>
  <c r="D87" i="11"/>
  <c r="H87" i="11"/>
  <c r="D73" i="11"/>
  <c r="H73" i="11"/>
  <c r="D59" i="11"/>
  <c r="H59" i="11"/>
  <c r="D170" i="11"/>
  <c r="H170" i="11"/>
  <c r="D191" i="11"/>
  <c r="H191" i="11"/>
  <c r="D177" i="11"/>
  <c r="H177" i="11"/>
  <c r="H114" i="11"/>
  <c r="D114" i="11"/>
  <c r="D160" i="11"/>
  <c r="H160" i="11"/>
  <c r="H153" i="11"/>
  <c r="D153" i="11"/>
  <c r="D139" i="11"/>
  <c r="H139" i="11"/>
  <c r="H76" i="11"/>
  <c r="D76" i="11"/>
  <c r="D128" i="11"/>
  <c r="H128" i="11"/>
  <c r="H58" i="11"/>
  <c r="D58" i="11"/>
  <c r="H44" i="11"/>
  <c r="D44" i="11"/>
  <c r="D194" i="11"/>
  <c r="H194" i="11"/>
  <c r="D173" i="11"/>
  <c r="H173" i="11"/>
  <c r="D89" i="11"/>
  <c r="H89" i="11"/>
  <c r="H156" i="11"/>
  <c r="D156" i="11"/>
  <c r="H51" i="11"/>
  <c r="D51" i="11"/>
  <c r="D180" i="11"/>
  <c r="H180" i="11"/>
  <c r="D33" i="11"/>
  <c r="H33" i="11"/>
  <c r="D26" i="11"/>
  <c r="H26" i="11"/>
  <c r="H142" i="11"/>
  <c r="D142" i="11"/>
  <c r="H65" i="11"/>
  <c r="D65" i="11"/>
  <c r="D199" i="11"/>
  <c r="H199" i="11"/>
  <c r="D192" i="11"/>
  <c r="H192" i="11"/>
  <c r="D185" i="11"/>
  <c r="H185" i="11"/>
  <c r="D178" i="11"/>
  <c r="H178" i="11"/>
  <c r="D171" i="11"/>
  <c r="H171" i="11"/>
  <c r="D164" i="11"/>
  <c r="H164" i="11"/>
  <c r="D115" i="11"/>
  <c r="H115" i="11"/>
  <c r="D52" i="11"/>
  <c r="H52" i="11"/>
  <c r="D24" i="11"/>
  <c r="H24" i="11"/>
  <c r="H163" i="11"/>
  <c r="H138" i="11"/>
  <c r="H45" i="11"/>
  <c r="H159" i="11"/>
  <c r="H135" i="11"/>
  <c r="D125" i="11"/>
  <c r="D75" i="11"/>
  <c r="H75" i="11"/>
  <c r="D168" i="11"/>
  <c r="H168" i="11"/>
  <c r="H79" i="11"/>
  <c r="D79" i="11"/>
  <c r="D100" i="11"/>
  <c r="H80" i="11"/>
  <c r="H31" i="11"/>
  <c r="D113" i="11"/>
  <c r="H113" i="11"/>
  <c r="H149" i="11"/>
  <c r="H72" i="11"/>
  <c r="D72" i="11"/>
  <c r="D94" i="11"/>
  <c r="H94" i="11"/>
  <c r="D70" i="11"/>
  <c r="H70" i="11"/>
  <c r="H49" i="11"/>
  <c r="H104" i="11"/>
  <c r="D104" i="11"/>
  <c r="H85" i="11"/>
  <c r="D37" i="11"/>
  <c r="H86" i="11"/>
  <c r="D86" i="11"/>
  <c r="D188" i="11"/>
  <c r="H188" i="11"/>
  <c r="H184" i="11"/>
  <c r="H66" i="11"/>
  <c r="D147" i="11"/>
  <c r="H147" i="11"/>
  <c r="D131" i="11"/>
  <c r="H131" i="11"/>
  <c r="H93" i="11"/>
  <c r="D93" i="11"/>
  <c r="D96" i="11"/>
  <c r="H96" i="11"/>
  <c r="D82" i="11"/>
  <c r="H82" i="11"/>
  <c r="D68" i="11"/>
  <c r="H68" i="11"/>
  <c r="D61" i="11"/>
  <c r="H61" i="11"/>
  <c r="D54" i="11"/>
  <c r="H54" i="11"/>
  <c r="D47" i="11"/>
  <c r="H47" i="11"/>
  <c r="D40" i="11"/>
  <c r="H40" i="11"/>
  <c r="H155" i="11"/>
  <c r="H91" i="11"/>
  <c r="D98" i="11"/>
  <c r="H98" i="11"/>
  <c r="H201" i="11"/>
  <c r="D186" i="11"/>
  <c r="D109" i="11"/>
  <c r="H109" i="11"/>
  <c r="D102" i="11"/>
  <c r="H102" i="11"/>
  <c r="D81" i="11"/>
  <c r="H81" i="11"/>
  <c r="D60" i="11"/>
  <c r="H60" i="11"/>
  <c r="D53" i="11"/>
  <c r="H53" i="11"/>
  <c r="D46" i="11"/>
  <c r="H46" i="11"/>
  <c r="D32" i="11"/>
  <c r="H32" i="11"/>
  <c r="H157" i="16" l="1"/>
  <c r="D62" i="16"/>
  <c r="D154" i="16"/>
  <c r="D56" i="16"/>
  <c r="H143" i="11"/>
  <c r="H182" i="11"/>
  <c r="D132" i="11"/>
  <c r="H141" i="11"/>
  <c r="D43" i="11"/>
  <c r="D88" i="11"/>
  <c r="D21" i="16"/>
  <c r="D189" i="11"/>
  <c r="D202" i="11"/>
  <c r="H82" i="16"/>
  <c r="H95" i="11"/>
  <c r="D204" i="11"/>
  <c r="D153" i="16"/>
  <c r="D162" i="11"/>
  <c r="H99" i="11"/>
  <c r="D203" i="11"/>
  <c r="H128" i="16"/>
  <c r="D133" i="11"/>
  <c r="D123" i="11"/>
  <c r="D148" i="16"/>
  <c r="H126" i="11"/>
  <c r="H73" i="16"/>
  <c r="H69" i="11"/>
  <c r="H30" i="11"/>
  <c r="H36" i="11"/>
  <c r="H87" i="16"/>
  <c r="D119" i="16"/>
  <c r="H180" i="16"/>
  <c r="H147" i="16"/>
  <c r="D134" i="11"/>
  <c r="H108" i="16"/>
  <c r="H47" i="16"/>
  <c r="D94" i="16"/>
  <c r="D151" i="16"/>
  <c r="D24" i="16"/>
  <c r="D125" i="16"/>
  <c r="D70" i="16"/>
  <c r="D197" i="16"/>
  <c r="H29" i="11"/>
  <c r="D55" i="11"/>
  <c r="H52" i="16"/>
  <c r="D68" i="16"/>
  <c r="H61" i="16"/>
  <c r="H150" i="16"/>
  <c r="H134" i="16"/>
  <c r="H72" i="16"/>
  <c r="D71" i="16"/>
  <c r="D149" i="16"/>
  <c r="H185" i="16"/>
  <c r="H111" i="16"/>
  <c r="D99" i="16"/>
  <c r="H65" i="16"/>
  <c r="H196" i="11"/>
  <c r="H37" i="16"/>
  <c r="H75" i="16"/>
  <c r="D168" i="16"/>
  <c r="H43" i="16"/>
  <c r="D165" i="11"/>
  <c r="D20" i="11"/>
  <c r="H96" i="16"/>
  <c r="H28" i="11"/>
  <c r="D19" i="11"/>
  <c r="D109" i="16"/>
  <c r="D34" i="16"/>
  <c r="H77" i="11"/>
  <c r="H92" i="11"/>
  <c r="H40" i="16"/>
  <c r="H129" i="16"/>
  <c r="D101" i="11"/>
  <c r="D90" i="11"/>
  <c r="D115" i="16"/>
  <c r="H115" i="16"/>
  <c r="H129" i="11"/>
  <c r="H54" i="16"/>
  <c r="H120" i="11"/>
  <c r="H59" i="16"/>
  <c r="D51" i="16"/>
  <c r="H51" i="16"/>
  <c r="H21" i="11"/>
  <c r="H122" i="11"/>
  <c r="H67" i="11"/>
  <c r="D136" i="11"/>
  <c r="H31" i="16"/>
  <c r="H122" i="16"/>
  <c r="H160" i="16"/>
  <c r="D117" i="11"/>
  <c r="H124" i="11"/>
  <c r="D90" i="16"/>
  <c r="D142" i="16"/>
  <c r="H110" i="11"/>
  <c r="D148" i="11"/>
  <c r="H26" i="16"/>
  <c r="D188" i="16"/>
  <c r="H88" i="16"/>
  <c r="D53" i="16"/>
  <c r="H45" i="16"/>
  <c r="D74" i="11"/>
  <c r="D63" i="11"/>
  <c r="H145" i="16"/>
  <c r="D100" i="16"/>
  <c r="H178" i="16"/>
  <c r="H145" i="11"/>
  <c r="D156" i="16"/>
  <c r="H46" i="16"/>
  <c r="D46" i="16"/>
  <c r="D181" i="11"/>
  <c r="D16" i="11"/>
  <c r="H192" i="16"/>
  <c r="H117" i="16"/>
  <c r="H173" i="16"/>
  <c r="D98" i="16"/>
  <c r="H200" i="16"/>
  <c r="D200" i="16"/>
  <c r="D146" i="11"/>
  <c r="D93" i="16"/>
  <c r="D23" i="11"/>
  <c r="H136" i="16"/>
  <c r="D139" i="16"/>
  <c r="H194" i="16"/>
  <c r="D81" i="16"/>
  <c r="H104" i="16"/>
  <c r="D33" i="16"/>
  <c r="H33" i="16"/>
  <c r="D164" i="16"/>
  <c r="H164" i="16"/>
  <c r="D67" i="16"/>
  <c r="H166" i="11"/>
  <c r="D74" i="16"/>
  <c r="H186" i="16"/>
  <c r="H143" i="16"/>
  <c r="H193" i="16"/>
  <c r="D193" i="16"/>
  <c r="H71" i="11"/>
  <c r="D38" i="11"/>
  <c r="D179" i="11"/>
  <c r="D29" i="16"/>
  <c r="D80" i="16"/>
  <c r="H85" i="16"/>
  <c r="H79" i="16"/>
  <c r="D79" i="16"/>
  <c r="D49" i="16"/>
  <c r="H58" i="16"/>
  <c r="D58" i="16"/>
  <c r="H144" i="16"/>
  <c r="D144" i="16"/>
  <c r="H195" i="11"/>
  <c r="H22" i="11"/>
  <c r="H103" i="11"/>
  <c r="D197" i="11"/>
  <c r="D91" i="16"/>
  <c r="D66" i="16"/>
  <c r="H66" i="16"/>
  <c r="D119" i="11"/>
  <c r="D18" i="16"/>
  <c r="D172" i="16"/>
  <c r="D170" i="16"/>
  <c r="H170" i="16"/>
  <c r="D201" i="16"/>
  <c r="H201" i="16"/>
  <c r="H20" i="16"/>
  <c r="D20" i="16"/>
  <c r="H27" i="16"/>
  <c r="D27" i="16"/>
  <c r="H118" i="16"/>
  <c r="D118" i="16"/>
  <c r="D84" i="16"/>
  <c r="H84" i="16"/>
  <c r="H130" i="16"/>
  <c r="D130" i="16"/>
  <c r="H118" i="11"/>
  <c r="D118" i="11"/>
  <c r="H76" i="16"/>
  <c r="D76" i="16"/>
  <c r="H50" i="11"/>
  <c r="D176" i="16"/>
  <c r="H176" i="16"/>
  <c r="H131" i="16"/>
  <c r="D198" i="16"/>
  <c r="H198" i="16"/>
  <c r="H158" i="16"/>
  <c r="D158" i="16"/>
  <c r="H34" i="11"/>
  <c r="D34" i="11"/>
  <c r="H18" i="11"/>
  <c r="H17" i="16"/>
  <c r="H146" i="16"/>
  <c r="D146" i="16"/>
  <c r="H174" i="16"/>
  <c r="D174" i="16"/>
  <c r="D112" i="16"/>
  <c r="H112" i="16"/>
  <c r="H175" i="16"/>
  <c r="D175" i="16"/>
  <c r="D116" i="11"/>
  <c r="H69" i="16"/>
  <c r="D69" i="16"/>
  <c r="H25" i="11"/>
  <c r="D57" i="11"/>
  <c r="H183" i="11"/>
  <c r="H169" i="11"/>
  <c r="D17" i="11"/>
  <c r="H64" i="11"/>
  <c r="H137" i="16"/>
  <c r="D44" i="16"/>
  <c r="H44" i="16"/>
  <c r="D103" i="16"/>
  <c r="H103" i="16"/>
  <c r="H195" i="16"/>
  <c r="D195" i="16"/>
  <c r="H181" i="16"/>
  <c r="D181" i="16"/>
  <c r="H202" i="16"/>
  <c r="D202" i="16"/>
  <c r="D42" i="16"/>
  <c r="H42" i="16"/>
  <c r="D182" i="16"/>
  <c r="H182" i="16"/>
  <c r="H22" i="16"/>
  <c r="D22" i="16"/>
  <c r="H167" i="11"/>
  <c r="H198" i="11"/>
  <c r="D97" i="11"/>
  <c r="D48" i="16"/>
  <c r="D116" i="16"/>
  <c r="H35" i="16"/>
  <c r="H105" i="16"/>
  <c r="H16" i="16"/>
  <c r="D16" i="16"/>
  <c r="H179" i="16"/>
  <c r="D179" i="16"/>
  <c r="H60" i="16"/>
  <c r="D60" i="16"/>
  <c r="H48" i="11"/>
  <c r="D48" i="11"/>
  <c r="H132" i="16"/>
  <c r="D132" i="16"/>
  <c r="H42" i="11"/>
  <c r="D42" i="11"/>
  <c r="H169" i="16"/>
  <c r="D169" i="16"/>
  <c r="D199" i="16"/>
  <c r="H199" i="16"/>
  <c r="H27" i="11"/>
  <c r="D111" i="11"/>
  <c r="H112" i="11"/>
  <c r="H38" i="16"/>
  <c r="H155" i="16"/>
  <c r="D155" i="16"/>
  <c r="H55" i="16"/>
  <c r="D55" i="16"/>
  <c r="H126" i="16"/>
  <c r="D126" i="16"/>
  <c r="H189" i="16"/>
  <c r="D189" i="16"/>
  <c r="D78" i="16"/>
  <c r="H78" i="16"/>
  <c r="D141" i="16"/>
  <c r="H141" i="16"/>
  <c r="H204" i="16"/>
  <c r="D204" i="16"/>
  <c r="H106" i="16"/>
  <c r="D106" i="16"/>
  <c r="D138" i="16"/>
  <c r="H138" i="16"/>
  <c r="H120" i="16"/>
  <c r="D120" i="16"/>
  <c r="D158" i="11"/>
  <c r="H158" i="11"/>
  <c r="H41" i="16"/>
  <c r="D41" i="16"/>
  <c r="D127" i="16"/>
  <c r="H127" i="16"/>
  <c r="H171" i="16"/>
  <c r="D23" i="16"/>
  <c r="H23" i="16"/>
  <c r="H102" i="16"/>
  <c r="D102" i="16"/>
  <c r="D177" i="16"/>
  <c r="H177" i="16"/>
  <c r="D78" i="11"/>
  <c r="H78" i="11"/>
  <c r="D89" i="16"/>
  <c r="H89" i="16"/>
  <c r="D50" i="16"/>
  <c r="H50" i="16"/>
  <c r="D190" i="16"/>
  <c r="H190" i="16"/>
  <c r="D165" i="16"/>
  <c r="D124" i="16"/>
  <c r="H124" i="16"/>
  <c r="D63" i="16"/>
  <c r="H63" i="16"/>
  <c r="D133" i="16"/>
  <c r="H133" i="16"/>
  <c r="D36" i="16"/>
  <c r="H36" i="16"/>
  <c r="D92" i="16"/>
  <c r="H92" i="16"/>
  <c r="D190" i="11"/>
  <c r="D39" i="11"/>
  <c r="D41" i="11"/>
  <c r="H35" i="11"/>
  <c r="D107" i="11"/>
  <c r="H175" i="11"/>
  <c r="H30" i="16"/>
  <c r="D30" i="16"/>
  <c r="H163" i="16"/>
  <c r="D163" i="16"/>
  <c r="D187" i="16"/>
  <c r="H187" i="16"/>
  <c r="H95" i="16"/>
  <c r="D95" i="16"/>
  <c r="D196" i="16"/>
  <c r="H196" i="16"/>
  <c r="H97" i="16"/>
  <c r="D97" i="16"/>
  <c r="D121" i="16"/>
  <c r="H121" i="16"/>
  <c r="H25" i="16"/>
  <c r="D25" i="16"/>
  <c r="H167" i="16"/>
  <c r="D167" i="16"/>
  <c r="H28" i="16"/>
  <c r="D28" i="16"/>
  <c r="D161" i="16"/>
  <c r="H161" i="16"/>
  <c r="D121" i="11"/>
  <c r="H39" i="16"/>
  <c r="D39" i="16"/>
  <c r="H64" i="16"/>
  <c r="D64" i="16"/>
  <c r="D101" i="16"/>
  <c r="H101" i="16"/>
  <c r="H83" i="16"/>
  <c r="D83" i="16"/>
  <c r="H84" i="11"/>
  <c r="H174" i="11"/>
  <c r="D83" i="11"/>
  <c r="H105" i="11"/>
  <c r="H15" i="11"/>
  <c r="H154" i="11"/>
  <c r="H183" i="16"/>
  <c r="H32" i="16"/>
  <c r="D32" i="16"/>
  <c r="H62" i="11"/>
  <c r="D62" i="11"/>
  <c r="H56" i="11"/>
  <c r="H161" i="11"/>
  <c r="D191" i="16"/>
  <c r="H184" i="16"/>
  <c r="D184" i="16"/>
  <c r="H114" i="16"/>
  <c r="D114" i="16"/>
  <c r="H77" i="16"/>
  <c r="D77" i="16"/>
  <c r="H140" i="16"/>
  <c r="D140" i="16"/>
  <c r="H162" i="16"/>
  <c r="D162" i="16"/>
  <c r="D135" i="16"/>
  <c r="H135" i="16"/>
  <c r="H57" i="16"/>
  <c r="D57" i="16"/>
  <c r="D15" i="16"/>
  <c r="H15" i="16"/>
  <c r="H106" i="11"/>
  <c r="H127" i="11"/>
  <c r="H130" i="11"/>
  <c r="H159" i="16"/>
  <c r="D107" i="16"/>
  <c r="H107" i="16"/>
  <c r="D86" i="16"/>
  <c r="H86" i="16"/>
  <c r="H113" i="16"/>
  <c r="D113" i="16"/>
  <c r="D140" i="11"/>
  <c r="H140" i="11"/>
  <c r="I211" i="16" l="1"/>
  <c r="H211" i="16"/>
  <c r="G211" i="16"/>
  <c r="F211" i="16"/>
  <c r="E211" i="16"/>
  <c r="I210" i="16"/>
  <c r="H210" i="16"/>
  <c r="G210" i="16"/>
  <c r="F210" i="16"/>
  <c r="D10" i="16"/>
  <c r="C10" i="16"/>
  <c r="B10" i="16"/>
  <c r="D9" i="16"/>
  <c r="C9" i="16"/>
  <c r="B9" i="16"/>
  <c r="D8" i="16"/>
  <c r="C8" i="16"/>
  <c r="B8" i="16"/>
  <c r="D7" i="16"/>
  <c r="C7" i="16"/>
  <c r="B7" i="16"/>
  <c r="D6" i="16"/>
  <c r="C6" i="16"/>
  <c r="B6" i="16"/>
  <c r="D5" i="16"/>
  <c r="C5" i="16"/>
  <c r="B5" i="16"/>
  <c r="D4" i="16"/>
  <c r="C4" i="16"/>
  <c r="B4" i="16"/>
  <c r="AH6" i="5" l="1"/>
  <c r="AH7" i="5"/>
  <c r="AH8" i="5"/>
  <c r="I210" i="11"/>
  <c r="H210" i="11"/>
  <c r="G210" i="11"/>
  <c r="F210" i="11"/>
  <c r="E211" i="11"/>
  <c r="F211" i="11"/>
  <c r="G211" i="11"/>
  <c r="H211" i="11"/>
  <c r="I211" i="11"/>
  <c r="C192" i="8" l="1"/>
  <c r="D192" i="8"/>
  <c r="B192" i="8" s="1"/>
  <c r="C193" i="8"/>
  <c r="D193" i="8"/>
  <c r="B193" i="8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192" i="9" l="1"/>
  <c r="B193" i="9"/>
  <c r="D190" i="8"/>
  <c r="B190" i="8" s="1"/>
  <c r="C190" i="8"/>
  <c r="D189" i="8"/>
  <c r="B189" i="8" s="1"/>
  <c r="C189" i="8"/>
  <c r="D188" i="8"/>
  <c r="B188" i="8" s="1"/>
  <c r="C188" i="8"/>
  <c r="D187" i="8"/>
  <c r="B187" i="8" s="1"/>
  <c r="C187" i="8"/>
  <c r="C191" i="8"/>
  <c r="D191" i="8"/>
  <c r="B191" i="8" s="1"/>
  <c r="B204" i="11" l="1"/>
  <c r="B204" i="16"/>
  <c r="B203" i="11"/>
  <c r="B203" i="16"/>
  <c r="B191" i="9"/>
  <c r="B187" i="9"/>
  <c r="B188" i="9"/>
  <c r="B189" i="9"/>
  <c r="B190" i="9"/>
  <c r="C108" i="8"/>
  <c r="D108" i="8"/>
  <c r="B108" i="8" s="1"/>
  <c r="C109" i="8"/>
  <c r="D109" i="8"/>
  <c r="B109" i="8" s="1"/>
  <c r="C110" i="8"/>
  <c r="D110" i="8"/>
  <c r="B110" i="8" s="1"/>
  <c r="C111" i="8"/>
  <c r="D111" i="8"/>
  <c r="B111" i="8" s="1"/>
  <c r="C112" i="8"/>
  <c r="D112" i="8"/>
  <c r="B112" i="8" s="1"/>
  <c r="C113" i="8"/>
  <c r="D113" i="8"/>
  <c r="B113" i="8" s="1"/>
  <c r="C114" i="8"/>
  <c r="D114" i="8"/>
  <c r="B114" i="8" s="1"/>
  <c r="C115" i="8"/>
  <c r="D115" i="8"/>
  <c r="B115" i="8" s="1"/>
  <c r="C116" i="8"/>
  <c r="D116" i="8"/>
  <c r="B116" i="8" s="1"/>
  <c r="C117" i="8"/>
  <c r="D117" i="8"/>
  <c r="B117" i="8" s="1"/>
  <c r="C118" i="8"/>
  <c r="D118" i="8"/>
  <c r="B118" i="8" s="1"/>
  <c r="C119" i="8"/>
  <c r="D119" i="8"/>
  <c r="B119" i="8" s="1"/>
  <c r="C120" i="8"/>
  <c r="D120" i="8"/>
  <c r="B120" i="8" s="1"/>
  <c r="C121" i="8"/>
  <c r="D121" i="8"/>
  <c r="B121" i="8" s="1"/>
  <c r="C122" i="8"/>
  <c r="D122" i="8"/>
  <c r="B122" i="8" s="1"/>
  <c r="C123" i="8"/>
  <c r="D123" i="8"/>
  <c r="B123" i="8" s="1"/>
  <c r="C124" i="8"/>
  <c r="D124" i="8"/>
  <c r="B124" i="8" s="1"/>
  <c r="C125" i="8"/>
  <c r="D125" i="8"/>
  <c r="B125" i="8" s="1"/>
  <c r="C126" i="8"/>
  <c r="D126" i="8"/>
  <c r="B126" i="8" s="1"/>
  <c r="C127" i="8"/>
  <c r="D127" i="8"/>
  <c r="B127" i="8" s="1"/>
  <c r="C128" i="8"/>
  <c r="D128" i="8"/>
  <c r="B128" i="8" s="1"/>
  <c r="C129" i="8"/>
  <c r="D129" i="8"/>
  <c r="B129" i="8" s="1"/>
  <c r="C130" i="8"/>
  <c r="D130" i="8"/>
  <c r="B130" i="8" s="1"/>
  <c r="C131" i="8"/>
  <c r="D131" i="8"/>
  <c r="B131" i="8" s="1"/>
  <c r="C132" i="8"/>
  <c r="D132" i="8"/>
  <c r="B132" i="8" s="1"/>
  <c r="C133" i="8"/>
  <c r="D133" i="8"/>
  <c r="B133" i="8" s="1"/>
  <c r="C134" i="8"/>
  <c r="D134" i="8"/>
  <c r="B134" i="8" s="1"/>
  <c r="C135" i="8"/>
  <c r="D135" i="8"/>
  <c r="B135" i="8" s="1"/>
  <c r="C136" i="8"/>
  <c r="D136" i="8"/>
  <c r="B136" i="8" s="1"/>
  <c r="C137" i="8"/>
  <c r="D137" i="8"/>
  <c r="B137" i="8" s="1"/>
  <c r="C138" i="8"/>
  <c r="D138" i="8"/>
  <c r="B138" i="8" s="1"/>
  <c r="C139" i="8"/>
  <c r="D139" i="8"/>
  <c r="B139" i="8" s="1"/>
  <c r="C140" i="8"/>
  <c r="D140" i="8"/>
  <c r="B140" i="8" s="1"/>
  <c r="C141" i="8"/>
  <c r="D141" i="8"/>
  <c r="B141" i="8" s="1"/>
  <c r="C142" i="8"/>
  <c r="D142" i="8"/>
  <c r="B142" i="8" s="1"/>
  <c r="C143" i="8"/>
  <c r="D143" i="8"/>
  <c r="B143" i="8" s="1"/>
  <c r="C144" i="8"/>
  <c r="D144" i="8"/>
  <c r="B144" i="8" s="1"/>
  <c r="C145" i="8"/>
  <c r="D145" i="8"/>
  <c r="B145" i="8" s="1"/>
  <c r="C146" i="8"/>
  <c r="D146" i="8"/>
  <c r="B146" i="8" s="1"/>
  <c r="C147" i="8"/>
  <c r="D147" i="8"/>
  <c r="B147" i="8" s="1"/>
  <c r="C148" i="8"/>
  <c r="D148" i="8"/>
  <c r="B148" i="8" s="1"/>
  <c r="C149" i="8"/>
  <c r="D149" i="8"/>
  <c r="B149" i="8" s="1"/>
  <c r="C150" i="8"/>
  <c r="D150" i="8"/>
  <c r="B150" i="8" s="1"/>
  <c r="C151" i="8"/>
  <c r="D151" i="8"/>
  <c r="B151" i="8" s="1"/>
  <c r="C152" i="8"/>
  <c r="D152" i="8"/>
  <c r="B152" i="8" s="1"/>
  <c r="C153" i="8"/>
  <c r="D153" i="8"/>
  <c r="B153" i="8" s="1"/>
  <c r="C154" i="8"/>
  <c r="D154" i="8"/>
  <c r="B154" i="8" s="1"/>
  <c r="C155" i="8"/>
  <c r="D155" i="8"/>
  <c r="B155" i="8" s="1"/>
  <c r="C156" i="8"/>
  <c r="D156" i="8"/>
  <c r="B156" i="8" s="1"/>
  <c r="C157" i="8"/>
  <c r="D157" i="8"/>
  <c r="B157" i="8" s="1"/>
  <c r="C158" i="8"/>
  <c r="D158" i="8"/>
  <c r="B158" i="8" s="1"/>
  <c r="C159" i="8"/>
  <c r="D159" i="8"/>
  <c r="B159" i="8" s="1"/>
  <c r="C160" i="8"/>
  <c r="D160" i="8"/>
  <c r="B160" i="8" s="1"/>
  <c r="C161" i="8"/>
  <c r="D161" i="8"/>
  <c r="B161" i="8" s="1"/>
  <c r="C162" i="8"/>
  <c r="D162" i="8"/>
  <c r="B162" i="8" s="1"/>
  <c r="C163" i="8"/>
  <c r="D163" i="8"/>
  <c r="B163" i="8" s="1"/>
  <c r="C164" i="8"/>
  <c r="D164" i="8"/>
  <c r="B164" i="8" s="1"/>
  <c r="C165" i="8"/>
  <c r="D165" i="8"/>
  <c r="B165" i="8" s="1"/>
  <c r="C166" i="8"/>
  <c r="D166" i="8"/>
  <c r="B166" i="8" s="1"/>
  <c r="C167" i="8"/>
  <c r="D167" i="8"/>
  <c r="B167" i="8" s="1"/>
  <c r="C168" i="8"/>
  <c r="D168" i="8"/>
  <c r="B168" i="8" s="1"/>
  <c r="C169" i="8"/>
  <c r="D169" i="8"/>
  <c r="B169" i="8" s="1"/>
  <c r="C170" i="8"/>
  <c r="D170" i="8"/>
  <c r="B170" i="8" s="1"/>
  <c r="C171" i="8"/>
  <c r="D171" i="8"/>
  <c r="B171" i="8" s="1"/>
  <c r="C172" i="8"/>
  <c r="D172" i="8"/>
  <c r="B172" i="8" s="1"/>
  <c r="C173" i="8"/>
  <c r="D173" i="8"/>
  <c r="B173" i="8" s="1"/>
  <c r="C174" i="8"/>
  <c r="D174" i="8"/>
  <c r="B174" i="8" s="1"/>
  <c r="C175" i="8"/>
  <c r="D175" i="8"/>
  <c r="B175" i="8" s="1"/>
  <c r="C176" i="8"/>
  <c r="D176" i="8"/>
  <c r="B176" i="8" s="1"/>
  <c r="C177" i="8"/>
  <c r="D177" i="8"/>
  <c r="B177" i="8" s="1"/>
  <c r="C178" i="8"/>
  <c r="D178" i="8"/>
  <c r="B178" i="8" s="1"/>
  <c r="C179" i="8"/>
  <c r="D179" i="8"/>
  <c r="B179" i="8" s="1"/>
  <c r="C180" i="8"/>
  <c r="D180" i="8"/>
  <c r="B180" i="8" s="1"/>
  <c r="C181" i="8"/>
  <c r="D181" i="8"/>
  <c r="B181" i="8" s="1"/>
  <c r="C182" i="8"/>
  <c r="D182" i="8"/>
  <c r="B182" i="8" s="1"/>
  <c r="C183" i="8"/>
  <c r="D183" i="8"/>
  <c r="B183" i="8" s="1"/>
  <c r="C184" i="8"/>
  <c r="D184" i="8"/>
  <c r="B184" i="8" s="1"/>
  <c r="C185" i="8"/>
  <c r="D185" i="8"/>
  <c r="B185" i="8" s="1"/>
  <c r="C186" i="8"/>
  <c r="D186" i="8"/>
  <c r="B186" i="8" s="1"/>
  <c r="C3" i="8"/>
  <c r="D3" i="8"/>
  <c r="B3" i="8" s="1"/>
  <c r="C4" i="8"/>
  <c r="D4" i="8"/>
  <c r="B4" i="8" s="1"/>
  <c r="C5" i="8"/>
  <c r="D5" i="8"/>
  <c r="B5" i="8" s="1"/>
  <c r="C6" i="8"/>
  <c r="D6" i="8"/>
  <c r="B6" i="8" s="1"/>
  <c r="C7" i="8"/>
  <c r="D7" i="8"/>
  <c r="B7" i="8" s="1"/>
  <c r="C8" i="8"/>
  <c r="D8" i="8"/>
  <c r="B8" i="8" s="1"/>
  <c r="C9" i="8"/>
  <c r="D9" i="8"/>
  <c r="B9" i="8" s="1"/>
  <c r="C10" i="8"/>
  <c r="D10" i="8"/>
  <c r="B10" i="8" s="1"/>
  <c r="C11" i="8"/>
  <c r="D11" i="8"/>
  <c r="B11" i="8" s="1"/>
  <c r="C12" i="8"/>
  <c r="D12" i="8"/>
  <c r="B12" i="8" s="1"/>
  <c r="C13" i="8"/>
  <c r="D13" i="8"/>
  <c r="B13" i="8" s="1"/>
  <c r="C14" i="8"/>
  <c r="D14" i="8"/>
  <c r="B14" i="8" s="1"/>
  <c r="C15" i="8"/>
  <c r="D15" i="8"/>
  <c r="B15" i="8" s="1"/>
  <c r="C16" i="8"/>
  <c r="D16" i="8"/>
  <c r="B16" i="8" s="1"/>
  <c r="C17" i="8"/>
  <c r="D17" i="8"/>
  <c r="B17" i="8" s="1"/>
  <c r="C18" i="8"/>
  <c r="D18" i="8"/>
  <c r="B18" i="8" s="1"/>
  <c r="C19" i="8"/>
  <c r="D19" i="8"/>
  <c r="B19" i="8" s="1"/>
  <c r="C20" i="8"/>
  <c r="D20" i="8"/>
  <c r="B20" i="8" s="1"/>
  <c r="C21" i="8"/>
  <c r="D21" i="8"/>
  <c r="B21" i="8" s="1"/>
  <c r="C22" i="8"/>
  <c r="D22" i="8"/>
  <c r="B22" i="8" s="1"/>
  <c r="C23" i="8"/>
  <c r="D23" i="8"/>
  <c r="B23" i="8" s="1"/>
  <c r="C24" i="8"/>
  <c r="D24" i="8"/>
  <c r="B24" i="8" s="1"/>
  <c r="C25" i="8"/>
  <c r="D25" i="8"/>
  <c r="B25" i="8" s="1"/>
  <c r="C26" i="8"/>
  <c r="D26" i="8"/>
  <c r="B26" i="8" s="1"/>
  <c r="C27" i="8"/>
  <c r="D27" i="8"/>
  <c r="B27" i="8" s="1"/>
  <c r="C28" i="8"/>
  <c r="D28" i="8"/>
  <c r="B28" i="8" s="1"/>
  <c r="C29" i="8"/>
  <c r="D29" i="8"/>
  <c r="B29" i="8" s="1"/>
  <c r="C30" i="8"/>
  <c r="D30" i="8"/>
  <c r="B30" i="8" s="1"/>
  <c r="C31" i="8"/>
  <c r="D31" i="8"/>
  <c r="B31" i="8" s="1"/>
  <c r="C32" i="8"/>
  <c r="D32" i="8"/>
  <c r="B32" i="8" s="1"/>
  <c r="C33" i="8"/>
  <c r="D33" i="8"/>
  <c r="B33" i="8" s="1"/>
  <c r="C34" i="8"/>
  <c r="D34" i="8"/>
  <c r="B34" i="8" s="1"/>
  <c r="C35" i="8"/>
  <c r="D35" i="8"/>
  <c r="B35" i="8" s="1"/>
  <c r="C36" i="8"/>
  <c r="D36" i="8"/>
  <c r="B36" i="8" s="1"/>
  <c r="C37" i="8"/>
  <c r="D37" i="8"/>
  <c r="B37" i="8" s="1"/>
  <c r="C38" i="8"/>
  <c r="D38" i="8"/>
  <c r="B38" i="8" s="1"/>
  <c r="C39" i="8"/>
  <c r="D39" i="8"/>
  <c r="B39" i="8" s="1"/>
  <c r="C40" i="8"/>
  <c r="D40" i="8"/>
  <c r="B40" i="8" s="1"/>
  <c r="C41" i="8"/>
  <c r="D41" i="8"/>
  <c r="B41" i="8" s="1"/>
  <c r="C42" i="8"/>
  <c r="D42" i="8"/>
  <c r="B42" i="8" s="1"/>
  <c r="C43" i="8"/>
  <c r="D43" i="8"/>
  <c r="B43" i="8" s="1"/>
  <c r="C44" i="8"/>
  <c r="D44" i="8"/>
  <c r="B44" i="8" s="1"/>
  <c r="C45" i="8"/>
  <c r="D45" i="8"/>
  <c r="B45" i="8" s="1"/>
  <c r="C46" i="8"/>
  <c r="D46" i="8"/>
  <c r="B46" i="8" s="1"/>
  <c r="C47" i="8"/>
  <c r="D47" i="8"/>
  <c r="B47" i="8" s="1"/>
  <c r="C48" i="8"/>
  <c r="D48" i="8"/>
  <c r="B48" i="8" s="1"/>
  <c r="C49" i="8"/>
  <c r="D49" i="8"/>
  <c r="B49" i="8" s="1"/>
  <c r="C50" i="8"/>
  <c r="D50" i="8"/>
  <c r="B50" i="8" s="1"/>
  <c r="C51" i="8"/>
  <c r="D51" i="8"/>
  <c r="B51" i="8" s="1"/>
  <c r="C52" i="8"/>
  <c r="D52" i="8"/>
  <c r="B52" i="8" s="1"/>
  <c r="C53" i="8"/>
  <c r="D53" i="8"/>
  <c r="B53" i="8" s="1"/>
  <c r="C54" i="8"/>
  <c r="D54" i="8"/>
  <c r="B54" i="8" s="1"/>
  <c r="C55" i="8"/>
  <c r="D55" i="8"/>
  <c r="B55" i="8" s="1"/>
  <c r="C56" i="8"/>
  <c r="D56" i="8"/>
  <c r="B56" i="8" s="1"/>
  <c r="C57" i="8"/>
  <c r="D57" i="8"/>
  <c r="B57" i="8" s="1"/>
  <c r="C58" i="8"/>
  <c r="D58" i="8"/>
  <c r="B58" i="8" s="1"/>
  <c r="C59" i="8"/>
  <c r="D59" i="8"/>
  <c r="B59" i="8" s="1"/>
  <c r="C60" i="8"/>
  <c r="D60" i="8"/>
  <c r="B60" i="8" s="1"/>
  <c r="C61" i="8"/>
  <c r="D61" i="8"/>
  <c r="B61" i="8" s="1"/>
  <c r="C62" i="8"/>
  <c r="D62" i="8"/>
  <c r="B62" i="8" s="1"/>
  <c r="C63" i="8"/>
  <c r="D63" i="8"/>
  <c r="B63" i="8" s="1"/>
  <c r="C64" i="8"/>
  <c r="D64" i="8"/>
  <c r="B64" i="8" s="1"/>
  <c r="C65" i="8"/>
  <c r="D65" i="8"/>
  <c r="B65" i="8" s="1"/>
  <c r="C66" i="8"/>
  <c r="D66" i="8"/>
  <c r="B66" i="8" s="1"/>
  <c r="C67" i="8"/>
  <c r="D67" i="8"/>
  <c r="B67" i="8" s="1"/>
  <c r="C68" i="8"/>
  <c r="D68" i="8"/>
  <c r="B68" i="8" s="1"/>
  <c r="C69" i="8"/>
  <c r="D69" i="8"/>
  <c r="B69" i="8" s="1"/>
  <c r="C70" i="8"/>
  <c r="D70" i="8"/>
  <c r="B70" i="8" s="1"/>
  <c r="C71" i="8"/>
  <c r="D71" i="8"/>
  <c r="B71" i="8" s="1"/>
  <c r="C72" i="8"/>
  <c r="D72" i="8"/>
  <c r="B72" i="8" s="1"/>
  <c r="C73" i="8"/>
  <c r="D73" i="8"/>
  <c r="B73" i="8" s="1"/>
  <c r="C74" i="8"/>
  <c r="D74" i="8"/>
  <c r="B74" i="8" s="1"/>
  <c r="C75" i="8"/>
  <c r="D75" i="8"/>
  <c r="B75" i="8" s="1"/>
  <c r="C76" i="8"/>
  <c r="D76" i="8"/>
  <c r="B76" i="8" s="1"/>
  <c r="C77" i="8"/>
  <c r="D77" i="8"/>
  <c r="B77" i="8" s="1"/>
  <c r="C78" i="8"/>
  <c r="D78" i="8"/>
  <c r="B78" i="8" s="1"/>
  <c r="C79" i="8"/>
  <c r="D79" i="8"/>
  <c r="B79" i="8" s="1"/>
  <c r="C80" i="8"/>
  <c r="D80" i="8"/>
  <c r="B80" i="8" s="1"/>
  <c r="C81" i="8"/>
  <c r="D81" i="8"/>
  <c r="B81" i="8" s="1"/>
  <c r="C82" i="8"/>
  <c r="D82" i="8"/>
  <c r="B82" i="8" s="1"/>
  <c r="C83" i="8"/>
  <c r="D83" i="8"/>
  <c r="B83" i="8" s="1"/>
  <c r="C84" i="8"/>
  <c r="D84" i="8"/>
  <c r="B84" i="8" s="1"/>
  <c r="C85" i="8"/>
  <c r="D85" i="8"/>
  <c r="B85" i="8" s="1"/>
  <c r="C86" i="8"/>
  <c r="D86" i="8"/>
  <c r="B86" i="8" s="1"/>
  <c r="C87" i="8"/>
  <c r="D87" i="8"/>
  <c r="B87" i="8" s="1"/>
  <c r="C88" i="8"/>
  <c r="D88" i="8"/>
  <c r="B88" i="8" s="1"/>
  <c r="C89" i="8"/>
  <c r="D89" i="8"/>
  <c r="B89" i="8" s="1"/>
  <c r="C90" i="8"/>
  <c r="D90" i="8"/>
  <c r="B90" i="8" s="1"/>
  <c r="C91" i="8"/>
  <c r="D91" i="8"/>
  <c r="B91" i="8" s="1"/>
  <c r="C92" i="8"/>
  <c r="D92" i="8"/>
  <c r="B92" i="8" s="1"/>
  <c r="C93" i="8"/>
  <c r="D93" i="8"/>
  <c r="B93" i="8" s="1"/>
  <c r="C94" i="8"/>
  <c r="D94" i="8"/>
  <c r="B94" i="8" s="1"/>
  <c r="C95" i="8"/>
  <c r="D95" i="8"/>
  <c r="B95" i="8" s="1"/>
  <c r="C96" i="8"/>
  <c r="D96" i="8"/>
  <c r="B96" i="8" s="1"/>
  <c r="C97" i="8"/>
  <c r="D97" i="8"/>
  <c r="B97" i="8" s="1"/>
  <c r="C98" i="8"/>
  <c r="D98" i="8"/>
  <c r="B98" i="8" s="1"/>
  <c r="C99" i="8"/>
  <c r="D99" i="8"/>
  <c r="B99" i="8" s="1"/>
  <c r="C100" i="8"/>
  <c r="D100" i="8"/>
  <c r="B100" i="8" s="1"/>
  <c r="C101" i="8"/>
  <c r="D101" i="8"/>
  <c r="B101" i="8" s="1"/>
  <c r="C102" i="8"/>
  <c r="D102" i="8"/>
  <c r="B102" i="8" s="1"/>
  <c r="C103" i="8"/>
  <c r="D103" i="8"/>
  <c r="B103" i="8" s="1"/>
  <c r="C104" i="8"/>
  <c r="D104" i="8"/>
  <c r="B104" i="8" s="1"/>
  <c r="C105" i="8"/>
  <c r="D105" i="8"/>
  <c r="B105" i="8" s="1"/>
  <c r="C106" i="8"/>
  <c r="D106" i="8"/>
  <c r="B106" i="8" s="1"/>
  <c r="C107" i="8"/>
  <c r="D107" i="8"/>
  <c r="B107" i="8" s="1"/>
  <c r="B201" i="11" l="1"/>
  <c r="B201" i="16"/>
  <c r="B200" i="11"/>
  <c r="B200" i="16"/>
  <c r="B199" i="11"/>
  <c r="B199" i="16"/>
  <c r="B198" i="11"/>
  <c r="B198" i="16"/>
  <c r="B202" i="11"/>
  <c r="B202" i="16"/>
  <c r="B181" i="9"/>
  <c r="B186" i="9"/>
  <c r="B179" i="9"/>
  <c r="B172" i="9"/>
  <c r="B165" i="9"/>
  <c r="B173" i="9"/>
  <c r="B185" i="9"/>
  <c r="B178" i="9"/>
  <c r="B171" i="9"/>
  <c r="B164" i="9"/>
  <c r="B180" i="9"/>
  <c r="B166" i="9"/>
  <c r="B184" i="9"/>
  <c r="B177" i="9"/>
  <c r="B170" i="9"/>
  <c r="B163" i="9"/>
  <c r="B162" i="9"/>
  <c r="B183" i="9"/>
  <c r="B176" i="9"/>
  <c r="B169" i="9"/>
  <c r="B182" i="9"/>
  <c r="B175" i="9"/>
  <c r="B168" i="9"/>
  <c r="B160" i="9"/>
  <c r="B174" i="9"/>
  <c r="B167" i="9"/>
  <c r="B161" i="9"/>
  <c r="B159" i="9"/>
  <c r="B171" i="11" l="1"/>
  <c r="B171" i="16"/>
  <c r="B186" i="11"/>
  <c r="B186" i="16"/>
  <c r="B173" i="11"/>
  <c r="B173" i="16"/>
  <c r="B174" i="11"/>
  <c r="B174" i="16"/>
  <c r="B197" i="11"/>
  <c r="B197" i="16"/>
  <c r="B179" i="11"/>
  <c r="B179" i="16"/>
  <c r="B193" i="11"/>
  <c r="B193" i="16"/>
  <c r="B170" i="11"/>
  <c r="B170" i="16"/>
  <c r="B181" i="11"/>
  <c r="B181" i="16"/>
  <c r="B192" i="11"/>
  <c r="B192" i="16"/>
  <c r="B175" i="11"/>
  <c r="B175" i="16"/>
  <c r="B194" i="11"/>
  <c r="B194" i="16"/>
  <c r="B183" i="11"/>
  <c r="B183" i="16"/>
  <c r="B190" i="11"/>
  <c r="B190" i="16"/>
  <c r="B172" i="11"/>
  <c r="B172" i="16"/>
  <c r="B188" i="11"/>
  <c r="B188" i="16"/>
  <c r="B195" i="11"/>
  <c r="B195" i="16"/>
  <c r="B178" i="11"/>
  <c r="B178" i="16"/>
  <c r="B177" i="11"/>
  <c r="B177" i="16"/>
  <c r="B191" i="11"/>
  <c r="B191" i="16"/>
  <c r="B189" i="11"/>
  <c r="B189" i="16"/>
  <c r="B196" i="11"/>
  <c r="B196" i="16"/>
  <c r="B180" i="11"/>
  <c r="B180" i="16"/>
  <c r="B185" i="11"/>
  <c r="B185" i="16"/>
  <c r="B182" i="11"/>
  <c r="B182" i="16"/>
  <c r="B184" i="11"/>
  <c r="B184" i="16"/>
  <c r="B187" i="11"/>
  <c r="B187" i="16"/>
  <c r="B176" i="11"/>
  <c r="B176" i="16"/>
  <c r="AJ6" i="5"/>
  <c r="AJ7" i="5"/>
  <c r="AJ8" i="5"/>
  <c r="AJ9" i="5"/>
  <c r="AJ10" i="5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AI6" i="5"/>
  <c r="AI7" i="5"/>
  <c r="AI8" i="5"/>
  <c r="AH9" i="5"/>
  <c r="AI9" i="5" s="1"/>
  <c r="AH10" i="5"/>
  <c r="AI10" i="5" s="1"/>
  <c r="AH11" i="5"/>
  <c r="AI11" i="5" s="1"/>
  <c r="AH12" i="5"/>
  <c r="AI12" i="5" s="1"/>
  <c r="D14" i="11" l="1"/>
  <c r="B153" i="9"/>
  <c r="B154" i="9"/>
  <c r="B155" i="9"/>
  <c r="B156" i="9"/>
  <c r="B158" i="9"/>
  <c r="B152" i="9"/>
  <c r="B157" i="9"/>
  <c r="AJ12" i="5"/>
  <c r="AJ11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20" i="11" l="1"/>
  <c r="B120" i="16"/>
  <c r="B92" i="11"/>
  <c r="B92" i="16"/>
  <c r="B22" i="11"/>
  <c r="B22" i="16"/>
  <c r="B49" i="11"/>
  <c r="B49" i="16"/>
  <c r="B160" i="11"/>
  <c r="B160" i="16"/>
  <c r="B90" i="11"/>
  <c r="B90" i="16"/>
  <c r="B34" i="11"/>
  <c r="B34" i="16"/>
  <c r="B20" i="11"/>
  <c r="B20" i="16"/>
  <c r="B159" i="11"/>
  <c r="B159" i="16"/>
  <c r="B145" i="11"/>
  <c r="B145" i="16"/>
  <c r="B131" i="11"/>
  <c r="B131" i="16"/>
  <c r="B117" i="11"/>
  <c r="B117" i="16"/>
  <c r="B103" i="11"/>
  <c r="B103" i="16"/>
  <c r="B89" i="11"/>
  <c r="B89" i="16"/>
  <c r="B75" i="11"/>
  <c r="B75" i="16"/>
  <c r="B61" i="11"/>
  <c r="B61" i="16"/>
  <c r="B47" i="11"/>
  <c r="B47" i="16"/>
  <c r="B33" i="11"/>
  <c r="B33" i="16"/>
  <c r="B19" i="11"/>
  <c r="B19" i="16"/>
  <c r="B147" i="11"/>
  <c r="B147" i="16"/>
  <c r="B77" i="11"/>
  <c r="B77" i="16"/>
  <c r="B62" i="11"/>
  <c r="B62" i="16"/>
  <c r="B116" i="11"/>
  <c r="B116" i="16"/>
  <c r="B88" i="11"/>
  <c r="B88" i="16"/>
  <c r="B46" i="11"/>
  <c r="B46" i="16"/>
  <c r="B18" i="11"/>
  <c r="B18" i="16"/>
  <c r="B162" i="11"/>
  <c r="B162" i="16"/>
  <c r="B148" i="11"/>
  <c r="B148" i="16"/>
  <c r="B130" i="11"/>
  <c r="B130" i="16"/>
  <c r="B74" i="11"/>
  <c r="B74" i="16"/>
  <c r="B60" i="11"/>
  <c r="B60" i="16"/>
  <c r="B32" i="11"/>
  <c r="B32" i="16"/>
  <c r="B157" i="11"/>
  <c r="B157" i="16"/>
  <c r="B143" i="11"/>
  <c r="B143" i="16"/>
  <c r="B129" i="11"/>
  <c r="B129" i="16"/>
  <c r="B115" i="11"/>
  <c r="B115" i="16"/>
  <c r="B101" i="11"/>
  <c r="B101" i="16"/>
  <c r="B87" i="11"/>
  <c r="B87" i="16"/>
  <c r="B73" i="11"/>
  <c r="B73" i="16"/>
  <c r="B59" i="11"/>
  <c r="B59" i="16"/>
  <c r="B45" i="11"/>
  <c r="B45" i="16"/>
  <c r="B31" i="11"/>
  <c r="B31" i="16"/>
  <c r="B17" i="11"/>
  <c r="B17" i="16"/>
  <c r="B168" i="11"/>
  <c r="B168" i="16"/>
  <c r="B134" i="11"/>
  <c r="B134" i="16"/>
  <c r="B50" i="11"/>
  <c r="B50" i="16"/>
  <c r="B161" i="11"/>
  <c r="B161" i="16"/>
  <c r="B63" i="11"/>
  <c r="B63" i="16"/>
  <c r="B146" i="11"/>
  <c r="B146" i="16"/>
  <c r="B132" i="11"/>
  <c r="B132" i="16"/>
  <c r="B48" i="11"/>
  <c r="B48" i="16"/>
  <c r="B102" i="11"/>
  <c r="B102" i="16"/>
  <c r="B58" i="11"/>
  <c r="B58" i="16"/>
  <c r="B30" i="11"/>
  <c r="B30" i="16"/>
  <c r="B163" i="11"/>
  <c r="B163" i="16"/>
  <c r="B138" i="11"/>
  <c r="B138" i="16"/>
  <c r="B150" i="11"/>
  <c r="B150" i="16"/>
  <c r="B64" i="11"/>
  <c r="B64" i="16"/>
  <c r="B158" i="11"/>
  <c r="B158" i="16"/>
  <c r="B128" i="11"/>
  <c r="B128" i="16"/>
  <c r="B86" i="11"/>
  <c r="B86" i="16"/>
  <c r="B44" i="11"/>
  <c r="B44" i="16"/>
  <c r="B16" i="11"/>
  <c r="B16" i="16"/>
  <c r="B155" i="11"/>
  <c r="B155" i="16"/>
  <c r="B141" i="11"/>
  <c r="B141" i="16"/>
  <c r="B127" i="11"/>
  <c r="B127" i="16"/>
  <c r="B113" i="11"/>
  <c r="B113" i="16"/>
  <c r="B99" i="11"/>
  <c r="B99" i="16"/>
  <c r="B85" i="11"/>
  <c r="B85" i="16"/>
  <c r="B71" i="11"/>
  <c r="B71" i="16"/>
  <c r="B57" i="11"/>
  <c r="B57" i="16"/>
  <c r="B43" i="11"/>
  <c r="B43" i="16"/>
  <c r="B29" i="11"/>
  <c r="B29" i="16"/>
  <c r="B15" i="11"/>
  <c r="B15" i="16"/>
  <c r="B169" i="11"/>
  <c r="B169" i="16"/>
  <c r="B106" i="11"/>
  <c r="B106" i="16"/>
  <c r="B78" i="11"/>
  <c r="B78" i="16"/>
  <c r="B36" i="11"/>
  <c r="B36" i="16"/>
  <c r="B133" i="11"/>
  <c r="B133" i="16"/>
  <c r="B105" i="11"/>
  <c r="B105" i="16"/>
  <c r="B35" i="11"/>
  <c r="B35" i="16"/>
  <c r="B76" i="11"/>
  <c r="B76" i="16"/>
  <c r="B142" i="11"/>
  <c r="B142" i="16"/>
  <c r="B100" i="11"/>
  <c r="B100" i="16"/>
  <c r="B72" i="11"/>
  <c r="B72" i="16"/>
  <c r="B154" i="11"/>
  <c r="B154" i="16"/>
  <c r="B126" i="11"/>
  <c r="B126" i="16"/>
  <c r="B112" i="11"/>
  <c r="B112" i="16"/>
  <c r="B84" i="11"/>
  <c r="B84" i="16"/>
  <c r="B56" i="11"/>
  <c r="B56" i="16"/>
  <c r="B42" i="11"/>
  <c r="B42" i="16"/>
  <c r="B28" i="11"/>
  <c r="B28" i="16"/>
  <c r="B14" i="11"/>
  <c r="B14" i="16"/>
  <c r="B167" i="11"/>
  <c r="B167" i="16"/>
  <c r="B119" i="11"/>
  <c r="B119" i="16"/>
  <c r="B91" i="11"/>
  <c r="B91" i="16"/>
  <c r="B21" i="11"/>
  <c r="B21" i="16"/>
  <c r="B118" i="11"/>
  <c r="B118" i="16"/>
  <c r="B104" i="11"/>
  <c r="B104" i="16"/>
  <c r="B144" i="11"/>
  <c r="B144" i="16"/>
  <c r="B156" i="11"/>
  <c r="B156" i="16"/>
  <c r="B114" i="11"/>
  <c r="B114" i="16"/>
  <c r="B140" i="11"/>
  <c r="B140" i="16"/>
  <c r="B98" i="11"/>
  <c r="B98" i="16"/>
  <c r="B70" i="11"/>
  <c r="B70" i="16"/>
  <c r="B153" i="11"/>
  <c r="B153" i="16"/>
  <c r="B139" i="11"/>
  <c r="B139" i="16"/>
  <c r="B125" i="11"/>
  <c r="B125" i="16"/>
  <c r="B111" i="11"/>
  <c r="B111" i="16"/>
  <c r="B97" i="11"/>
  <c r="B97" i="16"/>
  <c r="B83" i="11"/>
  <c r="B83" i="16"/>
  <c r="B69" i="11"/>
  <c r="B69" i="16"/>
  <c r="B55" i="11"/>
  <c r="B55" i="16"/>
  <c r="B41" i="11"/>
  <c r="B41" i="16"/>
  <c r="B27" i="11"/>
  <c r="B27" i="16"/>
  <c r="B166" i="11"/>
  <c r="B166" i="16"/>
  <c r="B110" i="11"/>
  <c r="B110" i="16"/>
  <c r="B165" i="11"/>
  <c r="B165" i="16"/>
  <c r="B152" i="11"/>
  <c r="B152" i="16"/>
  <c r="B124" i="11"/>
  <c r="B124" i="16"/>
  <c r="B96" i="11"/>
  <c r="B96" i="16"/>
  <c r="B82" i="11"/>
  <c r="B82" i="16"/>
  <c r="B68" i="11"/>
  <c r="B68" i="16"/>
  <c r="B54" i="11"/>
  <c r="B54" i="16"/>
  <c r="B40" i="11"/>
  <c r="B40" i="16"/>
  <c r="B26" i="11"/>
  <c r="B26" i="16"/>
  <c r="B151" i="11"/>
  <c r="B151" i="16"/>
  <c r="B137" i="11"/>
  <c r="B137" i="16"/>
  <c r="B123" i="11"/>
  <c r="B123" i="16"/>
  <c r="B109" i="11"/>
  <c r="B109" i="16"/>
  <c r="B95" i="11"/>
  <c r="B95" i="16"/>
  <c r="B81" i="11"/>
  <c r="B81" i="16"/>
  <c r="B67" i="11"/>
  <c r="B67" i="16"/>
  <c r="B53" i="11"/>
  <c r="B53" i="16"/>
  <c r="B39" i="11"/>
  <c r="B39" i="16"/>
  <c r="B25" i="11"/>
  <c r="B25" i="16"/>
  <c r="B164" i="11"/>
  <c r="B164" i="16"/>
  <c r="B136" i="11"/>
  <c r="B136" i="16"/>
  <c r="B122" i="11"/>
  <c r="B122" i="16"/>
  <c r="B108" i="11"/>
  <c r="B108" i="16"/>
  <c r="B94" i="11"/>
  <c r="B94" i="16"/>
  <c r="B80" i="11"/>
  <c r="B80" i="16"/>
  <c r="B66" i="11"/>
  <c r="B66" i="16"/>
  <c r="B52" i="11"/>
  <c r="B52" i="16"/>
  <c r="B38" i="11"/>
  <c r="B38" i="16"/>
  <c r="B24" i="11"/>
  <c r="B24" i="16"/>
  <c r="B149" i="11"/>
  <c r="B149" i="16"/>
  <c r="B135" i="11"/>
  <c r="B135" i="16"/>
  <c r="B121" i="11"/>
  <c r="B121" i="16"/>
  <c r="B107" i="11"/>
  <c r="B107" i="16"/>
  <c r="B93" i="11"/>
  <c r="B93" i="16"/>
  <c r="B79" i="11"/>
  <c r="B79" i="16"/>
  <c r="B65" i="11"/>
  <c r="B65" i="16"/>
  <c r="B51" i="11"/>
  <c r="B51" i="16"/>
  <c r="B37" i="11"/>
  <c r="B37" i="16"/>
  <c r="B23" i="11"/>
  <c r="B23" i="16"/>
  <c r="F242" i="16"/>
  <c r="I251" i="16"/>
  <c r="E225" i="16"/>
  <c r="G221" i="16"/>
  <c r="H14" i="16"/>
  <c r="D14" i="16"/>
  <c r="F256" i="16"/>
  <c r="I221" i="16"/>
  <c r="I225" i="16"/>
  <c r="G235" i="16"/>
  <c r="F251" i="16"/>
  <c r="H242" i="16"/>
  <c r="H256" i="16"/>
  <c r="I235" i="16"/>
  <c r="E239" i="16"/>
  <c r="I242" i="16"/>
  <c r="E237" i="16"/>
  <c r="E252" i="16"/>
  <c r="E260" i="16"/>
  <c r="F221" i="16"/>
  <c r="H221" i="16"/>
  <c r="E222" i="16"/>
  <c r="G251" i="16"/>
  <c r="H14" i="11"/>
  <c r="I256" i="16"/>
  <c r="H251" i="16"/>
  <c r="F235" i="16"/>
  <c r="H225" i="16"/>
  <c r="H235" i="16"/>
  <c r="G242" i="16"/>
  <c r="E234" i="16"/>
  <c r="G256" i="16"/>
  <c r="E237" i="11"/>
  <c r="F251" i="11"/>
  <c r="F256" i="11"/>
  <c r="G251" i="11"/>
  <c r="G256" i="11"/>
  <c r="H251" i="11"/>
  <c r="H256" i="11"/>
  <c r="E222" i="11"/>
  <c r="G242" i="11"/>
  <c r="I251" i="11"/>
  <c r="F235" i="11"/>
  <c r="H242" i="11"/>
  <c r="E260" i="11"/>
  <c r="H225" i="11"/>
  <c r="H235" i="11"/>
  <c r="E225" i="11"/>
  <c r="I225" i="11"/>
  <c r="E239" i="11"/>
  <c r="E252" i="11"/>
  <c r="E234" i="11"/>
  <c r="I235" i="11"/>
  <c r="F221" i="11"/>
  <c r="G221" i="11"/>
  <c r="H221" i="11"/>
  <c r="I221" i="11"/>
  <c r="G235" i="11"/>
  <c r="F242" i="11"/>
  <c r="I242" i="11"/>
  <c r="I256" i="11"/>
  <c r="AA3" i="5" l="1" a="1"/>
  <c r="AA3" i="5" s="1"/>
  <c r="G303" i="19" l="1"/>
  <c r="H193" i="8"/>
  <c r="H192" i="8"/>
  <c r="G300" i="19"/>
  <c r="H188" i="8"/>
  <c r="G301" i="19"/>
  <c r="H189" i="8"/>
  <c r="H190" i="8"/>
  <c r="H191" i="8"/>
  <c r="G198" i="16"/>
  <c r="H187" i="8"/>
  <c r="H153" i="8"/>
  <c r="H176" i="8"/>
  <c r="H165" i="8"/>
  <c r="G178" i="16"/>
  <c r="G176" i="16"/>
  <c r="H180" i="8"/>
  <c r="G183" i="16"/>
  <c r="G187" i="16"/>
  <c r="H167" i="8"/>
  <c r="G191" i="16"/>
  <c r="H154" i="8"/>
  <c r="H5" i="8"/>
  <c r="H3" i="8"/>
  <c r="H6" i="8"/>
  <c r="H4" i="8"/>
  <c r="H186" i="8"/>
  <c r="H166" i="8"/>
  <c r="H175" i="8"/>
  <c r="H171" i="8"/>
  <c r="G197" i="16"/>
  <c r="H152" i="8"/>
  <c r="G182" i="16"/>
  <c r="G186" i="16"/>
  <c r="G190" i="16"/>
  <c r="G177" i="16"/>
  <c r="H146" i="8"/>
  <c r="H160" i="8"/>
  <c r="H145" i="8"/>
  <c r="H62" i="8"/>
  <c r="G195" i="16"/>
  <c r="G193" i="16"/>
  <c r="H60" i="8"/>
  <c r="H65" i="8"/>
  <c r="G180" i="16"/>
  <c r="H169" i="8"/>
  <c r="H58" i="8"/>
  <c r="H73" i="8"/>
  <c r="H46" i="8"/>
  <c r="H68" i="8"/>
  <c r="H42" i="8"/>
  <c r="H156" i="8"/>
  <c r="H51" i="8"/>
  <c r="H64" i="8"/>
  <c r="H66" i="8"/>
  <c r="H47" i="8"/>
  <c r="H49" i="8"/>
  <c r="H67" i="8"/>
  <c r="H54" i="8"/>
  <c r="H61" i="8"/>
  <c r="H71" i="8"/>
  <c r="H149" i="8"/>
  <c r="H40" i="8"/>
  <c r="H43" i="8"/>
  <c r="H63" i="8"/>
  <c r="H72" i="8"/>
  <c r="H163" i="8"/>
  <c r="H150" i="8"/>
  <c r="H170" i="8"/>
  <c r="H157" i="8"/>
  <c r="H85" i="8"/>
  <c r="H101" i="8"/>
  <c r="G174" i="16"/>
  <c r="H161" i="8"/>
  <c r="H75" i="8"/>
  <c r="H92" i="8"/>
  <c r="H99" i="8"/>
  <c r="H147" i="8"/>
  <c r="H88" i="8"/>
  <c r="H86" i="8"/>
  <c r="H80" i="8"/>
  <c r="H83" i="8"/>
  <c r="H97" i="8"/>
  <c r="H100" i="8"/>
  <c r="H77" i="8"/>
  <c r="H89" i="8"/>
  <c r="H105" i="8"/>
  <c r="H96" i="8"/>
  <c r="H104" i="8"/>
  <c r="H87" i="8"/>
  <c r="H95" i="8"/>
  <c r="G181" i="16"/>
  <c r="H74" i="8"/>
  <c r="H78" i="8"/>
  <c r="H84" i="8"/>
  <c r="H79" i="8"/>
  <c r="H177" i="8"/>
  <c r="H90" i="8"/>
  <c r="H98" i="8"/>
  <c r="H106" i="8"/>
  <c r="G196" i="16"/>
  <c r="H82" i="8"/>
  <c r="H93" i="8"/>
  <c r="H107" i="8"/>
  <c r="G188" i="16"/>
  <c r="H76" i="8"/>
  <c r="H102" i="8"/>
  <c r="H173" i="8"/>
  <c r="H183" i="8"/>
  <c r="H168" i="8"/>
  <c r="H148" i="8"/>
  <c r="H181" i="8"/>
  <c r="H10" i="8"/>
  <c r="H15" i="8"/>
  <c r="H155" i="8"/>
  <c r="H25" i="8"/>
  <c r="H164" i="8"/>
  <c r="H144" i="8"/>
  <c r="H8" i="8"/>
  <c r="H21" i="8"/>
  <c r="H16" i="8"/>
  <c r="H32" i="8"/>
  <c r="H7" i="8"/>
  <c r="H27" i="8"/>
  <c r="H11" i="8"/>
  <c r="H24" i="8"/>
  <c r="H35" i="8"/>
  <c r="H38" i="8"/>
  <c r="G192" i="16"/>
  <c r="H19" i="8"/>
  <c r="H22" i="8"/>
  <c r="G179" i="16"/>
  <c r="G194" i="16"/>
  <c r="H29" i="8"/>
  <c r="H39" i="8"/>
  <c r="H159" i="8"/>
  <c r="G175" i="16"/>
  <c r="G184" i="16"/>
  <c r="H13" i="8"/>
  <c r="H34" i="8"/>
  <c r="H112" i="8"/>
  <c r="H117" i="8"/>
  <c r="H132" i="8"/>
  <c r="H158" i="8"/>
  <c r="H178" i="8"/>
  <c r="H122" i="8"/>
  <c r="H127" i="8"/>
  <c r="H140" i="8"/>
  <c r="H110" i="8"/>
  <c r="H115" i="8"/>
  <c r="H130" i="8"/>
  <c r="H135" i="8"/>
  <c r="H143" i="8"/>
  <c r="H151" i="8"/>
  <c r="H109" i="8"/>
  <c r="H119" i="8"/>
  <c r="H124" i="8"/>
  <c r="H129" i="8"/>
  <c r="H134" i="8"/>
  <c r="H142" i="8"/>
  <c r="H137" i="8"/>
  <c r="H114" i="8"/>
  <c r="H118" i="8"/>
  <c r="H121" i="8"/>
  <c r="H128" i="8"/>
  <c r="H125" i="8"/>
  <c r="H139" i="8"/>
  <c r="H111" i="8"/>
  <c r="H108" i="8"/>
  <c r="H136" i="8"/>
  <c r="H133" i="8"/>
  <c r="H131" i="8"/>
  <c r="H174" i="8"/>
  <c r="H126" i="8"/>
  <c r="H141" i="8"/>
  <c r="G185" i="16"/>
  <c r="H162" i="8"/>
  <c r="H123" i="8"/>
  <c r="H138" i="8"/>
  <c r="G189" i="16"/>
  <c r="H120" i="8"/>
  <c r="G417" i="19"/>
  <c r="G418" i="19"/>
  <c r="G419" i="19"/>
  <c r="G422" i="19"/>
  <c r="G420" i="19"/>
  <c r="G421" i="19"/>
  <c r="G416" i="19"/>
  <c r="G159" i="16"/>
  <c r="G156" i="16"/>
  <c r="G153" i="16"/>
  <c r="G150" i="16"/>
  <c r="G161" i="16"/>
  <c r="G158" i="16"/>
  <c r="G155" i="16"/>
  <c r="G160" i="16"/>
  <c r="G157" i="16"/>
  <c r="G162" i="16"/>
  <c r="G148" i="16"/>
  <c r="G62" i="16"/>
  <c r="G59" i="16"/>
  <c r="G56" i="16"/>
  <c r="G47" i="16"/>
  <c r="G29" i="16"/>
  <c r="G26" i="16"/>
  <c r="G37" i="16"/>
  <c r="G23" i="16"/>
  <c r="G17" i="16"/>
  <c r="G16" i="16"/>
  <c r="G36" i="16"/>
  <c r="G22" i="16"/>
  <c r="G103" i="16"/>
  <c r="G96" i="16"/>
  <c r="G90" i="16"/>
  <c r="G101" i="16"/>
  <c r="G71" i="16"/>
  <c r="G93" i="16"/>
  <c r="G69" i="16"/>
  <c r="G81" i="16"/>
  <c r="G139" i="16"/>
  <c r="G136" i="16"/>
  <c r="G138" i="16"/>
  <c r="G124" i="16"/>
  <c r="G104" i="16"/>
  <c r="G115" i="16"/>
  <c r="G113" i="16"/>
  <c r="G127" i="16"/>
  <c r="G114" i="16"/>
  <c r="G137" i="16"/>
  <c r="G294" i="19"/>
  <c r="G259" i="19"/>
  <c r="G119" i="19"/>
  <c r="G378" i="19"/>
  <c r="G231" i="19"/>
  <c r="G315" i="19"/>
  <c r="G56" i="19"/>
  <c r="G21" i="19"/>
  <c r="G7" i="19"/>
  <c r="G308" i="19"/>
  <c r="G49" i="19"/>
  <c r="G168" i="19"/>
  <c r="G399" i="19"/>
  <c r="G280" i="19"/>
  <c r="G50" i="19"/>
  <c r="G400" i="19"/>
  <c r="G169" i="19"/>
  <c r="G22" i="19"/>
  <c r="G295" i="19"/>
  <c r="G379" i="19"/>
  <c r="G309" i="19"/>
  <c r="G120" i="19"/>
  <c r="G232" i="19"/>
  <c r="G281" i="19"/>
  <c r="G57" i="19"/>
  <c r="G260" i="19"/>
  <c r="G8" i="19"/>
  <c r="G316" i="19"/>
  <c r="G293" i="19"/>
  <c r="G258" i="19"/>
  <c r="G118" i="19"/>
  <c r="G55" i="19"/>
  <c r="G377" i="19"/>
  <c r="G230" i="19"/>
  <c r="G314" i="19"/>
  <c r="G279" i="19"/>
  <c r="G48" i="19"/>
  <c r="G167" i="19"/>
  <c r="G398" i="19"/>
  <c r="G20" i="19"/>
  <c r="G6" i="19"/>
  <c r="G307" i="19"/>
  <c r="G317" i="19"/>
  <c r="G310" i="19"/>
  <c r="G282" i="19"/>
  <c r="G9" i="19"/>
  <c r="G51" i="19"/>
  <c r="G401" i="19"/>
  <c r="G170" i="19"/>
  <c r="G23" i="19"/>
  <c r="G296" i="19"/>
  <c r="G58" i="19"/>
  <c r="G380" i="19"/>
  <c r="G233" i="19"/>
  <c r="G261" i="19"/>
  <c r="G121" i="19"/>
  <c r="G45" i="19"/>
  <c r="G395" i="19"/>
  <c r="G17" i="19"/>
  <c r="G3" i="19"/>
  <c r="G115" i="19"/>
  <c r="G52" i="19"/>
  <c r="G297" i="19"/>
  <c r="G290" i="19"/>
  <c r="G304" i="19"/>
  <c r="G311" i="19"/>
  <c r="G374" i="19"/>
  <c r="G283" i="19"/>
  <c r="G276" i="19"/>
  <c r="G227" i="19"/>
  <c r="G164" i="19"/>
  <c r="G305" i="19"/>
  <c r="G284" i="19"/>
  <c r="G4" i="19"/>
  <c r="G396" i="19"/>
  <c r="G116" i="19"/>
  <c r="G165" i="19"/>
  <c r="G298" i="19"/>
  <c r="G291" i="19"/>
  <c r="G46" i="19"/>
  <c r="G375" i="19"/>
  <c r="G228" i="19"/>
  <c r="G277" i="19"/>
  <c r="G18" i="19"/>
  <c r="G53" i="19"/>
  <c r="G312" i="19"/>
  <c r="G285" i="19"/>
  <c r="G397" i="19"/>
  <c r="G117" i="19"/>
  <c r="G54" i="19"/>
  <c r="G376" i="19"/>
  <c r="G299" i="19"/>
  <c r="G194" i="19"/>
  <c r="G47" i="19"/>
  <c r="G229" i="19"/>
  <c r="G110" i="19"/>
  <c r="G5" i="19"/>
  <c r="G306" i="19"/>
  <c r="G292" i="19"/>
  <c r="G166" i="19"/>
  <c r="G201" i="19"/>
  <c r="G278" i="19"/>
  <c r="G19" i="19"/>
  <c r="G313" i="19"/>
  <c r="R560" i="7" l="1"/>
  <c r="R558" i="7"/>
  <c r="R555" i="7"/>
  <c r="R556" i="7"/>
  <c r="R183" i="7"/>
  <c r="R242" i="7"/>
  <c r="R192" i="7"/>
  <c r="R294" i="7"/>
  <c r="R116" i="7"/>
  <c r="R330" i="7"/>
  <c r="R125" i="7"/>
  <c r="R164" i="7"/>
  <c r="R257" i="7"/>
  <c r="R317" i="7"/>
  <c r="R400" i="7"/>
  <c r="R69" i="7"/>
  <c r="R190" i="7"/>
  <c r="R16" i="7"/>
  <c r="R170" i="7"/>
  <c r="R151" i="7"/>
  <c r="R179" i="7"/>
  <c r="R118" i="7"/>
  <c r="R427" i="7"/>
  <c r="R470" i="7"/>
  <c r="R421" i="7"/>
  <c r="R481" i="7"/>
  <c r="R418" i="7"/>
  <c r="R419" i="7"/>
  <c r="R457" i="7"/>
  <c r="R221" i="7"/>
  <c r="R231" i="7"/>
  <c r="R513" i="7"/>
  <c r="R104" i="7"/>
  <c r="R189" i="7"/>
  <c r="R303" i="7"/>
  <c r="R186" i="7"/>
  <c r="R404" i="7"/>
  <c r="R219" i="7"/>
  <c r="R300" i="7"/>
  <c r="R4" i="7"/>
  <c r="R18" i="7"/>
  <c r="R278" i="7"/>
  <c r="R461" i="7"/>
  <c r="R19" i="7"/>
  <c r="R46" i="7"/>
  <c r="R73" i="7"/>
  <c r="R143" i="7"/>
  <c r="R213" i="7"/>
  <c r="R314" i="7"/>
  <c r="R376" i="7"/>
  <c r="R462" i="7"/>
  <c r="R33" i="7"/>
  <c r="R47" i="7"/>
  <c r="R74" i="7"/>
  <c r="R282" i="7"/>
  <c r="R34" i="7"/>
  <c r="R87" i="7"/>
  <c r="R388" i="7"/>
  <c r="R8" i="7"/>
  <c r="R244" i="7"/>
  <c r="R389" i="7"/>
  <c r="R169" i="7"/>
  <c r="R324" i="7"/>
  <c r="R383" i="7"/>
  <c r="R345" i="7"/>
  <c r="R30" i="7"/>
  <c r="R276" i="7"/>
  <c r="R112" i="7"/>
  <c r="R10" i="7"/>
  <c r="R249" i="7"/>
  <c r="R308" i="7"/>
  <c r="R455" i="7"/>
  <c r="R527" i="7"/>
  <c r="R553" i="7"/>
  <c r="R205" i="7"/>
  <c r="R309" i="7"/>
  <c r="R361" i="7"/>
  <c r="R286" i="7"/>
  <c r="R14" i="7"/>
  <c r="R53" i="7"/>
  <c r="R390" i="7"/>
  <c r="R92" i="7"/>
  <c r="R288" i="7"/>
  <c r="R477" i="7"/>
  <c r="R449" i="7"/>
  <c r="R321" i="7"/>
  <c r="R479" i="7"/>
  <c r="R349" i="7"/>
  <c r="R394" i="7"/>
  <c r="R27" i="7"/>
  <c r="R66" i="7"/>
  <c r="R167" i="7"/>
  <c r="R435" i="7"/>
  <c r="R28" i="7"/>
  <c r="R78" i="7"/>
  <c r="R79" i="7"/>
  <c r="R247" i="7"/>
  <c r="R484" i="7"/>
  <c r="R483" i="7"/>
  <c r="R495" i="7"/>
  <c r="R32" i="7"/>
  <c r="R191" i="7"/>
  <c r="R266" i="7"/>
  <c r="R441" i="7"/>
  <c r="R480" i="7"/>
  <c r="R500" i="7"/>
  <c r="R267" i="7"/>
  <c r="R328" i="7"/>
  <c r="R442" i="7"/>
  <c r="R454" i="7"/>
  <c r="R50" i="7"/>
  <c r="R174" i="7"/>
  <c r="R550" i="7"/>
  <c r="R76" i="7"/>
  <c r="R165" i="7"/>
  <c r="R296" i="7"/>
  <c r="R524" i="7"/>
  <c r="R258" i="7"/>
  <c r="R465" i="7"/>
  <c r="R504" i="7"/>
  <c r="R55" i="7"/>
  <c r="R139" i="7"/>
  <c r="R239" i="7"/>
  <c r="R251" i="7"/>
  <c r="R311" i="7"/>
  <c r="R344" i="7"/>
  <c r="R355" i="7"/>
  <c r="R545" i="7"/>
  <c r="R140" i="7"/>
  <c r="R240" i="7"/>
  <c r="R312" i="7"/>
  <c r="R111" i="7"/>
  <c r="R397" i="7"/>
  <c r="R44" i="7"/>
  <c r="R71" i="7"/>
  <c r="R241" i="7"/>
  <c r="R277" i="7"/>
  <c r="R313" i="7"/>
  <c r="R203" i="7"/>
  <c r="R486" i="7"/>
  <c r="R547" i="7"/>
  <c r="R499" i="7"/>
  <c r="R52" i="7"/>
  <c r="R341" i="7"/>
  <c r="R488" i="7"/>
  <c r="R157" i="7"/>
  <c r="R529" i="7"/>
  <c r="R445" i="7"/>
  <c r="R516" i="7"/>
  <c r="R25" i="7"/>
  <c r="R64" i="7"/>
  <c r="R236" i="7"/>
  <c r="R371" i="7"/>
  <c r="R518" i="7"/>
  <c r="R539" i="7"/>
  <c r="R238" i="7"/>
  <c r="R498" i="7"/>
  <c r="R194" i="7"/>
  <c r="R237" i="7"/>
  <c r="R497" i="7"/>
  <c r="R220" i="7"/>
  <c r="R543" i="7"/>
  <c r="R331" i="7"/>
  <c r="R440" i="7"/>
  <c r="R452" i="7"/>
  <c r="R378" i="7"/>
  <c r="R472" i="7"/>
  <c r="R546" i="7"/>
  <c r="R212" i="7"/>
  <c r="R409" i="7"/>
  <c r="R410" i="7"/>
  <c r="R411" i="7"/>
  <c r="R61" i="7"/>
  <c r="R491" i="7"/>
  <c r="R492" i="7"/>
  <c r="R396" i="7"/>
  <c r="R159" i="7"/>
  <c r="R385" i="7"/>
  <c r="R283" i="7"/>
  <c r="R351" i="7"/>
  <c r="R493" i="7"/>
  <c r="R405" i="7"/>
  <c r="R428" i="7"/>
  <c r="R350" i="7"/>
  <c r="R271" i="7"/>
  <c r="R395" i="7"/>
  <c r="R352" i="7"/>
  <c r="R40" i="7"/>
  <c r="R354" i="7"/>
  <c r="R386" i="7"/>
  <c r="R549" i="7"/>
  <c r="R152" i="7"/>
  <c r="R49" i="7"/>
  <c r="R126" i="7"/>
  <c r="R133" i="7"/>
  <c r="R356" i="7"/>
  <c r="R384" i="7"/>
  <c r="R211" i="7"/>
  <c r="R127" i="7"/>
  <c r="R153" i="7"/>
  <c r="R95" i="7"/>
  <c r="R423" i="7"/>
  <c r="R103" i="7"/>
  <c r="R209" i="7"/>
  <c r="R100" i="7"/>
  <c r="R81" i="7"/>
  <c r="R188" i="7"/>
  <c r="R93" i="7"/>
  <c r="R98" i="7"/>
  <c r="R358" i="7"/>
  <c r="R359" i="7"/>
  <c r="R402" i="7"/>
  <c r="R482" i="7"/>
  <c r="R424" i="7"/>
  <c r="R158" i="7"/>
  <c r="R337" i="7"/>
  <c r="R357" i="7"/>
  <c r="R334" i="7"/>
  <c r="R335" i="7"/>
  <c r="R426" i="7"/>
  <c r="R519" i="7"/>
  <c r="R450" i="7"/>
  <c r="R436" i="7"/>
  <c r="R438" i="7"/>
  <c r="R353" i="7"/>
  <c r="R333" i="7"/>
  <c r="R339" i="7"/>
  <c r="R366" i="7"/>
  <c r="R144" i="7"/>
  <c r="R181" i="7"/>
  <c r="R24" i="7"/>
  <c r="R234" i="7"/>
  <c r="R67" i="7"/>
  <c r="R223" i="7"/>
  <c r="R307" i="7"/>
  <c r="R72" i="7"/>
  <c r="R142" i="7"/>
  <c r="R254" i="7"/>
  <c r="R279" i="7"/>
  <c r="R369" i="7"/>
  <c r="R413" i="7"/>
  <c r="R77" i="7"/>
  <c r="R281" i="7"/>
  <c r="R368" i="7"/>
  <c r="R408" i="7"/>
  <c r="R70" i="7"/>
  <c r="R31" i="7"/>
  <c r="R304" i="7"/>
  <c r="R526" i="7"/>
  <c r="R51" i="7"/>
  <c r="R204" i="7"/>
  <c r="R250" i="7"/>
  <c r="R156" i="7"/>
  <c r="R227" i="7"/>
  <c r="R401" i="7"/>
  <c r="R26" i="7"/>
  <c r="R272" i="7"/>
  <c r="R302" i="7"/>
  <c r="R507" i="7"/>
  <c r="R515" i="7"/>
  <c r="R197" i="7"/>
  <c r="R487" i="7"/>
  <c r="R431" i="7"/>
  <c r="R460" i="7"/>
  <c r="R453" i="7"/>
  <c r="R102" i="7"/>
  <c r="R124" i="7"/>
  <c r="R132" i="7"/>
  <c r="R117" i="7"/>
  <c r="R149" i="7"/>
  <c r="R430" i="7"/>
  <c r="R466" i="7"/>
  <c r="R97" i="7"/>
  <c r="R148" i="7"/>
  <c r="R224" i="7"/>
  <c r="R346" i="7"/>
  <c r="R387" i="7"/>
  <c r="R523" i="7"/>
  <c r="R360" i="7"/>
  <c r="R363" i="7"/>
  <c r="R362" i="7"/>
  <c r="R342" i="7"/>
  <c r="R343" i="7"/>
  <c r="R414" i="7"/>
  <c r="R84" i="7"/>
  <c r="R94" i="7"/>
  <c r="R101" i="7"/>
  <c r="R327" i="7"/>
  <c r="R548" i="7"/>
  <c r="R89" i="7"/>
  <c r="R59" i="7"/>
  <c r="R85" i="7"/>
  <c r="R86" i="7"/>
  <c r="R367" i="7"/>
  <c r="R62" i="7"/>
  <c r="R270" i="7"/>
  <c r="R23" i="7"/>
  <c r="R63" i="7"/>
  <c r="R232" i="7"/>
  <c r="R295" i="7"/>
  <c r="R96" i="7"/>
  <c r="R176" i="7"/>
  <c r="R82" i="7"/>
  <c r="R99" i="7"/>
  <c r="R229" i="7"/>
  <c r="R511" i="7"/>
  <c r="R230" i="7"/>
  <c r="R43" i="7"/>
  <c r="R83" i="7"/>
  <c r="R364" i="7"/>
  <c r="R90" i="7"/>
  <c r="R528" i="7"/>
  <c r="R91" i="7"/>
  <c r="R554" i="7"/>
  <c r="R260" i="7"/>
  <c r="R208" i="7"/>
  <c r="R262" i="7"/>
  <c r="R392" i="7"/>
  <c r="R406" i="7"/>
  <c r="R533" i="7"/>
  <c r="R298" i="7"/>
  <c r="R540" i="7"/>
  <c r="R128" i="7"/>
  <c r="R274" i="7"/>
  <c r="R105" i="7"/>
  <c r="R131" i="7"/>
  <c r="R255" i="7"/>
  <c r="R256" i="7"/>
  <c r="R425" i="7"/>
  <c r="G136" i="19"/>
  <c r="G143" i="19"/>
  <c r="G157" i="19"/>
  <c r="G150" i="19"/>
  <c r="G413" i="19"/>
  <c r="G189" i="19"/>
  <c r="G426" i="19"/>
  <c r="G83" i="19"/>
  <c r="G125" i="19"/>
  <c r="G405" i="19"/>
  <c r="G145" i="19"/>
  <c r="G152" i="19"/>
  <c r="G159" i="19"/>
  <c r="G138" i="19"/>
  <c r="G111" i="19"/>
  <c r="G434" i="19"/>
  <c r="G344" i="19"/>
  <c r="G351" i="19"/>
  <c r="G98" i="19"/>
  <c r="G91" i="19"/>
  <c r="G267" i="19"/>
  <c r="G274" i="19"/>
  <c r="G352" i="19"/>
  <c r="G345" i="19"/>
  <c r="G453" i="19"/>
  <c r="G449" i="19"/>
  <c r="G114" i="19"/>
  <c r="G437" i="19"/>
  <c r="G72" i="19"/>
  <c r="G79" i="19"/>
  <c r="G65" i="19"/>
  <c r="G373" i="19"/>
  <c r="G320" i="19"/>
  <c r="G180" i="19"/>
  <c r="G327" i="19"/>
  <c r="G173" i="19"/>
  <c r="G39" i="19"/>
  <c r="G32" i="19"/>
  <c r="G415" i="19"/>
  <c r="G191" i="19"/>
  <c r="G224" i="19"/>
  <c r="G443" i="19"/>
  <c r="G133" i="19"/>
  <c r="G196" i="19"/>
  <c r="G210" i="19"/>
  <c r="G217" i="19"/>
  <c r="G36" i="19"/>
  <c r="G43" i="19"/>
  <c r="G272" i="19"/>
  <c r="G265" i="19"/>
  <c r="G412" i="19"/>
  <c r="G188" i="19"/>
  <c r="G350" i="19"/>
  <c r="G343" i="19"/>
  <c r="G100" i="19"/>
  <c r="G93" i="19"/>
  <c r="G148" i="19"/>
  <c r="G155" i="19"/>
  <c r="G162" i="19"/>
  <c r="G141" i="19"/>
  <c r="G35" i="19"/>
  <c r="G42" i="19"/>
  <c r="G364" i="19"/>
  <c r="R80" i="7" s="1"/>
  <c r="G238" i="19"/>
  <c r="G95" i="19"/>
  <c r="G88" i="19"/>
  <c r="G340" i="19"/>
  <c r="G347" i="19"/>
  <c r="G339" i="19"/>
  <c r="G346" i="19"/>
  <c r="G37" i="19"/>
  <c r="G44" i="19"/>
  <c r="G470" i="19"/>
  <c r="G286" i="19"/>
  <c r="G41" i="19"/>
  <c r="G34" i="19"/>
  <c r="G70" i="19"/>
  <c r="G371" i="19"/>
  <c r="G77" i="19"/>
  <c r="G63" i="19"/>
  <c r="G407" i="19"/>
  <c r="G127" i="19"/>
  <c r="G85" i="19"/>
  <c r="G428" i="19"/>
  <c r="G139" i="19"/>
  <c r="G146" i="19"/>
  <c r="G218" i="19"/>
  <c r="G211" i="19"/>
  <c r="G197" i="19"/>
  <c r="G409" i="19"/>
  <c r="G185" i="19"/>
  <c r="G268" i="19"/>
  <c r="G275" i="19"/>
  <c r="G198" i="19"/>
  <c r="G219" i="19"/>
  <c r="G212" i="19"/>
  <c r="G137" i="19"/>
  <c r="G158" i="19"/>
  <c r="G144" i="19"/>
  <c r="G151" i="19"/>
  <c r="G174" i="19"/>
  <c r="G321" i="19"/>
  <c r="G328" i="19"/>
  <c r="G181" i="19"/>
  <c r="G195" i="19"/>
  <c r="G216" i="19"/>
  <c r="G209" i="19"/>
  <c r="G154" i="19"/>
  <c r="G161" i="19"/>
  <c r="G451" i="19"/>
  <c r="G447" i="19"/>
  <c r="G177" i="19"/>
  <c r="G331" i="19"/>
  <c r="G324" i="19"/>
  <c r="G184" i="19"/>
  <c r="G406" i="19"/>
  <c r="G427" i="19"/>
  <c r="G84" i="19"/>
  <c r="G126" i="19"/>
  <c r="G186" i="19"/>
  <c r="G410" i="19"/>
  <c r="G372" i="19"/>
  <c r="G71" i="19"/>
  <c r="G78" i="19"/>
  <c r="G64" i="19"/>
  <c r="G92" i="19"/>
  <c r="G99" i="19"/>
  <c r="G33" i="19"/>
  <c r="G40" i="19"/>
  <c r="G473" i="19"/>
  <c r="G289" i="19"/>
  <c r="G342" i="19"/>
  <c r="G349" i="19"/>
  <c r="G472" i="19"/>
  <c r="G288" i="19"/>
  <c r="G452" i="19"/>
  <c r="G448" i="19"/>
  <c r="G75" i="19"/>
  <c r="G369" i="19"/>
  <c r="G61" i="19"/>
  <c r="G68" i="19"/>
  <c r="G329" i="19"/>
  <c r="G322" i="19"/>
  <c r="G175" i="19"/>
  <c r="G182" i="19"/>
  <c r="G86" i="19"/>
  <c r="G128" i="19"/>
  <c r="G429" i="19"/>
  <c r="G408" i="19"/>
  <c r="G96" i="19"/>
  <c r="G89" i="19"/>
  <c r="G124" i="19"/>
  <c r="G425" i="19"/>
  <c r="G82" i="19"/>
  <c r="G404" i="19"/>
  <c r="G326" i="19"/>
  <c r="G172" i="19"/>
  <c r="G319" i="19"/>
  <c r="G179" i="19"/>
  <c r="G263" i="19"/>
  <c r="G270" i="19"/>
  <c r="G74" i="19"/>
  <c r="G67" i="19"/>
  <c r="G368" i="19"/>
  <c r="G60" i="19"/>
  <c r="G87" i="19"/>
  <c r="G94" i="19"/>
  <c r="G226" i="19"/>
  <c r="G135" i="19"/>
  <c r="G445" i="19"/>
  <c r="G153" i="19"/>
  <c r="G160" i="19"/>
  <c r="G273" i="19"/>
  <c r="G266" i="19"/>
  <c r="G187" i="19"/>
  <c r="G411" i="19"/>
  <c r="G149" i="19"/>
  <c r="G156" i="19"/>
  <c r="G163" i="19"/>
  <c r="G142" i="19"/>
  <c r="G183" i="19"/>
  <c r="G176" i="19"/>
  <c r="G330" i="19"/>
  <c r="G323" i="19"/>
  <c r="G112" i="19"/>
  <c r="G435" i="19"/>
  <c r="G147" i="19"/>
  <c r="G140" i="19"/>
  <c r="G341" i="19"/>
  <c r="G348" i="19"/>
  <c r="G264" i="19"/>
  <c r="G271" i="19"/>
  <c r="G262" i="19"/>
  <c r="G269" i="19"/>
  <c r="G90" i="19"/>
  <c r="G97" i="19"/>
  <c r="G414" i="19"/>
  <c r="G190" i="19"/>
  <c r="G436" i="19"/>
  <c r="G113" i="19"/>
  <c r="G287" i="19"/>
  <c r="G471" i="19"/>
  <c r="G91" i="11"/>
  <c r="I91" i="11" s="1"/>
  <c r="J91" i="11" s="1"/>
  <c r="K91" i="11" s="1"/>
  <c r="G91" i="16"/>
  <c r="F130" i="11"/>
  <c r="F130" i="16"/>
  <c r="F83" i="11"/>
  <c r="F83" i="16"/>
  <c r="K114" i="16"/>
  <c r="I114" i="16"/>
  <c r="J114" i="16" s="1"/>
  <c r="G126" i="11"/>
  <c r="I126" i="11" s="1"/>
  <c r="J126" i="11" s="1"/>
  <c r="K126" i="11" s="1"/>
  <c r="G126" i="16"/>
  <c r="G133" i="11"/>
  <c r="I133" i="11" s="1"/>
  <c r="J133" i="11" s="1"/>
  <c r="K133" i="11" s="1"/>
  <c r="G133" i="16"/>
  <c r="G79" i="11"/>
  <c r="I79" i="11" s="1"/>
  <c r="J79" i="11" s="1"/>
  <c r="K79" i="11" s="1"/>
  <c r="G79" i="16"/>
  <c r="G73" i="11"/>
  <c r="I73" i="11" s="1"/>
  <c r="J73" i="11" s="1"/>
  <c r="K73" i="11" s="1"/>
  <c r="G73" i="16"/>
  <c r="G89" i="11"/>
  <c r="I89" i="11" s="1"/>
  <c r="J89" i="11" s="1"/>
  <c r="K89" i="11" s="1"/>
  <c r="G89" i="16"/>
  <c r="I16" i="16"/>
  <c r="J16" i="16" s="1"/>
  <c r="K16" i="16"/>
  <c r="I37" i="16"/>
  <c r="J37" i="16" s="1"/>
  <c r="K37" i="16"/>
  <c r="G50" i="11"/>
  <c r="I50" i="11" s="1"/>
  <c r="J50" i="11" s="1"/>
  <c r="K50" i="11" s="1"/>
  <c r="G50" i="16"/>
  <c r="I162" i="16"/>
  <c r="J162" i="16" s="1"/>
  <c r="K162" i="16"/>
  <c r="G147" i="11"/>
  <c r="I147" i="11" s="1"/>
  <c r="J147" i="11" s="1"/>
  <c r="K147" i="11" s="1"/>
  <c r="G147" i="16"/>
  <c r="F32" i="11"/>
  <c r="F32" i="16"/>
  <c r="F145" i="11"/>
  <c r="F145" i="16"/>
  <c r="F143" i="11"/>
  <c r="F143" i="16"/>
  <c r="F99" i="11"/>
  <c r="F99" i="16"/>
  <c r="F47" i="11"/>
  <c r="F47" i="16"/>
  <c r="F21" i="11"/>
  <c r="F21" i="16"/>
  <c r="F90" i="11"/>
  <c r="F90" i="16"/>
  <c r="F76" i="11"/>
  <c r="F76" i="16"/>
  <c r="F74" i="11"/>
  <c r="F74" i="16"/>
  <c r="F36" i="11"/>
  <c r="F36" i="16"/>
  <c r="F59" i="11"/>
  <c r="F59" i="16"/>
  <c r="F168" i="11"/>
  <c r="F168" i="16"/>
  <c r="G166" i="11"/>
  <c r="I166" i="11" s="1"/>
  <c r="J166" i="11" s="1"/>
  <c r="K166" i="11" s="1"/>
  <c r="G166" i="16"/>
  <c r="F171" i="11"/>
  <c r="F171" i="16"/>
  <c r="G171" i="11"/>
  <c r="I171" i="11" s="1"/>
  <c r="J171" i="11" s="1"/>
  <c r="K171" i="11" s="1"/>
  <c r="G171" i="16"/>
  <c r="I184" i="16"/>
  <c r="J184" i="16" s="1"/>
  <c r="K184" i="16"/>
  <c r="F191" i="11"/>
  <c r="F191" i="16"/>
  <c r="I137" i="16"/>
  <c r="J137" i="16" s="1"/>
  <c r="K137" i="16"/>
  <c r="G21" i="11"/>
  <c r="I21" i="11" s="1"/>
  <c r="J21" i="11" s="1"/>
  <c r="K21" i="11" s="1"/>
  <c r="G21" i="16"/>
  <c r="F149" i="11"/>
  <c r="F149" i="16"/>
  <c r="K127" i="16"/>
  <c r="I127" i="16"/>
  <c r="J127" i="16" s="1"/>
  <c r="G140" i="11"/>
  <c r="I140" i="11" s="1"/>
  <c r="J140" i="11" s="1"/>
  <c r="K140" i="11" s="1"/>
  <c r="G140" i="16"/>
  <c r="K136" i="16"/>
  <c r="I136" i="16"/>
  <c r="J136" i="16" s="1"/>
  <c r="G85" i="11"/>
  <c r="I85" i="11" s="1"/>
  <c r="J85" i="11" s="1"/>
  <c r="K85" i="11" s="1"/>
  <c r="G85" i="16"/>
  <c r="G87" i="11"/>
  <c r="I87" i="11" s="1"/>
  <c r="J87" i="11" s="1"/>
  <c r="K87" i="11" s="1"/>
  <c r="G87" i="16"/>
  <c r="I103" i="16"/>
  <c r="J103" i="16" s="1"/>
  <c r="K103" i="16"/>
  <c r="G30" i="11"/>
  <c r="I30" i="11" s="1"/>
  <c r="J30" i="11" s="1"/>
  <c r="K30" i="11" s="1"/>
  <c r="G30" i="16"/>
  <c r="I26" i="16"/>
  <c r="J26" i="16" s="1"/>
  <c r="K26" i="16"/>
  <c r="G54" i="11"/>
  <c r="I54" i="11" s="1"/>
  <c r="J54" i="11" s="1"/>
  <c r="K54" i="11" s="1"/>
  <c r="G54" i="16"/>
  <c r="G149" i="11"/>
  <c r="I149" i="11" s="1"/>
  <c r="J149" i="11" s="1"/>
  <c r="K149" i="11" s="1"/>
  <c r="G149" i="16"/>
  <c r="K161" i="16"/>
  <c r="I161" i="16"/>
  <c r="J161" i="16" s="1"/>
  <c r="F44" i="11"/>
  <c r="F44" i="16"/>
  <c r="F131" i="11"/>
  <c r="F131" i="16"/>
  <c r="F129" i="11"/>
  <c r="F129" i="16"/>
  <c r="F86" i="11"/>
  <c r="F86" i="16"/>
  <c r="F35" i="11"/>
  <c r="F35" i="16"/>
  <c r="F80" i="11"/>
  <c r="F80" i="16"/>
  <c r="F66" i="11"/>
  <c r="F66" i="16"/>
  <c r="F52" i="11"/>
  <c r="F52" i="16"/>
  <c r="F50" i="11"/>
  <c r="F50" i="16"/>
  <c r="F24" i="11"/>
  <c r="F24" i="16"/>
  <c r="F46" i="11"/>
  <c r="F46" i="16"/>
  <c r="F164" i="11"/>
  <c r="F164" i="16"/>
  <c r="G168" i="11"/>
  <c r="I168" i="11" s="1"/>
  <c r="J168" i="11" s="1"/>
  <c r="K168" i="11" s="1"/>
  <c r="G168" i="16"/>
  <c r="I175" i="16"/>
  <c r="J175" i="16" s="1"/>
  <c r="K175" i="16"/>
  <c r="I186" i="16"/>
  <c r="J186" i="16" s="1"/>
  <c r="K186" i="16"/>
  <c r="F187" i="11"/>
  <c r="F187" i="16"/>
  <c r="I197" i="16"/>
  <c r="J197" i="16" s="1"/>
  <c r="K197" i="16"/>
  <c r="K36" i="16"/>
  <c r="I36" i="16"/>
  <c r="J36" i="16" s="1"/>
  <c r="G84" i="11"/>
  <c r="I84" i="11" s="1"/>
  <c r="J84" i="11" s="1"/>
  <c r="K84" i="11" s="1"/>
  <c r="G84" i="16"/>
  <c r="F68" i="11"/>
  <c r="F68" i="16"/>
  <c r="G108" i="11"/>
  <c r="I108" i="11" s="1"/>
  <c r="J108" i="11" s="1"/>
  <c r="K108" i="11" s="1"/>
  <c r="G108" i="16"/>
  <c r="F23" i="11"/>
  <c r="F23" i="16"/>
  <c r="F120" i="11"/>
  <c r="F120" i="16"/>
  <c r="F134" i="11"/>
  <c r="F134" i="16"/>
  <c r="F173" i="11"/>
  <c r="F173" i="16"/>
  <c r="I196" i="16"/>
  <c r="J196" i="16" s="1"/>
  <c r="K196" i="16"/>
  <c r="K181" i="16"/>
  <c r="I181" i="16"/>
  <c r="J181" i="16" s="1"/>
  <c r="I182" i="16"/>
  <c r="J182" i="16" s="1"/>
  <c r="K182" i="16"/>
  <c r="K176" i="16"/>
  <c r="I176" i="16"/>
  <c r="J176" i="16" s="1"/>
  <c r="F199" i="11"/>
  <c r="F199" i="16"/>
  <c r="G202" i="11"/>
  <c r="I202" i="11" s="1"/>
  <c r="J202" i="11" s="1"/>
  <c r="K202" i="11" s="1"/>
  <c r="G202" i="16"/>
  <c r="G204" i="11"/>
  <c r="I204" i="11" s="1"/>
  <c r="J204" i="11" s="1"/>
  <c r="K204" i="11" s="1"/>
  <c r="G204" i="16"/>
  <c r="G49" i="11"/>
  <c r="I49" i="11" s="1"/>
  <c r="J49" i="11" s="1"/>
  <c r="K49" i="11" s="1"/>
  <c r="G49" i="16"/>
  <c r="G52" i="11"/>
  <c r="I52" i="11" s="1"/>
  <c r="J52" i="11" s="1"/>
  <c r="K52" i="11" s="1"/>
  <c r="G52" i="16"/>
  <c r="F136" i="11"/>
  <c r="F136" i="16"/>
  <c r="F67" i="11"/>
  <c r="F67" i="16"/>
  <c r="G125" i="11"/>
  <c r="I125" i="11" s="1"/>
  <c r="J125" i="11" s="1"/>
  <c r="K125" i="11" s="1"/>
  <c r="G125" i="16"/>
  <c r="G55" i="11"/>
  <c r="I55" i="11" s="1"/>
  <c r="J55" i="11" s="1"/>
  <c r="K55" i="11" s="1"/>
  <c r="G55" i="16"/>
  <c r="G25" i="11"/>
  <c r="I25" i="11" s="1"/>
  <c r="J25" i="11" s="1"/>
  <c r="K25" i="11" s="1"/>
  <c r="G25" i="16"/>
  <c r="G43" i="11"/>
  <c r="I43" i="11" s="1"/>
  <c r="J43" i="11" s="1"/>
  <c r="K43" i="11" s="1"/>
  <c r="G43" i="16"/>
  <c r="G38" i="11"/>
  <c r="I38" i="11" s="1"/>
  <c r="J38" i="11" s="1"/>
  <c r="K38" i="11" s="1"/>
  <c r="G38" i="16"/>
  <c r="G142" i="11"/>
  <c r="I142" i="11" s="1"/>
  <c r="J142" i="11" s="1"/>
  <c r="K142" i="11" s="1"/>
  <c r="G142" i="16"/>
  <c r="I153" i="16"/>
  <c r="J153" i="16" s="1"/>
  <c r="K153" i="16"/>
  <c r="F105" i="11"/>
  <c r="F105" i="16"/>
  <c r="F103" i="11"/>
  <c r="F103" i="16"/>
  <c r="F101" i="11"/>
  <c r="F101" i="16"/>
  <c r="F49" i="11"/>
  <c r="F49" i="16"/>
  <c r="F150" i="11"/>
  <c r="F150" i="16"/>
  <c r="F55" i="11"/>
  <c r="F55" i="16"/>
  <c r="F17" i="11"/>
  <c r="F17" i="16"/>
  <c r="F148" i="11"/>
  <c r="F148" i="16"/>
  <c r="F142" i="11"/>
  <c r="F142" i="16"/>
  <c r="F140" i="11"/>
  <c r="F140" i="16"/>
  <c r="F138" i="11"/>
  <c r="F138" i="16"/>
  <c r="G165" i="11"/>
  <c r="I165" i="11" s="1"/>
  <c r="J165" i="11" s="1"/>
  <c r="K165" i="11" s="1"/>
  <c r="G165" i="16"/>
  <c r="F170" i="11"/>
  <c r="F170" i="16"/>
  <c r="F175" i="11"/>
  <c r="F175" i="16"/>
  <c r="F188" i="11"/>
  <c r="F188" i="16"/>
  <c r="F177" i="11"/>
  <c r="F177" i="16"/>
  <c r="K198" i="16"/>
  <c r="I198" i="16"/>
  <c r="J198" i="16" s="1"/>
  <c r="G70" i="11"/>
  <c r="I70" i="11" s="1"/>
  <c r="J70" i="11" s="1"/>
  <c r="K70" i="11" s="1"/>
  <c r="G70" i="16"/>
  <c r="K155" i="16"/>
  <c r="I155" i="16"/>
  <c r="J155" i="16" s="1"/>
  <c r="G135" i="11"/>
  <c r="I135" i="11" s="1"/>
  <c r="J135" i="11" s="1"/>
  <c r="K135" i="11" s="1"/>
  <c r="G135" i="16"/>
  <c r="G65" i="11"/>
  <c r="I65" i="11" s="1"/>
  <c r="J65" i="11" s="1"/>
  <c r="K65" i="11" s="1"/>
  <c r="G65" i="16"/>
  <c r="F127" i="11"/>
  <c r="F127" i="16"/>
  <c r="G92" i="11"/>
  <c r="I92" i="11" s="1"/>
  <c r="J92" i="11" s="1"/>
  <c r="K92" i="11" s="1"/>
  <c r="G92" i="16"/>
  <c r="F61" i="11"/>
  <c r="F61" i="16"/>
  <c r="F25" i="11"/>
  <c r="F25" i="16"/>
  <c r="G86" i="11"/>
  <c r="I86" i="11" s="1"/>
  <c r="J86" i="11" s="1"/>
  <c r="K86" i="11" s="1"/>
  <c r="G86" i="16"/>
  <c r="G128" i="11"/>
  <c r="I128" i="11" s="1"/>
  <c r="J128" i="11" s="1"/>
  <c r="K128" i="11" s="1"/>
  <c r="G128" i="16"/>
  <c r="I104" i="16"/>
  <c r="J104" i="16" s="1"/>
  <c r="K104" i="16"/>
  <c r="K139" i="16"/>
  <c r="I139" i="16"/>
  <c r="J139" i="16" s="1"/>
  <c r="G99" i="11"/>
  <c r="I99" i="11" s="1"/>
  <c r="J99" i="11" s="1"/>
  <c r="K99" i="11" s="1"/>
  <c r="G99" i="16"/>
  <c r="K90" i="16"/>
  <c r="I90" i="16"/>
  <c r="J90" i="16" s="1"/>
  <c r="G14" i="11"/>
  <c r="I14" i="11" s="1"/>
  <c r="J14" i="11" s="1"/>
  <c r="K14" i="11" s="1"/>
  <c r="G14" i="16"/>
  <c r="G39" i="11"/>
  <c r="I39" i="11" s="1"/>
  <c r="J39" i="11" s="1"/>
  <c r="K39" i="11" s="1"/>
  <c r="G39" i="16"/>
  <c r="G57" i="11"/>
  <c r="I57" i="11" s="1"/>
  <c r="J57" i="11" s="1"/>
  <c r="K57" i="11" s="1"/>
  <c r="G57" i="16"/>
  <c r="G41" i="11"/>
  <c r="I41" i="11" s="1"/>
  <c r="J41" i="11" s="1"/>
  <c r="K41" i="11" s="1"/>
  <c r="G41" i="16"/>
  <c r="G154" i="11"/>
  <c r="I154" i="11" s="1"/>
  <c r="J154" i="11" s="1"/>
  <c r="K154" i="11" s="1"/>
  <c r="G154" i="16"/>
  <c r="I156" i="16"/>
  <c r="J156" i="16" s="1"/>
  <c r="K156" i="16"/>
  <c r="F91" i="11"/>
  <c r="F91" i="16"/>
  <c r="F89" i="11"/>
  <c r="F89" i="16"/>
  <c r="F75" i="11"/>
  <c r="F75" i="16"/>
  <c r="F37" i="11"/>
  <c r="F37" i="16"/>
  <c r="F20" i="11"/>
  <c r="F20" i="16"/>
  <c r="F43" i="11"/>
  <c r="F43" i="16"/>
  <c r="F106" i="11"/>
  <c r="F106" i="16"/>
  <c r="F146" i="11"/>
  <c r="F146" i="16"/>
  <c r="F114" i="11"/>
  <c r="F114" i="16"/>
  <c r="F112" i="11"/>
  <c r="F112" i="16"/>
  <c r="F110" i="11"/>
  <c r="F110" i="16"/>
  <c r="I185" i="16"/>
  <c r="J185" i="16" s="1"/>
  <c r="K185" i="16"/>
  <c r="K180" i="16"/>
  <c r="I180" i="16"/>
  <c r="J180" i="16" s="1"/>
  <c r="F194" i="11"/>
  <c r="F194" i="16"/>
  <c r="F185" i="11"/>
  <c r="F185" i="16"/>
  <c r="F196" i="11"/>
  <c r="F196" i="16"/>
  <c r="F174" i="11"/>
  <c r="F174" i="16"/>
  <c r="F184" i="11"/>
  <c r="F184" i="16"/>
  <c r="F201" i="11"/>
  <c r="F201" i="16"/>
  <c r="G120" i="11"/>
  <c r="I120" i="11" s="1"/>
  <c r="J120" i="11" s="1"/>
  <c r="K120" i="11" s="1"/>
  <c r="G120" i="16"/>
  <c r="G83" i="11"/>
  <c r="I83" i="11" s="1"/>
  <c r="J83" i="11" s="1"/>
  <c r="K83" i="11" s="1"/>
  <c r="G83" i="16"/>
  <c r="G111" i="11"/>
  <c r="I111" i="11" s="1"/>
  <c r="J111" i="11" s="1"/>
  <c r="K111" i="11" s="1"/>
  <c r="G111" i="16"/>
  <c r="G40" i="11"/>
  <c r="I40" i="11" s="1"/>
  <c r="J40" i="11" s="1"/>
  <c r="K40" i="11" s="1"/>
  <c r="G40" i="16"/>
  <c r="I150" i="16"/>
  <c r="J150" i="16" s="1"/>
  <c r="K150" i="16"/>
  <c r="F115" i="11"/>
  <c r="F115" i="16"/>
  <c r="F27" i="11"/>
  <c r="F27" i="16"/>
  <c r="G121" i="11"/>
  <c r="I121" i="11" s="1"/>
  <c r="J121" i="11" s="1"/>
  <c r="K121" i="11" s="1"/>
  <c r="G121" i="16"/>
  <c r="G109" i="11"/>
  <c r="I109" i="11" s="1"/>
  <c r="J109" i="11" s="1"/>
  <c r="K109" i="11" s="1"/>
  <c r="G109" i="16"/>
  <c r="G118" i="11"/>
  <c r="I118" i="11" s="1"/>
  <c r="J118" i="11" s="1"/>
  <c r="K118" i="11" s="1"/>
  <c r="G118" i="16"/>
  <c r="G117" i="11"/>
  <c r="I117" i="11" s="1"/>
  <c r="J117" i="11" s="1"/>
  <c r="K117" i="11" s="1"/>
  <c r="G117" i="16"/>
  <c r="G75" i="11"/>
  <c r="I75" i="11" s="1"/>
  <c r="J75" i="11" s="1"/>
  <c r="K75" i="11" s="1"/>
  <c r="G75" i="16"/>
  <c r="G68" i="11"/>
  <c r="I68" i="11" s="1"/>
  <c r="J68" i="11" s="1"/>
  <c r="K68" i="11" s="1"/>
  <c r="G68" i="16"/>
  <c r="G28" i="11"/>
  <c r="I28" i="11" s="1"/>
  <c r="J28" i="11" s="1"/>
  <c r="K28" i="11" s="1"/>
  <c r="G28" i="16"/>
  <c r="G42" i="11"/>
  <c r="I42" i="11" s="1"/>
  <c r="J42" i="11" s="1"/>
  <c r="K42" i="11" s="1"/>
  <c r="G42" i="16"/>
  <c r="G61" i="11"/>
  <c r="I61" i="11" s="1"/>
  <c r="J61" i="11" s="1"/>
  <c r="K61" i="11" s="1"/>
  <c r="G61" i="16"/>
  <c r="G44" i="11"/>
  <c r="I44" i="11" s="1"/>
  <c r="J44" i="11" s="1"/>
  <c r="K44" i="11" s="1"/>
  <c r="G44" i="16"/>
  <c r="G143" i="11"/>
  <c r="I143" i="11" s="1"/>
  <c r="J143" i="11" s="1"/>
  <c r="K143" i="11" s="1"/>
  <c r="G143" i="16"/>
  <c r="G145" i="11"/>
  <c r="I145" i="11" s="1"/>
  <c r="J145" i="11" s="1"/>
  <c r="K145" i="11" s="1"/>
  <c r="G145" i="16"/>
  <c r="F79" i="11"/>
  <c r="F79" i="16"/>
  <c r="F77" i="11"/>
  <c r="F77" i="16"/>
  <c r="F63" i="11"/>
  <c r="F63" i="16"/>
  <c r="F81" i="11"/>
  <c r="F81" i="16"/>
  <c r="F34" i="11"/>
  <c r="F34" i="16"/>
  <c r="F31" i="11"/>
  <c r="F31" i="16"/>
  <c r="F132" i="11"/>
  <c r="F132" i="16"/>
  <c r="F144" i="11"/>
  <c r="F144" i="16"/>
  <c r="F87" i="11"/>
  <c r="F87" i="16"/>
  <c r="F85" i="11"/>
  <c r="F85" i="16"/>
  <c r="F151" i="11"/>
  <c r="F151" i="16"/>
  <c r="G170" i="11"/>
  <c r="I170" i="11" s="1"/>
  <c r="J170" i="11" s="1"/>
  <c r="K170" i="11" s="1"/>
  <c r="G170" i="16"/>
  <c r="F182" i="11"/>
  <c r="F182" i="16"/>
  <c r="F190" i="11"/>
  <c r="F190" i="16"/>
  <c r="F203" i="11"/>
  <c r="F203" i="16"/>
  <c r="G130" i="11"/>
  <c r="I130" i="11" s="1"/>
  <c r="J130" i="11" s="1"/>
  <c r="K130" i="11" s="1"/>
  <c r="G130" i="16"/>
  <c r="G105" i="11"/>
  <c r="I105" i="11" s="1"/>
  <c r="J105" i="11" s="1"/>
  <c r="K105" i="11" s="1"/>
  <c r="G105" i="16"/>
  <c r="F160" i="11"/>
  <c r="F160" i="16"/>
  <c r="K115" i="16"/>
  <c r="I115" i="16"/>
  <c r="J115" i="16" s="1"/>
  <c r="G51" i="11"/>
  <c r="I51" i="11" s="1"/>
  <c r="J51" i="11" s="1"/>
  <c r="K51" i="11" s="1"/>
  <c r="G51" i="16"/>
  <c r="G151" i="11"/>
  <c r="I151" i="11" s="1"/>
  <c r="J151" i="11" s="1"/>
  <c r="K151" i="11" s="1"/>
  <c r="G151" i="16"/>
  <c r="F117" i="11"/>
  <c r="F117" i="16"/>
  <c r="F41" i="11"/>
  <c r="F41" i="16"/>
  <c r="G129" i="11"/>
  <c r="I129" i="11" s="1"/>
  <c r="J129" i="11" s="1"/>
  <c r="K129" i="11" s="1"/>
  <c r="G129" i="16"/>
  <c r="G76" i="11"/>
  <c r="I76" i="11" s="1"/>
  <c r="J76" i="11" s="1"/>
  <c r="K76" i="11" s="1"/>
  <c r="G76" i="16"/>
  <c r="G123" i="11"/>
  <c r="I123" i="11" s="1"/>
  <c r="J123" i="11" s="1"/>
  <c r="K123" i="11" s="1"/>
  <c r="G123" i="16"/>
  <c r="G132" i="11"/>
  <c r="I132" i="11" s="1"/>
  <c r="J132" i="11" s="1"/>
  <c r="K132" i="11" s="1"/>
  <c r="G132" i="16"/>
  <c r="G131" i="11"/>
  <c r="I131" i="11" s="1"/>
  <c r="J131" i="11" s="1"/>
  <c r="K131" i="11" s="1"/>
  <c r="G131" i="16"/>
  <c r="G80" i="11"/>
  <c r="I80" i="11" s="1"/>
  <c r="J80" i="11" s="1"/>
  <c r="K80" i="11" s="1"/>
  <c r="G80" i="16"/>
  <c r="G82" i="11"/>
  <c r="I82" i="11" s="1"/>
  <c r="J82" i="11" s="1"/>
  <c r="K82" i="11" s="1"/>
  <c r="G82" i="16"/>
  <c r="G19" i="11"/>
  <c r="I19" i="11" s="1"/>
  <c r="J19" i="11" s="1"/>
  <c r="K19" i="11" s="1"/>
  <c r="G19" i="16"/>
  <c r="G45" i="11"/>
  <c r="I45" i="11" s="1"/>
  <c r="J45" i="11" s="1"/>
  <c r="K45" i="11" s="1"/>
  <c r="G45" i="16"/>
  <c r="G15" i="11"/>
  <c r="I15" i="11" s="1"/>
  <c r="J15" i="11" s="1"/>
  <c r="K15" i="11" s="1"/>
  <c r="G15" i="16"/>
  <c r="I47" i="16"/>
  <c r="J47" i="16" s="1"/>
  <c r="K47" i="16"/>
  <c r="K157" i="16"/>
  <c r="I157" i="16"/>
  <c r="J157" i="16" s="1"/>
  <c r="I159" i="16"/>
  <c r="J159" i="16" s="1"/>
  <c r="K159" i="16"/>
  <c r="F54" i="11"/>
  <c r="F54" i="16"/>
  <c r="F65" i="11"/>
  <c r="F65" i="16"/>
  <c r="F51" i="11"/>
  <c r="F51" i="16"/>
  <c r="F121" i="11"/>
  <c r="F121" i="16"/>
  <c r="F22" i="11"/>
  <c r="F22" i="16"/>
  <c r="F18" i="11"/>
  <c r="F18" i="16"/>
  <c r="F104" i="11"/>
  <c r="F104" i="16"/>
  <c r="F116" i="11"/>
  <c r="F116" i="16"/>
  <c r="F62" i="11"/>
  <c r="F62" i="16"/>
  <c r="F60" i="11"/>
  <c r="F60" i="16"/>
  <c r="F137" i="11"/>
  <c r="F137" i="16"/>
  <c r="F167" i="11"/>
  <c r="F167" i="16"/>
  <c r="K192" i="16"/>
  <c r="I192" i="16"/>
  <c r="J192" i="16" s="1"/>
  <c r="F197" i="11"/>
  <c r="F197" i="16"/>
  <c r="I177" i="16"/>
  <c r="J177" i="16" s="1"/>
  <c r="K177" i="16"/>
  <c r="F189" i="11"/>
  <c r="F189" i="16"/>
  <c r="F186" i="11"/>
  <c r="F186" i="16"/>
  <c r="F200" i="11"/>
  <c r="F200" i="16"/>
  <c r="G199" i="11"/>
  <c r="I199" i="11" s="1"/>
  <c r="J199" i="11" s="1"/>
  <c r="K199" i="11" s="1"/>
  <c r="G199" i="16"/>
  <c r="F204" i="11"/>
  <c r="F204" i="16"/>
  <c r="G32" i="11"/>
  <c r="I32" i="11" s="1"/>
  <c r="J32" i="11" s="1"/>
  <c r="K32" i="11" s="1"/>
  <c r="G32" i="16"/>
  <c r="K69" i="16"/>
  <c r="I69" i="16"/>
  <c r="J69" i="16" s="1"/>
  <c r="G60" i="11"/>
  <c r="I60" i="11" s="1"/>
  <c r="J60" i="11" s="1"/>
  <c r="K60" i="11" s="1"/>
  <c r="G60" i="16"/>
  <c r="F58" i="11"/>
  <c r="F58" i="16"/>
  <c r="I101" i="16"/>
  <c r="J101" i="16" s="1"/>
  <c r="K101" i="16"/>
  <c r="G24" i="11"/>
  <c r="I24" i="11" s="1"/>
  <c r="J24" i="11" s="1"/>
  <c r="K24" i="11" s="1"/>
  <c r="G24" i="16"/>
  <c r="G33" i="11"/>
  <c r="I33" i="11" s="1"/>
  <c r="J33" i="11" s="1"/>
  <c r="K33" i="11" s="1"/>
  <c r="G33" i="16"/>
  <c r="I29" i="16"/>
  <c r="J29" i="16" s="1"/>
  <c r="K29" i="16"/>
  <c r="G58" i="11"/>
  <c r="I58" i="11" s="1"/>
  <c r="J58" i="11" s="1"/>
  <c r="K58" i="11" s="1"/>
  <c r="G58" i="16"/>
  <c r="G146" i="11"/>
  <c r="I146" i="11" s="1"/>
  <c r="J146" i="11" s="1"/>
  <c r="K146" i="11" s="1"/>
  <c r="G146" i="16"/>
  <c r="F42" i="11"/>
  <c r="F42" i="16"/>
  <c r="F40" i="11"/>
  <c r="F40" i="16"/>
  <c r="F26" i="11"/>
  <c r="F26" i="16"/>
  <c r="F45" i="11"/>
  <c r="F45" i="16"/>
  <c r="F94" i="11"/>
  <c r="F94" i="16"/>
  <c r="F161" i="11"/>
  <c r="F161" i="16"/>
  <c r="F78" i="11"/>
  <c r="F78" i="16"/>
  <c r="F88" i="11"/>
  <c r="F88" i="16"/>
  <c r="F38" i="11"/>
  <c r="F38" i="16"/>
  <c r="F153" i="11"/>
  <c r="F153" i="16"/>
  <c r="F123" i="11"/>
  <c r="F123" i="16"/>
  <c r="F165" i="11"/>
  <c r="F165" i="16"/>
  <c r="G167" i="11"/>
  <c r="I167" i="11" s="1"/>
  <c r="J167" i="11" s="1"/>
  <c r="K167" i="11" s="1"/>
  <c r="G167" i="16"/>
  <c r="G173" i="11"/>
  <c r="I173" i="11" s="1"/>
  <c r="J173" i="11" s="1"/>
  <c r="K173" i="11" s="1"/>
  <c r="G173" i="16"/>
  <c r="F178" i="11"/>
  <c r="F178" i="16"/>
  <c r="F193" i="11"/>
  <c r="F193" i="16"/>
  <c r="G106" i="11"/>
  <c r="I106" i="11" s="1"/>
  <c r="J106" i="11" s="1"/>
  <c r="K106" i="11" s="1"/>
  <c r="G106" i="16"/>
  <c r="G110" i="11"/>
  <c r="I110" i="11" s="1"/>
  <c r="J110" i="11" s="1"/>
  <c r="K110" i="11" s="1"/>
  <c r="G110" i="16"/>
  <c r="G72" i="11"/>
  <c r="I72" i="11" s="1"/>
  <c r="J72" i="11" s="1"/>
  <c r="K72" i="11" s="1"/>
  <c r="G72" i="16"/>
  <c r="I93" i="16"/>
  <c r="J93" i="16" s="1"/>
  <c r="K93" i="16"/>
  <c r="I96" i="16"/>
  <c r="J96" i="16" s="1"/>
  <c r="K96" i="16"/>
  <c r="I17" i="16"/>
  <c r="J17" i="16" s="1"/>
  <c r="K17" i="16"/>
  <c r="G134" i="11"/>
  <c r="I134" i="11" s="1"/>
  <c r="J134" i="11" s="1"/>
  <c r="K134" i="11" s="1"/>
  <c r="G134" i="16"/>
  <c r="I124" i="16"/>
  <c r="J124" i="16" s="1"/>
  <c r="K124" i="16"/>
  <c r="G77" i="11"/>
  <c r="I77" i="11" s="1"/>
  <c r="J77" i="11" s="1"/>
  <c r="K77" i="11" s="1"/>
  <c r="G77" i="16"/>
  <c r="I71" i="16"/>
  <c r="J71" i="16" s="1"/>
  <c r="K71" i="16"/>
  <c r="G74" i="11"/>
  <c r="I74" i="11" s="1"/>
  <c r="J74" i="11" s="1"/>
  <c r="K74" i="11" s="1"/>
  <c r="G74" i="16"/>
  <c r="G64" i="11"/>
  <c r="I64" i="11" s="1"/>
  <c r="J64" i="11" s="1"/>
  <c r="K64" i="11" s="1"/>
  <c r="G64" i="16"/>
  <c r="G31" i="11"/>
  <c r="I31" i="11" s="1"/>
  <c r="J31" i="11" s="1"/>
  <c r="K31" i="11" s="1"/>
  <c r="G31" i="16"/>
  <c r="G53" i="11"/>
  <c r="I53" i="11" s="1"/>
  <c r="J53" i="11" s="1"/>
  <c r="K53" i="11" s="1"/>
  <c r="G53" i="16"/>
  <c r="I56" i="16"/>
  <c r="J56" i="16" s="1"/>
  <c r="K56" i="16"/>
  <c r="I160" i="16"/>
  <c r="J160" i="16" s="1"/>
  <c r="K160" i="16"/>
  <c r="F30" i="11"/>
  <c r="F30" i="16"/>
  <c r="F28" i="11"/>
  <c r="F28" i="16"/>
  <c r="F14" i="11"/>
  <c r="F14" i="16"/>
  <c r="F107" i="11"/>
  <c r="F107" i="16"/>
  <c r="F93" i="11"/>
  <c r="F93" i="16"/>
  <c r="F147" i="11"/>
  <c r="F147" i="16"/>
  <c r="F53" i="11"/>
  <c r="F53" i="16"/>
  <c r="F64" i="11"/>
  <c r="F64" i="16"/>
  <c r="F155" i="11"/>
  <c r="F155" i="16"/>
  <c r="F139" i="11"/>
  <c r="F139" i="16"/>
  <c r="F109" i="11"/>
  <c r="F109" i="16"/>
  <c r="G164" i="11"/>
  <c r="I164" i="11" s="1"/>
  <c r="J164" i="11" s="1"/>
  <c r="K164" i="11" s="1"/>
  <c r="G164" i="16"/>
  <c r="K188" i="16"/>
  <c r="I188" i="16"/>
  <c r="J188" i="16" s="1"/>
  <c r="K190" i="16"/>
  <c r="I190" i="16"/>
  <c r="J190" i="16" s="1"/>
  <c r="F181" i="11"/>
  <c r="F181" i="16"/>
  <c r="F195" i="11"/>
  <c r="F195" i="16"/>
  <c r="F183" i="11"/>
  <c r="F183" i="16"/>
  <c r="F69" i="11"/>
  <c r="F69" i="16"/>
  <c r="F16" i="11"/>
  <c r="F16" i="16"/>
  <c r="F108" i="11"/>
  <c r="F108" i="16"/>
  <c r="F125" i="11"/>
  <c r="F125" i="16"/>
  <c r="F95" i="11"/>
  <c r="F95" i="16"/>
  <c r="F133" i="11"/>
  <c r="F133" i="16"/>
  <c r="F29" i="11"/>
  <c r="F29" i="16"/>
  <c r="F39" i="11"/>
  <c r="F39" i="16"/>
  <c r="F154" i="11"/>
  <c r="F154" i="16"/>
  <c r="F152" i="11"/>
  <c r="F152" i="16"/>
  <c r="F176" i="11"/>
  <c r="F176" i="16"/>
  <c r="I191" i="16"/>
  <c r="J191" i="16" s="1"/>
  <c r="K191" i="16"/>
  <c r="K178" i="16"/>
  <c r="I178" i="16"/>
  <c r="J178" i="16" s="1"/>
  <c r="G201" i="11"/>
  <c r="I201" i="11" s="1"/>
  <c r="J201" i="11" s="1"/>
  <c r="K201" i="11" s="1"/>
  <c r="G201" i="16"/>
  <c r="I113" i="16"/>
  <c r="J113" i="16" s="1"/>
  <c r="K113" i="16"/>
  <c r="K138" i="16"/>
  <c r="I138" i="16"/>
  <c r="J138" i="16" s="1"/>
  <c r="G95" i="11"/>
  <c r="I95" i="11" s="1"/>
  <c r="J95" i="11" s="1"/>
  <c r="K95" i="11" s="1"/>
  <c r="G95" i="16"/>
  <c r="G100" i="11"/>
  <c r="I100" i="11" s="1"/>
  <c r="J100" i="11" s="1"/>
  <c r="K100" i="11" s="1"/>
  <c r="G100" i="16"/>
  <c r="G88" i="11"/>
  <c r="I88" i="11" s="1"/>
  <c r="J88" i="11" s="1"/>
  <c r="K88" i="11" s="1"/>
  <c r="G88" i="16"/>
  <c r="G48" i="11"/>
  <c r="I48" i="11" s="1"/>
  <c r="J48" i="11" s="1"/>
  <c r="K48" i="11" s="1"/>
  <c r="G48" i="16"/>
  <c r="G20" i="11"/>
  <c r="I20" i="11" s="1"/>
  <c r="J20" i="11" s="1"/>
  <c r="K20" i="11" s="1"/>
  <c r="G20" i="16"/>
  <c r="G66" i="11"/>
  <c r="I66" i="11" s="1"/>
  <c r="J66" i="11" s="1"/>
  <c r="K66" i="11" s="1"/>
  <c r="G66" i="16"/>
  <c r="I59" i="16"/>
  <c r="J59" i="16" s="1"/>
  <c r="K59" i="16"/>
  <c r="G152" i="11"/>
  <c r="I152" i="11" s="1"/>
  <c r="J152" i="11" s="1"/>
  <c r="K152" i="11" s="1"/>
  <c r="G152" i="16"/>
  <c r="G107" i="11"/>
  <c r="I107" i="11" s="1"/>
  <c r="J107" i="11" s="1"/>
  <c r="K107" i="11" s="1"/>
  <c r="G107" i="16"/>
  <c r="G116" i="11"/>
  <c r="I116" i="11" s="1"/>
  <c r="J116" i="11" s="1"/>
  <c r="K116" i="11" s="1"/>
  <c r="G116" i="16"/>
  <c r="I81" i="16"/>
  <c r="J81" i="16" s="1"/>
  <c r="K81" i="16"/>
  <c r="G94" i="11"/>
  <c r="I94" i="11" s="1"/>
  <c r="J94" i="11" s="1"/>
  <c r="K94" i="11" s="1"/>
  <c r="G94" i="16"/>
  <c r="G102" i="11"/>
  <c r="I102" i="11" s="1"/>
  <c r="J102" i="11" s="1"/>
  <c r="K102" i="11" s="1"/>
  <c r="G102" i="16"/>
  <c r="I22" i="16"/>
  <c r="J22" i="16" s="1"/>
  <c r="K22" i="16"/>
  <c r="G34" i="11"/>
  <c r="I34" i="11" s="1"/>
  <c r="J34" i="11" s="1"/>
  <c r="K34" i="11" s="1"/>
  <c r="G34" i="16"/>
  <c r="G18" i="11"/>
  <c r="I18" i="11" s="1"/>
  <c r="J18" i="11" s="1"/>
  <c r="K18" i="11" s="1"/>
  <c r="G18" i="16"/>
  <c r="K62" i="16"/>
  <c r="I62" i="16"/>
  <c r="J62" i="16" s="1"/>
  <c r="G141" i="11"/>
  <c r="I141" i="11" s="1"/>
  <c r="J141" i="11" s="1"/>
  <c r="K141" i="11" s="1"/>
  <c r="G141" i="16"/>
  <c r="F56" i="11"/>
  <c r="F56" i="16"/>
  <c r="F15" i="11"/>
  <c r="F15" i="16"/>
  <c r="F135" i="11"/>
  <c r="F135" i="16"/>
  <c r="F111" i="11"/>
  <c r="F111" i="16"/>
  <c r="F82" i="11"/>
  <c r="F82" i="16"/>
  <c r="F119" i="11"/>
  <c r="F119" i="16"/>
  <c r="F159" i="11"/>
  <c r="F159" i="16"/>
  <c r="F92" i="11"/>
  <c r="F92" i="16"/>
  <c r="F126" i="11"/>
  <c r="F126" i="16"/>
  <c r="F124" i="11"/>
  <c r="F124" i="16"/>
  <c r="F163" i="11"/>
  <c r="F163" i="16"/>
  <c r="G203" i="11"/>
  <c r="I203" i="11" s="1"/>
  <c r="J203" i="11" s="1"/>
  <c r="K203" i="11" s="1"/>
  <c r="G203" i="16"/>
  <c r="F122" i="11"/>
  <c r="F122" i="16"/>
  <c r="F57" i="11"/>
  <c r="F57" i="16"/>
  <c r="F141" i="11"/>
  <c r="F141" i="16"/>
  <c r="F97" i="11"/>
  <c r="F97" i="16"/>
  <c r="F70" i="11"/>
  <c r="F70" i="16"/>
  <c r="F162" i="11"/>
  <c r="F162" i="16"/>
  <c r="F158" i="11"/>
  <c r="F158" i="16"/>
  <c r="F156" i="11"/>
  <c r="F156" i="16"/>
  <c r="F98" i="11"/>
  <c r="F98" i="16"/>
  <c r="F96" i="11"/>
  <c r="F96" i="16"/>
  <c r="F192" i="11"/>
  <c r="F192" i="16"/>
  <c r="K187" i="16"/>
  <c r="I187" i="16"/>
  <c r="J187" i="16" s="1"/>
  <c r="F198" i="11"/>
  <c r="F198" i="16"/>
  <c r="G200" i="11"/>
  <c r="I200" i="11" s="1"/>
  <c r="J200" i="11" s="1"/>
  <c r="K200" i="11" s="1"/>
  <c r="G200" i="16"/>
  <c r="G163" i="11"/>
  <c r="I163" i="11" s="1"/>
  <c r="J163" i="11" s="1"/>
  <c r="K163" i="11" s="1"/>
  <c r="G163" i="16"/>
  <c r="F172" i="11"/>
  <c r="F172" i="16"/>
  <c r="G172" i="11"/>
  <c r="I172" i="11" s="1"/>
  <c r="J172" i="11" s="1"/>
  <c r="K172" i="11" s="1"/>
  <c r="G172" i="16"/>
  <c r="I194" i="16"/>
  <c r="J194" i="16" s="1"/>
  <c r="K194" i="16"/>
  <c r="K174" i="16"/>
  <c r="I174" i="16"/>
  <c r="J174" i="16" s="1"/>
  <c r="K193" i="16"/>
  <c r="I193" i="16"/>
  <c r="J193" i="16" s="1"/>
  <c r="F180" i="11"/>
  <c r="F180" i="16"/>
  <c r="F179" i="11"/>
  <c r="F179" i="16"/>
  <c r="I183" i="16"/>
  <c r="J183" i="16" s="1"/>
  <c r="K183" i="16"/>
  <c r="F202" i="11"/>
  <c r="F202" i="16"/>
  <c r="G67" i="11"/>
  <c r="I67" i="11" s="1"/>
  <c r="J67" i="11" s="1"/>
  <c r="K67" i="11" s="1"/>
  <c r="G67" i="16"/>
  <c r="G46" i="11"/>
  <c r="I46" i="11" s="1"/>
  <c r="J46" i="11" s="1"/>
  <c r="K46" i="11" s="1"/>
  <c r="G46" i="16"/>
  <c r="G27" i="11"/>
  <c r="I27" i="11" s="1"/>
  <c r="J27" i="11" s="1"/>
  <c r="K27" i="11" s="1"/>
  <c r="G27" i="16"/>
  <c r="G144" i="11"/>
  <c r="I144" i="11" s="1"/>
  <c r="J144" i="11" s="1"/>
  <c r="K144" i="11" s="1"/>
  <c r="G144" i="16"/>
  <c r="F84" i="11"/>
  <c r="F84" i="16"/>
  <c r="F128" i="11"/>
  <c r="F128" i="16"/>
  <c r="F73" i="11"/>
  <c r="F73" i="16"/>
  <c r="G169" i="11"/>
  <c r="I169" i="11" s="1"/>
  <c r="J169" i="11" s="1"/>
  <c r="K169" i="11" s="1"/>
  <c r="G169" i="16"/>
  <c r="G122" i="11"/>
  <c r="I122" i="11" s="1"/>
  <c r="J122" i="11" s="1"/>
  <c r="K122" i="11" s="1"/>
  <c r="G122" i="16"/>
  <c r="G112" i="11"/>
  <c r="I112" i="11" s="1"/>
  <c r="J112" i="11" s="1"/>
  <c r="K112" i="11" s="1"/>
  <c r="G112" i="16"/>
  <c r="G119" i="11"/>
  <c r="I119" i="11" s="1"/>
  <c r="J119" i="11" s="1"/>
  <c r="K119" i="11" s="1"/>
  <c r="G119" i="16"/>
  <c r="G78" i="11"/>
  <c r="I78" i="11" s="1"/>
  <c r="J78" i="11" s="1"/>
  <c r="K78" i="11" s="1"/>
  <c r="G78" i="16"/>
  <c r="G98" i="11"/>
  <c r="I98" i="11" s="1"/>
  <c r="J98" i="11" s="1"/>
  <c r="K98" i="11" s="1"/>
  <c r="G98" i="16"/>
  <c r="G97" i="11"/>
  <c r="I97" i="11" s="1"/>
  <c r="J97" i="11" s="1"/>
  <c r="K97" i="11" s="1"/>
  <c r="G97" i="16"/>
  <c r="G63" i="11"/>
  <c r="I63" i="11" s="1"/>
  <c r="J63" i="11" s="1"/>
  <c r="K63" i="11" s="1"/>
  <c r="G63" i="16"/>
  <c r="I23" i="16"/>
  <c r="J23" i="16" s="1"/>
  <c r="K23" i="16"/>
  <c r="G35" i="11"/>
  <c r="I35" i="11" s="1"/>
  <c r="J35" i="11" s="1"/>
  <c r="K35" i="11" s="1"/>
  <c r="G35" i="16"/>
  <c r="K148" i="16"/>
  <c r="I148" i="16"/>
  <c r="J148" i="16" s="1"/>
  <c r="K158" i="16"/>
  <c r="I158" i="16"/>
  <c r="J158" i="16" s="1"/>
  <c r="F19" i="11"/>
  <c r="F19" i="16"/>
  <c r="F157" i="11"/>
  <c r="F157" i="16"/>
  <c r="F113" i="11"/>
  <c r="F113" i="16"/>
  <c r="F72" i="11"/>
  <c r="F72" i="16"/>
  <c r="F33" i="11"/>
  <c r="F33" i="16"/>
  <c r="F118" i="11"/>
  <c r="F118" i="16"/>
  <c r="F102" i="11"/>
  <c r="F102" i="16"/>
  <c r="F100" i="11"/>
  <c r="F100" i="16"/>
  <c r="F48" i="11"/>
  <c r="F48" i="16"/>
  <c r="F71" i="11"/>
  <c r="F71" i="16"/>
  <c r="F166" i="11"/>
  <c r="F166" i="16"/>
  <c r="F169" i="11"/>
  <c r="F169" i="16"/>
  <c r="K189" i="16"/>
  <c r="I189" i="16"/>
  <c r="J189" i="16" s="1"/>
  <c r="I179" i="16"/>
  <c r="J179" i="16" s="1"/>
  <c r="K179" i="16"/>
  <c r="K195" i="16"/>
  <c r="I195" i="16"/>
  <c r="J195" i="16" s="1"/>
  <c r="G175" i="11"/>
  <c r="I175" i="11" s="1"/>
  <c r="J175" i="11" s="1"/>
  <c r="K175" i="11" s="1"/>
  <c r="G186" i="11"/>
  <c r="I186" i="11" s="1"/>
  <c r="J186" i="11" s="1"/>
  <c r="K186" i="11" s="1"/>
  <c r="G197" i="11"/>
  <c r="I197" i="11" s="1"/>
  <c r="J197" i="11" s="1"/>
  <c r="K197" i="11" s="1"/>
  <c r="G114" i="11"/>
  <c r="I114" i="11" s="1"/>
  <c r="J114" i="11" s="1"/>
  <c r="K114" i="11" s="1"/>
  <c r="G23" i="11"/>
  <c r="I23" i="11" s="1"/>
  <c r="J23" i="11" s="1"/>
  <c r="K23" i="11" s="1"/>
  <c r="G150" i="11"/>
  <c r="I150" i="11" s="1"/>
  <c r="J150" i="11" s="1"/>
  <c r="K150" i="11" s="1"/>
  <c r="G196" i="11"/>
  <c r="I196" i="11" s="1"/>
  <c r="J196" i="11" s="1"/>
  <c r="K196" i="11" s="1"/>
  <c r="G181" i="11"/>
  <c r="I181" i="11" s="1"/>
  <c r="J181" i="11" s="1"/>
  <c r="K181" i="11" s="1"/>
  <c r="G182" i="11"/>
  <c r="I182" i="11" s="1"/>
  <c r="J182" i="11" s="1"/>
  <c r="K182" i="11" s="1"/>
  <c r="G176" i="11"/>
  <c r="I176" i="11" s="1"/>
  <c r="J176" i="11" s="1"/>
  <c r="K176" i="11" s="1"/>
  <c r="G37" i="11"/>
  <c r="I37" i="11" s="1"/>
  <c r="J37" i="11" s="1"/>
  <c r="K37" i="11" s="1"/>
  <c r="G198" i="11"/>
  <c r="I198" i="11" s="1"/>
  <c r="J198" i="11" s="1"/>
  <c r="K198" i="11" s="1"/>
  <c r="G185" i="11"/>
  <c r="I185" i="11" s="1"/>
  <c r="J185" i="11" s="1"/>
  <c r="K185" i="11" s="1"/>
  <c r="G180" i="11"/>
  <c r="I180" i="11" s="1"/>
  <c r="J180" i="11" s="1"/>
  <c r="K180" i="11" s="1"/>
  <c r="G26" i="11"/>
  <c r="I26" i="11" s="1"/>
  <c r="J26" i="11" s="1"/>
  <c r="K26" i="11" s="1"/>
  <c r="G192" i="11"/>
  <c r="I192" i="11" s="1"/>
  <c r="J192" i="11" s="1"/>
  <c r="K192" i="11" s="1"/>
  <c r="G177" i="11"/>
  <c r="I177" i="11" s="1"/>
  <c r="J177" i="11" s="1"/>
  <c r="K177" i="11" s="1"/>
  <c r="G159" i="11"/>
  <c r="I159" i="11" s="1"/>
  <c r="J159" i="11" s="1"/>
  <c r="K159" i="11" s="1"/>
  <c r="G161" i="11"/>
  <c r="I161" i="11" s="1"/>
  <c r="J161" i="11" s="1"/>
  <c r="K161" i="11" s="1"/>
  <c r="G16" i="11"/>
  <c r="I16" i="11" s="1"/>
  <c r="J16" i="11" s="1"/>
  <c r="K16" i="11" s="1"/>
  <c r="G115" i="11"/>
  <c r="I115" i="11" s="1"/>
  <c r="J115" i="11" s="1"/>
  <c r="K115" i="11" s="1"/>
  <c r="G160" i="11"/>
  <c r="I160" i="11" s="1"/>
  <c r="J160" i="11" s="1"/>
  <c r="K160" i="11" s="1"/>
  <c r="G188" i="11"/>
  <c r="I188" i="11" s="1"/>
  <c r="J188" i="11" s="1"/>
  <c r="K188" i="11" s="1"/>
  <c r="G190" i="11"/>
  <c r="I190" i="11" s="1"/>
  <c r="J190" i="11" s="1"/>
  <c r="K190" i="11" s="1"/>
  <c r="G153" i="11"/>
  <c r="I153" i="11" s="1"/>
  <c r="J153" i="11" s="1"/>
  <c r="K153" i="11" s="1"/>
  <c r="G101" i="11"/>
  <c r="I101" i="11" s="1"/>
  <c r="J101" i="11" s="1"/>
  <c r="K101" i="11" s="1"/>
  <c r="G96" i="11"/>
  <c r="I96" i="11" s="1"/>
  <c r="J96" i="11" s="1"/>
  <c r="K96" i="11" s="1"/>
  <c r="G191" i="11"/>
  <c r="I191" i="11" s="1"/>
  <c r="J191" i="11" s="1"/>
  <c r="K191" i="11" s="1"/>
  <c r="G178" i="11"/>
  <c r="I178" i="11" s="1"/>
  <c r="J178" i="11" s="1"/>
  <c r="K178" i="11" s="1"/>
  <c r="G139" i="11"/>
  <c r="I139" i="11" s="1"/>
  <c r="J139" i="11" s="1"/>
  <c r="K139" i="11" s="1"/>
  <c r="G157" i="11"/>
  <c r="I157" i="11" s="1"/>
  <c r="J157" i="11" s="1"/>
  <c r="K157" i="11" s="1"/>
  <c r="G93" i="11"/>
  <c r="I93" i="11" s="1"/>
  <c r="J93" i="11" s="1"/>
  <c r="K93" i="11" s="1"/>
  <c r="G124" i="11"/>
  <c r="I124" i="11" s="1"/>
  <c r="J124" i="11" s="1"/>
  <c r="K124" i="11" s="1"/>
  <c r="G71" i="11"/>
  <c r="I71" i="11" s="1"/>
  <c r="J71" i="11" s="1"/>
  <c r="K71" i="11" s="1"/>
  <c r="G17" i="11"/>
  <c r="I17" i="11" s="1"/>
  <c r="J17" i="11" s="1"/>
  <c r="K17" i="11" s="1"/>
  <c r="G47" i="11"/>
  <c r="I47" i="11" s="1"/>
  <c r="J47" i="11" s="1"/>
  <c r="K47" i="11" s="1"/>
  <c r="G104" i="11"/>
  <c r="I104" i="11" s="1"/>
  <c r="J104" i="11" s="1"/>
  <c r="K104" i="11" s="1"/>
  <c r="G113" i="11"/>
  <c r="I113" i="11" s="1"/>
  <c r="J113" i="11" s="1"/>
  <c r="K113" i="11" s="1"/>
  <c r="G138" i="11"/>
  <c r="I138" i="11" s="1"/>
  <c r="J138" i="11" s="1"/>
  <c r="K138" i="11" s="1"/>
  <c r="G29" i="11"/>
  <c r="I29" i="11" s="1"/>
  <c r="J29" i="11" s="1"/>
  <c r="K29" i="11" s="1"/>
  <c r="G155" i="11"/>
  <c r="I155" i="11" s="1"/>
  <c r="J155" i="11" s="1"/>
  <c r="K155" i="11" s="1"/>
  <c r="G187" i="11"/>
  <c r="I187" i="11" s="1"/>
  <c r="J187" i="11" s="1"/>
  <c r="K187" i="11" s="1"/>
  <c r="G127" i="11"/>
  <c r="I127" i="11" s="1"/>
  <c r="J127" i="11" s="1"/>
  <c r="K127" i="11" s="1"/>
  <c r="G156" i="11"/>
  <c r="I156" i="11" s="1"/>
  <c r="J156" i="11" s="1"/>
  <c r="K156" i="11" s="1"/>
  <c r="G90" i="11"/>
  <c r="I90" i="11" s="1"/>
  <c r="J90" i="11" s="1"/>
  <c r="K90" i="11" s="1"/>
  <c r="G81" i="11"/>
  <c r="I81" i="11" s="1"/>
  <c r="J81" i="11" s="1"/>
  <c r="K81" i="11" s="1"/>
  <c r="G22" i="11"/>
  <c r="I22" i="11" s="1"/>
  <c r="J22" i="11" s="1"/>
  <c r="K22" i="11" s="1"/>
  <c r="G56" i="11"/>
  <c r="I56" i="11" s="1"/>
  <c r="J56" i="11" s="1"/>
  <c r="K56" i="11" s="1"/>
  <c r="G194" i="11"/>
  <c r="I194" i="11" s="1"/>
  <c r="J194" i="11" s="1"/>
  <c r="K194" i="11" s="1"/>
  <c r="G174" i="11"/>
  <c r="I174" i="11" s="1"/>
  <c r="J174" i="11" s="1"/>
  <c r="K174" i="11" s="1"/>
  <c r="G193" i="11"/>
  <c r="I193" i="11" s="1"/>
  <c r="J193" i="11" s="1"/>
  <c r="K193" i="11" s="1"/>
  <c r="G183" i="11"/>
  <c r="I183" i="11" s="1"/>
  <c r="J183" i="11" s="1"/>
  <c r="K183" i="11" s="1"/>
  <c r="G103" i="11"/>
  <c r="I103" i="11" s="1"/>
  <c r="J103" i="11" s="1"/>
  <c r="K103" i="11" s="1"/>
  <c r="G36" i="11"/>
  <c r="I36" i="11" s="1"/>
  <c r="J36" i="11" s="1"/>
  <c r="K36" i="11" s="1"/>
  <c r="G59" i="11"/>
  <c r="I59" i="11" s="1"/>
  <c r="J59" i="11" s="1"/>
  <c r="K59" i="11" s="1"/>
  <c r="G148" i="11"/>
  <c r="I148" i="11" s="1"/>
  <c r="J148" i="11" s="1"/>
  <c r="K148" i="11" s="1"/>
  <c r="G158" i="11"/>
  <c r="I158" i="11" s="1"/>
  <c r="J158" i="11" s="1"/>
  <c r="K158" i="11" s="1"/>
  <c r="G189" i="11"/>
  <c r="I189" i="11" s="1"/>
  <c r="J189" i="11" s="1"/>
  <c r="K189" i="11" s="1"/>
  <c r="G179" i="11"/>
  <c r="I179" i="11" s="1"/>
  <c r="J179" i="11" s="1"/>
  <c r="K179" i="11" s="1"/>
  <c r="G195" i="11"/>
  <c r="I195" i="11" s="1"/>
  <c r="J195" i="11" s="1"/>
  <c r="K195" i="11" s="1"/>
  <c r="G136" i="11"/>
  <c r="I136" i="11" s="1"/>
  <c r="J136" i="11" s="1"/>
  <c r="K136" i="11" s="1"/>
  <c r="G137" i="11"/>
  <c r="I137" i="11" s="1"/>
  <c r="J137" i="11" s="1"/>
  <c r="K137" i="11" s="1"/>
  <c r="G69" i="11"/>
  <c r="I69" i="11" s="1"/>
  <c r="J69" i="11" s="1"/>
  <c r="K69" i="11" s="1"/>
  <c r="G62" i="11"/>
  <c r="I62" i="11" s="1"/>
  <c r="J62" i="11" s="1"/>
  <c r="K62" i="11" s="1"/>
  <c r="G162" i="11"/>
  <c r="I162" i="11" s="1"/>
  <c r="J162" i="11" s="1"/>
  <c r="K162" i="11" s="1"/>
  <c r="G184" i="11"/>
  <c r="I184" i="11" s="1"/>
  <c r="J184" i="11" s="1"/>
  <c r="K184" i="11" s="1"/>
  <c r="F248" i="16"/>
  <c r="K235" i="16"/>
  <c r="L235" i="16" s="1"/>
  <c r="I252" i="11"/>
  <c r="D239" i="16"/>
  <c r="D240" i="16"/>
  <c r="F212" i="11"/>
  <c r="G222" i="11"/>
  <c r="D241" i="16"/>
  <c r="D220" i="16"/>
  <c r="D218" i="16"/>
  <c r="D212" i="16"/>
  <c r="D223" i="16"/>
  <c r="D244" i="16"/>
  <c r="D252" i="16"/>
  <c r="D255" i="16"/>
  <c r="D221" i="16"/>
  <c r="D228" i="16"/>
  <c r="D217" i="16"/>
  <c r="D256" i="16"/>
  <c r="F237" i="11"/>
  <c r="D258" i="16"/>
  <c r="G223" i="11"/>
  <c r="D235" i="16"/>
  <c r="D250" i="16"/>
  <c r="D214" i="16"/>
  <c r="D226" i="16"/>
  <c r="F223" i="11"/>
  <c r="D253" i="16"/>
  <c r="D243" i="16"/>
  <c r="D247" i="16"/>
  <c r="D257" i="16"/>
  <c r="F253" i="11"/>
  <c r="I222" i="16"/>
  <c r="D248" i="16"/>
  <c r="D242" i="16"/>
  <c r="D259" i="16"/>
  <c r="G248" i="11"/>
  <c r="H259" i="16"/>
  <c r="H218" i="16"/>
  <c r="D236" i="16"/>
  <c r="D227" i="16"/>
  <c r="D237" i="16"/>
  <c r="D249" i="16"/>
  <c r="D233" i="16"/>
  <c r="D215" i="16"/>
  <c r="D246" i="16"/>
  <c r="F247" i="11"/>
  <c r="F260" i="11"/>
  <c r="D213" i="16"/>
  <c r="D219" i="16"/>
  <c r="D245" i="16"/>
  <c r="D230" i="16"/>
  <c r="F236" i="16"/>
  <c r="D260" i="16"/>
  <c r="D225" i="16"/>
  <c r="I237" i="11"/>
  <c r="D232" i="16"/>
  <c r="D234" i="16"/>
  <c r="D222" i="16"/>
  <c r="D238" i="16"/>
  <c r="D254" i="16"/>
  <c r="D224" i="16"/>
  <c r="I216" i="11"/>
  <c r="G247" i="11"/>
  <c r="K242" i="11"/>
  <c r="L242" i="11" s="1"/>
  <c r="G216" i="11"/>
  <c r="F222" i="16"/>
  <c r="D231" i="16"/>
  <c r="D216" i="16"/>
  <c r="D251" i="16"/>
  <c r="D229" i="16"/>
  <c r="H58" i="9"/>
  <c r="H26" i="9"/>
  <c r="D239" i="11"/>
  <c r="D241" i="11"/>
  <c r="D220" i="11"/>
  <c r="D218" i="11"/>
  <c r="H177" i="9"/>
  <c r="D258" i="11"/>
  <c r="H85" i="9"/>
  <c r="H113" i="9"/>
  <c r="H60" i="9"/>
  <c r="H6" i="9"/>
  <c r="H36" i="9"/>
  <c r="H102" i="9"/>
  <c r="H127" i="9"/>
  <c r="H18" i="9"/>
  <c r="H137" i="9"/>
  <c r="H147" i="9"/>
  <c r="D212" i="11"/>
  <c r="D223" i="11"/>
  <c r="D244" i="11"/>
  <c r="D252" i="11"/>
  <c r="H178" i="9"/>
  <c r="D226" i="11"/>
  <c r="H82" i="9"/>
  <c r="H144" i="9"/>
  <c r="H70" i="9"/>
  <c r="H11" i="9"/>
  <c r="H45" i="9"/>
  <c r="H151" i="9"/>
  <c r="D255" i="11"/>
  <c r="D221" i="11"/>
  <c r="D228" i="11"/>
  <c r="D217" i="11"/>
  <c r="D256" i="11"/>
  <c r="H182" i="9"/>
  <c r="H186" i="9"/>
  <c r="H187" i="9"/>
  <c r="H184" i="9"/>
  <c r="H166" i="9"/>
  <c r="H181" i="9"/>
  <c r="H175" i="9"/>
  <c r="H180" i="9"/>
  <c r="H142" i="9"/>
  <c r="H103" i="9"/>
  <c r="H12" i="9"/>
  <c r="H145" i="9"/>
  <c r="D253" i="11"/>
  <c r="D243" i="11"/>
  <c r="D247" i="11"/>
  <c r="H174" i="9"/>
  <c r="H171" i="9"/>
  <c r="D257" i="11"/>
  <c r="H167" i="9"/>
  <c r="H51" i="9"/>
  <c r="H116" i="9"/>
  <c r="D248" i="11"/>
  <c r="D242" i="11"/>
  <c r="D259" i="11"/>
  <c r="H25" i="9"/>
  <c r="D235" i="11"/>
  <c r="H92" i="9"/>
  <c r="H104" i="9"/>
  <c r="H90" i="9"/>
  <c r="H247" i="11"/>
  <c r="H146" i="9"/>
  <c r="H148" i="9"/>
  <c r="D236" i="11"/>
  <c r="D227" i="11"/>
  <c r="D237" i="11"/>
  <c r="D249" i="11"/>
  <c r="D233" i="11"/>
  <c r="D215" i="11"/>
  <c r="D246" i="11"/>
  <c r="H169" i="9"/>
  <c r="H179" i="9"/>
  <c r="H126" i="9"/>
  <c r="H139" i="9"/>
  <c r="D213" i="11"/>
  <c r="D219" i="11"/>
  <c r="H165" i="9"/>
  <c r="D250" i="11"/>
  <c r="H5" i="9"/>
  <c r="H15" i="9"/>
  <c r="D245" i="11"/>
  <c r="H93" i="9"/>
  <c r="H128" i="9"/>
  <c r="H79" i="9"/>
  <c r="I243" i="11"/>
  <c r="H149" i="9"/>
  <c r="D260" i="11"/>
  <c r="D225" i="11"/>
  <c r="H163" i="9"/>
  <c r="D214" i="11"/>
  <c r="H125" i="9"/>
  <c r="H216" i="11"/>
  <c r="D232" i="11"/>
  <c r="D234" i="11"/>
  <c r="D222" i="11"/>
  <c r="D238" i="11"/>
  <c r="D254" i="11"/>
  <c r="D224" i="11"/>
  <c r="H183" i="9"/>
  <c r="H185" i="9"/>
  <c r="H170" i="9"/>
  <c r="D231" i="11"/>
  <c r="D216" i="11"/>
  <c r="D251" i="11"/>
  <c r="D229" i="11"/>
  <c r="H173" i="9"/>
  <c r="H168" i="9"/>
  <c r="H176" i="9"/>
  <c r="H48" i="9"/>
  <c r="H150" i="9"/>
  <c r="D230" i="11"/>
  <c r="D240" i="11"/>
  <c r="H164" i="9"/>
  <c r="H172" i="9"/>
  <c r="H26" i="8"/>
  <c r="H17" i="8"/>
  <c r="H41" i="8"/>
  <c r="H53" i="8"/>
  <c r="H184" i="8"/>
  <c r="H113" i="8"/>
  <c r="H9" i="8"/>
  <c r="H30" i="8"/>
  <c r="H185" i="8"/>
  <c r="H33" i="8"/>
  <c r="H50" i="8"/>
  <c r="H69" i="8"/>
  <c r="H103" i="8"/>
  <c r="H45" i="8"/>
  <c r="H36" i="8"/>
  <c r="H14" i="8"/>
  <c r="H12" i="8"/>
  <c r="H59" i="8"/>
  <c r="H182" i="8"/>
  <c r="H179" i="8"/>
  <c r="H23" i="8"/>
  <c r="H31" i="8"/>
  <c r="H81" i="8"/>
  <c r="H70" i="8"/>
  <c r="H116" i="8"/>
  <c r="H55" i="8"/>
  <c r="H57" i="8"/>
  <c r="H52" i="8"/>
  <c r="H172" i="8"/>
  <c r="H20" i="8"/>
  <c r="H91" i="8"/>
  <c r="H94" i="8"/>
  <c r="H48" i="8"/>
  <c r="H18" i="8"/>
  <c r="H37" i="8"/>
  <c r="H28" i="8"/>
  <c r="H44" i="8"/>
  <c r="H56" i="8"/>
  <c r="H193" i="9"/>
  <c r="H192" i="9"/>
  <c r="H190" i="9"/>
  <c r="H189" i="9"/>
  <c r="H191" i="9"/>
  <c r="H188" i="9"/>
  <c r="H59" i="9"/>
  <c r="H161" i="9"/>
  <c r="H160" i="9"/>
  <c r="H162" i="9"/>
  <c r="H159" i="9"/>
  <c r="H28" i="9"/>
  <c r="H156" i="9"/>
  <c r="H95" i="9"/>
  <c r="H99" i="9"/>
  <c r="H61" i="9"/>
  <c r="H22" i="9"/>
  <c r="H34" i="9"/>
  <c r="H50" i="9"/>
  <c r="H33" i="9"/>
  <c r="H152" i="9"/>
  <c r="H154" i="9"/>
  <c r="H106" i="9"/>
  <c r="H8" i="9"/>
  <c r="H4" i="9"/>
  <c r="H64" i="9"/>
  <c r="H71" i="9"/>
  <c r="H63" i="9"/>
  <c r="H84" i="9"/>
  <c r="H89" i="9"/>
  <c r="H77" i="9"/>
  <c r="H37" i="9"/>
  <c r="H20" i="9"/>
  <c r="H47" i="9"/>
  <c r="H130" i="9"/>
  <c r="H57" i="9"/>
  <c r="H121" i="9"/>
  <c r="H31" i="9"/>
  <c r="H53" i="9"/>
  <c r="H96" i="9"/>
  <c r="H105" i="9"/>
  <c r="H83" i="9"/>
  <c r="H91" i="9"/>
  <c r="H9" i="9"/>
  <c r="H42" i="9"/>
  <c r="H112" i="9"/>
  <c r="H46" i="9"/>
  <c r="H141" i="9"/>
  <c r="H119" i="9"/>
  <c r="H80" i="9"/>
  <c r="H23" i="9"/>
  <c r="H133" i="9"/>
  <c r="H157" i="9"/>
  <c r="H17" i="9"/>
  <c r="H69" i="9"/>
  <c r="H66" i="9"/>
  <c r="H109" i="9"/>
  <c r="H56" i="9"/>
  <c r="H55" i="9"/>
  <c r="H124" i="9"/>
  <c r="H94" i="9"/>
  <c r="H73" i="9"/>
  <c r="H72" i="9"/>
  <c r="H38" i="9"/>
  <c r="H7" i="9"/>
  <c r="H111" i="9"/>
  <c r="H101" i="9"/>
  <c r="H108" i="9"/>
  <c r="H67" i="9"/>
  <c r="H87" i="9"/>
  <c r="H86" i="9"/>
  <c r="H16" i="9"/>
  <c r="H54" i="9"/>
  <c r="H21" i="9"/>
  <c r="H35" i="9"/>
  <c r="H136" i="9"/>
  <c r="H120" i="9"/>
  <c r="H30" i="9"/>
  <c r="H135" i="9"/>
  <c r="H123" i="9"/>
  <c r="H115" i="9"/>
  <c r="H122" i="9"/>
  <c r="H68" i="9"/>
  <c r="H62" i="9"/>
  <c r="H78" i="9"/>
  <c r="H52" i="9"/>
  <c r="H10" i="9"/>
  <c r="H49" i="9"/>
  <c r="H138" i="9"/>
  <c r="H158" i="9"/>
  <c r="H32" i="9"/>
  <c r="H129" i="9"/>
  <c r="H74" i="9"/>
  <c r="H76" i="9"/>
  <c r="H24" i="9"/>
  <c r="H140" i="9"/>
  <c r="H153" i="9"/>
  <c r="H98" i="9"/>
  <c r="H97" i="9"/>
  <c r="H81" i="9"/>
  <c r="H41" i="9"/>
  <c r="H19" i="9"/>
  <c r="H39" i="9"/>
  <c r="H155" i="9"/>
  <c r="H27" i="9"/>
  <c r="H100" i="9"/>
  <c r="H131" i="9"/>
  <c r="H110" i="9"/>
  <c r="H118" i="9"/>
  <c r="H114" i="9"/>
  <c r="H75" i="9"/>
  <c r="H65" i="9"/>
  <c r="H44" i="9"/>
  <c r="H40" i="9"/>
  <c r="H43" i="9"/>
  <c r="H143" i="9"/>
  <c r="H107" i="9"/>
  <c r="H117" i="9"/>
  <c r="H88" i="9"/>
  <c r="H3" i="9"/>
  <c r="H14" i="9"/>
  <c r="H29" i="9"/>
  <c r="H13" i="9"/>
  <c r="H132" i="9"/>
  <c r="H134" i="9"/>
  <c r="H228" i="11" l="1"/>
  <c r="G250" i="11"/>
  <c r="I250" i="11"/>
  <c r="I241" i="11"/>
  <c r="F258" i="11"/>
  <c r="F225" i="11"/>
  <c r="H238" i="11"/>
  <c r="R559" i="7"/>
  <c r="R557" i="7"/>
  <c r="H231" i="11"/>
  <c r="F255" i="11"/>
  <c r="G214" i="11"/>
  <c r="G229" i="11"/>
  <c r="F246" i="11"/>
  <c r="I245" i="11"/>
  <c r="F228" i="11"/>
  <c r="F244" i="11"/>
  <c r="I220" i="11"/>
  <c r="F226" i="11"/>
  <c r="H224" i="11"/>
  <c r="H255" i="11"/>
  <c r="H258" i="11"/>
  <c r="I219" i="11"/>
  <c r="G219" i="11"/>
  <c r="K258" i="16"/>
  <c r="L258" i="16" s="1"/>
  <c r="H257" i="11"/>
  <c r="F224" i="11"/>
  <c r="G244" i="11"/>
  <c r="G215" i="11"/>
  <c r="F254" i="11"/>
  <c r="I227" i="11"/>
  <c r="H249" i="11"/>
  <c r="G260" i="11"/>
  <c r="F233" i="11"/>
  <c r="I246" i="11"/>
  <c r="I240" i="11"/>
  <c r="H246" i="11"/>
  <c r="F249" i="11"/>
  <c r="F245" i="11"/>
  <c r="G224" i="11"/>
  <c r="G228" i="11"/>
  <c r="F257" i="11"/>
  <c r="G241" i="11"/>
  <c r="H229" i="11"/>
  <c r="G213" i="11"/>
  <c r="H254" i="11"/>
  <c r="G212" i="11"/>
  <c r="F250" i="11"/>
  <c r="R171" i="7"/>
  <c r="H233" i="11"/>
  <c r="H245" i="11"/>
  <c r="H219" i="11"/>
  <c r="G257" i="11"/>
  <c r="I254" i="11"/>
  <c r="H214" i="11"/>
  <c r="F219" i="11"/>
  <c r="H213" i="11"/>
  <c r="G259" i="11"/>
  <c r="I238" i="11"/>
  <c r="H226" i="11"/>
  <c r="I228" i="11"/>
  <c r="I233" i="11"/>
  <c r="F241" i="11"/>
  <c r="F240" i="11"/>
  <c r="F215" i="11"/>
  <c r="F231" i="11"/>
  <c r="H240" i="11"/>
  <c r="I226" i="11"/>
  <c r="H250" i="11"/>
  <c r="I212" i="11"/>
  <c r="G217" i="11"/>
  <c r="G232" i="11"/>
  <c r="G246" i="11"/>
  <c r="F229" i="11"/>
  <c r="F227" i="11"/>
  <c r="G255" i="11"/>
  <c r="G233" i="11"/>
  <c r="I217" i="11"/>
  <c r="R347" i="7"/>
  <c r="R448" i="7"/>
  <c r="R172" i="7"/>
  <c r="R464" i="7"/>
  <c r="R253" i="7"/>
  <c r="R265" i="7"/>
  <c r="R512" i="7"/>
  <c r="R459" i="7"/>
  <c r="R517" i="7"/>
  <c r="R520" i="7"/>
  <c r="R372" i="7"/>
  <c r="R248" i="7"/>
  <c r="R502" i="7"/>
  <c r="R305" i="7"/>
  <c r="R215" i="7"/>
  <c r="R306" i="7"/>
  <c r="R108" i="7"/>
  <c r="R37" i="7"/>
  <c r="R289" i="7"/>
  <c r="R228" i="7"/>
  <c r="R458" i="7"/>
  <c r="R280" i="7"/>
  <c r="R490" i="7"/>
  <c r="R269" i="7"/>
  <c r="R503" i="7"/>
  <c r="R551" i="7"/>
  <c r="R336" i="7"/>
  <c r="R264" i="7"/>
  <c r="R439" i="7"/>
  <c r="R199" i="7"/>
  <c r="R444" i="7"/>
  <c r="R510" i="7"/>
  <c r="R469" i="7"/>
  <c r="R7" i="7"/>
  <c r="R130" i="7"/>
  <c r="R338" i="7"/>
  <c r="R5" i="7"/>
  <c r="R173" i="7"/>
  <c r="R201" i="7"/>
  <c r="R6" i="7"/>
  <c r="R185" i="7"/>
  <c r="R538" i="7"/>
  <c r="R115" i="7"/>
  <c r="R145" i="7"/>
  <c r="R552" i="7"/>
  <c r="R119" i="7"/>
  <c r="R542" i="7"/>
  <c r="R496" i="7"/>
  <c r="R393" i="7"/>
  <c r="R373" i="7"/>
  <c r="R521" i="7"/>
  <c r="R202" i="7"/>
  <c r="R514" i="7"/>
  <c r="R473" i="7"/>
  <c r="R29" i="7"/>
  <c r="R252" i="7"/>
  <c r="R225" i="7"/>
  <c r="R12" i="7"/>
  <c r="R285" i="7"/>
  <c r="R287" i="7"/>
  <c r="R323" i="7"/>
  <c r="R38" i="7"/>
  <c r="R447" i="7"/>
  <c r="R166" i="7"/>
  <c r="R22" i="7"/>
  <c r="R446" i="7"/>
  <c r="R489" i="7"/>
  <c r="R184" i="7"/>
  <c r="R268" i="7"/>
  <c r="R475" i="7"/>
  <c r="R374" i="7"/>
  <c r="R217" i="7"/>
  <c r="R415" i="7"/>
  <c r="R541" i="7"/>
  <c r="R195" i="7"/>
  <c r="R375" i="7"/>
  <c r="R135" i="7"/>
  <c r="R478" i="7"/>
  <c r="R380" i="7"/>
  <c r="R9" i="7"/>
  <c r="R20" i="7"/>
  <c r="R348" i="7"/>
  <c r="R36" i="7"/>
  <c r="R175" i="7"/>
  <c r="R316" i="7"/>
  <c r="R15" i="7"/>
  <c r="R210" i="7"/>
  <c r="R56" i="7"/>
  <c r="R155" i="7"/>
  <c r="R284" i="7"/>
  <c r="R206" i="7"/>
  <c r="R310" i="7"/>
  <c r="R207" i="7"/>
  <c r="R318" i="7"/>
  <c r="R320" i="7"/>
  <c r="R168" i="7"/>
  <c r="R322" i="7"/>
  <c r="R113" i="7"/>
  <c r="R535" i="7"/>
  <c r="R463" i="7"/>
  <c r="R536" i="7"/>
  <c r="R537" i="7"/>
  <c r="R110" i="7"/>
  <c r="R13" i="7"/>
  <c r="R370" i="7"/>
  <c r="R501" i="7"/>
  <c r="R290" i="7"/>
  <c r="R365" i="7"/>
  <c r="R434" i="7"/>
  <c r="R377" i="7"/>
  <c r="R433" i="7"/>
  <c r="R198" i="7"/>
  <c r="R17" i="7"/>
  <c r="R107" i="7"/>
  <c r="R508" i="7"/>
  <c r="R403" i="7"/>
  <c r="R494" i="7"/>
  <c r="R391" i="7"/>
  <c r="R39" i="7"/>
  <c r="R273" i="7"/>
  <c r="R243" i="7"/>
  <c r="R525" i="7"/>
  <c r="R114" i="7"/>
  <c r="R35" i="7"/>
  <c r="R275" i="7"/>
  <c r="R531" i="7"/>
  <c r="R325" i="7"/>
  <c r="R41" i="7"/>
  <c r="R381" i="7"/>
  <c r="R382" i="7"/>
  <c r="R54" i="7"/>
  <c r="R3" i="7"/>
  <c r="R246" i="7"/>
  <c r="R544" i="7"/>
  <c r="R245" i="7"/>
  <c r="R162" i="7"/>
  <c r="R293" i="7"/>
  <c r="R163" i="7"/>
  <c r="R233" i="7"/>
  <c r="R263" i="7"/>
  <c r="R160" i="7"/>
  <c r="R11" i="7"/>
  <c r="R180" i="7"/>
  <c r="R177" i="7"/>
  <c r="R261" i="7"/>
  <c r="R451" i="7"/>
  <c r="R332" i="7"/>
  <c r="R505" i="7"/>
  <c r="R178" i="7"/>
  <c r="R417" i="7"/>
  <c r="R200" i="7"/>
  <c r="R420" i="7"/>
  <c r="R534" i="7"/>
  <c r="R214" i="7"/>
  <c r="R222" i="7"/>
  <c r="R315" i="7"/>
  <c r="R329" i="7"/>
  <c r="R340" i="7"/>
  <c r="R432" i="7"/>
  <c r="R88" i="7"/>
  <c r="R75" i="7"/>
  <c r="R399" i="7"/>
  <c r="R182" i="7"/>
  <c r="R291" i="7"/>
  <c r="R379" i="7"/>
  <c r="R509" i="7"/>
  <c r="R68" i="7"/>
  <c r="R474" i="7"/>
  <c r="R259" i="7"/>
  <c r="R301" i="7"/>
  <c r="R187" i="7"/>
  <c r="R476" i="7"/>
  <c r="R235" i="7"/>
  <c r="R297" i="7"/>
  <c r="R65" i="7"/>
  <c r="R218" i="7"/>
  <c r="R299" i="7"/>
  <c r="R467" i="7"/>
  <c r="R416" i="7"/>
  <c r="R471" i="7"/>
  <c r="R506" i="7"/>
  <c r="R147" i="7"/>
  <c r="R106" i="7"/>
  <c r="R45" i="7"/>
  <c r="R58" i="7"/>
  <c r="R292" i="7"/>
  <c r="R42" i="7"/>
  <c r="R429" i="7"/>
  <c r="R57" i="7"/>
  <c r="R326" i="7"/>
  <c r="R319" i="7"/>
  <c r="R468" i="7"/>
  <c r="R109" i="7"/>
  <c r="R530" i="7"/>
  <c r="R193" i="7"/>
  <c r="R532" i="7"/>
  <c r="R161" i="7"/>
  <c r="R522" i="7"/>
  <c r="R412" i="7"/>
  <c r="R134" i="7"/>
  <c r="R216" i="7"/>
  <c r="R122" i="7"/>
  <c r="R150" i="7"/>
  <c r="R123" i="7"/>
  <c r="R154" i="7"/>
  <c r="R120" i="7"/>
  <c r="R121" i="7"/>
  <c r="R407" i="7"/>
  <c r="R146" i="7"/>
  <c r="R129" i="7"/>
  <c r="R443" i="7"/>
  <c r="R196" i="7"/>
  <c r="R485" i="7"/>
  <c r="R398" i="7"/>
  <c r="R422" i="7"/>
  <c r="R60" i="7"/>
  <c r="R21" i="7"/>
  <c r="R48" i="7"/>
  <c r="R141" i="7"/>
  <c r="R226" i="7"/>
  <c r="R136" i="7"/>
  <c r="R456" i="7"/>
  <c r="R137" i="7"/>
  <c r="R138" i="7"/>
  <c r="R437" i="7"/>
  <c r="I6" i="4" a="1"/>
  <c r="I6" i="4" s="1"/>
  <c r="I5" i="4" a="1"/>
  <c r="I5" i="4" s="1"/>
  <c r="K122" i="16"/>
  <c r="I233" i="16" s="1"/>
  <c r="I122" i="16"/>
  <c r="J122" i="16" s="1"/>
  <c r="I46" i="16"/>
  <c r="J46" i="16" s="1"/>
  <c r="K46" i="16"/>
  <c r="K164" i="16"/>
  <c r="I164" i="16"/>
  <c r="J164" i="16" s="1"/>
  <c r="K53" i="16"/>
  <c r="I53" i="16"/>
  <c r="J53" i="16" s="1"/>
  <c r="K134" i="16"/>
  <c r="I134" i="16"/>
  <c r="J134" i="16" s="1"/>
  <c r="K15" i="16"/>
  <c r="I15" i="16"/>
  <c r="J15" i="16" s="1"/>
  <c r="K123" i="16"/>
  <c r="I123" i="16"/>
  <c r="J123" i="16" s="1"/>
  <c r="K170" i="16"/>
  <c r="I170" i="16"/>
  <c r="J170" i="16" s="1"/>
  <c r="K44" i="16"/>
  <c r="I44" i="16"/>
  <c r="J44" i="16" s="1"/>
  <c r="K118" i="16"/>
  <c r="I118" i="16"/>
  <c r="J118" i="16" s="1"/>
  <c r="I111" i="16"/>
  <c r="J111" i="16" s="1"/>
  <c r="K111" i="16"/>
  <c r="K25" i="16"/>
  <c r="I25" i="16"/>
  <c r="J25" i="16" s="1"/>
  <c r="K204" i="16"/>
  <c r="I204" i="16"/>
  <c r="J204" i="16" s="1"/>
  <c r="K147" i="16"/>
  <c r="I147" i="16"/>
  <c r="J147" i="16" s="1"/>
  <c r="I79" i="16"/>
  <c r="J79" i="16" s="1"/>
  <c r="K79" i="16"/>
  <c r="I63" i="16"/>
  <c r="J63" i="16" s="1"/>
  <c r="K63" i="16"/>
  <c r="I169" i="16"/>
  <c r="J169" i="16" s="1"/>
  <c r="K169" i="16"/>
  <c r="I67" i="16"/>
  <c r="J67" i="16" s="1"/>
  <c r="K67" i="16"/>
  <c r="K102" i="16"/>
  <c r="I102" i="16"/>
  <c r="J102" i="16" s="1"/>
  <c r="I66" i="16"/>
  <c r="J66" i="16" s="1"/>
  <c r="K66" i="16"/>
  <c r="G254" i="16" s="1"/>
  <c r="I31" i="16"/>
  <c r="J31" i="16" s="1"/>
  <c r="K31" i="16"/>
  <c r="K45" i="16"/>
  <c r="I45" i="16"/>
  <c r="J45" i="16" s="1"/>
  <c r="K76" i="16"/>
  <c r="I76" i="16"/>
  <c r="J76" i="16" s="1"/>
  <c r="K61" i="16"/>
  <c r="I61" i="16"/>
  <c r="J61" i="16" s="1"/>
  <c r="K109" i="16"/>
  <c r="I109" i="16"/>
  <c r="J109" i="16" s="1"/>
  <c r="K83" i="16"/>
  <c r="I83" i="16"/>
  <c r="J83" i="16" s="1"/>
  <c r="I99" i="16"/>
  <c r="J99" i="16" s="1"/>
  <c r="K99" i="16"/>
  <c r="H219" i="16" s="1"/>
  <c r="K92" i="16"/>
  <c r="F250" i="16" s="1"/>
  <c r="I92" i="16"/>
  <c r="J92" i="16" s="1"/>
  <c r="K55" i="16"/>
  <c r="I55" i="16"/>
  <c r="J55" i="16" s="1"/>
  <c r="K202" i="16"/>
  <c r="I202" i="16"/>
  <c r="J202" i="16" s="1"/>
  <c r="I30" i="16"/>
  <c r="J30" i="16" s="1"/>
  <c r="K30" i="16"/>
  <c r="I166" i="16"/>
  <c r="J166" i="16" s="1"/>
  <c r="K166" i="16"/>
  <c r="I133" i="16"/>
  <c r="J133" i="16" s="1"/>
  <c r="K133" i="16"/>
  <c r="K97" i="16"/>
  <c r="I97" i="16"/>
  <c r="J97" i="16" s="1"/>
  <c r="K172" i="16"/>
  <c r="I172" i="16"/>
  <c r="J172" i="16" s="1"/>
  <c r="I94" i="16"/>
  <c r="J94" i="16" s="1"/>
  <c r="K94" i="16"/>
  <c r="I20" i="16"/>
  <c r="J20" i="16" s="1"/>
  <c r="K20" i="16"/>
  <c r="K201" i="16"/>
  <c r="I201" i="16"/>
  <c r="J201" i="16" s="1"/>
  <c r="I64" i="16"/>
  <c r="J64" i="16" s="1"/>
  <c r="K64" i="16"/>
  <c r="I173" i="16"/>
  <c r="J173" i="16" s="1"/>
  <c r="K173" i="16"/>
  <c r="K146" i="16"/>
  <c r="I146" i="16"/>
  <c r="J146" i="16" s="1"/>
  <c r="I60" i="16"/>
  <c r="J60" i="16" s="1"/>
  <c r="K60" i="16"/>
  <c r="K19" i="16"/>
  <c r="I19" i="16"/>
  <c r="J19" i="16" s="1"/>
  <c r="I129" i="16"/>
  <c r="J129" i="16" s="1"/>
  <c r="K129" i="16"/>
  <c r="I224" i="16" s="1"/>
  <c r="K105" i="16"/>
  <c r="I105" i="16"/>
  <c r="J105" i="16" s="1"/>
  <c r="I42" i="16"/>
  <c r="J42" i="16" s="1"/>
  <c r="K42" i="16"/>
  <c r="K121" i="16"/>
  <c r="I121" i="16"/>
  <c r="J121" i="16" s="1"/>
  <c r="I120" i="16"/>
  <c r="J120" i="16" s="1"/>
  <c r="K120" i="16"/>
  <c r="K154" i="16"/>
  <c r="I154" i="16"/>
  <c r="J154" i="16" s="1"/>
  <c r="K125" i="16"/>
  <c r="I125" i="16"/>
  <c r="J125" i="16" s="1"/>
  <c r="I21" i="16"/>
  <c r="J21" i="16" s="1"/>
  <c r="K21" i="16"/>
  <c r="I50" i="16"/>
  <c r="J50" i="16" s="1"/>
  <c r="K50" i="16"/>
  <c r="I126" i="16"/>
  <c r="J126" i="16" s="1"/>
  <c r="K126" i="16"/>
  <c r="I98" i="16"/>
  <c r="J98" i="16" s="1"/>
  <c r="K98" i="16"/>
  <c r="H258" i="16" s="1"/>
  <c r="K141" i="16"/>
  <c r="I141" i="16"/>
  <c r="J141" i="16" s="1"/>
  <c r="I48" i="16"/>
  <c r="J48" i="16" s="1"/>
  <c r="K48" i="16"/>
  <c r="I74" i="16"/>
  <c r="J74" i="16" s="1"/>
  <c r="K74" i="16"/>
  <c r="K167" i="16"/>
  <c r="I167" i="16"/>
  <c r="J167" i="16" s="1"/>
  <c r="K58" i="16"/>
  <c r="I58" i="16"/>
  <c r="J58" i="16" s="1"/>
  <c r="K82" i="16"/>
  <c r="I82" i="16"/>
  <c r="J82" i="16" s="1"/>
  <c r="I130" i="16"/>
  <c r="J130" i="16" s="1"/>
  <c r="K130" i="16"/>
  <c r="I219" i="16" s="1"/>
  <c r="I28" i="16"/>
  <c r="J28" i="16" s="1"/>
  <c r="K28" i="16"/>
  <c r="I41" i="16"/>
  <c r="J41" i="16" s="1"/>
  <c r="K41" i="16"/>
  <c r="K65" i="16"/>
  <c r="I65" i="16"/>
  <c r="J65" i="16" s="1"/>
  <c r="I87" i="16"/>
  <c r="J87" i="16" s="1"/>
  <c r="K87" i="16"/>
  <c r="I78" i="16"/>
  <c r="J78" i="16" s="1"/>
  <c r="K78" i="16"/>
  <c r="K163" i="16"/>
  <c r="I163" i="16"/>
  <c r="J163" i="16" s="1"/>
  <c r="K116" i="16"/>
  <c r="I244" i="16" s="1"/>
  <c r="I116" i="16"/>
  <c r="J116" i="16" s="1"/>
  <c r="I88" i="16"/>
  <c r="J88" i="16" s="1"/>
  <c r="K88" i="16"/>
  <c r="K72" i="16"/>
  <c r="I72" i="16"/>
  <c r="J72" i="16" s="1"/>
  <c r="I32" i="16"/>
  <c r="J32" i="16" s="1"/>
  <c r="K32" i="16"/>
  <c r="K80" i="16"/>
  <c r="I80" i="16"/>
  <c r="J80" i="16" s="1"/>
  <c r="I68" i="16"/>
  <c r="J68" i="16" s="1"/>
  <c r="K68" i="16"/>
  <c r="G246" i="16" s="1"/>
  <c r="I57" i="16"/>
  <c r="J57" i="16" s="1"/>
  <c r="K57" i="16"/>
  <c r="I128" i="16"/>
  <c r="J128" i="16" s="1"/>
  <c r="K128" i="16"/>
  <c r="I258" i="16" s="1"/>
  <c r="I135" i="16"/>
  <c r="J135" i="16" s="1"/>
  <c r="K135" i="16"/>
  <c r="K142" i="16"/>
  <c r="I142" i="16"/>
  <c r="J142" i="16" s="1"/>
  <c r="K108" i="16"/>
  <c r="I108" i="16"/>
  <c r="J108" i="16" s="1"/>
  <c r="K85" i="16"/>
  <c r="I85" i="16"/>
  <c r="J85" i="16" s="1"/>
  <c r="I119" i="16"/>
  <c r="J119" i="16" s="1"/>
  <c r="K119" i="16"/>
  <c r="K144" i="16"/>
  <c r="I144" i="16"/>
  <c r="J144" i="16" s="1"/>
  <c r="K200" i="16"/>
  <c r="I200" i="16"/>
  <c r="J200" i="16" s="1"/>
  <c r="I203" i="16"/>
  <c r="J203" i="16" s="1"/>
  <c r="K203" i="16"/>
  <c r="K18" i="16"/>
  <c r="F215" i="16" s="1"/>
  <c r="I18" i="16"/>
  <c r="J18" i="16" s="1"/>
  <c r="K107" i="16"/>
  <c r="I107" i="16"/>
  <c r="J107" i="16" s="1"/>
  <c r="I100" i="16"/>
  <c r="J100" i="16" s="1"/>
  <c r="K100" i="16"/>
  <c r="H257" i="16" s="1"/>
  <c r="I77" i="16"/>
  <c r="J77" i="16" s="1"/>
  <c r="K77" i="16"/>
  <c r="K110" i="16"/>
  <c r="I110" i="16"/>
  <c r="J110" i="16" s="1"/>
  <c r="K33" i="16"/>
  <c r="I33" i="16"/>
  <c r="J33" i="16" s="1"/>
  <c r="K131" i="16"/>
  <c r="I257" i="16" s="1"/>
  <c r="I131" i="16"/>
  <c r="J131" i="16" s="1"/>
  <c r="K151" i="16"/>
  <c r="I151" i="16"/>
  <c r="J151" i="16" s="1"/>
  <c r="I145" i="16"/>
  <c r="J145" i="16" s="1"/>
  <c r="K145" i="16"/>
  <c r="K75" i="16"/>
  <c r="I75" i="16"/>
  <c r="J75" i="16" s="1"/>
  <c r="K39" i="16"/>
  <c r="F224" i="16" s="1"/>
  <c r="I39" i="16"/>
  <c r="J39" i="16" s="1"/>
  <c r="I86" i="16"/>
  <c r="J86" i="16" s="1"/>
  <c r="K86" i="16"/>
  <c r="I165" i="16"/>
  <c r="J165" i="16" s="1"/>
  <c r="K165" i="16"/>
  <c r="I38" i="16"/>
  <c r="J38" i="16" s="1"/>
  <c r="K38" i="16"/>
  <c r="F258" i="16" s="1"/>
  <c r="I52" i="16"/>
  <c r="J52" i="16" s="1"/>
  <c r="K52" i="16"/>
  <c r="I168" i="16"/>
  <c r="J168" i="16" s="1"/>
  <c r="K168" i="16"/>
  <c r="I149" i="16"/>
  <c r="J149" i="16" s="1"/>
  <c r="K149" i="16"/>
  <c r="K89" i="16"/>
  <c r="I89" i="16"/>
  <c r="J89" i="16" s="1"/>
  <c r="I35" i="16"/>
  <c r="J35" i="16" s="1"/>
  <c r="K35" i="16"/>
  <c r="K112" i="16"/>
  <c r="I112" i="16"/>
  <c r="J112" i="16" s="1"/>
  <c r="I27" i="16"/>
  <c r="J27" i="16" s="1"/>
  <c r="K27" i="16"/>
  <c r="K34" i="16"/>
  <c r="I34" i="16"/>
  <c r="J34" i="16" s="1"/>
  <c r="I152" i="16"/>
  <c r="J152" i="16" s="1"/>
  <c r="K152" i="16"/>
  <c r="I95" i="16"/>
  <c r="J95" i="16" s="1"/>
  <c r="K95" i="16"/>
  <c r="I106" i="16"/>
  <c r="J106" i="16" s="1"/>
  <c r="K106" i="16"/>
  <c r="I24" i="16"/>
  <c r="J24" i="16" s="1"/>
  <c r="K24" i="16"/>
  <c r="K199" i="16"/>
  <c r="I199" i="16"/>
  <c r="J199" i="16" s="1"/>
  <c r="K132" i="16"/>
  <c r="I132" i="16"/>
  <c r="J132" i="16" s="1"/>
  <c r="I51" i="16"/>
  <c r="J51" i="16" s="1"/>
  <c r="K51" i="16"/>
  <c r="I143" i="16"/>
  <c r="J143" i="16" s="1"/>
  <c r="K143" i="16"/>
  <c r="I117" i="16"/>
  <c r="J117" i="16" s="1"/>
  <c r="K117" i="16"/>
  <c r="I250" i="16" s="1"/>
  <c r="K40" i="16"/>
  <c r="I40" i="16"/>
  <c r="J40" i="16" s="1"/>
  <c r="I70" i="16"/>
  <c r="J70" i="16" s="1"/>
  <c r="K70" i="16"/>
  <c r="G258" i="16" s="1"/>
  <c r="K43" i="16"/>
  <c r="I43" i="16"/>
  <c r="J43" i="16" s="1"/>
  <c r="I49" i="16"/>
  <c r="J49" i="16" s="1"/>
  <c r="K49" i="16"/>
  <c r="K84" i="16"/>
  <c r="I84" i="16"/>
  <c r="J84" i="16" s="1"/>
  <c r="I54" i="16"/>
  <c r="J54" i="16" s="1"/>
  <c r="K54" i="16"/>
  <c r="I140" i="16"/>
  <c r="J140" i="16" s="1"/>
  <c r="K140" i="16"/>
  <c r="I171" i="16"/>
  <c r="J171" i="16" s="1"/>
  <c r="K171" i="16"/>
  <c r="I73" i="16"/>
  <c r="J73" i="16" s="1"/>
  <c r="K73" i="16"/>
  <c r="I91" i="16"/>
  <c r="J91" i="16" s="1"/>
  <c r="K91" i="16"/>
  <c r="F217" i="16" s="1"/>
  <c r="G239" i="11"/>
  <c r="H232" i="11"/>
  <c r="K225" i="11"/>
  <c r="L225" i="11" s="1"/>
  <c r="G230" i="11"/>
  <c r="H260" i="11"/>
  <c r="F218" i="11"/>
  <c r="I239" i="11"/>
  <c r="I214" i="11"/>
  <c r="G243" i="11"/>
  <c r="E212" i="11"/>
  <c r="H241" i="11"/>
  <c r="H230" i="11"/>
  <c r="I213" i="11"/>
  <c r="E254" i="11"/>
  <c r="G225" i="11"/>
  <c r="K254" i="11"/>
  <c r="L254" i="11" s="1"/>
  <c r="K228" i="11"/>
  <c r="L228" i="11" s="1"/>
  <c r="G234" i="16"/>
  <c r="G224" i="16"/>
  <c r="F232" i="11"/>
  <c r="G233" i="16"/>
  <c r="I223" i="16"/>
  <c r="H247" i="16"/>
  <c r="H223" i="16"/>
  <c r="G237" i="16"/>
  <c r="I245" i="16"/>
  <c r="G253" i="16"/>
  <c r="G232" i="16"/>
  <c r="E230" i="11"/>
  <c r="I248" i="16"/>
  <c r="I236" i="16"/>
  <c r="I255" i="16"/>
  <c r="I234" i="16"/>
  <c r="I247" i="16"/>
  <c r="F218" i="16"/>
  <c r="E7" i="16"/>
  <c r="H216" i="16"/>
  <c r="I243" i="16"/>
  <c r="F246" i="16"/>
  <c r="F233" i="16"/>
  <c r="I259" i="16"/>
  <c r="I239" i="16"/>
  <c r="E238" i="16"/>
  <c r="E256" i="16"/>
  <c r="J256" i="16" s="1"/>
  <c r="K226" i="11"/>
  <c r="L226" i="11" s="1"/>
  <c r="H239" i="16"/>
  <c r="H237" i="16"/>
  <c r="H224" i="16"/>
  <c r="E235" i="16"/>
  <c r="J235" i="16" s="1"/>
  <c r="I14" i="16"/>
  <c r="J14" i="16" s="1"/>
  <c r="K14" i="16"/>
  <c r="E236" i="16"/>
  <c r="K248" i="16"/>
  <c r="L248" i="16" s="1"/>
  <c r="K225" i="16"/>
  <c r="L225" i="16" s="1"/>
  <c r="K242" i="16"/>
  <c r="L242" i="16" s="1"/>
  <c r="K230" i="16"/>
  <c r="L230" i="16" s="1"/>
  <c r="F260" i="16"/>
  <c r="K260" i="16"/>
  <c r="L260" i="16" s="1"/>
  <c r="K259" i="16"/>
  <c r="L259" i="16" s="1"/>
  <c r="K251" i="16"/>
  <c r="L251" i="16" s="1"/>
  <c r="K244" i="16"/>
  <c r="L244" i="16" s="1"/>
  <c r="K213" i="16"/>
  <c r="L213" i="16" s="1"/>
  <c r="K253" i="16"/>
  <c r="L253" i="16" s="1"/>
  <c r="K231" i="11"/>
  <c r="L231" i="11" s="1"/>
  <c r="F7" i="16"/>
  <c r="E9" i="16"/>
  <c r="F10" i="16"/>
  <c r="K236" i="16"/>
  <c r="L236" i="16" s="1"/>
  <c r="K221" i="16"/>
  <c r="L221" i="16" s="1"/>
  <c r="K254" i="16"/>
  <c r="L254" i="16" s="1"/>
  <c r="K222" i="16"/>
  <c r="L222" i="16" s="1"/>
  <c r="K229" i="16"/>
  <c r="L229" i="16" s="1"/>
  <c r="K241" i="16"/>
  <c r="L241" i="16" s="1"/>
  <c r="H252" i="16"/>
  <c r="E10" i="16"/>
  <c r="F5" i="16"/>
  <c r="F234" i="16"/>
  <c r="K234" i="16"/>
  <c r="L234" i="16" s="1"/>
  <c r="K214" i="16"/>
  <c r="L214" i="16" s="1"/>
  <c r="K252" i="16"/>
  <c r="L252" i="16" s="1"/>
  <c r="F9" i="16"/>
  <c r="K216" i="16"/>
  <c r="L216" i="16" s="1"/>
  <c r="F223" i="16"/>
  <c r="K223" i="16"/>
  <c r="L223" i="16" s="1"/>
  <c r="K220" i="16"/>
  <c r="L220" i="16" s="1"/>
  <c r="F212" i="16"/>
  <c r="K212" i="16"/>
  <c r="F8" i="16"/>
  <c r="E214" i="11"/>
  <c r="K260" i="11"/>
  <c r="L260" i="11" s="1"/>
  <c r="K217" i="16"/>
  <c r="L217" i="16" s="1"/>
  <c r="K226" i="16"/>
  <c r="L226" i="16" s="1"/>
  <c r="E243" i="16"/>
  <c r="K243" i="16"/>
  <c r="L243" i="16" s="1"/>
  <c r="K256" i="16"/>
  <c r="L256" i="16" s="1"/>
  <c r="E8" i="16"/>
  <c r="F6" i="16"/>
  <c r="E5" i="16"/>
  <c r="G252" i="16"/>
  <c r="K247" i="16"/>
  <c r="L247" i="16" s="1"/>
  <c r="G226" i="11"/>
  <c r="K255" i="16"/>
  <c r="L255" i="16" s="1"/>
  <c r="K249" i="16"/>
  <c r="L249" i="16" s="1"/>
  <c r="K246" i="16"/>
  <c r="L246" i="16" s="1"/>
  <c r="K232" i="16"/>
  <c r="L232" i="16" s="1"/>
  <c r="K240" i="16"/>
  <c r="L240" i="16" s="1"/>
  <c r="E6" i="16"/>
  <c r="K250" i="16"/>
  <c r="L250" i="16" s="1"/>
  <c r="K231" i="16"/>
  <c r="L231" i="16" s="1"/>
  <c r="F239" i="16"/>
  <c r="K239" i="16"/>
  <c r="L239" i="16" s="1"/>
  <c r="K215" i="16"/>
  <c r="L215" i="16" s="1"/>
  <c r="K245" i="16"/>
  <c r="L245" i="16" s="1"/>
  <c r="E4" i="16"/>
  <c r="K224" i="16"/>
  <c r="L224" i="16" s="1"/>
  <c r="K218" i="16"/>
  <c r="L218" i="16" s="1"/>
  <c r="K227" i="16"/>
  <c r="L227" i="16" s="1"/>
  <c r="F237" i="16"/>
  <c r="K237" i="16"/>
  <c r="L237" i="16" s="1"/>
  <c r="F4" i="16"/>
  <c r="K219" i="16"/>
  <c r="L219" i="16" s="1"/>
  <c r="K257" i="16"/>
  <c r="L257" i="16" s="1"/>
  <c r="K228" i="16"/>
  <c r="L228" i="16" s="1"/>
  <c r="K233" i="16"/>
  <c r="L233" i="16" s="1"/>
  <c r="K238" i="16"/>
  <c r="L238" i="16" s="1"/>
  <c r="K221" i="11"/>
  <c r="L221" i="11" s="1"/>
  <c r="K252" i="11"/>
  <c r="L252" i="11" s="1"/>
  <c r="E223" i="11"/>
  <c r="K214" i="11"/>
  <c r="L214" i="11" s="1"/>
  <c r="K230" i="11"/>
  <c r="L230" i="11" s="1"/>
  <c r="K255" i="11"/>
  <c r="L255" i="11" s="1"/>
  <c r="K224" i="11"/>
  <c r="L224" i="11" s="1"/>
  <c r="K237" i="11"/>
  <c r="L237" i="11" s="1"/>
  <c r="I247" i="11"/>
  <c r="I218" i="11"/>
  <c r="I224" i="11"/>
  <c r="I248" i="11"/>
  <c r="E231" i="11"/>
  <c r="K243" i="11"/>
  <c r="L243" i="11" s="1"/>
  <c r="K239" i="11"/>
  <c r="L239" i="11" s="1"/>
  <c r="K213" i="11"/>
  <c r="L213" i="11" s="1"/>
  <c r="K223" i="11"/>
  <c r="L223" i="11" s="1"/>
  <c r="H239" i="11"/>
  <c r="E240" i="11"/>
  <c r="H222" i="11"/>
  <c r="F239" i="11"/>
  <c r="I234" i="11"/>
  <c r="I259" i="11"/>
  <c r="H217" i="11"/>
  <c r="I249" i="11"/>
  <c r="G238" i="11"/>
  <c r="I260" i="11"/>
  <c r="H220" i="11"/>
  <c r="I215" i="11"/>
  <c r="I231" i="11"/>
  <c r="F216" i="11"/>
  <c r="E253" i="11"/>
  <c r="E246" i="11"/>
  <c r="I230" i="11"/>
  <c r="E228" i="11"/>
  <c r="G227" i="11"/>
  <c r="F214" i="11"/>
  <c r="F220" i="11"/>
  <c r="F243" i="11"/>
  <c r="E226" i="11"/>
  <c r="I222" i="11"/>
  <c r="F10" i="11"/>
  <c r="E10" i="11"/>
  <c r="E259" i="11"/>
  <c r="F7" i="11"/>
  <c r="E7" i="11"/>
  <c r="E218" i="11"/>
  <c r="F230" i="11"/>
  <c r="E233" i="11"/>
  <c r="G220" i="11"/>
  <c r="K215" i="11"/>
  <c r="L215" i="11" s="1"/>
  <c r="I244" i="11"/>
  <c r="G249" i="11"/>
  <c r="F259" i="11"/>
  <c r="K236" i="11"/>
  <c r="L236" i="11" s="1"/>
  <c r="E249" i="11"/>
  <c r="K249" i="11"/>
  <c r="L249" i="11" s="1"/>
  <c r="E220" i="11"/>
  <c r="F5" i="11"/>
  <c r="E5" i="11"/>
  <c r="K220" i="11"/>
  <c r="L220" i="11" s="1"/>
  <c r="K240" i="11"/>
  <c r="L240" i="11" s="1"/>
  <c r="G231" i="11"/>
  <c r="K244" i="11"/>
  <c r="L244" i="11" s="1"/>
  <c r="F252" i="11"/>
  <c r="K222" i="11"/>
  <c r="L222" i="11" s="1"/>
  <c r="E235" i="11"/>
  <c r="J235" i="11" s="1"/>
  <c r="K235" i="11"/>
  <c r="L235" i="11" s="1"/>
  <c r="F213" i="11"/>
  <c r="H212" i="11"/>
  <c r="K232" i="11"/>
  <c r="L232" i="11" s="1"/>
  <c r="E238" i="11"/>
  <c r="K238" i="11"/>
  <c r="L238" i="11" s="1"/>
  <c r="K250" i="11"/>
  <c r="L250" i="11" s="1"/>
  <c r="K245" i="11"/>
  <c r="L245" i="11" s="1"/>
  <c r="E256" i="11"/>
  <c r="J256" i="11" s="1"/>
  <c r="K256" i="11"/>
  <c r="L256" i="11" s="1"/>
  <c r="K217" i="11"/>
  <c r="L217" i="11" s="1"/>
  <c r="K234" i="11"/>
  <c r="L234" i="11" s="1"/>
  <c r="F6" i="11"/>
  <c r="E6" i="11"/>
  <c r="G245" i="11"/>
  <c r="K257" i="11"/>
  <c r="L257" i="11" s="1"/>
  <c r="E243" i="11"/>
  <c r="G253" i="11"/>
  <c r="K247" i="11"/>
  <c r="L247" i="11" s="1"/>
  <c r="K212" i="11"/>
  <c r="K253" i="11"/>
  <c r="L253" i="11" s="1"/>
  <c r="H243" i="11"/>
  <c r="K259" i="11"/>
  <c r="L259" i="11" s="1"/>
  <c r="K241" i="11"/>
  <c r="L241" i="11" s="1"/>
  <c r="K258" i="11"/>
  <c r="L258" i="11" s="1"/>
  <c r="E213" i="11"/>
  <c r="E248" i="11"/>
  <c r="K248" i="11"/>
  <c r="L248" i="11" s="1"/>
  <c r="K246" i="11"/>
  <c r="L246" i="11" s="1"/>
  <c r="F9" i="11"/>
  <c r="E9" i="11"/>
  <c r="F4" i="11"/>
  <c r="E4" i="11"/>
  <c r="K251" i="11"/>
  <c r="L251" i="11" s="1"/>
  <c r="I229" i="11"/>
  <c r="E232" i="11"/>
  <c r="E247" i="11"/>
  <c r="K227" i="11"/>
  <c r="L227" i="11" s="1"/>
  <c r="K218" i="11"/>
  <c r="L218" i="11" s="1"/>
  <c r="G237" i="11"/>
  <c r="E219" i="11"/>
  <c r="K219" i="11"/>
  <c r="L219" i="11" s="1"/>
  <c r="I257" i="11"/>
  <c r="F8" i="11"/>
  <c r="E8" i="11"/>
  <c r="H253" i="11"/>
  <c r="G254" i="11"/>
  <c r="H227" i="11"/>
  <c r="K229" i="11"/>
  <c r="L229" i="11" s="1"/>
  <c r="K216" i="11"/>
  <c r="L216" i="11" s="1"/>
  <c r="H248" i="11"/>
  <c r="H237" i="11"/>
  <c r="H236" i="11"/>
  <c r="H223" i="11"/>
  <c r="E216" i="11"/>
  <c r="G240" i="11"/>
  <c r="K233" i="11"/>
  <c r="L233" i="11" s="1"/>
  <c r="I223" i="11"/>
  <c r="J225" i="11" l="1"/>
  <c r="G245" i="16"/>
  <c r="F255" i="16"/>
  <c r="H215" i="16"/>
  <c r="G236" i="16"/>
  <c r="F240" i="16"/>
  <c r="H244" i="16"/>
  <c r="F245" i="16"/>
  <c r="I229" i="16"/>
  <c r="H255" i="16"/>
  <c r="F238" i="16"/>
  <c r="I217" i="16"/>
  <c r="I230" i="16"/>
  <c r="I215" i="16"/>
  <c r="J228" i="11"/>
  <c r="J246" i="11"/>
  <c r="J219" i="11"/>
  <c r="J233" i="11"/>
  <c r="E227" i="16"/>
  <c r="F214" i="16"/>
  <c r="E219" i="16"/>
  <c r="E257" i="16"/>
  <c r="E258" i="16"/>
  <c r="J258" i="16" s="1"/>
  <c r="F225" i="16"/>
  <c r="H246" i="16"/>
  <c r="E213" i="16"/>
  <c r="E242" i="11"/>
  <c r="J242" i="11" s="1"/>
  <c r="J260" i="11"/>
  <c r="J212" i="11"/>
  <c r="J226" i="11"/>
  <c r="J254" i="11"/>
  <c r="E214" i="16"/>
  <c r="E249" i="16"/>
  <c r="E221" i="16"/>
  <c r="J221" i="16" s="1"/>
  <c r="E220" i="16"/>
  <c r="E228" i="16"/>
  <c r="E233" i="16"/>
  <c r="E240" i="16"/>
  <c r="E244" i="16"/>
  <c r="J214" i="11"/>
  <c r="E232" i="16"/>
  <c r="I228" i="16"/>
  <c r="I226" i="16"/>
  <c r="G250" i="16"/>
  <c r="G216" i="16"/>
  <c r="F249" i="16"/>
  <c r="E245" i="16"/>
  <c r="E242" i="16"/>
  <c r="J242" i="16" s="1"/>
  <c r="G244" i="16"/>
  <c r="G212" i="16"/>
  <c r="F232" i="16"/>
  <c r="G229" i="16"/>
  <c r="F219" i="16"/>
  <c r="H250" i="16"/>
  <c r="H234" i="16"/>
  <c r="J234" i="16" s="1"/>
  <c r="H245" i="16"/>
  <c r="F243" i="16"/>
  <c r="H226" i="16"/>
  <c r="H238" i="16"/>
  <c r="H231" i="16"/>
  <c r="G260" i="16"/>
  <c r="G257" i="16"/>
  <c r="I227" i="16"/>
  <c r="H253" i="16"/>
  <c r="E248" i="16"/>
  <c r="E259" i="16"/>
  <c r="E253" i="16"/>
  <c r="E254" i="16"/>
  <c r="H240" i="16"/>
  <c r="H229" i="16"/>
  <c r="G220" i="16"/>
  <c r="H236" i="16"/>
  <c r="G225" i="16"/>
  <c r="G231" i="16"/>
  <c r="G219" i="16"/>
  <c r="H249" i="16"/>
  <c r="I253" i="16"/>
  <c r="I214" i="16"/>
  <c r="F227" i="16"/>
  <c r="H220" i="16"/>
  <c r="H241" i="16"/>
  <c r="F257" i="16"/>
  <c r="G222" i="16"/>
  <c r="I260" i="16"/>
  <c r="G217" i="16"/>
  <c r="H222" i="16"/>
  <c r="H260" i="16"/>
  <c r="I212" i="16"/>
  <c r="I232" i="16"/>
  <c r="F259" i="16"/>
  <c r="H230" i="16"/>
  <c r="I254" i="16"/>
  <c r="G259" i="16"/>
  <c r="F220" i="16"/>
  <c r="G243" i="16"/>
  <c r="G218" i="16"/>
  <c r="G255" i="16"/>
  <c r="G8" i="16"/>
  <c r="G6" i="16"/>
  <c r="E218" i="16"/>
  <c r="G10" i="16"/>
  <c r="G227" i="16"/>
  <c r="E250" i="16"/>
  <c r="F241" i="16"/>
  <c r="F229" i="16"/>
  <c r="E229" i="16"/>
  <c r="G223" i="16"/>
  <c r="G226" i="16"/>
  <c r="I218" i="16"/>
  <c r="I220" i="16"/>
  <c r="E255" i="16"/>
  <c r="H228" i="16"/>
  <c r="F230" i="16"/>
  <c r="H248" i="16"/>
  <c r="H227" i="16"/>
  <c r="H212" i="16"/>
  <c r="H254" i="16"/>
  <c r="I213" i="16"/>
  <c r="H243" i="16"/>
  <c r="E217" i="16"/>
  <c r="I216" i="16"/>
  <c r="H233" i="16"/>
  <c r="F244" i="16"/>
  <c r="G240" i="16"/>
  <c r="E247" i="16"/>
  <c r="E226" i="16"/>
  <c r="E212" i="16"/>
  <c r="E223" i="16"/>
  <c r="E215" i="16"/>
  <c r="F216" i="16"/>
  <c r="F231" i="16"/>
  <c r="H232" i="16"/>
  <c r="G214" i="16"/>
  <c r="H213" i="16"/>
  <c r="G249" i="16"/>
  <c r="I237" i="16"/>
  <c r="J237" i="16" s="1"/>
  <c r="G215" i="16"/>
  <c r="G239" i="16"/>
  <c r="J239" i="16" s="1"/>
  <c r="F228" i="16"/>
  <c r="G228" i="16"/>
  <c r="G238" i="16"/>
  <c r="F253" i="16"/>
  <c r="G213" i="16"/>
  <c r="I238" i="16"/>
  <c r="E224" i="16"/>
  <c r="J224" i="16" s="1"/>
  <c r="F213" i="16"/>
  <c r="F254" i="16"/>
  <c r="H214" i="16"/>
  <c r="I252" i="16"/>
  <c r="H217" i="16"/>
  <c r="I240" i="16"/>
  <c r="G247" i="16"/>
  <c r="I249" i="16"/>
  <c r="G241" i="16"/>
  <c r="I246" i="16"/>
  <c r="F247" i="16"/>
  <c r="G230" i="16"/>
  <c r="E241" i="16"/>
  <c r="G248" i="16"/>
  <c r="I241" i="16"/>
  <c r="E251" i="16"/>
  <c r="J251" i="16" s="1"/>
  <c r="F226" i="16"/>
  <c r="I231" i="16"/>
  <c r="E246" i="16"/>
  <c r="E231" i="16"/>
  <c r="E230" i="16"/>
  <c r="E216" i="16"/>
  <c r="E11" i="16"/>
  <c r="F11" i="16"/>
  <c r="F252" i="16"/>
  <c r="G7" i="16"/>
  <c r="G4" i="16"/>
  <c r="K261" i="16"/>
  <c r="L212" i="16"/>
  <c r="L261" i="16" s="1"/>
  <c r="G9" i="16"/>
  <c r="G5" i="16"/>
  <c r="J247" i="11"/>
  <c r="J220" i="11"/>
  <c r="J239" i="11"/>
  <c r="J240" i="11"/>
  <c r="J230" i="11"/>
  <c r="E241" i="11"/>
  <c r="J241" i="11" s="1"/>
  <c r="E11" i="11"/>
  <c r="J243" i="11"/>
  <c r="J213" i="11"/>
  <c r="I258" i="11"/>
  <c r="E217" i="11"/>
  <c r="E245" i="11"/>
  <c r="J245" i="11" s="1"/>
  <c r="J249" i="11"/>
  <c r="J223" i="11"/>
  <c r="J231" i="11"/>
  <c r="J237" i="11"/>
  <c r="E244" i="11"/>
  <c r="F222" i="11"/>
  <c r="J222" i="11" s="1"/>
  <c r="F234" i="11"/>
  <c r="G8" i="11"/>
  <c r="G252" i="11"/>
  <c r="G234" i="11"/>
  <c r="G9" i="11"/>
  <c r="H252" i="11"/>
  <c r="G218" i="11"/>
  <c r="I236" i="11"/>
  <c r="E236" i="11"/>
  <c r="F248" i="11"/>
  <c r="J248" i="11" s="1"/>
  <c r="F238" i="11"/>
  <c r="J238" i="11" s="1"/>
  <c r="G236" i="11"/>
  <c r="I232" i="11"/>
  <c r="J232" i="11" s="1"/>
  <c r="F217" i="11"/>
  <c r="G5" i="11"/>
  <c r="H215" i="11"/>
  <c r="H244" i="11"/>
  <c r="I255" i="11"/>
  <c r="L212" i="11"/>
  <c r="L261" i="11" s="1"/>
  <c r="K261" i="11"/>
  <c r="G6" i="11"/>
  <c r="E255" i="11"/>
  <c r="E250" i="11"/>
  <c r="J250" i="11" s="1"/>
  <c r="I253" i="11"/>
  <c r="J253" i="11" s="1"/>
  <c r="H218" i="11"/>
  <c r="G4" i="11"/>
  <c r="E251" i="11"/>
  <c r="J251" i="11" s="1"/>
  <c r="E221" i="11"/>
  <c r="J221" i="11" s="1"/>
  <c r="G7" i="11"/>
  <c r="J216" i="11"/>
  <c r="E229" i="11"/>
  <c r="J229" i="11" s="1"/>
  <c r="H259" i="11"/>
  <c r="J259" i="11" s="1"/>
  <c r="E215" i="11"/>
  <c r="E227" i="11"/>
  <c r="J227" i="11" s="1"/>
  <c r="E258" i="11"/>
  <c r="H234" i="11"/>
  <c r="G10" i="11"/>
  <c r="G258" i="11"/>
  <c r="E257" i="11"/>
  <c r="J257" i="11" s="1"/>
  <c r="E224" i="11"/>
  <c r="J224" i="11" s="1"/>
  <c r="F236" i="11"/>
  <c r="F11" i="11"/>
  <c r="J236" i="16" l="1"/>
  <c r="J255" i="16"/>
  <c r="J225" i="16"/>
  <c r="J233" i="16"/>
  <c r="J245" i="16"/>
  <c r="J223" i="16"/>
  <c r="J257" i="16"/>
  <c r="J232" i="16"/>
  <c r="J240" i="16"/>
  <c r="J244" i="16"/>
  <c r="J219" i="16"/>
  <c r="J243" i="16"/>
  <c r="J250" i="16"/>
  <c r="J215" i="16"/>
  <c r="J260" i="16"/>
  <c r="J214" i="16"/>
  <c r="J228" i="16"/>
  <c r="J222" i="16"/>
  <c r="J253" i="16"/>
  <c r="J220" i="16"/>
  <c r="J254" i="16"/>
  <c r="J230" i="16"/>
  <c r="J231" i="16"/>
  <c r="J218" i="16"/>
  <c r="J252" i="16"/>
  <c r="J229" i="16"/>
  <c r="J212" i="16"/>
  <c r="J259" i="16"/>
  <c r="G261" i="16"/>
  <c r="J227" i="16"/>
  <c r="J246" i="16"/>
  <c r="J247" i="16"/>
  <c r="J217" i="16"/>
  <c r="I261" i="16"/>
  <c r="J249" i="16"/>
  <c r="H261" i="16"/>
  <c r="J213" i="16"/>
  <c r="J248" i="16"/>
  <c r="J238" i="16"/>
  <c r="J216" i="16"/>
  <c r="J226" i="16"/>
  <c r="E261" i="16"/>
  <c r="J241" i="16"/>
  <c r="G11" i="16"/>
  <c r="F261" i="16"/>
  <c r="J258" i="11"/>
  <c r="J252" i="11"/>
  <c r="F261" i="11"/>
  <c r="J217" i="11"/>
  <c r="J218" i="11"/>
  <c r="J244" i="11"/>
  <c r="H261" i="11"/>
  <c r="I261" i="11"/>
  <c r="E261" i="11"/>
  <c r="J215" i="11"/>
  <c r="J255" i="11"/>
  <c r="G261" i="11"/>
  <c r="J236" i="11"/>
  <c r="J234" i="11"/>
  <c r="G11" i="11"/>
  <c r="J261" i="16" l="1"/>
  <c r="J26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tc={2EB7C2D5-2E4B-4ED4-B997-40B8CAB490DE}</author>
    <author>tc={36C4B326-0557-4661-AA7F-A06E4EDC7CD3}</author>
  </authors>
  <commentList>
    <comment ref="E93" authorId="0" shapeId="0" xr:uid="{55549D0C-C816-4B90-8ED5-D25DC13E3CC6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F93" authorId="0" shapeId="0" xr:uid="{CABEDB5E-F521-40CD-9507-47085A57ECC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E94" authorId="0" shapeId="0" xr:uid="{92B8B5E0-FE80-4D3F-9945-27CB43C750A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105</t>
        </r>
      </text>
    </comment>
    <comment ref="D99" authorId="0" shapeId="0" xr:uid="{AE7CB6B5-75ED-4738-AB3A-A60E48FA8FBB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E99" authorId="0" shapeId="0" xr:uid="{EE9D50FA-9207-48D9-BCF5-4E8844C9699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D101" authorId="0" shapeId="0" xr:uid="{E6E3883F-43D0-4D31-9AAE-DA722513EF3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E101" authorId="0" shapeId="0" xr:uid="{AB4F07A3-F9D3-4B79-B3AB-75CA51779B98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I202" authorId="1" shapeId="0" xr:uid="{76482755-CCBA-4320-A08C-8D2B4AD1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I252" authorId="2" shapeId="0" xr:uid="{EA817475-4B27-4D33-B54C-A5F7C17FF03E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I289" authorId="3" shapeId="0" xr:uid="{3F823FCE-DE21-46F3-BFD6-6877CB630F12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I322" authorId="4" shapeId="0" xr:uid="{CEFC68E5-6E06-424C-A55D-C3A6F4A8D12B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I501" authorId="5" shapeId="0" xr:uid="{2EB7C2D5-2E4B-4ED4-B997-40B8CAB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I508" authorId="6" shapeId="0" xr:uid="{36C4B326-0557-4661-AA7F-A06E4EDC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tc={38C376C0-99C0-4408-B8B3-0A3D5CA91FCD}</author>
  </authors>
  <commentList>
    <comment ref="AA2" authorId="0" shapeId="0" xr:uid="{38C376C0-99C0-4408-B8B3-0A3D5CA91FCD}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<sst xmlns="http://schemas.openxmlformats.org/spreadsheetml/2006/main" count="10961" uniqueCount="2375">
  <si>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</si>
  <si>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</si>
  <si>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</si>
  <si>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</si>
  <si>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</si>
  <si>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</si>
  <si>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</si>
  <si>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مجموعة أبها</t>
  </si>
  <si>
    <t>مجموعة الأحساء</t>
  </si>
  <si>
    <t>مجموعة الباحة</t>
  </si>
  <si>
    <t>مجموعة الحدود الشمالية</t>
  </si>
  <si>
    <t>مجموعة الخرج</t>
  </si>
  <si>
    <t>مجموعة الدوادمي</t>
  </si>
  <si>
    <t>مجموعة الرياض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</si>
  <si>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</si>
  <si>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</si>
  <si>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</si>
  <si>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</si>
  <si>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</si>
  <si>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</si>
  <si>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</si>
  <si>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</si>
  <si>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</si>
  <si>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</si>
  <si>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</si>
  <si>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</si>
  <si>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</si>
  <si>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</si>
  <si>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</si>
  <si>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</si>
  <si>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</si>
  <si>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</si>
  <si>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</si>
  <si>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</si>
  <si>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</si>
  <si>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</si>
  <si>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</si>
  <si>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</si>
  <si>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</si>
  <si>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</si>
  <si>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</si>
  <si>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عرعر</t>
  </si>
  <si>
    <t>مجموعة الخفجي</t>
  </si>
  <si>
    <t>الخفجي</t>
  </si>
  <si>
    <t>مجموعة الرس</t>
  </si>
  <si>
    <t>الرس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</si>
  <si>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</si>
  <si>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</si>
  <si>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</si>
  <si>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</si>
  <si>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</si>
  <si>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</si>
  <si>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النماص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</si>
  <si>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</si>
  <si>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</si>
  <si>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</si>
  <si>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</si>
  <si>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</si>
  <si>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</si>
  <si>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رفحاء</t>
  </si>
  <si>
    <t>مجموعة شرورة</t>
  </si>
  <si>
    <t>شرورة</t>
  </si>
  <si>
    <t>شقراء</t>
  </si>
  <si>
    <t>مجموعة صامطة</t>
  </si>
  <si>
    <t>مجموعة عفيف</t>
  </si>
  <si>
    <t>عفيف</t>
  </si>
  <si>
    <t>مجموعة فرسان</t>
  </si>
  <si>
    <t>فرسان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</si>
  <si>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</si>
  <si>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</si>
  <si>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</si>
  <si>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</si>
  <si>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</si>
  <si>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</si>
  <si>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</si>
  <si>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</si>
  <si>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</si>
  <si>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</si>
  <si>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</si>
  <si>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</si>
  <si>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</si>
  <si>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</si>
  <si>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</si>
  <si>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العقيق</t>
  </si>
  <si>
    <t>بلجرشي</t>
  </si>
  <si>
    <t>سكاكا</t>
  </si>
  <si>
    <t>دومة الجندل</t>
  </si>
  <si>
    <t>طبرجل</t>
  </si>
  <si>
    <t>الدلم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</si>
  <si>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</si>
  <si>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</si>
  <si>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</si>
  <si>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</si>
  <si>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</si>
  <si>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</si>
  <si>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</si>
  <si>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</si>
  <si>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</si>
  <si>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الجبيل</t>
  </si>
  <si>
    <t>الغاط</t>
  </si>
  <si>
    <t>الدرب</t>
  </si>
  <si>
    <t>صبيا</t>
  </si>
  <si>
    <t>صامطة</t>
  </si>
  <si>
    <t>أحد المسارحة</t>
  </si>
  <si>
    <t>ضمد</t>
  </si>
  <si>
    <t>حفر الباطن</t>
  </si>
  <si>
    <t>القيصومة</t>
  </si>
  <si>
    <t>النماص</t>
  </si>
  <si>
    <t>مكة المكرمة</t>
  </si>
  <si>
    <t>الجموم</t>
  </si>
  <si>
    <t>حبونا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</si>
  <si>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</si>
  <si>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</si>
  <si>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</si>
  <si>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</si>
  <si>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</si>
  <si>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</si>
  <si>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</si>
  <si>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</si>
  <si>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</si>
  <si>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</si>
  <si>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</si>
  <si>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</si>
  <si>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</si>
  <si>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</si>
  <si>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</si>
  <si>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</si>
  <si>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</si>
  <si>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</si>
  <si>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</si>
  <si>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</si>
  <si>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</si>
  <si>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</si>
  <si>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</si>
  <si>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</si>
  <si>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</si>
  <si>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</si>
  <si>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</si>
  <si>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</si>
  <si>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</si>
  <si>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</si>
  <si>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</si>
  <si>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</si>
  <si>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</si>
  <si>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</si>
  <si>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</si>
  <si>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</si>
  <si>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</si>
  <si>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</si>
  <si>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</si>
  <si>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</si>
  <si>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</si>
  <si>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</si>
  <si>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</si>
  <si>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</si>
  <si>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</si>
  <si>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</si>
  <si>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</si>
  <si>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</si>
  <si>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</si>
  <si>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</si>
  <si>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</si>
  <si>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</si>
  <si>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</si>
  <si>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</si>
  <si>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</si>
  <si>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</si>
  <si>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</si>
  <si>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</si>
  <si>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</si>
  <si>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</si>
  <si>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</si>
  <si>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</si>
  <si>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</si>
  <si>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</si>
  <si>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</si>
  <si>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</si>
  <si>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</si>
  <si>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</si>
  <si>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</si>
  <si>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</si>
  <si>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</si>
  <si>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</si>
  <si>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</si>
  <si>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</si>
  <si>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</si>
  <si>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</si>
  <si>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</si>
  <si>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</si>
  <si>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</si>
  <si>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</si>
  <si>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</si>
  <si>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</si>
  <si>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</si>
  <si>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</si>
  <si>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</si>
  <si>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</si>
  <si>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</si>
  <si>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</si>
  <si>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</si>
  <si>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</si>
  <si>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</si>
  <si>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</si>
  <si>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</si>
  <si>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</si>
  <si>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</si>
  <si>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</si>
  <si>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</si>
  <si>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</si>
  <si>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</si>
  <si>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</si>
  <si>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</si>
  <si>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</si>
  <si>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</si>
  <si>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</si>
  <si>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</si>
  <si>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</si>
  <si>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</si>
  <si>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</si>
  <si>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</si>
  <si>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</si>
  <si>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</si>
  <si>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</si>
  <si>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</si>
  <si>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</si>
  <si>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</si>
  <si>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</si>
  <si>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</si>
  <si>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</si>
  <si>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</si>
  <si>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</si>
  <si>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</si>
  <si>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</si>
  <si>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</si>
  <si>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</si>
  <si>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</si>
  <si>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</si>
  <si>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</si>
  <si>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</si>
  <si>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</si>
  <si>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</si>
  <si>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</si>
  <si>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</si>
  <si>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</si>
  <si>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</si>
  <si>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</si>
  <si>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</si>
  <si>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</si>
  <si>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</si>
  <si>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</si>
  <si>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</si>
  <si>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</si>
  <si>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</si>
  <si>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</si>
  <si>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</si>
  <si>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</si>
  <si>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</si>
  <si>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</si>
  <si>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</si>
  <si>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</si>
  <si>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</si>
  <si>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</si>
  <si>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</si>
  <si>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</si>
  <si>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</si>
  <si>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</si>
  <si>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</si>
  <si>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</si>
  <si>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</si>
  <si>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</si>
  <si>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</si>
  <si>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</si>
  <si>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</si>
  <si>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</si>
  <si>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</si>
  <si>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</si>
  <si>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</si>
  <si>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</si>
  <si>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</si>
  <si>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</si>
  <si>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</si>
  <si>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</si>
  <si>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</si>
  <si>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</si>
  <si>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</si>
  <si>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</si>
  <si>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</si>
  <si>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</si>
  <si>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</si>
  <si>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</si>
  <si>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</si>
  <si>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</si>
  <si>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</si>
  <si>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</si>
  <si>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</si>
  <si>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</si>
  <si>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</si>
  <si>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</si>
  <si>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</si>
  <si>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</si>
  <si>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</si>
  <si>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</si>
  <si>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</si>
  <si>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</si>
  <si>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</si>
  <si>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</si>
  <si>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</si>
  <si>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</si>
  <si>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</si>
  <si>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</si>
  <si>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</si>
  <si>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</si>
  <si>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</si>
  <si>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</si>
  <si>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</si>
  <si>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</si>
  <si>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</si>
  <si>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</si>
  <si>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</si>
  <si>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</si>
  <si>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</si>
  <si>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</si>
  <si>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</si>
  <si>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</si>
  <si>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</si>
  <si>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</si>
  <si>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</si>
  <si>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</si>
  <si>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</si>
  <si>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</si>
  <si>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</si>
  <si>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</si>
  <si>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</si>
  <si>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</si>
  <si>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</si>
  <si>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</si>
  <si>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</si>
  <si>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</si>
  <si>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</si>
  <si>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</si>
  <si>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</si>
  <si>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</si>
  <si>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</si>
  <si>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</si>
  <si>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</si>
  <si>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نجوم الاحساء </t>
  </si>
  <si>
    <t xml:space="preserve">عبدالاله العيسى 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</si>
  <si>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</si>
  <si>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</si>
  <si>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</si>
  <si>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</si>
  <si>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</si>
  <si>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</si>
  <si>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</si>
  <si>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</si>
  <si>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</si>
  <si>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</si>
  <si>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</si>
  <si>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</si>
  <si>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</si>
  <si>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</si>
  <si>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</si>
  <si>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</si>
  <si>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</si>
  <si>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</si>
  <si>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</si>
  <si>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</si>
  <si>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</si>
  <si>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 xml:space="preserve">سهم المهدج </t>
  </si>
  <si>
    <t xml:space="preserve">خليج الطرف </t>
  </si>
  <si>
    <t xml:space="preserve">نجم الجنوب </t>
  </si>
  <si>
    <t>ملكي الزباره</t>
  </si>
  <si>
    <t xml:space="preserve">الوحوش </t>
  </si>
  <si>
    <t>أحمد يحيى عثمان مغفوري</t>
  </si>
  <si>
    <t>966534241659</t>
  </si>
  <si>
    <t>النور</t>
  </si>
  <si>
    <t>النسور</t>
  </si>
  <si>
    <t>الازدهار</t>
  </si>
  <si>
    <t xml:space="preserve">عربي المباركة 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</si>
  <si>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</si>
  <si>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</si>
  <si>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</si>
  <si>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</si>
  <si>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</si>
  <si>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</si>
  <si>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برذرتيم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</si>
  <si>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</si>
  <si>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</si>
  <si>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</si>
  <si>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</si>
  <si>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</si>
  <si>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</si>
  <si>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</si>
  <si>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</si>
  <si>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</si>
  <si>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</si>
  <si>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</si>
  <si>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</si>
  <si>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</si>
  <si>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</si>
  <si>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</si>
  <si>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</si>
  <si>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</si>
  <si>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</si>
  <si>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</si>
  <si>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</si>
  <si>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</si>
  <si>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</si>
  <si>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</si>
  <si>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</si>
  <si>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</si>
  <si>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</si>
  <si>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</si>
  <si>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</si>
  <si>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</si>
  <si>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</si>
  <si>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</si>
  <si>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</si>
  <si>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</si>
  <si>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</si>
  <si>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</si>
  <si>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</si>
  <si>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</si>
  <si>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</si>
  <si>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</si>
  <si>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</si>
  <si>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</si>
  <si>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</si>
  <si>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خالد الشهري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</si>
  <si>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</si>
  <si>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</si>
  <si>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</si>
  <si>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</si>
  <si>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</si>
  <si>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</si>
  <si>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</si>
  <si>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</si>
  <si>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</si>
  <si>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</si>
  <si>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</si>
  <si>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</si>
  <si>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</si>
  <si>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</si>
  <si>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</si>
  <si>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</si>
  <si>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</si>
  <si>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</si>
  <si>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</si>
  <si>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</si>
  <si>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</si>
  <si>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</si>
  <si>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>HAJRAWY</t>
  </si>
  <si>
    <t xml:space="preserve">العدايا </t>
  </si>
  <si>
    <t xml:space="preserve">سعود ابو الفضائل </t>
  </si>
  <si>
    <t xml:space="preserve">الامل بالظبية 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</si>
  <si>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</si>
  <si>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</si>
  <si>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</si>
  <si>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</si>
  <si>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</si>
  <si>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</si>
  <si>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</si>
  <si>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</si>
  <si>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</si>
  <si>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</si>
  <si>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</si>
  <si>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</si>
  <si>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</si>
  <si>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</si>
  <si>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</si>
  <si>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>ملكي صنبه</t>
  </si>
  <si>
    <t xml:space="preserve">النور بالرميلة </t>
  </si>
  <si>
    <t xml:space="preserve">القادسية بصبيا </t>
  </si>
  <si>
    <t xml:space="preserve"> الصواري بالفضول </t>
  </si>
  <si>
    <t>النجوم بجازان</t>
  </si>
  <si>
    <t>محمد سالم الودعاني</t>
  </si>
  <si>
    <t xml:space="preserve">نابولي المباركة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</si>
  <si>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</si>
  <si>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</si>
  <si>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</si>
  <si>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</si>
  <si>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</si>
  <si>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</si>
  <si>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</si>
  <si>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</si>
  <si>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</si>
  <si>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</si>
  <si>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</si>
  <si>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</si>
  <si>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</si>
  <si>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</si>
  <si>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</si>
  <si>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</si>
  <si>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</si>
  <si>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</si>
  <si>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</si>
  <si>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</si>
  <si>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</si>
  <si>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</si>
  <si>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</si>
  <si>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</si>
  <si>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</si>
  <si>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</si>
  <si>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</si>
  <si>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</si>
  <si>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</si>
  <si>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</si>
  <si>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شباب الاهلي</t>
  </si>
  <si>
    <t>عربي الموسم</t>
  </si>
  <si>
    <t>الشهيد</t>
  </si>
  <si>
    <t xml:space="preserve">السالمية </t>
  </si>
  <si>
    <t>حيدر هادي</t>
  </si>
  <si>
    <t>نجوم الروحاء</t>
  </si>
  <si>
    <t>زكريا هوساوي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</si>
  <si>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</si>
  <si>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</si>
  <si>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</si>
  <si>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</si>
  <si>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</si>
  <si>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</si>
  <si>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</si>
  <si>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 xml:space="preserve">سدرة الباحر </t>
  </si>
  <si>
    <t xml:space="preserve">تعاون الطرشية </t>
  </si>
  <si>
    <t xml:space="preserve">ماجد خيرات </t>
  </si>
  <si>
    <t xml:space="preserve">متوسطة ابو هريرة </t>
  </si>
  <si>
    <t>مسفر المسعودي</t>
  </si>
  <si>
    <t xml:space="preserve">الجاضع </t>
  </si>
  <si>
    <t>البدوي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</si>
  <si>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</si>
  <si>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</si>
  <si>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</si>
  <si>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</si>
  <si>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</si>
  <si>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</si>
  <si>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</si>
  <si>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</si>
  <si>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</si>
  <si>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</si>
  <si>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</si>
  <si>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</si>
  <si>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</si>
  <si>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</si>
  <si>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</si>
  <si>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</si>
  <si>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</si>
  <si>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</si>
  <si>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</si>
  <si>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</si>
  <si>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</si>
  <si>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</si>
  <si>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</si>
  <si>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</si>
  <si>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</si>
  <si>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</si>
  <si>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</si>
  <si>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</si>
  <si>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</si>
  <si>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</si>
  <si>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</si>
  <si>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</si>
  <si>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اكاديمية الدلم</t>
  </si>
  <si>
    <t>عبدالله المحسن</t>
  </si>
  <si>
    <t>القصيعة ون</t>
  </si>
  <si>
    <t>مدرسة هارون الرشيد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</si>
  <si>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</si>
  <si>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</si>
  <si>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</si>
  <si>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</si>
  <si>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</si>
  <si>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</si>
  <si>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</si>
  <si>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</si>
  <si>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</si>
  <si>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</si>
  <si>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</si>
  <si>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</si>
  <si>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</si>
  <si>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</si>
  <si>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</si>
  <si>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</si>
  <si>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</si>
  <si>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</si>
  <si>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</si>
  <si>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</si>
  <si>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</si>
  <si>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</si>
  <si>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</si>
  <si>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</si>
  <si>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</si>
  <si>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</si>
  <si>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</si>
  <si>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</si>
  <si>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</si>
  <si>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</si>
  <si>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</si>
  <si>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</si>
  <si>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البرك</t>
  </si>
  <si>
    <t>عبدالخالق الغبيشي</t>
  </si>
  <si>
    <t>نادي الشعاع الرياضي</t>
  </si>
  <si>
    <t>الطموح</t>
  </si>
  <si>
    <t>احمد المنتشري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</si>
  <si>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</si>
  <si>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</si>
  <si>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</si>
  <si>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</si>
  <si>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</si>
  <si>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</si>
  <si>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</si>
  <si>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</si>
  <si>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</si>
  <si>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</si>
  <si>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</si>
  <si>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</si>
  <si>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</si>
  <si>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</si>
  <si>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</si>
  <si>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</si>
  <si>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</si>
  <si>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الفرسان -حاكمة ابوعريش</t>
  </si>
  <si>
    <t>الكواكب ابو عريش</t>
  </si>
  <si>
    <t xml:space="preserve">مححمد الحسن </t>
  </si>
  <si>
    <t>الاسماعيلي الطاهرية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</si>
  <si>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</si>
  <si>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</si>
  <si>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</si>
  <si>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</si>
  <si>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</si>
  <si>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>فريق الطموح</t>
  </si>
  <si>
    <t>مستقبل الخضراء</t>
  </si>
  <si>
    <t>حيدر السالم</t>
  </si>
  <si>
    <t>اكاديمية الجوهره</t>
  </si>
  <si>
    <t>قائم العقم</t>
  </si>
  <si>
    <t>بي فايف</t>
  </si>
  <si>
    <t>تركي البلوي</t>
  </si>
  <si>
    <t xml:space="preserve">البرازيل الوحلة </t>
  </si>
  <si>
    <t>سر النجوم</t>
  </si>
  <si>
    <t>اصيل العامري</t>
  </si>
  <si>
    <t>النخبة صبيا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</si>
  <si>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</si>
  <si>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</si>
  <si>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</si>
  <si>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</si>
  <si>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</si>
  <si>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LAVER ACADMY</t>
  </si>
  <si>
    <t>اكاديمية الاقوياء الرياضية ينبع</t>
  </si>
  <si>
    <t>اصيل الروسي</t>
  </si>
  <si>
    <t>فريق عبدالرحمن صالح الرشيدي</t>
  </si>
  <si>
    <t>نادي ساس الرياضي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</si>
  <si>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</si>
  <si>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</si>
  <si>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</si>
  <si>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</si>
  <si>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</si>
  <si>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</si>
  <si>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</si>
  <si>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</si>
  <si>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</si>
  <si>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</si>
  <si>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</si>
  <si>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</si>
  <si>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</si>
  <si>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</si>
  <si>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</si>
  <si>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</si>
  <si>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</si>
  <si>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</si>
  <si>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</si>
  <si>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</si>
  <si>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</si>
  <si>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</si>
  <si>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</si>
  <si>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</si>
  <si>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</si>
  <si>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</si>
  <si>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</si>
  <si>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</si>
  <si>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</si>
  <si>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</si>
  <si>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</si>
  <si>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</si>
  <si>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الازهر</t>
  </si>
  <si>
    <t xml:space="preserve">جعفر علي </t>
  </si>
  <si>
    <t>اكاديمية جازان</t>
  </si>
  <si>
    <t>محمد جمدي</t>
  </si>
  <si>
    <t>الهدف الخامس</t>
  </si>
  <si>
    <t xml:space="preserve">أبطال الروضة </t>
  </si>
  <si>
    <t>مقبل الشمري</t>
  </si>
  <si>
    <t>الابطال</t>
  </si>
  <si>
    <t>صقور نجد</t>
  </si>
  <si>
    <t>فهد الحارثي</t>
  </si>
  <si>
    <t>همة الفرسان</t>
  </si>
  <si>
    <t>حنان الوبر</t>
  </si>
  <si>
    <t>ضمك</t>
  </si>
  <si>
    <t>عبدالاله عوير</t>
  </si>
  <si>
    <t xml:space="preserve">ضمك بالخالدية </t>
  </si>
  <si>
    <t xml:space="preserve">اكاديمية ليبرو </t>
  </si>
  <si>
    <t xml:space="preserve">قاسم الحقوي </t>
  </si>
  <si>
    <t>الشعلة</t>
  </si>
  <si>
    <t xml:space="preserve">عبدالرحمن الهويمل </t>
  </si>
  <si>
    <t xml:space="preserve">الشعلة </t>
  </si>
  <si>
    <t>الوحدة</t>
  </si>
  <si>
    <t>حازم اللحياني</t>
  </si>
  <si>
    <t>مدينة الملك عبدالعزيز الرياضية</t>
  </si>
  <si>
    <t xml:space="preserve">الترجي المدينة المنورة </t>
  </si>
  <si>
    <t>شباب حاكمة ابي عريش</t>
  </si>
  <si>
    <t>ماجد ابوالغيث</t>
  </si>
  <si>
    <t>الرشيد حاكمة ابو عريش</t>
  </si>
  <si>
    <t>الدخيل</t>
  </si>
  <si>
    <t>حمود القبندي</t>
  </si>
  <si>
    <t>فريق النبراس</t>
  </si>
  <si>
    <t>الشطيفية</t>
  </si>
  <si>
    <t>الخالف</t>
  </si>
  <si>
    <t>الجوه</t>
  </si>
  <si>
    <t>موسى خبراني</t>
  </si>
  <si>
    <t>الحصامة</t>
  </si>
  <si>
    <t xml:space="preserve">اكاديمية أف 1 </t>
  </si>
  <si>
    <t>سامبا الصوارمة</t>
  </si>
  <si>
    <t>الامل ابو نورة جازان</t>
  </si>
  <si>
    <t>اكاديمية النمور</t>
  </si>
  <si>
    <t>سالم محبوب</t>
  </si>
  <si>
    <t>فريق منشبة</t>
  </si>
  <si>
    <t>هادي عتودي</t>
  </si>
  <si>
    <t>سميراء</t>
  </si>
  <si>
    <t>اكاديمية المواهب</t>
  </si>
  <si>
    <t>دهام علي الشمري</t>
  </si>
  <si>
    <t xml:space="preserve">اكاديمية بلنسية </t>
  </si>
  <si>
    <t>عبد العزيز الرشيد</t>
  </si>
  <si>
    <t>أحد</t>
  </si>
  <si>
    <t>عبدالعزيز حموده</t>
  </si>
  <si>
    <t>وجدان الجلعود</t>
  </si>
  <si>
    <t>نجمة الهفوف</t>
  </si>
  <si>
    <t>مبارك العجمي</t>
  </si>
  <si>
    <t>فوارس البطالية</t>
  </si>
  <si>
    <t>حبيب الموسى</t>
  </si>
  <si>
    <t>نجوم الطائف</t>
  </si>
  <si>
    <t>احلام العبادلة</t>
  </si>
  <si>
    <t>موسى عبدلي</t>
  </si>
  <si>
    <t>الشارقة بالقوز</t>
  </si>
  <si>
    <t>خليج محاسن</t>
  </si>
  <si>
    <t>فريق الجزيرة بالعيون</t>
  </si>
  <si>
    <t>فهد السبيعي</t>
  </si>
  <si>
    <t>شباب الفلحة</t>
  </si>
  <si>
    <t>حسن الفلاحي</t>
  </si>
  <si>
    <t>النخبة بالبديع والقرفي</t>
  </si>
  <si>
    <t>اكاديمية الامبراطور</t>
  </si>
  <si>
    <t>علي عسيري</t>
  </si>
  <si>
    <t>اكاديمية الانجاز</t>
  </si>
  <si>
    <t>رياض دوشي</t>
  </si>
  <si>
    <t>سعودي34</t>
  </si>
  <si>
    <t>خالد الزهراني</t>
  </si>
  <si>
    <t>نسيم الحرازات</t>
  </si>
  <si>
    <t>عبدالعزيز السلمي</t>
  </si>
  <si>
    <t>المرصاد</t>
  </si>
  <si>
    <t>مصلح النجاري</t>
  </si>
  <si>
    <t>الاكاديمية البرتغالية</t>
  </si>
  <si>
    <t>جدة تالنتس</t>
  </si>
  <si>
    <t>ممدوح الثقفي</t>
  </si>
  <si>
    <t>فريق نادي الوسام الرياضي</t>
  </si>
  <si>
    <t>علي دغريري</t>
  </si>
  <si>
    <t>اكاديمية اجيال الابطال</t>
  </si>
  <si>
    <t>نجوم الوئام</t>
  </si>
  <si>
    <t>فهد الروقي</t>
  </si>
  <si>
    <t>فالكونز الجبيل</t>
  </si>
  <si>
    <t>ماجد جبران</t>
  </si>
  <si>
    <t>تجربة جديدة</t>
  </si>
  <si>
    <t>اكاديمية تكوين</t>
  </si>
  <si>
    <t>مازن الشهري</t>
  </si>
  <si>
    <t>اكاديمية اجيال التفوق</t>
  </si>
  <si>
    <t xml:space="preserve">صالح محمد </t>
  </si>
  <si>
    <t>نيكست تشامبيون</t>
  </si>
  <si>
    <t>فايز ال عدينان</t>
  </si>
  <si>
    <t xml:space="preserve">اكاديمية اسيست </t>
  </si>
  <si>
    <t>عبدالرحمن الودعان</t>
  </si>
  <si>
    <t>ملاعب اسيست</t>
  </si>
  <si>
    <t xml:space="preserve">اكاديمية نجوم الباحة </t>
  </si>
  <si>
    <t>عبداللطيفا الغامدي</t>
  </si>
  <si>
    <t>مدينة الملك سعود الرياضية</t>
  </si>
  <si>
    <t>اكاديمية ستورم</t>
  </si>
  <si>
    <t>غازي المقاطي</t>
  </si>
  <si>
    <t>اكاديمية الفالي بارك</t>
  </si>
  <si>
    <t>مؤيد حسين</t>
  </si>
  <si>
    <t>ملاعب الوادي</t>
  </si>
  <si>
    <t>اكاديمية سمارت</t>
  </si>
  <si>
    <t xml:space="preserve">وديع الحربي </t>
  </si>
  <si>
    <t>اكاديمية برشا</t>
  </si>
  <si>
    <t>محمد بتك</t>
  </si>
  <si>
    <t>اكاديمية مواهب الباحة</t>
  </si>
  <si>
    <t>عبدالله مسفر</t>
  </si>
  <si>
    <t>مهند الحربي</t>
  </si>
  <si>
    <t>صح</t>
  </si>
  <si>
    <t>الصحاري</t>
  </si>
  <si>
    <t>بخيت الدوسري</t>
  </si>
  <si>
    <t>جوهرة المستقبل</t>
  </si>
  <si>
    <t>مسعد الهمامي</t>
  </si>
  <si>
    <t xml:space="preserve">فالكون </t>
  </si>
  <si>
    <t>عبدالعزيز احمد</t>
  </si>
  <si>
    <t>فالكون</t>
  </si>
  <si>
    <t xml:space="preserve">جدة </t>
  </si>
  <si>
    <t>احمد الحمد</t>
  </si>
  <si>
    <t>البرج</t>
  </si>
  <si>
    <t xml:space="preserve">خليج النوارية </t>
  </si>
  <si>
    <t>عيسى الجهني</t>
  </si>
  <si>
    <t>المركز</t>
  </si>
  <si>
    <t>عبدالكريم الموسى</t>
  </si>
  <si>
    <t>النجم بالحويرس</t>
  </si>
  <si>
    <t>عبدالرحمن الشرقي</t>
  </si>
  <si>
    <t xml:space="preserve">فريق الشهارين </t>
  </si>
  <si>
    <t>احمد حساني</t>
  </si>
  <si>
    <t>اكادمية السهم</t>
  </si>
  <si>
    <t>يحي الزبيدي</t>
  </si>
  <si>
    <t>اكاديمية يونايتد</t>
  </si>
  <si>
    <t>عبدالرحمن علوان</t>
  </si>
  <si>
    <t xml:space="preserve">اكاديمية اس اف </t>
  </si>
  <si>
    <t xml:space="preserve">صالح الزهراني </t>
  </si>
  <si>
    <t>نجوم الثمانين</t>
  </si>
  <si>
    <t>حسن البدري</t>
  </si>
  <si>
    <t>نادي سان جدة</t>
  </si>
  <si>
    <t>وليد مرشد</t>
  </si>
  <si>
    <t>ابتسام السعيد</t>
  </si>
  <si>
    <t>اكاديمية وهب</t>
  </si>
  <si>
    <t>معتز حيدر</t>
  </si>
  <si>
    <t>اكاديمية لحن</t>
  </si>
  <si>
    <t>عبدالجليل الهلال</t>
  </si>
  <si>
    <t>ملاعب التحدي</t>
  </si>
  <si>
    <t>نادي الحفر</t>
  </si>
  <si>
    <t>علي الغليضاوي</t>
  </si>
  <si>
    <t>العلا</t>
  </si>
  <si>
    <t>وليد معاذ</t>
  </si>
  <si>
    <t>نادي جبة</t>
  </si>
  <si>
    <t>فواز الشمري</t>
  </si>
  <si>
    <t>اكاديمية حلم</t>
  </si>
  <si>
    <t xml:space="preserve">عمر الشاهين </t>
  </si>
  <si>
    <t xml:space="preserve">التربية النموذجية </t>
  </si>
  <si>
    <t>فريق الهواة</t>
  </si>
  <si>
    <t>اكاديمية ستاليونز ايليت</t>
  </si>
  <si>
    <t>محمد الاسمري</t>
  </si>
  <si>
    <t>ملاعب الشعلة</t>
  </si>
  <si>
    <t>صالح راشد</t>
  </si>
  <si>
    <t xml:space="preserve">اكاديمية الجيل المحترف </t>
  </si>
  <si>
    <t>سعيد ال فرحان</t>
  </si>
  <si>
    <t>ملاعب الديربي</t>
  </si>
  <si>
    <t>نادي O15</t>
  </si>
  <si>
    <t xml:space="preserve">ماجد الشهري </t>
  </si>
  <si>
    <t xml:space="preserve">يلو بارك </t>
  </si>
  <si>
    <t>ليجيندز</t>
  </si>
  <si>
    <t>احمد الكردي</t>
  </si>
  <si>
    <t xml:space="preserve">ملاعب المونديال بالدرعية </t>
  </si>
  <si>
    <t>شباب طيبة</t>
  </si>
  <si>
    <t>عبدالله العلوي</t>
  </si>
  <si>
    <t>مشعل الاكلبي</t>
  </si>
  <si>
    <t>سعيد عسيري</t>
  </si>
  <si>
    <t>المصيف</t>
  </si>
  <si>
    <t>واعي</t>
  </si>
  <si>
    <t>عبدالرحمن الحربي</t>
  </si>
  <si>
    <t xml:space="preserve">الاوائل الرياضية </t>
  </si>
  <si>
    <t>عبدالعزيز العيد</t>
  </si>
  <si>
    <t xml:space="preserve">ملاعب الاوائل </t>
  </si>
  <si>
    <t>الباطن</t>
  </si>
  <si>
    <t xml:space="preserve">عبدالرحمن الدهمشي </t>
  </si>
  <si>
    <t>النجوم المضيئة</t>
  </si>
  <si>
    <t>فتحي شعبان</t>
  </si>
  <si>
    <t>نادي القلعة</t>
  </si>
  <si>
    <t>عبدالرحمن الزيدان</t>
  </si>
  <si>
    <t>القلعة</t>
  </si>
  <si>
    <t xml:space="preserve">النسور الذهبية </t>
  </si>
  <si>
    <t>تسنيم الصياد</t>
  </si>
  <si>
    <t>طارق الرويلي</t>
  </si>
  <si>
    <t>رديف العروبة</t>
  </si>
  <si>
    <t>هيرو</t>
  </si>
  <si>
    <t>محمد السهلي</t>
  </si>
  <si>
    <t>البشائر</t>
  </si>
  <si>
    <t>عبدالعزيز العلياني</t>
  </si>
  <si>
    <t>نادي البشائر</t>
  </si>
  <si>
    <t>الخليج</t>
  </si>
  <si>
    <t>علي المحسن</t>
  </si>
  <si>
    <t>رديف الخليج</t>
  </si>
  <si>
    <t>مكة يارد</t>
  </si>
  <si>
    <t>محمد المسيدي</t>
  </si>
  <si>
    <t>سما</t>
  </si>
  <si>
    <t>احمد بالطيور</t>
  </si>
  <si>
    <t>وحدة عنيكر</t>
  </si>
  <si>
    <t>ابراهيم العمري</t>
  </si>
  <si>
    <t>برشا الشطبة</t>
  </si>
  <si>
    <t>مشاري الوقداني</t>
  </si>
  <si>
    <t>صقور المحدود</t>
  </si>
  <si>
    <t>عبدالله الغزال</t>
  </si>
  <si>
    <t>اكاديمية النوفاوي</t>
  </si>
  <si>
    <t>عبدالله نوفاوي</t>
  </si>
  <si>
    <t>فريق الوفاء بالمبرز</t>
  </si>
  <si>
    <t>حسن بوموزه</t>
  </si>
  <si>
    <t>العطا تيم</t>
  </si>
  <si>
    <t>عبدالعالي الحارثي</t>
  </si>
  <si>
    <t>صقور قامرة جازان</t>
  </si>
  <si>
    <t>علي مشرقي</t>
  </si>
  <si>
    <t>اكادمية الجوهرة المشعة</t>
  </si>
  <si>
    <t>ياسر هوساوي</t>
  </si>
  <si>
    <t>فريق تاج العدالة</t>
  </si>
  <si>
    <t>عبدالرحمن الصاعدي</t>
  </si>
  <si>
    <t>الهلال الشرقي</t>
  </si>
  <si>
    <t>علي الامير</t>
  </si>
  <si>
    <t>بنفيكا جدة</t>
  </si>
  <si>
    <t>اكاديمية الليجا الرياضية</t>
  </si>
  <si>
    <t>انس الاركاني</t>
  </si>
  <si>
    <t xml:space="preserve">الامام البخاري </t>
  </si>
  <si>
    <t>اكاديمية تندحة الرياضية</t>
  </si>
  <si>
    <t>عبدالله متعب</t>
  </si>
  <si>
    <t xml:space="preserve">مدرسة ابن تيمية </t>
  </si>
  <si>
    <t>الاهلي عسير</t>
  </si>
  <si>
    <t>صفوة مواهب الجنوب</t>
  </si>
  <si>
    <t>الهيثم غزواني</t>
  </si>
  <si>
    <t>خالد البلوي</t>
  </si>
  <si>
    <t>الامتياز</t>
  </si>
  <si>
    <t>ضيعة العزيين الابتدائية والمتوسطة</t>
  </si>
  <si>
    <t>الشباب</t>
  </si>
  <si>
    <t xml:space="preserve">عبدالعزيز المالك </t>
  </si>
  <si>
    <t>يحدد لاحقا</t>
  </si>
  <si>
    <t>الفذ</t>
  </si>
  <si>
    <t xml:space="preserve">عبدالرحمن الجليفي </t>
  </si>
  <si>
    <t>اسيست</t>
  </si>
  <si>
    <t>الابتسام</t>
  </si>
  <si>
    <t>محمد ال شبيب</t>
  </si>
  <si>
    <t>اكاديمية التطور الاحترافي</t>
  </si>
  <si>
    <t xml:space="preserve">احمد الاسمري </t>
  </si>
  <si>
    <t>نخبة الجوهرة</t>
  </si>
  <si>
    <t>أضم</t>
  </si>
  <si>
    <t>سانتوس جيزان</t>
  </si>
  <si>
    <t>اكاديمية فارس</t>
  </si>
  <si>
    <t>بلقرن</t>
  </si>
  <si>
    <t xml:space="preserve">المدرسة الاسبانية </t>
  </si>
  <si>
    <t>نايف مهدي</t>
  </si>
  <si>
    <t>محمد الزبيدي</t>
  </si>
  <si>
    <t>ويمبلي</t>
  </si>
  <si>
    <t>الفيحاء</t>
  </si>
  <si>
    <t>الفاو</t>
  </si>
  <si>
    <t xml:space="preserve">عبدالله الدوسري </t>
  </si>
  <si>
    <t>ابتهاج مريعاني</t>
  </si>
  <si>
    <t>اتش اس سبورت</t>
  </si>
  <si>
    <t>حسن الصادق</t>
  </si>
  <si>
    <t>نخبة بالطايف</t>
  </si>
  <si>
    <t xml:space="preserve">سلطان البقمي </t>
  </si>
  <si>
    <t>الولاء الرياضي</t>
  </si>
  <si>
    <t>ابراهيم النمر</t>
  </si>
  <si>
    <t>القادسية</t>
  </si>
  <si>
    <t>جيمس</t>
  </si>
  <si>
    <t>رديف القادسية</t>
  </si>
  <si>
    <t>الصفا</t>
  </si>
  <si>
    <t>علي السادة</t>
  </si>
  <si>
    <t xml:space="preserve">صفا العروبة </t>
  </si>
  <si>
    <t>النصر</t>
  </si>
  <si>
    <t>خوسيه سيميدو</t>
  </si>
  <si>
    <t>رديف النصر</t>
  </si>
  <si>
    <t>باسم ال صفوان</t>
  </si>
  <si>
    <t>المساعدية</t>
  </si>
  <si>
    <t>ضاري العماش</t>
  </si>
  <si>
    <t>محمد الدلبحي</t>
  </si>
  <si>
    <t>مدريدستا</t>
  </si>
  <si>
    <t>يوسف النعيمي</t>
  </si>
  <si>
    <t>الثقبة</t>
  </si>
  <si>
    <t>خالد الصياح</t>
  </si>
  <si>
    <t>اتحاد العزم</t>
  </si>
  <si>
    <t>احمد الحاجي</t>
  </si>
  <si>
    <t>فوارس التويثير</t>
  </si>
  <si>
    <t>المملكة</t>
  </si>
  <si>
    <t>مركز و اكاديمية مواهب الطائف</t>
  </si>
  <si>
    <t>إي إس زد الطائف</t>
  </si>
  <si>
    <t>عمر باعيسى</t>
  </si>
  <si>
    <t>زد ام سي القنفذة</t>
  </si>
  <si>
    <t>شباب الطرف</t>
  </si>
  <si>
    <t>بدر بالحارث</t>
  </si>
  <si>
    <t>زعيم الخفجي</t>
  </si>
  <si>
    <t>حاتم العازمي</t>
  </si>
  <si>
    <t>نابولي الخفجي</t>
  </si>
  <si>
    <t>شعلان الشمري</t>
  </si>
  <si>
    <t>زعيم الجنوب</t>
  </si>
  <si>
    <t>عادل مشهور</t>
  </si>
  <si>
    <t>اكادمية إنتر الطائف</t>
  </si>
  <si>
    <t>ميلان الخفجي</t>
  </si>
  <si>
    <t>محمد السبيغي</t>
  </si>
  <si>
    <t>اكاديمية تايقرز</t>
  </si>
  <si>
    <t>عبدالفتاح الهوساوي</t>
  </si>
  <si>
    <t>اكاديمية سمارت تبوك</t>
  </si>
  <si>
    <t>يحيى مجرشي</t>
  </si>
  <si>
    <t xml:space="preserve">اكاديمية مجد والعلياء الرياضية </t>
  </si>
  <si>
    <t>محمد الثبيتي</t>
  </si>
  <si>
    <t>مدرسة العلوم والفنون العالمية</t>
  </si>
  <si>
    <t>Saudi internatioanl school</t>
  </si>
  <si>
    <t>جدة فالكونز</t>
  </si>
  <si>
    <t>اسامة معروف</t>
  </si>
  <si>
    <t>الجعدية</t>
  </si>
  <si>
    <t>A</t>
  </si>
  <si>
    <t>نخبة الصمان</t>
  </si>
  <si>
    <t>بدر الراشد</t>
  </si>
  <si>
    <t>النمور السوداء</t>
  </si>
  <si>
    <t>النخبوي</t>
  </si>
  <si>
    <t>فيصل الراشد</t>
  </si>
  <si>
    <t>حسن النزلاوي</t>
  </si>
  <si>
    <t>فريق عالم المنجزون</t>
  </si>
  <si>
    <t>سحر الحمادي</t>
  </si>
  <si>
    <t>شعاع المعرفة</t>
  </si>
  <si>
    <t>جمعية الابرشي</t>
  </si>
  <si>
    <t>احمد العزيزي</t>
  </si>
  <si>
    <t>اكاديمية التدريب الفردي</t>
  </si>
  <si>
    <t>ماهر الهلماني</t>
  </si>
  <si>
    <t>اف اي في 7</t>
  </si>
  <si>
    <t>شيخ زهير</t>
  </si>
  <si>
    <t>ملعب فيجن 7</t>
  </si>
  <si>
    <t xml:space="preserve">الفاو </t>
  </si>
  <si>
    <t>فهد الظفيري</t>
  </si>
  <si>
    <t>اكاديمية الهدف</t>
  </si>
  <si>
    <t>اف ستة عشر العالمية</t>
  </si>
  <si>
    <t>جراح الظفيري</t>
  </si>
  <si>
    <t>ريال مدريد</t>
  </si>
  <si>
    <t>مواهب اسباير</t>
  </si>
  <si>
    <t>احمد الشمري</t>
  </si>
  <si>
    <t>العلمين</t>
  </si>
  <si>
    <t>خالد العنزي</t>
  </si>
  <si>
    <t>مواهب السد</t>
  </si>
  <si>
    <t>نايف العنزي</t>
  </si>
  <si>
    <t xml:space="preserve"> المدرسة الماسية</t>
  </si>
  <si>
    <t>عبدالله الهندي</t>
  </si>
  <si>
    <t>احمد محنشي</t>
  </si>
  <si>
    <t>عبدالعزيز المطيري</t>
  </si>
  <si>
    <t>فريق النجوم</t>
  </si>
  <si>
    <t>نيتربول</t>
  </si>
  <si>
    <t>ريان حدادي</t>
  </si>
  <si>
    <t>السهم</t>
  </si>
  <si>
    <t xml:space="preserve">حمد القحطاني </t>
  </si>
  <si>
    <t>عبدالله المحلسي</t>
  </si>
  <si>
    <t>مركز الرفيعة</t>
  </si>
  <si>
    <t>ال علئ</t>
  </si>
  <si>
    <t xml:space="preserve">هواة النصر </t>
  </si>
  <si>
    <t>نجوم الأجيال</t>
  </si>
  <si>
    <t>اكادميه ميلانو</t>
  </si>
  <si>
    <t>احمد عسيري</t>
  </si>
  <si>
    <t>التميز</t>
  </si>
  <si>
    <t>احمد الصعب</t>
  </si>
  <si>
    <t>القمه مركز الرفيعة</t>
  </si>
  <si>
    <t>حامد الخالدي</t>
  </si>
  <si>
    <t>هجر</t>
  </si>
  <si>
    <t>سامي القنيان</t>
  </si>
  <si>
    <t>الرديف الصناعي لنادي هجر</t>
  </si>
  <si>
    <t>فيد</t>
  </si>
  <si>
    <t>تركي الفريخ</t>
  </si>
  <si>
    <t>الكاسر</t>
  </si>
  <si>
    <t>فايد البلوي</t>
  </si>
  <si>
    <t>المدينة الرياضية بتبوك</t>
  </si>
  <si>
    <t>العيون</t>
  </si>
  <si>
    <t>عبدالاله أحمد</t>
  </si>
  <si>
    <t xml:space="preserve">اشبيلية المدينة الرياضي </t>
  </si>
  <si>
    <t>عماد عابد</t>
  </si>
  <si>
    <t>اكاديمية الحزام</t>
  </si>
  <si>
    <t>فضل عبدالرحمن</t>
  </si>
  <si>
    <t xml:space="preserve">اكاديمية سهيل </t>
  </si>
  <si>
    <t>علي ال رشه</t>
  </si>
  <si>
    <t>نجران الرديف</t>
  </si>
  <si>
    <t>مجموعة مركز الرفيعة</t>
  </si>
  <si>
    <t>عدد المباريات في الموسم لفريق من الفئات (تحت 5، تحت 7، تحت 9)</t>
  </si>
  <si>
    <t>عدد المباريات في الموسم لفريق من الفئات (تحت 11 - تحت 14)</t>
  </si>
  <si>
    <t>مجموع مباريات المجموعة</t>
  </si>
  <si>
    <t>عدد اللاعبين</t>
  </si>
  <si>
    <t>متوسط عدد اللاعبين لكل فريق</t>
  </si>
  <si>
    <t>اورباه ستارز</t>
  </si>
  <si>
    <t>محمد الصيعري</t>
  </si>
  <si>
    <t xml:space="preserve">الجوهرة </t>
  </si>
  <si>
    <t>شعلة الباحة</t>
  </si>
  <si>
    <t xml:space="preserve">صالح العمري </t>
  </si>
  <si>
    <t>اكاديمية أبناء</t>
  </si>
  <si>
    <t>محمد المنصور</t>
  </si>
  <si>
    <t xml:space="preserve">صفوة جيم </t>
  </si>
  <si>
    <t>عبدالعزيز عسيري</t>
  </si>
  <si>
    <t>اكاديمية اليمامة</t>
  </si>
  <si>
    <t>عادل الحربي</t>
  </si>
  <si>
    <t>رجالي</t>
  </si>
  <si>
    <t>مدرسة عبدالرحمن بن ثوبان</t>
  </si>
  <si>
    <t>مدرسة الفراء</t>
  </si>
  <si>
    <t xml:space="preserve">AZ  </t>
  </si>
  <si>
    <t>سدرة</t>
  </si>
  <si>
    <t>مازن عوير</t>
  </si>
  <si>
    <t xml:space="preserve">الزلفي بلو </t>
  </si>
  <si>
    <t>اكاديمية سلمى</t>
  </si>
  <si>
    <t xml:space="preserve">سعود الشمري </t>
  </si>
  <si>
    <t xml:space="preserve">بلدية شنان </t>
  </si>
  <si>
    <t>العالم الرياضية</t>
  </si>
  <si>
    <t>بدر السيد</t>
  </si>
  <si>
    <t>انتراكاديمي</t>
  </si>
  <si>
    <t>تحدي شرورة</t>
  </si>
  <si>
    <t>السنابل</t>
  </si>
  <si>
    <t>احمد الزهراني</t>
  </si>
  <si>
    <t>أجيال الابطال الرياضية</t>
  </si>
  <si>
    <t>عبدالله عبده</t>
  </si>
  <si>
    <t>اكاديمية الظهران</t>
  </si>
  <si>
    <t xml:space="preserve">حسين القحطاني </t>
  </si>
  <si>
    <t>اوفسايد ارينا</t>
  </si>
  <si>
    <t>اكاديمية قول</t>
  </si>
  <si>
    <t>بسام الدوسري</t>
  </si>
  <si>
    <t>ملاعب Z7</t>
  </si>
  <si>
    <t>اكاديمية مروم الشرق</t>
  </si>
  <si>
    <t>محمد فرج</t>
  </si>
  <si>
    <t>الشنان</t>
  </si>
  <si>
    <t>الكرة النارية</t>
  </si>
  <si>
    <t>فريق المستقبل</t>
  </si>
  <si>
    <t>قائمة المدن (تلقائية)</t>
  </si>
  <si>
    <t>الهلال</t>
  </si>
  <si>
    <t xml:space="preserve">استيفيه </t>
  </si>
  <si>
    <t>رديف الهلال 1</t>
  </si>
  <si>
    <t xml:space="preserve">سامبا الوتد </t>
  </si>
  <si>
    <t>الرشيد بحفر الباطن</t>
  </si>
  <si>
    <t>طالب الظفيري</t>
  </si>
  <si>
    <t>أبو حجر</t>
  </si>
  <si>
    <t>حمود طالب</t>
  </si>
  <si>
    <t>براعم لبن</t>
  </si>
  <si>
    <t>صقور الرفيعة</t>
  </si>
  <si>
    <t>سلمان الحريص</t>
  </si>
  <si>
    <t>أبيكس</t>
  </si>
  <si>
    <t>وائل سرور</t>
  </si>
  <si>
    <t>مدارس الرياض نجد</t>
  </si>
  <si>
    <t>وايت نايتس</t>
  </si>
  <si>
    <t xml:space="preserve">محمد الوقاد </t>
  </si>
  <si>
    <t>النهج السعودي</t>
  </si>
  <si>
    <t>ماجد الغامدي</t>
  </si>
  <si>
    <t>تكتيك</t>
  </si>
  <si>
    <t>ثامر الدحيلان</t>
  </si>
  <si>
    <t>المنصورة</t>
  </si>
  <si>
    <t xml:space="preserve">أمين الحويكم </t>
  </si>
  <si>
    <t xml:space="preserve">السرعة الفعالة </t>
  </si>
  <si>
    <t>صالح الحربي</t>
  </si>
  <si>
    <t>بلدية قبة</t>
  </si>
  <si>
    <t xml:space="preserve">مجد القنفذة </t>
  </si>
  <si>
    <t>عبدالمجيد العتيبي</t>
  </si>
  <si>
    <t>اكاديمية البلوز</t>
  </si>
  <si>
    <t xml:space="preserve">طلال الجميلي </t>
  </si>
  <si>
    <t xml:space="preserve">اكاديمية المملكة </t>
  </si>
  <si>
    <t>ضاري الشمري</t>
  </si>
  <si>
    <t>جول اكاديمي</t>
  </si>
  <si>
    <t>نهي لطيفة</t>
  </si>
  <si>
    <t>السابق</t>
  </si>
  <si>
    <t>طواحين سمنان</t>
  </si>
  <si>
    <t>طواحين المر</t>
  </si>
  <si>
    <t>نجوم الخفجي</t>
  </si>
  <si>
    <t>رضوي</t>
  </si>
  <si>
    <t>علي الصبحي</t>
  </si>
  <si>
    <t>عصر الاحتراف</t>
  </si>
  <si>
    <t>حمزه هوساوي</t>
  </si>
  <si>
    <t>اكاديمية الرواد بالطائف</t>
  </si>
  <si>
    <t>طاهر العتيبي</t>
  </si>
  <si>
    <t>نكست جول</t>
  </si>
  <si>
    <t>عبدالله الاحمدي</t>
  </si>
  <si>
    <t>الحيطان</t>
  </si>
  <si>
    <t>الخالدية بالزلفي</t>
  </si>
  <si>
    <t>الصقور</t>
  </si>
  <si>
    <t>الزلفاوي</t>
  </si>
  <si>
    <t>صقور الزلفي</t>
  </si>
  <si>
    <t>اليونايتد</t>
  </si>
  <si>
    <t>اعتمد</t>
  </si>
  <si>
    <t>اسر</t>
  </si>
  <si>
    <t>اشبال الحديبية</t>
  </si>
  <si>
    <t>عيد الرشيدي</t>
  </si>
  <si>
    <t>شباب الملك فيصل</t>
  </si>
  <si>
    <t>أشبال سهما</t>
  </si>
  <si>
    <t>ضاري الركاد</t>
  </si>
  <si>
    <t>نابولي الخشل</t>
  </si>
  <si>
    <t xml:space="preserve">فريق الخليج بأبو عريش </t>
  </si>
  <si>
    <t>حسن قاضي</t>
  </si>
  <si>
    <t>الوصل بحفر الباطن</t>
  </si>
  <si>
    <t>البيان</t>
  </si>
  <si>
    <t>صادق الجريدان</t>
  </si>
  <si>
    <t>شباب ابو القعايد</t>
  </si>
  <si>
    <t>عبدالله احمد</t>
  </si>
  <si>
    <t>فريق العقيد</t>
  </si>
  <si>
    <t>رامي الرشيدي</t>
  </si>
  <si>
    <t>مجعر</t>
  </si>
  <si>
    <t>روما بحفر الباطن</t>
  </si>
  <si>
    <t>التابلين حفر الباطن</t>
  </si>
  <si>
    <t>تركي الشمري</t>
  </si>
  <si>
    <t>الاختيار</t>
  </si>
  <si>
    <t>محمد المطيري</t>
  </si>
  <si>
    <t>فريق اكاديمية الحفر</t>
  </si>
  <si>
    <t>محمد الشلاحي</t>
  </si>
  <si>
    <t>الامجاد ضمد</t>
  </si>
  <si>
    <t>رياض غاشم</t>
  </si>
  <si>
    <t>اكاديمية نجوم الدعيثة</t>
  </si>
  <si>
    <t>محمد الريتعي</t>
  </si>
  <si>
    <t>توتنهام الزلفي</t>
  </si>
  <si>
    <t>شباب السعيره</t>
  </si>
  <si>
    <t xml:space="preserve">ناصر الصهيبي </t>
  </si>
  <si>
    <t xml:space="preserve">نادي السد </t>
  </si>
  <si>
    <t>رعد العيسى</t>
  </si>
  <si>
    <t>اكاديمية الكرة الراقية</t>
  </si>
  <si>
    <t>محمود يعقوب</t>
  </si>
  <si>
    <t>ميونخ</t>
  </si>
  <si>
    <t>الجرد</t>
  </si>
  <si>
    <t>احمد الشاردي</t>
  </si>
  <si>
    <t>اكاديمية حلم الرياضة</t>
  </si>
  <si>
    <t>R20</t>
  </si>
  <si>
    <t>محمد الشراري</t>
  </si>
  <si>
    <t>فايز الشراري</t>
  </si>
  <si>
    <t xml:space="preserve">صناع الابطال </t>
  </si>
  <si>
    <t>حنان الشهري</t>
  </si>
  <si>
    <t xml:space="preserve">الجوهرة بالحسينية </t>
  </si>
  <si>
    <t>الامل الباحة</t>
  </si>
  <si>
    <t>اكاديميه اهدافي الخبر</t>
  </si>
  <si>
    <t>اكاديميه اهدافي الخرج</t>
  </si>
  <si>
    <t>الامل الزلفي</t>
  </si>
  <si>
    <t>النسور الاحساء</t>
  </si>
  <si>
    <t>مجموعة الشنان</t>
  </si>
  <si>
    <t>شمال الوادي</t>
  </si>
  <si>
    <t>مريم هليل</t>
  </si>
  <si>
    <t xml:space="preserve">نجم الجيل الرياضية </t>
  </si>
  <si>
    <t>وائل الزهراني</t>
  </si>
  <si>
    <t>متوسطة ابن الاثير</t>
  </si>
  <si>
    <t>سمبدوريا المسارحة</t>
  </si>
  <si>
    <t>علي فقيهي</t>
  </si>
  <si>
    <t xml:space="preserve">مدرسة الشرق الاهلية </t>
  </si>
  <si>
    <t>عامر العنزي</t>
  </si>
  <si>
    <t xml:space="preserve">فريق ابتدائية شروق التربية </t>
  </si>
  <si>
    <t>نادي السهام</t>
  </si>
  <si>
    <t>عادل البارقي</t>
  </si>
  <si>
    <t>اكاديمية سامبا الرياضية</t>
  </si>
  <si>
    <t>اولمبي الحزم</t>
  </si>
  <si>
    <t>محمد احمد</t>
  </si>
  <si>
    <t>اكاديمية نجم الفرق</t>
  </si>
  <si>
    <t>سعود الكشي</t>
  </si>
  <si>
    <t>اكاديمية النجم</t>
  </si>
  <si>
    <t>عبدالله الزبيدي</t>
  </si>
  <si>
    <t>شبه الجزيرة</t>
  </si>
  <si>
    <t>مهند فهمي</t>
  </si>
  <si>
    <t xml:space="preserve">ستار ون </t>
  </si>
  <si>
    <t>حاتم حلوى</t>
  </si>
  <si>
    <t>ستار ون</t>
  </si>
  <si>
    <t>سلطان القباني</t>
  </si>
  <si>
    <t>بلدية القريات</t>
  </si>
  <si>
    <t>الهدا</t>
  </si>
  <si>
    <t>برازيل الحديقة</t>
  </si>
  <si>
    <t>عبدالله العبسي</t>
  </si>
  <si>
    <t>اكاديمية مستقبل حائل</t>
  </si>
  <si>
    <t>فهيد الفريحان</t>
  </si>
  <si>
    <t>اكاديمية نيوكاسل</t>
  </si>
  <si>
    <t>عبدالمجيد الشمري</t>
  </si>
  <si>
    <t>اجيال اليرموك</t>
  </si>
  <si>
    <t>الصفا الاهلية</t>
  </si>
  <si>
    <t>محمود زعبل</t>
  </si>
  <si>
    <t>القانرز</t>
  </si>
  <si>
    <t>مبارك العازمي</t>
  </si>
  <si>
    <t>معقل المواهب</t>
  </si>
  <si>
    <t>خالد السلامة</t>
  </si>
  <si>
    <t>مدرسة اجيال الخفجي</t>
  </si>
  <si>
    <t>محمد حسن</t>
  </si>
  <si>
    <t>دبلومه مدارس الرقي</t>
  </si>
  <si>
    <t>اكاديمية الرجاء</t>
  </si>
  <si>
    <t>عبدالله الجبار</t>
  </si>
  <si>
    <t>مدارس رواد الخليج</t>
  </si>
  <si>
    <t>صالح السهيمي</t>
  </si>
  <si>
    <t>فريق المنارات</t>
  </si>
  <si>
    <t>محمود شحاته</t>
  </si>
  <si>
    <t>مدارس الاندلس الاهلية</t>
  </si>
  <si>
    <t>صالح الحارثي</t>
  </si>
  <si>
    <t>فريق القوه</t>
  </si>
  <si>
    <t>متوسطة الثغر النموذجية الاهلية</t>
  </si>
  <si>
    <t>نجوم بن العاص</t>
  </si>
  <si>
    <t>مدرسة الثغر الابتدائي بالخالدية</t>
  </si>
  <si>
    <t>اكاديمية ناين ون</t>
  </si>
  <si>
    <t>فهد الجهني</t>
  </si>
  <si>
    <t>اكاديمية فراس</t>
  </si>
  <si>
    <t>نادي دايموند الرياضي</t>
  </si>
  <si>
    <t>احمد زيدان</t>
  </si>
  <si>
    <t xml:space="preserve">مدرسة ابن حوقل </t>
  </si>
  <si>
    <t>سعد بن الربيع</t>
  </si>
  <si>
    <t xml:space="preserve">المدينة الاكاديمية </t>
  </si>
  <si>
    <t>نجمات</t>
  </si>
  <si>
    <t>دار الفرسان</t>
  </si>
  <si>
    <t>باسل السيد</t>
  </si>
  <si>
    <t>سبورت اكس</t>
  </si>
  <si>
    <t>ماجد الرقاص</t>
  </si>
  <si>
    <t>نادي الشرق</t>
  </si>
  <si>
    <t>محمد العويرضي</t>
  </si>
  <si>
    <t>الشرق</t>
  </si>
  <si>
    <t>الزعيم</t>
  </si>
  <si>
    <t>مدارس الاوزون العالمية</t>
  </si>
  <si>
    <t>علي الدوسري</t>
  </si>
  <si>
    <t>نادي بدي هيلث الرياضي</t>
  </si>
  <si>
    <t>الفيصلية</t>
  </si>
  <si>
    <t>الانفيلد</t>
  </si>
  <si>
    <t>بدي هيلث</t>
  </si>
  <si>
    <t>مجموعة سكاكا</t>
  </si>
  <si>
    <t>مجموعة طبرجل</t>
  </si>
  <si>
    <t>مجموعة أحد المسارحة</t>
  </si>
  <si>
    <t>اكاديمية اربع وعشرين الرياضية</t>
  </si>
  <si>
    <t>مشاري الحربي</t>
  </si>
  <si>
    <t>رياض الخبراء</t>
  </si>
  <si>
    <t>مدارس البيان الاهلية المتوسطة</t>
  </si>
  <si>
    <t>ايهاب احمد</t>
  </si>
  <si>
    <t>مدارس دانة العلوم</t>
  </si>
  <si>
    <t>الفرسان</t>
  </si>
  <si>
    <t>اكاديمية X5</t>
  </si>
  <si>
    <t>عطية الدعبلي</t>
  </si>
  <si>
    <t>مجمع الامير سلطان الابتدائي</t>
  </si>
  <si>
    <t>ماهرشهاب</t>
  </si>
  <si>
    <t>اكاديمية المستقبل</t>
  </si>
  <si>
    <t>محمود البلوي</t>
  </si>
  <si>
    <t>الاشبال</t>
  </si>
  <si>
    <t xml:space="preserve">اكاديمية زيزو </t>
  </si>
  <si>
    <t>ابتدائية الرقي الاهلية</t>
  </si>
  <si>
    <t>متوسطة المجد</t>
  </si>
  <si>
    <t>مدرسة المجد</t>
  </si>
  <si>
    <t>زياد المالكي</t>
  </si>
  <si>
    <t>فريق نكون</t>
  </si>
  <si>
    <t>الرقي</t>
  </si>
  <si>
    <t>اسراري لكرة القدم مرحلة ابتدائية</t>
  </si>
  <si>
    <t>البلوز</t>
  </si>
  <si>
    <t>فريق وكامي</t>
  </si>
  <si>
    <t>ريال اسبانيول</t>
  </si>
  <si>
    <t>بدر القاسمي</t>
  </si>
  <si>
    <t xml:space="preserve">مدارس التربية النموذجية </t>
  </si>
  <si>
    <t>نادي الحزم الرياضي</t>
  </si>
  <si>
    <t>فهد العايد</t>
  </si>
  <si>
    <t>الحزم</t>
  </si>
  <si>
    <t>اكاديمية البندر</t>
  </si>
  <si>
    <t>نايف الشراري</t>
  </si>
  <si>
    <t>يوفنتوس جدة</t>
  </si>
  <si>
    <t>نادي العربي</t>
  </si>
  <si>
    <t>صلاح المطيري</t>
  </si>
  <si>
    <t>العربي</t>
  </si>
  <si>
    <t>اكاديمية البشائر الاولى الرياضية</t>
  </si>
  <si>
    <t>حسن الحلافي</t>
  </si>
  <si>
    <t>اشبيلية بارك الرياضية</t>
  </si>
  <si>
    <t>بندر الكويكبي</t>
  </si>
  <si>
    <t>اشبيلية بارك</t>
  </si>
  <si>
    <t>محمد محمود</t>
  </si>
  <si>
    <t>اكاديمية بلانكوس</t>
  </si>
  <si>
    <t>علاء الجزار</t>
  </si>
  <si>
    <t xml:space="preserve">مدارس الرياض </t>
  </si>
  <si>
    <t>الوداد الشرقي</t>
  </si>
  <si>
    <t>اكاديمية قمم وقمم</t>
  </si>
  <si>
    <t>ثامر الشرفي</t>
  </si>
  <si>
    <t>مدارس الساحل</t>
  </si>
  <si>
    <t>اكاديمية الزعيم</t>
  </si>
  <si>
    <t>الحسين شاجري</t>
  </si>
  <si>
    <t>اكاديمية بناء الانسان الريايضية</t>
  </si>
  <si>
    <t>ثامرسليمان</t>
  </si>
  <si>
    <t>اكاديمية النخبة الرياضية</t>
  </si>
  <si>
    <t>علي بوشليبي</t>
  </si>
  <si>
    <t>براعم الموهوبين</t>
  </si>
  <si>
    <t>عيسى المشيخي</t>
  </si>
  <si>
    <t>شباب الحرمين</t>
  </si>
  <si>
    <t>علي العنبري</t>
  </si>
  <si>
    <t>نادي الهجرة</t>
  </si>
  <si>
    <t>عبدالعزيز دبلول</t>
  </si>
  <si>
    <t>النخبة الهواة</t>
  </si>
  <si>
    <t>برشلونة دريم تيم</t>
  </si>
  <si>
    <t>وارد القرني</t>
  </si>
  <si>
    <t>فريق العباس</t>
  </si>
  <si>
    <t>روما الجوف</t>
  </si>
  <si>
    <t>الوادي</t>
  </si>
  <si>
    <t>السهم هواة جازان</t>
  </si>
  <si>
    <t>ارسنال الجوف</t>
  </si>
  <si>
    <t>المتحد بالجوف</t>
  </si>
  <si>
    <t>عبدالسلام الشراري</t>
  </si>
  <si>
    <t>كاف</t>
  </si>
  <si>
    <t>اكاديمية القمة هواة</t>
  </si>
  <si>
    <t>عبدالله الصاعدي</t>
  </si>
  <si>
    <t>باتي قول</t>
  </si>
  <si>
    <t>مرزوق الفهادي</t>
  </si>
  <si>
    <t>نادي مدارس الفرسان الرياضي</t>
  </si>
  <si>
    <t xml:space="preserve">محمد باموسى </t>
  </si>
  <si>
    <t>PARIS SAINT GERMAIN ACADEMY SAUDI ARABIA</t>
  </si>
  <si>
    <t>PHANUEL</t>
  </si>
  <si>
    <t>الجواهر</t>
  </si>
  <si>
    <t>عبيدالله الحربي</t>
  </si>
  <si>
    <t>فرسان ابي عبيدة عامر بن الجراح</t>
  </si>
  <si>
    <t>GOAL FIT</t>
  </si>
  <si>
    <t>محمد سرحان</t>
  </si>
  <si>
    <t>JISA</t>
  </si>
  <si>
    <t>اكاديمية الاتحاد مدارس AGS</t>
  </si>
  <si>
    <t>افاق الهواة</t>
  </si>
  <si>
    <t>نخبة طبرجل</t>
  </si>
  <si>
    <t>عزيز الشراري</t>
  </si>
  <si>
    <t>افاق الخفجي</t>
  </si>
  <si>
    <t>فيصل الشهري</t>
  </si>
  <si>
    <t>Future 2</t>
  </si>
  <si>
    <t>محمود العوضي</t>
  </si>
  <si>
    <t>ركائز التعليم</t>
  </si>
  <si>
    <t>يزن ابراهيم محمد العبداللطيف</t>
  </si>
  <si>
    <t>اكاديمية K1 الرياضية</t>
  </si>
  <si>
    <t>خالد الصبحي</t>
  </si>
  <si>
    <t>براعم الشارقة</t>
  </si>
  <si>
    <t xml:space="preserve">تعاون جدة </t>
  </si>
  <si>
    <t>طويق جدة</t>
  </si>
  <si>
    <t>احمد الشطيري</t>
  </si>
  <si>
    <t>مجد العلوم</t>
  </si>
  <si>
    <t>صقر الخيال</t>
  </si>
  <si>
    <t>عبق العلم</t>
  </si>
  <si>
    <t>نجوم الثغر</t>
  </si>
  <si>
    <t>عبدالرحمن المالكي</t>
  </si>
  <si>
    <t>اكاديمية الكأس الرياضية</t>
  </si>
  <si>
    <t>محمد القحطاني</t>
  </si>
  <si>
    <t xml:space="preserve"> اكاديمية تلال ابها</t>
  </si>
  <si>
    <t>علي العماري</t>
  </si>
  <si>
    <t>ملعب العين</t>
  </si>
  <si>
    <t>اكاديمية ايليت</t>
  </si>
  <si>
    <t>عبدالكريم البذالي</t>
  </si>
  <si>
    <t>اكاديمة شرق الباطن</t>
  </si>
  <si>
    <t>عبدالله محمد</t>
  </si>
  <si>
    <t xml:space="preserve">اكاديمية السارية للمواهب </t>
  </si>
  <si>
    <t>مضحي الشمري</t>
  </si>
  <si>
    <t>العنابي الماسي</t>
  </si>
  <si>
    <t>صالح التميمي</t>
  </si>
  <si>
    <t>البجادية</t>
  </si>
  <si>
    <t>عبدالله العتيبي</t>
  </si>
  <si>
    <t>الرائد</t>
  </si>
  <si>
    <t>عبدالعزيز الرشود</t>
  </si>
  <si>
    <t>رديف الرائد</t>
  </si>
  <si>
    <t>نادي الاهلي السعودي</t>
  </si>
  <si>
    <t>اسامة هوساوي</t>
  </si>
  <si>
    <t>اكاديمية نادي الاهلي</t>
  </si>
  <si>
    <t>افاق الهداية</t>
  </si>
  <si>
    <t>انس العمري</t>
  </si>
  <si>
    <t>متوسطة الامام ورش</t>
  </si>
  <si>
    <t>عبدالله المرعي</t>
  </si>
  <si>
    <t>درة الشرق العالمية</t>
  </si>
  <si>
    <t>محمد عقلان</t>
  </si>
  <si>
    <t>اكاديمية جدة سيتي</t>
  </si>
  <si>
    <t>فراس ياسين</t>
  </si>
  <si>
    <t>الساحل</t>
  </si>
  <si>
    <t>سلطان الخالدي</t>
  </si>
  <si>
    <t>التقدم</t>
  </si>
  <si>
    <t>عوض المطيري</t>
  </si>
  <si>
    <t>المدن في مجموعات مكتملة (بها نادي واحد على الأقل)</t>
  </si>
  <si>
    <t>عدد المدن (بدون تكرار)</t>
  </si>
  <si>
    <t>عدد المجموعات المكتملة</t>
  </si>
  <si>
    <t>عدد (مدينة × فئة) في مجموعات مكتملة ولها فرق</t>
  </si>
  <si>
    <t>عدد المدن الفريدة (بنفس الشرط)</t>
  </si>
  <si>
    <t>نخبة رواد القمة</t>
  </si>
  <si>
    <t>البراء ال عون</t>
  </si>
  <si>
    <t>المحالة</t>
  </si>
  <si>
    <t>القرينتا اكاديمي</t>
  </si>
  <si>
    <t>عبدالكريم عسيري</t>
  </si>
  <si>
    <t>احمد العبدلي</t>
  </si>
  <si>
    <t>طارق شوشة</t>
  </si>
  <si>
    <t>اكاديمية باليرمو</t>
  </si>
  <si>
    <t xml:space="preserve">وجدي بو سعيد </t>
  </si>
  <si>
    <t xml:space="preserve">مستقبل النخبة </t>
  </si>
  <si>
    <t>اباذر ساتر</t>
  </si>
  <si>
    <t>بيكهام</t>
  </si>
  <si>
    <t>المحور ستة</t>
  </si>
  <si>
    <t>محمود فتحي</t>
  </si>
  <si>
    <t>حديقة الامراء</t>
  </si>
  <si>
    <t>اكاديمية او اس الرياضية</t>
  </si>
  <si>
    <t>اسامة الشهري</t>
  </si>
  <si>
    <t>او اس</t>
  </si>
  <si>
    <t>نادي الروضة</t>
  </si>
  <si>
    <t>عيسى الحصار</t>
  </si>
  <si>
    <t>الروضة</t>
  </si>
  <si>
    <t>الحجاز</t>
  </si>
  <si>
    <t>وائل الغامدي</t>
  </si>
  <si>
    <t>الاسطورة</t>
  </si>
  <si>
    <t>هواة احلام الريان</t>
  </si>
  <si>
    <t>فلامنجو الجوف</t>
  </si>
  <si>
    <t>الردع</t>
  </si>
  <si>
    <t>احمد الدغمي</t>
  </si>
  <si>
    <t>القمه</t>
  </si>
  <si>
    <t>باريس الجوف</t>
  </si>
  <si>
    <t>سعد الشراري</t>
  </si>
  <si>
    <t>اكاديمية وولفز</t>
  </si>
  <si>
    <t>ابراهيم الكاف</t>
  </si>
  <si>
    <t>نادي بثرة</t>
  </si>
  <si>
    <t>احمد المالكي</t>
  </si>
  <si>
    <t>اكاديمية ميامي</t>
  </si>
  <si>
    <t>ابراهيم المشي</t>
  </si>
  <si>
    <t>السروات</t>
  </si>
  <si>
    <t>اكاديمية صقل المواهب</t>
  </si>
  <si>
    <t>عبدالعزيز الفقيه</t>
  </si>
  <si>
    <t>مجمع الامير محمد بن سعود الكبير</t>
  </si>
  <si>
    <t>EIS</t>
  </si>
  <si>
    <t>FUTURE4</t>
  </si>
  <si>
    <t>هلال الهواة</t>
  </si>
  <si>
    <t>صالح القعس</t>
  </si>
  <si>
    <t>صبيا ستارز</t>
  </si>
  <si>
    <t>عبدالفتاح سلطان</t>
  </si>
  <si>
    <t>اكاديمية صبيا</t>
  </si>
  <si>
    <t xml:space="preserve">قرية العليا </t>
  </si>
  <si>
    <t>خالد المطيري</t>
  </si>
  <si>
    <t>قرية العليا</t>
  </si>
  <si>
    <t>الاعتماد</t>
  </si>
  <si>
    <t>البلد</t>
  </si>
  <si>
    <t>فيصل الحديثي</t>
  </si>
  <si>
    <t>البسمة</t>
  </si>
  <si>
    <t>طائر العقاب</t>
  </si>
  <si>
    <t>خالد البنعلي</t>
  </si>
  <si>
    <t xml:space="preserve"> اكاديمية مواهب بيشة</t>
  </si>
  <si>
    <t>مجموعة الدمام</t>
  </si>
  <si>
    <t>مجموعة القريات</t>
  </si>
  <si>
    <t>عدد الفرق في المباراة الواحدة</t>
  </si>
  <si>
    <t>اليوم</t>
  </si>
  <si>
    <t>الأحد</t>
  </si>
  <si>
    <t>الاثنين</t>
  </si>
  <si>
    <t>الأربعاء</t>
  </si>
  <si>
    <t>عدد المباريات في اليوم</t>
  </si>
  <si>
    <t>الإجمالي</t>
  </si>
  <si>
    <t>السبت</t>
  </si>
  <si>
    <t>نوع الملعب</t>
  </si>
  <si>
    <t>تقسيم الملعب القانوني</t>
  </si>
  <si>
    <t>7 ضد 7</t>
  </si>
  <si>
    <t>قانوني</t>
  </si>
  <si>
    <t>ملاعب قانونية معادلة</t>
  </si>
  <si>
    <t>ملاعب اللعب المطلوبة</t>
  </si>
  <si>
    <t>ملخص الملاعب لكل يوم (المجموعات المكتملة فقط)</t>
  </si>
  <si>
    <t>المجموعات</t>
  </si>
  <si>
    <t>ملاعب قانونية</t>
  </si>
  <si>
    <t>مدخلات الملاعب</t>
  </si>
  <si>
    <t>مباريات لكل ملعب صغير يومياً</t>
  </si>
  <si>
    <t>مباريات لكل ملعب قانوني يومياً</t>
  </si>
  <si>
    <t>أقصى فرق لكل ملعب قانوني</t>
  </si>
  <si>
    <t>مباريات لكل ملعب لعب يومياً</t>
  </si>
  <si>
    <t>5 ضد 5</t>
  </si>
  <si>
    <t>الطلب لكل مجموعة — الملاعب القانونية المطلوبة</t>
  </si>
  <si>
    <t>—</t>
  </si>
  <si>
    <t>أقصى ملاعب في يوم واحد</t>
  </si>
  <si>
    <t>إجمالي الفرق</t>
  </si>
  <si>
    <t>تحت 5 / 7 / 9 (الأعلى)</t>
  </si>
  <si>
    <t xml:space="preserve">مستقبل المتقدمة </t>
  </si>
  <si>
    <t>عبدالرحمن الجهني</t>
  </si>
  <si>
    <t>اكاديمية دايموند</t>
  </si>
  <si>
    <t>قشيم القحطاني</t>
  </si>
  <si>
    <t>اكاديمية ون كيك</t>
  </si>
  <si>
    <t>مبارك الدوسري</t>
  </si>
  <si>
    <t>هاترك استيديو</t>
  </si>
  <si>
    <t>ساحة التحدي</t>
  </si>
  <si>
    <t>جلال باصم</t>
  </si>
  <si>
    <t xml:space="preserve">وفاق الجنوب </t>
  </si>
  <si>
    <t>سميرة غالب</t>
  </si>
  <si>
    <t>اكاديمية رايت</t>
  </si>
  <si>
    <t>الحسن الشمراني</t>
  </si>
  <si>
    <t>ملاعب رايت</t>
  </si>
  <si>
    <t xml:space="preserve">نادي البدائع </t>
  </si>
  <si>
    <t>رائد العضيب</t>
  </si>
  <si>
    <t>فوكس</t>
  </si>
  <si>
    <t>محمد الشلوي</t>
  </si>
  <si>
    <t>اليورو</t>
  </si>
  <si>
    <t>اكاديمية موهبه اجيال المنصورة</t>
  </si>
  <si>
    <t>محمد الصومعي</t>
  </si>
  <si>
    <t xml:space="preserve">موهبة الاجيال </t>
  </si>
  <si>
    <t xml:space="preserve">رواد الكرة </t>
  </si>
  <si>
    <t>حمد ال منصور</t>
  </si>
  <si>
    <t>اكاديمية اوليمبك</t>
  </si>
  <si>
    <t>يوفنتوس الخبر</t>
  </si>
  <si>
    <t>اكاديمية التحدي جدة</t>
  </si>
  <si>
    <t>فالكون الطائف</t>
  </si>
  <si>
    <t>ربوع العين</t>
  </si>
  <si>
    <t>جارالله حسين المتعاني</t>
  </si>
  <si>
    <t>ملعب الشهداء</t>
  </si>
  <si>
    <t>966506745595</t>
  </si>
  <si>
    <t>966546003311</t>
  </si>
  <si>
    <t>صالح خليفة صالح المزيعل</t>
  </si>
  <si>
    <t>966508657775</t>
  </si>
  <si>
    <t>امين الحنابي</t>
  </si>
  <si>
    <t>966551745791</t>
  </si>
  <si>
    <t xml:space="preserve"> هندي زايد الحارثي</t>
  </si>
  <si>
    <t>فريق الجوهرة جدة</t>
  </si>
  <si>
    <t>فريق البعد</t>
  </si>
  <si>
    <t>مجموعة الخبر</t>
  </si>
  <si>
    <t>تحت 11 - تحت 12</t>
  </si>
  <si>
    <t>تحت 13 - تحت 14</t>
  </si>
  <si>
    <t>مليانو</t>
  </si>
  <si>
    <t>ليس في أي مجموعة مكتملة</t>
  </si>
  <si>
    <t xml:space="preserve">العدالة </t>
  </si>
  <si>
    <t>فوزي الحافظ</t>
  </si>
  <si>
    <t>المدينة الرياضية بالاحساء</t>
  </si>
  <si>
    <t>مدارس الجامعة</t>
  </si>
  <si>
    <t>بدر الجريوي</t>
  </si>
  <si>
    <t>صانع الاهداف</t>
  </si>
  <si>
    <t>منيرة التركي</t>
  </si>
  <si>
    <t>احتراف المؤسس</t>
  </si>
  <si>
    <t>عثمان فلاته</t>
  </si>
  <si>
    <t>الحالة</t>
  </si>
  <si>
    <t>الخميس</t>
  </si>
  <si>
    <t>عمر الدوسري</t>
  </si>
  <si>
    <t>اكاديمية السوبر</t>
  </si>
  <si>
    <t>نادي الاتحاد السعودي</t>
  </si>
  <si>
    <t>دومينجوز</t>
  </si>
  <si>
    <t>رديف الاتحاد</t>
  </si>
  <si>
    <t>اكاديمية السوبر الرياضية</t>
  </si>
  <si>
    <t>مدرسة نادي الاتحاد -فرع الصحافة</t>
  </si>
  <si>
    <t>طلال الجهني</t>
  </si>
  <si>
    <t>الاتحاد الصناعي</t>
  </si>
  <si>
    <t>اكاديمية السامبا - جدة</t>
  </si>
  <si>
    <t>سعيد الفرحان</t>
  </si>
  <si>
    <t>فريق هلال العيون</t>
  </si>
  <si>
    <t>سعد العساف</t>
  </si>
  <si>
    <t>نجوم صامطة</t>
  </si>
  <si>
    <t>تيام مكرمي</t>
  </si>
  <si>
    <t>ودان</t>
  </si>
  <si>
    <t>نايف اليوبي</t>
  </si>
  <si>
    <t>ابها</t>
  </si>
  <si>
    <t>عبدالرحمن ال عجيم</t>
  </si>
  <si>
    <t>اتحاد جازان</t>
  </si>
  <si>
    <t>اتحاد البساتين</t>
  </si>
  <si>
    <t>ابطال التعلم</t>
  </si>
  <si>
    <t xml:space="preserve">مدرسة الروابي الخضراء العالمية </t>
  </si>
  <si>
    <t>حالة السداد</t>
  </si>
  <si>
    <t>لم يتم السداد</t>
  </si>
  <si>
    <t>مدينة منظفة</t>
  </si>
  <si>
    <t>مجموعة مكتملة</t>
  </si>
  <si>
    <t>عدد الملاعب القانونية</t>
  </si>
  <si>
    <t>تحت 7 و تحت 9</t>
  </si>
  <si>
    <t>تحت 11 و تحت 12</t>
  </si>
  <si>
    <t>مجموعة الجداول</t>
  </si>
  <si>
    <t>نحن النجوم</t>
  </si>
  <si>
    <t>اف 10 شقة</t>
  </si>
  <si>
    <t xml:space="preserve">محسن العنزي </t>
  </si>
  <si>
    <t>اكاديمية وهب  الكرة</t>
  </si>
  <si>
    <t xml:space="preserve">سعود المقاطي </t>
  </si>
  <si>
    <t>هاتريك</t>
  </si>
  <si>
    <t>اكاديمية E9</t>
  </si>
  <si>
    <t>محمد اسعد الفيفي</t>
  </si>
  <si>
    <t>اكاديمية التحدي - مكة المكرمة</t>
  </si>
  <si>
    <t>فريق العالمي الرياضي</t>
  </si>
  <si>
    <t>اشبال الساحل</t>
  </si>
  <si>
    <t>كريم المالكي</t>
  </si>
  <si>
    <t>شركة نادي الزلفي</t>
  </si>
  <si>
    <t>عبدالرحمن الحركان</t>
  </si>
  <si>
    <t>النور بالبطالية</t>
  </si>
  <si>
    <t>نعم</t>
  </si>
  <si>
    <t>فتح حساب لتسجيل اللاعبين</t>
  </si>
  <si>
    <t>الخلية</t>
  </si>
  <si>
    <t>القيمة الأصلية</t>
  </si>
  <si>
    <t>Q7</t>
  </si>
  <si>
    <t>N13</t>
  </si>
  <si>
    <t>Q61</t>
  </si>
  <si>
    <t>P165</t>
  </si>
  <si>
    <t>Q165</t>
  </si>
  <si>
    <t>P166</t>
  </si>
  <si>
    <t>Q166</t>
  </si>
  <si>
    <t>P218</t>
  </si>
  <si>
    <t>Q218</t>
  </si>
  <si>
    <t>P223</t>
  </si>
  <si>
    <t>O224</t>
  </si>
  <si>
    <t>P224</t>
  </si>
  <si>
    <t>P247</t>
  </si>
  <si>
    <t>K249</t>
  </si>
  <si>
    <t>Q256</t>
  </si>
  <si>
    <t>O288</t>
  </si>
  <si>
    <t>O303</t>
  </si>
  <si>
    <t>P303</t>
  </si>
  <si>
    <t>L326</t>
  </si>
  <si>
    <t>L327</t>
  </si>
  <si>
    <t>N335</t>
  </si>
  <si>
    <t>Q335</t>
  </si>
  <si>
    <t>N338</t>
  </si>
  <si>
    <t>Q338</t>
  </si>
  <si>
    <t>Q364</t>
  </si>
  <si>
    <t>L395</t>
  </si>
  <si>
    <t>N395</t>
  </si>
  <si>
    <t>O395</t>
  </si>
  <si>
    <t>P395</t>
  </si>
  <si>
    <t>Q395</t>
  </si>
  <si>
    <t>P415</t>
  </si>
  <si>
    <t>Q415</t>
  </si>
  <si>
    <t>Q420</t>
  </si>
  <si>
    <t>P424</t>
  </si>
  <si>
    <t>Q437</t>
  </si>
  <si>
    <t>O439</t>
  </si>
  <si>
    <t>P439</t>
  </si>
  <si>
    <t>Q439</t>
  </si>
  <si>
    <t>L440</t>
  </si>
  <si>
    <t>O466</t>
  </si>
  <si>
    <t>P466</t>
  </si>
  <si>
    <t>Q466</t>
  </si>
  <si>
    <t>N472</t>
  </si>
  <si>
    <t>Q479</t>
  </si>
  <si>
    <t>L484</t>
  </si>
  <si>
    <t>L523</t>
  </si>
  <si>
    <t>N523</t>
  </si>
  <si>
    <t>L525</t>
  </si>
  <si>
    <t>O551</t>
  </si>
  <si>
    <t>L555</t>
  </si>
  <si>
    <t>K583</t>
  </si>
  <si>
    <t>N621</t>
  </si>
  <si>
    <t>N622</t>
  </si>
  <si>
    <t>Q627</t>
  </si>
  <si>
    <t>K652</t>
  </si>
  <si>
    <t>L652</t>
  </si>
  <si>
    <t>M652</t>
  </si>
  <si>
    <t>N652</t>
  </si>
  <si>
    <t>K654</t>
  </si>
  <si>
    <t>P661</t>
  </si>
  <si>
    <t>Q661</t>
  </si>
  <si>
    <t>Q677</t>
  </si>
  <si>
    <t>N698</t>
  </si>
  <si>
    <t>N706</t>
  </si>
  <si>
    <t>P715</t>
  </si>
  <si>
    <t>Q715</t>
  </si>
  <si>
    <t>Q735</t>
  </si>
  <si>
    <t>K740</t>
  </si>
  <si>
    <t>L740</t>
  </si>
  <si>
    <t>M740</t>
  </si>
  <si>
    <t>N740</t>
  </si>
  <si>
    <t>اكاديمية ان زد</t>
  </si>
  <si>
    <t>مالك النزاوي</t>
  </si>
  <si>
    <t>NZ</t>
  </si>
  <si>
    <t>الوطن الاحساء</t>
  </si>
  <si>
    <t>اسبايرالظهران</t>
  </si>
  <si>
    <t>قلعة جازان</t>
  </si>
  <si>
    <t>نمور تبوك</t>
  </si>
  <si>
    <t>اكاديمية الامبراطور تبوك</t>
  </si>
  <si>
    <t>حزم الخفجي</t>
  </si>
  <si>
    <t>اجيال اللهابه</t>
  </si>
  <si>
    <t>نجوم الرفاع</t>
  </si>
  <si>
    <t>مواهب الشيحية</t>
  </si>
  <si>
    <t>الاخضر</t>
  </si>
  <si>
    <t>حسن قيراط</t>
  </si>
  <si>
    <t>زمن الاحتراف</t>
  </si>
  <si>
    <t>سامي السبعي</t>
  </si>
  <si>
    <t>542111252</t>
  </si>
  <si>
    <t>مستقبل المتقدمة</t>
  </si>
  <si>
    <t xml:space="preserve">أكاديمية </t>
  </si>
  <si>
    <t>سامبا تبوك</t>
  </si>
  <si>
    <t>هواة تبوك</t>
  </si>
  <si>
    <t>O460</t>
  </si>
  <si>
    <t>K579</t>
  </si>
  <si>
    <t>K347</t>
  </si>
  <si>
    <t>K476</t>
  </si>
  <si>
    <t>K493</t>
  </si>
  <si>
    <t>K567</t>
  </si>
  <si>
    <t>K593</t>
  </si>
  <si>
    <t>K607</t>
  </si>
  <si>
    <t>K609</t>
  </si>
  <si>
    <t>K612</t>
  </si>
  <si>
    <t>L250</t>
  </si>
  <si>
    <t>L583</t>
  </si>
  <si>
    <t>L593</t>
  </si>
  <si>
    <t>L607</t>
  </si>
  <si>
    <t>M250</t>
  </si>
  <si>
    <t>M553</t>
  </si>
  <si>
    <t>M568</t>
  </si>
  <si>
    <t>M583</t>
  </si>
  <si>
    <t>M587</t>
  </si>
  <si>
    <t>M593</t>
  </si>
  <si>
    <t>M603</t>
  </si>
  <si>
    <t>M607</t>
  </si>
  <si>
    <t>M608</t>
  </si>
  <si>
    <t>M612</t>
  </si>
  <si>
    <t>N250</t>
  </si>
  <si>
    <t>N553</t>
  </si>
  <si>
    <t>N573</t>
  </si>
  <si>
    <t>N593</t>
  </si>
  <si>
    <t>N601</t>
  </si>
  <si>
    <t>N612</t>
  </si>
  <si>
    <t>N700</t>
  </si>
  <si>
    <t>K187</t>
  </si>
  <si>
    <t>K386</t>
  </si>
  <si>
    <t>L187</t>
  </si>
  <si>
    <t>L386</t>
  </si>
  <si>
    <t>N380</t>
  </si>
  <si>
    <t>N386</t>
  </si>
  <si>
    <t>M205</t>
  </si>
  <si>
    <t>M380</t>
  </si>
  <si>
    <t>M386</t>
  </si>
  <si>
    <t>O205</t>
  </si>
  <si>
    <t>O386</t>
  </si>
  <si>
    <t>O545</t>
  </si>
  <si>
    <t>P545</t>
  </si>
  <si>
    <t>K218</t>
  </si>
  <si>
    <t>K220</t>
  </si>
  <si>
    <t>K297</t>
  </si>
  <si>
    <t>K631</t>
  </si>
  <si>
    <t>K690</t>
  </si>
  <si>
    <t>K382</t>
  </si>
  <si>
    <t>L631</t>
  </si>
  <si>
    <t>L690</t>
  </si>
  <si>
    <t>L206</t>
  </si>
  <si>
    <t>L382</t>
  </si>
  <si>
    <t>M690</t>
  </si>
  <si>
    <t>M206</t>
  </si>
  <si>
    <t>M382</t>
  </si>
  <si>
    <t>N690</t>
  </si>
  <si>
    <t>N382</t>
  </si>
  <si>
    <t>O690</t>
  </si>
  <si>
    <t>O382</t>
  </si>
  <si>
    <t>P690</t>
  </si>
  <si>
    <t>Q690</t>
  </si>
  <si>
    <t>O596</t>
  </si>
  <si>
    <t>O477</t>
  </si>
  <si>
    <t>O553</t>
  </si>
  <si>
    <t>O578</t>
  </si>
  <si>
    <t>O583</t>
  </si>
  <si>
    <t>O593</t>
  </si>
  <si>
    <t>O612</t>
  </si>
  <si>
    <t>O700</t>
  </si>
  <si>
    <t>P612</t>
  </si>
  <si>
    <t>P654</t>
  </si>
  <si>
    <t>P700</t>
  </si>
  <si>
    <t>K295</t>
  </si>
  <si>
    <t>K411</t>
  </si>
  <si>
    <t>K420</t>
  </si>
  <si>
    <t>K562</t>
  </si>
  <si>
    <t>K162</t>
  </si>
  <si>
    <t>K543</t>
  </si>
  <si>
    <t>L295</t>
  </si>
  <si>
    <t>L411</t>
  </si>
  <si>
    <t>L420</t>
  </si>
  <si>
    <t>L562</t>
  </si>
  <si>
    <t>M295</t>
  </si>
  <si>
    <t>M411</t>
  </si>
  <si>
    <t>M420</t>
  </si>
  <si>
    <t>M562</t>
  </si>
  <si>
    <t>N295</t>
  </si>
  <si>
    <t>N420</t>
  </si>
  <si>
    <t>N562</t>
  </si>
  <si>
    <t>O295</t>
  </si>
  <si>
    <t>O411</t>
  </si>
  <si>
    <t>O420</t>
  </si>
  <si>
    <t>P420</t>
  </si>
  <si>
    <t>K84</t>
  </si>
  <si>
    <t>K105</t>
  </si>
  <si>
    <t>K106</t>
  </si>
  <si>
    <t>K156</t>
  </si>
  <si>
    <t>K235</t>
  </si>
  <si>
    <t>K142</t>
  </si>
  <si>
    <t>K298</t>
  </si>
  <si>
    <t>L742</t>
  </si>
  <si>
    <t>N378</t>
  </si>
  <si>
    <t>N482</t>
  </si>
  <si>
    <t>N686</t>
  </si>
  <si>
    <t>N203</t>
  </si>
  <si>
    <t>N585</t>
  </si>
  <si>
    <t>N610</t>
  </si>
  <si>
    <t>N645</t>
  </si>
  <si>
    <t>N655</t>
  </si>
  <si>
    <t>N670</t>
  </si>
  <si>
    <t>O378</t>
  </si>
  <si>
    <t>O482</t>
  </si>
  <si>
    <t>O686</t>
  </si>
  <si>
    <t>K257</t>
  </si>
  <si>
    <t>K275</t>
  </si>
  <si>
    <t>K329</t>
  </si>
  <si>
    <t>K555</t>
  </si>
  <si>
    <t>L257</t>
  </si>
  <si>
    <t>L275</t>
  </si>
  <si>
    <t>L329</t>
  </si>
  <si>
    <t>M257</t>
  </si>
  <si>
    <t>M275</t>
  </si>
  <si>
    <t>M329</t>
  </si>
  <si>
    <t>M555</t>
  </si>
  <si>
    <t>N257</t>
  </si>
  <si>
    <t>N275</t>
  </si>
  <si>
    <t>N329</t>
  </si>
  <si>
    <t>N555</t>
  </si>
  <si>
    <t>O257</t>
  </si>
  <si>
    <t>O275</t>
  </si>
  <si>
    <t>O329</t>
  </si>
  <si>
    <t>K482</t>
  </si>
  <si>
    <t>K686</t>
  </si>
  <si>
    <t>K247</t>
  </si>
  <si>
    <t>K604</t>
  </si>
  <si>
    <t>K655</t>
  </si>
  <si>
    <t>K658</t>
  </si>
  <si>
    <t>K670</t>
  </si>
  <si>
    <t>K697</t>
  </si>
  <si>
    <t>K698</t>
  </si>
  <si>
    <t>L425</t>
  </si>
  <si>
    <t>L460</t>
  </si>
  <si>
    <t>L475</t>
  </si>
  <si>
    <t>K456</t>
  </si>
  <si>
    <t>N383</t>
  </si>
  <si>
    <t>N478</t>
  </si>
  <si>
    <t>O383</t>
  </si>
  <si>
    <t>O478</t>
  </si>
  <si>
    <t>K533</t>
  </si>
  <si>
    <t>L533</t>
  </si>
  <si>
    <t>M533</t>
  </si>
  <si>
    <t>N533</t>
  </si>
  <si>
    <t>O533</t>
  </si>
  <si>
    <t>P533</t>
  </si>
  <si>
    <t>Q533</t>
  </si>
  <si>
    <t>K425</t>
  </si>
  <si>
    <t>K458</t>
  </si>
  <si>
    <t>K460</t>
  </si>
  <si>
    <t>M426</t>
  </si>
  <si>
    <t>M460</t>
  </si>
  <si>
    <t>N348</t>
  </si>
  <si>
    <t>N426</t>
  </si>
  <si>
    <t>N460</t>
  </si>
  <si>
    <t>L84</t>
  </si>
  <si>
    <t>L94</t>
  </si>
  <si>
    <t>L105</t>
  </si>
  <si>
    <t>L106</t>
  </si>
  <si>
    <t>L154</t>
  </si>
  <si>
    <t>L156</t>
  </si>
  <si>
    <t>L235</t>
  </si>
  <si>
    <t>L279</t>
  </si>
  <si>
    <t>L415</t>
  </si>
  <si>
    <t>L450</t>
  </si>
  <si>
    <t>L298</t>
  </si>
  <si>
    <t>O105</t>
  </si>
  <si>
    <t>O106</t>
  </si>
  <si>
    <t>O235</t>
  </si>
  <si>
    <t>O279</t>
  </si>
  <si>
    <t>O415</t>
  </si>
  <si>
    <t>O450</t>
  </si>
  <si>
    <t>P105</t>
  </si>
  <si>
    <t>L378</t>
  </si>
  <si>
    <t>L482</t>
  </si>
  <si>
    <t>L686</t>
  </si>
  <si>
    <t>L580</t>
  </si>
  <si>
    <t>L604</t>
  </si>
  <si>
    <t>L610</t>
  </si>
  <si>
    <t>L655</t>
  </si>
  <si>
    <t>L670</t>
  </si>
  <si>
    <t>L697</t>
  </si>
  <si>
    <t>Q612</t>
  </si>
  <si>
    <t>K98</t>
  </si>
  <si>
    <t>K107</t>
  </si>
  <si>
    <t>K138</t>
  </si>
  <si>
    <t>K152</t>
  </si>
  <si>
    <t>K158</t>
  </si>
  <si>
    <t>K161</t>
  </si>
  <si>
    <t>K176</t>
  </si>
  <si>
    <t>K184</t>
  </si>
  <si>
    <t>K188</t>
  </si>
  <si>
    <t>K189</t>
  </si>
  <si>
    <t>K532</t>
  </si>
  <si>
    <t>L98</t>
  </si>
  <si>
    <t>L107</t>
  </si>
  <si>
    <t>L138</t>
  </si>
  <si>
    <t>L152</t>
  </si>
  <si>
    <t>L158</t>
  </si>
  <si>
    <t>L161</t>
  </si>
  <si>
    <t>L176</t>
  </si>
  <si>
    <t>L184</t>
  </si>
  <si>
    <t>L188</t>
  </si>
  <si>
    <t>L189</t>
  </si>
  <si>
    <t>L532</t>
  </si>
  <si>
    <t>M98</t>
  </si>
  <si>
    <t>M107</t>
  </si>
  <si>
    <t>M138</t>
  </si>
  <si>
    <t>M152</t>
  </si>
  <si>
    <t>M158</t>
  </si>
  <si>
    <t>M161</t>
  </si>
  <si>
    <t>M176</t>
  </si>
  <si>
    <t>M184</t>
  </si>
  <si>
    <t>M188</t>
  </si>
  <si>
    <t>M189</t>
  </si>
  <si>
    <t>M532</t>
  </si>
  <si>
    <t>N98</t>
  </si>
  <si>
    <t>N107</t>
  </si>
  <si>
    <t>N138</t>
  </si>
  <si>
    <t>N152</t>
  </si>
  <si>
    <t>N158</t>
  </si>
  <si>
    <t>N161</t>
  </si>
  <si>
    <t>N176</t>
  </si>
  <si>
    <t>N184</t>
  </si>
  <si>
    <t>N188</t>
  </si>
  <si>
    <t>N189</t>
  </si>
  <si>
    <t>N532</t>
  </si>
  <si>
    <t>M378</t>
  </si>
  <si>
    <t>M482</t>
  </si>
  <si>
    <t>M686</t>
  </si>
  <si>
    <t>M581</t>
  </si>
  <si>
    <t>M586</t>
  </si>
  <si>
    <t>M604</t>
  </si>
  <si>
    <t>M610</t>
  </si>
  <si>
    <t>M643</t>
  </si>
  <si>
    <t>M645</t>
  </si>
  <si>
    <t>M655</t>
  </si>
  <si>
    <t>M670</t>
  </si>
  <si>
    <t>P482</t>
  </si>
  <si>
    <t>P686</t>
  </si>
  <si>
    <t>Q482</t>
  </si>
  <si>
    <t>Q686</t>
  </si>
  <si>
    <t>Q668</t>
  </si>
  <si>
    <t>Q698</t>
  </si>
  <si>
    <t>M94</t>
  </si>
  <si>
    <t>M105</t>
  </si>
  <si>
    <t>M106</t>
  </si>
  <si>
    <t>M154</t>
  </si>
  <si>
    <t>M235</t>
  </si>
  <si>
    <t>M279</t>
  </si>
  <si>
    <t>M450</t>
  </si>
  <si>
    <t>M142</t>
  </si>
  <si>
    <t>M298</t>
  </si>
  <si>
    <t>N84</t>
  </si>
  <si>
    <t>N94</t>
  </si>
  <si>
    <t>N105</t>
  </si>
  <si>
    <t>N106</t>
  </si>
  <si>
    <t>N154</t>
  </si>
  <si>
    <t>N235</t>
  </si>
  <si>
    <t>N279</t>
  </si>
  <si>
    <t>N415</t>
  </si>
  <si>
    <t>N450</t>
  </si>
  <si>
    <t>N298</t>
  </si>
  <si>
    <t>N429</t>
  </si>
  <si>
    <t>K313</t>
  </si>
  <si>
    <t>K734</t>
  </si>
  <si>
    <t>K310</t>
  </si>
  <si>
    <t>K435</t>
  </si>
  <si>
    <t>K455</t>
  </si>
  <si>
    <t>M734</t>
  </si>
  <si>
    <t>M310</t>
  </si>
  <si>
    <t>N734</t>
  </si>
  <si>
    <t>N310</t>
  </si>
  <si>
    <t>O734</t>
  </si>
  <si>
    <t>O310</t>
  </si>
  <si>
    <t>P734</t>
  </si>
  <si>
    <t>P310</t>
  </si>
  <si>
    <t>Q313</t>
  </si>
  <si>
    <t>Q734</t>
  </si>
  <si>
    <t>Q310</t>
  </si>
  <si>
    <t>L734</t>
  </si>
  <si>
    <t>L310</t>
  </si>
  <si>
    <t>K483</t>
  </si>
  <si>
    <t>K97</t>
  </si>
  <si>
    <t>K101</t>
  </si>
  <si>
    <t>K110</t>
  </si>
  <si>
    <t>K112</t>
  </si>
  <si>
    <t>K116</t>
  </si>
  <si>
    <t>K241</t>
  </si>
  <si>
    <t>K280</t>
  </si>
  <si>
    <t>K283</t>
  </si>
  <si>
    <t>K285</t>
  </si>
  <si>
    <t>K428</t>
  </si>
  <si>
    <t>L97</t>
  </si>
  <si>
    <t>L101</t>
  </si>
  <si>
    <t>L110</t>
  </si>
  <si>
    <t>L112</t>
  </si>
  <si>
    <t>L116</t>
  </si>
  <si>
    <t>L241</t>
  </si>
  <si>
    <t>L280</t>
  </si>
  <si>
    <t>L283</t>
  </si>
  <si>
    <t>L285</t>
  </si>
  <si>
    <t>M97</t>
  </si>
  <si>
    <t>M101</t>
  </si>
  <si>
    <t>M110</t>
  </si>
  <si>
    <t>M112</t>
  </si>
  <si>
    <t>M116</t>
  </si>
  <si>
    <t>M241</t>
  </si>
  <si>
    <t>M280</t>
  </si>
  <si>
    <t>M283</t>
  </si>
  <si>
    <t>M285</t>
  </si>
  <si>
    <t>N97</t>
  </si>
  <si>
    <t>N101</t>
  </si>
  <si>
    <t>N110</t>
  </si>
  <si>
    <t>N112</t>
  </si>
  <si>
    <t>N116</t>
  </si>
  <si>
    <t>N241</t>
  </si>
  <si>
    <t>N280</t>
  </si>
  <si>
    <t>N283</t>
  </si>
  <si>
    <t>N285</t>
  </si>
  <si>
    <t>O97</t>
  </si>
  <si>
    <t>O101</t>
  </si>
  <si>
    <t>O110</t>
  </si>
  <si>
    <t>O112</t>
  </si>
  <si>
    <t>O116</t>
  </si>
  <si>
    <t>O241</t>
  </si>
  <si>
    <t>O280</t>
  </si>
  <si>
    <t>O283</t>
  </si>
  <si>
    <t>O285</t>
  </si>
  <si>
    <t>P97</t>
  </si>
  <si>
    <t>P101</t>
  </si>
  <si>
    <t>P110</t>
  </si>
  <si>
    <t>P112</t>
  </si>
  <si>
    <t>P116</t>
  </si>
  <si>
    <t>P241</t>
  </si>
  <si>
    <t>P280</t>
  </si>
  <si>
    <t>P283</t>
  </si>
  <si>
    <t>P285</t>
  </si>
  <si>
    <t>Q97</t>
  </si>
  <si>
    <t>Q101</t>
  </si>
  <si>
    <t>Q110</t>
  </si>
  <si>
    <t>Q112</t>
  </si>
  <si>
    <t>Q116</t>
  </si>
  <si>
    <t>Q241</t>
  </si>
  <si>
    <t>Q280</t>
  </si>
  <si>
    <t>Q283</t>
  </si>
  <si>
    <t>Q285</t>
  </si>
  <si>
    <t>O98</t>
  </si>
  <si>
    <t>O107</t>
  </si>
  <si>
    <t>O138</t>
  </si>
  <si>
    <t>O152</t>
  </si>
  <si>
    <t>O158</t>
  </si>
  <si>
    <t>O161</t>
  </si>
  <si>
    <t>O176</t>
  </si>
  <si>
    <t>O184</t>
  </si>
  <si>
    <t>O188</t>
  </si>
  <si>
    <t>O189</t>
  </si>
  <si>
    <t>O532</t>
  </si>
  <si>
    <t>P98</t>
  </si>
  <si>
    <t>P107</t>
  </si>
  <si>
    <t>P152</t>
  </si>
  <si>
    <t>P158</t>
  </si>
  <si>
    <t>P161</t>
  </si>
  <si>
    <t>P176</t>
  </si>
  <si>
    <t>P184</t>
  </si>
  <si>
    <t>P188</t>
  </si>
  <si>
    <t>P189</t>
  </si>
  <si>
    <t>P532</t>
  </si>
  <si>
    <t>Q98</t>
  </si>
  <si>
    <t>Q107</t>
  </si>
  <si>
    <t>Q152</t>
  </si>
  <si>
    <t>Q158</t>
  </si>
  <si>
    <t>Q161</t>
  </si>
  <si>
    <t>Q176</t>
  </si>
  <si>
    <t>Q184</t>
  </si>
  <si>
    <t>Q188</t>
  </si>
  <si>
    <t>Q189</t>
  </si>
  <si>
    <t>Q532</t>
  </si>
  <si>
    <t>K99</t>
  </si>
  <si>
    <t>K102</t>
  </si>
  <si>
    <t>K141</t>
  </si>
  <si>
    <t>K153</t>
  </si>
  <si>
    <t>K230</t>
  </si>
  <si>
    <t>K258</t>
  </si>
  <si>
    <t>K277</t>
  </si>
  <si>
    <t>K286</t>
  </si>
  <si>
    <t>K301</t>
  </si>
  <si>
    <t>K526</t>
  </si>
  <si>
    <t>K225</t>
  </si>
  <si>
    <t>L99</t>
  </si>
  <si>
    <t>L102</t>
  </si>
  <si>
    <t>L141</t>
  </si>
  <si>
    <t>L153</t>
  </si>
  <si>
    <t>L230</t>
  </si>
  <si>
    <t>L258</t>
  </si>
  <si>
    <t>L277</t>
  </si>
  <si>
    <t>L286</t>
  </si>
  <si>
    <t>L301</t>
  </si>
  <si>
    <t>L526</t>
  </si>
  <si>
    <t>M99</t>
  </si>
  <si>
    <t>M102</t>
  </si>
  <si>
    <t>M141</t>
  </si>
  <si>
    <t>M153</t>
  </si>
  <si>
    <t>M230</t>
  </si>
  <si>
    <t>M277</t>
  </si>
  <si>
    <t>M286</t>
  </si>
  <si>
    <t>M301</t>
  </si>
  <si>
    <t>M526</t>
  </si>
  <si>
    <t>N99</t>
  </si>
  <si>
    <t>N102</t>
  </si>
  <si>
    <t>N141</t>
  </si>
  <si>
    <t>N153</t>
  </si>
  <si>
    <t>N230</t>
  </si>
  <si>
    <t>N277</t>
  </si>
  <si>
    <t>N286</t>
  </si>
  <si>
    <t>N301</t>
  </si>
  <si>
    <t>N526</t>
  </si>
  <si>
    <t>O99</t>
  </si>
  <si>
    <t>O102</t>
  </si>
  <si>
    <t>O141</t>
  </si>
  <si>
    <t>O153</t>
  </si>
  <si>
    <t>O230</t>
  </si>
  <si>
    <t>O277</t>
  </si>
  <si>
    <t>O286</t>
  </si>
  <si>
    <t>O301</t>
  </si>
  <si>
    <t>O526</t>
  </si>
  <si>
    <t>P99</t>
  </si>
  <si>
    <t>P102</t>
  </si>
  <si>
    <t>P141</t>
  </si>
  <si>
    <t>P153</t>
  </si>
  <si>
    <t>P230</t>
  </si>
  <si>
    <t>P277</t>
  </si>
  <si>
    <t>P286</t>
  </si>
  <si>
    <t>P301</t>
  </si>
  <si>
    <t>P526</t>
  </si>
  <si>
    <t>Q99</t>
  </si>
  <si>
    <t>Q102</t>
  </si>
  <si>
    <t>Q141</t>
  </si>
  <si>
    <t>Q153</t>
  </si>
  <si>
    <t>Q230</t>
  </si>
  <si>
    <t>Q277</t>
  </si>
  <si>
    <t>Q286</t>
  </si>
  <si>
    <t>Q301</t>
  </si>
  <si>
    <t>Q526</t>
  </si>
  <si>
    <t>K174</t>
  </si>
  <si>
    <t>K239</t>
  </si>
  <si>
    <t>K281</t>
  </si>
  <si>
    <t>K563</t>
  </si>
  <si>
    <t>K629</t>
  </si>
  <si>
    <t>K634</t>
  </si>
  <si>
    <t>L174</t>
  </si>
  <si>
    <t>L239</t>
  </si>
  <si>
    <t>L281</t>
  </si>
  <si>
    <t>L563</t>
  </si>
  <si>
    <t>L629</t>
  </si>
  <si>
    <t>L634</t>
  </si>
  <si>
    <t>L431</t>
  </si>
  <si>
    <t>M174</t>
  </si>
  <si>
    <t>M239</t>
  </si>
  <si>
    <t>M281</t>
  </si>
  <si>
    <t>M563</t>
  </si>
  <si>
    <t>M629</t>
  </si>
  <si>
    <t>M634</t>
  </si>
  <si>
    <t>N174</t>
  </si>
  <si>
    <t>N239</t>
  </si>
  <si>
    <t>N281</t>
  </si>
  <si>
    <t>N563</t>
  </si>
  <si>
    <t>N629</t>
  </si>
  <si>
    <t>N634</t>
  </si>
  <si>
    <t>O174</t>
  </si>
  <si>
    <t>O239</t>
  </si>
  <si>
    <t>O281</t>
  </si>
  <si>
    <t>O629</t>
  </si>
  <si>
    <t>O634</t>
  </si>
  <si>
    <t>P239</t>
  </si>
  <si>
    <t>P281</t>
  </si>
  <si>
    <t>P629</t>
  </si>
  <si>
    <t>P634</t>
  </si>
  <si>
    <t>Q239</t>
  </si>
  <si>
    <t>Q281</t>
  </si>
  <si>
    <t>Q629</t>
  </si>
  <si>
    <t>K117</t>
  </si>
  <si>
    <t>K144</t>
  </si>
  <si>
    <t>K155</t>
  </si>
  <si>
    <t>K229</t>
  </si>
  <si>
    <t>K232</t>
  </si>
  <si>
    <t>K236</t>
  </si>
  <si>
    <t>K243</t>
  </si>
  <si>
    <t>K387</t>
  </si>
  <si>
    <t>L117</t>
  </si>
  <si>
    <t>L144</t>
  </si>
  <si>
    <t>L155</t>
  </si>
  <si>
    <t>L229</t>
  </si>
  <si>
    <t>L232</t>
  </si>
  <si>
    <t>L236</t>
  </si>
  <si>
    <t>L243</t>
  </si>
  <si>
    <t>M117</t>
  </si>
  <si>
    <t>M144</t>
  </si>
  <si>
    <t>M155</t>
  </si>
  <si>
    <t>M175</t>
  </si>
  <si>
    <t>M177</t>
  </si>
  <si>
    <t>M185</t>
  </si>
  <si>
    <t>M229</t>
  </si>
  <si>
    <t>M232</t>
  </si>
  <si>
    <t>M236</t>
  </si>
  <si>
    <t>M243</t>
  </si>
  <si>
    <t>N117</t>
  </si>
  <si>
    <t>N144</t>
  </si>
  <si>
    <t>N155</t>
  </si>
  <si>
    <t>N175</t>
  </si>
  <si>
    <t>N177</t>
  </si>
  <si>
    <t>N185</t>
  </si>
  <si>
    <t>N229</t>
  </si>
  <si>
    <t>N232</t>
  </si>
  <si>
    <t>N236</t>
  </si>
  <si>
    <t>N243</t>
  </si>
  <si>
    <t>O117</t>
  </si>
  <si>
    <t>O144</t>
  </si>
  <si>
    <t>O155</t>
  </si>
  <si>
    <t>O175</t>
  </si>
  <si>
    <t>O177</t>
  </si>
  <si>
    <t>O185</t>
  </si>
  <si>
    <t>O229</t>
  </si>
  <si>
    <t>O232</t>
  </si>
  <si>
    <t>O236</t>
  </si>
  <si>
    <t>O243</t>
  </si>
  <si>
    <t>P117</t>
  </si>
  <si>
    <t>P144</t>
  </si>
  <si>
    <t>P155</t>
  </si>
  <si>
    <t>P175</t>
  </si>
  <si>
    <t>P177</t>
  </si>
  <si>
    <t>P185</t>
  </si>
  <si>
    <t>P229</t>
  </si>
  <si>
    <t>P232</t>
  </si>
  <si>
    <t>P243</t>
  </si>
  <si>
    <t>Q117</t>
  </si>
  <si>
    <t>Q144</t>
  </si>
  <si>
    <t>Q155</t>
  </si>
  <si>
    <t>Q175</t>
  </si>
  <si>
    <t>Q177</t>
  </si>
  <si>
    <t>Q185</t>
  </si>
  <si>
    <t>Q229</t>
  </si>
  <si>
    <t>Q232</t>
  </si>
  <si>
    <t>Q243</t>
  </si>
  <si>
    <t>P478</t>
  </si>
  <si>
    <t>M522</t>
  </si>
  <si>
    <t>M742</t>
  </si>
  <si>
    <t>N742</t>
  </si>
  <si>
    <t>M647</t>
  </si>
  <si>
    <t>L220</t>
  </si>
  <si>
    <t>L297</t>
  </si>
  <si>
    <t>M220</t>
  </si>
  <si>
    <t>M297</t>
  </si>
  <si>
    <t>N220</t>
  </si>
  <si>
    <t>N297</t>
  </si>
  <si>
    <t>O297</t>
  </si>
  <si>
    <t>L462</t>
  </si>
  <si>
    <t>M462</t>
  </si>
  <si>
    <t>L334</t>
  </si>
  <si>
    <t>M334</t>
  </si>
  <si>
    <t>M436</t>
  </si>
  <si>
    <t>O334</t>
  </si>
  <si>
    <t>O436</t>
  </si>
  <si>
    <t>K334</t>
  </si>
  <si>
    <t>K436</t>
  </si>
  <si>
    <t>N462</t>
  </si>
  <si>
    <t>N592</t>
  </si>
  <si>
    <t>N602</t>
  </si>
  <si>
    <t>K462</t>
  </si>
  <si>
    <t>K602</t>
  </si>
  <si>
    <t>K606</t>
  </si>
  <si>
    <t>O632</t>
  </si>
  <si>
    <t>O637</t>
  </si>
  <si>
    <t>O688</t>
  </si>
  <si>
    <t>P632</t>
  </si>
  <si>
    <t>P637</t>
  </si>
  <si>
    <t>P688</t>
  </si>
  <si>
    <t>Q632</t>
  </si>
  <si>
    <t>Q637</t>
  </si>
  <si>
    <t>Q688</t>
  </si>
  <si>
    <t>P334</t>
  </si>
  <si>
    <t>M483</t>
  </si>
  <si>
    <t>N483</t>
  </si>
  <si>
    <t>Q483</t>
  </si>
  <si>
    <t>K512</t>
  </si>
  <si>
    <t>K513</t>
  </si>
  <si>
    <t>K515</t>
  </si>
  <si>
    <t>K516</t>
  </si>
  <si>
    <t>K517</t>
  </si>
  <si>
    <t>K518</t>
  </si>
  <si>
    <t>K521</t>
  </si>
  <si>
    <t>K524</t>
  </si>
  <si>
    <t>K539</t>
  </si>
  <si>
    <t>K588</t>
  </si>
  <si>
    <t>L635</t>
  </si>
  <si>
    <t>N635</t>
  </si>
  <si>
    <t>O635</t>
  </si>
  <si>
    <t>K439</t>
  </si>
  <si>
    <t>M439</t>
  </si>
  <si>
    <t>N439</t>
  </si>
  <si>
    <t>K480</t>
  </si>
  <si>
    <t>K505</t>
  </si>
  <si>
    <t>K506</t>
  </si>
  <si>
    <t>M507</t>
  </si>
  <si>
    <t>M514</t>
  </si>
  <si>
    <t>M519</t>
  </si>
  <si>
    <t>L633</t>
  </si>
  <si>
    <t>N633</t>
  </si>
  <si>
    <t>مجموعات فيها 5 فرق بالضبط</t>
  </si>
  <si>
    <t>O348</t>
  </si>
  <si>
    <t>P348</t>
  </si>
  <si>
    <t>K362</t>
  </si>
  <si>
    <t>O366</t>
  </si>
  <si>
    <t>O381</t>
  </si>
  <si>
    <t>P381</t>
  </si>
  <si>
    <t>K477</t>
  </si>
  <si>
    <t>L477</t>
  </si>
  <si>
    <t>M477</t>
  </si>
  <si>
    <t>N477</t>
  </si>
  <si>
    <t>K478</t>
  </si>
  <si>
    <t>M478</t>
  </si>
  <si>
    <t>K479</t>
  </si>
  <si>
    <t>M479</t>
  </si>
  <si>
    <t>P479</t>
  </si>
  <si>
    <t>K481</t>
  </si>
  <si>
    <t>L481</t>
  </si>
  <si>
    <t>M481</t>
  </si>
  <si>
    <t>N481</t>
  </si>
  <si>
    <t>O492</t>
  </si>
  <si>
    <t>K523</t>
  </si>
  <si>
    <t>M523</t>
  </si>
  <si>
    <t>O531</t>
  </si>
  <si>
    <t>K255</t>
  </si>
  <si>
    <t>M255</t>
  </si>
  <si>
    <t>N255</t>
  </si>
  <si>
    <t>K256</t>
  </si>
  <si>
    <t>M256</t>
  </si>
  <si>
    <t>N256</t>
  </si>
  <si>
    <t>L418</t>
  </si>
  <si>
    <t>N418</t>
  </si>
  <si>
    <t>L419</t>
  </si>
  <si>
    <t>N419</t>
  </si>
  <si>
    <t>L421</t>
  </si>
  <si>
    <t>N421</t>
  </si>
  <si>
    <t>M425</t>
  </si>
  <si>
    <t>N425</t>
  </si>
  <si>
    <t>L457</t>
  </si>
  <si>
    <t>N457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</si>
</sst>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90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3" fillId="0" borderId="0" xfId="0" applyFont="1"/>
    <xf numFmtId="0" fontId="12" fillId="3" borderId="7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3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0" fillId="0" borderId="4" xfId="0" applyBorder="1"/>
    <xf numFmtId="0" fontId="2" fillId="5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" xfId="0" applyFont="1" applyBorder="1"/>
    <xf numFmtId="0" fontId="0" fillId="0" borderId="3" xfId="0" applyBorder="1"/>
    <xf numFmtId="0" fontId="2" fillId="6" borderId="19" xfId="0" applyFont="1" applyFill="1" applyBorder="1"/>
    <xf numFmtId="0" fontId="2" fillId="6" borderId="1" xfId="0" applyFont="1" applyFill="1" applyBorder="1"/>
    <xf numFmtId="0" fontId="2" fillId="6" borderId="20" xfId="0" applyFont="1" applyFill="1" applyBorder="1"/>
    <xf numFmtId="0" fontId="2" fillId="6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readingOrder="2"/>
    </xf>
    <xf numFmtId="0" fontId="2" fillId="5" borderId="0" xfId="0" applyFont="1" applyFill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3" fontId="0" fillId="0" borderId="6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1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5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11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15608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B2CA61-428C-43C0-92BF-0FD61F79238F}" name="عدد_الملاعب12" displayName="عدد_الملاعب12" ref="B13:K204" totalsRowShown="0" headerRowDxfId="90" dataDxfId="89" tableBorderDxfId="88">
  <autoFilter ref="B13:K204" xr:uid="{75B2CA61-428C-43C0-92BF-0FD61F79238F}">
    <filterColumn colId="1">
      <filters>
        <filter val="تحت 9"/>
      </filters>
    </filterColumn>
  </autoFilter>
  <tableColumns count="10">
    <tableColumn id="1" xr3:uid="{E4B55D3C-BC0C-4E31-919F-662CA6829D06}" name="المنطقة" dataDxfId="87">
      <calculatedColumnFormula>'عدد اللاعبين'!B3</calculatedColumnFormula>
    </tableColumn>
    <tableColumn id="2" xr3:uid="{C861B911-954B-46DB-84B2-FEC18B8DC706}" name="الفئة" dataDxfId="86">
      <calculatedColumnFormula>'عدد اللاعبين'!C3</calculatedColumnFormula>
    </tableColumn>
    <tableColumn id="3" xr3:uid="{C7342457-E763-4471-A6D4-DEA19D37A912}" name="اليوم" dataDxfId="85">
      <calculatedColumnFormula>IFERROR(INDEX(المدخلات!$AD$6:$AD$12,MATCH($C14,المدخلات!$AC$6:$AC$12,0)),"")</calculatedColumnFormula>
    </tableColumn>
    <tableColumn id="4" xr3:uid="{69652874-3BA9-44A1-99A8-A507088E1035}" name="المجموعة" dataDxfId="84">
      <calculatedColumnFormula>'عدد اللاعبين'!D3</calculatedColumnFormula>
    </tableColumn>
    <tableColumn id="5" xr3:uid="{294A6F7A-AE93-4EA1-BA1F-97F052AEE83D}" name="المدن" dataDxfId="83">
      <calculatedColumnFormula>'عدد اللاعبين'!F3</calculatedColumnFormula>
    </tableColumn>
    <tableColumn id="6" xr3:uid="{5FDA4F5A-57B9-4778-964D-461A1FE58669}" name="عدد الفرق" dataDxfId="82">
      <calculatedColumnFormula>'عدد اللاعبين'!G3</calculatedColumnFormula>
    </tableColumn>
    <tableColumn id="7" xr3:uid="{F666B1FF-A7B2-46B8-934C-66A773617B6F}" name="نوع الملعب" dataDxfId="81">
      <calculatedColumnFormula>IFERROR(INDEX(المدخلات!$AE$6:$AE$12,MATCH($C14,المدخلات!$AC$6:$AC$12,0)),"")</calculatedColumnFormula>
    </tableColumn>
    <tableColumn id="8" xr3:uid="{AEC5A689-F615-4C9F-94B9-856C60D78C4B}" name="عدد المباريات في اليوم" dataDxfId="80">
      <calculatedColumnFormula>IF($G14&lt;الحد_الأدنى,0,ROUNDDOWN($G14/فرق_المباراة,0))</calculatedColumnFormula>
    </tableColumn>
    <tableColumn id="9" xr3:uid="{3E650E27-12FC-4F5A-BD59-D625A0A96341}" name="ملاعب اللعب المطلوبة" dataDxfId="79">
      <calculatedColumnFormula>ROUNDUP($I14/IFERROR(INDEX(المدخلات!$AJ$6:$AJ$12,MATCH($C14,المدخلات!$AC$6:$AC$12,0)),1),0)</calculatedColumnFormula>
    </tableColumn>
    <tableColumn id="10" xr3:uid="{FDA67BC0-6DA5-44A3-B140-C7BF4191BDC7}" name="ملاعب قانونية معادلة" dataDxfId="78">
      <calculatedColumnFormula>IF($G14&lt;الحد_الأدنى,0,IFERROR(SUMIFS(Sheet1!$D$3:$D$97,Sheet1!$B$3:$B$97,INDEX(Sheet1!$G$3:$G$9,MATCH($C14,Sheet1!$F$3:$F$9,0)),Sheet1!$C$3:$C$97,$G14),0))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169F08-D2BC-4492-AF05-0A17DEAB59D5}" name="عدد_الملاعب" displayName="عدد_الملاعب" ref="B13:K204" totalsRowShown="0" headerRowDxfId="77" dataDxfId="76" tableBorderDxfId="75">
  <autoFilter ref="B13:K204" xr:uid="{CA169F08-D2BC-4492-AF05-0A17DEAB59D5}">
    <filterColumn colId="1">
      <filters>
        <filter val="تحت 5"/>
      </filters>
    </filterColumn>
  </autoFilter>
  <tableColumns count="10">
    <tableColumn id="1" xr3:uid="{14D63510-4E91-404C-98E6-0E2BFEA040E4}" name="المنطقة" dataDxfId="74">
      <calculatedColumnFormula>'عدد اللاعبين'!B3</calculatedColumnFormula>
    </tableColumn>
    <tableColumn id="2" xr3:uid="{13C8553C-1E16-4F3F-8716-954CDC05F1C8}" name="الفئة" dataDxfId="73">
      <calculatedColumnFormula>'عدد اللاعبين'!C3</calculatedColumnFormula>
    </tableColumn>
    <tableColumn id="3" xr3:uid="{8EF96F40-8496-4B37-A86D-4FE4909B42EE}" name="اليوم" dataDxfId="72">
      <calculatedColumnFormula>IFERROR(INDEX(المدخلات!$AD$6:$AD$12,MATCH($C14,المدخلات!$AC$6:$AC$12,0)),"")</calculatedColumnFormula>
    </tableColumn>
    <tableColumn id="4" xr3:uid="{35E8561D-3543-4E09-9486-E6756F7C45DC}" name="المجموعة" dataDxfId="71">
      <calculatedColumnFormula>'عدد اللاعبين'!D3</calculatedColumnFormula>
    </tableColumn>
    <tableColumn id="5" xr3:uid="{AC85E991-DC70-41B5-BAEF-FD85DD3BB701}" name="المدن" dataDxfId="70">
      <calculatedColumnFormula>'عدد اللاعبين'!F3</calculatedColumnFormula>
    </tableColumn>
    <tableColumn id="6" xr3:uid="{BFA026B2-B233-4BF9-B6CD-42AA04DB808C}" name="عدد الفرق" dataDxfId="69">
      <calculatedColumnFormula>'عدد اللاعبين'!G3</calculatedColumnFormula>
    </tableColumn>
    <tableColumn id="7" xr3:uid="{E1FAC061-3D69-4B62-8EE9-EFC66EFC0652}" name="نوع الملعب" dataDxfId="68">
      <calculatedColumnFormula>IFERROR(INDEX(المدخلات!$AE$6:$AE$12,MATCH($C14,المدخلات!$AC$6:$AC$12,0)),"")</calculatedColumnFormula>
    </tableColumn>
    <tableColumn id="8" xr3:uid="{E359E48A-EE12-40C2-8C78-802B03C56A29}" name="عدد المباريات في اليوم" dataDxfId="67">
      <calculatedColumnFormula>IF($G14&lt;الحد_الأدنى,0,ROUNDDOWN($G14/فرق_المباراة,0))</calculatedColumnFormula>
    </tableColumn>
    <tableColumn id="9" xr3:uid="{CCE43297-1A75-443E-8FA0-A8D6A041EA10}" name="ملاعب اللعب المطلوبة" dataDxfId="66">
      <calculatedColumnFormula>ROUNDUP($I14/IFERROR(INDEX(المدخلات!$AJ$6:$AJ$12,MATCH($C14,المدخلات!$AC$6:$AC$12,0)),1),0)</calculatedColumnFormula>
    </tableColumn>
    <tableColumn id="10" xr3:uid="{1AAC693D-3EB3-479D-A2E3-3415D3A956BF}" name="ملاعب قانونية معادلة" dataDxfId="65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9AF86F-EA26-4706-A119-A83C87660182}" name="Table10" displayName="Table10" ref="B2:H193" totalsRowShown="0" headerRowDxfId="64">
  <autoFilter ref="B2:H193" xr:uid="{889AF86F-EA26-4706-A119-A83C87660182}"/>
  <sortState xmlns:xlrd2="http://schemas.microsoft.com/office/spreadsheetml/2017/richdata2" ref="B3:H193">
    <sortCondition ref="C2:C193"/>
  </sortState>
  <tableColumns count="7">
    <tableColumn id="5" xr3:uid="{C8A93DAD-F73F-468A-9F25-56BEE5ADDECE}" name="المنطقة" dataDxfId="63">
      <calculatedColumnFormula>IFERROR(INDEX(المكاتب_المصدر[المنطقة],MATCH(Table10[[#This Row],[المجموعة]],المكاتب_المصدر[المجموعة],0)),"")</calculatedColumnFormula>
    </tableColumn>
    <tableColumn id="1" xr3:uid="{DC1AD7CF-4BD6-4E36-83C9-015C25C54041}" name="الفئة" dataDxfId="62">
      <calculatedColumnFormula>'ملخص المجموعات'!#REF!</calculatedColumnFormula>
    </tableColumn>
    <tableColumn id="2" xr3:uid="{C5733013-0A12-4780-BA95-28E5A8817367}" name="المجموعة" dataDxfId="61">
      <calculatedColumnFormula>'ملخص المجموعات'!#REF!</calculatedColumnFormula>
    </tableColumn>
    <tableColumn id="3" xr3:uid="{A6536328-8F2C-44B3-9778-7E3AB75CCEFA}" name="عدد المدن" dataDxfId="60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FBE5F97B-D929-4364-BBE6-0E2616F8386C}" name="المدن" dataDxfId="59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6EAF3737-32C6-4B3B-A7EF-C535AAE53991}" name="عدد الفرق" dataDxfId="58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5B8FED48-3B0E-46A3-BBA8-1C6098F1C884}" name="مجموع مباريات المجموعة" dataDxfId="57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365281-DC0D-4679-B3EF-423DEA0964A0}" name="Table1010" displayName="Table1010" ref="B2:H193" totalsRowShown="0" headerRowDxfId="56" tableBorderDxfId="55">
  <autoFilter ref="B2:H193" xr:uid="{C3365281-DC0D-4679-B3EF-423DEA0964A0}"/>
  <tableColumns count="7">
    <tableColumn id="1" xr3:uid="{782FCEC1-9A4F-46EC-A17E-47A427781B79}" name="المنطقة" dataDxfId="54">
      <calculatedColumnFormula>IFERROR(INDEX(المكاتب_المصدر[المنطقة],MATCH('عدد اللاعبين'!$D3,المكاتب_المصدر[المجموعة],0)),"")</calculatedColumnFormula>
    </tableColumn>
    <tableColumn id="2" xr3:uid="{28F6210E-08C0-491D-86BA-226D7215B767}" name="الفئة" dataDxfId="53">
      <calculatedColumnFormula>'ملخص المجموعات'!#REF!</calculatedColumnFormula>
    </tableColumn>
    <tableColumn id="3" xr3:uid="{D4EC0B05-AE2F-4961-A17C-F263A7FD55D4}" name="المجموعة" dataDxfId="52">
      <calculatedColumnFormula>'ملخص المجموعات'!#REF!</calculatedColumnFormula>
    </tableColumn>
    <tableColumn id="4" xr3:uid="{6C0B1AEF-A903-4001-89EE-DB91FB414950}" name="عدد المدن" dataDxfId="51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5" xr3:uid="{62A06607-ADA5-4FAE-BE51-1CDF13216503}" name="المدن" dataDxfId="50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2AF947BB-1846-4197-A743-D944247B8C76}" name="عدد الفرق" dataDxfId="49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A4B9EDB6-2DBA-4D8A-9870-EE3527266DB9}" name="عدد اللاعبين" dataDxfId="48">
      <calculatedColumnFormula>IF('عدد اللاعبين'!$G3&lt;الحد_الأدنى,0,'عدد اللاعبين'!$G3*IFERROR(INDEX(المدخلات!$Y$3:$Y$9,MATCH('عدد اللاعبين'!$C3,المدخلات!$X$3:$X$9,0)),0))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186" totalsRowShown="0" headerRowDxfId="47" dataDxfId="46">
  <autoFilter ref="B2:G186" xr:uid="{D5714613-7CB3-4778-9CFB-5F2E956CE80E}"/>
  <sortState xmlns:xlrd2="http://schemas.microsoft.com/office/spreadsheetml/2017/richdata2" ref="B3:G186">
    <sortCondition ref="F2:F186"/>
  </sortState>
  <tableColumns count="6">
    <tableColumn id="1" xr3:uid="{21357364-A1AC-40A0-A103-719BBF35D23E}" name="الفئة" dataDxfId="45"/>
    <tableColumn id="2" xr3:uid="{FED87C10-4531-4310-A0AB-63BF8FB11944}" name="المجموعة" dataDxfId="44"/>
    <tableColumn id="3" xr3:uid="{AE4FCF05-32B9-4C29-8A35-872FE1B3A005}" name="عدد المدن" dataDxfId="43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xr3:uid="{FD58C7EE-75CB-499E-85CF-7282CB19CA62}" name="المدن" dataDxfId="42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xr3:uid="{EB7BF368-B482-4173-985E-A61BA4F4C980}" name="مجموع الفرق" dataDxfId="41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40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T560" totalsRowShown="0" headerRowDxfId="112" dataDxfId="111" tableBorderDxfId="110" dataCellStyle="Normal 2">
  <autoFilter ref="B2:T560" xr:uid="{C98C69F7-A5A5-41A9-9F9D-AF91B174B3C2}"/>
  <sortState xmlns:xlrd2="http://schemas.microsoft.com/office/spreadsheetml/2017/richdata2" ref="B25:S550">
    <sortCondition ref="B2:B551"/>
  </sortState>
  <tableColumns count="19">
    <tableColumn id="1" xr3:uid="{090AD518-161E-48A1-BB46-837D6EA74252}" name="Entry Id" dataDxfId="109" dataCellStyle="Normal 2"/>
    <tableColumn id="2" xr3:uid="{AC3FCE35-ED74-4BDA-B2C1-71DE81164517}" name="اسم الفريق" dataDxfId="108" dataCellStyle="Normal 2"/>
    <tableColumn id="3" xr3:uid="{BAB92966-1EB1-4C4A-A003-A8F57A08F900}" name="الاسم " dataDxfId="107" dataCellStyle="Normal 2"/>
    <tableColumn id="4" xr3:uid="{41B901FC-6026-4BE2-A9C0-4BA71B6BC5DE}" name="رقم الجوال" dataDxfId="106" dataCellStyle="Normal 2"/>
    <tableColumn id="5" xr3:uid="{9F68BE70-1FDC-4425-9940-DF2CEFD9B032}" name="اسم الملعب" dataDxfId="105" dataCellStyle="Normal 2"/>
    <tableColumn id="6" xr3:uid="{0BB31EF5-FF5E-497E-95C0-AC1316951F24}" name="الصفة" dataDxfId="104" dataCellStyle="Normal 2"/>
    <tableColumn id="7" xr3:uid="{50DE72A8-1E19-4962-9931-E2D97E6E6125}" name="المنطقة" dataDxfId="103" dataCellStyle="Normal 2"/>
    <tableColumn id="8" xr3:uid="{0A336E9A-961E-4220-ADF7-AB5BC3EFC496}" name="المدينة" dataDxfId="102" dataCellStyle="Normal 2"/>
    <tableColumn id="17" xr3:uid="{9A1E561B-D0E7-4011-9527-4DE3A58FAD08}" name="مكتب الوزارة" dataDxfId="101"/>
    <tableColumn id="9" xr3:uid="{313DDC39-AC82-48CC-BCED-A8D8B0B50F10}" name="المشاركة تحت 14" dataDxfId="100" dataCellStyle="Normal 2"/>
    <tableColumn id="10" xr3:uid="{056EB01F-9295-4034-859B-42056695639E}" name="المشاركة تحت 13" dataDxfId="99" dataCellStyle="Normal 2"/>
    <tableColumn id="11" xr3:uid="{0A942E27-C19C-4583-B65B-63FA254B3871}" name="المشاركة تحت 12" dataDxfId="98" dataCellStyle="Normal 2"/>
    <tableColumn id="12" xr3:uid="{4FD6226C-F925-47F1-A13D-AA249B8D9FD0}" name="المشاركة تحت 11" dataDxfId="97" dataCellStyle="Normal 2"/>
    <tableColumn id="13" xr3:uid="{7C0BB045-F917-4504-A7B2-0720DBB4DE2F}" name="المشاركة تحت 9" dataDxfId="96" dataCellStyle="Normal 2"/>
    <tableColumn id="14" xr3:uid="{FD475FF4-5023-4EA1-B10C-9DE555315DBC}" name="المشاركة تحت 7 " dataDxfId="95" dataCellStyle="Normal 2"/>
    <tableColumn id="15" xr3:uid="{43B89F76-F8D8-491F-B6E6-05BED7569326}" name="المشاركة تحت 5" dataDxfId="94" dataCellStyle="Normal 2"/>
    <tableColumn id="19" xr3:uid="{CE68BD7A-9221-4E9B-A422-953D82644100}" name="ليس في أي مجموعة مكتملة" dataDxfId="93" dataCellStyle="Normal 2">
      <calculatedColumnFormula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calculatedColumnFormula>
    </tableColumn>
    <tableColumn id="20" xr3:uid="{F7D8A276-18E1-4D65-963E-53807ECB1230}" name="حالة السداد" dataDxfId="92" dataCellStyle="Normal 2"/>
    <tableColumn id="16" xr3:uid="{79F0AFE7-D817-49C2-9620-A73A3866F2EE}" name="فتح حساب لتسجيل اللاعبين" dataDxfId="91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39" dataDxfId="38" tableBorderDxfId="37">
  <autoFilter ref="K2:L9" xr:uid="{CB8954BF-907E-4B78-AA0B-B695FCB5D5AC}"/>
  <tableColumns count="2">
    <tableColumn id="1" xr3:uid="{30FFDE77-56F6-44C2-B6A6-155DCF4CF8DB}" name="الفئة" dataDxfId="36"/>
    <tableColumn id="2" xr3:uid="{86DFE088-41CB-49A5-A5FE-6AC945BFCDB8}" name="مجموعة الفئات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207" totalsRowShown="0" headerRowDxfId="34" dataDxfId="33">
  <autoFilter ref="B2:D207" xr:uid="{C0D9CA94-7B1D-4BB6-9D8F-BBAF4BDFA449}"/>
  <tableColumns count="3">
    <tableColumn id="1" xr3:uid="{230C2C42-A057-407F-B36C-357E7EDD9E62}" name="الفئة العمرية" dataDxfId="32"/>
    <tableColumn id="2" xr3:uid="{DA75C6C1-EEE2-478C-AB61-D44245FEF7F3}" name="المجموعة" dataDxfId="31"/>
    <tableColumn id="3" xr3:uid="{6A5033B9-28EA-44F9-A1C0-ACDB72370A69}" name="المدينة/المحافظة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144" totalsRowShown="0" headerRowDxfId="29">
  <autoFilter ref="F2:I14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B3B93-3EB5-4842-9E9C-EF25BFBF47DF}" name="ملاعب_الفئات_جدول" displayName="ملاعب_الفئات_جدول" ref="AC5:AJ12" totalsRowShown="0" headerRowDxfId="28" dataDxfId="26" headerRowBorderDxfId="27" tableBorderDxfId="25" totalsRowBorderDxfId="24">
  <autoFilter ref="AC5:AJ12" xr:uid="{414B3B93-3EB5-4842-9E9C-EF25BFBF47DF}"/>
  <tableColumns count="8">
    <tableColumn id="1" xr3:uid="{02EF7455-04A3-4CA1-B4EC-1F55773BA965}" name="الفئة" dataDxfId="23"/>
    <tableColumn id="2" xr3:uid="{2AB25BF1-F58B-4125-BD6C-8A046DB17EEE}" name="اليوم" dataDxfId="22"/>
    <tableColumn id="3" xr3:uid="{59CC6A0A-0680-4399-ABA5-1A51FD79C41C}" name="نوع الملعب" dataDxfId="21"/>
    <tableColumn id="4" xr3:uid="{5CB0B0B2-B9B0-45EF-A6DA-239CABB2F82D}" name="تقسيم الملعب القانوني" dataDxfId="20"/>
    <tableColumn id="5" xr3:uid="{74B420F9-837A-47DE-87F4-9BA1A93D3CDB}" name="مباريات لكل ملعب صغير يومياً" dataDxfId="19"/>
    <tableColumn id="6" xr3:uid="{2DD1BC56-7901-4F28-89D4-045167EE83C3}" name="مباريات لكل ملعب قانوني يومياً" dataDxfId="18">
      <calculatedColumnFormula>$AF6*$AG6</calculatedColumnFormula>
    </tableColumn>
    <tableColumn id="7" xr3:uid="{BC8E9C69-DD4D-4703-836E-B8850C47E470}" name="أقصى فرق لكل ملعب قانوني" dataDxfId="17">
      <calculatedColumnFormula>$AH6*$AD$3</calculatedColumnFormula>
    </tableColumn>
    <tableColumn id="8" xr3:uid="{37178222-FD09-4366-AF84-C59121185901}" name="مباريات لكل ملعب لعب يومياً" dataDxfId="16">
      <calculatedColumnFormula>IF($AF6&gt;1,$AG6,$AH6)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251452-49B1-488A-A231-34DDDC5BC79C}" name="تفاصيل_الفرق" displayName="تفاصيل_الفرق" ref="B2:G473" totalsRowShown="0" headerRowDxfId="15" dataDxfId="14">
  <autoFilter ref="B2:G473" xr:uid="{3A251452-49B1-488A-A231-34DDDC5BC79C}"/>
  <tableColumns count="6">
    <tableColumn id="1" xr3:uid="{F8B5BDA6-5D44-4851-A1EB-754886ED46F9}" name="الفئة العمرية" dataDxfId="13"/>
    <tableColumn id="2" xr3:uid="{2B710235-4537-4581-952C-3FC4FB9E55D0}" name="المدينة/المحافظة" dataDxfId="12"/>
    <tableColumn id="3" xr3:uid="{217A3737-53B6-4B13-BB85-38A2F3A271FB}" name="المجموعة" dataDxfId="11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ADB66A12-92CD-43A2-8D7E-62106E9D707E}" name="عدد الفرق" dataDxfId="10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xr3:uid="{E15FCD43-46C9-462F-87FB-CA91D6B93683}" name="مدينة منظفة" dataDxfId="9">
      <calculatedColumnFormula>TRIM(تفاصيل_الفرق[[#This Row],[المدينة/المحافظة]])</calculatedColumnFormula>
    </tableColumn>
    <tableColumn id="6" xr3:uid="{6AC3A46E-D63C-40B4-8505-96690F3C0B98}" name="مجموعة مكتملة" dataDxfId="8">
      <calculatedColumnFormula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2" dT="2026-08-10T09:01:16.13" personId="{CBA31CD8-0BE3-4148-B237-3C9B8E707F32}" id="{76482755-CCBA-4320-A08C-8D2B4AD1E96F}">
    <text>المسقي أصلا، لكن تم تغييرها إلى أبها</text>
  </threadedComment>
  <threadedComment ref="I252" dT="2026-08-12T13:43:59.30" personId="{CBA31CD8-0BE3-4148-B237-3C9B8E707F32}" id="{EA817475-4B27-4D33-B54C-A5F7C17FF03E}">
    <text>كانت الجوف وتعدلت إلى سكاكا</text>
  </threadedComment>
  <threadedComment ref="I289" dT="2026-08-13T11:24:57.54" personId="{CBA31CD8-0BE3-4148-B237-3C9B8E707F32}" id="{3F823FCE-DE21-46F3-BFD6-6877CB630F12}">
    <text>كانت سبت العلايا</text>
  </threadedComment>
  <threadedComment ref="I322" dT="2026-08-15T14:53:20.05" personId="{CBA31CD8-0BE3-4148-B237-3C9B8E707F32}" id="{CEFC68E5-6E06-424C-A55D-C3A6F4A8D12B}">
    <text>كانت تاروت</text>
  </threadedComment>
  <threadedComment ref="I501" dT="2026-08-27T12:39:06.75" personId="{CBA31CD8-0BE3-4148-B237-3C9B8E707F32}" id="{2EB7C2D5-2E4B-4ED4-B997-40B8CAB490DE}">
    <text>عنك</text>
  </threadedComment>
  <threadedComment ref="I508" dT="2026-08-28T13:24:23.77" personId="{CBA31CD8-0BE3-4148-B237-3C9B8E707F32}" id="{36C4B326-0557-4661-AA7F-A06E4EDC7CD3}">
    <text>كانت السويفلة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2" dT="2026-08-30T06:41:58.84" personId="{CBA31CD8-0BE3-4148-B237-3C9B8E707F32}" id="{38C376C0-99C0-4408-B8B3-0A3D5CA91FCD}">
    <text>28 مدينة كانت مسجلة بس ماسجل فيها أحد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F303-7834-4EA8-8A54-13247CB3F1EC}">
  <dimension ref="B2:G97"/>
  <sheetViews>
    <sheetView rightToLeft="1" topLeftCell="A71" workbookViewId="0">
      <selection activeCell="E11" sqref="E11"/>
    </sheetView>
  </sheetViews>
  <sheetFormatPr defaultRowHeight="14.5"/>
  <cols>
    <col min="1" max="1" width="8.7265625" style="62"/>
    <col min="2" max="2" width="14" style="62" bestFit="1" customWidth="1"/>
    <col min="3" max="3" width="7.36328125" style="62" bestFit="1" customWidth="1"/>
    <col min="4" max="4" width="14.7265625" style="62" bestFit="1" customWidth="1"/>
    <col min="5" max="16384" width="8.7265625" style="62"/>
  </cols>
  <sheetData>
    <row r="2" spans="2:7">
      <c r="B2" s="62" t="s">
        <v>116</v>
      </c>
      <c r="C2" s="62" t="s">
        <v>3</v>
      </c>
      <c r="D2" s="62" t="s">
        <v>1602</v>
      </c>
      <c r="F2" s="64" t="s">
        <v>116</v>
      </c>
      <c r="G2" s="64" t="s">
        <v>1605</v>
      </c>
    </row>
    <row r="3" spans="2:7">
      <c r="B3" s="62" t="s">
        <v>4</v>
      </c>
      <c r="C3" s="63">
        <v>6</v>
      </c>
      <c r="D3" s="62">
        <v>1</v>
      </c>
      <c r="F3" s="2" t="s">
        <v>4</v>
      </c>
      <c r="G3" s="2" t="s">
        <v>4</v>
      </c>
    </row>
    <row r="4" spans="2:7">
      <c r="B4" s="62" t="s">
        <v>4</v>
      </c>
      <c r="C4" s="63">
        <v>7</v>
      </c>
      <c r="D4" s="62">
        <v>1</v>
      </c>
      <c r="F4" s="2" t="s">
        <v>112</v>
      </c>
      <c r="G4" s="2" t="s">
        <v>1603</v>
      </c>
    </row>
    <row r="5" spans="2:7">
      <c r="B5" s="62" t="s">
        <v>4</v>
      </c>
      <c r="C5" s="63">
        <v>8</v>
      </c>
      <c r="D5" s="62">
        <v>1</v>
      </c>
      <c r="F5" s="2" t="s">
        <v>113</v>
      </c>
      <c r="G5" s="2" t="s">
        <v>1603</v>
      </c>
    </row>
    <row r="6" spans="2:7">
      <c r="B6" s="62" t="s">
        <v>4</v>
      </c>
      <c r="C6" s="63">
        <v>9</v>
      </c>
      <c r="D6" s="62">
        <v>1</v>
      </c>
      <c r="F6" s="2" t="s">
        <v>114</v>
      </c>
      <c r="G6" s="2" t="s">
        <v>1604</v>
      </c>
    </row>
    <row r="7" spans="2:7">
      <c r="B7" s="62" t="s">
        <v>4</v>
      </c>
      <c r="C7" s="63">
        <v>12</v>
      </c>
      <c r="D7" s="62">
        <v>2</v>
      </c>
      <c r="F7" s="2" t="s">
        <v>117</v>
      </c>
      <c r="G7" s="2" t="s">
        <v>1604</v>
      </c>
    </row>
    <row r="8" spans="2:7">
      <c r="B8" s="62" t="s">
        <v>4</v>
      </c>
      <c r="C8" s="63">
        <v>13</v>
      </c>
      <c r="D8" s="62">
        <v>2</v>
      </c>
      <c r="F8" s="2" t="s">
        <v>118</v>
      </c>
      <c r="G8" s="2" t="s">
        <v>118</v>
      </c>
    </row>
    <row r="9" spans="2:7">
      <c r="B9" s="62" t="s">
        <v>4</v>
      </c>
      <c r="C9" s="63">
        <v>17</v>
      </c>
      <c r="D9" s="62">
        <v>2</v>
      </c>
      <c r="F9" s="2" t="s">
        <v>115</v>
      </c>
      <c r="G9" s="2" t="s">
        <v>115</v>
      </c>
    </row>
    <row r="10" spans="2:7">
      <c r="B10" s="62" t="s">
        <v>4</v>
      </c>
      <c r="C10" s="63">
        <v>18</v>
      </c>
      <c r="D10" s="62">
        <v>3</v>
      </c>
    </row>
    <row r="11" spans="2:7">
      <c r="B11" s="62" t="s">
        <v>4</v>
      </c>
      <c r="C11" s="63">
        <v>19</v>
      </c>
      <c r="D11" s="62">
        <v>3</v>
      </c>
    </row>
    <row r="12" spans="2:7">
      <c r="B12" s="62" t="s">
        <v>4</v>
      </c>
      <c r="C12" s="63">
        <v>22</v>
      </c>
      <c r="D12" s="62">
        <v>3</v>
      </c>
    </row>
    <row r="13" spans="2:7">
      <c r="B13" s="62" t="s">
        <v>4</v>
      </c>
      <c r="C13" s="63">
        <v>30</v>
      </c>
      <c r="D13" s="62">
        <v>4</v>
      </c>
    </row>
    <row r="14" spans="2:7">
      <c r="B14" s="62" t="s">
        <v>1603</v>
      </c>
      <c r="C14" s="62">
        <v>6</v>
      </c>
      <c r="D14" s="62">
        <v>1</v>
      </c>
    </row>
    <row r="15" spans="2:7">
      <c r="B15" s="62" t="s">
        <v>1603</v>
      </c>
      <c r="C15" s="62">
        <v>7</v>
      </c>
      <c r="D15" s="62">
        <v>1</v>
      </c>
    </row>
    <row r="16" spans="2:7">
      <c r="B16" s="62" t="s">
        <v>1603</v>
      </c>
      <c r="C16" s="62">
        <v>8</v>
      </c>
      <c r="D16" s="62">
        <v>1</v>
      </c>
    </row>
    <row r="17" spans="2:4">
      <c r="B17" s="62" t="s">
        <v>1603</v>
      </c>
      <c r="C17" s="62">
        <v>9</v>
      </c>
      <c r="D17" s="62">
        <v>1</v>
      </c>
    </row>
    <row r="18" spans="2:4">
      <c r="B18" s="62" t="s">
        <v>1603</v>
      </c>
      <c r="C18" s="62">
        <v>10</v>
      </c>
      <c r="D18" s="62">
        <v>1</v>
      </c>
    </row>
    <row r="19" spans="2:4">
      <c r="B19" s="62" t="s">
        <v>1603</v>
      </c>
      <c r="C19" s="62">
        <v>11</v>
      </c>
      <c r="D19" s="62">
        <v>1</v>
      </c>
    </row>
    <row r="20" spans="2:4">
      <c r="B20" s="62" t="s">
        <v>1603</v>
      </c>
      <c r="C20" s="62">
        <v>12</v>
      </c>
      <c r="D20" s="62">
        <v>2</v>
      </c>
    </row>
    <row r="21" spans="2:4">
      <c r="B21" s="62" t="s">
        <v>1603</v>
      </c>
      <c r="C21" s="62">
        <v>13</v>
      </c>
      <c r="D21" s="62">
        <v>1</v>
      </c>
    </row>
    <row r="22" spans="2:4">
      <c r="B22" s="62" t="s">
        <v>1603</v>
      </c>
      <c r="C22" s="62">
        <v>14</v>
      </c>
      <c r="D22" s="62">
        <v>1</v>
      </c>
    </row>
    <row r="23" spans="2:4">
      <c r="B23" s="62" t="s">
        <v>1603</v>
      </c>
      <c r="C23" s="62">
        <v>16</v>
      </c>
      <c r="D23" s="62">
        <v>2</v>
      </c>
    </row>
    <row r="24" spans="2:4">
      <c r="B24" s="62" t="s">
        <v>1603</v>
      </c>
      <c r="C24" s="62">
        <v>17</v>
      </c>
      <c r="D24" s="62">
        <v>2</v>
      </c>
    </row>
    <row r="25" spans="2:4">
      <c r="B25" s="62" t="s">
        <v>1603</v>
      </c>
      <c r="C25" s="62">
        <v>18</v>
      </c>
      <c r="D25" s="62">
        <v>2</v>
      </c>
    </row>
    <row r="26" spans="2:4">
      <c r="B26" s="62" t="s">
        <v>1603</v>
      </c>
      <c r="C26" s="62">
        <v>19</v>
      </c>
      <c r="D26" s="62">
        <v>2</v>
      </c>
    </row>
    <row r="27" spans="2:4">
      <c r="B27" s="62" t="s">
        <v>1603</v>
      </c>
      <c r="C27" s="62">
        <v>20</v>
      </c>
      <c r="D27" s="62">
        <v>2</v>
      </c>
    </row>
    <row r="28" spans="2:4">
      <c r="B28" s="62" t="s">
        <v>1603</v>
      </c>
      <c r="C28" s="62">
        <v>24</v>
      </c>
      <c r="D28" s="62">
        <v>2</v>
      </c>
    </row>
    <row r="29" spans="2:4">
      <c r="B29" s="62" t="s">
        <v>1603</v>
      </c>
      <c r="C29" s="62">
        <v>25</v>
      </c>
      <c r="D29" s="62">
        <v>2</v>
      </c>
    </row>
    <row r="30" spans="2:4">
      <c r="B30" s="62" t="s">
        <v>1603</v>
      </c>
      <c r="C30" s="62">
        <v>27</v>
      </c>
      <c r="D30" s="62">
        <v>2</v>
      </c>
    </row>
    <row r="31" spans="2:4">
      <c r="B31" s="62" t="s">
        <v>1603</v>
      </c>
      <c r="C31" s="62">
        <v>31</v>
      </c>
      <c r="D31" s="62">
        <v>2</v>
      </c>
    </row>
    <row r="32" spans="2:4">
      <c r="B32" s="62" t="s">
        <v>1603</v>
      </c>
      <c r="C32" s="62">
        <v>33</v>
      </c>
      <c r="D32" s="62">
        <v>2</v>
      </c>
    </row>
    <row r="33" spans="2:4">
      <c r="B33" s="62" t="s">
        <v>1603</v>
      </c>
      <c r="C33" s="62">
        <v>34</v>
      </c>
      <c r="D33" s="62">
        <v>2</v>
      </c>
    </row>
    <row r="34" spans="2:4">
      <c r="B34" s="62" t="s">
        <v>1603</v>
      </c>
      <c r="C34" s="62">
        <v>36</v>
      </c>
      <c r="D34" s="62">
        <v>2</v>
      </c>
    </row>
    <row r="35" spans="2:4">
      <c r="B35" s="62" t="s">
        <v>1603</v>
      </c>
      <c r="C35" s="62">
        <v>48</v>
      </c>
      <c r="D35" s="62">
        <v>3</v>
      </c>
    </row>
    <row r="36" spans="2:4">
      <c r="B36" s="62" t="s">
        <v>1603</v>
      </c>
      <c r="C36" s="62">
        <v>55</v>
      </c>
      <c r="D36" s="62">
        <v>4</v>
      </c>
    </row>
    <row r="37" spans="2:4">
      <c r="B37" s="62" t="s">
        <v>1604</v>
      </c>
      <c r="C37" s="62">
        <v>6</v>
      </c>
      <c r="D37" s="62">
        <v>1</v>
      </c>
    </row>
    <row r="38" spans="2:4">
      <c r="B38" s="62" t="s">
        <v>1604</v>
      </c>
      <c r="C38" s="62">
        <v>7</v>
      </c>
      <c r="D38" s="62">
        <v>1</v>
      </c>
    </row>
    <row r="39" spans="2:4">
      <c r="B39" s="62" t="s">
        <v>1604</v>
      </c>
      <c r="C39" s="62">
        <v>8</v>
      </c>
      <c r="D39" s="62">
        <v>1</v>
      </c>
    </row>
    <row r="40" spans="2:4">
      <c r="B40" s="62" t="s">
        <v>1604</v>
      </c>
      <c r="C40" s="62">
        <v>9</v>
      </c>
      <c r="D40" s="62">
        <v>1</v>
      </c>
    </row>
    <row r="41" spans="2:4">
      <c r="B41" s="62" t="s">
        <v>1604</v>
      </c>
      <c r="C41" s="62">
        <v>11</v>
      </c>
      <c r="D41" s="62">
        <v>1</v>
      </c>
    </row>
    <row r="42" spans="2:4">
      <c r="B42" s="62" t="s">
        <v>1604</v>
      </c>
      <c r="C42" s="62">
        <v>12</v>
      </c>
      <c r="D42" s="62">
        <v>1</v>
      </c>
    </row>
    <row r="43" spans="2:4">
      <c r="B43" s="62" t="s">
        <v>1604</v>
      </c>
      <c r="C43" s="62">
        <v>13</v>
      </c>
      <c r="D43" s="62">
        <v>1</v>
      </c>
    </row>
    <row r="44" spans="2:4">
      <c r="B44" s="62" t="s">
        <v>1604</v>
      </c>
      <c r="C44" s="62">
        <v>14</v>
      </c>
      <c r="D44" s="62">
        <v>1</v>
      </c>
    </row>
    <row r="45" spans="2:4">
      <c r="B45" s="62" t="s">
        <v>1604</v>
      </c>
      <c r="C45" s="62">
        <v>15</v>
      </c>
      <c r="D45" s="62">
        <v>2</v>
      </c>
    </row>
    <row r="46" spans="2:4">
      <c r="B46" s="62" t="s">
        <v>1604</v>
      </c>
      <c r="C46" s="62">
        <v>16</v>
      </c>
      <c r="D46" s="62">
        <v>2</v>
      </c>
    </row>
    <row r="47" spans="2:4">
      <c r="B47" s="62" t="s">
        <v>1604</v>
      </c>
      <c r="C47" s="62">
        <v>17</v>
      </c>
      <c r="D47" s="62">
        <v>2</v>
      </c>
    </row>
    <row r="48" spans="2:4">
      <c r="B48" s="62" t="s">
        <v>1604</v>
      </c>
      <c r="C48" s="62">
        <v>18</v>
      </c>
      <c r="D48" s="62">
        <v>2</v>
      </c>
    </row>
    <row r="49" spans="2:4">
      <c r="B49" s="62" t="s">
        <v>1604</v>
      </c>
      <c r="C49" s="62">
        <v>19</v>
      </c>
      <c r="D49" s="62">
        <v>2</v>
      </c>
    </row>
    <row r="50" spans="2:4">
      <c r="B50" s="62" t="s">
        <v>1604</v>
      </c>
      <c r="C50" s="62">
        <v>20</v>
      </c>
      <c r="D50" s="62">
        <v>2</v>
      </c>
    </row>
    <row r="51" spans="2:4">
      <c r="B51" s="62" t="s">
        <v>1604</v>
      </c>
      <c r="C51" s="62">
        <v>21</v>
      </c>
      <c r="D51" s="62">
        <v>2</v>
      </c>
    </row>
    <row r="52" spans="2:4">
      <c r="B52" s="62" t="s">
        <v>1604</v>
      </c>
      <c r="C52" s="62">
        <v>22</v>
      </c>
      <c r="D52" s="62">
        <v>2</v>
      </c>
    </row>
    <row r="53" spans="2:4">
      <c r="B53" s="62" t="s">
        <v>1604</v>
      </c>
      <c r="C53" s="62">
        <v>23</v>
      </c>
      <c r="D53" s="62">
        <v>2</v>
      </c>
    </row>
    <row r="54" spans="2:4">
      <c r="B54" s="62" t="s">
        <v>1604</v>
      </c>
      <c r="C54" s="62">
        <v>25</v>
      </c>
      <c r="D54" s="62">
        <v>2</v>
      </c>
    </row>
    <row r="55" spans="2:4">
      <c r="B55" s="62" t="s">
        <v>1604</v>
      </c>
      <c r="C55" s="62">
        <v>26</v>
      </c>
      <c r="D55" s="62">
        <v>2</v>
      </c>
    </row>
    <row r="56" spans="2:4">
      <c r="B56" s="62" t="s">
        <v>1604</v>
      </c>
      <c r="C56" s="62">
        <v>27</v>
      </c>
      <c r="D56" s="62">
        <v>2</v>
      </c>
    </row>
    <row r="57" spans="2:4">
      <c r="B57" s="62" t="s">
        <v>1604</v>
      </c>
      <c r="C57" s="62">
        <v>29</v>
      </c>
      <c r="D57" s="62">
        <v>3</v>
      </c>
    </row>
    <row r="58" spans="2:4">
      <c r="B58" s="62" t="s">
        <v>1604</v>
      </c>
      <c r="C58" s="62">
        <v>37</v>
      </c>
      <c r="D58" s="62">
        <v>3</v>
      </c>
    </row>
    <row r="59" spans="2:4">
      <c r="B59" s="62" t="s">
        <v>1604</v>
      </c>
      <c r="C59" s="62">
        <v>46</v>
      </c>
      <c r="D59" s="62">
        <v>4</v>
      </c>
    </row>
    <row r="60" spans="2:4">
      <c r="B60" s="62" t="s">
        <v>1604</v>
      </c>
      <c r="C60" s="62">
        <v>54</v>
      </c>
      <c r="D60" s="62">
        <v>4</v>
      </c>
    </row>
    <row r="61" spans="2:4">
      <c r="B61" s="62" t="s">
        <v>1604</v>
      </c>
      <c r="C61" s="62">
        <v>58</v>
      </c>
      <c r="D61" s="62">
        <v>5</v>
      </c>
    </row>
    <row r="62" spans="2:4">
      <c r="B62" s="62" t="s">
        <v>1604</v>
      </c>
      <c r="C62" s="62">
        <v>64</v>
      </c>
      <c r="D62" s="62">
        <v>5</v>
      </c>
    </row>
    <row r="63" spans="2:4">
      <c r="B63" s="62" t="s">
        <v>1604</v>
      </c>
      <c r="C63" s="62">
        <v>67</v>
      </c>
      <c r="D63" s="62">
        <v>6</v>
      </c>
    </row>
    <row r="64" spans="2:4">
      <c r="B64" s="62" t="s">
        <v>118</v>
      </c>
      <c r="C64" s="62">
        <v>6</v>
      </c>
      <c r="D64" s="62">
        <v>1</v>
      </c>
    </row>
    <row r="65" spans="2:4">
      <c r="B65" s="62" t="s">
        <v>118</v>
      </c>
      <c r="C65" s="62">
        <v>7</v>
      </c>
      <c r="D65" s="62">
        <v>1</v>
      </c>
    </row>
    <row r="66" spans="2:4">
      <c r="B66" s="62" t="s">
        <v>118</v>
      </c>
      <c r="C66" s="62">
        <v>8</v>
      </c>
      <c r="D66" s="62">
        <v>2</v>
      </c>
    </row>
    <row r="67" spans="2:4">
      <c r="B67" s="62" t="s">
        <v>118</v>
      </c>
      <c r="C67" s="62">
        <v>9</v>
      </c>
      <c r="D67" s="62">
        <v>2</v>
      </c>
    </row>
    <row r="68" spans="2:4">
      <c r="B68" s="62" t="s">
        <v>118</v>
      </c>
      <c r="C68" s="62">
        <v>11</v>
      </c>
      <c r="D68" s="62">
        <v>2</v>
      </c>
    </row>
    <row r="69" spans="2:4">
      <c r="B69" s="62" t="s">
        <v>118</v>
      </c>
      <c r="C69" s="62">
        <v>13</v>
      </c>
      <c r="D69" s="62">
        <v>2</v>
      </c>
    </row>
    <row r="70" spans="2:4">
      <c r="B70" s="62" t="s">
        <v>118</v>
      </c>
      <c r="C70" s="62">
        <v>14</v>
      </c>
      <c r="D70" s="62">
        <v>2</v>
      </c>
    </row>
    <row r="71" spans="2:4">
      <c r="B71" s="62" t="s">
        <v>118</v>
      </c>
      <c r="C71" s="62">
        <v>15</v>
      </c>
      <c r="D71" s="62">
        <v>3</v>
      </c>
    </row>
    <row r="72" spans="2:4">
      <c r="B72" s="62" t="s">
        <v>118</v>
      </c>
      <c r="C72" s="62">
        <v>16</v>
      </c>
      <c r="D72" s="62">
        <v>3</v>
      </c>
    </row>
    <row r="73" spans="2:4">
      <c r="B73" s="62" t="s">
        <v>118</v>
      </c>
      <c r="C73" s="62">
        <v>17</v>
      </c>
      <c r="D73" s="62">
        <v>3</v>
      </c>
    </row>
    <row r="74" spans="2:4">
      <c r="B74" s="62" t="s">
        <v>118</v>
      </c>
      <c r="C74" s="62">
        <v>18</v>
      </c>
      <c r="D74" s="62">
        <v>3</v>
      </c>
    </row>
    <row r="75" spans="2:4">
      <c r="B75" s="62" t="s">
        <v>118</v>
      </c>
      <c r="C75" s="62">
        <v>20</v>
      </c>
      <c r="D75" s="62">
        <v>4</v>
      </c>
    </row>
    <row r="76" spans="2:4">
      <c r="B76" s="62" t="s">
        <v>118</v>
      </c>
      <c r="C76" s="62">
        <v>21</v>
      </c>
      <c r="D76" s="62">
        <v>4</v>
      </c>
    </row>
    <row r="77" spans="2:4">
      <c r="B77" s="62" t="s">
        <v>118</v>
      </c>
      <c r="C77" s="62">
        <v>25</v>
      </c>
      <c r="D77" s="62">
        <v>4</v>
      </c>
    </row>
    <row r="78" spans="2:4">
      <c r="B78" s="62" t="s">
        <v>118</v>
      </c>
      <c r="C78" s="62">
        <v>34</v>
      </c>
      <c r="D78" s="62">
        <v>6</v>
      </c>
    </row>
    <row r="79" spans="2:4">
      <c r="B79" s="62" t="s">
        <v>118</v>
      </c>
      <c r="C79" s="62">
        <v>41</v>
      </c>
      <c r="D79" s="62">
        <v>7</v>
      </c>
    </row>
    <row r="80" spans="2:4">
      <c r="B80" s="62" t="s">
        <v>118</v>
      </c>
      <c r="C80" s="62">
        <v>45</v>
      </c>
      <c r="D80" s="62">
        <v>7</v>
      </c>
    </row>
    <row r="81" spans="2:4">
      <c r="B81" s="62" t="s">
        <v>115</v>
      </c>
      <c r="C81" s="62">
        <v>6</v>
      </c>
      <c r="D81" s="62">
        <v>1</v>
      </c>
    </row>
    <row r="82" spans="2:4">
      <c r="B82" s="62" t="s">
        <v>115</v>
      </c>
      <c r="C82" s="62">
        <v>7</v>
      </c>
      <c r="D82" s="62">
        <v>1</v>
      </c>
    </row>
    <row r="83" spans="2:4">
      <c r="B83" s="62" t="s">
        <v>115</v>
      </c>
      <c r="C83" s="62">
        <v>8</v>
      </c>
      <c r="D83" s="62">
        <v>2</v>
      </c>
    </row>
    <row r="84" spans="2:4">
      <c r="B84" s="62" t="s">
        <v>115</v>
      </c>
      <c r="C84" s="62">
        <v>10</v>
      </c>
      <c r="D84" s="62">
        <v>2</v>
      </c>
    </row>
    <row r="85" spans="2:4">
      <c r="B85" s="62" t="s">
        <v>115</v>
      </c>
      <c r="C85" s="62">
        <v>13</v>
      </c>
      <c r="D85" s="62">
        <v>2</v>
      </c>
    </row>
    <row r="86" spans="2:4">
      <c r="B86" s="62" t="s">
        <v>115</v>
      </c>
      <c r="C86" s="62">
        <v>14</v>
      </c>
      <c r="D86" s="62">
        <v>2</v>
      </c>
    </row>
    <row r="87" spans="2:4">
      <c r="B87" s="62" t="s">
        <v>115</v>
      </c>
      <c r="C87" s="62">
        <v>15</v>
      </c>
      <c r="D87" s="62">
        <v>3</v>
      </c>
    </row>
    <row r="88" spans="2:4">
      <c r="B88" s="62" t="s">
        <v>115</v>
      </c>
      <c r="C88" s="62">
        <v>16</v>
      </c>
      <c r="D88" s="62">
        <v>3</v>
      </c>
    </row>
    <row r="89" spans="2:4">
      <c r="B89" s="62" t="s">
        <v>115</v>
      </c>
      <c r="C89" s="62">
        <v>18</v>
      </c>
      <c r="D89" s="62">
        <v>3</v>
      </c>
    </row>
    <row r="90" spans="2:4">
      <c r="B90" s="62" t="s">
        <v>115</v>
      </c>
      <c r="C90" s="62">
        <v>19</v>
      </c>
      <c r="D90" s="62">
        <v>3</v>
      </c>
    </row>
    <row r="91" spans="2:4">
      <c r="B91" s="62" t="s">
        <v>115</v>
      </c>
      <c r="C91" s="62">
        <v>20</v>
      </c>
      <c r="D91" s="62">
        <v>4</v>
      </c>
    </row>
    <row r="92" spans="2:4">
      <c r="B92" s="62" t="s">
        <v>115</v>
      </c>
      <c r="C92" s="62">
        <v>21</v>
      </c>
      <c r="D92" s="62">
        <v>4</v>
      </c>
    </row>
    <row r="93" spans="2:4">
      <c r="B93" s="62" t="s">
        <v>115</v>
      </c>
      <c r="C93" s="62">
        <v>22</v>
      </c>
      <c r="D93" s="62">
        <v>4</v>
      </c>
    </row>
    <row r="94" spans="2:4">
      <c r="B94" s="62" t="s">
        <v>115</v>
      </c>
      <c r="C94" s="62">
        <v>23</v>
      </c>
      <c r="D94" s="62">
        <v>4</v>
      </c>
    </row>
    <row r="95" spans="2:4">
      <c r="B95" s="62" t="s">
        <v>115</v>
      </c>
      <c r="C95" s="62">
        <v>31</v>
      </c>
      <c r="D95" s="62">
        <v>5</v>
      </c>
    </row>
    <row r="96" spans="2:4">
      <c r="B96" s="62" t="s">
        <v>115</v>
      </c>
      <c r="C96" s="62">
        <v>35</v>
      </c>
      <c r="D96" s="62">
        <v>6</v>
      </c>
    </row>
    <row r="97" spans="2:4">
      <c r="B97" s="62" t="s">
        <v>115</v>
      </c>
      <c r="C97" s="62">
        <v>48</v>
      </c>
      <c r="D97" s="6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C117-DD6D-4E8D-8887-A76BB09FF027}">
  <dimension ref="B2:R261"/>
  <sheetViews>
    <sheetView rightToLeft="1" topLeftCell="A8" zoomScale="59" zoomScaleNormal="58" workbookViewId="0">
      <selection activeCell="K177" sqref="K177:K204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4" t="s">
        <v>1505</v>
      </c>
      <c r="C2" s="85"/>
      <c r="D2" s="85"/>
      <c r="E2" s="85"/>
      <c r="F2" s="85"/>
      <c r="G2" s="85"/>
      <c r="I2" s="22"/>
      <c r="J2" s="22"/>
      <c r="K2" s="22"/>
      <c r="L2" s="22"/>
    </row>
    <row r="3" spans="2:18">
      <c r="B3" s="23" t="s">
        <v>116</v>
      </c>
      <c r="C3" s="23" t="s">
        <v>1492</v>
      </c>
      <c r="D3" s="23" t="s">
        <v>1499</v>
      </c>
      <c r="E3" s="23" t="s">
        <v>1506</v>
      </c>
      <c r="F3" s="23" t="s">
        <v>3</v>
      </c>
      <c r="G3" s="23" t="s">
        <v>1507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COUNTIFS($C$14:$C$204,المدخلات!$AC$6,$G$14:$G$204,"&gt;="&amp;الحد_الأدنى)</f>
        <v>20</v>
      </c>
      <c r="F4" s="41">
        <f>SUMIFS($G$14:$G$204,$C$14:$C$204,المدخلات!$AC$6,$G$14:$G$204,"&gt;="&amp;الحد_الأدنى)</f>
        <v>240</v>
      </c>
      <c r="G4" s="42">
        <f>SUMIFS($K$14:$K$204,$C$14:$C$204,المدخلات!$AC$6)</f>
        <v>16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COUNTIFS($C$14:$C$204,المدخلات!$AC$7,$G$14:$G$204,"&gt;="&amp;الحد_الأدنى)</f>
        <v>23</v>
      </c>
      <c r="F5" s="41">
        <f>SUMIFS($G$14:$G$204,$C$14:$C$204,المدخلات!$AC$7,$G$14:$G$204,"&gt;="&amp;الحد_الأدنى)</f>
        <v>347</v>
      </c>
      <c r="G5" s="42">
        <f>SUMIFS($K$14:$K$204,$C$14:$C$204,المدخلات!$AC$7)</f>
        <v>21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COUNTIFS($C$14:$C$204,المدخلات!$AC$8,$G$14:$G$204,"&gt;="&amp;الحد_الأدنى)</f>
        <v>25</v>
      </c>
      <c r="F6" s="41">
        <f>SUMIFS($G$14:$G$204,$C$14:$C$204,المدخلات!$AC$8,$G$14:$G$204,"&gt;="&amp;الحد_الأدنى)</f>
        <v>398</v>
      </c>
      <c r="G6" s="42">
        <f>SUMIFS($K$14:$K$204,$C$14:$C$204,المدخلات!$AC$8)</f>
        <v>31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COUNTIFS($C$14:$C$204,المدخلات!$AC$9,$G$14:$G$204,"&gt;="&amp;الحد_الأدنى)</f>
        <v>24</v>
      </c>
      <c r="F7" s="41">
        <f>SUMIFS($G$14:$G$204,$C$14:$C$204,المدخلات!$AC$9,$G$14:$G$204,"&gt;="&amp;الحد_الأدنى)</f>
        <v>369</v>
      </c>
      <c r="G7" s="42">
        <f>SUMIFS($K$14:$K$204,$C$14:$C$204,المدخلات!$AC$9)</f>
        <v>21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COUNTIFS($C$14:$C$204,المدخلات!$AC$10,$G$14:$G$204,"&gt;="&amp;الحد_الأدنى)</f>
        <v>27</v>
      </c>
      <c r="F8" s="41">
        <f>SUMIFS($G$14:$G$204,$C$14:$C$204,المدخلات!$AC$10,$G$14:$G$204,"&gt;="&amp;الحد_الأدنى)</f>
        <v>392</v>
      </c>
      <c r="G8" s="42">
        <f>SUMIFS($K$14:$K$204,$C$14:$C$204,المدخلات!$AC$10)</f>
        <v>33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COUNTIFS($C$14:$C$204,المدخلات!$AC$11,$G$14:$G$204,"&gt;="&amp;الحد_الأدنى)</f>
        <v>27</v>
      </c>
      <c r="F9" s="41">
        <f>SUMIFS($G$14:$G$204,$C$14:$C$204,المدخلات!$AC$11,$G$14:$G$204,"&gt;="&amp;الحد_الأدنى)</f>
        <v>403</v>
      </c>
      <c r="G9" s="42">
        <f>SUMIFS($K$14:$K$204,$C$14:$C$204,المدخلات!$AC$11)</f>
        <v>35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COUNTIFS($C$14:$C$204,المدخلات!$AC$12,$G$14:$G$204,"&gt;="&amp;الحد_الأدنى)</f>
        <v>25</v>
      </c>
      <c r="F10" s="41">
        <f>SUMIFS($G$14:$G$204,$C$14:$C$204,المدخلات!$AC$12,$G$14:$G$204,"&gt;="&amp;الحد_الأدنى)</f>
        <v>376</v>
      </c>
      <c r="G10" s="42">
        <f>SUMIFS($K$14:$K$204,$C$14:$C$204,المدخلات!$AC$12)</f>
        <v>36</v>
      </c>
      <c r="I10" s="22"/>
      <c r="J10" s="22"/>
      <c r="K10" s="22"/>
      <c r="L10" s="22"/>
    </row>
    <row r="11" spans="2:18">
      <c r="B11" s="26" t="s">
        <v>1497</v>
      </c>
      <c r="C11" s="26"/>
      <c r="D11" s="26"/>
      <c r="E11" s="25">
        <f>SUM(E4:E10)</f>
        <v>171</v>
      </c>
      <c r="F11" s="25">
        <f>SUM(F4:F10)</f>
        <v>2525</v>
      </c>
      <c r="G11" s="27">
        <f>SUM(G4:G10)</f>
        <v>193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8" t="s">
        <v>129</v>
      </c>
      <c r="C13" s="79" t="s">
        <v>116</v>
      </c>
      <c r="D13" s="79" t="s">
        <v>1492</v>
      </c>
      <c r="E13" s="79" t="s">
        <v>0</v>
      </c>
      <c r="F13" s="79" t="s">
        <v>6</v>
      </c>
      <c r="G13" s="79" t="s">
        <v>3</v>
      </c>
      <c r="H13" s="79" t="s">
        <v>1499</v>
      </c>
      <c r="I13" s="79" t="s">
        <v>1496</v>
      </c>
      <c r="J13" s="79" t="s">
        <v>1504</v>
      </c>
      <c r="K13" s="79" t="s">
        <v>1503</v>
      </c>
      <c r="L13" s="22"/>
      <c r="M13" s="22"/>
      <c r="N13" s="22"/>
      <c r="O13" s="22"/>
      <c r="P13" s="22"/>
      <c r="Q13" s="22"/>
      <c r="R13" s="22"/>
    </row>
    <row r="14" spans="2:18" hidden="1">
      <c r="B14" s="77" t="str">
        <f>'عدد اللاعبين'!B3</f>
        <v/>
      </c>
      <c r="C14" s="72" t="e">
        <f>'عدد اللاعبين'!C3</f>
        <v>#REF!</v>
      </c>
      <c r="D14" s="72" t="str">
        <f>IFERROR(INDEX(المدخلات!$AD$6:$AD$12,MATCH($C14,المدخلات!$AC$6:$AC$12,0)),"")</f>
        <v/>
      </c>
      <c r="E14" s="72" t="e">
        <f>'عدد اللاعبين'!D3</f>
        <v>#REF!</v>
      </c>
      <c r="F14" s="73" t="str">
        <f>'عدد اللاعبين'!F3</f>
        <v>نجران</v>
      </c>
      <c r="G14" s="74">
        <f>'عدد اللاعبين'!G3</f>
        <v>5</v>
      </c>
      <c r="H14" s="72" t="str">
        <f>IFERROR(INDEX(المدخلات!$AE$6:$AE$12,MATCH($C14,المدخلات!$AC$6:$AC$12,0)),"")</f>
        <v/>
      </c>
      <c r="I14" s="74">
        <f t="shared" ref="I14:I77" si="0">IF($G14&lt;الحد_الأدنى,0,ROUNDDOWN($G14/فرق_المباراة,0))</f>
        <v>0</v>
      </c>
      <c r="J14" s="74">
        <f>ROUNDUP($I14/IFERROR(INDEX(المدخلات!$AJ$6:$AJ$12,MATCH($C14,المدخلات!$AC$6:$AC$12,0)),1),0)</f>
        <v>0</v>
      </c>
      <c r="K14" s="74">
        <f>IF($G14&lt;الحد_الأدنى,0,IFERROR(SUMIFS(Sheet1!$D$3:$D$97,Sheet1!$B$3:$B$97,INDEX(Sheet1!$G$3:$G$9,MATCH($C14,Sheet1!$F$3:$F$9,0)),Sheet1!$C$3:$C$97,$G14),0))</f>
        <v>0</v>
      </c>
      <c r="L14" s="22"/>
      <c r="M14" s="22"/>
      <c r="N14" s="22"/>
      <c r="O14" s="22"/>
      <c r="P14" s="22"/>
      <c r="Q14" s="22"/>
      <c r="R14" s="22"/>
    </row>
    <row r="15" spans="2:18" hidden="1">
      <c r="B15" s="77" t="str">
        <f>'عدد اللاعبين'!B4</f>
        <v/>
      </c>
      <c r="C15" s="72" t="e">
        <f>'عدد اللاعبين'!C4</f>
        <v>#REF!</v>
      </c>
      <c r="D15" s="72" t="str">
        <f>IFERROR(INDEX(المدخلات!$AD$6:$AD$12,MATCH($C15,المدخلات!$AC$6:$AC$12,0)),"")</f>
        <v/>
      </c>
      <c r="E15" s="72" t="e">
        <f>'عدد اللاعبين'!D4</f>
        <v>#REF!</v>
      </c>
      <c r="F15" s="73" t="str">
        <f>'عدد اللاعبين'!F4</f>
        <v>طبرجل</v>
      </c>
      <c r="G15" s="74">
        <f>'عدد اللاعبين'!G4</f>
        <v>5</v>
      </c>
      <c r="H15" s="72" t="str">
        <f>IFERROR(INDEX(المدخلات!$AE$6:$AE$12,MATCH($C15,المدخلات!$AC$6:$AC$12,0)),"")</f>
        <v/>
      </c>
      <c r="I15" s="74">
        <f t="shared" si="0"/>
        <v>0</v>
      </c>
      <c r="J15" s="74">
        <f>ROUNDUP($I15/IFERROR(INDEX(المدخلات!$AJ$6:$AJ$12,MATCH($C15,المدخلات!$AC$6:$AC$12,0)),1),0)</f>
        <v>0</v>
      </c>
      <c r="K15" s="74">
        <f>IF($G15&lt;الحد_الأدنى,0,IFERROR(SUMIFS(Sheet1!$D$3:$D$97,Sheet1!$B$3:$B$97,INDEX(Sheet1!$G$3:$G$9,MATCH($C15,Sheet1!$F$3:$F$9,0)),Sheet1!$C$3:$C$97,$G15),0))</f>
        <v>0</v>
      </c>
      <c r="L15" s="22"/>
      <c r="M15" s="22"/>
      <c r="N15" s="22"/>
      <c r="O15" s="22"/>
      <c r="P15" s="22"/>
      <c r="Q15" s="22"/>
      <c r="R15" s="22"/>
    </row>
    <row r="16" spans="2:18" hidden="1">
      <c r="B16" s="77" t="str">
        <f>'عدد اللاعبين'!B5</f>
        <v/>
      </c>
      <c r="C16" s="72" t="e">
        <f>'عدد اللاعبين'!C5</f>
        <v>#REF!</v>
      </c>
      <c r="D16" s="72" t="str">
        <f>IFERROR(INDEX(المدخلات!$AD$6:$AD$12,MATCH($C16,المدخلات!$AC$6:$AC$12,0)),"")</f>
        <v/>
      </c>
      <c r="E16" s="72" t="e">
        <f>'عدد اللاعبين'!D5</f>
        <v>#REF!</v>
      </c>
      <c r="F16" s="73" t="str">
        <f>'عدد اللاعبين'!F5</f>
        <v>طبرجل</v>
      </c>
      <c r="G16" s="74">
        <f>'عدد اللاعبين'!G5</f>
        <v>5</v>
      </c>
      <c r="H16" s="72" t="str">
        <f>IFERROR(INDEX(المدخلات!$AE$6:$AE$12,MATCH($C16,المدخلات!$AC$6:$AC$12,0)),"")</f>
        <v/>
      </c>
      <c r="I16" s="74">
        <f t="shared" si="0"/>
        <v>0</v>
      </c>
      <c r="J16" s="74">
        <f>ROUNDUP($I16/IFERROR(INDEX(المدخلات!$AJ$6:$AJ$12,MATCH($C16,المدخلات!$AC$6:$AC$12,0)),1),0)</f>
        <v>0</v>
      </c>
      <c r="K16" s="74">
        <f>IF($G16&lt;الحد_الأدنى,0,IFERROR(SUMIFS(Sheet1!$D$3:$D$97,Sheet1!$B$3:$B$97,INDEX(Sheet1!$G$3:$G$9,MATCH($C16,Sheet1!$F$3:$F$9,0)),Sheet1!$C$3:$C$97,$G16),0))</f>
        <v>0</v>
      </c>
      <c r="L16" s="22"/>
      <c r="M16" s="22"/>
      <c r="N16" s="22"/>
      <c r="O16" s="22"/>
      <c r="P16" s="22"/>
      <c r="Q16" s="22"/>
      <c r="R16" s="22"/>
    </row>
    <row r="17" spans="2:18" hidden="1">
      <c r="B17" s="77" t="str">
        <f>'عدد اللاعبين'!B6</f>
        <v/>
      </c>
      <c r="C17" s="72" t="e">
        <f>'عدد اللاعبين'!C6</f>
        <v>#REF!</v>
      </c>
      <c r="D17" s="72" t="str">
        <f>IFERROR(INDEX(المدخلات!$AD$6:$AD$12,MATCH($C17,المدخلات!$AC$6:$AC$12,0)),"")</f>
        <v/>
      </c>
      <c r="E17" s="72" t="e">
        <f>'عدد اللاعبين'!D6</f>
        <v>#REF!</v>
      </c>
      <c r="F17" s="73" t="str">
        <f>'عدد اللاعبين'!F6</f>
        <v>الخرج</v>
      </c>
      <c r="G17" s="74">
        <f>'عدد اللاعبين'!G6</f>
        <v>5</v>
      </c>
      <c r="H17" s="72" t="str">
        <f>IFERROR(INDEX(المدخلات!$AE$6:$AE$12,MATCH($C17,المدخلات!$AC$6:$AC$12,0)),"")</f>
        <v/>
      </c>
      <c r="I17" s="74">
        <f t="shared" si="0"/>
        <v>0</v>
      </c>
      <c r="J17" s="74">
        <f>ROUNDUP($I17/IFERROR(INDEX(المدخلات!$AJ$6:$AJ$12,MATCH($C17,المدخلات!$AC$6:$AC$12,0)),1),0)</f>
        <v>0</v>
      </c>
      <c r="K17" s="74">
        <f>IF($G17&lt;الحد_الأدنى,0,IFERROR(SUMIFS(Sheet1!$D$3:$D$97,Sheet1!$B$3:$B$97,INDEX(Sheet1!$G$3:$G$9,MATCH($C17,Sheet1!$F$3:$F$9,0)),Sheet1!$C$3:$C$97,$G17),0))</f>
        <v>0</v>
      </c>
      <c r="L17" s="22"/>
      <c r="M17" s="22"/>
      <c r="N17" s="22"/>
      <c r="O17" s="22"/>
      <c r="P17" s="22"/>
      <c r="Q17" s="22"/>
      <c r="R17" s="22"/>
    </row>
    <row r="18" spans="2:18" hidden="1">
      <c r="B18" s="77" t="str">
        <f>'عدد اللاعبين'!B7</f>
        <v/>
      </c>
      <c r="C18" s="72" t="e">
        <f>'عدد اللاعبين'!C7</f>
        <v>#REF!</v>
      </c>
      <c r="D18" s="72" t="str">
        <f>IFERROR(INDEX(المدخلات!$AD$6:$AD$12,MATCH($C18,المدخلات!$AC$6:$AC$12,0)),"")</f>
        <v/>
      </c>
      <c r="E18" s="72" t="e">
        <f>'عدد اللاعبين'!D7</f>
        <v>#REF!</v>
      </c>
      <c r="F18" s="73" t="str">
        <f>'عدد اللاعبين'!F7</f>
        <v>طبرجل</v>
      </c>
      <c r="G18" s="74">
        <f>'عدد اللاعبين'!G7</f>
        <v>5</v>
      </c>
      <c r="H18" s="72" t="str">
        <f>IFERROR(INDEX(المدخلات!$AE$6:$AE$12,MATCH($C18,المدخلات!$AC$6:$AC$12,0)),"")</f>
        <v/>
      </c>
      <c r="I18" s="74">
        <f t="shared" si="0"/>
        <v>0</v>
      </c>
      <c r="J18" s="74">
        <f>ROUNDUP($I18/IFERROR(INDEX(المدخلات!$AJ$6:$AJ$12,MATCH($C18,المدخلات!$AC$6:$AC$12,0)),1),0)</f>
        <v>0</v>
      </c>
      <c r="K18" s="74">
        <f>IF($G18&lt;الحد_الأدنى,0,IFERROR(SUMIFS(Sheet1!$D$3:$D$97,Sheet1!$B$3:$B$97,INDEX(Sheet1!$G$3:$G$9,MATCH($C18,Sheet1!$F$3:$F$9,0)),Sheet1!$C$3:$C$97,$G18),0))</f>
        <v>0</v>
      </c>
      <c r="L18" s="22"/>
      <c r="M18" s="22"/>
      <c r="N18" s="22"/>
      <c r="O18" s="22"/>
      <c r="P18" s="22"/>
      <c r="Q18" s="22"/>
      <c r="R18" s="22"/>
    </row>
    <row r="19" spans="2:18" hidden="1">
      <c r="B19" s="77" t="str">
        <f>'عدد اللاعبين'!B8</f>
        <v/>
      </c>
      <c r="C19" s="72" t="e">
        <f>'عدد اللاعبين'!C8</f>
        <v>#REF!</v>
      </c>
      <c r="D19" s="72" t="str">
        <f>IFERROR(INDEX(المدخلات!$AD$6:$AD$12,MATCH($C19,المدخلات!$AC$6:$AC$12,0)),"")</f>
        <v/>
      </c>
      <c r="E19" s="72" t="e">
        <f>'عدد اللاعبين'!D8</f>
        <v>#REF!</v>
      </c>
      <c r="F19" s="73" t="str">
        <f>'عدد اللاعبين'!F8</f>
        <v>طبرجل</v>
      </c>
      <c r="G19" s="74">
        <f>'عدد اللاعبين'!G8</f>
        <v>5</v>
      </c>
      <c r="H19" s="72" t="str">
        <f>IFERROR(INDEX(المدخلات!$AE$6:$AE$12,MATCH($C19,المدخلات!$AC$6:$AC$12,0)),"")</f>
        <v/>
      </c>
      <c r="I19" s="74">
        <f t="shared" si="0"/>
        <v>0</v>
      </c>
      <c r="J19" s="74">
        <f>ROUNDUP($I19/IFERROR(INDEX(المدخلات!$AJ$6:$AJ$12,MATCH($C19,المدخلات!$AC$6:$AC$12,0)),1),0)</f>
        <v>0</v>
      </c>
      <c r="K19" s="74">
        <f>IF($G19&lt;الحد_الأدنى,0,IFERROR(SUMIFS(Sheet1!$D$3:$D$97,Sheet1!$B$3:$B$97,INDEX(Sheet1!$G$3:$G$9,MATCH($C19,Sheet1!$F$3:$F$9,0)),Sheet1!$C$3:$C$97,$G19),0))</f>
        <v>0</v>
      </c>
      <c r="L19" s="22"/>
      <c r="M19" s="22"/>
      <c r="N19" s="22"/>
      <c r="O19" s="22"/>
      <c r="P19" s="22"/>
      <c r="Q19" s="22"/>
      <c r="R19" s="22"/>
    </row>
    <row r="20" spans="2:18" hidden="1">
      <c r="B20" s="77" t="str">
        <f>'عدد اللاعبين'!B9</f>
        <v/>
      </c>
      <c r="C20" s="72" t="e">
        <f>'عدد اللاعبين'!C9</f>
        <v>#REF!</v>
      </c>
      <c r="D20" s="72" t="str">
        <f>IFERROR(INDEX(المدخلات!$AD$6:$AD$12,MATCH($C20,المدخلات!$AC$6:$AC$12,0)),"")</f>
        <v/>
      </c>
      <c r="E20" s="72" t="e">
        <f>'عدد اللاعبين'!D9</f>
        <v>#REF!</v>
      </c>
      <c r="F20" s="73" t="str">
        <f>'عدد اللاعبين'!F9</f>
        <v>شرورة</v>
      </c>
      <c r="G20" s="74">
        <f>'عدد اللاعبين'!G9</f>
        <v>5</v>
      </c>
      <c r="H20" s="72" t="str">
        <f>IFERROR(INDEX(المدخلات!$AE$6:$AE$12,MATCH($C20,المدخلات!$AC$6:$AC$12,0)),"")</f>
        <v/>
      </c>
      <c r="I20" s="74">
        <f t="shared" si="0"/>
        <v>0</v>
      </c>
      <c r="J20" s="74">
        <f>ROUNDUP($I20/IFERROR(INDEX(المدخلات!$AJ$6:$AJ$12,MATCH($C20,المدخلات!$AC$6:$AC$12,0)),1),0)</f>
        <v>0</v>
      </c>
      <c r="K20" s="74">
        <f>IF($G20&lt;الحد_الأدنى,0,IFERROR(SUMIFS(Sheet1!$D$3:$D$97,Sheet1!$B$3:$B$97,INDEX(Sheet1!$G$3:$G$9,MATCH($C20,Sheet1!$F$3:$F$9,0)),Sheet1!$C$3:$C$97,$G20),0))</f>
        <v>0</v>
      </c>
      <c r="L20" s="22"/>
      <c r="M20" s="22"/>
      <c r="N20" s="22"/>
      <c r="O20" s="22"/>
      <c r="P20" s="22"/>
      <c r="Q20" s="22"/>
      <c r="R20" s="22"/>
    </row>
    <row r="21" spans="2:18" hidden="1">
      <c r="B21" s="77" t="str">
        <f>'عدد اللاعبين'!B10</f>
        <v>نجران</v>
      </c>
      <c r="C21" s="72" t="str">
        <f>'عدد اللاعبين'!C10</f>
        <v>تحت 14</v>
      </c>
      <c r="D21" s="72" t="str">
        <f>IFERROR(INDEX(المدخلات!$AD$6:$AD$12,MATCH($C21,المدخلات!$AC$6:$AC$12,0)),"")</f>
        <v>الأربعاء</v>
      </c>
      <c r="E21" s="72" t="str">
        <f>'عدد اللاعبين'!D10</f>
        <v>مجموعة نجران</v>
      </c>
      <c r="F21" s="73" t="str">
        <f>'عدد اللاعبين'!F10</f>
        <v>شرورة</v>
      </c>
      <c r="G21" s="74">
        <f>'عدد اللاعبين'!G10</f>
        <v>5</v>
      </c>
      <c r="H21" s="72" t="str">
        <f>IFERROR(INDEX(المدخلات!$AE$6:$AE$12,MATCH($C21,المدخلات!$AC$6:$AC$12,0)),"")</f>
        <v>قانوني</v>
      </c>
      <c r="I21" s="74">
        <f t="shared" si="0"/>
        <v>0</v>
      </c>
      <c r="J21" s="74">
        <f>ROUNDUP($I21/IFERROR(INDEX(المدخلات!$AJ$6:$AJ$12,MATCH($C21,المدخلات!$AC$6:$AC$12,0)),1),0)</f>
        <v>0</v>
      </c>
      <c r="K21" s="74">
        <f>IF($G21&lt;الحد_الأدنى,0,IFERROR(SUMIFS(Sheet1!$D$3:$D$97,Sheet1!$B$3:$B$97,INDEX(Sheet1!$G$3:$G$9,MATCH($C21,Sheet1!$F$3:$F$9,0)),Sheet1!$C$3:$C$97,$G21),0))</f>
        <v>0</v>
      </c>
      <c r="L21" s="22"/>
      <c r="M21" s="22"/>
      <c r="N21" s="22"/>
      <c r="O21" s="22"/>
      <c r="P21" s="22"/>
      <c r="Q21" s="22"/>
      <c r="R21" s="22"/>
    </row>
    <row r="22" spans="2:18" hidden="1">
      <c r="B22" s="77" t="str">
        <f>'عدد اللاعبين'!B11</f>
        <v>الجوف</v>
      </c>
      <c r="C22" s="72" t="str">
        <f>'عدد اللاعبين'!C11</f>
        <v>تحت 5</v>
      </c>
      <c r="D22" s="72" t="str">
        <f>IFERROR(INDEX(المدخلات!$AD$6:$AD$12,MATCH($C22,المدخلات!$AC$6:$AC$12,0)),"")</f>
        <v>السبت</v>
      </c>
      <c r="E22" s="72" t="str">
        <f>'عدد اللاعبين'!D11</f>
        <v>مجموعة طبرجل</v>
      </c>
      <c r="F22" s="73" t="str">
        <f>'عدد اللاعبين'!F11</f>
        <v>الدوادمي</v>
      </c>
      <c r="G22" s="74">
        <f>'عدد اللاعبين'!G11</f>
        <v>5</v>
      </c>
      <c r="H22" s="72" t="str">
        <f>IFERROR(INDEX(المدخلات!$AE$6:$AE$12,MATCH($C22,المدخلات!$AC$6:$AC$12,0)),"")</f>
        <v>5 ضد 5</v>
      </c>
      <c r="I22" s="74">
        <f t="shared" si="0"/>
        <v>0</v>
      </c>
      <c r="J22" s="74">
        <f>ROUNDUP($I22/IFERROR(INDEX(المدخلات!$AJ$6:$AJ$12,MATCH($C22,المدخلات!$AC$6:$AC$12,0)),1),0)</f>
        <v>0</v>
      </c>
      <c r="K22" s="74">
        <f>IF($G22&lt;الحد_الأدنى,0,IFERROR(SUMIFS(Sheet1!$D$3:$D$97,Sheet1!$B$3:$B$97,INDEX(Sheet1!$G$3:$G$9,MATCH($C22,Sheet1!$F$3:$F$9,0)),Sheet1!$C$3:$C$97,$G22),0))</f>
        <v>0</v>
      </c>
      <c r="L22" s="22"/>
      <c r="M22" s="22"/>
      <c r="N22" s="22"/>
      <c r="O22" s="22"/>
      <c r="P22" s="22"/>
      <c r="Q22" s="22"/>
      <c r="R22" s="22"/>
    </row>
    <row r="23" spans="2:18" hidden="1">
      <c r="B23" s="77" t="str">
        <f>'عدد اللاعبين'!B12</f>
        <v>الجوف</v>
      </c>
      <c r="C23" s="72" t="str">
        <f>'عدد اللاعبين'!C12</f>
        <v>تحت 7</v>
      </c>
      <c r="D23" s="72" t="str">
        <f>IFERROR(INDEX(المدخلات!$AD$6:$AD$12,MATCH($C23,المدخلات!$AC$6:$AC$12,0)),"")</f>
        <v>السبت</v>
      </c>
      <c r="E23" s="72" t="str">
        <f>'عدد اللاعبين'!D12</f>
        <v>مجموعة طبرجل</v>
      </c>
      <c r="F23" s="73" t="str">
        <f>'عدد اللاعبين'!F12</f>
        <v>القريات</v>
      </c>
      <c r="G23" s="74">
        <f>'عدد اللاعبين'!G12</f>
        <v>5</v>
      </c>
      <c r="H23" s="72" t="str">
        <f>IFERROR(INDEX(المدخلات!$AE$6:$AE$12,MATCH($C23,المدخلات!$AC$6:$AC$12,0)),"")</f>
        <v>7 ضد 7</v>
      </c>
      <c r="I23" s="74">
        <f t="shared" si="0"/>
        <v>0</v>
      </c>
      <c r="J23" s="74">
        <f>ROUNDUP($I23/IFERROR(INDEX(المدخلات!$AJ$6:$AJ$12,MATCH($C23,المدخلات!$AC$6:$AC$12,0)),1),0)</f>
        <v>0</v>
      </c>
      <c r="K23" s="74">
        <f>IF($G23&lt;الحد_الأدنى,0,IFERROR(SUMIFS(Sheet1!$D$3:$D$97,Sheet1!$B$3:$B$97,INDEX(Sheet1!$G$3:$G$9,MATCH($C23,Sheet1!$F$3:$F$9,0)),Sheet1!$C$3:$C$97,$G23),0))</f>
        <v>0</v>
      </c>
      <c r="L23" s="22"/>
      <c r="M23" s="22"/>
      <c r="N23" s="22"/>
      <c r="O23" s="22"/>
      <c r="P23" s="22"/>
      <c r="Q23" s="22"/>
      <c r="R23" s="22"/>
    </row>
    <row r="24" spans="2:18" hidden="1">
      <c r="B24" s="77" t="str">
        <f>'عدد اللاعبين'!B13</f>
        <v>الرياض</v>
      </c>
      <c r="C24" s="72" t="str">
        <f>'عدد اللاعبين'!C13</f>
        <v>تحت 9</v>
      </c>
      <c r="D24" s="72" t="str">
        <f>IFERROR(INDEX(المدخلات!$AD$6:$AD$12,MATCH($C24,المدخلات!$AC$6:$AC$12,0)),"")</f>
        <v>السبت</v>
      </c>
      <c r="E24" s="72" t="str">
        <f>'عدد اللاعبين'!D13</f>
        <v>مجموعة الخرج</v>
      </c>
      <c r="F24" s="73" t="str">
        <f>'عدد اللاعبين'!F13</f>
        <v>القريات</v>
      </c>
      <c r="G24" s="74">
        <f>'عدد اللاعبين'!G13</f>
        <v>5</v>
      </c>
      <c r="H24" s="72" t="str">
        <f>IFERROR(INDEX(المدخلات!$AE$6:$AE$12,MATCH($C24,المدخلات!$AC$6:$AC$12,0)),"")</f>
        <v>7 ضد 7</v>
      </c>
      <c r="I24" s="74">
        <f t="shared" si="0"/>
        <v>0</v>
      </c>
      <c r="J24" s="74">
        <f>ROUNDUP($I24/IFERROR(INDEX(المدخلات!$AJ$6:$AJ$12,MATCH($C24,المدخلات!$AC$6:$AC$12,0)),1),0)</f>
        <v>0</v>
      </c>
      <c r="K24" s="74">
        <f>IF($G24&lt;الحد_الأدنى,0,IFERROR(SUMIFS(Sheet1!$D$3:$D$97,Sheet1!$B$3:$B$97,INDEX(Sheet1!$G$3:$G$9,MATCH($C24,Sheet1!$F$3:$F$9,0)),Sheet1!$C$3:$C$97,$G24),0))</f>
        <v>0</v>
      </c>
      <c r="L24" s="22"/>
      <c r="M24" s="22"/>
      <c r="N24" s="22"/>
      <c r="O24" s="22"/>
      <c r="P24" s="22"/>
      <c r="Q24" s="22"/>
      <c r="R24" s="22"/>
    </row>
    <row r="25" spans="2:18" hidden="1">
      <c r="B25" s="77" t="str">
        <f>'عدد اللاعبين'!B14</f>
        <v>الجوف</v>
      </c>
      <c r="C25" s="72" t="str">
        <f>'عدد اللاعبين'!C14</f>
        <v>تحت 12</v>
      </c>
      <c r="D25" s="72" t="str">
        <f>IFERROR(INDEX(المدخلات!$AD$6:$AD$12,MATCH($C25,المدخلات!$AC$6:$AC$12,0)),"")</f>
        <v>الاثنين</v>
      </c>
      <c r="E25" s="72" t="str">
        <f>'عدد اللاعبين'!D14</f>
        <v>مجموعة طبرجل</v>
      </c>
      <c r="F25" s="73" t="str">
        <f>'عدد اللاعبين'!F14</f>
        <v>القريات</v>
      </c>
      <c r="G25" s="74">
        <f>'عدد اللاعبين'!G14</f>
        <v>5</v>
      </c>
      <c r="H25" s="72" t="str">
        <f>IFERROR(INDEX(المدخلات!$AE$6:$AE$12,MATCH($C25,المدخلات!$AC$6:$AC$12,0)),"")</f>
        <v>7 ضد 7</v>
      </c>
      <c r="I25" s="74">
        <f t="shared" si="0"/>
        <v>0</v>
      </c>
      <c r="J25" s="74">
        <f>ROUNDUP($I25/IFERROR(INDEX(المدخلات!$AJ$6:$AJ$12,MATCH($C25,المدخلات!$AC$6:$AC$12,0)),1),0)</f>
        <v>0</v>
      </c>
      <c r="K25" s="74">
        <f>IF($G25&lt;الحد_الأدنى,0,IFERROR(SUMIFS(Sheet1!$D$3:$D$97,Sheet1!$B$3:$B$97,INDEX(Sheet1!$G$3:$G$9,MATCH($C25,Sheet1!$F$3:$F$9,0)),Sheet1!$C$3:$C$97,$G25),0))</f>
        <v>0</v>
      </c>
      <c r="L25" s="22"/>
      <c r="M25" s="22"/>
      <c r="N25" s="22"/>
      <c r="O25" s="22"/>
      <c r="P25" s="22"/>
      <c r="Q25" s="22"/>
      <c r="R25" s="22"/>
    </row>
    <row r="26" spans="2:18" hidden="1">
      <c r="B26" s="77" t="str">
        <f>'عدد اللاعبين'!B15</f>
        <v>الجوف</v>
      </c>
      <c r="C26" s="72" t="str">
        <f>'عدد اللاعبين'!C15</f>
        <v>تحت 14</v>
      </c>
      <c r="D26" s="72" t="str">
        <f>IFERROR(INDEX(المدخلات!$AD$6:$AD$12,MATCH($C26,المدخلات!$AC$6:$AC$12,0)),"")</f>
        <v>الأربعاء</v>
      </c>
      <c r="E26" s="72" t="str">
        <f>'عدد اللاعبين'!D15</f>
        <v>مجموعة طبرجل</v>
      </c>
      <c r="F26" s="73" t="str">
        <f>'عدد اللاعبين'!F15</f>
        <v>القريات</v>
      </c>
      <c r="G26" s="74">
        <f>'عدد اللاعبين'!G15</f>
        <v>5</v>
      </c>
      <c r="H26" s="72" t="str">
        <f>IFERROR(INDEX(المدخلات!$AE$6:$AE$12,MATCH($C26,المدخلات!$AC$6:$AC$12,0)),"")</f>
        <v>قانوني</v>
      </c>
      <c r="I26" s="74">
        <f t="shared" si="0"/>
        <v>0</v>
      </c>
      <c r="J26" s="74">
        <f>ROUNDUP($I26/IFERROR(INDEX(المدخلات!$AJ$6:$AJ$12,MATCH($C26,المدخلات!$AC$6:$AC$12,0)),1),0)</f>
        <v>0</v>
      </c>
      <c r="K26" s="74">
        <f>IF($G26&lt;الحد_الأدنى,0,IFERROR(SUMIFS(Sheet1!$D$3:$D$97,Sheet1!$B$3:$B$97,INDEX(Sheet1!$G$3:$G$9,MATCH($C26,Sheet1!$F$3:$F$9,0)),Sheet1!$C$3:$C$97,$G26),0))</f>
        <v>0</v>
      </c>
      <c r="L26" s="22"/>
      <c r="M26" s="22"/>
      <c r="N26" s="22"/>
      <c r="O26" s="22"/>
      <c r="P26" s="22"/>
      <c r="Q26" s="22"/>
      <c r="R26" s="22"/>
    </row>
    <row r="27" spans="2:18" hidden="1">
      <c r="B27" s="77" t="str">
        <f>'عدد اللاعبين'!B16</f>
        <v>نجران</v>
      </c>
      <c r="C27" s="72" t="str">
        <f>'عدد اللاعبين'!C16</f>
        <v>تحت 7</v>
      </c>
      <c r="D27" s="72" t="str">
        <f>IFERROR(INDEX(المدخلات!$AD$6:$AD$12,MATCH($C27,المدخلات!$AC$6:$AC$12,0)),"")</f>
        <v>السبت</v>
      </c>
      <c r="E27" s="72" t="str">
        <f>'عدد اللاعبين'!D16</f>
        <v>مجموعة شرورة</v>
      </c>
      <c r="F27" s="73" t="str">
        <f>'عدد اللاعبين'!F16</f>
        <v>الباحة، العقيق</v>
      </c>
      <c r="G27" s="74">
        <f>'عدد اللاعبين'!G16</f>
        <v>6</v>
      </c>
      <c r="H27" s="72" t="str">
        <f>IFERROR(INDEX(المدخلات!$AE$6:$AE$12,MATCH($C27,المدخلات!$AC$6:$AC$12,0)),"")</f>
        <v>7 ضد 7</v>
      </c>
      <c r="I27" s="74">
        <f t="shared" si="0"/>
        <v>3</v>
      </c>
      <c r="J27" s="74">
        <f>ROUNDUP($I27/IFERROR(INDEX(المدخلات!$AJ$6:$AJ$12,MATCH($C27,المدخلات!$AC$6:$AC$12,0)),1),0)</f>
        <v>1</v>
      </c>
      <c r="K27" s="74">
        <f>IF($G27&lt;الحد_الأدنى,0,IFERROR(SUMIFS(Sheet1!$D$3:$D$97,Sheet1!$B$3:$B$97,INDEX(Sheet1!$G$3:$G$9,MATCH($C27,Sheet1!$F$3:$F$9,0)),Sheet1!$C$3:$C$97,$G27),0))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7" t="str">
        <f>'عدد اللاعبين'!B17</f>
        <v>نجران</v>
      </c>
      <c r="C28" s="72" t="str">
        <f>'عدد اللاعبين'!C17</f>
        <v>تحت 9</v>
      </c>
      <c r="D28" s="72" t="str">
        <f>IFERROR(INDEX(المدخلات!$AD$6:$AD$12,MATCH($C28,المدخلات!$AC$6:$AC$12,0)),"")</f>
        <v>السبت</v>
      </c>
      <c r="E28" s="72" t="str">
        <f>'عدد اللاعبين'!D17</f>
        <v>مجموعة شرورة</v>
      </c>
      <c r="F28" s="73" t="str">
        <f>'عدد اللاعبين'!F17</f>
        <v>نجران</v>
      </c>
      <c r="G28" s="74">
        <f>'عدد اللاعبين'!G17</f>
        <v>6</v>
      </c>
      <c r="H28" s="72" t="str">
        <f>IFERROR(INDEX(المدخلات!$AE$6:$AE$12,MATCH($C28,المدخلات!$AC$6:$AC$12,0)),"")</f>
        <v>7 ضد 7</v>
      </c>
      <c r="I28" s="74">
        <f t="shared" si="0"/>
        <v>3</v>
      </c>
      <c r="J28" s="74">
        <f>ROUNDUP($I28/IFERROR(INDEX(المدخلات!$AJ$6:$AJ$12,MATCH($C28,المدخلات!$AC$6:$AC$12,0)),1),0)</f>
        <v>1</v>
      </c>
      <c r="K28" s="74">
        <f>IF($G28&lt;الحد_الأدنى,0,IFERROR(SUMIFS(Sheet1!$D$3:$D$97,Sheet1!$B$3:$B$97,INDEX(Sheet1!$G$3:$G$9,MATCH($C28,Sheet1!$F$3:$F$9,0)),Sheet1!$C$3:$C$97,$G28),0))</f>
        <v>1</v>
      </c>
      <c r="L28" s="22"/>
      <c r="M28" s="22"/>
      <c r="N28" s="22"/>
      <c r="O28" s="22"/>
      <c r="P28" s="22"/>
      <c r="Q28" s="22"/>
      <c r="R28" s="22"/>
    </row>
    <row r="29" spans="2:18" hidden="1">
      <c r="B29" s="77" t="str">
        <f>'عدد اللاعبين'!B18</f>
        <v>الرياض</v>
      </c>
      <c r="C29" s="72" t="str">
        <f>'عدد اللاعبين'!C18</f>
        <v>تحت 9</v>
      </c>
      <c r="D29" s="72" t="str">
        <f>IFERROR(INDEX(المدخلات!$AD$6:$AD$12,MATCH($C29,المدخلات!$AC$6:$AC$12,0)),"")</f>
        <v>السبت</v>
      </c>
      <c r="E29" s="72" t="str">
        <f>'عدد اللاعبين'!D18</f>
        <v>مجموعة الدوادمي</v>
      </c>
      <c r="F29" s="73" t="str">
        <f>'عدد اللاعبين'!F18</f>
        <v>الباحة، بلقرن، العقيق</v>
      </c>
      <c r="G29" s="74">
        <f>'عدد اللاعبين'!G18</f>
        <v>6</v>
      </c>
      <c r="H29" s="72" t="str">
        <f>IFERROR(INDEX(المدخلات!$AE$6:$AE$12,MATCH($C29,المدخلات!$AC$6:$AC$12,0)),"")</f>
        <v>7 ضد 7</v>
      </c>
      <c r="I29" s="74">
        <f t="shared" si="0"/>
        <v>3</v>
      </c>
      <c r="J29" s="74">
        <f>ROUNDUP($I29/IFERROR(INDEX(المدخلات!$AJ$6:$AJ$12,MATCH($C29,المدخلات!$AC$6:$AC$12,0)),1),0)</f>
        <v>1</v>
      </c>
      <c r="K29" s="74">
        <f>IF($G29&lt;الحد_الأدنى,0,IFERROR(SUMIFS(Sheet1!$D$3:$D$97,Sheet1!$B$3:$B$97,INDEX(Sheet1!$G$3:$G$9,MATCH($C29,Sheet1!$F$3:$F$9,0)),Sheet1!$C$3:$C$97,$G29),0))</f>
        <v>1</v>
      </c>
      <c r="L29" s="22"/>
      <c r="M29" s="22"/>
      <c r="N29" s="22"/>
      <c r="O29" s="22"/>
      <c r="P29" s="22"/>
      <c r="Q29" s="22"/>
      <c r="R29" s="22"/>
    </row>
    <row r="30" spans="2:18" hidden="1">
      <c r="B30" s="77" t="str">
        <f>'عدد اللاعبين'!B19</f>
        <v>الجوف</v>
      </c>
      <c r="C30" s="72" t="str">
        <f>'عدد اللاعبين'!C19</f>
        <v>تحت 11</v>
      </c>
      <c r="D30" s="72" t="str">
        <f>IFERROR(INDEX(المدخلات!$AD$6:$AD$12,MATCH($C30,المدخلات!$AC$6:$AC$12,0)),"")</f>
        <v>الأحد</v>
      </c>
      <c r="E30" s="72" t="str">
        <f>'عدد اللاعبين'!D19</f>
        <v>مجموعة القريات</v>
      </c>
      <c r="F30" s="73" t="str">
        <f>'عدد اللاعبين'!F19</f>
        <v>الباحة</v>
      </c>
      <c r="G30" s="74">
        <f>'عدد اللاعبين'!G19</f>
        <v>6</v>
      </c>
      <c r="H30" s="72" t="str">
        <f>IFERROR(INDEX(المدخلات!$AE$6:$AE$12,MATCH($C30,المدخلات!$AC$6:$AC$12,0)),"")</f>
        <v>7 ضد 7</v>
      </c>
      <c r="I30" s="74">
        <f t="shared" si="0"/>
        <v>3</v>
      </c>
      <c r="J30" s="74">
        <f>ROUNDUP($I30/IFERROR(INDEX(المدخلات!$AJ$6:$AJ$12,MATCH($C30,المدخلات!$AC$6:$AC$12,0)),1),0)</f>
        <v>1</v>
      </c>
      <c r="K30" s="74">
        <f>IF($G30&lt;الحد_الأدنى,0,IFERROR(SUMIFS(Sheet1!$D$3:$D$97,Sheet1!$B$3:$B$97,INDEX(Sheet1!$G$3:$G$9,MATCH($C30,Sheet1!$F$3:$F$9,0)),Sheet1!$C$3:$C$97,$G30),0))</f>
        <v>1</v>
      </c>
      <c r="L30" s="22"/>
      <c r="M30" s="22"/>
      <c r="N30" s="22"/>
      <c r="O30" s="22"/>
      <c r="P30" s="22"/>
      <c r="Q30" s="22"/>
      <c r="R30" s="22"/>
    </row>
    <row r="31" spans="2:18" hidden="1">
      <c r="B31" s="77" t="str">
        <f>'عدد اللاعبين'!B20</f>
        <v>الجوف</v>
      </c>
      <c r="C31" s="72" t="str">
        <f>'عدد اللاعبين'!C20</f>
        <v>تحت 12</v>
      </c>
      <c r="D31" s="72" t="str">
        <f>IFERROR(INDEX(المدخلات!$AD$6:$AD$12,MATCH($C31,المدخلات!$AC$6:$AC$12,0)),"")</f>
        <v>الاثنين</v>
      </c>
      <c r="E31" s="72" t="str">
        <f>'عدد اللاعبين'!D20</f>
        <v>مجموعة القريات</v>
      </c>
      <c r="F31" s="73" t="str">
        <f>'عدد اللاعبين'!F20</f>
        <v>حائل</v>
      </c>
      <c r="G31" s="74">
        <f>'عدد اللاعبين'!G20</f>
        <v>6</v>
      </c>
      <c r="H31" s="72" t="str">
        <f>IFERROR(INDEX(المدخلات!$AE$6:$AE$12,MATCH($C31,المدخلات!$AC$6:$AC$12,0)),"")</f>
        <v>7 ضد 7</v>
      </c>
      <c r="I31" s="74">
        <f t="shared" si="0"/>
        <v>3</v>
      </c>
      <c r="J31" s="74">
        <f>ROUNDUP($I31/IFERROR(INDEX(المدخلات!$AJ$6:$AJ$12,MATCH($C31,المدخلات!$AC$6:$AC$12,0)),1),0)</f>
        <v>1</v>
      </c>
      <c r="K31" s="74">
        <f>IF($G31&lt;الحد_الأدنى,0,IFERROR(SUMIFS(Sheet1!$D$3:$D$97,Sheet1!$B$3:$B$97,INDEX(Sheet1!$G$3:$G$9,MATCH($C31,Sheet1!$F$3:$F$9,0)),Sheet1!$C$3:$C$97,$G31),0))</f>
        <v>1</v>
      </c>
      <c r="L31" s="22"/>
      <c r="M31" s="22"/>
      <c r="N31" s="22"/>
      <c r="O31" s="22"/>
      <c r="P31" s="22"/>
      <c r="Q31" s="22"/>
      <c r="R31" s="22"/>
    </row>
    <row r="32" spans="2:18" hidden="1">
      <c r="B32" s="77" t="str">
        <f>'عدد اللاعبين'!B21</f>
        <v>الجوف</v>
      </c>
      <c r="C32" s="72" t="str">
        <f>'عدد اللاعبين'!C21</f>
        <v>تحت 13</v>
      </c>
      <c r="D32" s="72" t="str">
        <f>IFERROR(INDEX(المدخلات!$AD$6:$AD$12,MATCH($C32,المدخلات!$AC$6:$AC$12,0)),"")</f>
        <v>الخميس</v>
      </c>
      <c r="E32" s="72" t="str">
        <f>'عدد اللاعبين'!D21</f>
        <v>مجموعة القريات</v>
      </c>
      <c r="F32" s="73" t="str">
        <f>'عدد اللاعبين'!F21</f>
        <v>القريات</v>
      </c>
      <c r="G32" s="74">
        <f>'عدد اللاعبين'!G21</f>
        <v>6</v>
      </c>
      <c r="H32" s="72" t="str">
        <f>IFERROR(INDEX(المدخلات!$AE$6:$AE$12,MATCH($C32,المدخلات!$AC$6:$AC$12,0)),"")</f>
        <v>قانوني</v>
      </c>
      <c r="I32" s="74">
        <f t="shared" si="0"/>
        <v>3</v>
      </c>
      <c r="J32" s="74">
        <f>ROUNDUP($I32/IFERROR(INDEX(المدخلات!$AJ$6:$AJ$12,MATCH($C32,المدخلات!$AC$6:$AC$12,0)),1),0)</f>
        <v>1</v>
      </c>
      <c r="K32" s="74">
        <f>IF($G32&lt;الحد_الأدنى,0,IFERROR(SUMIFS(Sheet1!$D$3:$D$97,Sheet1!$B$3:$B$97,INDEX(Sheet1!$G$3:$G$9,MATCH($C32,Sheet1!$F$3:$F$9,0)),Sheet1!$C$3:$C$97,$G32),0))</f>
        <v>1</v>
      </c>
      <c r="L32" s="22"/>
      <c r="M32" s="22"/>
      <c r="N32" s="22"/>
      <c r="O32" s="22"/>
      <c r="P32" s="22"/>
      <c r="Q32" s="22"/>
      <c r="R32" s="22"/>
    </row>
    <row r="33" spans="2:18" hidden="1">
      <c r="B33" s="77" t="str">
        <f>'عدد اللاعبين'!B22</f>
        <v>الجوف</v>
      </c>
      <c r="C33" s="72" t="str">
        <f>'عدد اللاعبين'!C22</f>
        <v>تحت 14</v>
      </c>
      <c r="D33" s="72" t="str">
        <f>IFERROR(INDEX(المدخلات!$AD$6:$AD$12,MATCH($C33,المدخلات!$AC$6:$AC$12,0)),"")</f>
        <v>الأربعاء</v>
      </c>
      <c r="E33" s="72" t="str">
        <f>'عدد اللاعبين'!D22</f>
        <v>مجموعة القريات</v>
      </c>
      <c r="F33" s="73" t="str">
        <f>'عدد اللاعبين'!F22</f>
        <v>شرورة</v>
      </c>
      <c r="G33" s="74">
        <f>'عدد اللاعبين'!G22</f>
        <v>6</v>
      </c>
      <c r="H33" s="72" t="str">
        <f>IFERROR(INDEX(المدخلات!$AE$6:$AE$12,MATCH($C33,المدخلات!$AC$6:$AC$12,0)),"")</f>
        <v>قانوني</v>
      </c>
      <c r="I33" s="74">
        <f t="shared" si="0"/>
        <v>3</v>
      </c>
      <c r="J33" s="74">
        <f>ROUNDUP($I33/IFERROR(INDEX(المدخلات!$AJ$6:$AJ$12,MATCH($C33,المدخلات!$AC$6:$AC$12,0)),1),0)</f>
        <v>1</v>
      </c>
      <c r="K33" s="74">
        <f>IF($G33&lt;الحد_الأدنى,0,IFERROR(SUMIFS(Sheet1!$D$3:$D$97,Sheet1!$B$3:$B$97,INDEX(Sheet1!$G$3:$G$9,MATCH($C33,Sheet1!$F$3:$F$9,0)),Sheet1!$C$3:$C$97,$G33),0))</f>
        <v>1</v>
      </c>
      <c r="L33" s="22"/>
      <c r="M33" s="22"/>
      <c r="N33" s="22"/>
      <c r="O33" s="22"/>
      <c r="P33" s="22"/>
      <c r="Q33" s="22"/>
      <c r="R33" s="22"/>
    </row>
    <row r="34" spans="2:18" hidden="1">
      <c r="B34" s="77" t="str">
        <f>'عدد اللاعبين'!B23</f>
        <v>الباحة</v>
      </c>
      <c r="C34" s="72" t="str">
        <f>'عدد اللاعبين'!C23</f>
        <v>تحت 12</v>
      </c>
      <c r="D34" s="72" t="str">
        <f>IFERROR(INDEX(المدخلات!$AD$6:$AD$12,MATCH($C34,المدخلات!$AC$6:$AC$12,0)),"")</f>
        <v>الاثنين</v>
      </c>
      <c r="E34" s="72" t="str">
        <f>'عدد اللاعبين'!D23</f>
        <v>مجموعة الباحة</v>
      </c>
      <c r="F34" s="73" t="str">
        <f>'عدد اللاعبين'!F23</f>
        <v>الباحة، بلقرن</v>
      </c>
      <c r="G34" s="74">
        <f>'عدد اللاعبين'!G23</f>
        <v>6</v>
      </c>
      <c r="H34" s="72" t="str">
        <f>IFERROR(INDEX(المدخلات!$AE$6:$AE$12,MATCH($C34,المدخلات!$AC$6:$AC$12,0)),"")</f>
        <v>7 ضد 7</v>
      </c>
      <c r="I34" s="74">
        <f t="shared" si="0"/>
        <v>3</v>
      </c>
      <c r="J34" s="74">
        <f>ROUNDUP($I34/IFERROR(INDEX(المدخلات!$AJ$6:$AJ$12,MATCH($C34,المدخلات!$AC$6:$AC$12,0)),1),0)</f>
        <v>1</v>
      </c>
      <c r="K34" s="74">
        <f>IF($G34&lt;الحد_الأدنى,0,IFERROR(SUMIFS(Sheet1!$D$3:$D$97,Sheet1!$B$3:$B$97,INDEX(Sheet1!$G$3:$G$9,MATCH($C34,Sheet1!$F$3:$F$9,0)),Sheet1!$C$3:$C$97,$G34),0))</f>
        <v>1</v>
      </c>
      <c r="L34" s="22"/>
      <c r="M34" s="22"/>
      <c r="N34" s="22"/>
      <c r="O34" s="22"/>
      <c r="P34" s="22"/>
      <c r="Q34" s="22"/>
      <c r="R34" s="22"/>
    </row>
    <row r="35" spans="2:18" hidden="1">
      <c r="B35" s="77" t="str">
        <f>'عدد اللاعبين'!B24</f>
        <v>نجران</v>
      </c>
      <c r="C35" s="72" t="str">
        <f>'عدد اللاعبين'!C24</f>
        <v>تحت 13</v>
      </c>
      <c r="D35" s="72" t="str">
        <f>IFERROR(INDEX(المدخلات!$AD$6:$AD$12,MATCH($C35,المدخلات!$AC$6:$AC$12,0)),"")</f>
        <v>الخميس</v>
      </c>
      <c r="E35" s="72" t="str">
        <f>'عدد اللاعبين'!D24</f>
        <v>مجموعة نجران</v>
      </c>
      <c r="F35" s="73" t="str">
        <f>'عدد اللاعبين'!F24</f>
        <v>أبها، خميس مشيط</v>
      </c>
      <c r="G35" s="74">
        <f>'عدد اللاعبين'!G24</f>
        <v>6</v>
      </c>
      <c r="H35" s="72" t="str">
        <f>IFERROR(INDEX(المدخلات!$AE$6:$AE$12,MATCH($C35,المدخلات!$AC$6:$AC$12,0)),"")</f>
        <v>قانوني</v>
      </c>
      <c r="I35" s="74">
        <f t="shared" si="0"/>
        <v>3</v>
      </c>
      <c r="J35" s="74">
        <f>ROUNDUP($I35/IFERROR(INDEX(المدخلات!$AJ$6:$AJ$12,MATCH($C35,المدخلات!$AC$6:$AC$12,0)),1),0)</f>
        <v>1</v>
      </c>
      <c r="K35" s="74">
        <f>IF($G35&lt;الحد_الأدنى,0,IFERROR(SUMIFS(Sheet1!$D$3:$D$97,Sheet1!$B$3:$B$97,INDEX(Sheet1!$G$3:$G$9,MATCH($C35,Sheet1!$F$3:$F$9,0)),Sheet1!$C$3:$C$97,$G35),0))</f>
        <v>1</v>
      </c>
      <c r="L35" s="22"/>
      <c r="M35" s="22"/>
      <c r="N35" s="22"/>
      <c r="O35" s="22"/>
      <c r="P35" s="22"/>
      <c r="Q35" s="22"/>
      <c r="R35" s="22"/>
    </row>
    <row r="36" spans="2:18" hidden="1">
      <c r="B36" s="77" t="str">
        <f>'عدد اللاعبين'!B25</f>
        <v>الباحة</v>
      </c>
      <c r="C36" s="72" t="str">
        <f>'عدد اللاعبين'!C25</f>
        <v>تحت 13</v>
      </c>
      <c r="D36" s="72" t="str">
        <f>IFERROR(INDEX(المدخلات!$AD$6:$AD$12,MATCH($C36,المدخلات!$AC$6:$AC$12,0)),"")</f>
        <v>الخميس</v>
      </c>
      <c r="E36" s="72" t="str">
        <f>'عدد اللاعبين'!D25</f>
        <v>مجموعة الباحة</v>
      </c>
      <c r="F36" s="73" t="str">
        <f>'عدد اللاعبين'!F25</f>
        <v>القريات</v>
      </c>
      <c r="G36" s="74">
        <f>'عدد اللاعبين'!G25</f>
        <v>6</v>
      </c>
      <c r="H36" s="72" t="str">
        <f>IFERROR(INDEX(المدخلات!$AE$6:$AE$12,MATCH($C36,المدخلات!$AC$6:$AC$12,0)),"")</f>
        <v>قانوني</v>
      </c>
      <c r="I36" s="74">
        <f t="shared" si="0"/>
        <v>3</v>
      </c>
      <c r="J36" s="74">
        <f>ROUNDUP($I36/IFERROR(INDEX(المدخلات!$AJ$6:$AJ$12,MATCH($C36,المدخلات!$AC$6:$AC$12,0)),1),0)</f>
        <v>1</v>
      </c>
      <c r="K36" s="74">
        <f>IF($G36&lt;الحد_الأدنى,0,IFERROR(SUMIFS(Sheet1!$D$3:$D$97,Sheet1!$B$3:$B$97,INDEX(Sheet1!$G$3:$G$9,MATCH($C36,Sheet1!$F$3:$F$9,0)),Sheet1!$C$3:$C$97,$G36),0))</f>
        <v>1</v>
      </c>
      <c r="L36" s="22"/>
      <c r="M36" s="22"/>
      <c r="N36" s="22"/>
      <c r="O36" s="22"/>
      <c r="P36" s="22"/>
      <c r="Q36" s="22"/>
      <c r="R36" s="22"/>
    </row>
    <row r="37" spans="2:18" hidden="1">
      <c r="B37" s="77" t="str">
        <f>'عدد اللاعبين'!B26</f>
        <v>الباحة</v>
      </c>
      <c r="C37" s="72" t="str">
        <f>'عدد اللاعبين'!C26</f>
        <v>تحت 14</v>
      </c>
      <c r="D37" s="72" t="str">
        <f>IFERROR(INDEX(المدخلات!$AD$6:$AD$12,MATCH($C37,المدخلات!$AC$6:$AC$12,0)),"")</f>
        <v>الأربعاء</v>
      </c>
      <c r="E37" s="72" t="str">
        <f>'عدد اللاعبين'!D26</f>
        <v>مجموعة الباحة</v>
      </c>
      <c r="F37" s="73" t="str">
        <f>'عدد اللاعبين'!F26</f>
        <v>طبرجل</v>
      </c>
      <c r="G37" s="74">
        <f>'عدد اللاعبين'!G26</f>
        <v>6</v>
      </c>
      <c r="H37" s="72" t="str">
        <f>IFERROR(INDEX(المدخلات!$AE$6:$AE$12,MATCH($C37,المدخلات!$AC$6:$AC$12,0)),"")</f>
        <v>قانوني</v>
      </c>
      <c r="I37" s="74">
        <f t="shared" si="0"/>
        <v>3</v>
      </c>
      <c r="J37" s="74">
        <f>ROUNDUP($I37/IFERROR(INDEX(المدخلات!$AJ$6:$AJ$12,MATCH($C37,المدخلات!$AC$6:$AC$12,0)),1),0)</f>
        <v>1</v>
      </c>
      <c r="K37" s="74">
        <f>IF($G37&lt;الحد_الأدنى,0,IFERROR(SUMIFS(Sheet1!$D$3:$D$97,Sheet1!$B$3:$B$97,INDEX(Sheet1!$G$3:$G$9,MATCH($C37,Sheet1!$F$3:$F$9,0)),Sheet1!$C$3:$C$97,$G37),0))</f>
        <v>1</v>
      </c>
      <c r="L37" s="22"/>
      <c r="M37" s="22"/>
      <c r="N37" s="22"/>
      <c r="O37" s="22"/>
      <c r="P37" s="22"/>
      <c r="Q37" s="22"/>
      <c r="R37" s="22"/>
    </row>
    <row r="38" spans="2:18" hidden="1">
      <c r="B38" s="77" t="str">
        <f>'عدد اللاعبين'!B27</f>
        <v>حائل</v>
      </c>
      <c r="C38" s="72" t="str">
        <f>'عدد اللاعبين'!C27</f>
        <v>تحت 5</v>
      </c>
      <c r="D38" s="72" t="str">
        <f>IFERROR(INDEX(المدخلات!$AD$6:$AD$12,MATCH($C38,المدخلات!$AC$6:$AC$12,0)),"")</f>
        <v>السبت</v>
      </c>
      <c r="E38" s="72" t="str">
        <f>'عدد اللاعبين'!D27</f>
        <v>مجموعة حائل</v>
      </c>
      <c r="F38" s="73" t="str">
        <f>'عدد اللاعبين'!F27</f>
        <v>الرس، البدائع</v>
      </c>
      <c r="G38" s="74">
        <f>'عدد اللاعبين'!G27</f>
        <v>7</v>
      </c>
      <c r="H38" s="72" t="str">
        <f>IFERROR(INDEX(المدخلات!$AE$6:$AE$12,MATCH($C38,المدخلات!$AC$6:$AC$12,0)),"")</f>
        <v>5 ضد 5</v>
      </c>
      <c r="I38" s="74">
        <f t="shared" si="0"/>
        <v>3</v>
      </c>
      <c r="J38" s="74">
        <f>ROUNDUP($I38/IFERROR(INDEX(المدخلات!$AJ$6:$AJ$12,MATCH($C38,المدخلات!$AC$6:$AC$12,0)),1),0)</f>
        <v>1</v>
      </c>
      <c r="K38" s="74">
        <f>IF($G38&lt;الحد_الأدنى,0,IFERROR(SUMIFS(Sheet1!$D$3:$D$97,Sheet1!$B$3:$B$97,INDEX(Sheet1!$G$3:$G$9,MATCH($C38,Sheet1!$F$3:$F$9,0)),Sheet1!$C$3:$C$97,$G38),0))</f>
        <v>1</v>
      </c>
      <c r="L38" s="22"/>
      <c r="M38" s="22"/>
      <c r="N38" s="22"/>
      <c r="O38" s="22"/>
      <c r="P38" s="22"/>
      <c r="Q38" s="22"/>
      <c r="R38" s="22"/>
    </row>
    <row r="39" spans="2:18" hidden="1">
      <c r="B39" s="77" t="str">
        <f>'عدد اللاعبين'!B28</f>
        <v>الجوف</v>
      </c>
      <c r="C39" s="72" t="str">
        <f>'عدد اللاعبين'!C28</f>
        <v>تحت 5</v>
      </c>
      <c r="D39" s="72" t="str">
        <f>IFERROR(INDEX(المدخلات!$AD$6:$AD$12,MATCH($C39,المدخلات!$AC$6:$AC$12,0)),"")</f>
        <v>السبت</v>
      </c>
      <c r="E39" s="72" t="str">
        <f>'عدد اللاعبين'!D28</f>
        <v>مجموعة القريات</v>
      </c>
      <c r="F39" s="73" t="str">
        <f>'عدد اللاعبين'!F28</f>
        <v>جيزان</v>
      </c>
      <c r="G39" s="74">
        <f>'عدد اللاعبين'!G28</f>
        <v>7</v>
      </c>
      <c r="H39" s="72" t="str">
        <f>IFERROR(INDEX(المدخلات!$AE$6:$AE$12,MATCH($C39,المدخلات!$AC$6:$AC$12,0)),"")</f>
        <v>5 ضد 5</v>
      </c>
      <c r="I39" s="74">
        <f t="shared" si="0"/>
        <v>3</v>
      </c>
      <c r="J39" s="74">
        <f>ROUNDUP($I39/IFERROR(INDEX(المدخلات!$AJ$6:$AJ$12,MATCH($C39,المدخلات!$AC$6:$AC$12,0)),1),0)</f>
        <v>1</v>
      </c>
      <c r="K39" s="74">
        <f>IF($G39&lt;الحد_الأدنى,0,IFERROR(SUMIFS(Sheet1!$D$3:$D$97,Sheet1!$B$3:$B$97,INDEX(Sheet1!$G$3:$G$9,MATCH($C39,Sheet1!$F$3:$F$9,0)),Sheet1!$C$3:$C$97,$G39),0))</f>
        <v>1</v>
      </c>
      <c r="L39" s="22"/>
      <c r="M39" s="22"/>
      <c r="N39" s="22"/>
      <c r="O39" s="22"/>
      <c r="P39" s="22"/>
      <c r="Q39" s="22"/>
      <c r="R39" s="22"/>
    </row>
    <row r="40" spans="2:18" hidden="1">
      <c r="B40" s="77" t="str">
        <f>'عدد اللاعبين'!B29</f>
        <v>نجران</v>
      </c>
      <c r="C40" s="72" t="str">
        <f>'عدد اللاعبين'!C29</f>
        <v>تحت 5</v>
      </c>
      <c r="D40" s="72" t="str">
        <f>IFERROR(INDEX(المدخلات!$AD$6:$AD$12,MATCH($C40,المدخلات!$AC$6:$AC$12,0)),"")</f>
        <v>السبت</v>
      </c>
      <c r="E40" s="72" t="str">
        <f>'عدد اللاعبين'!D29</f>
        <v>مجموعة شرورة</v>
      </c>
      <c r="F40" s="73" t="str">
        <f>'عدد اللاعبين'!F29</f>
        <v>حائل</v>
      </c>
      <c r="G40" s="74">
        <f>'عدد اللاعبين'!G29</f>
        <v>7</v>
      </c>
      <c r="H40" s="72" t="str">
        <f>IFERROR(INDEX(المدخلات!$AE$6:$AE$12,MATCH($C40,المدخلات!$AC$6:$AC$12,0)),"")</f>
        <v>5 ضد 5</v>
      </c>
      <c r="I40" s="74">
        <f t="shared" si="0"/>
        <v>3</v>
      </c>
      <c r="J40" s="74">
        <f>ROUNDUP($I40/IFERROR(INDEX(المدخلات!$AJ$6:$AJ$12,MATCH($C40,المدخلات!$AC$6:$AC$12,0)),1),0)</f>
        <v>1</v>
      </c>
      <c r="K40" s="74">
        <f>IF($G40&lt;الحد_الأدنى,0,IFERROR(SUMIFS(Sheet1!$D$3:$D$97,Sheet1!$B$3:$B$97,INDEX(Sheet1!$G$3:$G$9,MATCH($C40,Sheet1!$F$3:$F$9,0)),Sheet1!$C$3:$C$97,$G40),0))</f>
        <v>1</v>
      </c>
      <c r="L40" s="22"/>
      <c r="M40" s="22"/>
      <c r="N40" s="22"/>
      <c r="O40" s="22"/>
      <c r="P40" s="22"/>
      <c r="Q40" s="22"/>
      <c r="R40" s="22"/>
    </row>
    <row r="41" spans="2:18" hidden="1">
      <c r="B41" s="77" t="str">
        <f>'عدد اللاعبين'!B30</f>
        <v>الباحة</v>
      </c>
      <c r="C41" s="72" t="str">
        <f>'عدد اللاعبين'!C30</f>
        <v>تحت 7</v>
      </c>
      <c r="D41" s="72" t="str">
        <f>IFERROR(INDEX(المدخلات!$AD$6:$AD$12,MATCH($C41,المدخلات!$AC$6:$AC$12,0)),"")</f>
        <v>السبت</v>
      </c>
      <c r="E41" s="72" t="str">
        <f>'عدد اللاعبين'!D30</f>
        <v>مجموعة الباحة</v>
      </c>
      <c r="F41" s="73" t="str">
        <f>'عدد اللاعبين'!F30</f>
        <v>الخرج، الدلم</v>
      </c>
      <c r="G41" s="74">
        <f>'عدد اللاعبين'!G30</f>
        <v>7</v>
      </c>
      <c r="H41" s="72" t="str">
        <f>IFERROR(INDEX(المدخلات!$AE$6:$AE$12,MATCH($C41,المدخلات!$AC$6:$AC$12,0)),"")</f>
        <v>7 ضد 7</v>
      </c>
      <c r="I41" s="74">
        <f t="shared" si="0"/>
        <v>3</v>
      </c>
      <c r="J41" s="74">
        <f>ROUNDUP($I41/IFERROR(INDEX(المدخلات!$AJ$6:$AJ$12,MATCH($C41,المدخلات!$AC$6:$AC$12,0)),1),0)</f>
        <v>1</v>
      </c>
      <c r="K41" s="74">
        <f>IF($G41&lt;الحد_الأدنى,0,IFERROR(SUMIFS(Sheet1!$D$3:$D$97,Sheet1!$B$3:$B$97,INDEX(Sheet1!$G$3:$G$9,MATCH($C41,Sheet1!$F$3:$F$9,0)),Sheet1!$C$3:$C$97,$G41),0))</f>
        <v>1</v>
      </c>
      <c r="L41" s="22"/>
      <c r="M41" s="22"/>
      <c r="N41" s="22"/>
      <c r="O41" s="22"/>
      <c r="P41" s="22"/>
      <c r="Q41" s="22"/>
      <c r="R41" s="22"/>
    </row>
    <row r="42" spans="2:18" hidden="1">
      <c r="B42" s="77" t="str">
        <f>'عدد اللاعبين'!B31</f>
        <v>عسير</v>
      </c>
      <c r="C42" s="72" t="str">
        <f>'عدد اللاعبين'!C31</f>
        <v>تحت 7</v>
      </c>
      <c r="D42" s="72" t="str">
        <f>IFERROR(INDEX(المدخلات!$AD$6:$AD$12,MATCH($C42,المدخلات!$AC$6:$AC$12,0)),"")</f>
        <v>السبت</v>
      </c>
      <c r="E42" s="72" t="str">
        <f>'عدد اللاعبين'!D31</f>
        <v>مجموعة أبها</v>
      </c>
      <c r="F42" s="73" t="str">
        <f>'عدد اللاعبين'!F31</f>
        <v>مركز الرفيعة</v>
      </c>
      <c r="G42" s="74">
        <f>'عدد اللاعبين'!G31</f>
        <v>7</v>
      </c>
      <c r="H42" s="72" t="str">
        <f>IFERROR(INDEX(المدخلات!$AE$6:$AE$12,MATCH($C42,المدخلات!$AC$6:$AC$12,0)),"")</f>
        <v>7 ضد 7</v>
      </c>
      <c r="I42" s="74">
        <f t="shared" si="0"/>
        <v>3</v>
      </c>
      <c r="J42" s="74">
        <f>ROUNDUP($I42/IFERROR(INDEX(المدخلات!$AJ$6:$AJ$12,MATCH($C42,المدخلات!$AC$6:$AC$12,0)),1),0)</f>
        <v>1</v>
      </c>
      <c r="K42" s="74">
        <f>IF($G42&lt;الحد_الأدنى,0,IFERROR(SUMIFS(Sheet1!$D$3:$D$97,Sheet1!$B$3:$B$97,INDEX(Sheet1!$G$3:$G$9,MATCH($C42,Sheet1!$F$3:$F$9,0)),Sheet1!$C$3:$C$97,$G42),0))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7" t="str">
        <f>'عدد اللاعبين'!B32</f>
        <v>الجوف</v>
      </c>
      <c r="C43" s="72" t="str">
        <f>'عدد اللاعبين'!C32</f>
        <v>تحت 9</v>
      </c>
      <c r="D43" s="72" t="str">
        <f>IFERROR(INDEX(المدخلات!$AD$6:$AD$12,MATCH($C43,المدخلات!$AC$6:$AC$12,0)),"")</f>
        <v>السبت</v>
      </c>
      <c r="E43" s="72" t="str">
        <f>'عدد اللاعبين'!D32</f>
        <v>مجموعة القريات</v>
      </c>
      <c r="F43" s="73" t="str">
        <f>'عدد اللاعبين'!F32</f>
        <v>القطيف</v>
      </c>
      <c r="G43" s="74">
        <f>'عدد اللاعبين'!G32</f>
        <v>7</v>
      </c>
      <c r="H43" s="72" t="str">
        <f>IFERROR(INDEX(المدخلات!$AE$6:$AE$12,MATCH($C43,المدخلات!$AC$6:$AC$12,0)),"")</f>
        <v>7 ضد 7</v>
      </c>
      <c r="I43" s="74">
        <f t="shared" si="0"/>
        <v>3</v>
      </c>
      <c r="J43" s="74">
        <f>ROUNDUP($I43/IFERROR(INDEX(المدخلات!$AJ$6:$AJ$12,MATCH($C43,المدخلات!$AC$6:$AC$12,0)),1),0)</f>
        <v>1</v>
      </c>
      <c r="K43" s="74">
        <f>IF($G43&lt;الحد_الأدنى,0,IFERROR(SUMIFS(Sheet1!$D$3:$D$97,Sheet1!$B$3:$B$97,INDEX(Sheet1!$G$3:$G$9,MATCH($C43,Sheet1!$F$3:$F$9,0)),Sheet1!$C$3:$C$97,$G43),0))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7" t="str">
        <f>'عدد اللاعبين'!B33</f>
        <v>الجوف</v>
      </c>
      <c r="C44" s="72" t="str">
        <f>'عدد اللاعبين'!C33</f>
        <v>تحت 9</v>
      </c>
      <c r="D44" s="72" t="str">
        <f>IFERROR(INDEX(المدخلات!$AD$6:$AD$12,MATCH($C44,المدخلات!$AC$6:$AC$12,0)),"")</f>
        <v>السبت</v>
      </c>
      <c r="E44" s="72" t="str">
        <f>'عدد اللاعبين'!D33</f>
        <v>مجموعة طبرجل</v>
      </c>
      <c r="F44" s="73" t="str">
        <f>'عدد اللاعبين'!F33</f>
        <v>حائل</v>
      </c>
      <c r="G44" s="74">
        <f>'عدد اللاعبين'!G33</f>
        <v>7</v>
      </c>
      <c r="H44" s="72" t="str">
        <f>IFERROR(INDEX(المدخلات!$AE$6:$AE$12,MATCH($C44,المدخلات!$AC$6:$AC$12,0)),"")</f>
        <v>7 ضد 7</v>
      </c>
      <c r="I44" s="74">
        <f t="shared" si="0"/>
        <v>3</v>
      </c>
      <c r="J44" s="74">
        <f>ROUNDUP($I44/IFERROR(INDEX(المدخلات!$AJ$6:$AJ$12,MATCH($C44,المدخلات!$AC$6:$AC$12,0)),1),0)</f>
        <v>1</v>
      </c>
      <c r="K44" s="74">
        <f>IF($G44&lt;الحد_الأدنى,0,IFERROR(SUMIFS(Sheet1!$D$3:$D$97,Sheet1!$B$3:$B$97,INDEX(Sheet1!$G$3:$G$9,MATCH($C44,Sheet1!$F$3:$F$9,0)),Sheet1!$C$3:$C$97,$G44),0))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7" t="str">
        <f>'عدد اللاعبين'!B34</f>
        <v>القصيم</v>
      </c>
      <c r="C45" s="72" t="str">
        <f>'عدد اللاعبين'!C34</f>
        <v>تحت 13</v>
      </c>
      <c r="D45" s="72" t="str">
        <f>IFERROR(INDEX(المدخلات!$AD$6:$AD$12,MATCH($C45,المدخلات!$AC$6:$AC$12,0)),"")</f>
        <v>الخميس</v>
      </c>
      <c r="E45" s="72" t="str">
        <f>'عدد اللاعبين'!D34</f>
        <v>مجموعة الرس</v>
      </c>
      <c r="F45" s="73" t="str">
        <f>'عدد اللاعبين'!F34</f>
        <v>مركز الرفيعة</v>
      </c>
      <c r="G45" s="74">
        <f>'عدد اللاعبين'!G34</f>
        <v>7</v>
      </c>
      <c r="H45" s="72" t="str">
        <f>IFERROR(INDEX(المدخلات!$AE$6:$AE$12,MATCH($C45,المدخلات!$AC$6:$AC$12,0)),"")</f>
        <v>قانوني</v>
      </c>
      <c r="I45" s="74">
        <f t="shared" si="0"/>
        <v>3</v>
      </c>
      <c r="J45" s="74">
        <f>ROUNDUP($I45/IFERROR(INDEX(المدخلات!$AJ$6:$AJ$12,MATCH($C45,المدخلات!$AC$6:$AC$12,0)),1),0)</f>
        <v>1</v>
      </c>
      <c r="K45" s="74">
        <f>IF($G45&lt;الحد_الأدنى,0,IFERROR(SUMIFS(Sheet1!$D$3:$D$97,Sheet1!$B$3:$B$97,INDEX(Sheet1!$G$3:$G$9,MATCH($C45,Sheet1!$F$3:$F$9,0)),Sheet1!$C$3:$C$97,$G45),0))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7" t="str">
        <f>'عدد اللاعبين'!B35</f>
        <v>جازان</v>
      </c>
      <c r="C46" s="72" t="str">
        <f>'عدد اللاعبين'!C35</f>
        <v>تحت 13</v>
      </c>
      <c r="D46" s="72" t="str">
        <f>IFERROR(INDEX(المدخلات!$AD$6:$AD$12,MATCH($C46,المدخلات!$AC$6:$AC$12,0)),"")</f>
        <v>الخميس</v>
      </c>
      <c r="E46" s="72" t="str">
        <f>'عدد اللاعبين'!D35</f>
        <v>مجموعة جازان</v>
      </c>
      <c r="F46" s="73" t="str">
        <f>'عدد اللاعبين'!F35</f>
        <v>القريات</v>
      </c>
      <c r="G46" s="74">
        <f>'عدد اللاعبين'!G35</f>
        <v>7</v>
      </c>
      <c r="H46" s="72" t="str">
        <f>IFERROR(INDEX(المدخلات!$AE$6:$AE$12,MATCH($C46,المدخلات!$AC$6:$AC$12,0)),"")</f>
        <v>قانوني</v>
      </c>
      <c r="I46" s="74">
        <f t="shared" si="0"/>
        <v>3</v>
      </c>
      <c r="J46" s="74">
        <f>ROUNDUP($I46/IFERROR(INDEX(المدخلات!$AJ$6:$AJ$12,MATCH($C46,المدخلات!$AC$6:$AC$12,0)),1),0)</f>
        <v>1</v>
      </c>
      <c r="K46" s="74">
        <f>IF($G46&lt;الحد_الأدنى,0,IFERROR(SUMIFS(Sheet1!$D$3:$D$97,Sheet1!$B$3:$B$97,INDEX(Sheet1!$G$3:$G$9,MATCH($C46,Sheet1!$F$3:$F$9,0)),Sheet1!$C$3:$C$97,$G46),0))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7" t="str">
        <f>'عدد اللاعبين'!B36</f>
        <v>حائل</v>
      </c>
      <c r="C47" s="72" t="str">
        <f>'عدد اللاعبين'!C36</f>
        <v>تحت 14</v>
      </c>
      <c r="D47" s="72" t="str">
        <f>IFERROR(INDEX(المدخلات!$AD$6:$AD$12,MATCH($C47,المدخلات!$AC$6:$AC$12,0)),"")</f>
        <v>الأربعاء</v>
      </c>
      <c r="E47" s="72" t="str">
        <f>'عدد اللاعبين'!D36</f>
        <v>مجموعة حائل</v>
      </c>
      <c r="F47" s="73" t="str">
        <f>'عدد اللاعبين'!F36</f>
        <v>مركز الرفيعة</v>
      </c>
      <c r="G47" s="74">
        <f>'عدد اللاعبين'!G36</f>
        <v>7</v>
      </c>
      <c r="H47" s="72" t="str">
        <f>IFERROR(INDEX(المدخلات!$AE$6:$AE$12,MATCH($C47,المدخلات!$AC$6:$AC$12,0)),"")</f>
        <v>قانوني</v>
      </c>
      <c r="I47" s="74">
        <f t="shared" si="0"/>
        <v>3</v>
      </c>
      <c r="J47" s="74">
        <f>ROUNDUP($I47/IFERROR(INDEX(المدخلات!$AJ$6:$AJ$12,MATCH($C47,المدخلات!$AC$6:$AC$12,0)),1),0)</f>
        <v>1</v>
      </c>
      <c r="K47" s="74">
        <f>IF($G47&lt;الحد_الأدنى,0,IFERROR(SUMIFS(Sheet1!$D$3:$D$97,Sheet1!$B$3:$B$97,INDEX(Sheet1!$G$3:$G$9,MATCH($C47,Sheet1!$F$3:$F$9,0)),Sheet1!$C$3:$C$97,$G47),0))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7" t="str">
        <f>'عدد اللاعبين'!B37</f>
        <v>الرياض</v>
      </c>
      <c r="C48" s="72" t="str">
        <f>'عدد اللاعبين'!C37</f>
        <v>تحت 14</v>
      </c>
      <c r="D48" s="72" t="str">
        <f>IFERROR(INDEX(المدخلات!$AD$6:$AD$12,MATCH($C48,المدخلات!$AC$6:$AC$12,0)),"")</f>
        <v>الأربعاء</v>
      </c>
      <c r="E48" s="72" t="str">
        <f>'عدد اللاعبين'!D37</f>
        <v>مجموعة الخرج</v>
      </c>
      <c r="F48" s="73" t="str">
        <f>'عدد اللاعبين'!F37</f>
        <v>الباحة، بلقرن، العقيق</v>
      </c>
      <c r="G48" s="74">
        <f>'عدد اللاعبين'!G37</f>
        <v>7</v>
      </c>
      <c r="H48" s="72" t="str">
        <f>IFERROR(INDEX(المدخلات!$AE$6:$AE$12,MATCH($C48,المدخلات!$AC$6:$AC$12,0)),"")</f>
        <v>قانوني</v>
      </c>
      <c r="I48" s="74">
        <f t="shared" si="0"/>
        <v>3</v>
      </c>
      <c r="J48" s="74">
        <f>ROUNDUP($I48/IFERROR(INDEX(المدخلات!$AJ$6:$AJ$12,MATCH($C48,المدخلات!$AC$6:$AC$12,0)),1),0)</f>
        <v>1</v>
      </c>
      <c r="K48" s="74">
        <f>IF($G48&lt;الحد_الأدنى,0,IFERROR(SUMIFS(Sheet1!$D$3:$D$97,Sheet1!$B$3:$B$97,INDEX(Sheet1!$G$3:$G$9,MATCH($C48,Sheet1!$F$3:$F$9,0)),Sheet1!$C$3:$C$97,$G48),0))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7" t="str">
        <f>'عدد اللاعبين'!B38</f>
        <v>الشرقية</v>
      </c>
      <c r="C49" s="72" t="str">
        <f>'عدد اللاعبين'!C38</f>
        <v>تحت 5</v>
      </c>
      <c r="D49" s="72" t="str">
        <f>IFERROR(INDEX(المدخلات!$AD$6:$AD$12,MATCH($C49,المدخلات!$AC$6:$AC$12,0)),"")</f>
        <v>السبت</v>
      </c>
      <c r="E49" s="72" t="str">
        <f>'عدد اللاعبين'!D38</f>
        <v>مجموعة مركز الرفيعة</v>
      </c>
      <c r="F49" s="73" t="str">
        <f>'عدد اللاعبين'!F38</f>
        <v>أحد المسارحة</v>
      </c>
      <c r="G49" s="74">
        <f>'عدد اللاعبين'!G38</f>
        <v>8</v>
      </c>
      <c r="H49" s="72" t="str">
        <f>IFERROR(INDEX(المدخلات!$AE$6:$AE$12,MATCH($C49,المدخلات!$AC$6:$AC$12,0)),"")</f>
        <v>5 ضد 5</v>
      </c>
      <c r="I49" s="74">
        <f t="shared" si="0"/>
        <v>4</v>
      </c>
      <c r="J49" s="74">
        <f>ROUNDUP($I49/IFERROR(INDEX(المدخلات!$AJ$6:$AJ$12,MATCH($C49,المدخلات!$AC$6:$AC$12,0)),1),0)</f>
        <v>2</v>
      </c>
      <c r="K49" s="74">
        <f>IF($G49&lt;الحد_الأدنى,0,IFERROR(SUMIFS(Sheet1!$D$3:$D$97,Sheet1!$B$3:$B$97,INDEX(Sheet1!$G$3:$G$9,MATCH($C49,Sheet1!$F$3:$F$9,0)),Sheet1!$C$3:$C$97,$G49),0))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7" t="str">
        <f>'عدد اللاعبين'!B39</f>
        <v>الشرقية</v>
      </c>
      <c r="C50" s="72" t="str">
        <f>'عدد اللاعبين'!C39</f>
        <v>تحت 5</v>
      </c>
      <c r="D50" s="72" t="str">
        <f>IFERROR(INDEX(المدخلات!$AD$6:$AD$12,MATCH($C50,المدخلات!$AC$6:$AC$12,0)),"")</f>
        <v>السبت</v>
      </c>
      <c r="E50" s="72" t="str">
        <f>'عدد اللاعبين'!D39</f>
        <v>مجموعة القطيف</v>
      </c>
      <c r="F50" s="73" t="str">
        <f>'عدد اللاعبين'!F39</f>
        <v>ينبع، أملج</v>
      </c>
      <c r="G50" s="74">
        <f>'عدد اللاعبين'!G39</f>
        <v>8</v>
      </c>
      <c r="H50" s="72" t="str">
        <f>IFERROR(INDEX(المدخلات!$AE$6:$AE$12,MATCH($C50,المدخلات!$AC$6:$AC$12,0)),"")</f>
        <v>5 ضد 5</v>
      </c>
      <c r="I50" s="74">
        <f t="shared" si="0"/>
        <v>4</v>
      </c>
      <c r="J50" s="74">
        <f>ROUNDUP($I50/IFERROR(INDEX(المدخلات!$AJ$6:$AJ$12,MATCH($C50,المدخلات!$AC$6:$AC$12,0)),1),0)</f>
        <v>2</v>
      </c>
      <c r="K50" s="74">
        <f>IF($G50&lt;الحد_الأدنى,0,IFERROR(SUMIFS(Sheet1!$D$3:$D$97,Sheet1!$B$3:$B$97,INDEX(Sheet1!$G$3:$G$9,MATCH($C50,Sheet1!$F$3:$F$9,0)),Sheet1!$C$3:$C$97,$G50),0))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7" t="str">
        <f>'عدد اللاعبين'!B40</f>
        <v>حائل</v>
      </c>
      <c r="C51" s="72" t="str">
        <f>'عدد اللاعبين'!C40</f>
        <v>تحت 7</v>
      </c>
      <c r="D51" s="72" t="str">
        <f>IFERROR(INDEX(المدخلات!$AD$6:$AD$12,MATCH($C51,المدخلات!$AC$6:$AC$12,0)),"")</f>
        <v>السبت</v>
      </c>
      <c r="E51" s="72" t="str">
        <f>'عدد اللاعبين'!D40</f>
        <v>مجموعة حائل</v>
      </c>
      <c r="F51" s="73" t="str">
        <f>'عدد اللاعبين'!F40</f>
        <v>مركز الرفيعة</v>
      </c>
      <c r="G51" s="74">
        <f>'عدد اللاعبين'!G40</f>
        <v>8</v>
      </c>
      <c r="H51" s="72" t="str">
        <f>IFERROR(INDEX(المدخلات!$AE$6:$AE$12,MATCH($C51,المدخلات!$AC$6:$AC$12,0)),"")</f>
        <v>7 ضد 7</v>
      </c>
      <c r="I51" s="74">
        <f t="shared" si="0"/>
        <v>4</v>
      </c>
      <c r="J51" s="74">
        <f>ROUNDUP($I51/IFERROR(INDEX(المدخلات!$AJ$6:$AJ$12,MATCH($C51,المدخلات!$AC$6:$AC$12,0)),1),0)</f>
        <v>2</v>
      </c>
      <c r="K51" s="74">
        <f>IF($G51&lt;الحد_الأدنى,0,IFERROR(SUMIFS(Sheet1!$D$3:$D$97,Sheet1!$B$3:$B$97,INDEX(Sheet1!$G$3:$G$9,MATCH($C51,Sheet1!$F$3:$F$9,0)),Sheet1!$C$3:$C$97,$G51),0))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7" t="str">
        <f>'عدد اللاعبين'!B41</f>
        <v>الشرقية</v>
      </c>
      <c r="C52" s="72" t="str">
        <f>'عدد اللاعبين'!C41</f>
        <v>تحت 7</v>
      </c>
      <c r="D52" s="72" t="str">
        <f>IFERROR(INDEX(المدخلات!$AD$6:$AD$12,MATCH($C52,المدخلات!$AC$6:$AC$12,0)),"")</f>
        <v>السبت</v>
      </c>
      <c r="E52" s="72" t="str">
        <f>'عدد اللاعبين'!D41</f>
        <v>مجموعة مركز الرفيعة</v>
      </c>
      <c r="F52" s="73" t="str">
        <f>'عدد اللاعبين'!F41</f>
        <v>نجران</v>
      </c>
      <c r="G52" s="74">
        <f>'عدد اللاعبين'!G41</f>
        <v>8</v>
      </c>
      <c r="H52" s="72" t="str">
        <f>IFERROR(INDEX(المدخلات!$AE$6:$AE$12,MATCH($C52,المدخلات!$AC$6:$AC$12,0)),"")</f>
        <v>7 ضد 7</v>
      </c>
      <c r="I52" s="74">
        <f t="shared" si="0"/>
        <v>4</v>
      </c>
      <c r="J52" s="74">
        <f>ROUNDUP($I52/IFERROR(INDEX(المدخلات!$AJ$6:$AJ$12,MATCH($C52,المدخلات!$AC$6:$AC$12,0)),1),0)</f>
        <v>2</v>
      </c>
      <c r="K52" s="74">
        <f>IF($G52&lt;الحد_الأدنى,0,IFERROR(SUMIFS(Sheet1!$D$3:$D$97,Sheet1!$B$3:$B$97,INDEX(Sheet1!$G$3:$G$9,MATCH($C52,Sheet1!$F$3:$F$9,0)),Sheet1!$C$3:$C$97,$G52),0))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7" t="str">
        <f>'عدد اللاعبين'!B42</f>
        <v>الجوف</v>
      </c>
      <c r="C53" s="72" t="str">
        <f>'عدد اللاعبين'!C42</f>
        <v>تحت 7</v>
      </c>
      <c r="D53" s="72" t="str">
        <f>IFERROR(INDEX(المدخلات!$AD$6:$AD$12,MATCH($C53,المدخلات!$AC$6:$AC$12,0)),"")</f>
        <v>السبت</v>
      </c>
      <c r="E53" s="72" t="str">
        <f>'عدد اللاعبين'!D42</f>
        <v>مجموعة القريات</v>
      </c>
      <c r="F53" s="73" t="str">
        <f>'عدد اللاعبين'!F42</f>
        <v>أحد المسارحة</v>
      </c>
      <c r="G53" s="74">
        <f>'عدد اللاعبين'!G42</f>
        <v>8</v>
      </c>
      <c r="H53" s="72" t="str">
        <f>IFERROR(INDEX(المدخلات!$AE$6:$AE$12,MATCH($C53,المدخلات!$AC$6:$AC$12,0)),"")</f>
        <v>7 ضد 7</v>
      </c>
      <c r="I53" s="74">
        <f t="shared" si="0"/>
        <v>4</v>
      </c>
      <c r="J53" s="74">
        <f>ROUNDUP($I53/IFERROR(INDEX(المدخلات!$AJ$6:$AJ$12,MATCH($C53,المدخلات!$AC$6:$AC$12,0)),1),0)</f>
        <v>2</v>
      </c>
      <c r="K53" s="74">
        <f>IF($G53&lt;الحد_الأدنى,0,IFERROR(SUMIFS(Sheet1!$D$3:$D$97,Sheet1!$B$3:$B$97,INDEX(Sheet1!$G$3:$G$9,MATCH($C53,Sheet1!$F$3:$F$9,0)),Sheet1!$C$3:$C$97,$G53),0))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7" t="str">
        <f>'عدد اللاعبين'!B43</f>
        <v>الشرقية</v>
      </c>
      <c r="C54" s="72" t="str">
        <f>'عدد اللاعبين'!C43</f>
        <v>تحت 9</v>
      </c>
      <c r="D54" s="72" t="str">
        <f>IFERROR(INDEX(المدخلات!$AD$6:$AD$12,MATCH($C54,المدخلات!$AC$6:$AC$12,0)),"")</f>
        <v>السبت</v>
      </c>
      <c r="E54" s="72" t="str">
        <f>'عدد اللاعبين'!D43</f>
        <v>مجموعة مركز الرفيعة</v>
      </c>
      <c r="F54" s="73" t="str">
        <f>'عدد اللاعبين'!F43</f>
        <v>تبوك</v>
      </c>
      <c r="G54" s="74">
        <f>'عدد اللاعبين'!G43</f>
        <v>8</v>
      </c>
      <c r="H54" s="72" t="str">
        <f>IFERROR(INDEX(المدخلات!$AE$6:$AE$12,MATCH($C54,المدخلات!$AC$6:$AC$12,0)),"")</f>
        <v>7 ضد 7</v>
      </c>
      <c r="I54" s="74">
        <f t="shared" si="0"/>
        <v>4</v>
      </c>
      <c r="J54" s="74">
        <f>ROUNDUP($I54/IFERROR(INDEX(المدخلات!$AJ$6:$AJ$12,MATCH($C54,المدخلات!$AC$6:$AC$12,0)),1),0)</f>
        <v>2</v>
      </c>
      <c r="K54" s="74">
        <f>IF($G54&lt;الحد_الأدنى,0,IFERROR(SUMIFS(Sheet1!$D$3:$D$97,Sheet1!$B$3:$B$97,INDEX(Sheet1!$G$3:$G$9,MATCH($C54,Sheet1!$F$3:$F$9,0)),Sheet1!$C$3:$C$97,$G54),0))</f>
        <v>1</v>
      </c>
      <c r="L54" s="22"/>
      <c r="M54" s="22"/>
      <c r="N54" s="22"/>
      <c r="O54" s="22"/>
      <c r="P54" s="22"/>
      <c r="Q54" s="22"/>
      <c r="R54" s="22"/>
    </row>
    <row r="55" spans="2:18" hidden="1">
      <c r="B55" s="77" t="str">
        <f>'عدد اللاعبين'!B44</f>
        <v>الباحة</v>
      </c>
      <c r="C55" s="72" t="str">
        <f>'عدد اللاعبين'!C44</f>
        <v>تحت 9</v>
      </c>
      <c r="D55" s="72" t="str">
        <f>IFERROR(INDEX(المدخلات!$AD$6:$AD$12,MATCH($C55,المدخلات!$AC$6:$AC$12,0)),"")</f>
        <v>السبت</v>
      </c>
      <c r="E55" s="72" t="str">
        <f>'عدد اللاعبين'!D44</f>
        <v>مجموعة الباحة</v>
      </c>
      <c r="F55" s="73" t="str">
        <f>'عدد اللاعبين'!F44</f>
        <v>حائل</v>
      </c>
      <c r="G55" s="74">
        <f>'عدد اللاعبين'!G44</f>
        <v>8</v>
      </c>
      <c r="H55" s="72" t="str">
        <f>IFERROR(INDEX(المدخلات!$AE$6:$AE$12,MATCH($C55,المدخلات!$AC$6:$AC$12,0)),"")</f>
        <v>7 ضد 7</v>
      </c>
      <c r="I55" s="74">
        <f t="shared" si="0"/>
        <v>4</v>
      </c>
      <c r="J55" s="74">
        <f>ROUNDUP($I55/IFERROR(INDEX(المدخلات!$AJ$6:$AJ$12,MATCH($C55,المدخلات!$AC$6:$AC$12,0)),1),0)</f>
        <v>2</v>
      </c>
      <c r="K55" s="74">
        <f>IF($G55&lt;الحد_الأدنى,0,IFERROR(SUMIFS(Sheet1!$D$3:$D$97,Sheet1!$B$3:$B$97,INDEX(Sheet1!$G$3:$G$9,MATCH($C55,Sheet1!$F$3:$F$9,0)),Sheet1!$C$3:$C$97,$G55),0))</f>
        <v>1</v>
      </c>
      <c r="L55" s="22"/>
      <c r="M55" s="22"/>
      <c r="N55" s="22"/>
      <c r="O55" s="22"/>
      <c r="P55" s="22"/>
      <c r="Q55" s="22"/>
      <c r="R55" s="22"/>
    </row>
    <row r="56" spans="2:18" hidden="1">
      <c r="B56" s="77" t="str">
        <f>'عدد اللاعبين'!B45</f>
        <v>جازان</v>
      </c>
      <c r="C56" s="72" t="str">
        <f>'عدد اللاعبين'!C45</f>
        <v>تحت 11</v>
      </c>
      <c r="D56" s="72" t="str">
        <f>IFERROR(INDEX(المدخلات!$AD$6:$AD$12,MATCH($C56,المدخلات!$AC$6:$AC$12,0)),"")</f>
        <v>الأحد</v>
      </c>
      <c r="E56" s="72" t="str">
        <f>'عدد اللاعبين'!D45</f>
        <v>مجموعة أحد المسارحة</v>
      </c>
      <c r="F56" s="73" t="str">
        <f>'عدد اللاعبين'!F45</f>
        <v>مركز الرفيعة</v>
      </c>
      <c r="G56" s="74">
        <f>'عدد اللاعبين'!G45</f>
        <v>8</v>
      </c>
      <c r="H56" s="72" t="str">
        <f>IFERROR(INDEX(المدخلات!$AE$6:$AE$12,MATCH($C56,المدخلات!$AC$6:$AC$12,0)),"")</f>
        <v>7 ضد 7</v>
      </c>
      <c r="I56" s="74">
        <f t="shared" si="0"/>
        <v>4</v>
      </c>
      <c r="J56" s="74">
        <f>ROUNDUP($I56/IFERROR(INDEX(المدخلات!$AJ$6:$AJ$12,MATCH($C56,المدخلات!$AC$6:$AC$12,0)),1),0)</f>
        <v>1</v>
      </c>
      <c r="K56" s="74">
        <f>IF($G56&lt;الحد_الأدنى,0,IFERROR(SUMIFS(Sheet1!$D$3:$D$97,Sheet1!$B$3:$B$97,INDEX(Sheet1!$G$3:$G$9,MATCH($C56,Sheet1!$F$3:$F$9,0)),Sheet1!$C$3:$C$97,$G56),0))</f>
        <v>1</v>
      </c>
      <c r="L56" s="22"/>
      <c r="M56" s="22"/>
      <c r="N56" s="22"/>
      <c r="O56" s="22"/>
      <c r="P56" s="22"/>
      <c r="Q56" s="22"/>
      <c r="R56" s="22"/>
    </row>
    <row r="57" spans="2:18" hidden="1">
      <c r="B57" s="77" t="str">
        <f>'عدد اللاعبين'!B46</f>
        <v>تبوك</v>
      </c>
      <c r="C57" s="72" t="str">
        <f>'عدد اللاعبين'!C46</f>
        <v>تحت 12</v>
      </c>
      <c r="D57" s="72" t="str">
        <f>IFERROR(INDEX(المدخلات!$AD$6:$AD$12,MATCH($C57,المدخلات!$AC$6:$AC$12,0)),"")</f>
        <v>الاثنين</v>
      </c>
      <c r="E57" s="72" t="str">
        <f>'عدد اللاعبين'!D46</f>
        <v>مجموعة أملج</v>
      </c>
      <c r="F57" s="73" t="str">
        <f>'عدد اللاعبين'!F46</f>
        <v>الخرج، الدلم</v>
      </c>
      <c r="G57" s="74">
        <f>'عدد اللاعبين'!G46</f>
        <v>8</v>
      </c>
      <c r="H57" s="72" t="str">
        <f>IFERROR(INDEX(المدخلات!$AE$6:$AE$12,MATCH($C57,المدخلات!$AC$6:$AC$12,0)),"")</f>
        <v>7 ضد 7</v>
      </c>
      <c r="I57" s="74">
        <f t="shared" si="0"/>
        <v>4</v>
      </c>
      <c r="J57" s="74">
        <f>ROUNDUP($I57/IFERROR(INDEX(المدخلات!$AJ$6:$AJ$12,MATCH($C57,المدخلات!$AC$6:$AC$12,0)),1),0)</f>
        <v>1</v>
      </c>
      <c r="K57" s="74">
        <f>IF($G57&lt;الحد_الأدنى,0,IFERROR(SUMIFS(Sheet1!$D$3:$D$97,Sheet1!$B$3:$B$97,INDEX(Sheet1!$G$3:$G$9,MATCH($C57,Sheet1!$F$3:$F$9,0)),Sheet1!$C$3:$C$97,$G57),0))</f>
        <v>1</v>
      </c>
      <c r="L57" s="22"/>
      <c r="M57" s="22"/>
      <c r="N57" s="22"/>
      <c r="O57" s="22"/>
      <c r="P57" s="22"/>
      <c r="Q57" s="22"/>
      <c r="R57" s="22"/>
    </row>
    <row r="58" spans="2:18" hidden="1">
      <c r="B58" s="77" t="str">
        <f>'عدد اللاعبين'!B47</f>
        <v>الشرقية</v>
      </c>
      <c r="C58" s="72" t="str">
        <f>'عدد اللاعبين'!C47</f>
        <v>تحت 12</v>
      </c>
      <c r="D58" s="72" t="str">
        <f>IFERROR(INDEX(المدخلات!$AD$6:$AD$12,MATCH($C58,المدخلات!$AC$6:$AC$12,0)),"")</f>
        <v>الاثنين</v>
      </c>
      <c r="E58" s="72" t="str">
        <f>'عدد اللاعبين'!D47</f>
        <v>مجموعة مركز الرفيعة</v>
      </c>
      <c r="F58" s="73" t="str">
        <f>'عدد اللاعبين'!F47</f>
        <v>سكاكا، دومة الجندل</v>
      </c>
      <c r="G58" s="74">
        <f>'عدد اللاعبين'!G47</f>
        <v>8</v>
      </c>
      <c r="H58" s="72" t="str">
        <f>IFERROR(INDEX(المدخلات!$AE$6:$AE$12,MATCH($C58,المدخلات!$AC$6:$AC$12,0)),"")</f>
        <v>7 ضد 7</v>
      </c>
      <c r="I58" s="74">
        <f t="shared" si="0"/>
        <v>4</v>
      </c>
      <c r="J58" s="74">
        <f>ROUNDUP($I58/IFERROR(INDEX(المدخلات!$AJ$6:$AJ$12,MATCH($C58,المدخلات!$AC$6:$AC$12,0)),1),0)</f>
        <v>1</v>
      </c>
      <c r="K58" s="74">
        <f>IF($G58&lt;الحد_الأدنى,0,IFERROR(SUMIFS(Sheet1!$D$3:$D$97,Sheet1!$B$3:$B$97,INDEX(Sheet1!$G$3:$G$9,MATCH($C58,Sheet1!$F$3:$F$9,0)),Sheet1!$C$3:$C$97,$G58),0))</f>
        <v>1</v>
      </c>
      <c r="L58" s="22"/>
      <c r="M58" s="22"/>
      <c r="N58" s="22"/>
      <c r="O58" s="22"/>
      <c r="P58" s="22"/>
      <c r="Q58" s="22"/>
      <c r="R58" s="22"/>
    </row>
    <row r="59" spans="2:18" hidden="1">
      <c r="B59" s="77" t="str">
        <f>'عدد اللاعبين'!B48</f>
        <v>نجران</v>
      </c>
      <c r="C59" s="72" t="str">
        <f>'عدد اللاعبين'!C48</f>
        <v>تحت 12</v>
      </c>
      <c r="D59" s="72" t="str">
        <f>IFERROR(INDEX(المدخلات!$AD$6:$AD$12,MATCH($C59,المدخلات!$AC$6:$AC$12,0)),"")</f>
        <v>الاثنين</v>
      </c>
      <c r="E59" s="72" t="str">
        <f>'عدد اللاعبين'!D48</f>
        <v>مجموعة نجران</v>
      </c>
      <c r="F59" s="73" t="str">
        <f>'عدد اللاعبين'!F48</f>
        <v>أحد المسارحة</v>
      </c>
      <c r="G59" s="74">
        <f>'عدد اللاعبين'!G48</f>
        <v>8</v>
      </c>
      <c r="H59" s="72" t="str">
        <f>IFERROR(INDEX(المدخلات!$AE$6:$AE$12,MATCH($C59,المدخلات!$AC$6:$AC$12,0)),"")</f>
        <v>7 ضد 7</v>
      </c>
      <c r="I59" s="74">
        <f t="shared" si="0"/>
        <v>4</v>
      </c>
      <c r="J59" s="74">
        <f>ROUNDUP($I59/IFERROR(INDEX(المدخلات!$AJ$6:$AJ$12,MATCH($C59,المدخلات!$AC$6:$AC$12,0)),1),0)</f>
        <v>1</v>
      </c>
      <c r="K59" s="74">
        <f>IF($G59&lt;الحد_الأدنى,0,IFERROR(SUMIFS(Sheet1!$D$3:$D$97,Sheet1!$B$3:$B$97,INDEX(Sheet1!$G$3:$G$9,MATCH($C59,Sheet1!$F$3:$F$9,0)),Sheet1!$C$3:$C$97,$G59),0))</f>
        <v>1</v>
      </c>
      <c r="L59" s="22"/>
      <c r="M59" s="22"/>
      <c r="N59" s="22"/>
      <c r="O59" s="22"/>
      <c r="P59" s="22"/>
      <c r="Q59" s="22"/>
      <c r="R59" s="22"/>
    </row>
    <row r="60" spans="2:18" hidden="1">
      <c r="B60" s="77" t="str">
        <f>'عدد اللاعبين'!B49</f>
        <v>جازان</v>
      </c>
      <c r="C60" s="72" t="str">
        <f>'عدد اللاعبين'!C49</f>
        <v>تحت 12</v>
      </c>
      <c r="D60" s="72" t="str">
        <f>IFERROR(INDEX(المدخلات!$AD$6:$AD$12,MATCH($C60,المدخلات!$AC$6:$AC$12,0)),"")</f>
        <v>الاثنين</v>
      </c>
      <c r="E60" s="72" t="str">
        <f>'عدد اللاعبين'!D49</f>
        <v>مجموعة أحد المسارحة</v>
      </c>
      <c r="F60" s="73" t="str">
        <f>'عدد اللاعبين'!F49</f>
        <v>مركز الرفيعة</v>
      </c>
      <c r="G60" s="74">
        <f>'عدد اللاعبين'!G49</f>
        <v>8</v>
      </c>
      <c r="H60" s="72" t="str">
        <f>IFERROR(INDEX(المدخلات!$AE$6:$AE$12,MATCH($C60,المدخلات!$AC$6:$AC$12,0)),"")</f>
        <v>7 ضد 7</v>
      </c>
      <c r="I60" s="74">
        <f t="shared" si="0"/>
        <v>4</v>
      </c>
      <c r="J60" s="74">
        <f>ROUNDUP($I60/IFERROR(INDEX(المدخلات!$AJ$6:$AJ$12,MATCH($C60,المدخلات!$AC$6:$AC$12,0)),1),0)</f>
        <v>1</v>
      </c>
      <c r="K60" s="74">
        <f>IF($G60&lt;الحد_الأدنى,0,IFERROR(SUMIFS(Sheet1!$D$3:$D$97,Sheet1!$B$3:$B$97,INDEX(Sheet1!$G$3:$G$9,MATCH($C60,Sheet1!$F$3:$F$9,0)),Sheet1!$C$3:$C$97,$G60),0))</f>
        <v>1</v>
      </c>
      <c r="L60" s="22"/>
      <c r="M60" s="22"/>
      <c r="N60" s="22"/>
      <c r="O60" s="22"/>
      <c r="P60" s="22"/>
      <c r="Q60" s="22"/>
      <c r="R60" s="22"/>
    </row>
    <row r="61" spans="2:18" hidden="1">
      <c r="B61" s="77" t="str">
        <f>'عدد اللاعبين'!B50</f>
        <v>تبوك</v>
      </c>
      <c r="C61" s="72" t="str">
        <f>'عدد اللاعبين'!C50</f>
        <v>تحت 13</v>
      </c>
      <c r="D61" s="72" t="str">
        <f>IFERROR(INDEX(المدخلات!$AD$6:$AD$12,MATCH($C61,المدخلات!$AC$6:$AC$12,0)),"")</f>
        <v>الخميس</v>
      </c>
      <c r="E61" s="72" t="str">
        <f>'عدد اللاعبين'!D50</f>
        <v>مجموعة تبوك</v>
      </c>
      <c r="F61" s="73" t="str">
        <f>'عدد اللاعبين'!F50</f>
        <v>البكيرية، الرس، رياض الخبراء، البدائع</v>
      </c>
      <c r="G61" s="74">
        <f>'عدد اللاعبين'!G50</f>
        <v>8</v>
      </c>
      <c r="H61" s="72" t="str">
        <f>IFERROR(INDEX(المدخلات!$AE$6:$AE$12,MATCH($C61,المدخلات!$AC$6:$AC$12,0)),"")</f>
        <v>قانوني</v>
      </c>
      <c r="I61" s="74">
        <f t="shared" si="0"/>
        <v>4</v>
      </c>
      <c r="J61" s="74">
        <f>ROUNDUP($I61/IFERROR(INDEX(المدخلات!$AJ$6:$AJ$12,MATCH($C61,المدخلات!$AC$6:$AC$12,0)),1),0)</f>
        <v>2</v>
      </c>
      <c r="K61" s="74">
        <f>IF($G61&lt;الحد_الأدنى,0,IFERROR(SUMIFS(Sheet1!$D$3:$D$97,Sheet1!$B$3:$B$97,INDEX(Sheet1!$G$3:$G$9,MATCH($C61,Sheet1!$F$3:$F$9,0)),Sheet1!$C$3:$C$97,$G61),0))</f>
        <v>2</v>
      </c>
      <c r="L61" s="22"/>
      <c r="M61" s="22"/>
      <c r="N61" s="22"/>
      <c r="O61" s="22"/>
      <c r="P61" s="22"/>
      <c r="Q61" s="22"/>
      <c r="R61" s="22"/>
    </row>
    <row r="62" spans="2:18" hidden="1">
      <c r="B62" s="77" t="str">
        <f>'عدد اللاعبين'!B51</f>
        <v>حائل</v>
      </c>
      <c r="C62" s="72" t="str">
        <f>'عدد اللاعبين'!C51</f>
        <v>تحت 13</v>
      </c>
      <c r="D62" s="72" t="str">
        <f>IFERROR(INDEX(المدخلات!$AD$6:$AD$12,MATCH($C62,المدخلات!$AC$6:$AC$12,0)),"")</f>
        <v>الخميس</v>
      </c>
      <c r="E62" s="72" t="str">
        <f>'عدد اللاعبين'!D51</f>
        <v>مجموعة حائل</v>
      </c>
      <c r="F62" s="73" t="str">
        <f>'عدد اللاعبين'!F51</f>
        <v>جيزان</v>
      </c>
      <c r="G62" s="74">
        <f>'عدد اللاعبين'!G51</f>
        <v>8</v>
      </c>
      <c r="H62" s="72" t="str">
        <f>IFERROR(INDEX(المدخلات!$AE$6:$AE$12,MATCH($C62,المدخلات!$AC$6:$AC$12,0)),"")</f>
        <v>قانوني</v>
      </c>
      <c r="I62" s="74">
        <f t="shared" si="0"/>
        <v>4</v>
      </c>
      <c r="J62" s="74">
        <f>ROUNDUP($I62/IFERROR(INDEX(المدخلات!$AJ$6:$AJ$12,MATCH($C62,المدخلات!$AC$6:$AC$12,0)),1),0)</f>
        <v>2</v>
      </c>
      <c r="K62" s="74">
        <f>IF($G62&lt;الحد_الأدنى,0,IFERROR(SUMIFS(Sheet1!$D$3:$D$97,Sheet1!$B$3:$B$97,INDEX(Sheet1!$G$3:$G$9,MATCH($C62,Sheet1!$F$3:$F$9,0)),Sheet1!$C$3:$C$97,$G62),0))</f>
        <v>2</v>
      </c>
      <c r="L62" s="22"/>
      <c r="M62" s="22"/>
      <c r="N62" s="22"/>
      <c r="O62" s="22"/>
      <c r="P62" s="22"/>
      <c r="Q62" s="22"/>
      <c r="R62" s="22"/>
    </row>
    <row r="63" spans="2:18" hidden="1">
      <c r="B63" s="77" t="str">
        <f>'عدد اللاعبين'!B52</f>
        <v>الشرقية</v>
      </c>
      <c r="C63" s="72" t="str">
        <f>'عدد اللاعبين'!C52</f>
        <v>تحت 13</v>
      </c>
      <c r="D63" s="72" t="str">
        <f>IFERROR(INDEX(المدخلات!$AD$6:$AD$12,MATCH($C63,المدخلات!$AC$6:$AC$12,0)),"")</f>
        <v>الخميس</v>
      </c>
      <c r="E63" s="72" t="str">
        <f>'عدد اللاعبين'!D52</f>
        <v>مجموعة مركز الرفيعة</v>
      </c>
      <c r="F63" s="73" t="str">
        <f>'عدد اللاعبين'!F52</f>
        <v>أحد المسارحة</v>
      </c>
      <c r="G63" s="74">
        <f>'عدد اللاعبين'!G52</f>
        <v>8</v>
      </c>
      <c r="H63" s="72" t="str">
        <f>IFERROR(INDEX(المدخلات!$AE$6:$AE$12,MATCH($C63,المدخلات!$AC$6:$AC$12,0)),"")</f>
        <v>قانوني</v>
      </c>
      <c r="I63" s="74">
        <f t="shared" si="0"/>
        <v>4</v>
      </c>
      <c r="J63" s="74">
        <f>ROUNDUP($I63/IFERROR(INDEX(المدخلات!$AJ$6:$AJ$12,MATCH($C63,المدخلات!$AC$6:$AC$12,0)),1),0)</f>
        <v>2</v>
      </c>
      <c r="K63" s="74">
        <f>IF($G63&lt;الحد_الأدنى,0,IFERROR(SUMIFS(Sheet1!$D$3:$D$97,Sheet1!$B$3:$B$97,INDEX(Sheet1!$G$3:$G$9,MATCH($C63,Sheet1!$F$3:$F$9,0)),Sheet1!$C$3:$C$97,$G63),0))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7" t="str">
        <f>'عدد اللاعبين'!B53</f>
        <v>الرياض</v>
      </c>
      <c r="C64" s="72" t="str">
        <f>'عدد اللاعبين'!C53</f>
        <v>تحت 13</v>
      </c>
      <c r="D64" s="72" t="str">
        <f>IFERROR(INDEX(المدخلات!$AD$6:$AD$12,MATCH($C64,المدخلات!$AC$6:$AC$12,0)),"")</f>
        <v>الخميس</v>
      </c>
      <c r="E64" s="72" t="str">
        <f>'عدد اللاعبين'!D53</f>
        <v>مجموعة الخرج</v>
      </c>
      <c r="F64" s="73" t="str">
        <f>'عدد اللاعبين'!F53</f>
        <v>الخبر، الدمام، سيهات</v>
      </c>
      <c r="G64" s="74">
        <f>'عدد اللاعبين'!G53</f>
        <v>8</v>
      </c>
      <c r="H64" s="72" t="str">
        <f>IFERROR(INDEX(المدخلات!$AE$6:$AE$12,MATCH($C64,المدخلات!$AC$6:$AC$12,0)),"")</f>
        <v>قانوني</v>
      </c>
      <c r="I64" s="74">
        <f t="shared" si="0"/>
        <v>4</v>
      </c>
      <c r="J64" s="74">
        <f>ROUNDUP($I64/IFERROR(INDEX(المدخلات!$AJ$6:$AJ$12,MATCH($C64,المدخلات!$AC$6:$AC$12,0)),1),0)</f>
        <v>2</v>
      </c>
      <c r="K64" s="74">
        <f>IF($G64&lt;الحد_الأدنى,0,IFERROR(SUMIFS(Sheet1!$D$3:$D$97,Sheet1!$B$3:$B$97,INDEX(Sheet1!$G$3:$G$9,MATCH($C64,Sheet1!$F$3:$F$9,0)),Sheet1!$C$3:$C$97,$G64),0))</f>
        <v>2</v>
      </c>
      <c r="L64" s="22"/>
      <c r="M64" s="22"/>
      <c r="N64" s="22"/>
      <c r="O64" s="22"/>
      <c r="P64" s="22"/>
      <c r="Q64" s="22"/>
      <c r="R64" s="22"/>
    </row>
    <row r="65" spans="2:18" hidden="1">
      <c r="B65" s="77" t="str">
        <f>'عدد اللاعبين'!B54</f>
        <v>الجوف</v>
      </c>
      <c r="C65" s="72" t="str">
        <f>'عدد اللاعبين'!C54</f>
        <v>تحت 13</v>
      </c>
      <c r="D65" s="72" t="str">
        <f>IFERROR(INDEX(المدخلات!$AD$6:$AD$12,MATCH($C65,المدخلات!$AC$6:$AC$12,0)),"")</f>
        <v>الخميس</v>
      </c>
      <c r="E65" s="72" t="str">
        <f>'عدد اللاعبين'!D54</f>
        <v>مجموعة سكاكا</v>
      </c>
      <c r="F65" s="73" t="str">
        <f>'عدد اللاعبين'!F54</f>
        <v>أحد المسارحة</v>
      </c>
      <c r="G65" s="74">
        <f>'عدد اللاعبين'!G54</f>
        <v>8</v>
      </c>
      <c r="H65" s="72" t="str">
        <f>IFERROR(INDEX(المدخلات!$AE$6:$AE$12,MATCH($C65,المدخلات!$AC$6:$AC$12,0)),"")</f>
        <v>قانوني</v>
      </c>
      <c r="I65" s="74">
        <f t="shared" si="0"/>
        <v>4</v>
      </c>
      <c r="J65" s="74">
        <f>ROUNDUP($I65/IFERROR(INDEX(المدخلات!$AJ$6:$AJ$12,MATCH($C65,المدخلات!$AC$6:$AC$12,0)),1),0)</f>
        <v>2</v>
      </c>
      <c r="K65" s="74">
        <f>IF($G65&lt;الحد_الأدنى,0,IFERROR(SUMIFS(Sheet1!$D$3:$D$97,Sheet1!$B$3:$B$97,INDEX(Sheet1!$G$3:$G$9,MATCH($C65,Sheet1!$F$3:$F$9,0)),Sheet1!$C$3:$C$97,$G65),0))</f>
        <v>2</v>
      </c>
      <c r="L65" s="22"/>
      <c r="M65" s="22"/>
      <c r="N65" s="22"/>
      <c r="O65" s="22"/>
      <c r="P65" s="22"/>
      <c r="Q65" s="22"/>
      <c r="R65" s="22"/>
    </row>
    <row r="66" spans="2:18" hidden="1">
      <c r="B66" s="77" t="str">
        <f>'عدد اللاعبين'!B55</f>
        <v>جازان</v>
      </c>
      <c r="C66" s="72" t="str">
        <f>'عدد اللاعبين'!C55</f>
        <v>تحت 13</v>
      </c>
      <c r="D66" s="72" t="str">
        <f>IFERROR(INDEX(المدخلات!$AD$6:$AD$12,MATCH($C66,المدخلات!$AC$6:$AC$12,0)),"")</f>
        <v>الخميس</v>
      </c>
      <c r="E66" s="72" t="str">
        <f>'عدد اللاعبين'!D55</f>
        <v>مجموعة أحد المسارحة</v>
      </c>
      <c r="F66" s="73" t="str">
        <f>'عدد اللاعبين'!F55</f>
        <v>صامطة</v>
      </c>
      <c r="G66" s="74">
        <f>'عدد اللاعبين'!G55</f>
        <v>8</v>
      </c>
      <c r="H66" s="72" t="str">
        <f>IFERROR(INDEX(المدخلات!$AE$6:$AE$12,MATCH($C66,المدخلات!$AC$6:$AC$12,0)),"")</f>
        <v>قانوني</v>
      </c>
      <c r="I66" s="74">
        <f t="shared" si="0"/>
        <v>4</v>
      </c>
      <c r="J66" s="74">
        <f>ROUNDUP($I66/IFERROR(INDEX(المدخلات!$AJ$6:$AJ$12,MATCH($C66,المدخلات!$AC$6:$AC$12,0)),1),0)</f>
        <v>2</v>
      </c>
      <c r="K66" s="74">
        <f>IF($G66&lt;الحد_الأدنى,0,IFERROR(SUMIFS(Sheet1!$D$3:$D$97,Sheet1!$B$3:$B$97,INDEX(Sheet1!$G$3:$G$9,MATCH($C66,Sheet1!$F$3:$F$9,0)),Sheet1!$C$3:$C$97,$G66),0))</f>
        <v>2</v>
      </c>
      <c r="L66" s="22"/>
      <c r="M66" s="22"/>
      <c r="N66" s="22"/>
      <c r="O66" s="22"/>
      <c r="P66" s="22"/>
      <c r="Q66" s="22"/>
      <c r="R66" s="22"/>
    </row>
    <row r="67" spans="2:18" hidden="1">
      <c r="B67" s="77" t="str">
        <f>'عدد اللاعبين'!B56</f>
        <v>الشرقية</v>
      </c>
      <c r="C67" s="72" t="str">
        <f>'عدد اللاعبين'!C56</f>
        <v>تحت 14</v>
      </c>
      <c r="D67" s="72" t="str">
        <f>IFERROR(INDEX(المدخلات!$AD$6:$AD$12,MATCH($C67,المدخلات!$AC$6:$AC$12,0)),"")</f>
        <v>الأربعاء</v>
      </c>
      <c r="E67" s="72" t="str">
        <f>'عدد اللاعبين'!D56</f>
        <v>مجموعة مركز الرفيعة</v>
      </c>
      <c r="F67" s="73" t="str">
        <f>'عدد اللاعبين'!F56</f>
        <v>جيزان</v>
      </c>
      <c r="G67" s="74">
        <f>'عدد اللاعبين'!G56</f>
        <v>8</v>
      </c>
      <c r="H67" s="72" t="str">
        <f>IFERROR(INDEX(المدخلات!$AE$6:$AE$12,MATCH($C67,المدخلات!$AC$6:$AC$12,0)),"")</f>
        <v>قانوني</v>
      </c>
      <c r="I67" s="74">
        <f t="shared" si="0"/>
        <v>4</v>
      </c>
      <c r="J67" s="74">
        <f>ROUNDUP($I67/IFERROR(INDEX(المدخلات!$AJ$6:$AJ$12,MATCH($C67,المدخلات!$AC$6:$AC$12,0)),1),0)</f>
        <v>2</v>
      </c>
      <c r="K67" s="74">
        <f>IF($G67&lt;الحد_الأدنى,0,IFERROR(SUMIFS(Sheet1!$D$3:$D$97,Sheet1!$B$3:$B$97,INDEX(Sheet1!$G$3:$G$9,MATCH($C67,Sheet1!$F$3:$F$9,0)),Sheet1!$C$3:$C$97,$G67),0))</f>
        <v>2</v>
      </c>
      <c r="L67" s="22"/>
      <c r="M67" s="22"/>
      <c r="N67" s="22"/>
      <c r="O67" s="22"/>
      <c r="P67" s="22"/>
      <c r="Q67" s="22"/>
      <c r="R67" s="22"/>
    </row>
    <row r="68" spans="2:18" hidden="1">
      <c r="B68" s="77" t="str">
        <f>'عدد اللاعبين'!B57</f>
        <v>القصيم</v>
      </c>
      <c r="C68" s="72" t="str">
        <f>'عدد اللاعبين'!C57</f>
        <v>تحت 14</v>
      </c>
      <c r="D68" s="72" t="str">
        <f>IFERROR(INDEX(المدخلات!$AD$6:$AD$12,MATCH($C68,المدخلات!$AC$6:$AC$12,0)),"")</f>
        <v>الأربعاء</v>
      </c>
      <c r="E68" s="72" t="str">
        <f>'عدد اللاعبين'!D57</f>
        <v>مجموعة الرس</v>
      </c>
      <c r="F68" s="73" t="str">
        <f>'عدد اللاعبين'!F57</f>
        <v>أحد المسارحة</v>
      </c>
      <c r="G68" s="74">
        <f>'عدد اللاعبين'!G57</f>
        <v>8</v>
      </c>
      <c r="H68" s="72" t="str">
        <f>IFERROR(INDEX(المدخلات!$AE$6:$AE$12,MATCH($C68,المدخلات!$AC$6:$AC$12,0)),"")</f>
        <v>قانوني</v>
      </c>
      <c r="I68" s="74">
        <f t="shared" si="0"/>
        <v>4</v>
      </c>
      <c r="J68" s="74">
        <f>ROUNDUP($I68/IFERROR(INDEX(المدخلات!$AJ$6:$AJ$12,MATCH($C68,المدخلات!$AC$6:$AC$12,0)),1),0)</f>
        <v>2</v>
      </c>
      <c r="K68" s="74">
        <f>IF($G68&lt;الحد_الأدنى,0,IFERROR(SUMIFS(Sheet1!$D$3:$D$97,Sheet1!$B$3:$B$97,INDEX(Sheet1!$G$3:$G$9,MATCH($C68,Sheet1!$F$3:$F$9,0)),Sheet1!$C$3:$C$97,$G68),0))</f>
        <v>2</v>
      </c>
      <c r="L68" s="22"/>
      <c r="M68" s="22"/>
      <c r="N68" s="22"/>
      <c r="O68" s="22"/>
      <c r="P68" s="22"/>
      <c r="Q68" s="22"/>
      <c r="R68" s="22"/>
    </row>
    <row r="69" spans="2:18" hidden="1">
      <c r="B69" s="77" t="str">
        <f>'عدد اللاعبين'!B58</f>
        <v>جازان</v>
      </c>
      <c r="C69" s="72" t="str">
        <f>'عدد اللاعبين'!C58</f>
        <v>تحت 14</v>
      </c>
      <c r="D69" s="72" t="str">
        <f>IFERROR(INDEX(المدخلات!$AD$6:$AD$12,MATCH($C69,المدخلات!$AC$6:$AC$12,0)),"")</f>
        <v>الأربعاء</v>
      </c>
      <c r="E69" s="72" t="str">
        <f>'عدد اللاعبين'!D58</f>
        <v>مجموعة جازان</v>
      </c>
      <c r="F69" s="73" t="str">
        <f>'عدد اللاعبين'!F58</f>
        <v>البكيرية، الرس، رياض الخبراء، البدائع</v>
      </c>
      <c r="G69" s="74">
        <f>'عدد اللاعبين'!G58</f>
        <v>8</v>
      </c>
      <c r="H69" s="72" t="str">
        <f>IFERROR(INDEX(المدخلات!$AE$6:$AE$12,MATCH($C69,المدخلات!$AC$6:$AC$12,0)),"")</f>
        <v>قانوني</v>
      </c>
      <c r="I69" s="74">
        <f t="shared" si="0"/>
        <v>4</v>
      </c>
      <c r="J69" s="74">
        <f>ROUNDUP($I69/IFERROR(INDEX(المدخلات!$AJ$6:$AJ$12,MATCH($C69,المدخلات!$AC$6:$AC$12,0)),1),0)</f>
        <v>2</v>
      </c>
      <c r="K69" s="74">
        <f>IF($G69&lt;الحد_الأدنى,0,IFERROR(SUMIFS(Sheet1!$D$3:$D$97,Sheet1!$B$3:$B$97,INDEX(Sheet1!$G$3:$G$9,MATCH($C69,Sheet1!$F$3:$F$9,0)),Sheet1!$C$3:$C$97,$G69),0))</f>
        <v>2</v>
      </c>
      <c r="L69" s="22"/>
      <c r="M69" s="22"/>
      <c r="N69" s="22"/>
      <c r="O69" s="22"/>
      <c r="P69" s="22"/>
      <c r="Q69" s="22"/>
      <c r="R69" s="22"/>
    </row>
    <row r="70" spans="2:18" hidden="1">
      <c r="B70" s="77" t="str">
        <f>'عدد اللاعبين'!B59</f>
        <v>جازان</v>
      </c>
      <c r="C70" s="72" t="str">
        <f>'عدد اللاعبين'!C59</f>
        <v>تحت 14</v>
      </c>
      <c r="D70" s="72" t="str">
        <f>IFERROR(INDEX(المدخلات!$AD$6:$AD$12,MATCH($C70,المدخلات!$AC$6:$AC$12,0)),"")</f>
        <v>الأربعاء</v>
      </c>
      <c r="E70" s="72" t="str">
        <f>'عدد اللاعبين'!D59</f>
        <v>مجموعة أحد المسارحة</v>
      </c>
      <c r="F70" s="73" t="str">
        <f>'عدد اللاعبين'!F59</f>
        <v>القنفذة</v>
      </c>
      <c r="G70" s="74">
        <f>'عدد اللاعبين'!G59</f>
        <v>8</v>
      </c>
      <c r="H70" s="72" t="str">
        <f>IFERROR(INDEX(المدخلات!$AE$6:$AE$12,MATCH($C70,المدخلات!$AC$6:$AC$12,0)),"")</f>
        <v>قانوني</v>
      </c>
      <c r="I70" s="74">
        <f t="shared" si="0"/>
        <v>4</v>
      </c>
      <c r="J70" s="74">
        <f>ROUNDUP($I70/IFERROR(INDEX(المدخلات!$AJ$6:$AJ$12,MATCH($C70,المدخلات!$AC$6:$AC$12,0)),1),0)</f>
        <v>2</v>
      </c>
      <c r="K70" s="74">
        <f>IF($G70&lt;الحد_الأدنى,0,IFERROR(SUMIFS(Sheet1!$D$3:$D$97,Sheet1!$B$3:$B$97,INDEX(Sheet1!$G$3:$G$9,MATCH($C70,Sheet1!$F$3:$F$9,0)),Sheet1!$C$3:$C$97,$G70),0))</f>
        <v>2</v>
      </c>
      <c r="L70" s="22"/>
      <c r="M70" s="22"/>
      <c r="N70" s="22"/>
      <c r="O70" s="22"/>
      <c r="P70" s="22"/>
      <c r="Q70" s="22"/>
      <c r="R70" s="22"/>
    </row>
    <row r="71" spans="2:18" hidden="1">
      <c r="B71" s="77" t="str">
        <f>'عدد اللاعبين'!B60</f>
        <v>الشرقية</v>
      </c>
      <c r="C71" s="72" t="str">
        <f>'عدد اللاعبين'!C60</f>
        <v>تحت 5</v>
      </c>
      <c r="D71" s="72" t="str">
        <f>IFERROR(INDEX(المدخلات!$AD$6:$AD$12,MATCH($C71,المدخلات!$AC$6:$AC$12,0)),"")</f>
        <v>السبت</v>
      </c>
      <c r="E71" s="72" t="str">
        <f>'عدد اللاعبين'!D60</f>
        <v>مجموعة الدمام</v>
      </c>
      <c r="F71" s="73" t="str">
        <f>'عدد اللاعبين'!F60</f>
        <v>أحد المسارحة</v>
      </c>
      <c r="G71" s="74">
        <f>'عدد اللاعبين'!G60</f>
        <v>8</v>
      </c>
      <c r="H71" s="72" t="str">
        <f>IFERROR(INDEX(المدخلات!$AE$6:$AE$12,MATCH($C71,المدخلات!$AC$6:$AC$12,0)),"")</f>
        <v>5 ضد 5</v>
      </c>
      <c r="I71" s="74">
        <f t="shared" si="0"/>
        <v>4</v>
      </c>
      <c r="J71" s="74">
        <f>ROUNDUP($I71/IFERROR(INDEX(المدخلات!$AJ$6:$AJ$12,MATCH($C71,المدخلات!$AC$6:$AC$12,0)),1),0)</f>
        <v>2</v>
      </c>
      <c r="K71" s="74">
        <f>IF($G71&lt;الحد_الأدنى,0,IFERROR(SUMIFS(Sheet1!$D$3:$D$97,Sheet1!$B$3:$B$97,INDEX(Sheet1!$G$3:$G$9,MATCH($C71,Sheet1!$F$3:$F$9,0)),Sheet1!$C$3:$C$97,$G71),0))</f>
        <v>1</v>
      </c>
      <c r="L71" s="22"/>
      <c r="M71" s="22"/>
      <c r="N71" s="22"/>
      <c r="O71" s="22"/>
      <c r="P71" s="22"/>
      <c r="Q71" s="22"/>
      <c r="R71" s="22"/>
    </row>
    <row r="72" spans="2:18" hidden="1">
      <c r="B72" s="77" t="str">
        <f>'عدد اللاعبين'!B61</f>
        <v>جازان</v>
      </c>
      <c r="C72" s="72" t="str">
        <f>'عدد اللاعبين'!C61</f>
        <v>تحت 5</v>
      </c>
      <c r="D72" s="72" t="str">
        <f>IFERROR(INDEX(المدخلات!$AD$6:$AD$12,MATCH($C72,المدخلات!$AC$6:$AC$12,0)),"")</f>
        <v>السبت</v>
      </c>
      <c r="E72" s="72" t="str">
        <f>'عدد اللاعبين'!D61</f>
        <v>مجموعة أحد المسارحة</v>
      </c>
      <c r="F72" s="73" t="str">
        <f>'عدد اللاعبين'!F61</f>
        <v>تبوك</v>
      </c>
      <c r="G72" s="74">
        <f>'عدد اللاعبين'!G61</f>
        <v>9</v>
      </c>
      <c r="H72" s="72" t="str">
        <f>IFERROR(INDEX(المدخلات!$AE$6:$AE$12,MATCH($C72,المدخلات!$AC$6:$AC$12,0)),"")</f>
        <v>5 ضد 5</v>
      </c>
      <c r="I72" s="74">
        <f t="shared" si="0"/>
        <v>4</v>
      </c>
      <c r="J72" s="74">
        <f>ROUNDUP($I72/IFERROR(INDEX(المدخلات!$AJ$6:$AJ$12,MATCH($C72,المدخلات!$AC$6:$AC$12,0)),1),0)</f>
        <v>2</v>
      </c>
      <c r="K72" s="74">
        <f>IF($G72&lt;الحد_الأدنى,0,IFERROR(SUMIFS(Sheet1!$D$3:$D$97,Sheet1!$B$3:$B$97,INDEX(Sheet1!$G$3:$G$9,MATCH($C72,Sheet1!$F$3:$F$9,0)),Sheet1!$C$3:$C$97,$G72),0))</f>
        <v>1</v>
      </c>
      <c r="L72" s="22"/>
      <c r="M72" s="22"/>
      <c r="N72" s="22"/>
      <c r="O72" s="22"/>
      <c r="P72" s="22"/>
      <c r="Q72" s="22"/>
      <c r="R72" s="22"/>
    </row>
    <row r="73" spans="2:18" hidden="1">
      <c r="B73" s="77" t="str">
        <f>'عدد اللاعبين'!B62</f>
        <v>جازان</v>
      </c>
      <c r="C73" s="72" t="str">
        <f>'عدد اللاعبين'!C62</f>
        <v>تحت 5</v>
      </c>
      <c r="D73" s="72" t="str">
        <f>IFERROR(INDEX(المدخلات!$AD$6:$AD$12,MATCH($C73,المدخلات!$AC$6:$AC$12,0)),"")</f>
        <v>السبت</v>
      </c>
      <c r="E73" s="72" t="str">
        <f>'عدد اللاعبين'!D62</f>
        <v>مجموعة صامطة</v>
      </c>
      <c r="F73" s="73" t="str">
        <f>'عدد اللاعبين'!F62</f>
        <v>مركز الرفيعة</v>
      </c>
      <c r="G73" s="74">
        <f>'عدد اللاعبين'!G62</f>
        <v>9</v>
      </c>
      <c r="H73" s="72" t="str">
        <f>IFERROR(INDEX(المدخلات!$AE$6:$AE$12,MATCH($C73,المدخلات!$AC$6:$AC$12,0)),"")</f>
        <v>5 ضد 5</v>
      </c>
      <c r="I73" s="74">
        <f t="shared" si="0"/>
        <v>4</v>
      </c>
      <c r="J73" s="74">
        <f>ROUNDUP($I73/IFERROR(INDEX(المدخلات!$AJ$6:$AJ$12,MATCH($C73,المدخلات!$AC$6:$AC$12,0)),1),0)</f>
        <v>2</v>
      </c>
      <c r="K73" s="74">
        <f>IF($G73&lt;الحد_الأدنى,0,IFERROR(SUMIFS(Sheet1!$D$3:$D$97,Sheet1!$B$3:$B$97,INDEX(Sheet1!$G$3:$G$9,MATCH($C73,Sheet1!$F$3:$F$9,0)),Sheet1!$C$3:$C$97,$G73),0))</f>
        <v>1</v>
      </c>
      <c r="L73" s="22"/>
      <c r="M73" s="22"/>
      <c r="N73" s="22"/>
      <c r="O73" s="22"/>
      <c r="P73" s="22"/>
      <c r="Q73" s="22"/>
      <c r="R73" s="22"/>
    </row>
    <row r="74" spans="2:18" hidden="1">
      <c r="B74" s="77" t="str">
        <f>'عدد اللاعبين'!B63</f>
        <v>جازان</v>
      </c>
      <c r="C74" s="72" t="str">
        <f>'عدد اللاعبين'!C63</f>
        <v>تحت 7</v>
      </c>
      <c r="D74" s="72" t="str">
        <f>IFERROR(INDEX(المدخلات!$AD$6:$AD$12,MATCH($C74,المدخلات!$AC$6:$AC$12,0)),"")</f>
        <v>السبت</v>
      </c>
      <c r="E74" s="72" t="str">
        <f>'عدد اللاعبين'!D63</f>
        <v>مجموعة جازان</v>
      </c>
      <c r="F74" s="73" t="str">
        <f>'عدد اللاعبين'!F63</f>
        <v>تبوك</v>
      </c>
      <c r="G74" s="74">
        <f>'عدد اللاعبين'!G63</f>
        <v>9</v>
      </c>
      <c r="H74" s="72" t="str">
        <f>IFERROR(INDEX(المدخلات!$AE$6:$AE$12,MATCH($C74,المدخلات!$AC$6:$AC$12,0)),"")</f>
        <v>7 ضد 7</v>
      </c>
      <c r="I74" s="74">
        <f t="shared" si="0"/>
        <v>4</v>
      </c>
      <c r="J74" s="74">
        <f>ROUNDUP($I74/IFERROR(INDEX(المدخلات!$AJ$6:$AJ$12,MATCH($C74,المدخلات!$AC$6:$AC$12,0)),1),0)</f>
        <v>2</v>
      </c>
      <c r="K74" s="74">
        <f>IF($G74&lt;الحد_الأدنى,0,IFERROR(SUMIFS(Sheet1!$D$3:$D$97,Sheet1!$B$3:$B$97,INDEX(Sheet1!$G$3:$G$9,MATCH($C74,Sheet1!$F$3:$F$9,0)),Sheet1!$C$3:$C$97,$G74),0))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7" t="str">
        <f>'عدد اللاعبين'!B64</f>
        <v>جازان</v>
      </c>
      <c r="C75" s="72" t="str">
        <f>'عدد اللاعبين'!C64</f>
        <v>تحت 7</v>
      </c>
      <c r="D75" s="72" t="str">
        <f>IFERROR(INDEX(المدخلات!$AD$6:$AD$12,MATCH($C75,المدخلات!$AC$6:$AC$12,0)),"")</f>
        <v>السبت</v>
      </c>
      <c r="E75" s="72" t="str">
        <f>'عدد اللاعبين'!D64</f>
        <v>مجموعة أحد المسارحة</v>
      </c>
      <c r="F75" s="73" t="str">
        <f>'عدد اللاعبين'!F64</f>
        <v>سكاكا، دومة الجندل</v>
      </c>
      <c r="G75" s="74">
        <f>'عدد اللاعبين'!G64</f>
        <v>9</v>
      </c>
      <c r="H75" s="72" t="str">
        <f>IFERROR(INDEX(المدخلات!$AE$6:$AE$12,MATCH($C75,المدخلات!$AC$6:$AC$12,0)),"")</f>
        <v>7 ضد 7</v>
      </c>
      <c r="I75" s="74">
        <f t="shared" si="0"/>
        <v>4</v>
      </c>
      <c r="J75" s="74">
        <f>ROUNDUP($I75/IFERROR(INDEX(المدخلات!$AJ$6:$AJ$12,MATCH($C75,المدخلات!$AC$6:$AC$12,0)),1),0)</f>
        <v>2</v>
      </c>
      <c r="K75" s="74">
        <f>IF($G75&lt;الحد_الأدنى,0,IFERROR(SUMIFS(Sheet1!$D$3:$D$97,Sheet1!$B$3:$B$97,INDEX(Sheet1!$G$3:$G$9,MATCH($C75,Sheet1!$F$3:$F$9,0)),Sheet1!$C$3:$C$97,$G75),0))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7" t="str">
        <f>'عدد اللاعبين'!B65</f>
        <v>القصيم</v>
      </c>
      <c r="C76" s="72" t="str">
        <f>'عدد اللاعبين'!C65</f>
        <v>تحت 9</v>
      </c>
      <c r="D76" s="72" t="str">
        <f>IFERROR(INDEX(المدخلات!$AD$6:$AD$12,MATCH($C76,المدخلات!$AC$6:$AC$12,0)),"")</f>
        <v>السبت</v>
      </c>
      <c r="E76" s="72" t="str">
        <f>'عدد اللاعبين'!D65</f>
        <v>مجموعة الرس</v>
      </c>
      <c r="F76" s="73" t="str">
        <f>'عدد اللاعبين'!F65</f>
        <v>تبوك</v>
      </c>
      <c r="G76" s="74">
        <f>'عدد اللاعبين'!G65</f>
        <v>9</v>
      </c>
      <c r="H76" s="72" t="str">
        <f>IFERROR(INDEX(المدخلات!$AE$6:$AE$12,MATCH($C76,المدخلات!$AC$6:$AC$12,0)),"")</f>
        <v>7 ضد 7</v>
      </c>
      <c r="I76" s="74">
        <f t="shared" si="0"/>
        <v>4</v>
      </c>
      <c r="J76" s="74">
        <f>ROUNDUP($I76/IFERROR(INDEX(المدخلات!$AJ$6:$AJ$12,MATCH($C76,المدخلات!$AC$6:$AC$12,0)),1),0)</f>
        <v>2</v>
      </c>
      <c r="K76" s="74">
        <f>IF($G76&lt;الحد_الأدنى,0,IFERROR(SUMIFS(Sheet1!$D$3:$D$97,Sheet1!$B$3:$B$97,INDEX(Sheet1!$G$3:$G$9,MATCH($C76,Sheet1!$F$3:$F$9,0)),Sheet1!$C$3:$C$97,$G76),0))</f>
        <v>1</v>
      </c>
      <c r="L76" s="22"/>
      <c r="M76" s="22"/>
      <c r="N76" s="22"/>
      <c r="O76" s="22"/>
      <c r="P76" s="22"/>
      <c r="Q76" s="22"/>
      <c r="R76" s="22"/>
    </row>
    <row r="77" spans="2:18" hidden="1">
      <c r="B77" s="77" t="str">
        <f>'عدد اللاعبين'!B66</f>
        <v>مكة المكرمة</v>
      </c>
      <c r="C77" s="72" t="str">
        <f>'عدد اللاعبين'!C66</f>
        <v>تحت 9</v>
      </c>
      <c r="D77" s="72" t="str">
        <f>IFERROR(INDEX(المدخلات!$AD$6:$AD$12,MATCH($C77,المدخلات!$AC$6:$AC$12,0)),"")</f>
        <v>السبت</v>
      </c>
      <c r="E77" s="72" t="str">
        <f>'عدد اللاعبين'!D66</f>
        <v>مجموعة القنفذة</v>
      </c>
      <c r="F77" s="73" t="str">
        <f>'عدد اللاعبين'!F66</f>
        <v>المدينة المنورة</v>
      </c>
      <c r="G77" s="74">
        <f>'عدد اللاعبين'!G66</f>
        <v>9</v>
      </c>
      <c r="H77" s="72" t="str">
        <f>IFERROR(INDEX(المدخلات!$AE$6:$AE$12,MATCH($C77,المدخلات!$AC$6:$AC$12,0)),"")</f>
        <v>7 ضد 7</v>
      </c>
      <c r="I77" s="74">
        <f t="shared" si="0"/>
        <v>4</v>
      </c>
      <c r="J77" s="74">
        <f>ROUNDUP($I77/IFERROR(INDEX(المدخلات!$AJ$6:$AJ$12,MATCH($C77,المدخلات!$AC$6:$AC$12,0)),1),0)</f>
        <v>2</v>
      </c>
      <c r="K77" s="74">
        <f>IF($G77&lt;الحد_الأدنى,0,IFERROR(SUMIFS(Sheet1!$D$3:$D$97,Sheet1!$B$3:$B$97,INDEX(Sheet1!$G$3:$G$9,MATCH($C77,Sheet1!$F$3:$F$9,0)),Sheet1!$C$3:$C$97,$G77),0))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7" t="str">
        <f>'عدد اللاعبين'!B67</f>
        <v>جازان</v>
      </c>
      <c r="C78" s="72" t="str">
        <f>'عدد اللاعبين'!C67</f>
        <v>تحت 9</v>
      </c>
      <c r="D78" s="72" t="str">
        <f>IFERROR(INDEX(المدخلات!$AD$6:$AD$12,MATCH($C78,المدخلات!$AC$6:$AC$12,0)),"")</f>
        <v>السبت</v>
      </c>
      <c r="E78" s="72" t="str">
        <f>'عدد اللاعبين'!D67</f>
        <v>مجموعة أحد المسارحة</v>
      </c>
      <c r="F78" s="73" t="str">
        <f>'عدد اللاعبين'!F67</f>
        <v>جيزان</v>
      </c>
      <c r="G78" s="74">
        <f>'عدد اللاعبين'!G67</f>
        <v>9</v>
      </c>
      <c r="H78" s="72" t="str">
        <f>IFERROR(INDEX(المدخلات!$AE$6:$AE$12,MATCH($C78,المدخلات!$AC$6:$AC$12,0)),"")</f>
        <v>7 ضد 7</v>
      </c>
      <c r="I78" s="74">
        <f t="shared" ref="I78:I141" si="1">IF($G78&lt;الحد_الأدنى,0,ROUNDDOWN($G78/فرق_المباراة,0))</f>
        <v>4</v>
      </c>
      <c r="J78" s="74">
        <f>ROUNDUP($I78/IFERROR(INDEX(المدخلات!$AJ$6:$AJ$12,MATCH($C78,المدخلات!$AC$6:$AC$12,0)),1),0)</f>
        <v>2</v>
      </c>
      <c r="K78" s="74">
        <f>IF($G78&lt;الحد_الأدنى,0,IFERROR(SUMIFS(Sheet1!$D$3:$D$97,Sheet1!$B$3:$B$97,INDEX(Sheet1!$G$3:$G$9,MATCH($C78,Sheet1!$F$3:$F$9,0)),Sheet1!$C$3:$C$97,$G78),0))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7" t="str">
        <f>'عدد اللاعبين'!B68</f>
        <v>تبوك</v>
      </c>
      <c r="C79" s="72" t="str">
        <f>'عدد اللاعبين'!C68</f>
        <v>تحت 11</v>
      </c>
      <c r="D79" s="72" t="str">
        <f>IFERROR(INDEX(المدخلات!$AD$6:$AD$12,MATCH($C79,المدخلات!$AC$6:$AC$12,0)),"")</f>
        <v>الأحد</v>
      </c>
      <c r="E79" s="72" t="str">
        <f>'عدد اللاعبين'!D68</f>
        <v>مجموعة تبوك</v>
      </c>
      <c r="F79" s="73" t="str">
        <f>'عدد اللاعبين'!F68</f>
        <v>أبو عريش</v>
      </c>
      <c r="G79" s="74">
        <f>'عدد اللاعبين'!G68</f>
        <v>9</v>
      </c>
      <c r="H79" s="72" t="str">
        <f>IFERROR(INDEX(المدخلات!$AE$6:$AE$12,MATCH($C79,المدخلات!$AC$6:$AC$12,0)),"")</f>
        <v>7 ضد 7</v>
      </c>
      <c r="I79" s="74">
        <f t="shared" si="1"/>
        <v>4</v>
      </c>
      <c r="J79" s="74">
        <f>ROUNDUP($I79/IFERROR(INDEX(المدخلات!$AJ$6:$AJ$12,MATCH($C79,المدخلات!$AC$6:$AC$12,0)),1),0)</f>
        <v>1</v>
      </c>
      <c r="K79" s="74">
        <f>IF($G79&lt;الحد_الأدنى,0,IFERROR(SUMIFS(Sheet1!$D$3:$D$97,Sheet1!$B$3:$B$97,INDEX(Sheet1!$G$3:$G$9,MATCH($C79,Sheet1!$F$3:$F$9,0)),Sheet1!$C$3:$C$97,$G79),0))</f>
        <v>1</v>
      </c>
      <c r="L79" s="22"/>
      <c r="M79" s="22"/>
      <c r="N79" s="22"/>
      <c r="O79" s="22"/>
      <c r="P79" s="22"/>
      <c r="Q79" s="22"/>
      <c r="R79" s="22"/>
    </row>
    <row r="80" spans="2:18" hidden="1">
      <c r="B80" s="77" t="str">
        <f>'عدد اللاعبين'!B69</f>
        <v>الشرقية</v>
      </c>
      <c r="C80" s="72" t="str">
        <f>'عدد اللاعبين'!C69</f>
        <v>تحت 11</v>
      </c>
      <c r="D80" s="72" t="str">
        <f>IFERROR(INDEX(المدخلات!$AD$6:$AD$12,MATCH($C80,المدخلات!$AC$6:$AC$12,0)),"")</f>
        <v>الأحد</v>
      </c>
      <c r="E80" s="72" t="str">
        <f>'عدد اللاعبين'!D69</f>
        <v>مجموعة مركز الرفيعة</v>
      </c>
      <c r="F80" s="73" t="str">
        <f>'عدد اللاعبين'!F69</f>
        <v>بريدة، عيون الجواء، المذنب، عنيزة</v>
      </c>
      <c r="G80" s="74">
        <f>'عدد اللاعبين'!G69</f>
        <v>9</v>
      </c>
      <c r="H80" s="72" t="str">
        <f>IFERROR(INDEX(المدخلات!$AE$6:$AE$12,MATCH($C80,المدخلات!$AC$6:$AC$12,0)),"")</f>
        <v>7 ضد 7</v>
      </c>
      <c r="I80" s="74">
        <f t="shared" si="1"/>
        <v>4</v>
      </c>
      <c r="J80" s="74">
        <f>ROUNDUP($I80/IFERROR(INDEX(المدخلات!$AJ$6:$AJ$12,MATCH($C80,المدخلات!$AC$6:$AC$12,0)),1),0)</f>
        <v>1</v>
      </c>
      <c r="K80" s="74">
        <f>IF($G80&lt;الحد_الأدنى,0,IFERROR(SUMIFS(Sheet1!$D$3:$D$97,Sheet1!$B$3:$B$97,INDEX(Sheet1!$G$3:$G$9,MATCH($C80,Sheet1!$F$3:$F$9,0)),Sheet1!$C$3:$C$97,$G80),0))</f>
        <v>1</v>
      </c>
      <c r="L80" s="22"/>
      <c r="M80" s="22"/>
      <c r="N80" s="22"/>
      <c r="O80" s="22"/>
      <c r="P80" s="22"/>
      <c r="Q80" s="22"/>
      <c r="R80" s="22"/>
    </row>
    <row r="81" spans="2:18" hidden="1">
      <c r="B81" s="77" t="str">
        <f>'عدد اللاعبين'!B70</f>
        <v>تبوك</v>
      </c>
      <c r="C81" s="72" t="str">
        <f>'عدد اللاعبين'!C70</f>
        <v>تحت 12</v>
      </c>
      <c r="D81" s="72" t="str">
        <f>IFERROR(INDEX(المدخلات!$AD$6:$AD$12,MATCH($C81,المدخلات!$AC$6:$AC$12,0)),"")</f>
        <v>الاثنين</v>
      </c>
      <c r="E81" s="72" t="str">
        <f>'عدد اللاعبين'!D70</f>
        <v>مجموعة تبوك</v>
      </c>
      <c r="F81" s="73" t="str">
        <f>'عدد اللاعبين'!F70</f>
        <v>صامطة</v>
      </c>
      <c r="G81" s="74">
        <f>'عدد اللاعبين'!G70</f>
        <v>9</v>
      </c>
      <c r="H81" s="72" t="str">
        <f>IFERROR(INDEX(المدخلات!$AE$6:$AE$12,MATCH($C81,المدخلات!$AC$6:$AC$12,0)),"")</f>
        <v>7 ضد 7</v>
      </c>
      <c r="I81" s="74">
        <f t="shared" si="1"/>
        <v>4</v>
      </c>
      <c r="J81" s="74">
        <f>ROUNDUP($I81/IFERROR(INDEX(المدخلات!$AJ$6:$AJ$12,MATCH($C81,المدخلات!$AC$6:$AC$12,0)),1),0)</f>
        <v>1</v>
      </c>
      <c r="K81" s="74">
        <f>IF($G81&lt;الحد_الأدنى,0,IFERROR(SUMIFS(Sheet1!$D$3:$D$97,Sheet1!$B$3:$B$97,INDEX(Sheet1!$G$3:$G$9,MATCH($C81,Sheet1!$F$3:$F$9,0)),Sheet1!$C$3:$C$97,$G81),0))</f>
        <v>1</v>
      </c>
      <c r="L81" s="22"/>
      <c r="M81" s="22"/>
      <c r="N81" s="22"/>
      <c r="O81" s="22"/>
      <c r="P81" s="22"/>
      <c r="Q81" s="22"/>
      <c r="R81" s="22"/>
    </row>
    <row r="82" spans="2:18" hidden="1">
      <c r="B82" s="77" t="str">
        <f>'عدد اللاعبين'!B71</f>
        <v>الجوف</v>
      </c>
      <c r="C82" s="72" t="str">
        <f>'عدد اللاعبين'!C71</f>
        <v>تحت 12</v>
      </c>
      <c r="D82" s="72" t="str">
        <f>IFERROR(INDEX(المدخلات!$AD$6:$AD$12,MATCH($C82,المدخلات!$AC$6:$AC$12,0)),"")</f>
        <v>الاثنين</v>
      </c>
      <c r="E82" s="72" t="str">
        <f>'عدد اللاعبين'!D71</f>
        <v>مجموعة سكاكا</v>
      </c>
      <c r="F82" s="73" t="str">
        <f>'عدد اللاعبين'!F71</f>
        <v>صامطة</v>
      </c>
      <c r="G82" s="74">
        <f>'عدد اللاعبين'!G71</f>
        <v>9</v>
      </c>
      <c r="H82" s="72" t="str">
        <f>IFERROR(INDEX(المدخلات!$AE$6:$AE$12,MATCH($C82,المدخلات!$AC$6:$AC$12,0)),"")</f>
        <v>7 ضد 7</v>
      </c>
      <c r="I82" s="74">
        <f t="shared" si="1"/>
        <v>4</v>
      </c>
      <c r="J82" s="74">
        <f>ROUNDUP($I82/IFERROR(INDEX(المدخلات!$AJ$6:$AJ$12,MATCH($C82,المدخلات!$AC$6:$AC$12,0)),1),0)</f>
        <v>1</v>
      </c>
      <c r="K82" s="74">
        <f>IF($G82&lt;الحد_الأدنى,0,IFERROR(SUMIFS(Sheet1!$D$3:$D$97,Sheet1!$B$3:$B$97,INDEX(Sheet1!$G$3:$G$9,MATCH($C82,Sheet1!$F$3:$F$9,0)),Sheet1!$C$3:$C$97,$G82),0))</f>
        <v>1</v>
      </c>
      <c r="L82" s="22"/>
      <c r="M82" s="22"/>
      <c r="N82" s="22"/>
      <c r="O82" s="22"/>
      <c r="P82" s="22"/>
      <c r="Q82" s="22"/>
      <c r="R82" s="22"/>
    </row>
    <row r="83" spans="2:18" hidden="1">
      <c r="B83" s="77" t="str">
        <f>'عدد اللاعبين'!B72</f>
        <v>تبوك</v>
      </c>
      <c r="C83" s="72" t="str">
        <f>'عدد اللاعبين'!C72</f>
        <v>تحت 14</v>
      </c>
      <c r="D83" s="72" t="str">
        <f>IFERROR(INDEX(المدخلات!$AD$6:$AD$12,MATCH($C83,المدخلات!$AC$6:$AC$12,0)),"")</f>
        <v>الأربعاء</v>
      </c>
      <c r="E83" s="72" t="str">
        <f>'عدد اللاعبين'!D72</f>
        <v>مجموعة تبوك</v>
      </c>
      <c r="F83" s="73" t="str">
        <f>'عدد اللاعبين'!F72</f>
        <v>سكاكا، دومة الجندل</v>
      </c>
      <c r="G83" s="74">
        <f>'عدد اللاعبين'!G72</f>
        <v>10</v>
      </c>
      <c r="H83" s="72" t="str">
        <f>IFERROR(INDEX(المدخلات!$AE$6:$AE$12,MATCH($C83,المدخلات!$AC$6:$AC$12,0)),"")</f>
        <v>قانوني</v>
      </c>
      <c r="I83" s="74">
        <f t="shared" si="1"/>
        <v>5</v>
      </c>
      <c r="J83" s="74">
        <f>ROUNDUP($I83/IFERROR(INDEX(المدخلات!$AJ$6:$AJ$12,MATCH($C83,المدخلات!$AC$6:$AC$12,0)),1),0)</f>
        <v>2</v>
      </c>
      <c r="K83" s="74">
        <f>IF($G83&lt;الحد_الأدنى,0,IFERROR(SUMIFS(Sheet1!$D$3:$D$97,Sheet1!$B$3:$B$97,INDEX(Sheet1!$G$3:$G$9,MATCH($C83,Sheet1!$F$3:$F$9,0)),Sheet1!$C$3:$C$97,$G83),0))</f>
        <v>2</v>
      </c>
      <c r="L83" s="22"/>
      <c r="M83" s="22"/>
      <c r="N83" s="22"/>
      <c r="O83" s="22"/>
      <c r="P83" s="22"/>
      <c r="Q83" s="22"/>
      <c r="R83" s="22"/>
    </row>
    <row r="84" spans="2:18" hidden="1">
      <c r="B84" s="77" t="str">
        <f>'عدد اللاعبين'!B73</f>
        <v>المدينة المنورة</v>
      </c>
      <c r="C84" s="72" t="str">
        <f>'عدد اللاعبين'!C73</f>
        <v>تحت 5</v>
      </c>
      <c r="D84" s="72" t="str">
        <f>IFERROR(INDEX(المدخلات!$AD$6:$AD$12,MATCH($C84,المدخلات!$AC$6:$AC$12,0)),"")</f>
        <v>السبت</v>
      </c>
      <c r="E84" s="72" t="str">
        <f>'عدد اللاعبين'!D73</f>
        <v>مجموعة المدينة المنورة</v>
      </c>
      <c r="F84" s="73" t="str">
        <f>'عدد اللاعبين'!F73</f>
        <v>الخرج، الدلم</v>
      </c>
      <c r="G84" s="74">
        <f>'عدد اللاعبين'!G73</f>
        <v>10</v>
      </c>
      <c r="H84" s="72" t="str">
        <f>IFERROR(INDEX(المدخلات!$AE$6:$AE$12,MATCH($C84,المدخلات!$AC$6:$AC$12,0)),"")</f>
        <v>5 ضد 5</v>
      </c>
      <c r="I84" s="74">
        <f t="shared" si="1"/>
        <v>5</v>
      </c>
      <c r="J84" s="74">
        <f>ROUNDUP($I84/IFERROR(INDEX(المدخلات!$AJ$6:$AJ$12,MATCH($C84,المدخلات!$AC$6:$AC$12,0)),1),0)</f>
        <v>2</v>
      </c>
      <c r="K84" s="74">
        <f>IF($G84&lt;الحد_الأدنى,0,IFERROR(SUMIFS(Sheet1!$D$3:$D$97,Sheet1!$B$3:$B$97,INDEX(Sheet1!$G$3:$G$9,MATCH($C84,Sheet1!$F$3:$F$9,0)),Sheet1!$C$3:$C$97,$G84),0))</f>
        <v>0</v>
      </c>
      <c r="L84" s="22"/>
      <c r="M84" s="22"/>
      <c r="N84" s="22"/>
      <c r="O84" s="22"/>
      <c r="P84" s="22"/>
      <c r="Q84" s="22"/>
      <c r="R84" s="22"/>
    </row>
    <row r="85" spans="2:18" hidden="1">
      <c r="B85" s="77" t="str">
        <f>'عدد اللاعبين'!B74</f>
        <v>جازان</v>
      </c>
      <c r="C85" s="72" t="str">
        <f>'عدد اللاعبين'!C74</f>
        <v>تحت 5</v>
      </c>
      <c r="D85" s="72" t="str">
        <f>IFERROR(INDEX(المدخلات!$AD$6:$AD$12,MATCH($C85,المدخلات!$AC$6:$AC$12,0)),"")</f>
        <v>السبت</v>
      </c>
      <c r="E85" s="72" t="str">
        <f>'عدد اللاعبين'!D74</f>
        <v>مجموعة جازان</v>
      </c>
      <c r="F85" s="73" t="str">
        <f>'عدد اللاعبين'!F74</f>
        <v>أبها، خميس مشيط</v>
      </c>
      <c r="G85" s="74">
        <f>'عدد اللاعبين'!G74</f>
        <v>10</v>
      </c>
      <c r="H85" s="72" t="str">
        <f>IFERROR(INDEX(المدخلات!$AE$6:$AE$12,MATCH($C85,المدخلات!$AC$6:$AC$12,0)),"")</f>
        <v>5 ضد 5</v>
      </c>
      <c r="I85" s="74">
        <f t="shared" si="1"/>
        <v>5</v>
      </c>
      <c r="J85" s="74">
        <f>ROUNDUP($I85/IFERROR(INDEX(المدخلات!$AJ$6:$AJ$12,MATCH($C85,المدخلات!$AC$6:$AC$12,0)),1),0)</f>
        <v>2</v>
      </c>
      <c r="K85" s="74">
        <f>IF($G85&lt;الحد_الأدنى,0,IFERROR(SUMIFS(Sheet1!$D$3:$D$97,Sheet1!$B$3:$B$97,INDEX(Sheet1!$G$3:$G$9,MATCH($C85,Sheet1!$F$3:$F$9,0)),Sheet1!$C$3:$C$97,$G85),0))</f>
        <v>0</v>
      </c>
      <c r="L85" s="22"/>
      <c r="M85" s="22"/>
      <c r="N85" s="22"/>
      <c r="O85" s="22"/>
      <c r="P85" s="22"/>
      <c r="Q85" s="22"/>
      <c r="R85" s="22"/>
    </row>
    <row r="86" spans="2:18" hidden="1">
      <c r="B86" s="77" t="str">
        <f>'عدد اللاعبين'!B75</f>
        <v>جازان</v>
      </c>
      <c r="C86" s="72" t="str">
        <f>'عدد اللاعبين'!C75</f>
        <v>تحت 5</v>
      </c>
      <c r="D86" s="72" t="str">
        <f>IFERROR(INDEX(المدخلات!$AD$6:$AD$12,MATCH($C86,المدخلات!$AC$6:$AC$12,0)),"")</f>
        <v>السبت</v>
      </c>
      <c r="E86" s="72" t="str">
        <f>'عدد اللاعبين'!D75</f>
        <v>مجموعة أبو عريش</v>
      </c>
      <c r="F86" s="73" t="str">
        <f>'عدد اللاعبين'!F75</f>
        <v>جيزان</v>
      </c>
      <c r="G86" s="74">
        <f>'عدد اللاعبين'!G75</f>
        <v>10</v>
      </c>
      <c r="H86" s="72" t="str">
        <f>IFERROR(INDEX(المدخلات!$AE$6:$AE$12,MATCH($C86,المدخلات!$AC$6:$AC$12,0)),"")</f>
        <v>5 ضد 5</v>
      </c>
      <c r="I86" s="74">
        <f t="shared" si="1"/>
        <v>5</v>
      </c>
      <c r="J86" s="74">
        <f>ROUNDUP($I86/IFERROR(INDEX(المدخلات!$AJ$6:$AJ$12,MATCH($C86,المدخلات!$AC$6:$AC$12,0)),1),0)</f>
        <v>2</v>
      </c>
      <c r="K86" s="74">
        <f>IF($G86&lt;الحد_الأدنى,0,IFERROR(SUMIFS(Sheet1!$D$3:$D$97,Sheet1!$B$3:$B$97,INDEX(Sheet1!$G$3:$G$9,MATCH($C86,Sheet1!$F$3:$F$9,0)),Sheet1!$C$3:$C$97,$G86),0))</f>
        <v>0</v>
      </c>
    </row>
    <row r="87" spans="2:18" hidden="1">
      <c r="B87" s="77" t="str">
        <f>'عدد اللاعبين'!B76</f>
        <v>القصيم</v>
      </c>
      <c r="C87" s="72" t="str">
        <f>'عدد اللاعبين'!C76</f>
        <v>تحت 7</v>
      </c>
      <c r="D87" s="72" t="str">
        <f>IFERROR(INDEX(المدخلات!$AD$6:$AD$12,MATCH($C87,المدخلات!$AC$6:$AC$12,0)),"")</f>
        <v>السبت</v>
      </c>
      <c r="E87" s="72" t="str">
        <f>'عدد اللاعبين'!D76</f>
        <v>مجموعة القصيم</v>
      </c>
      <c r="F87" s="73" t="str">
        <f>'عدد اللاعبين'!F76</f>
        <v>أبو عريش</v>
      </c>
      <c r="G87" s="74">
        <f>'عدد اللاعبين'!G76</f>
        <v>10</v>
      </c>
      <c r="H87" s="72" t="str">
        <f>IFERROR(INDEX(المدخلات!$AE$6:$AE$12,MATCH($C87,المدخلات!$AC$6:$AC$12,0)),"")</f>
        <v>7 ضد 7</v>
      </c>
      <c r="I87" s="74">
        <f t="shared" si="1"/>
        <v>5</v>
      </c>
      <c r="J87" s="74">
        <f>ROUNDUP($I87/IFERROR(INDEX(المدخلات!$AJ$6:$AJ$12,MATCH($C87,المدخلات!$AC$6:$AC$12,0)),1),0)</f>
        <v>2</v>
      </c>
      <c r="K87" s="74">
        <f>IF($G87&lt;الحد_الأدنى,0,IFERROR(SUMIFS(Sheet1!$D$3:$D$97,Sheet1!$B$3:$B$97,INDEX(Sheet1!$G$3:$G$9,MATCH($C87,Sheet1!$F$3:$F$9,0)),Sheet1!$C$3:$C$97,$G87),0))</f>
        <v>1</v>
      </c>
    </row>
    <row r="88" spans="2:18" hidden="1">
      <c r="B88" s="77" t="str">
        <f>'عدد اللاعبين'!B77</f>
        <v>جازان</v>
      </c>
      <c r="C88" s="72" t="str">
        <f>'عدد اللاعبين'!C77</f>
        <v>تحت 7</v>
      </c>
      <c r="D88" s="72" t="str">
        <f>IFERROR(INDEX(المدخلات!$AD$6:$AD$12,MATCH($C88,المدخلات!$AC$6:$AC$12,0)),"")</f>
        <v>السبت</v>
      </c>
      <c r="E88" s="72" t="str">
        <f>'عدد اللاعبين'!D77</f>
        <v>مجموعة صامطة</v>
      </c>
      <c r="F88" s="73" t="str">
        <f>'عدد اللاعبين'!F77</f>
        <v>صامطة</v>
      </c>
      <c r="G88" s="74">
        <f>'عدد اللاعبين'!G77</f>
        <v>10</v>
      </c>
      <c r="H88" s="72" t="str">
        <f>IFERROR(INDEX(المدخلات!$AE$6:$AE$12,MATCH($C88,المدخلات!$AC$6:$AC$12,0)),"")</f>
        <v>7 ضد 7</v>
      </c>
      <c r="I88" s="74">
        <f t="shared" si="1"/>
        <v>5</v>
      </c>
      <c r="J88" s="74">
        <f>ROUNDUP($I88/IFERROR(INDEX(المدخلات!$AJ$6:$AJ$12,MATCH($C88,المدخلات!$AC$6:$AC$12,0)),1),0)</f>
        <v>2</v>
      </c>
      <c r="K88" s="74">
        <f>IF($G88&lt;الحد_الأدنى,0,IFERROR(SUMIFS(Sheet1!$D$3:$D$97,Sheet1!$B$3:$B$97,INDEX(Sheet1!$G$3:$G$9,MATCH($C88,Sheet1!$F$3:$F$9,0)),Sheet1!$C$3:$C$97,$G88),0))</f>
        <v>1</v>
      </c>
    </row>
    <row r="89" spans="2:18" ht="34" hidden="1" customHeight="1">
      <c r="B89" s="77" t="str">
        <f>'عدد اللاعبين'!B78</f>
        <v>جازان</v>
      </c>
      <c r="C89" s="72" t="str">
        <f>'عدد اللاعبين'!C78</f>
        <v>تحت 9</v>
      </c>
      <c r="D89" s="72" t="str">
        <f>IFERROR(INDEX(المدخلات!$AD$6:$AD$12,MATCH($C89,المدخلات!$AC$6:$AC$12,0)),"")</f>
        <v>السبت</v>
      </c>
      <c r="E89" s="72" t="str">
        <f>'عدد اللاعبين'!D78</f>
        <v>مجموعة صامطة</v>
      </c>
      <c r="F89" s="73" t="str">
        <f>'عدد اللاعبين'!F78</f>
        <v>أبو عريش</v>
      </c>
      <c r="G89" s="74">
        <f>'عدد اللاعبين'!G78</f>
        <v>10</v>
      </c>
      <c r="H89" s="72" t="str">
        <f>IFERROR(INDEX(المدخلات!$AE$6:$AE$12,MATCH($C89,المدخلات!$AC$6:$AC$12,0)),"")</f>
        <v>7 ضد 7</v>
      </c>
      <c r="I89" s="74">
        <f t="shared" si="1"/>
        <v>5</v>
      </c>
      <c r="J89" s="74">
        <f>ROUNDUP($I89/IFERROR(INDEX(المدخلات!$AJ$6:$AJ$12,MATCH($C89,المدخلات!$AC$6:$AC$12,0)),1),0)</f>
        <v>2</v>
      </c>
      <c r="K89" s="74">
        <f>IF($G89&lt;الحد_الأدنى,0,IFERROR(SUMIFS(Sheet1!$D$3:$D$97,Sheet1!$B$3:$B$97,INDEX(Sheet1!$G$3:$G$9,MATCH($C89,Sheet1!$F$3:$F$9,0)),Sheet1!$C$3:$C$97,$G89),0))</f>
        <v>1</v>
      </c>
    </row>
    <row r="90" spans="2:18" hidden="1">
      <c r="B90" s="77" t="str">
        <f>'عدد اللاعبين'!B79</f>
        <v>الجوف</v>
      </c>
      <c r="C90" s="72" t="str">
        <f>'عدد اللاعبين'!C79</f>
        <v>تحت 11</v>
      </c>
      <c r="D90" s="72" t="str">
        <f>IFERROR(INDEX(المدخلات!$AD$6:$AD$12,MATCH($C90,المدخلات!$AC$6:$AC$12,0)),"")</f>
        <v>الأحد</v>
      </c>
      <c r="E90" s="72" t="str">
        <f>'عدد اللاعبين'!D79</f>
        <v>مجموعة سكاكا</v>
      </c>
      <c r="F90" s="73" t="str">
        <f>'عدد اللاعبين'!F79</f>
        <v>صامطة</v>
      </c>
      <c r="G90" s="74">
        <f>'عدد اللاعبين'!G79</f>
        <v>10</v>
      </c>
      <c r="H90" s="72" t="str">
        <f>IFERROR(INDEX(المدخلات!$AE$6:$AE$12,MATCH($C90,المدخلات!$AC$6:$AC$12,0)),"")</f>
        <v>7 ضد 7</v>
      </c>
      <c r="I90" s="74">
        <f t="shared" si="1"/>
        <v>5</v>
      </c>
      <c r="J90" s="74">
        <f>ROUNDUP($I90/IFERROR(INDEX(المدخلات!$AJ$6:$AJ$12,MATCH($C90,المدخلات!$AC$6:$AC$12,0)),1),0)</f>
        <v>2</v>
      </c>
      <c r="K90" s="74">
        <f>IF($G90&lt;الحد_الأدنى,0,IFERROR(SUMIFS(Sheet1!$D$3:$D$97,Sheet1!$B$3:$B$97,INDEX(Sheet1!$G$3:$G$9,MATCH($C90,Sheet1!$F$3:$F$9,0)),Sheet1!$C$3:$C$97,$G90),0))</f>
        <v>0</v>
      </c>
    </row>
    <row r="91" spans="2:18" hidden="1">
      <c r="B91" s="77" t="str">
        <f>'عدد اللاعبين'!B80</f>
        <v>الرياض</v>
      </c>
      <c r="C91" s="72" t="str">
        <f>'عدد اللاعبين'!C80</f>
        <v>تحت 11</v>
      </c>
      <c r="D91" s="72" t="str">
        <f>IFERROR(INDEX(المدخلات!$AD$6:$AD$12,MATCH($C91,المدخلات!$AC$6:$AC$12,0)),"")</f>
        <v>الأحد</v>
      </c>
      <c r="E91" s="72" t="str">
        <f>'عدد اللاعبين'!D80</f>
        <v>مجموعة الخرج</v>
      </c>
      <c r="F91" s="73" t="str">
        <f>'عدد اللاعبين'!F80</f>
        <v>أبها، خميس مشيط</v>
      </c>
      <c r="G91" s="74">
        <f>'عدد اللاعبين'!G80</f>
        <v>10</v>
      </c>
      <c r="H91" s="72" t="str">
        <f>IFERROR(INDEX(المدخلات!$AE$6:$AE$12,MATCH($C91,المدخلات!$AC$6:$AC$12,0)),"")</f>
        <v>7 ضد 7</v>
      </c>
      <c r="I91" s="74">
        <f t="shared" si="1"/>
        <v>5</v>
      </c>
      <c r="J91" s="74">
        <f>ROUNDUP($I91/IFERROR(INDEX(المدخلات!$AJ$6:$AJ$12,MATCH($C91,المدخلات!$AC$6:$AC$12,0)),1),0)</f>
        <v>2</v>
      </c>
      <c r="K91" s="74">
        <f>IF($G91&lt;الحد_الأدنى,0,IFERROR(SUMIFS(Sheet1!$D$3:$D$97,Sheet1!$B$3:$B$97,INDEX(Sheet1!$G$3:$G$9,MATCH($C91,Sheet1!$F$3:$F$9,0)),Sheet1!$C$3:$C$97,$G91),0))</f>
        <v>0</v>
      </c>
    </row>
    <row r="92" spans="2:18" hidden="1">
      <c r="B92" s="77" t="str">
        <f>'عدد اللاعبين'!B81</f>
        <v>عسير</v>
      </c>
      <c r="C92" s="72" t="str">
        <f>'عدد اللاعبين'!C81</f>
        <v>تحت 11</v>
      </c>
      <c r="D92" s="72" t="str">
        <f>IFERROR(INDEX(المدخلات!$AD$6:$AD$12,MATCH($C92,المدخلات!$AC$6:$AC$12,0)),"")</f>
        <v>الأحد</v>
      </c>
      <c r="E92" s="72" t="str">
        <f>'عدد اللاعبين'!D81</f>
        <v>مجموعة أبها</v>
      </c>
      <c r="F92" s="73" t="str">
        <f>'عدد اللاعبين'!F81</f>
        <v>بريدة، عيون الجواء، المذنب، عنيزة</v>
      </c>
      <c r="G92" s="74">
        <f>'عدد اللاعبين'!G81</f>
        <v>10</v>
      </c>
      <c r="H92" s="72" t="str">
        <f>IFERROR(INDEX(المدخلات!$AE$6:$AE$12,MATCH($C92,المدخلات!$AC$6:$AC$12,0)),"")</f>
        <v>7 ضد 7</v>
      </c>
      <c r="I92" s="74">
        <f t="shared" si="1"/>
        <v>5</v>
      </c>
      <c r="J92" s="74">
        <f>ROUNDUP($I92/IFERROR(INDEX(المدخلات!$AJ$6:$AJ$12,MATCH($C92,المدخلات!$AC$6:$AC$12,0)),1),0)</f>
        <v>2</v>
      </c>
      <c r="K92" s="74">
        <f>IF($G92&lt;الحد_الأدنى,0,IFERROR(SUMIFS(Sheet1!$D$3:$D$97,Sheet1!$B$3:$B$97,INDEX(Sheet1!$G$3:$G$9,MATCH($C92,Sheet1!$F$3:$F$9,0)),Sheet1!$C$3:$C$97,$G92),0))</f>
        <v>0</v>
      </c>
    </row>
    <row r="93" spans="2:18" hidden="1">
      <c r="B93" s="77" t="str">
        <f>'عدد اللاعبين'!B82</f>
        <v>جازان</v>
      </c>
      <c r="C93" s="72" t="str">
        <f>'عدد اللاعبين'!C82</f>
        <v>تحت 11</v>
      </c>
      <c r="D93" s="72" t="str">
        <f>IFERROR(INDEX(المدخلات!$AD$6:$AD$12,MATCH($C93,المدخلات!$AC$6:$AC$12,0)),"")</f>
        <v>الأحد</v>
      </c>
      <c r="E93" s="72" t="str">
        <f>'عدد اللاعبين'!D82</f>
        <v>مجموعة جازان</v>
      </c>
      <c r="F93" s="73" t="str">
        <f>'عدد اللاعبين'!F82</f>
        <v>القطيف</v>
      </c>
      <c r="G93" s="74">
        <f>'عدد اللاعبين'!G82</f>
        <v>10</v>
      </c>
      <c r="H93" s="72" t="str">
        <f>IFERROR(INDEX(المدخلات!$AE$6:$AE$12,MATCH($C93,المدخلات!$AC$6:$AC$12,0)),"")</f>
        <v>7 ضد 7</v>
      </c>
      <c r="I93" s="74">
        <f t="shared" si="1"/>
        <v>5</v>
      </c>
      <c r="J93" s="74">
        <f>ROUNDUP($I93/IFERROR(INDEX(المدخلات!$AJ$6:$AJ$12,MATCH($C93,المدخلات!$AC$6:$AC$12,0)),1),0)</f>
        <v>2</v>
      </c>
      <c r="K93" s="74">
        <f>IF($G93&lt;الحد_الأدنى,0,IFERROR(SUMIFS(Sheet1!$D$3:$D$97,Sheet1!$B$3:$B$97,INDEX(Sheet1!$G$3:$G$9,MATCH($C93,Sheet1!$F$3:$F$9,0)),Sheet1!$C$3:$C$97,$G93),0))</f>
        <v>0</v>
      </c>
    </row>
    <row r="94" spans="2:18" hidden="1">
      <c r="B94" s="77" t="str">
        <f>'عدد اللاعبين'!B83</f>
        <v>جازان</v>
      </c>
      <c r="C94" s="72" t="str">
        <f>'عدد اللاعبين'!C83</f>
        <v>تحت 11</v>
      </c>
      <c r="D94" s="72" t="str">
        <f>IFERROR(INDEX(المدخلات!$AD$6:$AD$12,MATCH($C94,المدخلات!$AC$6:$AC$12,0)),"")</f>
        <v>الأحد</v>
      </c>
      <c r="E94" s="72" t="str">
        <f>'عدد اللاعبين'!D83</f>
        <v>مجموعة أبو عريش</v>
      </c>
      <c r="F94" s="73" t="str">
        <f>'عدد اللاعبين'!F83</f>
        <v>أبو عريش</v>
      </c>
      <c r="G94" s="74">
        <f>'عدد اللاعبين'!G83</f>
        <v>10</v>
      </c>
      <c r="H94" s="72" t="str">
        <f>IFERROR(INDEX(المدخلات!$AE$6:$AE$12,MATCH($C94,المدخلات!$AC$6:$AC$12,0)),"")</f>
        <v>7 ضد 7</v>
      </c>
      <c r="I94" s="74">
        <f t="shared" si="1"/>
        <v>5</v>
      </c>
      <c r="J94" s="74">
        <f>ROUNDUP($I94/IFERROR(INDEX(المدخلات!$AJ$6:$AJ$12,MATCH($C94,المدخلات!$AC$6:$AC$12,0)),1),0)</f>
        <v>2</v>
      </c>
      <c r="K94" s="74">
        <f>IF($G94&lt;الحد_الأدنى,0,IFERROR(SUMIFS(Sheet1!$D$3:$D$97,Sheet1!$B$3:$B$97,INDEX(Sheet1!$G$3:$G$9,MATCH($C94,Sheet1!$F$3:$F$9,0)),Sheet1!$C$3:$C$97,$G94),0))</f>
        <v>0</v>
      </c>
    </row>
    <row r="95" spans="2:18" hidden="1">
      <c r="B95" s="77" t="str">
        <f>'عدد اللاعبين'!B84</f>
        <v>جازان</v>
      </c>
      <c r="C95" s="72" t="str">
        <f>'عدد اللاعبين'!C84</f>
        <v>تحت 11</v>
      </c>
      <c r="D95" s="72" t="str">
        <f>IFERROR(INDEX(المدخلات!$AD$6:$AD$12,MATCH($C95,المدخلات!$AC$6:$AC$12,0)),"")</f>
        <v>الأحد</v>
      </c>
      <c r="E95" s="72" t="str">
        <f>'عدد اللاعبين'!D84</f>
        <v>مجموعة صامطة</v>
      </c>
      <c r="F95" s="73" t="str">
        <f>'عدد اللاعبين'!F84</f>
        <v>صامطة</v>
      </c>
      <c r="G95" s="74">
        <f>'عدد اللاعبين'!G84</f>
        <v>10</v>
      </c>
      <c r="H95" s="72" t="str">
        <f>IFERROR(INDEX(المدخلات!$AE$6:$AE$12,MATCH($C95,المدخلات!$AC$6:$AC$12,0)),"")</f>
        <v>7 ضد 7</v>
      </c>
      <c r="I95" s="74">
        <f t="shared" si="1"/>
        <v>5</v>
      </c>
      <c r="J95" s="74">
        <f>ROUNDUP($I95/IFERROR(INDEX(المدخلات!$AJ$6:$AJ$12,MATCH($C95,المدخلات!$AC$6:$AC$12,0)),1),0)</f>
        <v>2</v>
      </c>
      <c r="K95" s="74">
        <f>IF($G95&lt;الحد_الأدنى,0,IFERROR(SUMIFS(Sheet1!$D$3:$D$97,Sheet1!$B$3:$B$97,INDEX(Sheet1!$G$3:$G$9,MATCH($C95,Sheet1!$F$3:$F$9,0)),Sheet1!$C$3:$C$97,$G95),0))</f>
        <v>0</v>
      </c>
    </row>
    <row r="96" spans="2:18" hidden="1">
      <c r="B96" s="77" t="str">
        <f>'عدد اللاعبين'!B85</f>
        <v>جازان</v>
      </c>
      <c r="C96" s="72" t="str">
        <f>'عدد اللاعبين'!C85</f>
        <v>تحت 12</v>
      </c>
      <c r="D96" s="72" t="str">
        <f>IFERROR(INDEX(المدخلات!$AD$6:$AD$12,MATCH($C96,المدخلات!$AC$6:$AC$12,0)),"")</f>
        <v>الاثنين</v>
      </c>
      <c r="E96" s="72" t="str">
        <f>'عدد اللاعبين'!D85</f>
        <v>مجموعة أبو عريش</v>
      </c>
      <c r="F96" s="73" t="str">
        <f>'عدد اللاعبين'!F85</f>
        <v>القطيف، الجبيل</v>
      </c>
      <c r="G96" s="74">
        <f>'عدد اللاعبين'!G85</f>
        <v>10</v>
      </c>
      <c r="H96" s="72" t="str">
        <f>IFERROR(INDEX(المدخلات!$AE$6:$AE$12,MATCH($C96,المدخلات!$AC$6:$AC$12,0)),"")</f>
        <v>7 ضد 7</v>
      </c>
      <c r="I96" s="74">
        <f t="shared" si="1"/>
        <v>5</v>
      </c>
      <c r="J96" s="74">
        <f>ROUNDUP($I96/IFERROR(INDEX(المدخلات!$AJ$6:$AJ$12,MATCH($C96,المدخلات!$AC$6:$AC$12,0)),1),0)</f>
        <v>2</v>
      </c>
      <c r="K96" s="74">
        <f>IF($G96&lt;الحد_الأدنى,0,IFERROR(SUMIFS(Sheet1!$D$3:$D$97,Sheet1!$B$3:$B$97,INDEX(Sheet1!$G$3:$G$9,MATCH($C96,Sheet1!$F$3:$F$9,0)),Sheet1!$C$3:$C$97,$G96),0))</f>
        <v>0</v>
      </c>
    </row>
    <row r="97" spans="2:11" hidden="1">
      <c r="B97" s="77" t="str">
        <f>'عدد اللاعبين'!B86</f>
        <v>جازان</v>
      </c>
      <c r="C97" s="72" t="str">
        <f>'عدد اللاعبين'!C86</f>
        <v>تحت 12</v>
      </c>
      <c r="D97" s="72" t="str">
        <f>IFERROR(INDEX(المدخلات!$AD$6:$AD$12,MATCH($C97,المدخلات!$AC$6:$AC$12,0)),"")</f>
        <v>الاثنين</v>
      </c>
      <c r="E97" s="72" t="str">
        <f>'عدد اللاعبين'!D86</f>
        <v>مجموعة صامطة</v>
      </c>
      <c r="F97" s="73" t="str">
        <f>'عدد اللاعبين'!F86</f>
        <v>صامطة</v>
      </c>
      <c r="G97" s="74">
        <f>'عدد اللاعبين'!G86</f>
        <v>10</v>
      </c>
      <c r="H97" s="72" t="str">
        <f>IFERROR(INDEX(المدخلات!$AE$6:$AE$12,MATCH($C97,المدخلات!$AC$6:$AC$12,0)),"")</f>
        <v>7 ضد 7</v>
      </c>
      <c r="I97" s="74">
        <f t="shared" si="1"/>
        <v>5</v>
      </c>
      <c r="J97" s="74">
        <f>ROUNDUP($I97/IFERROR(INDEX(المدخلات!$AJ$6:$AJ$12,MATCH($C97,المدخلات!$AC$6:$AC$12,0)),1),0)</f>
        <v>2</v>
      </c>
      <c r="K97" s="74">
        <f>IF($G97&lt;الحد_الأدنى,0,IFERROR(SUMIFS(Sheet1!$D$3:$D$97,Sheet1!$B$3:$B$97,INDEX(Sheet1!$G$3:$G$9,MATCH($C97,Sheet1!$F$3:$F$9,0)),Sheet1!$C$3:$C$97,$G97),0))</f>
        <v>0</v>
      </c>
    </row>
    <row r="98" spans="2:11" hidden="1">
      <c r="B98" s="77" t="str">
        <f>'عدد اللاعبين'!B87</f>
        <v>عسير</v>
      </c>
      <c r="C98" s="72" t="str">
        <f>'عدد اللاعبين'!C87</f>
        <v>تحت 13</v>
      </c>
      <c r="D98" s="72" t="str">
        <f>IFERROR(INDEX(المدخلات!$AD$6:$AD$12,MATCH($C98,المدخلات!$AC$6:$AC$12,0)),"")</f>
        <v>الخميس</v>
      </c>
      <c r="E98" s="72" t="str">
        <f>'عدد اللاعبين'!D87</f>
        <v>مجموعة أبها</v>
      </c>
      <c r="F98" s="73" t="str">
        <f>'عدد اللاعبين'!F87</f>
        <v>أبو عريش</v>
      </c>
      <c r="G98" s="74">
        <f>'عدد اللاعبين'!G87</f>
        <v>10</v>
      </c>
      <c r="H98" s="72" t="str">
        <f>IFERROR(INDEX(المدخلات!$AE$6:$AE$12,MATCH($C98,المدخلات!$AC$6:$AC$12,0)),"")</f>
        <v>قانوني</v>
      </c>
      <c r="I98" s="74">
        <f t="shared" si="1"/>
        <v>5</v>
      </c>
      <c r="J98" s="74">
        <f>ROUNDUP($I98/IFERROR(INDEX(المدخلات!$AJ$6:$AJ$12,MATCH($C98,المدخلات!$AC$6:$AC$12,0)),1),0)</f>
        <v>2</v>
      </c>
      <c r="K98" s="74">
        <f>IF($G98&lt;الحد_الأدنى,0,IFERROR(SUMIFS(Sheet1!$D$3:$D$97,Sheet1!$B$3:$B$97,INDEX(Sheet1!$G$3:$G$9,MATCH($C98,Sheet1!$F$3:$F$9,0)),Sheet1!$C$3:$C$97,$G98),0))</f>
        <v>0</v>
      </c>
    </row>
    <row r="99" spans="2:11" hidden="1">
      <c r="B99" s="77" t="str">
        <f>'عدد اللاعبين'!B88</f>
        <v>القصيم</v>
      </c>
      <c r="C99" s="72" t="str">
        <f>'عدد اللاعبين'!C88</f>
        <v>تحت 13</v>
      </c>
      <c r="D99" s="72" t="str">
        <f>IFERROR(INDEX(المدخلات!$AD$6:$AD$12,MATCH($C99,المدخلات!$AC$6:$AC$12,0)),"")</f>
        <v>الخميس</v>
      </c>
      <c r="E99" s="72" t="str">
        <f>'عدد اللاعبين'!D88</f>
        <v>مجموعة القصيم</v>
      </c>
      <c r="F99" s="73" t="str">
        <f>'عدد اللاعبين'!F88</f>
        <v>القطيف</v>
      </c>
      <c r="G99" s="74">
        <f>'عدد اللاعبين'!G88</f>
        <v>10</v>
      </c>
      <c r="H99" s="72" t="str">
        <f>IFERROR(INDEX(المدخلات!$AE$6:$AE$12,MATCH($C99,المدخلات!$AC$6:$AC$12,0)),"")</f>
        <v>قانوني</v>
      </c>
      <c r="I99" s="74">
        <f t="shared" si="1"/>
        <v>5</v>
      </c>
      <c r="J99" s="74">
        <f>ROUNDUP($I99/IFERROR(INDEX(المدخلات!$AJ$6:$AJ$12,MATCH($C99,المدخلات!$AC$6:$AC$12,0)),1),0)</f>
        <v>2</v>
      </c>
      <c r="K99" s="74">
        <f>IF($G99&lt;الحد_الأدنى,0,IFERROR(SUMIFS(Sheet1!$D$3:$D$97,Sheet1!$B$3:$B$97,INDEX(Sheet1!$G$3:$G$9,MATCH($C99,Sheet1!$F$3:$F$9,0)),Sheet1!$C$3:$C$97,$G99),0))</f>
        <v>0</v>
      </c>
    </row>
    <row r="100" spans="2:11" hidden="1">
      <c r="B100" s="77" t="str">
        <f>'عدد اللاعبين'!B89</f>
        <v>الشرقية</v>
      </c>
      <c r="C100" s="72" t="str">
        <f>'عدد اللاعبين'!C89</f>
        <v>تحت 13</v>
      </c>
      <c r="D100" s="72" t="str">
        <f>IFERROR(INDEX(المدخلات!$AD$6:$AD$12,MATCH($C100,المدخلات!$AC$6:$AC$12,0)),"")</f>
        <v>الخميس</v>
      </c>
      <c r="E100" s="72" t="str">
        <f>'عدد اللاعبين'!D89</f>
        <v>مجموعة القطيف</v>
      </c>
      <c r="F100" s="73" t="str">
        <f>'عدد اللاعبين'!F89</f>
        <v>أبو عريش</v>
      </c>
      <c r="G100" s="74">
        <f>'عدد اللاعبين'!G89</f>
        <v>10</v>
      </c>
      <c r="H100" s="72" t="str">
        <f>IFERROR(INDEX(المدخلات!$AE$6:$AE$12,MATCH($C100,المدخلات!$AC$6:$AC$12,0)),"")</f>
        <v>قانوني</v>
      </c>
      <c r="I100" s="74">
        <f t="shared" si="1"/>
        <v>5</v>
      </c>
      <c r="J100" s="74">
        <f>ROUNDUP($I100/IFERROR(INDEX(المدخلات!$AJ$6:$AJ$12,MATCH($C100,المدخلات!$AC$6:$AC$12,0)),1),0)</f>
        <v>2</v>
      </c>
      <c r="K100" s="74">
        <f>IF($G100&lt;الحد_الأدنى,0,IFERROR(SUMIFS(Sheet1!$D$3:$D$97,Sheet1!$B$3:$B$97,INDEX(Sheet1!$G$3:$G$9,MATCH($C100,Sheet1!$F$3:$F$9,0)),Sheet1!$C$3:$C$97,$G100),0))</f>
        <v>0</v>
      </c>
    </row>
    <row r="101" spans="2:11" hidden="1">
      <c r="B101" s="77" t="str">
        <f>'عدد اللاعبين'!B90</f>
        <v>جازان</v>
      </c>
      <c r="C101" s="72" t="str">
        <f>'عدد اللاعبين'!C90</f>
        <v>تحت 13</v>
      </c>
      <c r="D101" s="72" t="str">
        <f>IFERROR(INDEX(المدخلات!$AD$6:$AD$12,MATCH($C101,المدخلات!$AC$6:$AC$12,0)),"")</f>
        <v>الخميس</v>
      </c>
      <c r="E101" s="72" t="str">
        <f>'عدد اللاعبين'!D90</f>
        <v>مجموعة أبو عريش</v>
      </c>
      <c r="F101" s="73" t="str">
        <f>'عدد اللاعبين'!F90</f>
        <v>أبو عريش</v>
      </c>
      <c r="G101" s="74">
        <f>'عدد اللاعبين'!G90</f>
        <v>10</v>
      </c>
      <c r="H101" s="72" t="str">
        <f>IFERROR(INDEX(المدخلات!$AE$6:$AE$12,MATCH($C101,المدخلات!$AC$6:$AC$12,0)),"")</f>
        <v>قانوني</v>
      </c>
      <c r="I101" s="74">
        <f t="shared" si="1"/>
        <v>5</v>
      </c>
      <c r="J101" s="74">
        <f>ROUNDUP($I101/IFERROR(INDEX(المدخلات!$AJ$6:$AJ$12,MATCH($C101,المدخلات!$AC$6:$AC$12,0)),1),0)</f>
        <v>2</v>
      </c>
      <c r="K101" s="74">
        <f>IF($G101&lt;الحد_الأدنى,0,IFERROR(SUMIFS(Sheet1!$D$3:$D$97,Sheet1!$B$3:$B$97,INDEX(Sheet1!$G$3:$G$9,MATCH($C101,Sheet1!$F$3:$F$9,0)),Sheet1!$C$3:$C$97,$G101),0))</f>
        <v>0</v>
      </c>
    </row>
    <row r="102" spans="2:11" hidden="1">
      <c r="B102" s="77" t="str">
        <f>'عدد اللاعبين'!B91</f>
        <v>جازان</v>
      </c>
      <c r="C102" s="72" t="str">
        <f>'عدد اللاعبين'!C91</f>
        <v>تحت 13</v>
      </c>
      <c r="D102" s="72" t="str">
        <f>IFERROR(INDEX(المدخلات!$AD$6:$AD$12,MATCH($C102,المدخلات!$AC$6:$AC$12,0)),"")</f>
        <v>الخميس</v>
      </c>
      <c r="E102" s="72" t="str">
        <f>'عدد اللاعبين'!D91</f>
        <v>مجموعة صامطة</v>
      </c>
      <c r="F102" s="73" t="str">
        <f>'عدد اللاعبين'!F91</f>
        <v>البكيرية، الرس، رياض الخبراء، البدائع</v>
      </c>
      <c r="G102" s="74">
        <f>'عدد اللاعبين'!G91</f>
        <v>11</v>
      </c>
      <c r="H102" s="72" t="str">
        <f>IFERROR(INDEX(المدخلات!$AE$6:$AE$12,MATCH($C102,المدخلات!$AC$6:$AC$12,0)),"")</f>
        <v>قانوني</v>
      </c>
      <c r="I102" s="74">
        <f t="shared" si="1"/>
        <v>5</v>
      </c>
      <c r="J102" s="74">
        <f>ROUNDUP($I102/IFERROR(INDEX(المدخلات!$AJ$6:$AJ$12,MATCH($C102,المدخلات!$AC$6:$AC$12,0)),1),0)</f>
        <v>2</v>
      </c>
      <c r="K102" s="74">
        <f>IF($G102&lt;الحد_الأدنى,0,IFERROR(SUMIFS(Sheet1!$D$3:$D$97,Sheet1!$B$3:$B$97,INDEX(Sheet1!$G$3:$G$9,MATCH($C102,Sheet1!$F$3:$F$9,0)),Sheet1!$C$3:$C$97,$G102),0))</f>
        <v>2</v>
      </c>
    </row>
    <row r="103" spans="2:11" hidden="1">
      <c r="B103" s="77" t="str">
        <f>'عدد اللاعبين'!B92</f>
        <v>الشرقية</v>
      </c>
      <c r="C103" s="72" t="str">
        <f>'عدد اللاعبين'!C92</f>
        <v>تحت 14</v>
      </c>
      <c r="D103" s="72" t="str">
        <f>IFERROR(INDEX(المدخلات!$AD$6:$AD$12,MATCH($C103,المدخلات!$AC$6:$AC$12,0)),"")</f>
        <v>الأربعاء</v>
      </c>
      <c r="E103" s="72" t="str">
        <f>'عدد اللاعبين'!D92</f>
        <v>مجموعة القطيف</v>
      </c>
      <c r="F103" s="73" t="str">
        <f>'عدد اللاعبين'!F92</f>
        <v>الظهران، الخبر</v>
      </c>
      <c r="G103" s="74">
        <f>'عدد اللاعبين'!G92</f>
        <v>11</v>
      </c>
      <c r="H103" s="72" t="str">
        <f>IFERROR(INDEX(المدخلات!$AE$6:$AE$12,MATCH($C103,المدخلات!$AC$6:$AC$12,0)),"")</f>
        <v>قانوني</v>
      </c>
      <c r="I103" s="74">
        <f t="shared" si="1"/>
        <v>5</v>
      </c>
      <c r="J103" s="74">
        <f>ROUNDUP($I103/IFERROR(INDEX(المدخلات!$AJ$6:$AJ$12,MATCH($C103,المدخلات!$AC$6:$AC$12,0)),1),0)</f>
        <v>2</v>
      </c>
      <c r="K103" s="74">
        <f>IF($G103&lt;الحد_الأدنى,0,IFERROR(SUMIFS(Sheet1!$D$3:$D$97,Sheet1!$B$3:$B$97,INDEX(Sheet1!$G$3:$G$9,MATCH($C103,Sheet1!$F$3:$F$9,0)),Sheet1!$C$3:$C$97,$G103),0))</f>
        <v>0</v>
      </c>
    </row>
    <row r="104" spans="2:11" hidden="1">
      <c r="B104" s="77" t="str">
        <f>'عدد اللاعبين'!B93</f>
        <v>جازان</v>
      </c>
      <c r="C104" s="72" t="str">
        <f>'عدد اللاعبين'!C93</f>
        <v>تحت 14</v>
      </c>
      <c r="D104" s="72" t="str">
        <f>IFERROR(INDEX(المدخلات!$AD$6:$AD$12,MATCH($C104,المدخلات!$AC$6:$AC$12,0)),"")</f>
        <v>الأربعاء</v>
      </c>
      <c r="E104" s="72" t="str">
        <f>'عدد اللاعبين'!D93</f>
        <v>مجموعة صامطة</v>
      </c>
      <c r="F104" s="73" t="str">
        <f>'عدد اللاعبين'!F93</f>
        <v>البكيرية، الرس، رياض الخبراء، البدائع</v>
      </c>
      <c r="G104" s="74">
        <f>'عدد اللاعبين'!G93</f>
        <v>11</v>
      </c>
      <c r="H104" s="72" t="str">
        <f>IFERROR(INDEX(المدخلات!$AE$6:$AE$12,MATCH($C104,المدخلات!$AC$6:$AC$12,0)),"")</f>
        <v>قانوني</v>
      </c>
      <c r="I104" s="74">
        <f t="shared" si="1"/>
        <v>5</v>
      </c>
      <c r="J104" s="74">
        <f>ROUNDUP($I104/IFERROR(INDEX(المدخلات!$AJ$6:$AJ$12,MATCH($C104,المدخلات!$AC$6:$AC$12,0)),1),0)</f>
        <v>2</v>
      </c>
      <c r="K104" s="74">
        <f>IF($G104&lt;الحد_الأدنى,0,IFERROR(SUMIFS(Sheet1!$D$3:$D$97,Sheet1!$B$3:$B$97,INDEX(Sheet1!$G$3:$G$9,MATCH($C104,Sheet1!$F$3:$F$9,0)),Sheet1!$C$3:$C$97,$G104),0))</f>
        <v>0</v>
      </c>
    </row>
    <row r="105" spans="2:11" hidden="1">
      <c r="B105" s="77" t="str">
        <f>'عدد اللاعبين'!B94</f>
        <v>جازان</v>
      </c>
      <c r="C105" s="72" t="str">
        <f>'عدد اللاعبين'!C94</f>
        <v>تحت 14</v>
      </c>
      <c r="D105" s="72" t="str">
        <f>IFERROR(INDEX(المدخلات!$AD$6:$AD$12,MATCH($C105,المدخلات!$AC$6:$AC$12,0)),"")</f>
        <v>الأربعاء</v>
      </c>
      <c r="E105" s="72" t="str">
        <f>'عدد اللاعبين'!D94</f>
        <v>مجموعة أبو عريش</v>
      </c>
      <c r="F105" s="73" t="str">
        <f>'عدد اللاعبين'!F94</f>
        <v>جيزان</v>
      </c>
      <c r="G105" s="74">
        <f>'عدد اللاعبين'!G94</f>
        <v>11</v>
      </c>
      <c r="H105" s="72" t="str">
        <f>IFERROR(INDEX(المدخلات!$AE$6:$AE$12,MATCH($C105,المدخلات!$AC$6:$AC$12,0)),"")</f>
        <v>قانوني</v>
      </c>
      <c r="I105" s="74">
        <f t="shared" si="1"/>
        <v>5</v>
      </c>
      <c r="J105" s="74">
        <f>ROUNDUP($I105/IFERROR(INDEX(المدخلات!$AJ$6:$AJ$12,MATCH($C105,المدخلات!$AC$6:$AC$12,0)),1),0)</f>
        <v>2</v>
      </c>
      <c r="K105" s="74">
        <f>IF($G105&lt;الحد_الأدنى,0,IFERROR(SUMIFS(Sheet1!$D$3:$D$97,Sheet1!$B$3:$B$97,INDEX(Sheet1!$G$3:$G$9,MATCH($C105,Sheet1!$F$3:$F$9,0)),Sheet1!$C$3:$C$97,$G105),0))</f>
        <v>0</v>
      </c>
    </row>
    <row r="106" spans="2:11" hidden="1">
      <c r="B106" s="77" t="str">
        <f>'عدد اللاعبين'!B95</f>
        <v>الشرقية</v>
      </c>
      <c r="C106" s="72" t="str">
        <f>'عدد اللاعبين'!C95</f>
        <v>تحت 7</v>
      </c>
      <c r="D106" s="72" t="str">
        <f>IFERROR(INDEX(المدخلات!$AD$6:$AD$12,MATCH($C106,المدخلات!$AC$6:$AC$12,0)),"")</f>
        <v>السبت</v>
      </c>
      <c r="E106" s="72" t="str">
        <f>'عدد اللاعبين'!D95</f>
        <v>مجموعة القطيف</v>
      </c>
      <c r="F106" s="73" t="str">
        <f>'عدد اللاعبين'!F95</f>
        <v>سكاكا، دومة الجندل</v>
      </c>
      <c r="G106" s="74">
        <f>'عدد اللاعبين'!G95</f>
        <v>11</v>
      </c>
      <c r="H106" s="72" t="str">
        <f>IFERROR(INDEX(المدخلات!$AE$6:$AE$12,MATCH($C106,المدخلات!$AC$6:$AC$12,0)),"")</f>
        <v>7 ضد 7</v>
      </c>
      <c r="I106" s="74">
        <f t="shared" si="1"/>
        <v>5</v>
      </c>
      <c r="J106" s="74">
        <f>ROUNDUP($I106/IFERROR(INDEX(المدخلات!$AJ$6:$AJ$12,MATCH($C106,المدخلات!$AC$6:$AC$12,0)),1),0)</f>
        <v>2</v>
      </c>
      <c r="K106" s="74">
        <f>IF($G106&lt;الحد_الأدنى,0,IFERROR(SUMIFS(Sheet1!$D$3:$D$97,Sheet1!$B$3:$B$97,INDEX(Sheet1!$G$3:$G$9,MATCH($C106,Sheet1!$F$3:$F$9,0)),Sheet1!$C$3:$C$97,$G106),0))</f>
        <v>1</v>
      </c>
    </row>
    <row r="107" spans="2:11" hidden="1">
      <c r="B107" s="77" t="str">
        <f>'عدد اللاعبين'!B96</f>
        <v>جازان</v>
      </c>
      <c r="C107" s="72" t="str">
        <f>'عدد اللاعبين'!C96</f>
        <v>تحت 7</v>
      </c>
      <c r="D107" s="72" t="str">
        <f>IFERROR(INDEX(المدخلات!$AD$6:$AD$12,MATCH($C107,المدخلات!$AC$6:$AC$12,0)),"")</f>
        <v>السبت</v>
      </c>
      <c r="E107" s="72" t="str">
        <f>'عدد اللاعبين'!D96</f>
        <v>مجموعة أبو عريش</v>
      </c>
      <c r="F107" s="73" t="str">
        <f>'عدد اللاعبين'!F96</f>
        <v>القنفذة</v>
      </c>
      <c r="G107" s="74">
        <f>'عدد اللاعبين'!G96</f>
        <v>11</v>
      </c>
      <c r="H107" s="72" t="str">
        <f>IFERROR(INDEX(المدخلات!$AE$6:$AE$12,MATCH($C107,المدخلات!$AC$6:$AC$12,0)),"")</f>
        <v>7 ضد 7</v>
      </c>
      <c r="I107" s="74">
        <f t="shared" si="1"/>
        <v>5</v>
      </c>
      <c r="J107" s="74">
        <f>ROUNDUP($I107/IFERROR(INDEX(المدخلات!$AJ$6:$AJ$12,MATCH($C107,المدخلات!$AC$6:$AC$12,0)),1),0)</f>
        <v>2</v>
      </c>
      <c r="K107" s="74">
        <f>IF($G107&lt;الحد_الأدنى,0,IFERROR(SUMIFS(Sheet1!$D$3:$D$97,Sheet1!$B$3:$B$97,INDEX(Sheet1!$G$3:$G$9,MATCH($C107,Sheet1!$F$3:$F$9,0)),Sheet1!$C$3:$C$97,$G107),0))</f>
        <v>1</v>
      </c>
    </row>
    <row r="108" spans="2:11" hidden="1">
      <c r="B108" s="77" t="str">
        <f>'عدد اللاعبين'!B97</f>
        <v>جازان</v>
      </c>
      <c r="C108" s="72" t="str">
        <f>'عدد اللاعبين'!C97</f>
        <v>تحت 9</v>
      </c>
      <c r="D108" s="72" t="str">
        <f>IFERROR(INDEX(المدخلات!$AD$6:$AD$12,MATCH($C108,المدخلات!$AC$6:$AC$12,0)),"")</f>
        <v>السبت</v>
      </c>
      <c r="E108" s="72" t="str">
        <f>'عدد اللاعبين'!D97</f>
        <v>مجموعة أبو عريش</v>
      </c>
      <c r="F108" s="73" t="str">
        <f>'عدد اللاعبين'!F97</f>
        <v>الطائف</v>
      </c>
      <c r="G108" s="74">
        <f>'عدد اللاعبين'!G97</f>
        <v>11</v>
      </c>
      <c r="H108" s="72" t="str">
        <f>IFERROR(INDEX(المدخلات!$AE$6:$AE$12,MATCH($C108,المدخلات!$AC$6:$AC$12,0)),"")</f>
        <v>7 ضد 7</v>
      </c>
      <c r="I108" s="74">
        <f t="shared" si="1"/>
        <v>5</v>
      </c>
      <c r="J108" s="74">
        <f>ROUNDUP($I108/IFERROR(INDEX(المدخلات!$AJ$6:$AJ$12,MATCH($C108,المدخلات!$AC$6:$AC$12,0)),1),0)</f>
        <v>2</v>
      </c>
      <c r="K108" s="74">
        <f>IF($G108&lt;الحد_الأدنى,0,IFERROR(SUMIFS(Sheet1!$D$3:$D$97,Sheet1!$B$3:$B$97,INDEX(Sheet1!$G$3:$G$9,MATCH($C108,Sheet1!$F$3:$F$9,0)),Sheet1!$C$3:$C$97,$G108),0))</f>
        <v>1</v>
      </c>
    </row>
    <row r="109" spans="2:11" hidden="1">
      <c r="B109" s="77" t="str">
        <f>'عدد اللاعبين'!B98</f>
        <v>القصيم</v>
      </c>
      <c r="C109" s="72" t="str">
        <f>'عدد اللاعبين'!C98</f>
        <v>تحت 11</v>
      </c>
      <c r="D109" s="72" t="str">
        <f>IFERROR(INDEX(المدخلات!$AD$6:$AD$12,MATCH($C109,المدخلات!$AC$6:$AC$12,0)),"")</f>
        <v>الأحد</v>
      </c>
      <c r="E109" s="72" t="str">
        <f>'عدد اللاعبين'!D98</f>
        <v>مجموعة الرس</v>
      </c>
      <c r="F109" s="73" t="str">
        <f>'عدد اللاعبين'!F98</f>
        <v>أبها، خميس مشيط</v>
      </c>
      <c r="G109" s="74">
        <f>'عدد اللاعبين'!G98</f>
        <v>11</v>
      </c>
      <c r="H109" s="72" t="str">
        <f>IFERROR(INDEX(المدخلات!$AE$6:$AE$12,MATCH($C109,المدخلات!$AC$6:$AC$12,0)),"")</f>
        <v>7 ضد 7</v>
      </c>
      <c r="I109" s="74">
        <f t="shared" si="1"/>
        <v>5</v>
      </c>
      <c r="J109" s="74">
        <f>ROUNDUP($I109/IFERROR(INDEX(المدخلات!$AJ$6:$AJ$12,MATCH($C109,المدخلات!$AC$6:$AC$12,0)),1),0)</f>
        <v>2</v>
      </c>
      <c r="K109" s="74">
        <f>IF($G109&lt;الحد_الأدنى,0,IFERROR(SUMIFS(Sheet1!$D$3:$D$97,Sheet1!$B$3:$B$97,INDEX(Sheet1!$G$3:$G$9,MATCH($C109,Sheet1!$F$3:$F$9,0)),Sheet1!$C$3:$C$97,$G109),0))</f>
        <v>1</v>
      </c>
    </row>
    <row r="110" spans="2:11" hidden="1">
      <c r="B110" s="77" t="str">
        <f>'عدد اللاعبين'!B99</f>
        <v>الشرقية</v>
      </c>
      <c r="C110" s="72" t="str">
        <f>'عدد اللاعبين'!C99</f>
        <v>تحت 11</v>
      </c>
      <c r="D110" s="72" t="str">
        <f>IFERROR(INDEX(المدخلات!$AD$6:$AD$12,MATCH($C110,المدخلات!$AC$6:$AC$12,0)),"")</f>
        <v>الأحد</v>
      </c>
      <c r="E110" s="72" t="str">
        <f>'عدد اللاعبين'!D99</f>
        <v>مجموعة الخبر</v>
      </c>
      <c r="F110" s="73" t="str">
        <f>'عدد اللاعبين'!F99</f>
        <v>جيزان</v>
      </c>
      <c r="G110" s="74">
        <f>'عدد اللاعبين'!G99</f>
        <v>11</v>
      </c>
      <c r="H110" s="72" t="str">
        <f>IFERROR(INDEX(المدخلات!$AE$6:$AE$12,MATCH($C110,المدخلات!$AC$6:$AC$12,0)),"")</f>
        <v>7 ضد 7</v>
      </c>
      <c r="I110" s="74">
        <f t="shared" si="1"/>
        <v>5</v>
      </c>
      <c r="J110" s="74">
        <f>ROUNDUP($I110/IFERROR(INDEX(المدخلات!$AJ$6:$AJ$12,MATCH($C110,المدخلات!$AC$6:$AC$12,0)),1),0)</f>
        <v>2</v>
      </c>
      <c r="K110" s="74">
        <f>IF($G110&lt;الحد_الأدنى,0,IFERROR(SUMIFS(Sheet1!$D$3:$D$97,Sheet1!$B$3:$B$97,INDEX(Sheet1!$G$3:$G$9,MATCH($C110,Sheet1!$F$3:$F$9,0)),Sheet1!$C$3:$C$97,$G110),0))</f>
        <v>1</v>
      </c>
    </row>
    <row r="111" spans="2:11" hidden="1">
      <c r="B111" s="77" t="str">
        <f>'عدد اللاعبين'!B100</f>
        <v>القصيم</v>
      </c>
      <c r="C111" s="72" t="str">
        <f>'عدد اللاعبين'!C100</f>
        <v>تحت 12</v>
      </c>
      <c r="D111" s="72" t="str">
        <f>IFERROR(INDEX(المدخلات!$AD$6:$AD$12,MATCH($C111,المدخلات!$AC$6:$AC$12,0)),"")</f>
        <v>الاثنين</v>
      </c>
      <c r="E111" s="72" t="str">
        <f>'عدد اللاعبين'!D100</f>
        <v>مجموعة الرس</v>
      </c>
      <c r="F111" s="73" t="str">
        <f>'عدد اللاعبين'!F100</f>
        <v>حائل، سميراء</v>
      </c>
      <c r="G111" s="74">
        <f>'عدد اللاعبين'!G100</f>
        <v>12</v>
      </c>
      <c r="H111" s="72" t="str">
        <f>IFERROR(INDEX(المدخلات!$AE$6:$AE$12,MATCH($C111,المدخلات!$AC$6:$AC$12,0)),"")</f>
        <v>7 ضد 7</v>
      </c>
      <c r="I111" s="74">
        <f t="shared" si="1"/>
        <v>6</v>
      </c>
      <c r="J111" s="74">
        <f>ROUNDUP($I111/IFERROR(INDEX(المدخلات!$AJ$6:$AJ$12,MATCH($C111,المدخلات!$AC$6:$AC$12,0)),1),0)</f>
        <v>2</v>
      </c>
      <c r="K111" s="74">
        <f>IF($G111&lt;الحد_الأدنى,0,IFERROR(SUMIFS(Sheet1!$D$3:$D$97,Sheet1!$B$3:$B$97,INDEX(Sheet1!$G$3:$G$9,MATCH($C111,Sheet1!$F$3:$F$9,0)),Sheet1!$C$3:$C$97,$G111),0))</f>
        <v>1</v>
      </c>
    </row>
    <row r="112" spans="2:11" hidden="1">
      <c r="B112" s="77" t="str">
        <f>'عدد اللاعبين'!B101</f>
        <v>جازان</v>
      </c>
      <c r="C112" s="72" t="str">
        <f>'عدد اللاعبين'!C101</f>
        <v>تحت 12</v>
      </c>
      <c r="D112" s="72" t="str">
        <f>IFERROR(INDEX(المدخلات!$AD$6:$AD$12,MATCH($C112,المدخلات!$AC$6:$AC$12,0)),"")</f>
        <v>الاثنين</v>
      </c>
      <c r="E112" s="72" t="str">
        <f>'عدد اللاعبين'!D101</f>
        <v>مجموعة جازان</v>
      </c>
      <c r="F112" s="73" t="str">
        <f>'عدد اللاعبين'!F101</f>
        <v>القنفذة، الليث</v>
      </c>
      <c r="G112" s="74">
        <f>'عدد اللاعبين'!G101</f>
        <v>12</v>
      </c>
      <c r="H112" s="72" t="str">
        <f>IFERROR(INDEX(المدخلات!$AE$6:$AE$12,MATCH($C112,المدخلات!$AC$6:$AC$12,0)),"")</f>
        <v>7 ضد 7</v>
      </c>
      <c r="I112" s="74">
        <f t="shared" si="1"/>
        <v>6</v>
      </c>
      <c r="J112" s="74">
        <f>ROUNDUP($I112/IFERROR(INDEX(المدخلات!$AJ$6:$AJ$12,MATCH($C112,المدخلات!$AC$6:$AC$12,0)),1),0)</f>
        <v>2</v>
      </c>
      <c r="K112" s="74">
        <f>IF($G112&lt;الحد_الأدنى,0,IFERROR(SUMIFS(Sheet1!$D$3:$D$97,Sheet1!$B$3:$B$97,INDEX(Sheet1!$G$3:$G$9,MATCH($C112,Sheet1!$F$3:$F$9,0)),Sheet1!$C$3:$C$97,$G112),0))</f>
        <v>1</v>
      </c>
    </row>
    <row r="113" spans="2:11" hidden="1">
      <c r="B113" s="77" t="str">
        <f>'عدد اللاعبين'!B102</f>
        <v>الجوف</v>
      </c>
      <c r="C113" s="72" t="str">
        <f>'عدد اللاعبين'!C102</f>
        <v>تحت 14</v>
      </c>
      <c r="D113" s="72" t="str">
        <f>IFERROR(INDEX(المدخلات!$AD$6:$AD$12,MATCH($C113,المدخلات!$AC$6:$AC$12,0)),"")</f>
        <v>الأربعاء</v>
      </c>
      <c r="E113" s="72" t="str">
        <f>'عدد اللاعبين'!D102</f>
        <v>مجموعة سكاكا</v>
      </c>
      <c r="F113" s="73" t="str">
        <f>'عدد اللاعبين'!F102</f>
        <v>الظهران، الخبر</v>
      </c>
      <c r="G113" s="74">
        <f>'عدد اللاعبين'!G102</f>
        <v>12</v>
      </c>
      <c r="H113" s="72" t="str">
        <f>IFERROR(INDEX(المدخلات!$AE$6:$AE$12,MATCH($C113,المدخلات!$AC$6:$AC$12,0)),"")</f>
        <v>قانوني</v>
      </c>
      <c r="I113" s="74">
        <f t="shared" si="1"/>
        <v>6</v>
      </c>
      <c r="J113" s="74">
        <f>ROUNDUP($I113/IFERROR(INDEX(المدخلات!$AJ$6:$AJ$12,MATCH($C113,المدخلات!$AC$6:$AC$12,0)),1),0)</f>
        <v>2</v>
      </c>
      <c r="K113" s="74">
        <f>IF($G113&lt;الحد_الأدنى,0,IFERROR(SUMIFS(Sheet1!$D$3:$D$97,Sheet1!$B$3:$B$97,INDEX(Sheet1!$G$3:$G$9,MATCH($C113,Sheet1!$F$3:$F$9,0)),Sheet1!$C$3:$C$97,$G113),0))</f>
        <v>0</v>
      </c>
    </row>
    <row r="114" spans="2:11" hidden="1">
      <c r="B114" s="77" t="str">
        <f>'عدد اللاعبين'!B103</f>
        <v>مكة المكرمة</v>
      </c>
      <c r="C114" s="72" t="str">
        <f>'عدد اللاعبين'!C103</f>
        <v>تحت 14</v>
      </c>
      <c r="D114" s="72" t="str">
        <f>IFERROR(INDEX(المدخلات!$AD$6:$AD$12,MATCH($C114,المدخلات!$AC$6:$AC$12,0)),"")</f>
        <v>الأربعاء</v>
      </c>
      <c r="E114" s="72" t="str">
        <f>'عدد اللاعبين'!D103</f>
        <v>مجموعة القنفذة</v>
      </c>
      <c r="F114" s="73" t="str">
        <f>'عدد اللاعبين'!F103</f>
        <v>بريدة، عيون الجواء، المذنب، عنيزة</v>
      </c>
      <c r="G114" s="74">
        <f>'عدد اللاعبين'!G103</f>
        <v>12</v>
      </c>
      <c r="H114" s="72" t="str">
        <f>IFERROR(INDEX(المدخلات!$AE$6:$AE$12,MATCH($C114,المدخلات!$AC$6:$AC$12,0)),"")</f>
        <v>قانوني</v>
      </c>
      <c r="I114" s="74">
        <f t="shared" si="1"/>
        <v>6</v>
      </c>
      <c r="J114" s="74">
        <f>ROUNDUP($I114/IFERROR(INDEX(المدخلات!$AJ$6:$AJ$12,MATCH($C114,المدخلات!$AC$6:$AC$12,0)),1),0)</f>
        <v>2</v>
      </c>
      <c r="K114" s="74">
        <f>IF($G114&lt;الحد_الأدنى,0,IFERROR(SUMIFS(Sheet1!$D$3:$D$97,Sheet1!$B$3:$B$97,INDEX(Sheet1!$G$3:$G$9,MATCH($C114,Sheet1!$F$3:$F$9,0)),Sheet1!$C$3:$C$97,$G114),0))</f>
        <v>0</v>
      </c>
    </row>
    <row r="115" spans="2:11" hidden="1">
      <c r="B115" s="77" t="str">
        <f>'عدد اللاعبين'!B104</f>
        <v>مكة المكرمة</v>
      </c>
      <c r="C115" s="72" t="str">
        <f>'عدد اللاعبين'!C104</f>
        <v>تحت 5</v>
      </c>
      <c r="D115" s="72" t="str">
        <f>IFERROR(INDEX(المدخلات!$AD$6:$AD$12,MATCH($C115,المدخلات!$AC$6:$AC$12,0)),"")</f>
        <v>السبت</v>
      </c>
      <c r="E115" s="72" t="str">
        <f>'عدد اللاعبين'!D104</f>
        <v>مجموعة الطائف</v>
      </c>
      <c r="F115" s="73" t="str">
        <f>'عدد اللاعبين'!F104</f>
        <v>الظهران، الخبر، الدمام، سيهات</v>
      </c>
      <c r="G115" s="74">
        <f>'عدد اللاعبين'!G104</f>
        <v>12</v>
      </c>
      <c r="H115" s="72" t="str">
        <f>IFERROR(INDEX(المدخلات!$AE$6:$AE$12,MATCH($C115,المدخلات!$AC$6:$AC$12,0)),"")</f>
        <v>5 ضد 5</v>
      </c>
      <c r="I115" s="74">
        <f t="shared" si="1"/>
        <v>6</v>
      </c>
      <c r="J115" s="74">
        <f>ROUNDUP($I115/IFERROR(INDEX(المدخلات!$AJ$6:$AJ$12,MATCH($C115,المدخلات!$AC$6:$AC$12,0)),1),0)</f>
        <v>2</v>
      </c>
      <c r="K115" s="74">
        <f>IF($G115&lt;الحد_الأدنى,0,IFERROR(SUMIFS(Sheet1!$D$3:$D$97,Sheet1!$B$3:$B$97,INDEX(Sheet1!$G$3:$G$9,MATCH($C115,Sheet1!$F$3:$F$9,0)),Sheet1!$C$3:$C$97,$G115),0))</f>
        <v>2</v>
      </c>
    </row>
    <row r="116" spans="2:11" hidden="1">
      <c r="B116" s="77" t="str">
        <f>'عدد اللاعبين'!B105</f>
        <v>عسير</v>
      </c>
      <c r="C116" s="72" t="str">
        <f>'عدد اللاعبين'!C105</f>
        <v>تحت 9</v>
      </c>
      <c r="D116" s="72" t="str">
        <f>IFERROR(INDEX(المدخلات!$AD$6:$AD$12,MATCH($C116,المدخلات!$AC$6:$AC$12,0)),"")</f>
        <v>السبت</v>
      </c>
      <c r="E116" s="72" t="str">
        <f>'عدد اللاعبين'!D105</f>
        <v>مجموعة أبها</v>
      </c>
      <c r="F116" s="73" t="str">
        <f>'عدد اللاعبين'!F105</f>
        <v>الخفجي</v>
      </c>
      <c r="G116" s="74">
        <f>'عدد اللاعبين'!G105</f>
        <v>12</v>
      </c>
      <c r="H116" s="72" t="str">
        <f>IFERROR(INDEX(المدخلات!$AE$6:$AE$12,MATCH($C116,المدخلات!$AC$6:$AC$12,0)),"")</f>
        <v>7 ضد 7</v>
      </c>
      <c r="I116" s="74">
        <f t="shared" si="1"/>
        <v>6</v>
      </c>
      <c r="J116" s="74">
        <f>ROUNDUP($I116/IFERROR(INDEX(المدخلات!$AJ$6:$AJ$12,MATCH($C116,المدخلات!$AC$6:$AC$12,0)),1),0)</f>
        <v>2</v>
      </c>
      <c r="K116" s="74">
        <f>IF($G116&lt;الحد_الأدنى,0,IFERROR(SUMIFS(Sheet1!$D$3:$D$97,Sheet1!$B$3:$B$97,INDEX(Sheet1!$G$3:$G$9,MATCH($C116,Sheet1!$F$3:$F$9,0)),Sheet1!$C$3:$C$97,$G116),0))</f>
        <v>2</v>
      </c>
    </row>
    <row r="117" spans="2:11" hidden="1">
      <c r="B117" s="77" t="str">
        <f>'عدد اللاعبين'!B106</f>
        <v>جازان</v>
      </c>
      <c r="C117" s="72" t="str">
        <f>'عدد اللاعبين'!C106</f>
        <v>تحت 9</v>
      </c>
      <c r="D117" s="72" t="str">
        <f>IFERROR(INDEX(المدخلات!$AD$6:$AD$12,MATCH($C117,المدخلات!$AC$6:$AC$12,0)),"")</f>
        <v>السبت</v>
      </c>
      <c r="E117" s="72" t="str">
        <f>'عدد اللاعبين'!D106</f>
        <v>مجموعة جازان</v>
      </c>
      <c r="F117" s="73" t="str">
        <f>'عدد اللاعبين'!F106</f>
        <v>سكاكا، دومة الجندل</v>
      </c>
      <c r="G117" s="74">
        <f>'عدد اللاعبين'!G106</f>
        <v>12</v>
      </c>
      <c r="H117" s="72" t="str">
        <f>IFERROR(INDEX(المدخلات!$AE$6:$AE$12,MATCH($C117,المدخلات!$AC$6:$AC$12,0)),"")</f>
        <v>7 ضد 7</v>
      </c>
      <c r="I117" s="74">
        <f t="shared" si="1"/>
        <v>6</v>
      </c>
      <c r="J117" s="74">
        <f>ROUNDUP($I117/IFERROR(INDEX(المدخلات!$AJ$6:$AJ$12,MATCH($C117,المدخلات!$AC$6:$AC$12,0)),1),0)</f>
        <v>2</v>
      </c>
      <c r="K117" s="74">
        <f>IF($G117&lt;الحد_الأدنى,0,IFERROR(SUMIFS(Sheet1!$D$3:$D$97,Sheet1!$B$3:$B$97,INDEX(Sheet1!$G$3:$G$9,MATCH($C117,Sheet1!$F$3:$F$9,0)),Sheet1!$C$3:$C$97,$G117),0))</f>
        <v>2</v>
      </c>
    </row>
    <row r="118" spans="2:11" hidden="1">
      <c r="B118" s="77" t="str">
        <f>'عدد اللاعبين'!B107</f>
        <v>حائل</v>
      </c>
      <c r="C118" s="72" t="str">
        <f>'عدد اللاعبين'!C107</f>
        <v>تحت 12</v>
      </c>
      <c r="D118" s="72" t="str">
        <f>IFERROR(INDEX(المدخلات!$AD$6:$AD$12,MATCH($C118,المدخلات!$AC$6:$AC$12,0)),"")</f>
        <v>الاثنين</v>
      </c>
      <c r="E118" s="72" t="str">
        <f>'عدد اللاعبين'!D107</f>
        <v>مجموعة حائل</v>
      </c>
      <c r="F118" s="73" t="str">
        <f>'عدد اللاعبين'!F107</f>
        <v>سكاكا، دومة الجندل</v>
      </c>
      <c r="G118" s="74">
        <f>'عدد اللاعبين'!G107</f>
        <v>12</v>
      </c>
      <c r="H118" s="72" t="str">
        <f>IFERROR(INDEX(المدخلات!$AE$6:$AE$12,MATCH($C118,المدخلات!$AC$6:$AC$12,0)),"")</f>
        <v>7 ضد 7</v>
      </c>
      <c r="I118" s="74">
        <f t="shared" si="1"/>
        <v>6</v>
      </c>
      <c r="J118" s="74">
        <f>ROUNDUP($I118/IFERROR(INDEX(المدخلات!$AJ$6:$AJ$12,MATCH($C118,المدخلات!$AC$6:$AC$12,0)),1),0)</f>
        <v>2</v>
      </c>
      <c r="K118" s="74">
        <f>IF($G118&lt;الحد_الأدنى,0,IFERROR(SUMIFS(Sheet1!$D$3:$D$97,Sheet1!$B$3:$B$97,INDEX(Sheet1!$G$3:$G$9,MATCH($C118,Sheet1!$F$3:$F$9,0)),Sheet1!$C$3:$C$97,$G118),0))</f>
        <v>1</v>
      </c>
    </row>
    <row r="119" spans="2:11" hidden="1">
      <c r="B119" s="77" t="str">
        <f>'عدد اللاعبين'!B108</f>
        <v>مكة المكرمة</v>
      </c>
      <c r="C119" s="72" t="str">
        <f>'عدد اللاعبين'!C108</f>
        <v>تحت 12</v>
      </c>
      <c r="D119" s="72" t="str">
        <f>IFERROR(INDEX(المدخلات!$AD$6:$AD$12,MATCH($C119,المدخلات!$AC$6:$AC$12,0)),"")</f>
        <v>الاثنين</v>
      </c>
      <c r="E119" s="72" t="str">
        <f>'عدد اللاعبين'!D108</f>
        <v>مجموعة القنفذة</v>
      </c>
      <c r="F119" s="73" t="str">
        <f>'عدد اللاعبين'!F108</f>
        <v>حائل</v>
      </c>
      <c r="G119" s="74">
        <f>'عدد اللاعبين'!G108</f>
        <v>12</v>
      </c>
      <c r="H119" s="72" t="str">
        <f>IFERROR(INDEX(المدخلات!$AE$6:$AE$12,MATCH($C119,المدخلات!$AC$6:$AC$12,0)),"")</f>
        <v>7 ضد 7</v>
      </c>
      <c r="I119" s="74">
        <f t="shared" si="1"/>
        <v>6</v>
      </c>
      <c r="J119" s="74">
        <f>ROUNDUP($I119/IFERROR(INDEX(المدخلات!$AJ$6:$AJ$12,MATCH($C119,المدخلات!$AC$6:$AC$12,0)),1),0)</f>
        <v>2</v>
      </c>
      <c r="K119" s="74">
        <f>IF($G119&lt;الحد_الأدنى,0,IFERROR(SUMIFS(Sheet1!$D$3:$D$97,Sheet1!$B$3:$B$97,INDEX(Sheet1!$G$3:$G$9,MATCH($C119,Sheet1!$F$3:$F$9,0)),Sheet1!$C$3:$C$97,$G119),0))</f>
        <v>1</v>
      </c>
    </row>
    <row r="120" spans="2:11" hidden="1">
      <c r="B120" s="77" t="str">
        <f>'عدد اللاعبين'!B109</f>
        <v>الشرقية</v>
      </c>
      <c r="C120" s="72" t="str">
        <f>'عدد اللاعبين'!C109</f>
        <v>تحت 12</v>
      </c>
      <c r="D120" s="72" t="str">
        <f>IFERROR(INDEX(المدخلات!$AD$6:$AD$12,MATCH($C120,المدخلات!$AC$6:$AC$12,0)),"")</f>
        <v>الاثنين</v>
      </c>
      <c r="E120" s="72" t="str">
        <f>'عدد اللاعبين'!D109</f>
        <v>مجموعة الخبر</v>
      </c>
      <c r="F120" s="73" t="str">
        <f>'عدد اللاعبين'!F109</f>
        <v>حائل، سميراء</v>
      </c>
      <c r="G120" s="74">
        <f>'عدد اللاعبين'!G109</f>
        <v>13</v>
      </c>
      <c r="H120" s="72" t="str">
        <f>IFERROR(INDEX(المدخلات!$AE$6:$AE$12,MATCH($C120,المدخلات!$AC$6:$AC$12,0)),"")</f>
        <v>7 ضد 7</v>
      </c>
      <c r="I120" s="74">
        <f t="shared" si="1"/>
        <v>6</v>
      </c>
      <c r="J120" s="74">
        <f>ROUNDUP($I120/IFERROR(INDEX(المدخلات!$AJ$6:$AJ$12,MATCH($C120,المدخلات!$AC$6:$AC$12,0)),1),0)</f>
        <v>2</v>
      </c>
      <c r="K120" s="74">
        <f>IF($G120&lt;الحد_الأدنى,0,IFERROR(SUMIFS(Sheet1!$D$3:$D$97,Sheet1!$B$3:$B$97,INDEX(Sheet1!$G$3:$G$9,MATCH($C120,Sheet1!$F$3:$F$9,0)),Sheet1!$C$3:$C$97,$G120),0))</f>
        <v>1</v>
      </c>
    </row>
    <row r="121" spans="2:11" hidden="1">
      <c r="B121" s="77" t="str">
        <f>'عدد اللاعبين'!B110</f>
        <v>القصيم</v>
      </c>
      <c r="C121" s="72" t="str">
        <f>'عدد اللاعبين'!C110</f>
        <v>تحت 14</v>
      </c>
      <c r="D121" s="72" t="str">
        <f>IFERROR(INDEX(المدخلات!$AD$6:$AD$12,MATCH($C121,المدخلات!$AC$6:$AC$12,0)),"")</f>
        <v>الأربعاء</v>
      </c>
      <c r="E121" s="72" t="str">
        <f>'عدد اللاعبين'!D110</f>
        <v>مجموعة القصيم</v>
      </c>
      <c r="F121" s="73" t="str">
        <f>'عدد اللاعبين'!F110</f>
        <v>القنفذة</v>
      </c>
      <c r="G121" s="74">
        <f>'عدد اللاعبين'!G110</f>
        <v>13</v>
      </c>
      <c r="H121" s="72" t="str">
        <f>IFERROR(INDEX(المدخلات!$AE$6:$AE$12,MATCH($C121,المدخلات!$AC$6:$AC$12,0)),"")</f>
        <v>قانوني</v>
      </c>
      <c r="I121" s="74">
        <f t="shared" si="1"/>
        <v>6</v>
      </c>
      <c r="J121" s="74">
        <f>ROUNDUP($I121/IFERROR(INDEX(المدخلات!$AJ$6:$AJ$12,MATCH($C121,المدخلات!$AC$6:$AC$12,0)),1),0)</f>
        <v>2</v>
      </c>
      <c r="K121" s="74">
        <f>IF($G121&lt;الحد_الأدنى,0,IFERROR(SUMIFS(Sheet1!$D$3:$D$97,Sheet1!$B$3:$B$97,INDEX(Sheet1!$G$3:$G$9,MATCH($C121,Sheet1!$F$3:$F$9,0)),Sheet1!$C$3:$C$97,$G121),0))</f>
        <v>2</v>
      </c>
    </row>
    <row r="122" spans="2:11" hidden="1">
      <c r="B122" s="77" t="str">
        <f>'عدد اللاعبين'!B111</f>
        <v>الشرقية</v>
      </c>
      <c r="C122" s="72" t="str">
        <f>'عدد اللاعبين'!C111</f>
        <v>تحت 14</v>
      </c>
      <c r="D122" s="72" t="str">
        <f>IFERROR(INDEX(المدخلات!$AD$6:$AD$12,MATCH($C122,المدخلات!$AC$6:$AC$12,0)),"")</f>
        <v>الأربعاء</v>
      </c>
      <c r="E122" s="72" t="str">
        <f>'عدد اللاعبين'!D111</f>
        <v>مجموعة الدمام</v>
      </c>
      <c r="F122" s="73" t="str">
        <f>'عدد اللاعبين'!F111</f>
        <v>المدينة المنورة</v>
      </c>
      <c r="G122" s="74">
        <f>'عدد اللاعبين'!G111</f>
        <v>13</v>
      </c>
      <c r="H122" s="72" t="str">
        <f>IFERROR(INDEX(المدخلات!$AE$6:$AE$12,MATCH($C122,المدخلات!$AC$6:$AC$12,0)),"")</f>
        <v>قانوني</v>
      </c>
      <c r="I122" s="74">
        <f t="shared" si="1"/>
        <v>6</v>
      </c>
      <c r="J122" s="74">
        <f>ROUNDUP($I122/IFERROR(INDEX(المدخلات!$AJ$6:$AJ$12,MATCH($C122,المدخلات!$AC$6:$AC$12,0)),1),0)</f>
        <v>2</v>
      </c>
      <c r="K122" s="74">
        <f>IF($G122&lt;الحد_الأدنى,0,IFERROR(SUMIFS(Sheet1!$D$3:$D$97,Sheet1!$B$3:$B$97,INDEX(Sheet1!$G$3:$G$9,MATCH($C122,Sheet1!$F$3:$F$9,0)),Sheet1!$C$3:$C$97,$G122),0))</f>
        <v>2</v>
      </c>
    </row>
    <row r="123" spans="2:11" hidden="1">
      <c r="B123" s="77" t="str">
        <f>'عدد اللاعبين'!B112</f>
        <v>الشرقية</v>
      </c>
      <c r="C123" s="72" t="str">
        <f>'عدد اللاعبين'!C112</f>
        <v>تحت 5</v>
      </c>
      <c r="D123" s="72" t="str">
        <f>IFERROR(INDEX(المدخلات!$AD$6:$AD$12,MATCH($C123,المدخلات!$AC$6:$AC$12,0)),"")</f>
        <v>السبت</v>
      </c>
      <c r="E123" s="72" t="str">
        <f>'عدد اللاعبين'!D112</f>
        <v>مجموعة الخفجي</v>
      </c>
      <c r="F123" s="73" t="str">
        <f>'عدد اللاعبين'!F112</f>
        <v>الأحساء</v>
      </c>
      <c r="G123" s="74">
        <f>'عدد اللاعبين'!G112</f>
        <v>13</v>
      </c>
      <c r="H123" s="72" t="str">
        <f>IFERROR(INDEX(المدخلات!$AE$6:$AE$12,MATCH($C123,المدخلات!$AC$6:$AC$12,0)),"")</f>
        <v>5 ضد 5</v>
      </c>
      <c r="I123" s="74">
        <f t="shared" si="1"/>
        <v>6</v>
      </c>
      <c r="J123" s="74">
        <f>ROUNDUP($I123/IFERROR(INDEX(المدخلات!$AJ$6:$AJ$12,MATCH($C123,المدخلات!$AC$6:$AC$12,0)),1),0)</f>
        <v>2</v>
      </c>
      <c r="K123" s="74">
        <f>IF($G123&lt;الحد_الأدنى,0,IFERROR(SUMIFS(Sheet1!$D$3:$D$97,Sheet1!$B$3:$B$97,INDEX(Sheet1!$G$3:$G$9,MATCH($C123,Sheet1!$F$3:$F$9,0)),Sheet1!$C$3:$C$97,$G123),0))</f>
        <v>2</v>
      </c>
    </row>
    <row r="124" spans="2:11" hidden="1">
      <c r="B124" s="77" t="str">
        <f>'عدد اللاعبين'!B113</f>
        <v>الجوف</v>
      </c>
      <c r="C124" s="72" t="str">
        <f>'عدد اللاعبين'!C113</f>
        <v>تحت 5</v>
      </c>
      <c r="D124" s="72" t="str">
        <f>IFERROR(INDEX(المدخلات!$AD$6:$AD$12,MATCH($C124,المدخلات!$AC$6:$AC$12,0)),"")</f>
        <v>السبت</v>
      </c>
      <c r="E124" s="72" t="str">
        <f>'عدد اللاعبين'!D113</f>
        <v>مجموعة سكاكا</v>
      </c>
      <c r="F124" s="73" t="str">
        <f>'عدد اللاعبين'!F113</f>
        <v>صبيا، ضمد</v>
      </c>
      <c r="G124" s="74">
        <f>'عدد اللاعبين'!G113</f>
        <v>13</v>
      </c>
      <c r="H124" s="72" t="str">
        <f>IFERROR(INDEX(المدخلات!$AE$6:$AE$12,MATCH($C124,المدخلات!$AC$6:$AC$12,0)),"")</f>
        <v>5 ضد 5</v>
      </c>
      <c r="I124" s="74">
        <f t="shared" si="1"/>
        <v>6</v>
      </c>
      <c r="J124" s="74">
        <f>ROUNDUP($I124/IFERROR(INDEX(المدخلات!$AJ$6:$AJ$12,MATCH($C124,المدخلات!$AC$6:$AC$12,0)),1),0)</f>
        <v>2</v>
      </c>
      <c r="K124" s="74">
        <f>IF($G124&lt;الحد_الأدنى,0,IFERROR(SUMIFS(Sheet1!$D$3:$D$97,Sheet1!$B$3:$B$97,INDEX(Sheet1!$G$3:$G$9,MATCH($C124,Sheet1!$F$3:$F$9,0)),Sheet1!$C$3:$C$97,$G124),0))</f>
        <v>2</v>
      </c>
    </row>
    <row r="125" spans="2:11" hidden="1">
      <c r="B125" s="77" t="str">
        <f>'عدد اللاعبين'!B114</f>
        <v>الجوف</v>
      </c>
      <c r="C125" s="72" t="str">
        <f>'عدد اللاعبين'!C114</f>
        <v>تحت 7</v>
      </c>
      <c r="D125" s="72" t="str">
        <f>IFERROR(INDEX(المدخلات!$AD$6:$AD$12,MATCH($C125,المدخلات!$AC$6:$AC$12,0)),"")</f>
        <v>السبت</v>
      </c>
      <c r="E125" s="72" t="str">
        <f>'عدد اللاعبين'!D114</f>
        <v>مجموعة سكاكا</v>
      </c>
      <c r="F125" s="73" t="str">
        <f>'عدد اللاعبين'!F114</f>
        <v>الخفجي</v>
      </c>
      <c r="G125" s="74">
        <f>'عدد اللاعبين'!G114</f>
        <v>13</v>
      </c>
      <c r="H125" s="72" t="str">
        <f>IFERROR(INDEX(المدخلات!$AE$6:$AE$12,MATCH($C125,المدخلات!$AC$6:$AC$12,0)),"")</f>
        <v>7 ضد 7</v>
      </c>
      <c r="I125" s="74">
        <f t="shared" si="1"/>
        <v>6</v>
      </c>
      <c r="J125" s="74">
        <f>ROUNDUP($I125/IFERROR(INDEX(المدخلات!$AJ$6:$AJ$12,MATCH($C125,المدخلات!$AC$6:$AC$12,0)),1),0)</f>
        <v>2</v>
      </c>
      <c r="K125" s="74">
        <f>IF($G125&lt;الحد_الأدنى,0,IFERROR(SUMIFS(Sheet1!$D$3:$D$97,Sheet1!$B$3:$B$97,INDEX(Sheet1!$G$3:$G$9,MATCH($C125,Sheet1!$F$3:$F$9,0)),Sheet1!$C$3:$C$97,$G125),0))</f>
        <v>1</v>
      </c>
    </row>
    <row r="126" spans="2:11" hidden="1">
      <c r="B126" s="77" t="str">
        <f>'عدد اللاعبين'!B115</f>
        <v>حائل</v>
      </c>
      <c r="C126" s="72" t="str">
        <f>'عدد اللاعبين'!C115</f>
        <v>تحت 9</v>
      </c>
      <c r="D126" s="72" t="str">
        <f>IFERROR(INDEX(المدخلات!$AD$6:$AD$12,MATCH($C126,المدخلات!$AC$6:$AC$12,0)),"")</f>
        <v>السبت</v>
      </c>
      <c r="E126" s="72" t="str">
        <f>'عدد اللاعبين'!D115</f>
        <v>مجموعة حائل</v>
      </c>
      <c r="F126" s="73" t="str">
        <f>'عدد اللاعبين'!F115</f>
        <v>الطائف</v>
      </c>
      <c r="G126" s="74">
        <f>'عدد اللاعبين'!G115</f>
        <v>13</v>
      </c>
      <c r="H126" s="72" t="str">
        <f>IFERROR(INDEX(المدخلات!$AE$6:$AE$12,MATCH($C126,المدخلات!$AC$6:$AC$12,0)),"")</f>
        <v>7 ضد 7</v>
      </c>
      <c r="I126" s="74">
        <f t="shared" si="1"/>
        <v>6</v>
      </c>
      <c r="J126" s="74">
        <f>ROUNDUP($I126/IFERROR(INDEX(المدخلات!$AJ$6:$AJ$12,MATCH($C126,المدخلات!$AC$6:$AC$12,0)),1),0)</f>
        <v>2</v>
      </c>
      <c r="K126" s="74">
        <f>IF($G126&lt;الحد_الأدنى,0,IFERROR(SUMIFS(Sheet1!$D$3:$D$97,Sheet1!$B$3:$B$97,INDEX(Sheet1!$G$3:$G$9,MATCH($C126,Sheet1!$F$3:$F$9,0)),Sheet1!$C$3:$C$97,$G126),0))</f>
        <v>1</v>
      </c>
    </row>
    <row r="127" spans="2:11" hidden="1">
      <c r="B127" s="77" t="str">
        <f>'عدد اللاعبين'!B116</f>
        <v>حائل</v>
      </c>
      <c r="C127" s="72" t="str">
        <f>'عدد اللاعبين'!C116</f>
        <v>تحت 11</v>
      </c>
      <c r="D127" s="72" t="str">
        <f>IFERROR(INDEX(المدخلات!$AD$6:$AD$12,MATCH($C127,المدخلات!$AC$6:$AC$12,0)),"")</f>
        <v>الأحد</v>
      </c>
      <c r="E127" s="72" t="str">
        <f>'عدد اللاعبين'!D116</f>
        <v>مجموعة حائل</v>
      </c>
      <c r="F127" s="73" t="str">
        <f>'عدد اللاعبين'!F116</f>
        <v>الدمام، سيهات</v>
      </c>
      <c r="G127" s="74">
        <f>'عدد اللاعبين'!G116</f>
        <v>14</v>
      </c>
      <c r="H127" s="72" t="str">
        <f>IFERROR(INDEX(المدخلات!$AE$6:$AE$12,MATCH($C127,المدخلات!$AC$6:$AC$12,0)),"")</f>
        <v>7 ضد 7</v>
      </c>
      <c r="I127" s="74">
        <f t="shared" si="1"/>
        <v>7</v>
      </c>
      <c r="J127" s="74">
        <f>ROUNDUP($I127/IFERROR(INDEX(المدخلات!$AJ$6:$AJ$12,MATCH($C127,المدخلات!$AC$6:$AC$12,0)),1),0)</f>
        <v>2</v>
      </c>
      <c r="K127" s="74">
        <f>IF($G127&lt;الحد_الأدنى,0,IFERROR(SUMIFS(Sheet1!$D$3:$D$97,Sheet1!$B$3:$B$97,INDEX(Sheet1!$G$3:$G$9,MATCH($C127,Sheet1!$F$3:$F$9,0)),Sheet1!$C$3:$C$97,$G127),0))</f>
        <v>1</v>
      </c>
    </row>
    <row r="128" spans="2:11" hidden="1">
      <c r="B128" s="77" t="str">
        <f>'عدد اللاعبين'!B117</f>
        <v>مكة المكرمة</v>
      </c>
      <c r="C128" s="72" t="str">
        <f>'عدد اللاعبين'!C117</f>
        <v>تحت 13</v>
      </c>
      <c r="D128" s="72" t="str">
        <f>IFERROR(INDEX(المدخلات!$AD$6:$AD$12,MATCH($C128,المدخلات!$AC$6:$AC$12,0)),"")</f>
        <v>الخميس</v>
      </c>
      <c r="E128" s="72" t="str">
        <f>'عدد اللاعبين'!D117</f>
        <v>مجموعة القنفذة</v>
      </c>
      <c r="F128" s="73" t="str">
        <f>'عدد اللاعبين'!F117</f>
        <v>القنفذة، الليث</v>
      </c>
      <c r="G128" s="74">
        <f>'عدد اللاعبين'!G117</f>
        <v>14</v>
      </c>
      <c r="H128" s="72" t="str">
        <f>IFERROR(INDEX(المدخلات!$AE$6:$AE$12,MATCH($C128,المدخلات!$AC$6:$AC$12,0)),"")</f>
        <v>قانوني</v>
      </c>
      <c r="I128" s="74">
        <f t="shared" si="1"/>
        <v>7</v>
      </c>
      <c r="J128" s="74">
        <f>ROUNDUP($I128/IFERROR(INDEX(المدخلات!$AJ$6:$AJ$12,MATCH($C128,المدخلات!$AC$6:$AC$12,0)),1),0)</f>
        <v>3</v>
      </c>
      <c r="K128" s="74">
        <f>IF($G128&lt;الحد_الأدنى,0,IFERROR(SUMIFS(Sheet1!$D$3:$D$97,Sheet1!$B$3:$B$97,INDEX(Sheet1!$G$3:$G$9,MATCH($C128,Sheet1!$F$3:$F$9,0)),Sheet1!$C$3:$C$97,$G128),0))</f>
        <v>2</v>
      </c>
    </row>
    <row r="129" spans="2:11" hidden="1">
      <c r="B129" s="77" t="str">
        <f>'عدد اللاعبين'!B118</f>
        <v>المدينة المنورة</v>
      </c>
      <c r="C129" s="72" t="str">
        <f>'عدد اللاعبين'!C118</f>
        <v>تحت 13</v>
      </c>
      <c r="D129" s="72" t="str">
        <f>IFERROR(INDEX(المدخلات!$AD$6:$AD$12,MATCH($C129,المدخلات!$AC$6:$AC$12,0)),"")</f>
        <v>الخميس</v>
      </c>
      <c r="E129" s="72" t="str">
        <f>'عدد اللاعبين'!D118</f>
        <v>مجموعة المدينة المنورة</v>
      </c>
      <c r="F129" s="73" t="str">
        <f>'عدد اللاعبين'!F118</f>
        <v>الدمام، سيهات</v>
      </c>
      <c r="G129" s="74">
        <f>'عدد اللاعبين'!G118</f>
        <v>14</v>
      </c>
      <c r="H129" s="72" t="str">
        <f>IFERROR(INDEX(المدخلات!$AE$6:$AE$12,MATCH($C129,المدخلات!$AC$6:$AC$12,0)),"")</f>
        <v>قانوني</v>
      </c>
      <c r="I129" s="74">
        <f t="shared" si="1"/>
        <v>7</v>
      </c>
      <c r="J129" s="74">
        <f>ROUNDUP($I129/IFERROR(INDEX(المدخلات!$AJ$6:$AJ$12,MATCH($C129,المدخلات!$AC$6:$AC$12,0)),1),0)</f>
        <v>3</v>
      </c>
      <c r="K129" s="74">
        <f>IF($G129&lt;الحد_الأدنى,0,IFERROR(SUMIFS(Sheet1!$D$3:$D$97,Sheet1!$B$3:$B$97,INDEX(Sheet1!$G$3:$G$9,MATCH($C129,Sheet1!$F$3:$F$9,0)),Sheet1!$C$3:$C$97,$G129),0))</f>
        <v>2</v>
      </c>
    </row>
    <row r="130" spans="2:11" hidden="1">
      <c r="B130" s="77" t="str">
        <f>'عدد اللاعبين'!B119</f>
        <v>الشرقية</v>
      </c>
      <c r="C130" s="72" t="str">
        <f>'عدد اللاعبين'!C119</f>
        <v>تحت 5</v>
      </c>
      <c r="D130" s="72" t="str">
        <f>IFERROR(INDEX(المدخلات!$AD$6:$AD$12,MATCH($C130,المدخلات!$AC$6:$AC$12,0)),"")</f>
        <v>السبت</v>
      </c>
      <c r="E130" s="72" t="str">
        <f>'عدد اللاعبين'!D119</f>
        <v>مجموعة الأحساء</v>
      </c>
      <c r="F130" s="73" t="str">
        <f>'عدد اللاعبين'!F119</f>
        <v>الخرج، الدلم</v>
      </c>
      <c r="G130" s="74">
        <f>'عدد اللاعبين'!G119</f>
        <v>14</v>
      </c>
      <c r="H130" s="72" t="str">
        <f>IFERROR(INDEX(المدخلات!$AE$6:$AE$12,MATCH($C130,المدخلات!$AC$6:$AC$12,0)),"")</f>
        <v>5 ضد 5</v>
      </c>
      <c r="I130" s="74">
        <f t="shared" si="1"/>
        <v>7</v>
      </c>
      <c r="J130" s="74">
        <f>ROUNDUP($I130/IFERROR(INDEX(المدخلات!$AJ$6:$AJ$12,MATCH($C130,المدخلات!$AC$6:$AC$12,0)),1),0)</f>
        <v>3</v>
      </c>
      <c r="K130" s="74">
        <f>IF($G130&lt;الحد_الأدنى,0,IFERROR(SUMIFS(Sheet1!$D$3:$D$97,Sheet1!$B$3:$B$97,INDEX(Sheet1!$G$3:$G$9,MATCH($C130,Sheet1!$F$3:$F$9,0)),Sheet1!$C$3:$C$97,$G130),0))</f>
        <v>0</v>
      </c>
    </row>
    <row r="131" spans="2:11" hidden="1">
      <c r="B131" s="77" t="str">
        <f>'عدد اللاعبين'!B120</f>
        <v>جازان</v>
      </c>
      <c r="C131" s="72" t="str">
        <f>'عدد اللاعبين'!C120</f>
        <v>تحت 5</v>
      </c>
      <c r="D131" s="72" t="str">
        <f>IFERROR(INDEX(المدخلات!$AD$6:$AD$12,MATCH($C131,المدخلات!$AC$6:$AC$12,0)),"")</f>
        <v>السبت</v>
      </c>
      <c r="E131" s="72" t="str">
        <f>'عدد اللاعبين'!D120</f>
        <v>مجموعة صبيا</v>
      </c>
      <c r="F131" s="73" t="str">
        <f>'عدد اللاعبين'!F120</f>
        <v>بريدة، عيون الجواء، المذنب، عنيزة</v>
      </c>
      <c r="G131" s="74">
        <f>'عدد اللاعبين'!G120</f>
        <v>14</v>
      </c>
      <c r="H131" s="72" t="str">
        <f>IFERROR(INDEX(المدخلات!$AE$6:$AE$12,MATCH($C131,المدخلات!$AC$6:$AC$12,0)),"")</f>
        <v>5 ضد 5</v>
      </c>
      <c r="I131" s="74">
        <f t="shared" si="1"/>
        <v>7</v>
      </c>
      <c r="J131" s="74">
        <f>ROUNDUP($I131/IFERROR(INDEX(المدخلات!$AJ$6:$AJ$12,MATCH($C131,المدخلات!$AC$6:$AC$12,0)),1),0)</f>
        <v>3</v>
      </c>
      <c r="K131" s="74">
        <f>IF($G131&lt;الحد_الأدنى,0,IFERROR(SUMIFS(Sheet1!$D$3:$D$97,Sheet1!$B$3:$B$97,INDEX(Sheet1!$G$3:$G$9,MATCH($C131,Sheet1!$F$3:$F$9,0)),Sheet1!$C$3:$C$97,$G131),0))</f>
        <v>0</v>
      </c>
    </row>
    <row r="132" spans="2:11" hidden="1">
      <c r="B132" s="77" t="str">
        <f>'عدد اللاعبين'!B121</f>
        <v>الشرقية</v>
      </c>
      <c r="C132" s="72" t="str">
        <f>'عدد اللاعبين'!C121</f>
        <v>تحت 7</v>
      </c>
      <c r="D132" s="72" t="str">
        <f>IFERROR(INDEX(المدخلات!$AD$6:$AD$12,MATCH($C132,المدخلات!$AC$6:$AC$12,0)),"")</f>
        <v>السبت</v>
      </c>
      <c r="E132" s="72" t="str">
        <f>'عدد اللاعبين'!D121</f>
        <v>مجموعة الخفجي</v>
      </c>
      <c r="F132" s="73" t="str">
        <f>'عدد اللاعبين'!F121</f>
        <v>الظهران، الخبر، الدمام، سيهات</v>
      </c>
      <c r="G132" s="74">
        <f>'عدد اللاعبين'!G121</f>
        <v>14</v>
      </c>
      <c r="H132" s="72" t="str">
        <f>IFERROR(INDEX(المدخلات!$AE$6:$AE$12,MATCH($C132,المدخلات!$AC$6:$AC$12,0)),"")</f>
        <v>7 ضد 7</v>
      </c>
      <c r="I132" s="74">
        <f t="shared" si="1"/>
        <v>7</v>
      </c>
      <c r="J132" s="74">
        <f>ROUNDUP($I132/IFERROR(INDEX(المدخلات!$AJ$6:$AJ$12,MATCH($C132,المدخلات!$AC$6:$AC$12,0)),1),0)</f>
        <v>3</v>
      </c>
      <c r="K132" s="74">
        <f>IF($G132&lt;الحد_الأدنى,0,IFERROR(SUMIFS(Sheet1!$D$3:$D$97,Sheet1!$B$3:$B$97,INDEX(Sheet1!$G$3:$G$9,MATCH($C132,Sheet1!$F$3:$F$9,0)),Sheet1!$C$3:$C$97,$G132),0))</f>
        <v>1</v>
      </c>
    </row>
    <row r="133" spans="2:11" hidden="1">
      <c r="B133" s="77" t="str">
        <f>'عدد اللاعبين'!B122</f>
        <v>مكة المكرمة</v>
      </c>
      <c r="C133" s="72" t="str">
        <f>'عدد اللاعبين'!C122</f>
        <v>تحت 7</v>
      </c>
      <c r="D133" s="72" t="str">
        <f>IFERROR(INDEX(المدخلات!$AD$6:$AD$12,MATCH($C133,المدخلات!$AC$6:$AC$12,0)),"")</f>
        <v>السبت</v>
      </c>
      <c r="E133" s="72" t="str">
        <f>'عدد اللاعبين'!D122</f>
        <v>مجموعة الطائف</v>
      </c>
      <c r="F133" s="73" t="str">
        <f>'عدد اللاعبين'!F122</f>
        <v>صبيا، ضمد</v>
      </c>
      <c r="G133" s="74">
        <f>'عدد اللاعبين'!G122</f>
        <v>14</v>
      </c>
      <c r="H133" s="72" t="str">
        <f>IFERROR(INDEX(المدخلات!$AE$6:$AE$12,MATCH($C133,المدخلات!$AC$6:$AC$12,0)),"")</f>
        <v>7 ضد 7</v>
      </c>
      <c r="I133" s="74">
        <f t="shared" si="1"/>
        <v>7</v>
      </c>
      <c r="J133" s="74">
        <f>ROUNDUP($I133/IFERROR(INDEX(المدخلات!$AJ$6:$AJ$12,MATCH($C133,المدخلات!$AC$6:$AC$12,0)),1),0)</f>
        <v>3</v>
      </c>
      <c r="K133" s="74">
        <f>IF($G133&lt;الحد_الأدنى,0,IFERROR(SUMIFS(Sheet1!$D$3:$D$97,Sheet1!$B$3:$B$97,INDEX(Sheet1!$G$3:$G$9,MATCH($C133,Sheet1!$F$3:$F$9,0)),Sheet1!$C$3:$C$97,$G133),0))</f>
        <v>1</v>
      </c>
    </row>
    <row r="134" spans="2:11" hidden="1">
      <c r="B134" s="77" t="str">
        <f>'عدد اللاعبين'!B123</f>
        <v>الشرقية</v>
      </c>
      <c r="C134" s="72" t="str">
        <f>'عدد اللاعبين'!C123</f>
        <v>تحت 11</v>
      </c>
      <c r="D134" s="72" t="str">
        <f>IFERROR(INDEX(المدخلات!$AD$6:$AD$12,MATCH($C134,المدخلات!$AC$6:$AC$12,0)),"")</f>
        <v>الأحد</v>
      </c>
      <c r="E134" s="72" t="str">
        <f>'عدد اللاعبين'!D123</f>
        <v>مجموعة الدمام</v>
      </c>
      <c r="F134" s="73" t="str">
        <f>'عدد اللاعبين'!F123</f>
        <v>صبيا، ضمد</v>
      </c>
      <c r="G134" s="74">
        <f>'عدد اللاعبين'!G123</f>
        <v>14</v>
      </c>
      <c r="H134" s="72" t="str">
        <f>IFERROR(INDEX(المدخلات!$AE$6:$AE$12,MATCH($C134,المدخلات!$AC$6:$AC$12,0)),"")</f>
        <v>7 ضد 7</v>
      </c>
      <c r="I134" s="74">
        <f t="shared" si="1"/>
        <v>7</v>
      </c>
      <c r="J134" s="74">
        <f>ROUNDUP($I134/IFERROR(INDEX(المدخلات!$AJ$6:$AJ$12,MATCH($C134,المدخلات!$AC$6:$AC$12,0)),1),0)</f>
        <v>2</v>
      </c>
      <c r="K134" s="74">
        <f>IF($G134&lt;الحد_الأدنى,0,IFERROR(SUMIFS(Sheet1!$D$3:$D$97,Sheet1!$B$3:$B$97,INDEX(Sheet1!$G$3:$G$9,MATCH($C134,Sheet1!$F$3:$F$9,0)),Sheet1!$C$3:$C$97,$G134),0))</f>
        <v>1</v>
      </c>
    </row>
    <row r="135" spans="2:11" hidden="1">
      <c r="B135" s="77" t="str">
        <f>'عدد اللاعبين'!B124</f>
        <v>مكة المكرمة</v>
      </c>
      <c r="C135" s="72" t="str">
        <f>'عدد اللاعبين'!C124</f>
        <v>تحت 11</v>
      </c>
      <c r="D135" s="72" t="str">
        <f>IFERROR(INDEX(المدخلات!$AD$6:$AD$12,MATCH($C135,المدخلات!$AC$6:$AC$12,0)),"")</f>
        <v>الأحد</v>
      </c>
      <c r="E135" s="72" t="str">
        <f>'عدد اللاعبين'!D124</f>
        <v>مجموعة القنفذة</v>
      </c>
      <c r="F135" s="73" t="str">
        <f>'عدد اللاعبين'!F124</f>
        <v>الخفجي</v>
      </c>
      <c r="G135" s="74">
        <f>'عدد اللاعبين'!G124</f>
        <v>14</v>
      </c>
      <c r="H135" s="72" t="str">
        <f>IFERROR(INDEX(المدخلات!$AE$6:$AE$12,MATCH($C135,المدخلات!$AC$6:$AC$12,0)),"")</f>
        <v>7 ضد 7</v>
      </c>
      <c r="I135" s="74">
        <f t="shared" si="1"/>
        <v>7</v>
      </c>
      <c r="J135" s="74">
        <f>ROUNDUP($I135/IFERROR(INDEX(المدخلات!$AJ$6:$AJ$12,MATCH($C135,المدخلات!$AC$6:$AC$12,0)),1),0)</f>
        <v>2</v>
      </c>
      <c r="K135" s="74">
        <f>IF($G135&lt;الحد_الأدنى,0,IFERROR(SUMIFS(Sheet1!$D$3:$D$97,Sheet1!$B$3:$B$97,INDEX(Sheet1!$G$3:$G$9,MATCH($C135,Sheet1!$F$3:$F$9,0)),Sheet1!$C$3:$C$97,$G135),0))</f>
        <v>1</v>
      </c>
    </row>
    <row r="136" spans="2:11" hidden="1">
      <c r="B136" s="77" t="str">
        <f>'عدد اللاعبين'!B125</f>
        <v>الشرقية</v>
      </c>
      <c r="C136" s="72" t="str">
        <f>'عدد اللاعبين'!C125</f>
        <v>تحت 12</v>
      </c>
      <c r="D136" s="72" t="str">
        <f>IFERROR(INDEX(المدخلات!$AD$6:$AD$12,MATCH($C136,المدخلات!$AC$6:$AC$12,0)),"")</f>
        <v>الاثنين</v>
      </c>
      <c r="E136" s="72" t="str">
        <f>'عدد اللاعبين'!D125</f>
        <v>مجموعة الدمام</v>
      </c>
      <c r="F136" s="73" t="str">
        <f>'عدد اللاعبين'!F125</f>
        <v>بريدة، عيون الجواء، المذنب، عنيزة</v>
      </c>
      <c r="G136" s="74">
        <f>'عدد اللاعبين'!G125</f>
        <v>14</v>
      </c>
      <c r="H136" s="72" t="str">
        <f>IFERROR(INDEX(المدخلات!$AE$6:$AE$12,MATCH($C136,المدخلات!$AC$6:$AC$12,0)),"")</f>
        <v>7 ضد 7</v>
      </c>
      <c r="I136" s="74">
        <f t="shared" si="1"/>
        <v>7</v>
      </c>
      <c r="J136" s="74">
        <f>ROUNDUP($I136/IFERROR(INDEX(المدخلات!$AJ$6:$AJ$12,MATCH($C136,المدخلات!$AC$6:$AC$12,0)),1),0)</f>
        <v>2</v>
      </c>
      <c r="K136" s="74">
        <f>IF($G136&lt;الحد_الأدنى,0,IFERROR(SUMIFS(Sheet1!$D$3:$D$97,Sheet1!$B$3:$B$97,INDEX(Sheet1!$G$3:$G$9,MATCH($C136,Sheet1!$F$3:$F$9,0)),Sheet1!$C$3:$C$97,$G136),0))</f>
        <v>1</v>
      </c>
    </row>
    <row r="137" spans="2:11" hidden="1">
      <c r="B137" s="77" t="str">
        <f>'عدد اللاعبين'!B126</f>
        <v>الرياض</v>
      </c>
      <c r="C137" s="72" t="str">
        <f>'عدد اللاعبين'!C126</f>
        <v>تحت 12</v>
      </c>
      <c r="D137" s="72" t="str">
        <f>IFERROR(INDEX(المدخلات!$AD$6:$AD$12,MATCH($C137,المدخلات!$AC$6:$AC$12,0)),"")</f>
        <v>الاثنين</v>
      </c>
      <c r="E137" s="72" t="str">
        <f>'عدد اللاعبين'!D126</f>
        <v>مجموعة الخرج</v>
      </c>
      <c r="F137" s="73" t="str">
        <f>'عدد اللاعبين'!F126</f>
        <v>الخفجي</v>
      </c>
      <c r="G137" s="74">
        <f>'عدد اللاعبين'!G126</f>
        <v>15</v>
      </c>
      <c r="H137" s="72" t="str">
        <f>IFERROR(INDEX(المدخلات!$AE$6:$AE$12,MATCH($C137,المدخلات!$AC$6:$AC$12,0)),"")</f>
        <v>7 ضد 7</v>
      </c>
      <c r="I137" s="74">
        <f t="shared" si="1"/>
        <v>7</v>
      </c>
      <c r="J137" s="74">
        <f>ROUNDUP($I137/IFERROR(INDEX(المدخلات!$AJ$6:$AJ$12,MATCH($C137,المدخلات!$AC$6:$AC$12,0)),1),0)</f>
        <v>2</v>
      </c>
      <c r="K137" s="74">
        <f>IF($G137&lt;الحد_الأدنى,0,IFERROR(SUMIFS(Sheet1!$D$3:$D$97,Sheet1!$B$3:$B$97,INDEX(Sheet1!$G$3:$G$9,MATCH($C137,Sheet1!$F$3:$F$9,0)),Sheet1!$C$3:$C$97,$G137),0))</f>
        <v>2</v>
      </c>
    </row>
    <row r="138" spans="2:11" hidden="1">
      <c r="B138" s="77" t="str">
        <f>'عدد اللاعبين'!B127</f>
        <v>القصيم</v>
      </c>
      <c r="C138" s="72" t="str">
        <f>'عدد اللاعبين'!C127</f>
        <v>تحت 12</v>
      </c>
      <c r="D138" s="72" t="str">
        <f>IFERROR(INDEX(المدخلات!$AD$6:$AD$12,MATCH($C138,المدخلات!$AC$6:$AC$12,0)),"")</f>
        <v>الاثنين</v>
      </c>
      <c r="E138" s="72" t="str">
        <f>'عدد اللاعبين'!D127</f>
        <v>مجموعة القصيم</v>
      </c>
      <c r="F138" s="73" t="str">
        <f>'عدد اللاعبين'!F127</f>
        <v>الطائف</v>
      </c>
      <c r="G138" s="74">
        <f>'عدد اللاعبين'!G127</f>
        <v>15</v>
      </c>
      <c r="H138" s="72" t="str">
        <f>IFERROR(INDEX(المدخلات!$AE$6:$AE$12,MATCH($C138,المدخلات!$AC$6:$AC$12,0)),"")</f>
        <v>7 ضد 7</v>
      </c>
      <c r="I138" s="74">
        <f t="shared" si="1"/>
        <v>7</v>
      </c>
      <c r="J138" s="74">
        <f>ROUNDUP($I138/IFERROR(INDEX(المدخلات!$AJ$6:$AJ$12,MATCH($C138,المدخلات!$AC$6:$AC$12,0)),1),0)</f>
        <v>2</v>
      </c>
      <c r="K138" s="74">
        <f>IF($G138&lt;الحد_الأدنى,0,IFERROR(SUMIFS(Sheet1!$D$3:$D$97,Sheet1!$B$3:$B$97,INDEX(Sheet1!$G$3:$G$9,MATCH($C138,Sheet1!$F$3:$F$9,0)),Sheet1!$C$3:$C$97,$G138),0))</f>
        <v>2</v>
      </c>
    </row>
    <row r="139" spans="2:11" hidden="1">
      <c r="B139" s="77" t="str">
        <f>'عدد اللاعبين'!B128</f>
        <v>الشرقية</v>
      </c>
      <c r="C139" s="72" t="str">
        <f>'عدد اللاعبين'!C128</f>
        <v>تحت 13</v>
      </c>
      <c r="D139" s="72" t="str">
        <f>IFERROR(INDEX(المدخلات!$AD$6:$AD$12,MATCH($C139,المدخلات!$AC$6:$AC$12,0)),"")</f>
        <v>الخميس</v>
      </c>
      <c r="E139" s="72" t="str">
        <f>'عدد اللاعبين'!D128</f>
        <v>مجموعة الدمام</v>
      </c>
      <c r="F139" s="73" t="str">
        <f>'عدد اللاعبين'!F128</f>
        <v>أبها، خميس مشيط</v>
      </c>
      <c r="G139" s="74">
        <f>'عدد اللاعبين'!G128</f>
        <v>15</v>
      </c>
      <c r="H139" s="72" t="str">
        <f>IFERROR(INDEX(المدخلات!$AE$6:$AE$12,MATCH($C139,المدخلات!$AC$6:$AC$12,0)),"")</f>
        <v>قانوني</v>
      </c>
      <c r="I139" s="74">
        <f t="shared" si="1"/>
        <v>7</v>
      </c>
      <c r="J139" s="74">
        <f>ROUNDUP($I139/IFERROR(INDEX(المدخلات!$AJ$6:$AJ$12,MATCH($C139,المدخلات!$AC$6:$AC$12,0)),1),0)</f>
        <v>3</v>
      </c>
      <c r="K139" s="74">
        <f>IF($G139&lt;الحد_الأدنى,0,IFERROR(SUMIFS(Sheet1!$D$3:$D$97,Sheet1!$B$3:$B$97,INDEX(Sheet1!$G$3:$G$9,MATCH($C139,Sheet1!$F$3:$F$9,0)),Sheet1!$C$3:$C$97,$G139),0))</f>
        <v>3</v>
      </c>
    </row>
    <row r="140" spans="2:11" hidden="1">
      <c r="B140" s="77" t="str">
        <f>'عدد اللاعبين'!B129</f>
        <v>جازان</v>
      </c>
      <c r="C140" s="72" t="str">
        <f>'عدد اللاعبين'!C129</f>
        <v>تحت 13</v>
      </c>
      <c r="D140" s="72" t="str">
        <f>IFERROR(INDEX(المدخلات!$AD$6:$AD$12,MATCH($C140,المدخلات!$AC$6:$AC$12,0)),"")</f>
        <v>الخميس</v>
      </c>
      <c r="E140" s="72" t="str">
        <f>'عدد اللاعبين'!D129</f>
        <v>مجموعة صبيا</v>
      </c>
      <c r="F140" s="73" t="str">
        <f>'عدد اللاعبين'!F129</f>
        <v>الخفجي</v>
      </c>
      <c r="G140" s="74">
        <f>'عدد اللاعبين'!G129</f>
        <v>15</v>
      </c>
      <c r="H140" s="72" t="str">
        <f>IFERROR(INDEX(المدخلات!$AE$6:$AE$12,MATCH($C140,المدخلات!$AC$6:$AC$12,0)),"")</f>
        <v>قانوني</v>
      </c>
      <c r="I140" s="74">
        <f t="shared" si="1"/>
        <v>7</v>
      </c>
      <c r="J140" s="74">
        <f>ROUNDUP($I140/IFERROR(INDEX(المدخلات!$AJ$6:$AJ$12,MATCH($C140,المدخلات!$AC$6:$AC$12,0)),1),0)</f>
        <v>3</v>
      </c>
      <c r="K140" s="74">
        <f>IF($G140&lt;الحد_الأدنى,0,IFERROR(SUMIFS(Sheet1!$D$3:$D$97,Sheet1!$B$3:$B$97,INDEX(Sheet1!$G$3:$G$9,MATCH($C140,Sheet1!$F$3:$F$9,0)),Sheet1!$C$3:$C$97,$G140),0))</f>
        <v>3</v>
      </c>
    </row>
    <row r="141" spans="2:11" hidden="1">
      <c r="B141" s="77" t="str">
        <f>'عدد اللاعبين'!B130</f>
        <v>جازان</v>
      </c>
      <c r="C141" s="72" t="str">
        <f>'عدد اللاعبين'!C130</f>
        <v>تحت 14</v>
      </c>
      <c r="D141" s="72" t="str">
        <f>IFERROR(INDEX(المدخلات!$AD$6:$AD$12,MATCH($C141,المدخلات!$AC$6:$AC$12,0)),"")</f>
        <v>الأربعاء</v>
      </c>
      <c r="E141" s="72" t="str">
        <f>'عدد اللاعبين'!D130</f>
        <v>مجموعة صبيا</v>
      </c>
      <c r="F141" s="73" t="str">
        <f>'عدد اللاعبين'!F130</f>
        <v>أبها، خميس مشيط</v>
      </c>
      <c r="G141" s="74">
        <f>'عدد اللاعبين'!G130</f>
        <v>15</v>
      </c>
      <c r="H141" s="72" t="str">
        <f>IFERROR(INDEX(المدخلات!$AE$6:$AE$12,MATCH($C141,المدخلات!$AC$6:$AC$12,0)),"")</f>
        <v>قانوني</v>
      </c>
      <c r="I141" s="74">
        <f t="shared" si="1"/>
        <v>7</v>
      </c>
      <c r="J141" s="74">
        <f>ROUNDUP($I141/IFERROR(INDEX(المدخلات!$AJ$6:$AJ$12,MATCH($C141,المدخلات!$AC$6:$AC$12,0)),1),0)</f>
        <v>3</v>
      </c>
      <c r="K141" s="74">
        <f>IF($G141&lt;الحد_الأدنى,0,IFERROR(SUMIFS(Sheet1!$D$3:$D$97,Sheet1!$B$3:$B$97,INDEX(Sheet1!$G$3:$G$9,MATCH($C141,Sheet1!$F$3:$F$9,0)),Sheet1!$C$3:$C$97,$G141),0))</f>
        <v>3</v>
      </c>
    </row>
    <row r="142" spans="2:11" hidden="1">
      <c r="B142" s="77" t="str">
        <f>'عدد اللاعبين'!B131</f>
        <v>الشرقية</v>
      </c>
      <c r="C142" s="72" t="str">
        <f>'عدد اللاعبين'!C131</f>
        <v>تحت 9</v>
      </c>
      <c r="D142" s="72" t="str">
        <f>IFERROR(INDEX(المدخلات!$AD$6:$AD$12,MATCH($C142,المدخلات!$AC$6:$AC$12,0)),"")</f>
        <v>السبت</v>
      </c>
      <c r="E142" s="72" t="str">
        <f>'عدد اللاعبين'!D131</f>
        <v>مجموعة الخفجي</v>
      </c>
      <c r="F142" s="73" t="str">
        <f>'عدد اللاعبين'!F131</f>
        <v>الخفجي</v>
      </c>
      <c r="G142" s="74">
        <f>'عدد اللاعبين'!G131</f>
        <v>15</v>
      </c>
      <c r="H142" s="72" t="str">
        <f>IFERROR(INDEX(المدخلات!$AE$6:$AE$12,MATCH($C142,المدخلات!$AC$6:$AC$12,0)),"")</f>
        <v>7 ضد 7</v>
      </c>
      <c r="I142" s="74">
        <f t="shared" ref="I142:I204" si="2">IF($G142&lt;الحد_الأدنى,0,ROUNDDOWN($G142/فرق_المباراة,0))</f>
        <v>7</v>
      </c>
      <c r="J142" s="74">
        <f>ROUNDUP($I142/IFERROR(INDEX(المدخلات!$AJ$6:$AJ$12,MATCH($C142,المدخلات!$AC$6:$AC$12,0)),1),0)</f>
        <v>3</v>
      </c>
      <c r="K142" s="74">
        <f>IF($G142&lt;الحد_الأدنى,0,IFERROR(SUMIFS(Sheet1!$D$3:$D$97,Sheet1!$B$3:$B$97,INDEX(Sheet1!$G$3:$G$9,MATCH($C142,Sheet1!$F$3:$F$9,0)),Sheet1!$C$3:$C$97,$G142),0))</f>
        <v>0</v>
      </c>
    </row>
    <row r="143" spans="2:11" hidden="1">
      <c r="B143" s="77" t="str">
        <f>'عدد اللاعبين'!B132</f>
        <v>القصيم</v>
      </c>
      <c r="C143" s="72" t="str">
        <f>'عدد اللاعبين'!C132</f>
        <v>تحت 9</v>
      </c>
      <c r="D143" s="72" t="str">
        <f>IFERROR(INDEX(المدخلات!$AD$6:$AD$12,MATCH($C143,المدخلات!$AC$6:$AC$12,0)),"")</f>
        <v>السبت</v>
      </c>
      <c r="E143" s="72" t="str">
        <f>'عدد اللاعبين'!D132</f>
        <v>مجموعة القصيم</v>
      </c>
      <c r="F143" s="73" t="str">
        <f>'عدد اللاعبين'!F132</f>
        <v>مكة المكرمة</v>
      </c>
      <c r="G143" s="74">
        <f>'عدد اللاعبين'!G132</f>
        <v>15</v>
      </c>
      <c r="H143" s="72" t="str">
        <f>IFERROR(INDEX(المدخلات!$AE$6:$AE$12,MATCH($C143,المدخلات!$AC$6:$AC$12,0)),"")</f>
        <v>7 ضد 7</v>
      </c>
      <c r="I143" s="74">
        <f t="shared" si="2"/>
        <v>7</v>
      </c>
      <c r="J143" s="74">
        <f>ROUNDUP($I143/IFERROR(INDEX(المدخلات!$AJ$6:$AJ$12,MATCH($C143,المدخلات!$AC$6:$AC$12,0)),1),0)</f>
        <v>3</v>
      </c>
      <c r="K143" s="74">
        <f>IF($G143&lt;الحد_الأدنى,0,IFERROR(SUMIFS(Sheet1!$D$3:$D$97,Sheet1!$B$3:$B$97,INDEX(Sheet1!$G$3:$G$9,MATCH($C143,Sheet1!$F$3:$F$9,0)),Sheet1!$C$3:$C$97,$G143),0))</f>
        <v>0</v>
      </c>
    </row>
    <row r="144" spans="2:11" hidden="1">
      <c r="B144" s="77" t="str">
        <f>'عدد اللاعبين'!B133</f>
        <v>الشرقية</v>
      </c>
      <c r="C144" s="72" t="str">
        <f>'عدد اللاعبين'!C133</f>
        <v>تحت 11</v>
      </c>
      <c r="D144" s="72" t="str">
        <f>IFERROR(INDEX(المدخلات!$AD$6:$AD$12,MATCH($C144,المدخلات!$AC$6:$AC$12,0)),"")</f>
        <v>الأحد</v>
      </c>
      <c r="E144" s="72" t="str">
        <f>'عدد اللاعبين'!D133</f>
        <v>مجموعة الخفجي</v>
      </c>
      <c r="F144" s="73" t="str">
        <f>'عدد اللاعبين'!F133</f>
        <v>صبيا، ضمد</v>
      </c>
      <c r="G144" s="74">
        <f>'عدد اللاعبين'!G133</f>
        <v>15</v>
      </c>
      <c r="H144" s="72" t="str">
        <f>IFERROR(INDEX(المدخلات!$AE$6:$AE$12,MATCH($C144,المدخلات!$AC$6:$AC$12,0)),"")</f>
        <v>7 ضد 7</v>
      </c>
      <c r="I144" s="74">
        <f t="shared" si="2"/>
        <v>7</v>
      </c>
      <c r="J144" s="74">
        <f>ROUNDUP($I144/IFERROR(INDEX(المدخلات!$AJ$6:$AJ$12,MATCH($C144,المدخلات!$AC$6:$AC$12,0)),1),0)</f>
        <v>2</v>
      </c>
      <c r="K144" s="74">
        <f>IF($G144&lt;الحد_الأدنى,0,IFERROR(SUMIFS(Sheet1!$D$3:$D$97,Sheet1!$B$3:$B$97,INDEX(Sheet1!$G$3:$G$9,MATCH($C144,Sheet1!$F$3:$F$9,0)),Sheet1!$C$3:$C$97,$G144),0))</f>
        <v>2</v>
      </c>
    </row>
    <row r="145" spans="2:11" hidden="1">
      <c r="B145" s="77" t="str">
        <f>'عدد اللاعبين'!B134</f>
        <v>مكة المكرمة</v>
      </c>
      <c r="C145" s="72" t="str">
        <f>'عدد اللاعبين'!C134</f>
        <v>تحت 11</v>
      </c>
      <c r="D145" s="72" t="str">
        <f>IFERROR(INDEX(المدخلات!$AD$6:$AD$12,MATCH($C145,المدخلات!$AC$6:$AC$12,0)),"")</f>
        <v>الأحد</v>
      </c>
      <c r="E145" s="72" t="str">
        <f>'عدد اللاعبين'!D134</f>
        <v>مجموعة الطائف</v>
      </c>
      <c r="F145" s="73" t="str">
        <f>'عدد اللاعبين'!F134</f>
        <v>القطيف، الجبيل</v>
      </c>
      <c r="G145" s="74">
        <f>'عدد اللاعبين'!G134</f>
        <v>15</v>
      </c>
      <c r="H145" s="72" t="str">
        <f>IFERROR(INDEX(المدخلات!$AE$6:$AE$12,MATCH($C145,المدخلات!$AC$6:$AC$12,0)),"")</f>
        <v>7 ضد 7</v>
      </c>
      <c r="I145" s="74">
        <f t="shared" si="2"/>
        <v>7</v>
      </c>
      <c r="J145" s="74">
        <f>ROUNDUP($I145/IFERROR(INDEX(المدخلات!$AJ$6:$AJ$12,MATCH($C145,المدخلات!$AC$6:$AC$12,0)),1),0)</f>
        <v>2</v>
      </c>
      <c r="K145" s="74">
        <f>IF($G145&lt;الحد_الأدنى,0,IFERROR(SUMIFS(Sheet1!$D$3:$D$97,Sheet1!$B$3:$B$97,INDEX(Sheet1!$G$3:$G$9,MATCH($C145,Sheet1!$F$3:$F$9,0)),Sheet1!$C$3:$C$97,$G145),0))</f>
        <v>2</v>
      </c>
    </row>
    <row r="146" spans="2:11" hidden="1">
      <c r="B146" s="77" t="str">
        <f>'عدد اللاعبين'!B135</f>
        <v>عسير</v>
      </c>
      <c r="C146" s="72" t="str">
        <f>'عدد اللاعبين'!C135</f>
        <v>تحت 12</v>
      </c>
      <c r="D146" s="72" t="str">
        <f>IFERROR(INDEX(المدخلات!$AD$6:$AD$12,MATCH($C146,المدخلات!$AC$6:$AC$12,0)),"")</f>
        <v>الاثنين</v>
      </c>
      <c r="E146" s="72" t="str">
        <f>'عدد اللاعبين'!D135</f>
        <v>مجموعة أبها</v>
      </c>
      <c r="F146" s="73" t="str">
        <f>'عدد اللاعبين'!F135</f>
        <v>سكاكا، دومة الجندل</v>
      </c>
      <c r="G146" s="74">
        <f>'عدد اللاعبين'!G135</f>
        <v>15</v>
      </c>
      <c r="H146" s="72" t="str">
        <f>IFERROR(INDEX(المدخلات!$AE$6:$AE$12,MATCH($C146,المدخلات!$AC$6:$AC$12,0)),"")</f>
        <v>7 ضد 7</v>
      </c>
      <c r="I146" s="74">
        <f t="shared" si="2"/>
        <v>7</v>
      </c>
      <c r="J146" s="74">
        <f>ROUNDUP($I146/IFERROR(INDEX(المدخلات!$AJ$6:$AJ$12,MATCH($C146,المدخلات!$AC$6:$AC$12,0)),1),0)</f>
        <v>2</v>
      </c>
      <c r="K146" s="74">
        <f>IF($G146&lt;الحد_الأدنى,0,IFERROR(SUMIFS(Sheet1!$D$3:$D$97,Sheet1!$B$3:$B$97,INDEX(Sheet1!$G$3:$G$9,MATCH($C146,Sheet1!$F$3:$F$9,0)),Sheet1!$C$3:$C$97,$G146),0))</f>
        <v>2</v>
      </c>
    </row>
    <row r="147" spans="2:11" hidden="1">
      <c r="B147" s="77" t="str">
        <f>'عدد اللاعبين'!B136</f>
        <v>الشرقية</v>
      </c>
      <c r="C147" s="72" t="str">
        <f>'عدد اللاعبين'!C136</f>
        <v>تحت 12</v>
      </c>
      <c r="D147" s="72" t="str">
        <f>IFERROR(INDEX(المدخلات!$AD$6:$AD$12,MATCH($C147,المدخلات!$AC$6:$AC$12,0)),"")</f>
        <v>الاثنين</v>
      </c>
      <c r="E147" s="72" t="str">
        <f>'عدد اللاعبين'!D136</f>
        <v>مجموعة الخفجي</v>
      </c>
      <c r="F147" s="73" t="str">
        <f>'عدد اللاعبين'!F136</f>
        <v>الطائف</v>
      </c>
      <c r="G147" s="74">
        <f>'عدد اللاعبين'!G136</f>
        <v>15</v>
      </c>
      <c r="H147" s="72" t="str">
        <f>IFERROR(INDEX(المدخلات!$AE$6:$AE$12,MATCH($C147,المدخلات!$AC$6:$AC$12,0)),"")</f>
        <v>7 ضد 7</v>
      </c>
      <c r="I147" s="74">
        <f t="shared" si="2"/>
        <v>7</v>
      </c>
      <c r="J147" s="74">
        <f>ROUNDUP($I147/IFERROR(INDEX(المدخلات!$AJ$6:$AJ$12,MATCH($C147,المدخلات!$AC$6:$AC$12,0)),1),0)</f>
        <v>2</v>
      </c>
      <c r="K147" s="74">
        <f>IF($G147&lt;الحد_الأدنى,0,IFERROR(SUMIFS(Sheet1!$D$3:$D$97,Sheet1!$B$3:$B$97,INDEX(Sheet1!$G$3:$G$9,MATCH($C147,Sheet1!$F$3:$F$9,0)),Sheet1!$C$3:$C$97,$G147),0))</f>
        <v>2</v>
      </c>
    </row>
    <row r="148" spans="2:11" hidden="1">
      <c r="B148" s="77" t="str">
        <f>'عدد اللاعبين'!B137</f>
        <v>عسير</v>
      </c>
      <c r="C148" s="72" t="str">
        <f>'عدد اللاعبين'!C137</f>
        <v>تحت 14</v>
      </c>
      <c r="D148" s="72" t="str">
        <f>IFERROR(INDEX(المدخلات!$AD$6:$AD$12,MATCH($C148,المدخلات!$AC$6:$AC$12,0)),"")</f>
        <v>الأربعاء</v>
      </c>
      <c r="E148" s="72" t="str">
        <f>'عدد اللاعبين'!D137</f>
        <v>مجموعة أبها</v>
      </c>
      <c r="F148" s="73" t="str">
        <f>'عدد اللاعبين'!F137</f>
        <v>بريدة، عيون الجواء، المذنب، عنيزة</v>
      </c>
      <c r="G148" s="74">
        <f>'عدد اللاعبين'!G137</f>
        <v>16</v>
      </c>
      <c r="H148" s="72" t="str">
        <f>IFERROR(INDEX(المدخلات!$AE$6:$AE$12,MATCH($C148,المدخلات!$AC$6:$AC$12,0)),"")</f>
        <v>قانوني</v>
      </c>
      <c r="I148" s="74">
        <f t="shared" si="2"/>
        <v>8</v>
      </c>
      <c r="J148" s="74">
        <f>ROUNDUP($I148/IFERROR(INDEX(المدخلات!$AJ$6:$AJ$12,MATCH($C148,المدخلات!$AC$6:$AC$12,0)),1),0)</f>
        <v>3</v>
      </c>
      <c r="K148" s="74">
        <f>IF($G148&lt;الحد_الأدنى,0,IFERROR(SUMIFS(Sheet1!$D$3:$D$97,Sheet1!$B$3:$B$97,INDEX(Sheet1!$G$3:$G$9,MATCH($C148,Sheet1!$F$3:$F$9,0)),Sheet1!$C$3:$C$97,$G148),0))</f>
        <v>3</v>
      </c>
    </row>
    <row r="149" spans="2:11" hidden="1">
      <c r="B149" s="77" t="str">
        <f>'عدد اللاعبين'!B138</f>
        <v>الشرقية</v>
      </c>
      <c r="C149" s="72" t="str">
        <f>'عدد اللاعبين'!C138</f>
        <v>تحت 14</v>
      </c>
      <c r="D149" s="72" t="str">
        <f>IFERROR(INDEX(المدخلات!$AD$6:$AD$12,MATCH($C149,المدخلات!$AC$6:$AC$12,0)),"")</f>
        <v>الأربعاء</v>
      </c>
      <c r="E149" s="72" t="str">
        <f>'عدد اللاعبين'!D138</f>
        <v>مجموعة الخفجي</v>
      </c>
      <c r="F149" s="73" t="str">
        <f>'عدد اللاعبين'!F138</f>
        <v>القطيف، الجبيل</v>
      </c>
      <c r="G149" s="74">
        <f>'عدد اللاعبين'!G138</f>
        <v>16</v>
      </c>
      <c r="H149" s="72" t="str">
        <f>IFERROR(INDEX(المدخلات!$AE$6:$AE$12,MATCH($C149,المدخلات!$AC$6:$AC$12,0)),"")</f>
        <v>قانوني</v>
      </c>
      <c r="I149" s="74">
        <f t="shared" si="2"/>
        <v>8</v>
      </c>
      <c r="J149" s="74">
        <f>ROUNDUP($I149/IFERROR(INDEX(المدخلات!$AJ$6:$AJ$12,MATCH($C149,المدخلات!$AC$6:$AC$12,0)),1),0)</f>
        <v>3</v>
      </c>
      <c r="K149" s="74">
        <f>IF($G149&lt;الحد_الأدنى,0,IFERROR(SUMIFS(Sheet1!$D$3:$D$97,Sheet1!$B$3:$B$97,INDEX(Sheet1!$G$3:$G$9,MATCH($C149,Sheet1!$F$3:$F$9,0)),Sheet1!$C$3:$C$97,$G149),0))</f>
        <v>3</v>
      </c>
    </row>
    <row r="150" spans="2:11" hidden="1">
      <c r="B150" s="77" t="str">
        <f>'عدد اللاعبين'!B139</f>
        <v>مكة المكرمة</v>
      </c>
      <c r="C150" s="72" t="str">
        <f>'عدد اللاعبين'!C139</f>
        <v>تحت 5</v>
      </c>
      <c r="D150" s="72" t="str">
        <f>IFERROR(INDEX(المدخلات!$AD$6:$AD$12,MATCH($C150,المدخلات!$AC$6:$AC$12,0)),"")</f>
        <v>السبت</v>
      </c>
      <c r="E150" s="72" t="str">
        <f>'عدد اللاعبين'!D139</f>
        <v>مجموعة مكة المكرمة</v>
      </c>
      <c r="F150" s="73" t="str">
        <f>'عدد اللاعبين'!F139</f>
        <v>صبيا، ضمد</v>
      </c>
      <c r="G150" s="74">
        <f>'عدد اللاعبين'!G139</f>
        <v>16</v>
      </c>
      <c r="H150" s="72" t="str">
        <f>IFERROR(INDEX(المدخلات!$AE$6:$AE$12,MATCH($C150,المدخلات!$AC$6:$AC$12,0)),"")</f>
        <v>5 ضد 5</v>
      </c>
      <c r="I150" s="74">
        <f t="shared" si="2"/>
        <v>8</v>
      </c>
      <c r="J150" s="74">
        <f>ROUNDUP($I150/IFERROR(INDEX(المدخلات!$AJ$6:$AJ$12,MATCH($C150,المدخلات!$AC$6:$AC$12,0)),1),0)</f>
        <v>3</v>
      </c>
      <c r="K150" s="74">
        <f>IF($G150&lt;الحد_الأدنى,0,IFERROR(SUMIFS(Sheet1!$D$3:$D$97,Sheet1!$B$3:$B$97,INDEX(Sheet1!$G$3:$G$9,MATCH($C150,Sheet1!$F$3:$F$9,0)),Sheet1!$C$3:$C$97,$G150),0))</f>
        <v>0</v>
      </c>
    </row>
    <row r="151" spans="2:11" hidden="1">
      <c r="B151" s="77" t="str">
        <f>'عدد اللاعبين'!B140</f>
        <v>جازان</v>
      </c>
      <c r="C151" s="72" t="str">
        <f>'عدد اللاعبين'!C140</f>
        <v>تحت 7</v>
      </c>
      <c r="D151" s="72" t="str">
        <f>IFERROR(INDEX(المدخلات!$AD$6:$AD$12,MATCH($C151,المدخلات!$AC$6:$AC$12,0)),"")</f>
        <v>السبت</v>
      </c>
      <c r="E151" s="72" t="str">
        <f>'عدد اللاعبين'!D140</f>
        <v>مجموعة صبيا</v>
      </c>
      <c r="F151" s="73" t="str">
        <f>'عدد اللاعبين'!F140</f>
        <v>الطائف</v>
      </c>
      <c r="G151" s="74">
        <f>'عدد اللاعبين'!G140</f>
        <v>16</v>
      </c>
      <c r="H151" s="72" t="str">
        <f>IFERROR(INDEX(المدخلات!$AE$6:$AE$12,MATCH($C151,المدخلات!$AC$6:$AC$12,0)),"")</f>
        <v>7 ضد 7</v>
      </c>
      <c r="I151" s="74">
        <f t="shared" si="2"/>
        <v>8</v>
      </c>
      <c r="J151" s="74">
        <f>ROUNDUP($I151/IFERROR(INDEX(المدخلات!$AJ$6:$AJ$12,MATCH($C151,المدخلات!$AC$6:$AC$12,0)),1),0)</f>
        <v>3</v>
      </c>
      <c r="K151" s="74">
        <f>IF($G151&lt;الحد_الأدنى,0,IFERROR(SUMIFS(Sheet1!$D$3:$D$97,Sheet1!$B$3:$B$97,INDEX(Sheet1!$G$3:$G$9,MATCH($C151,Sheet1!$F$3:$F$9,0)),Sheet1!$C$3:$C$97,$G151),0))</f>
        <v>2</v>
      </c>
    </row>
    <row r="152" spans="2:11" hidden="1">
      <c r="B152" s="77" t="str">
        <f>'عدد اللاعبين'!B141</f>
        <v>الشرقية</v>
      </c>
      <c r="C152" s="72" t="str">
        <f>'عدد اللاعبين'!C141</f>
        <v>تحت 9</v>
      </c>
      <c r="D152" s="72" t="str">
        <f>IFERROR(INDEX(المدخلات!$AD$6:$AD$12,MATCH($C152,المدخلات!$AC$6:$AC$12,0)),"")</f>
        <v>السبت</v>
      </c>
      <c r="E152" s="72" t="str">
        <f>'عدد اللاعبين'!D141</f>
        <v>مجموعة القطيف</v>
      </c>
      <c r="F152" s="73" t="str">
        <f>'عدد اللاعبين'!F141</f>
        <v>صبيا، ضمد</v>
      </c>
      <c r="G152" s="74">
        <f>'عدد اللاعبين'!G141</f>
        <v>16</v>
      </c>
      <c r="H152" s="72" t="str">
        <f>IFERROR(INDEX(المدخلات!$AE$6:$AE$12,MATCH($C152,المدخلات!$AC$6:$AC$12,0)),"")</f>
        <v>7 ضد 7</v>
      </c>
      <c r="I152" s="74">
        <f t="shared" si="2"/>
        <v>8</v>
      </c>
      <c r="J152" s="74">
        <f>ROUNDUP($I152/IFERROR(INDEX(المدخلات!$AJ$6:$AJ$12,MATCH($C152,المدخلات!$AC$6:$AC$12,0)),1),0)</f>
        <v>3</v>
      </c>
      <c r="K152" s="74">
        <f>IF($G152&lt;الحد_الأدنى,0,IFERROR(SUMIFS(Sheet1!$D$3:$D$97,Sheet1!$B$3:$B$97,INDEX(Sheet1!$G$3:$G$9,MATCH($C152,Sheet1!$F$3:$F$9,0)),Sheet1!$C$3:$C$97,$G152),0))</f>
        <v>2</v>
      </c>
    </row>
    <row r="153" spans="2:11" hidden="1">
      <c r="B153" s="77" t="str">
        <f>'عدد اللاعبين'!B142</f>
        <v>الجوف</v>
      </c>
      <c r="C153" s="72" t="str">
        <f>'عدد اللاعبين'!C142</f>
        <v>تحت 9</v>
      </c>
      <c r="D153" s="72" t="str">
        <f>IFERROR(INDEX(المدخلات!$AD$6:$AD$12,MATCH($C153,المدخلات!$AC$6:$AC$12,0)),"")</f>
        <v>السبت</v>
      </c>
      <c r="E153" s="72" t="str">
        <f>'عدد اللاعبين'!D142</f>
        <v>مجموعة سكاكا</v>
      </c>
      <c r="F153" s="73" t="str">
        <f>'عدد اللاعبين'!F142</f>
        <v>الخفجي</v>
      </c>
      <c r="G153" s="74">
        <f>'عدد اللاعبين'!G142</f>
        <v>16</v>
      </c>
      <c r="H153" s="72" t="str">
        <f>IFERROR(INDEX(المدخلات!$AE$6:$AE$12,MATCH($C153,المدخلات!$AC$6:$AC$12,0)),"")</f>
        <v>7 ضد 7</v>
      </c>
      <c r="I153" s="74">
        <f t="shared" si="2"/>
        <v>8</v>
      </c>
      <c r="J153" s="74">
        <f>ROUNDUP($I153/IFERROR(INDEX(المدخلات!$AJ$6:$AJ$12,MATCH($C153,المدخلات!$AC$6:$AC$12,0)),1),0)</f>
        <v>3</v>
      </c>
      <c r="K153" s="74">
        <f>IF($G153&lt;الحد_الأدنى,0,IFERROR(SUMIFS(Sheet1!$D$3:$D$97,Sheet1!$B$3:$B$97,INDEX(Sheet1!$G$3:$G$9,MATCH($C153,Sheet1!$F$3:$F$9,0)),Sheet1!$C$3:$C$97,$G153),0))</f>
        <v>2</v>
      </c>
    </row>
    <row r="154" spans="2:11" hidden="1">
      <c r="B154" s="77" t="str">
        <f>'عدد اللاعبين'!B143</f>
        <v>مكة المكرمة</v>
      </c>
      <c r="C154" s="72" t="str">
        <f>'عدد اللاعبين'!C143</f>
        <v>تحت 9</v>
      </c>
      <c r="D154" s="72" t="str">
        <f>IFERROR(INDEX(المدخلات!$AD$6:$AD$12,MATCH($C154,المدخلات!$AC$6:$AC$12,0)),"")</f>
        <v>السبت</v>
      </c>
      <c r="E154" s="72" t="str">
        <f>'عدد اللاعبين'!D143</f>
        <v>مجموعة الطائف</v>
      </c>
      <c r="F154" s="73" t="str">
        <f>'عدد اللاعبين'!F143</f>
        <v>الطائف</v>
      </c>
      <c r="G154" s="74">
        <f>'عدد اللاعبين'!G143</f>
        <v>16</v>
      </c>
      <c r="H154" s="72" t="str">
        <f>IFERROR(INDEX(المدخلات!$AE$6:$AE$12,MATCH($C154,المدخلات!$AC$6:$AC$12,0)),"")</f>
        <v>7 ضد 7</v>
      </c>
      <c r="I154" s="74">
        <f t="shared" si="2"/>
        <v>8</v>
      </c>
      <c r="J154" s="74">
        <f>ROUNDUP($I154/IFERROR(INDEX(المدخلات!$AJ$6:$AJ$12,MATCH($C154,المدخلات!$AC$6:$AC$12,0)),1),0)</f>
        <v>3</v>
      </c>
      <c r="K154" s="74">
        <f>IF($G154&lt;الحد_الأدنى,0,IFERROR(SUMIFS(Sheet1!$D$3:$D$97,Sheet1!$B$3:$B$97,INDEX(Sheet1!$G$3:$G$9,MATCH($C154,Sheet1!$F$3:$F$9,0)),Sheet1!$C$3:$C$97,$G154),0))</f>
        <v>2</v>
      </c>
    </row>
    <row r="155" spans="2:11" hidden="1">
      <c r="B155" s="77" t="str">
        <f>'عدد اللاعبين'!B144</f>
        <v>القصيم</v>
      </c>
      <c r="C155" s="72" t="str">
        <f>'عدد اللاعبين'!C144</f>
        <v>تحت 11</v>
      </c>
      <c r="D155" s="72" t="str">
        <f>IFERROR(INDEX(المدخلات!$AD$6:$AD$12,MATCH($C155,المدخلات!$AC$6:$AC$12,0)),"")</f>
        <v>الأحد</v>
      </c>
      <c r="E155" s="72" t="str">
        <f>'عدد اللاعبين'!D144</f>
        <v>مجموعة القصيم</v>
      </c>
      <c r="F155" s="73" t="str">
        <f>'عدد اللاعبين'!F144</f>
        <v>المدينة المنورة</v>
      </c>
      <c r="G155" s="74">
        <f>'عدد اللاعبين'!G144</f>
        <v>16</v>
      </c>
      <c r="H155" s="72" t="str">
        <f>IFERROR(INDEX(المدخلات!$AE$6:$AE$12,MATCH($C155,المدخلات!$AC$6:$AC$12,0)),"")</f>
        <v>7 ضد 7</v>
      </c>
      <c r="I155" s="74">
        <f t="shared" si="2"/>
        <v>8</v>
      </c>
      <c r="J155" s="74">
        <f>ROUNDUP($I155/IFERROR(INDEX(المدخلات!$AJ$6:$AJ$12,MATCH($C155,المدخلات!$AC$6:$AC$12,0)),1),0)</f>
        <v>2</v>
      </c>
      <c r="K155" s="74">
        <f>IF($G155&lt;الحد_الأدنى,0,IFERROR(SUMIFS(Sheet1!$D$3:$D$97,Sheet1!$B$3:$B$97,INDEX(Sheet1!$G$3:$G$9,MATCH($C155,Sheet1!$F$3:$F$9,0)),Sheet1!$C$3:$C$97,$G155),0))</f>
        <v>2</v>
      </c>
    </row>
    <row r="156" spans="2:11" hidden="1">
      <c r="B156" s="77" t="str">
        <f>'عدد اللاعبين'!B145</f>
        <v>الشرقية</v>
      </c>
      <c r="C156" s="72" t="str">
        <f>'عدد اللاعبين'!C145</f>
        <v>تحت 11</v>
      </c>
      <c r="D156" s="72" t="str">
        <f>IFERROR(INDEX(المدخلات!$AD$6:$AD$12,MATCH($C156,المدخلات!$AC$6:$AC$12,0)),"")</f>
        <v>الأحد</v>
      </c>
      <c r="E156" s="72" t="str">
        <f>'عدد اللاعبين'!D145</f>
        <v>مجموعة القطيف</v>
      </c>
      <c r="F156" s="73" t="str">
        <f>'عدد اللاعبين'!F145</f>
        <v>حفر الباطن</v>
      </c>
      <c r="G156" s="74">
        <f>'عدد اللاعبين'!G145</f>
        <v>16</v>
      </c>
      <c r="H156" s="72" t="str">
        <f>IFERROR(INDEX(المدخلات!$AE$6:$AE$12,MATCH($C156,المدخلات!$AC$6:$AC$12,0)),"")</f>
        <v>7 ضد 7</v>
      </c>
      <c r="I156" s="74">
        <f t="shared" si="2"/>
        <v>8</v>
      </c>
      <c r="J156" s="74">
        <f>ROUNDUP($I156/IFERROR(INDEX(المدخلات!$AJ$6:$AJ$12,MATCH($C156,المدخلات!$AC$6:$AC$12,0)),1),0)</f>
        <v>2</v>
      </c>
      <c r="K156" s="74">
        <f>IF($G156&lt;الحد_الأدنى,0,IFERROR(SUMIFS(Sheet1!$D$3:$D$97,Sheet1!$B$3:$B$97,INDEX(Sheet1!$G$3:$G$9,MATCH($C156,Sheet1!$F$3:$F$9,0)),Sheet1!$C$3:$C$97,$G156),0))</f>
        <v>2</v>
      </c>
    </row>
    <row r="157" spans="2:11" hidden="1">
      <c r="B157" s="77" t="str">
        <f>'عدد اللاعبين'!B146</f>
        <v>جازان</v>
      </c>
      <c r="C157" s="72" t="str">
        <f>'عدد اللاعبين'!C146</f>
        <v>تحت 11</v>
      </c>
      <c r="D157" s="72" t="str">
        <f>IFERROR(INDEX(المدخلات!$AD$6:$AD$12,MATCH($C157,المدخلات!$AC$6:$AC$12,0)),"")</f>
        <v>الأحد</v>
      </c>
      <c r="E157" s="72" t="str">
        <f>'عدد اللاعبين'!D146</f>
        <v>مجموعة صبيا</v>
      </c>
      <c r="F157" s="73" t="str">
        <f>'عدد اللاعبين'!F146</f>
        <v>المدينة المنورة</v>
      </c>
      <c r="G157" s="74">
        <f>'عدد اللاعبين'!G146</f>
        <v>16</v>
      </c>
      <c r="H157" s="72" t="str">
        <f>IFERROR(INDEX(المدخلات!$AE$6:$AE$12,MATCH($C157,المدخلات!$AC$6:$AC$12,0)),"")</f>
        <v>7 ضد 7</v>
      </c>
      <c r="I157" s="74">
        <f t="shared" si="2"/>
        <v>8</v>
      </c>
      <c r="J157" s="74">
        <f>ROUNDUP($I157/IFERROR(INDEX(المدخلات!$AJ$6:$AJ$12,MATCH($C157,المدخلات!$AC$6:$AC$12,0)),1),0)</f>
        <v>2</v>
      </c>
      <c r="K157" s="74">
        <f>IF($G157&lt;الحد_الأدنى,0,IFERROR(SUMIFS(Sheet1!$D$3:$D$97,Sheet1!$B$3:$B$97,INDEX(Sheet1!$G$3:$G$9,MATCH($C157,Sheet1!$F$3:$F$9,0)),Sheet1!$C$3:$C$97,$G157),0))</f>
        <v>2</v>
      </c>
    </row>
    <row r="158" spans="2:11" hidden="1">
      <c r="B158" s="77" t="str">
        <f>'عدد اللاعبين'!B147</f>
        <v>مكة المكرمة</v>
      </c>
      <c r="C158" s="72" t="str">
        <f>'عدد اللاعبين'!C147</f>
        <v>تحت 12</v>
      </c>
      <c r="D158" s="72" t="str">
        <f>IFERROR(INDEX(المدخلات!$AD$6:$AD$12,MATCH($C158,المدخلات!$AC$6:$AC$12,0)),"")</f>
        <v>الاثنين</v>
      </c>
      <c r="E158" s="72" t="str">
        <f>'عدد اللاعبين'!D147</f>
        <v>مجموعة الطائف</v>
      </c>
      <c r="F158" s="73" t="str">
        <f>'عدد اللاعبين'!F147</f>
        <v>الظهران، الخبر، الدمام، سيهات</v>
      </c>
      <c r="G158" s="74">
        <f>'عدد اللاعبين'!G147</f>
        <v>16</v>
      </c>
      <c r="H158" s="72" t="str">
        <f>IFERROR(INDEX(المدخلات!$AE$6:$AE$12,MATCH($C158,المدخلات!$AC$6:$AC$12,0)),"")</f>
        <v>7 ضد 7</v>
      </c>
      <c r="I158" s="74">
        <f t="shared" si="2"/>
        <v>8</v>
      </c>
      <c r="J158" s="74">
        <f>ROUNDUP($I158/IFERROR(INDEX(المدخلات!$AJ$6:$AJ$12,MATCH($C158,المدخلات!$AC$6:$AC$12,0)),1),0)</f>
        <v>2</v>
      </c>
      <c r="K158" s="74">
        <f>IF($G158&lt;الحد_الأدنى,0,IFERROR(SUMIFS(Sheet1!$D$3:$D$97,Sheet1!$B$3:$B$97,INDEX(Sheet1!$G$3:$G$9,MATCH($C158,Sheet1!$F$3:$F$9,0)),Sheet1!$C$3:$C$97,$G158),0))</f>
        <v>2</v>
      </c>
    </row>
    <row r="159" spans="2:11" hidden="1">
      <c r="B159" s="77" t="str">
        <f>'عدد اللاعبين'!B148</f>
        <v>جازان</v>
      </c>
      <c r="C159" s="72" t="str">
        <f>'عدد اللاعبين'!C148</f>
        <v>تحت 12</v>
      </c>
      <c r="D159" s="72" t="str">
        <f>IFERROR(INDEX(المدخلات!$AD$6:$AD$12,MATCH($C159,المدخلات!$AC$6:$AC$12,0)),"")</f>
        <v>الاثنين</v>
      </c>
      <c r="E159" s="72" t="str">
        <f>'عدد اللاعبين'!D148</f>
        <v>مجموعة صبيا</v>
      </c>
      <c r="F159" s="73" t="str">
        <f>'عدد اللاعبين'!F148</f>
        <v>صبيا، ضمد</v>
      </c>
      <c r="G159" s="74">
        <f>'عدد اللاعبين'!G148</f>
        <v>16</v>
      </c>
      <c r="H159" s="72" t="str">
        <f>IFERROR(INDEX(المدخلات!$AE$6:$AE$12,MATCH($C159,المدخلات!$AC$6:$AC$12,0)),"")</f>
        <v>7 ضد 7</v>
      </c>
      <c r="I159" s="74">
        <f t="shared" si="2"/>
        <v>8</v>
      </c>
      <c r="J159" s="74">
        <f>ROUNDUP($I159/IFERROR(INDEX(المدخلات!$AJ$6:$AJ$12,MATCH($C159,المدخلات!$AC$6:$AC$12,0)),1),0)</f>
        <v>2</v>
      </c>
      <c r="K159" s="74">
        <f>IF($G159&lt;الحد_الأدنى,0,IFERROR(SUMIFS(Sheet1!$D$3:$D$97,Sheet1!$B$3:$B$97,INDEX(Sheet1!$G$3:$G$9,MATCH($C159,Sheet1!$F$3:$F$9,0)),Sheet1!$C$3:$C$97,$G159),0))</f>
        <v>2</v>
      </c>
    </row>
    <row r="160" spans="2:11" hidden="1">
      <c r="B160" s="77" t="str">
        <f>'عدد اللاعبين'!B149</f>
        <v>الشرقية</v>
      </c>
      <c r="C160" s="72" t="str">
        <f>'عدد اللاعبين'!C149</f>
        <v>تحت 13</v>
      </c>
      <c r="D160" s="72" t="str">
        <f>IFERROR(INDEX(المدخلات!$AD$6:$AD$12,MATCH($C160,المدخلات!$AC$6:$AC$12,0)),"")</f>
        <v>الخميس</v>
      </c>
      <c r="E160" s="72" t="str">
        <f>'عدد اللاعبين'!D149</f>
        <v>مجموعة الخفجي</v>
      </c>
      <c r="F160" s="73" t="str">
        <f>'عدد اللاعبين'!F149</f>
        <v>حفر الباطن</v>
      </c>
      <c r="G160" s="74">
        <f>'عدد اللاعبين'!G149</f>
        <v>17</v>
      </c>
      <c r="H160" s="72" t="str">
        <f>IFERROR(INDEX(المدخلات!$AE$6:$AE$12,MATCH($C160,المدخلات!$AC$6:$AC$12,0)),"")</f>
        <v>قانوني</v>
      </c>
      <c r="I160" s="74">
        <f t="shared" si="2"/>
        <v>8</v>
      </c>
      <c r="J160" s="74">
        <f>ROUNDUP($I160/IFERROR(INDEX(المدخلات!$AJ$6:$AJ$12,MATCH($C160,المدخلات!$AC$6:$AC$12,0)),1),0)</f>
        <v>3</v>
      </c>
      <c r="K160" s="74">
        <f>IF($G160&lt;الحد_الأدنى,0,IFERROR(SUMIFS(Sheet1!$D$3:$D$97,Sheet1!$B$3:$B$97,INDEX(Sheet1!$G$3:$G$9,MATCH($C160,Sheet1!$F$3:$F$9,0)),Sheet1!$C$3:$C$97,$G160),0))</f>
        <v>3</v>
      </c>
    </row>
    <row r="161" spans="2:11" hidden="1">
      <c r="B161" s="77" t="str">
        <f>'عدد اللاعبين'!B150</f>
        <v>مكة المكرمة</v>
      </c>
      <c r="C161" s="72" t="str">
        <f>'عدد اللاعبين'!C150</f>
        <v>تحت 13</v>
      </c>
      <c r="D161" s="72" t="str">
        <f>IFERROR(INDEX(المدخلات!$AD$6:$AD$12,MATCH($C161,المدخلات!$AC$6:$AC$12,0)),"")</f>
        <v>الخميس</v>
      </c>
      <c r="E161" s="72" t="str">
        <f>'عدد اللاعبين'!D150</f>
        <v>مجموعة الطائف</v>
      </c>
      <c r="F161" s="73" t="str">
        <f>'عدد اللاعبين'!F150</f>
        <v>الطائف</v>
      </c>
      <c r="G161" s="74">
        <f>'عدد اللاعبين'!G150</f>
        <v>17</v>
      </c>
      <c r="H161" s="72" t="str">
        <f>IFERROR(INDEX(المدخلات!$AE$6:$AE$12,MATCH($C161,المدخلات!$AC$6:$AC$12,0)),"")</f>
        <v>قانوني</v>
      </c>
      <c r="I161" s="74">
        <f t="shared" si="2"/>
        <v>8</v>
      </c>
      <c r="J161" s="74">
        <f>ROUNDUP($I161/IFERROR(INDEX(المدخلات!$AJ$6:$AJ$12,MATCH($C161,المدخلات!$AC$6:$AC$12,0)),1),0)</f>
        <v>3</v>
      </c>
      <c r="K161" s="74">
        <f>IF($G161&lt;الحد_الأدنى,0,IFERROR(SUMIFS(Sheet1!$D$3:$D$97,Sheet1!$B$3:$B$97,INDEX(Sheet1!$G$3:$G$9,MATCH($C161,Sheet1!$F$3:$F$9,0)),Sheet1!$C$3:$C$97,$G161),0))</f>
        <v>3</v>
      </c>
    </row>
    <row r="162" spans="2:11" hidden="1">
      <c r="B162" s="77" t="str">
        <f>'عدد اللاعبين'!B151</f>
        <v>المدينة المنورة</v>
      </c>
      <c r="C162" s="72" t="str">
        <f>'عدد اللاعبين'!C151</f>
        <v>تحت 14</v>
      </c>
      <c r="D162" s="72" t="str">
        <f>IFERROR(INDEX(المدخلات!$AD$6:$AD$12,MATCH($C162,المدخلات!$AC$6:$AC$12,0)),"")</f>
        <v>الأربعاء</v>
      </c>
      <c r="E162" s="72" t="str">
        <f>'عدد اللاعبين'!D151</f>
        <v>مجموعة المدينة المنورة</v>
      </c>
      <c r="F162" s="73" t="str">
        <f>'عدد اللاعبين'!F151</f>
        <v>الرياض</v>
      </c>
      <c r="G162" s="74">
        <f>'عدد اللاعبين'!G151</f>
        <v>17</v>
      </c>
      <c r="H162" s="72" t="str">
        <f>IFERROR(INDEX(المدخلات!$AE$6:$AE$12,MATCH($C162,المدخلات!$AC$6:$AC$12,0)),"")</f>
        <v>قانوني</v>
      </c>
      <c r="I162" s="74">
        <f t="shared" si="2"/>
        <v>8</v>
      </c>
      <c r="J162" s="74">
        <f>ROUNDUP($I162/IFERROR(INDEX(المدخلات!$AJ$6:$AJ$12,MATCH($C162,المدخلات!$AC$6:$AC$12,0)),1),0)</f>
        <v>3</v>
      </c>
      <c r="K162" s="74">
        <f>IF($G162&lt;الحد_الأدنى,0,IFERROR(SUMIFS(Sheet1!$D$3:$D$97,Sheet1!$B$3:$B$97,INDEX(Sheet1!$G$3:$G$9,MATCH($C162,Sheet1!$F$3:$F$9,0)),Sheet1!$C$3:$C$97,$G162),0))</f>
        <v>0</v>
      </c>
    </row>
    <row r="163" spans="2:11" hidden="1">
      <c r="B163" s="77" t="str">
        <f>'عدد اللاعبين'!B152</f>
        <v>الشرقية</v>
      </c>
      <c r="C163" s="72" t="str">
        <f>'عدد اللاعبين'!C152</f>
        <v>تحت 5</v>
      </c>
      <c r="D163" s="72" t="str">
        <f>IFERROR(INDEX(المدخلات!$AD$6:$AD$12,MATCH($C163,المدخلات!$AC$6:$AC$12,0)),"")</f>
        <v>السبت</v>
      </c>
      <c r="E163" s="72" t="str">
        <f>'عدد اللاعبين'!D152</f>
        <v>مجموعة حفر الباطن</v>
      </c>
      <c r="F163" s="73" t="str">
        <f>'عدد اللاعبين'!F152</f>
        <v>حفر الباطن</v>
      </c>
      <c r="G163" s="74">
        <f>'عدد اللاعبين'!G152</f>
        <v>17</v>
      </c>
      <c r="H163" s="72" t="str">
        <f>IFERROR(INDEX(المدخلات!$AE$6:$AE$12,MATCH($C163,المدخلات!$AC$6:$AC$12,0)),"")</f>
        <v>5 ضد 5</v>
      </c>
      <c r="I163" s="74">
        <f t="shared" si="2"/>
        <v>8</v>
      </c>
      <c r="J163" s="74">
        <f>ROUNDUP($I163/IFERROR(INDEX(المدخلات!$AJ$6:$AJ$12,MATCH($C163,المدخلات!$AC$6:$AC$12,0)),1),0)</f>
        <v>3</v>
      </c>
      <c r="K163" s="74">
        <f>IF($G163&lt;الحد_الأدنى,0,IFERROR(SUMIFS(Sheet1!$D$3:$D$97,Sheet1!$B$3:$B$97,INDEX(Sheet1!$G$3:$G$9,MATCH($C163,Sheet1!$F$3:$F$9,0)),Sheet1!$C$3:$C$97,$G163),0))</f>
        <v>2</v>
      </c>
    </row>
    <row r="164" spans="2:11" hidden="1">
      <c r="B164" s="77" t="str">
        <f>'عدد اللاعبين'!B153</f>
        <v>المدينة المنورة</v>
      </c>
      <c r="C164" s="72" t="str">
        <f>'عدد اللاعبين'!C153</f>
        <v>تحت 7</v>
      </c>
      <c r="D164" s="72" t="str">
        <f>IFERROR(INDEX(المدخلات!$AD$6:$AD$12,MATCH($C164,المدخلات!$AC$6:$AC$12,0)),"")</f>
        <v>السبت</v>
      </c>
      <c r="E164" s="72" t="str">
        <f>'عدد اللاعبين'!D153</f>
        <v>مجموعة المدينة المنورة</v>
      </c>
      <c r="F164" s="73" t="str">
        <f>'عدد اللاعبين'!F153</f>
        <v>القطيف، الجبيل</v>
      </c>
      <c r="G164" s="74">
        <f>'عدد اللاعبين'!G153</f>
        <v>18</v>
      </c>
      <c r="H164" s="72" t="str">
        <f>IFERROR(INDEX(المدخلات!$AE$6:$AE$12,MATCH($C164,المدخلات!$AC$6:$AC$12,0)),"")</f>
        <v>7 ضد 7</v>
      </c>
      <c r="I164" s="74">
        <f t="shared" si="2"/>
        <v>9</v>
      </c>
      <c r="J164" s="74">
        <f>ROUNDUP($I164/IFERROR(INDEX(المدخلات!$AJ$6:$AJ$12,MATCH($C164,المدخلات!$AC$6:$AC$12,0)),1),0)</f>
        <v>3</v>
      </c>
      <c r="K164" s="74">
        <f>IF($G164&lt;الحد_الأدنى,0,IFERROR(SUMIFS(Sheet1!$D$3:$D$97,Sheet1!$B$3:$B$97,INDEX(Sheet1!$G$3:$G$9,MATCH($C164,Sheet1!$F$3:$F$9,0)),Sheet1!$C$3:$C$97,$G164),0))</f>
        <v>2</v>
      </c>
    </row>
    <row r="165" spans="2:11" hidden="1">
      <c r="B165" s="77" t="str">
        <f>'عدد اللاعبين'!B154</f>
        <v>الشرقية</v>
      </c>
      <c r="C165" s="72" t="str">
        <f>'عدد اللاعبين'!C154</f>
        <v>تحت 7</v>
      </c>
      <c r="D165" s="72" t="str">
        <f>IFERROR(INDEX(المدخلات!$AD$6:$AD$12,MATCH($C165,المدخلات!$AC$6:$AC$12,0)),"")</f>
        <v>السبت</v>
      </c>
      <c r="E165" s="72" t="str">
        <f>'عدد اللاعبين'!D154</f>
        <v>مجموعة الدمام</v>
      </c>
      <c r="F165" s="73" t="str">
        <f>'عدد اللاعبين'!F154</f>
        <v>الأحساء</v>
      </c>
      <c r="G165" s="74">
        <f>'عدد اللاعبين'!G154</f>
        <v>18</v>
      </c>
      <c r="H165" s="72" t="str">
        <f>IFERROR(INDEX(المدخلات!$AE$6:$AE$12,MATCH($C165,المدخلات!$AC$6:$AC$12,0)),"")</f>
        <v>7 ضد 7</v>
      </c>
      <c r="I165" s="74">
        <f t="shared" si="2"/>
        <v>9</v>
      </c>
      <c r="J165" s="74">
        <f>ROUNDUP($I165/IFERROR(INDEX(المدخلات!$AJ$6:$AJ$12,MATCH($C165,المدخلات!$AC$6:$AC$12,0)),1),0)</f>
        <v>3</v>
      </c>
      <c r="K165" s="74">
        <f>IF($G165&lt;الحد_الأدنى,0,IFERROR(SUMIFS(Sheet1!$D$3:$D$97,Sheet1!$B$3:$B$97,INDEX(Sheet1!$G$3:$G$9,MATCH($C165,Sheet1!$F$3:$F$9,0)),Sheet1!$C$3:$C$97,$G165),0))</f>
        <v>2</v>
      </c>
    </row>
    <row r="166" spans="2:11" hidden="1">
      <c r="B166" s="77" t="str">
        <f>'عدد اللاعبين'!B155</f>
        <v>جازان</v>
      </c>
      <c r="C166" s="72" t="str">
        <f>'عدد اللاعبين'!C155</f>
        <v>تحت 9</v>
      </c>
      <c r="D166" s="72" t="str">
        <f>IFERROR(INDEX(المدخلات!$AD$6:$AD$12,MATCH($C166,المدخلات!$AC$6:$AC$12,0)),"")</f>
        <v>السبت</v>
      </c>
      <c r="E166" s="72" t="str">
        <f>'عدد اللاعبين'!D155</f>
        <v>مجموعة صبيا</v>
      </c>
      <c r="F166" s="73" t="str">
        <f>'عدد اللاعبين'!F155</f>
        <v>حفر الباطن</v>
      </c>
      <c r="G166" s="74">
        <f>'عدد اللاعبين'!G155</f>
        <v>19</v>
      </c>
      <c r="H166" s="72" t="str">
        <f>IFERROR(INDEX(المدخلات!$AE$6:$AE$12,MATCH($C166,المدخلات!$AC$6:$AC$12,0)),"")</f>
        <v>7 ضد 7</v>
      </c>
      <c r="I166" s="74">
        <f t="shared" si="2"/>
        <v>9</v>
      </c>
      <c r="J166" s="74">
        <f>ROUNDUP($I166/IFERROR(INDEX(المدخلات!$AJ$6:$AJ$12,MATCH($C166,المدخلات!$AC$6:$AC$12,0)),1),0)</f>
        <v>3</v>
      </c>
      <c r="K166" s="74">
        <f>IF($G166&lt;الحد_الأدنى,0,IFERROR(SUMIFS(Sheet1!$D$3:$D$97,Sheet1!$B$3:$B$97,INDEX(Sheet1!$G$3:$G$9,MATCH($C166,Sheet1!$F$3:$F$9,0)),Sheet1!$C$3:$C$97,$G166),0))</f>
        <v>2</v>
      </c>
    </row>
    <row r="167" spans="2:11" hidden="1">
      <c r="B167" s="77" t="str">
        <f>'عدد اللاعبين'!B156</f>
        <v>الشرقية</v>
      </c>
      <c r="C167" s="72" t="str">
        <f>'عدد اللاعبين'!C156</f>
        <v>تحت 13</v>
      </c>
      <c r="D167" s="72" t="str">
        <f>IFERROR(INDEX(المدخلات!$AD$6:$AD$12,MATCH($C167,المدخلات!$AC$6:$AC$12,0)),"")</f>
        <v>الخميس</v>
      </c>
      <c r="E167" s="72" t="str">
        <f>'عدد اللاعبين'!D156</f>
        <v>مجموعة حفر الباطن</v>
      </c>
      <c r="F167" s="73" t="str">
        <f>'عدد اللاعبين'!F156</f>
        <v>حفر الباطن</v>
      </c>
      <c r="G167" s="74">
        <f>'عدد اللاعبين'!G156</f>
        <v>19</v>
      </c>
      <c r="H167" s="72" t="str">
        <f>IFERROR(INDEX(المدخلات!$AE$6:$AE$12,MATCH($C167,المدخلات!$AC$6:$AC$12,0)),"")</f>
        <v>قانوني</v>
      </c>
      <c r="I167" s="74">
        <f t="shared" si="2"/>
        <v>9</v>
      </c>
      <c r="J167" s="74">
        <f>ROUNDUP($I167/IFERROR(INDEX(المدخلات!$AJ$6:$AJ$12,MATCH($C167,المدخلات!$AC$6:$AC$12,0)),1),0)</f>
        <v>3</v>
      </c>
      <c r="K167" s="74">
        <f>IF($G167&lt;الحد_الأدنى,0,IFERROR(SUMIFS(Sheet1!$D$3:$D$97,Sheet1!$B$3:$B$97,INDEX(Sheet1!$G$3:$G$9,MATCH($C167,Sheet1!$F$3:$F$9,0)),Sheet1!$C$3:$C$97,$G167),0))</f>
        <v>0</v>
      </c>
    </row>
    <row r="168" spans="2:11" hidden="1">
      <c r="B168" s="77" t="str">
        <f>'عدد اللاعبين'!B157</f>
        <v>مكة المكرمة</v>
      </c>
      <c r="C168" s="72" t="str">
        <f>'عدد اللاعبين'!C157</f>
        <v>تحت 14</v>
      </c>
      <c r="D168" s="72" t="str">
        <f>IFERROR(INDEX(المدخلات!$AD$6:$AD$12,MATCH($C168,المدخلات!$AC$6:$AC$12,0)),"")</f>
        <v>الأربعاء</v>
      </c>
      <c r="E168" s="72" t="str">
        <f>'عدد اللاعبين'!D157</f>
        <v>مجموعة الطائف</v>
      </c>
      <c r="F168" s="73" t="str">
        <f>'عدد اللاعبين'!F157</f>
        <v>حفر الباطن</v>
      </c>
      <c r="G168" s="74">
        <f>'عدد اللاعبين'!G157</f>
        <v>21</v>
      </c>
      <c r="H168" s="72" t="str">
        <f>IFERROR(INDEX(المدخلات!$AE$6:$AE$12,MATCH($C168,المدخلات!$AC$6:$AC$12,0)),"")</f>
        <v>قانوني</v>
      </c>
      <c r="I168" s="74">
        <f t="shared" si="2"/>
        <v>10</v>
      </c>
      <c r="J168" s="74">
        <f>ROUNDUP($I168/IFERROR(INDEX(المدخلات!$AJ$6:$AJ$12,MATCH($C168,المدخلات!$AC$6:$AC$12,0)),1),0)</f>
        <v>4</v>
      </c>
      <c r="K168" s="74">
        <f>IF($G168&lt;الحد_الأدنى,0,IFERROR(SUMIFS(Sheet1!$D$3:$D$97,Sheet1!$B$3:$B$97,INDEX(Sheet1!$G$3:$G$9,MATCH($C168,Sheet1!$F$3:$F$9,0)),Sheet1!$C$3:$C$97,$G168),0))</f>
        <v>4</v>
      </c>
    </row>
    <row r="169" spans="2:11" hidden="1">
      <c r="B169" s="77" t="str">
        <f>'عدد اللاعبين'!B158</f>
        <v>الرياض</v>
      </c>
      <c r="C169" s="72" t="str">
        <f>'عدد اللاعبين'!C158</f>
        <v>تحت 5</v>
      </c>
      <c r="D169" s="72" t="str">
        <f>IFERROR(INDEX(المدخلات!$AD$6:$AD$12,MATCH($C169,المدخلات!$AC$6:$AC$12,0)),"")</f>
        <v>السبت</v>
      </c>
      <c r="E169" s="72" t="str">
        <f>'عدد اللاعبين'!D158</f>
        <v>مجموعة الرياض</v>
      </c>
      <c r="F169" s="73" t="str">
        <f>'عدد اللاعبين'!F158</f>
        <v>مكة المكرمة</v>
      </c>
      <c r="G169" s="74">
        <f>'عدد اللاعبين'!G158</f>
        <v>21</v>
      </c>
      <c r="H169" s="72" t="str">
        <f>IFERROR(INDEX(المدخلات!$AE$6:$AE$12,MATCH($C169,المدخلات!$AC$6:$AC$12,0)),"")</f>
        <v>5 ضد 5</v>
      </c>
      <c r="I169" s="74">
        <f t="shared" si="2"/>
        <v>10</v>
      </c>
      <c r="J169" s="74">
        <f>ROUNDUP($I169/IFERROR(INDEX(المدخلات!$AJ$6:$AJ$12,MATCH($C169,المدخلات!$AC$6:$AC$12,0)),1),0)</f>
        <v>4</v>
      </c>
      <c r="K169" s="74">
        <f>IF($G169&lt;الحد_الأدنى,0,IFERROR(SUMIFS(Sheet1!$D$3:$D$97,Sheet1!$B$3:$B$97,INDEX(Sheet1!$G$3:$G$9,MATCH($C169,Sheet1!$F$3:$F$9,0)),Sheet1!$C$3:$C$97,$G169),0))</f>
        <v>0</v>
      </c>
    </row>
    <row r="170" spans="2:11" hidden="1">
      <c r="B170" s="77" t="str">
        <f>'عدد اللاعبين'!B159</f>
        <v>الشرقية</v>
      </c>
      <c r="C170" s="72" t="str">
        <f>'عدد اللاعبين'!C159</f>
        <v>تحت 7</v>
      </c>
      <c r="D170" s="72" t="str">
        <f>IFERROR(INDEX(المدخلات!$AD$6:$AD$12,MATCH($C170,المدخلات!$AC$6:$AC$12,0)),"")</f>
        <v>السبت</v>
      </c>
      <c r="E170" s="72" t="str">
        <f>'عدد اللاعبين'!D159</f>
        <v>مجموعة حفر الباطن</v>
      </c>
      <c r="F170" s="73" t="str">
        <f>'عدد اللاعبين'!F159</f>
        <v>حفر الباطن</v>
      </c>
      <c r="G170" s="74">
        <f>'عدد اللاعبين'!G159</f>
        <v>22</v>
      </c>
      <c r="H170" s="72" t="str">
        <f>IFERROR(INDEX(المدخلات!$AE$6:$AE$12,MATCH($C170,المدخلات!$AC$6:$AC$12,0)),"")</f>
        <v>7 ضد 7</v>
      </c>
      <c r="I170" s="74">
        <f t="shared" si="2"/>
        <v>11</v>
      </c>
      <c r="J170" s="74">
        <f>ROUNDUP($I170/IFERROR(INDEX(المدخلات!$AJ$6:$AJ$12,MATCH($C170,المدخلات!$AC$6:$AC$12,0)),1),0)</f>
        <v>4</v>
      </c>
      <c r="K170" s="74">
        <f>IF($G170&lt;الحد_الأدنى,0,IFERROR(SUMIFS(Sheet1!$D$3:$D$97,Sheet1!$B$3:$B$97,INDEX(Sheet1!$G$3:$G$9,MATCH($C170,Sheet1!$F$3:$F$9,0)),Sheet1!$C$3:$C$97,$G170),0))</f>
        <v>0</v>
      </c>
    </row>
    <row r="171" spans="2:11" hidden="1">
      <c r="B171" s="77" t="str">
        <f>'عدد اللاعبين'!B160</f>
        <v>الشرقية</v>
      </c>
      <c r="C171" s="72" t="str">
        <f>'عدد اللاعبين'!C160</f>
        <v>تحت 12</v>
      </c>
      <c r="D171" s="72" t="str">
        <f>IFERROR(INDEX(المدخلات!$AD$6:$AD$12,MATCH($C171,المدخلات!$AC$6:$AC$12,0)),"")</f>
        <v>الاثنين</v>
      </c>
      <c r="E171" s="72" t="str">
        <f>'عدد اللاعبين'!D160</f>
        <v>مجموعة القطيف</v>
      </c>
      <c r="F171" s="73" t="str">
        <f>'عدد اللاعبين'!F160</f>
        <v>جدة</v>
      </c>
      <c r="G171" s="74">
        <f>'عدد اللاعبين'!G160</f>
        <v>22</v>
      </c>
      <c r="H171" s="72" t="str">
        <f>IFERROR(INDEX(المدخلات!$AE$6:$AE$12,MATCH($C171,المدخلات!$AC$6:$AC$12,0)),"")</f>
        <v>7 ضد 7</v>
      </c>
      <c r="I171" s="74">
        <f t="shared" si="2"/>
        <v>11</v>
      </c>
      <c r="J171" s="74">
        <f>ROUNDUP($I171/IFERROR(INDEX(المدخلات!$AJ$6:$AJ$12,MATCH($C171,المدخلات!$AC$6:$AC$12,0)),1),0)</f>
        <v>3</v>
      </c>
      <c r="K171" s="74">
        <f>IF($G171&lt;الحد_الأدنى,0,IFERROR(SUMIFS(Sheet1!$D$3:$D$97,Sheet1!$B$3:$B$97,INDEX(Sheet1!$G$3:$G$9,MATCH($C171,Sheet1!$F$3:$F$9,0)),Sheet1!$C$3:$C$97,$G171),0))</f>
        <v>2</v>
      </c>
    </row>
    <row r="172" spans="2:11" hidden="1">
      <c r="B172" s="77" t="str">
        <f>'عدد اللاعبين'!B161</f>
        <v>الشرقية</v>
      </c>
      <c r="C172" s="72" t="str">
        <f>'عدد اللاعبين'!C161</f>
        <v>تحت 7</v>
      </c>
      <c r="D172" s="72" t="str">
        <f>IFERROR(INDEX(المدخلات!$AD$6:$AD$12,MATCH($C172,المدخلات!$AC$6:$AC$12,0)),"")</f>
        <v>السبت</v>
      </c>
      <c r="E172" s="72" t="str">
        <f>'عدد اللاعبين'!D161</f>
        <v>مجموعة الأحساء</v>
      </c>
      <c r="F172" s="73" t="str">
        <f>'عدد اللاعبين'!F161</f>
        <v>المدينة المنورة</v>
      </c>
      <c r="G172" s="74">
        <f>'عدد اللاعبين'!G161</f>
        <v>23</v>
      </c>
      <c r="H172" s="72" t="str">
        <f>IFERROR(INDEX(المدخلات!$AE$6:$AE$12,MATCH($C172,المدخلات!$AC$6:$AC$12,0)),"")</f>
        <v>7 ضد 7</v>
      </c>
      <c r="I172" s="74">
        <f t="shared" si="2"/>
        <v>11</v>
      </c>
      <c r="J172" s="74">
        <f>ROUNDUP($I172/IFERROR(INDEX(المدخلات!$AJ$6:$AJ$12,MATCH($C172,المدخلات!$AC$6:$AC$12,0)),1),0)</f>
        <v>4</v>
      </c>
      <c r="K172" s="74">
        <f>IF($G172&lt;الحد_الأدنى,0,IFERROR(SUMIFS(Sheet1!$D$3:$D$97,Sheet1!$B$3:$B$97,INDEX(Sheet1!$G$3:$G$9,MATCH($C172,Sheet1!$F$3:$F$9,0)),Sheet1!$C$3:$C$97,$G172),0))</f>
        <v>0</v>
      </c>
    </row>
    <row r="173" spans="2:11" hidden="1">
      <c r="B173" s="77" t="str">
        <f>'عدد اللاعبين'!B162</f>
        <v>الشرقية</v>
      </c>
      <c r="C173" s="72" t="str">
        <f>'عدد اللاعبين'!C162</f>
        <v>تحت 14</v>
      </c>
      <c r="D173" s="72" t="str">
        <f>IFERROR(INDEX(المدخلات!$AD$6:$AD$12,MATCH($C173,المدخلات!$AC$6:$AC$12,0)),"")</f>
        <v>الأربعاء</v>
      </c>
      <c r="E173" s="72" t="str">
        <f>'عدد اللاعبين'!D162</f>
        <v>مجموعة حفر الباطن</v>
      </c>
      <c r="F173" s="73" t="str">
        <f>'عدد اللاعبين'!F162</f>
        <v>مكة المكرمة، الجموم</v>
      </c>
      <c r="G173" s="74">
        <f>'عدد اللاعبين'!G162</f>
        <v>24</v>
      </c>
      <c r="H173" s="72" t="str">
        <f>IFERROR(INDEX(المدخلات!$AE$6:$AE$12,MATCH($C173,المدخلات!$AC$6:$AC$12,0)),"")</f>
        <v>قانوني</v>
      </c>
      <c r="I173" s="74">
        <f t="shared" si="2"/>
        <v>12</v>
      </c>
      <c r="J173" s="74">
        <f>ROUNDUP($I173/IFERROR(INDEX(المدخلات!$AJ$6:$AJ$12,MATCH($C173,المدخلات!$AC$6:$AC$12,0)),1),0)</f>
        <v>4</v>
      </c>
      <c r="K173" s="74">
        <f>IF($G173&lt;الحد_الأدنى,0,IFERROR(SUMIFS(Sheet1!$D$3:$D$97,Sheet1!$B$3:$B$97,INDEX(Sheet1!$G$3:$G$9,MATCH($C173,Sheet1!$F$3:$F$9,0)),Sheet1!$C$3:$C$97,$G173),0))</f>
        <v>0</v>
      </c>
    </row>
    <row r="174" spans="2:11" hidden="1">
      <c r="B174" s="77" t="str">
        <f>'عدد اللاعبين'!B163</f>
        <v>الشرقية</v>
      </c>
      <c r="C174" s="72" t="str">
        <f>'عدد اللاعبين'!C163</f>
        <v>تحت 9</v>
      </c>
      <c r="D174" s="72" t="str">
        <f>IFERROR(INDEX(المدخلات!$AD$6:$AD$12,MATCH($C174,المدخلات!$AC$6:$AC$12,0)),"")</f>
        <v>السبت</v>
      </c>
      <c r="E174" s="72" t="str">
        <f>'عدد اللاعبين'!D163</f>
        <v>مجموعة حفر الباطن</v>
      </c>
      <c r="F174" s="73" t="str">
        <f>'عدد اللاعبين'!F163</f>
        <v>المدينة المنورة</v>
      </c>
      <c r="G174" s="74">
        <f>'عدد اللاعبين'!G163</f>
        <v>25</v>
      </c>
      <c r="H174" s="72" t="str">
        <f>IFERROR(INDEX(المدخلات!$AE$6:$AE$12,MATCH($C174,المدخلات!$AC$6:$AC$12,0)),"")</f>
        <v>7 ضد 7</v>
      </c>
      <c r="I174" s="74">
        <f t="shared" si="2"/>
        <v>12</v>
      </c>
      <c r="J174" s="74">
        <f>ROUNDUP($I174/IFERROR(INDEX(المدخلات!$AJ$6:$AJ$12,MATCH($C174,المدخلات!$AC$6:$AC$12,0)),1),0)</f>
        <v>4</v>
      </c>
      <c r="K174" s="74">
        <f>IF($G174&lt;الحد_الأدنى,0,IFERROR(SUMIFS(Sheet1!$D$3:$D$97,Sheet1!$B$3:$B$97,INDEX(Sheet1!$G$3:$G$9,MATCH($C174,Sheet1!$F$3:$F$9,0)),Sheet1!$C$3:$C$97,$G174),0))</f>
        <v>2</v>
      </c>
    </row>
    <row r="175" spans="2:11" hidden="1">
      <c r="B175" s="77" t="str">
        <f>'عدد اللاعبين'!B164</f>
        <v>الشرقية</v>
      </c>
      <c r="C175" s="72" t="str">
        <f>'عدد اللاعبين'!C164</f>
        <v>تحت 11</v>
      </c>
      <c r="D175" s="72" t="str">
        <f>IFERROR(INDEX(المدخلات!$AD$6:$AD$12,MATCH($C175,المدخلات!$AC$6:$AC$12,0)),"")</f>
        <v>الأحد</v>
      </c>
      <c r="E175" s="72" t="str">
        <f>'عدد اللاعبين'!D164</f>
        <v>مجموعة حفر الباطن</v>
      </c>
      <c r="F175" s="73" t="str">
        <f>'عدد اللاعبين'!F164</f>
        <v>المدينة المنورة</v>
      </c>
      <c r="G175" s="74">
        <f>'عدد اللاعبين'!G164</f>
        <v>25</v>
      </c>
      <c r="H175" s="72" t="str">
        <f>IFERROR(INDEX(المدخلات!$AE$6:$AE$12,MATCH($C175,المدخلات!$AC$6:$AC$12,0)),"")</f>
        <v>7 ضد 7</v>
      </c>
      <c r="I175" s="74">
        <f t="shared" si="2"/>
        <v>12</v>
      </c>
      <c r="J175" s="74">
        <f>ROUNDUP($I175/IFERROR(INDEX(المدخلات!$AJ$6:$AJ$12,MATCH($C175,المدخلات!$AC$6:$AC$12,0)),1),0)</f>
        <v>3</v>
      </c>
      <c r="K175" s="74">
        <f>IF($G175&lt;الحد_الأدنى,0,IFERROR(SUMIFS(Sheet1!$D$3:$D$97,Sheet1!$B$3:$B$97,INDEX(Sheet1!$G$3:$G$9,MATCH($C175,Sheet1!$F$3:$F$9,0)),Sheet1!$C$3:$C$97,$G175),0))</f>
        <v>2</v>
      </c>
    </row>
    <row r="176" spans="2:11" hidden="1">
      <c r="B176" s="77" t="str">
        <f>'عدد اللاعبين'!B165</f>
        <v>مكة المكرمة</v>
      </c>
      <c r="C176" s="72" t="str">
        <f>'عدد اللاعبين'!C165</f>
        <v>تحت 7</v>
      </c>
      <c r="D176" s="72" t="str">
        <f>IFERROR(INDEX(المدخلات!$AD$6:$AD$12,MATCH($C176,المدخلات!$AC$6:$AC$12,0)),"")</f>
        <v>السبت</v>
      </c>
      <c r="E176" s="72" t="str">
        <f>'عدد اللاعبين'!D165</f>
        <v>مجموعة مكة المكرمة</v>
      </c>
      <c r="F176" s="73" t="str">
        <f>'عدد اللاعبين'!F165</f>
        <v>مكة المكرمة، الجموم</v>
      </c>
      <c r="G176" s="74">
        <f>'عدد اللاعبين'!G165</f>
        <v>26</v>
      </c>
      <c r="H176" s="72" t="str">
        <f>IFERROR(INDEX(المدخلات!$AE$6:$AE$12,MATCH($C176,المدخلات!$AC$6:$AC$12,0)),"")</f>
        <v>7 ضد 7</v>
      </c>
      <c r="I176" s="74">
        <f t="shared" si="2"/>
        <v>13</v>
      </c>
      <c r="J176" s="74">
        <f>ROUNDUP($I176/IFERROR(INDEX(المدخلات!$AJ$6:$AJ$12,MATCH($C176,المدخلات!$AC$6:$AC$12,0)),1),0)</f>
        <v>5</v>
      </c>
      <c r="K176" s="74">
        <f>IF($G176&lt;الحد_الأدنى,0,IFERROR(SUMIFS(Sheet1!$D$3:$D$97,Sheet1!$B$3:$B$97,INDEX(Sheet1!$G$3:$G$9,MATCH($C176,Sheet1!$F$3:$F$9,0)),Sheet1!$C$3:$C$97,$G176),0))</f>
        <v>0</v>
      </c>
    </row>
    <row r="177" spans="2:11">
      <c r="B177" s="77" t="str">
        <f>'عدد اللاعبين'!B166</f>
        <v>الشرقية</v>
      </c>
      <c r="C177" s="72" t="str">
        <f>'عدد اللاعبين'!C166</f>
        <v>تحت 12</v>
      </c>
      <c r="D177" s="72" t="str">
        <f>IFERROR(INDEX(المدخلات!$AD$6:$AD$12,MATCH($C177,المدخلات!$AC$6:$AC$12,0)),"")</f>
        <v>الاثنين</v>
      </c>
      <c r="E177" s="72" t="str">
        <f>'عدد اللاعبين'!D166</f>
        <v>مجموعة حفر الباطن</v>
      </c>
      <c r="F177" s="73" t="str">
        <f>'عدد اللاعبين'!F166</f>
        <v>مكة المكرمة، الجموم</v>
      </c>
      <c r="G177" s="74">
        <f>'عدد اللاعبين'!G166</f>
        <v>27</v>
      </c>
      <c r="H177" s="72" t="str">
        <f>IFERROR(INDEX(المدخلات!$AE$6:$AE$12,MATCH($C177,المدخلات!$AC$6:$AC$12,0)),"")</f>
        <v>7 ضد 7</v>
      </c>
      <c r="I177" s="74">
        <f t="shared" si="2"/>
        <v>13</v>
      </c>
      <c r="J177" s="74">
        <f>ROUNDUP($I177/IFERROR(INDEX(المدخلات!$AJ$6:$AJ$12,MATCH($C177,المدخلات!$AC$6:$AC$12,0)),1),0)</f>
        <v>4</v>
      </c>
      <c r="K177" s="74">
        <f>IF($G177&lt;الحد_الأدنى,0,IFERROR(SUMIFS(Sheet1!$D$3:$D$97,Sheet1!$B$3:$B$97,INDEX(Sheet1!$G$3:$G$9,MATCH($C177,Sheet1!$F$3:$F$9,0)),Sheet1!$C$3:$C$97,$G177),0))</f>
        <v>2</v>
      </c>
    </row>
    <row r="178" spans="2:11">
      <c r="B178" s="77" t="str">
        <f>'عدد اللاعبين'!B167</f>
        <v>مكة المكرمة</v>
      </c>
      <c r="C178" s="72" t="str">
        <f>'عدد اللاعبين'!C167</f>
        <v>تحت 5</v>
      </c>
      <c r="D178" s="72" t="str">
        <f>IFERROR(INDEX(المدخلات!$AD$6:$AD$12,MATCH($C178,المدخلات!$AC$6:$AC$12,0)),"")</f>
        <v>السبت</v>
      </c>
      <c r="E178" s="72" t="str">
        <f>'عدد اللاعبين'!D167</f>
        <v>مجموعة جدة</v>
      </c>
      <c r="F178" s="73" t="str">
        <f>'عدد اللاعبين'!F167</f>
        <v>مكة المكرمة، الجموم</v>
      </c>
      <c r="G178" s="74">
        <f>'عدد اللاعبين'!G167</f>
        <v>27</v>
      </c>
      <c r="H178" s="72" t="str">
        <f>IFERROR(INDEX(المدخلات!$AE$6:$AE$12,MATCH($C178,المدخلات!$AC$6:$AC$12,0)),"")</f>
        <v>5 ضد 5</v>
      </c>
      <c r="I178" s="74">
        <f t="shared" si="2"/>
        <v>13</v>
      </c>
      <c r="J178" s="74">
        <f>ROUNDUP($I178/IFERROR(INDEX(المدخلات!$AJ$6:$AJ$12,MATCH($C178,المدخلات!$AC$6:$AC$12,0)),1),0)</f>
        <v>5</v>
      </c>
      <c r="K178" s="74">
        <f>IF($G178&lt;الحد_الأدنى,0,IFERROR(SUMIFS(Sheet1!$D$3:$D$97,Sheet1!$B$3:$B$97,INDEX(Sheet1!$G$3:$G$9,MATCH($C178,Sheet1!$F$3:$F$9,0)),Sheet1!$C$3:$C$97,$G178),0))</f>
        <v>0</v>
      </c>
    </row>
    <row r="179" spans="2:11">
      <c r="B179" s="77" t="str">
        <f>'عدد اللاعبين'!B168</f>
        <v>المدينة المنورة</v>
      </c>
      <c r="C179" s="72" t="str">
        <f>'عدد اللاعبين'!C168</f>
        <v>تحت 11</v>
      </c>
      <c r="D179" s="72" t="str">
        <f>IFERROR(INDEX(المدخلات!$AD$6:$AD$12,MATCH($C179,المدخلات!$AC$6:$AC$12,0)),"")</f>
        <v>الأحد</v>
      </c>
      <c r="E179" s="72" t="str">
        <f>'عدد اللاعبين'!D168</f>
        <v>مجموعة المدينة المنورة</v>
      </c>
      <c r="F179" s="73" t="str">
        <f>'عدد اللاعبين'!F168</f>
        <v>الأحساء</v>
      </c>
      <c r="G179" s="74">
        <f>'عدد اللاعبين'!G168</f>
        <v>28</v>
      </c>
      <c r="H179" s="72" t="str">
        <f>IFERROR(INDEX(المدخلات!$AE$6:$AE$12,MATCH($C179,المدخلات!$AC$6:$AC$12,0)),"")</f>
        <v>7 ضد 7</v>
      </c>
      <c r="I179" s="74">
        <f t="shared" si="2"/>
        <v>14</v>
      </c>
      <c r="J179" s="74">
        <f>ROUNDUP($I179/IFERROR(INDEX(المدخلات!$AJ$6:$AJ$12,MATCH($C179,المدخلات!$AC$6:$AC$12,0)),1),0)</f>
        <v>4</v>
      </c>
      <c r="K179" s="74">
        <f>IF($G179&lt;الحد_الأدنى,0,IFERROR(SUMIFS(Sheet1!$D$3:$D$97,Sheet1!$B$3:$B$97,INDEX(Sheet1!$G$3:$G$9,MATCH($C179,Sheet1!$F$3:$F$9,0)),Sheet1!$C$3:$C$97,$G179),0))</f>
        <v>0</v>
      </c>
    </row>
    <row r="180" spans="2:11">
      <c r="B180" s="77" t="str">
        <f>'عدد اللاعبين'!B169</f>
        <v>مكة المكرمة</v>
      </c>
      <c r="C180" s="72" t="str">
        <f>'عدد اللاعبين'!C169</f>
        <v>تحت 13</v>
      </c>
      <c r="D180" s="72" t="str">
        <f>IFERROR(INDEX(المدخلات!$AD$6:$AD$12,MATCH($C180,المدخلات!$AC$6:$AC$12,0)),"")</f>
        <v>الخميس</v>
      </c>
      <c r="E180" s="72" t="str">
        <f>'عدد اللاعبين'!D169</f>
        <v>مجموعة مكة المكرمة</v>
      </c>
      <c r="F180" s="73" t="str">
        <f>'عدد اللاعبين'!F169</f>
        <v>الأحساء</v>
      </c>
      <c r="G180" s="74">
        <f>'عدد اللاعبين'!G169</f>
        <v>28</v>
      </c>
      <c r="H180" s="72" t="str">
        <f>IFERROR(INDEX(المدخلات!$AE$6:$AE$12,MATCH($C180,المدخلات!$AC$6:$AC$12,0)),"")</f>
        <v>قانوني</v>
      </c>
      <c r="I180" s="74">
        <f t="shared" si="2"/>
        <v>14</v>
      </c>
      <c r="J180" s="74">
        <f>ROUNDUP($I180/IFERROR(INDEX(المدخلات!$AJ$6:$AJ$12,MATCH($C180,المدخلات!$AC$6:$AC$12,0)),1),0)</f>
        <v>5</v>
      </c>
      <c r="K180" s="74">
        <f>IF($G180&lt;الحد_الأدنى,0,IFERROR(SUMIFS(Sheet1!$D$3:$D$97,Sheet1!$B$3:$B$97,INDEX(Sheet1!$G$3:$G$9,MATCH($C180,Sheet1!$F$3:$F$9,0)),Sheet1!$C$3:$C$97,$G180),0))</f>
        <v>0</v>
      </c>
    </row>
    <row r="181" spans="2:11">
      <c r="B181" s="77" t="str">
        <f>'عدد اللاعبين'!B170</f>
        <v>المدينة المنورة</v>
      </c>
      <c r="C181" s="72" t="str">
        <f>'عدد اللاعبين'!C170</f>
        <v>تحت 12</v>
      </c>
      <c r="D181" s="72" t="str">
        <f>IFERROR(INDEX(المدخلات!$AD$6:$AD$12,MATCH($C181,المدخلات!$AC$6:$AC$12,0)),"")</f>
        <v>الاثنين</v>
      </c>
      <c r="E181" s="72" t="str">
        <f>'عدد اللاعبين'!D170</f>
        <v>مجموعة المدينة المنورة</v>
      </c>
      <c r="F181" s="73" t="str">
        <f>'عدد اللاعبين'!F170</f>
        <v>الأحساء</v>
      </c>
      <c r="G181" s="74">
        <f>'عدد اللاعبين'!G170</f>
        <v>29</v>
      </c>
      <c r="H181" s="72" t="str">
        <f>IFERROR(INDEX(المدخلات!$AE$6:$AE$12,MATCH($C181,المدخلات!$AC$6:$AC$12,0)),"")</f>
        <v>7 ضد 7</v>
      </c>
      <c r="I181" s="74">
        <f t="shared" si="2"/>
        <v>14</v>
      </c>
      <c r="J181" s="74">
        <f>ROUNDUP($I181/IFERROR(INDEX(المدخلات!$AJ$6:$AJ$12,MATCH($C181,المدخلات!$AC$6:$AC$12,0)),1),0)</f>
        <v>4</v>
      </c>
      <c r="K181" s="74">
        <f>IF($G181&lt;الحد_الأدنى,0,IFERROR(SUMIFS(Sheet1!$D$3:$D$97,Sheet1!$B$3:$B$97,INDEX(Sheet1!$G$3:$G$9,MATCH($C181,Sheet1!$F$3:$F$9,0)),Sheet1!$C$3:$C$97,$G181),0))</f>
        <v>3</v>
      </c>
    </row>
    <row r="182" spans="2:11">
      <c r="B182" s="77" t="str">
        <f>'عدد اللاعبين'!B171</f>
        <v>المدينة المنورة</v>
      </c>
      <c r="C182" s="72" t="str">
        <f>'عدد اللاعبين'!C171</f>
        <v>تحت 9</v>
      </c>
      <c r="D182" s="72" t="str">
        <f>IFERROR(INDEX(المدخلات!$AD$6:$AD$12,MATCH($C182,المدخلات!$AC$6:$AC$12,0)),"")</f>
        <v>السبت</v>
      </c>
      <c r="E182" s="72" t="str">
        <f>'عدد اللاعبين'!D171</f>
        <v>مجموعة المدينة المنورة</v>
      </c>
      <c r="F182" s="73" t="str">
        <f>'عدد اللاعبين'!F171</f>
        <v>الرياض</v>
      </c>
      <c r="G182" s="74">
        <f>'عدد اللاعبين'!G171</f>
        <v>29</v>
      </c>
      <c r="H182" s="72" t="str">
        <f>IFERROR(INDEX(المدخلات!$AE$6:$AE$12,MATCH($C182,المدخلات!$AC$6:$AC$12,0)),"")</f>
        <v>7 ضد 7</v>
      </c>
      <c r="I182" s="74">
        <f t="shared" si="2"/>
        <v>14</v>
      </c>
      <c r="J182" s="74">
        <f>ROUNDUP($I182/IFERROR(INDEX(المدخلات!$AJ$6:$AJ$12,MATCH($C182,المدخلات!$AC$6:$AC$12,0)),1),0)</f>
        <v>5</v>
      </c>
      <c r="K182" s="74">
        <f>IF($G182&lt;الحد_الأدنى,0,IFERROR(SUMIFS(Sheet1!$D$3:$D$97,Sheet1!$B$3:$B$97,INDEX(Sheet1!$G$3:$G$9,MATCH($C182,Sheet1!$F$3:$F$9,0)),Sheet1!$C$3:$C$97,$G182),0))</f>
        <v>0</v>
      </c>
    </row>
    <row r="183" spans="2:11">
      <c r="B183" s="77" t="str">
        <f>'عدد اللاعبين'!B172</f>
        <v>مكة المكرمة</v>
      </c>
      <c r="C183" s="72" t="str">
        <f>'عدد اللاعبين'!C172</f>
        <v>تحت 14</v>
      </c>
      <c r="D183" s="72" t="str">
        <f>IFERROR(INDEX(المدخلات!$AD$6:$AD$12,MATCH($C183,المدخلات!$AC$6:$AC$12,0)),"")</f>
        <v>الأربعاء</v>
      </c>
      <c r="E183" s="72" t="str">
        <f>'عدد اللاعبين'!D172</f>
        <v>مجموعة مكة المكرمة</v>
      </c>
      <c r="F183" s="73" t="str">
        <f>'عدد اللاعبين'!F172</f>
        <v>مكة المكرمة، الجموم</v>
      </c>
      <c r="G183" s="74">
        <f>'عدد اللاعبين'!G172</f>
        <v>29</v>
      </c>
      <c r="H183" s="72" t="str">
        <f>IFERROR(INDEX(المدخلات!$AE$6:$AE$12,MATCH($C183,المدخلات!$AC$6:$AC$12,0)),"")</f>
        <v>قانوني</v>
      </c>
      <c r="I183" s="74">
        <f t="shared" si="2"/>
        <v>14</v>
      </c>
      <c r="J183" s="74">
        <f>ROUNDUP($I183/IFERROR(INDEX(المدخلات!$AJ$6:$AJ$12,MATCH($C183,المدخلات!$AC$6:$AC$12,0)),1),0)</f>
        <v>5</v>
      </c>
      <c r="K183" s="74">
        <f>IF($G183&lt;الحد_الأدنى,0,IFERROR(SUMIFS(Sheet1!$D$3:$D$97,Sheet1!$B$3:$B$97,INDEX(Sheet1!$G$3:$G$9,MATCH($C183,Sheet1!$F$3:$F$9,0)),Sheet1!$C$3:$C$97,$G183),0))</f>
        <v>0</v>
      </c>
    </row>
    <row r="184" spans="2:11">
      <c r="B184" s="77" t="str">
        <f>'عدد اللاعبين'!B173</f>
        <v>مكة المكرمة</v>
      </c>
      <c r="C184" s="72" t="str">
        <f>'عدد اللاعبين'!C173</f>
        <v>تحت 11</v>
      </c>
      <c r="D184" s="72" t="str">
        <f>IFERROR(INDEX(المدخلات!$AD$6:$AD$12,MATCH($C184,المدخلات!$AC$6:$AC$12,0)),"")</f>
        <v>الأحد</v>
      </c>
      <c r="E184" s="72" t="str">
        <f>'عدد اللاعبين'!D173</f>
        <v>مجموعة مكة المكرمة</v>
      </c>
      <c r="F184" s="73" t="str">
        <f>'عدد اللاعبين'!F173</f>
        <v>الرياض</v>
      </c>
      <c r="G184" s="74">
        <f>'عدد اللاعبين'!G173</f>
        <v>30</v>
      </c>
      <c r="H184" s="72" t="str">
        <f>IFERROR(INDEX(المدخلات!$AE$6:$AE$12,MATCH($C184,المدخلات!$AC$6:$AC$12,0)),"")</f>
        <v>7 ضد 7</v>
      </c>
      <c r="I184" s="74">
        <f t="shared" si="2"/>
        <v>15</v>
      </c>
      <c r="J184" s="74">
        <f>ROUNDUP($I184/IFERROR(INDEX(المدخلات!$AJ$6:$AJ$12,MATCH($C184,المدخلات!$AC$6:$AC$12,0)),1),0)</f>
        <v>4</v>
      </c>
      <c r="K184" s="74">
        <f>IF($G184&lt;الحد_الأدنى,0,IFERROR(SUMIFS(Sheet1!$D$3:$D$97,Sheet1!$B$3:$B$97,INDEX(Sheet1!$G$3:$G$9,MATCH($C184,Sheet1!$F$3:$F$9,0)),Sheet1!$C$3:$C$97,$G184),0))</f>
        <v>0</v>
      </c>
    </row>
    <row r="185" spans="2:11">
      <c r="B185" s="77" t="str">
        <f>'عدد اللاعبين'!B174</f>
        <v>مكة المكرمة</v>
      </c>
      <c r="C185" s="72" t="str">
        <f>'عدد اللاعبين'!C174</f>
        <v>تحت 12</v>
      </c>
      <c r="D185" s="72" t="str">
        <f>IFERROR(INDEX(المدخلات!$AD$6:$AD$12,MATCH($C185,المدخلات!$AC$6:$AC$12,0)),"")</f>
        <v>الاثنين</v>
      </c>
      <c r="E185" s="72" t="str">
        <f>'عدد اللاعبين'!D174</f>
        <v>مجموعة مكة المكرمة</v>
      </c>
      <c r="F185" s="73" t="str">
        <f>'عدد اللاعبين'!F174</f>
        <v>جدة</v>
      </c>
      <c r="G185" s="74">
        <f>'عدد اللاعبين'!G174</f>
        <v>31</v>
      </c>
      <c r="H185" s="72" t="str">
        <f>IFERROR(INDEX(المدخلات!$AE$6:$AE$12,MATCH($C185,المدخلات!$AC$6:$AC$12,0)),"")</f>
        <v>7 ضد 7</v>
      </c>
      <c r="I185" s="74">
        <f t="shared" si="2"/>
        <v>15</v>
      </c>
      <c r="J185" s="74">
        <f>ROUNDUP($I185/IFERROR(INDEX(المدخلات!$AJ$6:$AJ$12,MATCH($C185,المدخلات!$AC$6:$AC$12,0)),1),0)</f>
        <v>4</v>
      </c>
      <c r="K185" s="74">
        <f>IF($G185&lt;الحد_الأدنى,0,IFERROR(SUMIFS(Sheet1!$D$3:$D$97,Sheet1!$B$3:$B$97,INDEX(Sheet1!$G$3:$G$9,MATCH($C185,Sheet1!$F$3:$F$9,0)),Sheet1!$C$3:$C$97,$G185),0))</f>
        <v>0</v>
      </c>
    </row>
    <row r="186" spans="2:11">
      <c r="B186" s="77" t="str">
        <f>'عدد اللاعبين'!B175</f>
        <v>الشرقية</v>
      </c>
      <c r="C186" s="72" t="str">
        <f>'عدد اللاعبين'!C175</f>
        <v>تحت 14</v>
      </c>
      <c r="D186" s="72" t="str">
        <f>IFERROR(INDEX(المدخلات!$AD$6:$AD$12,MATCH($C186,المدخلات!$AC$6:$AC$12,0)),"")</f>
        <v>الأربعاء</v>
      </c>
      <c r="E186" s="72" t="str">
        <f>'عدد اللاعبين'!D175</f>
        <v>مجموعة الأحساء</v>
      </c>
      <c r="F186" s="73" t="str">
        <f>'عدد اللاعبين'!F175</f>
        <v>الظهران، الخبر، الدمام، سيهات</v>
      </c>
      <c r="G186" s="74">
        <f>'عدد اللاعبين'!G175</f>
        <v>31</v>
      </c>
      <c r="H186" s="72" t="str">
        <f>IFERROR(INDEX(المدخلات!$AE$6:$AE$12,MATCH($C186,المدخلات!$AC$6:$AC$12,0)),"")</f>
        <v>قانوني</v>
      </c>
      <c r="I186" s="74">
        <f t="shared" si="2"/>
        <v>15</v>
      </c>
      <c r="J186" s="74">
        <f>ROUNDUP($I186/IFERROR(INDEX(المدخلات!$AJ$6:$AJ$12,MATCH($C186,المدخلات!$AC$6:$AC$12,0)),1),0)</f>
        <v>5</v>
      </c>
      <c r="K186" s="74">
        <f>IF($G186&lt;الحد_الأدنى,0,IFERROR(SUMIFS(Sheet1!$D$3:$D$97,Sheet1!$B$3:$B$97,INDEX(Sheet1!$G$3:$G$9,MATCH($C186,Sheet1!$F$3:$F$9,0)),Sheet1!$C$3:$C$97,$G186),0))</f>
        <v>5</v>
      </c>
    </row>
    <row r="187" spans="2:11">
      <c r="B187" s="77" t="str">
        <f>'عدد اللاعبين'!B176</f>
        <v>الشرقية</v>
      </c>
      <c r="C187" s="72" t="str">
        <f>'عدد اللاعبين'!C176</f>
        <v>تحت 9</v>
      </c>
      <c r="D187" s="72" t="str">
        <f>IFERROR(INDEX(المدخلات!$AD$6:$AD$12,MATCH($C187,المدخلات!$AC$6:$AC$12,0)),"")</f>
        <v>السبت</v>
      </c>
      <c r="E187" s="72" t="str">
        <f>'عدد اللاعبين'!D176</f>
        <v>مجموعة الأحساء</v>
      </c>
      <c r="F187" s="73" t="str">
        <f>'عدد اللاعبين'!F176</f>
        <v>جدة</v>
      </c>
      <c r="G187" s="74">
        <f>'عدد اللاعبين'!G176</f>
        <v>34</v>
      </c>
      <c r="H187" s="72" t="str">
        <f>IFERROR(INDEX(المدخلات!$AE$6:$AE$12,MATCH($C187,المدخلات!$AC$6:$AC$12,0)),"")</f>
        <v>7 ضد 7</v>
      </c>
      <c r="I187" s="74">
        <f t="shared" si="2"/>
        <v>17</v>
      </c>
      <c r="J187" s="74">
        <f>ROUNDUP($I187/IFERROR(INDEX(المدخلات!$AJ$6:$AJ$12,MATCH($C187,المدخلات!$AC$6:$AC$12,0)),1),0)</f>
        <v>6</v>
      </c>
      <c r="K187" s="74">
        <f>IF($G187&lt;الحد_الأدنى,0,IFERROR(SUMIFS(Sheet1!$D$3:$D$97,Sheet1!$B$3:$B$97,INDEX(Sheet1!$G$3:$G$9,MATCH($C187,Sheet1!$F$3:$F$9,0)),Sheet1!$C$3:$C$97,$G187),0))</f>
        <v>2</v>
      </c>
    </row>
    <row r="188" spans="2:11">
      <c r="B188" s="77" t="str">
        <f>'عدد اللاعبين'!B177</f>
        <v>الشرقية</v>
      </c>
      <c r="C188" s="72" t="str">
        <f>'عدد اللاعبين'!C177</f>
        <v>تحت 12</v>
      </c>
      <c r="D188" s="72" t="str">
        <f>IFERROR(INDEX(المدخلات!$AD$6:$AD$12,MATCH($C188,المدخلات!$AC$6:$AC$12,0)),"")</f>
        <v>الاثنين</v>
      </c>
      <c r="E188" s="72" t="str">
        <f>'عدد اللاعبين'!D177</f>
        <v>مجموعة الأحساء</v>
      </c>
      <c r="F188" s="73" t="str">
        <f>'عدد اللاعبين'!F177</f>
        <v>الأحساء</v>
      </c>
      <c r="G188" s="74">
        <f>'عدد اللاعبين'!G177</f>
        <v>34</v>
      </c>
      <c r="H188" s="72" t="str">
        <f>IFERROR(INDEX(المدخلات!$AE$6:$AE$12,MATCH($C188,المدخلات!$AC$6:$AC$12,0)),"")</f>
        <v>7 ضد 7</v>
      </c>
      <c r="I188" s="74">
        <f t="shared" si="2"/>
        <v>17</v>
      </c>
      <c r="J188" s="74">
        <f>ROUNDUP($I188/IFERROR(INDEX(المدخلات!$AJ$6:$AJ$12,MATCH($C188,المدخلات!$AC$6:$AC$12,0)),1),0)</f>
        <v>5</v>
      </c>
      <c r="K188" s="74">
        <f>IF($G188&lt;الحد_الأدنى,0,IFERROR(SUMIFS(Sheet1!$D$3:$D$97,Sheet1!$B$3:$B$97,INDEX(Sheet1!$G$3:$G$9,MATCH($C188,Sheet1!$F$3:$F$9,0)),Sheet1!$C$3:$C$97,$G188),0))</f>
        <v>0</v>
      </c>
    </row>
    <row r="189" spans="2:11">
      <c r="B189" s="77" t="str">
        <f>'عدد اللاعبين'!B178</f>
        <v>الرياض</v>
      </c>
      <c r="C189" s="72" t="str">
        <f>'عدد اللاعبين'!C178</f>
        <v>تحت 13</v>
      </c>
      <c r="D189" s="72" t="str">
        <f>IFERROR(INDEX(المدخلات!$AD$6:$AD$12,MATCH($C189,المدخلات!$AC$6:$AC$12,0)),"")</f>
        <v>الخميس</v>
      </c>
      <c r="E189" s="72" t="str">
        <f>'عدد اللاعبين'!D178</f>
        <v>مجموعة الرياض</v>
      </c>
      <c r="F189" s="73" t="str">
        <f>'عدد اللاعبين'!F178</f>
        <v>الأحساء</v>
      </c>
      <c r="G189" s="74">
        <f>'عدد اللاعبين'!G178</f>
        <v>35</v>
      </c>
      <c r="H189" s="72" t="str">
        <f>IFERROR(INDEX(المدخلات!$AE$6:$AE$12,MATCH($C189,المدخلات!$AC$6:$AC$12,0)),"")</f>
        <v>قانوني</v>
      </c>
      <c r="I189" s="74">
        <f t="shared" si="2"/>
        <v>17</v>
      </c>
      <c r="J189" s="74">
        <f>ROUNDUP($I189/IFERROR(INDEX(المدخلات!$AJ$6:$AJ$12,MATCH($C189,المدخلات!$AC$6:$AC$12,0)),1),0)</f>
        <v>6</v>
      </c>
      <c r="K189" s="74">
        <f>IF($G189&lt;الحد_الأدنى,0,IFERROR(SUMIFS(Sheet1!$D$3:$D$97,Sheet1!$B$3:$B$97,INDEX(Sheet1!$G$3:$G$9,MATCH($C189,Sheet1!$F$3:$F$9,0)),Sheet1!$C$3:$C$97,$G189),0))</f>
        <v>0</v>
      </c>
    </row>
    <row r="190" spans="2:11">
      <c r="B190" s="77" t="str">
        <f>'عدد اللاعبين'!B179</f>
        <v>مكة المكرمة</v>
      </c>
      <c r="C190" s="72" t="str">
        <f>'عدد اللاعبين'!C179</f>
        <v>تحت 9</v>
      </c>
      <c r="D190" s="72" t="str">
        <f>IFERROR(INDEX(المدخلات!$AD$6:$AD$12,MATCH($C190,المدخلات!$AC$6:$AC$12,0)),"")</f>
        <v>السبت</v>
      </c>
      <c r="E190" s="72" t="str">
        <f>'عدد اللاعبين'!D179</f>
        <v>مجموعة مكة المكرمة</v>
      </c>
      <c r="F190" s="73" t="str">
        <f>'عدد اللاعبين'!F179</f>
        <v>الرياض</v>
      </c>
      <c r="G190" s="74">
        <f>'عدد اللاعبين'!G179</f>
        <v>38</v>
      </c>
      <c r="H190" s="72" t="str">
        <f>IFERROR(INDEX(المدخلات!$AE$6:$AE$12,MATCH($C190,المدخلات!$AC$6:$AC$12,0)),"")</f>
        <v>7 ضد 7</v>
      </c>
      <c r="I190" s="74">
        <f t="shared" si="2"/>
        <v>19</v>
      </c>
      <c r="J190" s="74">
        <f>ROUNDUP($I190/IFERROR(INDEX(المدخلات!$AJ$6:$AJ$12,MATCH($C190,المدخلات!$AC$6:$AC$12,0)),1),0)</f>
        <v>7</v>
      </c>
      <c r="K190" s="74">
        <f>IF($G190&lt;الحد_الأدنى,0,IFERROR(SUMIFS(Sheet1!$D$3:$D$97,Sheet1!$B$3:$B$97,INDEX(Sheet1!$G$3:$G$9,MATCH($C190,Sheet1!$F$3:$F$9,0)),Sheet1!$C$3:$C$97,$G190),0))</f>
        <v>0</v>
      </c>
    </row>
    <row r="191" spans="2:11">
      <c r="B191" s="77" t="str">
        <f>'عدد اللاعبين'!B180</f>
        <v>الرياض</v>
      </c>
      <c r="C191" s="72" t="str">
        <f>'عدد اللاعبين'!C180</f>
        <v>تحت 7</v>
      </c>
      <c r="D191" s="72" t="str">
        <f>IFERROR(INDEX(المدخلات!$AD$6:$AD$12,MATCH($C191,المدخلات!$AC$6:$AC$12,0)),"")</f>
        <v>السبت</v>
      </c>
      <c r="E191" s="72" t="str">
        <f>'عدد اللاعبين'!D180</f>
        <v>مجموعة الرياض</v>
      </c>
      <c r="F191" s="73" t="str">
        <f>'عدد اللاعبين'!F180</f>
        <v>جدة</v>
      </c>
      <c r="G191" s="74">
        <f>'عدد اللاعبين'!G180</f>
        <v>39</v>
      </c>
      <c r="H191" s="72" t="str">
        <f>IFERROR(INDEX(المدخلات!$AE$6:$AE$12,MATCH($C191,المدخلات!$AC$6:$AC$12,0)),"")</f>
        <v>7 ضد 7</v>
      </c>
      <c r="I191" s="74">
        <f t="shared" si="2"/>
        <v>19</v>
      </c>
      <c r="J191" s="74">
        <f>ROUNDUP($I191/IFERROR(INDEX(المدخلات!$AJ$6:$AJ$12,MATCH($C191,المدخلات!$AC$6:$AC$12,0)),1),0)</f>
        <v>7</v>
      </c>
      <c r="K191" s="74">
        <f>IF($G191&lt;الحد_الأدنى,0,IFERROR(SUMIFS(Sheet1!$D$3:$D$97,Sheet1!$B$3:$B$97,INDEX(Sheet1!$G$3:$G$9,MATCH($C191,Sheet1!$F$3:$F$9,0)),Sheet1!$C$3:$C$97,$G191),0))</f>
        <v>0</v>
      </c>
    </row>
    <row r="192" spans="2:11">
      <c r="B192" s="77" t="str">
        <f>'عدد اللاعبين'!B181</f>
        <v>مكة المكرمة</v>
      </c>
      <c r="C192" s="72" t="str">
        <f>'عدد اللاعبين'!C181</f>
        <v>تحت 7</v>
      </c>
      <c r="D192" s="72" t="str">
        <f>IFERROR(INDEX(المدخلات!$AD$6:$AD$12,MATCH($C192,المدخلات!$AC$6:$AC$12,0)),"")</f>
        <v>السبت</v>
      </c>
      <c r="E192" s="72" t="str">
        <f>'عدد اللاعبين'!D181</f>
        <v>مجموعة جدة</v>
      </c>
      <c r="F192" s="73" t="str">
        <f>'عدد اللاعبين'!F181</f>
        <v>الرياض</v>
      </c>
      <c r="G192" s="74">
        <f>'عدد اللاعبين'!G181</f>
        <v>40</v>
      </c>
      <c r="H192" s="72" t="str">
        <f>IFERROR(INDEX(المدخلات!$AE$6:$AE$12,MATCH($C192,المدخلات!$AC$6:$AC$12,0)),"")</f>
        <v>7 ضد 7</v>
      </c>
      <c r="I192" s="74">
        <f t="shared" si="2"/>
        <v>20</v>
      </c>
      <c r="J192" s="74">
        <f>ROUNDUP($I192/IFERROR(INDEX(المدخلات!$AJ$6:$AJ$12,MATCH($C192,المدخلات!$AC$6:$AC$12,0)),1),0)</f>
        <v>7</v>
      </c>
      <c r="K192" s="74">
        <f>IF($G192&lt;الحد_الأدنى,0,IFERROR(SUMIFS(Sheet1!$D$3:$D$97,Sheet1!$B$3:$B$97,INDEX(Sheet1!$G$3:$G$9,MATCH($C192,Sheet1!$F$3:$F$9,0)),Sheet1!$C$3:$C$97,$G192),0))</f>
        <v>0</v>
      </c>
    </row>
    <row r="193" spans="2:11">
      <c r="B193" s="77" t="str">
        <f>'عدد اللاعبين'!B182</f>
        <v>الشرقية</v>
      </c>
      <c r="C193" s="72" t="str">
        <f>'عدد اللاعبين'!C182</f>
        <v>تحت 9</v>
      </c>
      <c r="D193" s="72" t="str">
        <f>IFERROR(INDEX(المدخلات!$AD$6:$AD$12,MATCH($C193,المدخلات!$AC$6:$AC$12,0)),"")</f>
        <v>السبت</v>
      </c>
      <c r="E193" s="72" t="str">
        <f>'عدد اللاعبين'!D182</f>
        <v>مجموعة الدمام</v>
      </c>
      <c r="F193" s="73" t="str">
        <f>'عدد اللاعبين'!F182</f>
        <v>الرياض</v>
      </c>
      <c r="G193" s="74">
        <f>'عدد اللاعبين'!G182</f>
        <v>48</v>
      </c>
      <c r="H193" s="72" t="str">
        <f>IFERROR(INDEX(المدخلات!$AE$6:$AE$12,MATCH($C193,المدخلات!$AC$6:$AC$12,0)),"")</f>
        <v>7 ضد 7</v>
      </c>
      <c r="I193" s="74">
        <f t="shared" si="2"/>
        <v>24</v>
      </c>
      <c r="J193" s="74">
        <f>ROUNDUP($I193/IFERROR(INDEX(المدخلات!$AJ$6:$AJ$12,MATCH($C193,المدخلات!$AC$6:$AC$12,0)),1),0)</f>
        <v>8</v>
      </c>
      <c r="K193" s="74">
        <f>IF($G193&lt;الحد_الأدنى,0,IFERROR(SUMIFS(Sheet1!$D$3:$D$97,Sheet1!$B$3:$B$97,INDEX(Sheet1!$G$3:$G$9,MATCH($C193,Sheet1!$F$3:$F$9,0)),Sheet1!$C$3:$C$97,$G193),0))</f>
        <v>3</v>
      </c>
    </row>
    <row r="194" spans="2:11">
      <c r="B194" s="77" t="str">
        <f>'عدد اللاعبين'!B183</f>
        <v>مكة المكرمة</v>
      </c>
      <c r="C194" s="72" t="str">
        <f>'عدد اللاعبين'!C183</f>
        <v>تحت 13</v>
      </c>
      <c r="D194" s="72" t="str">
        <f>IFERROR(INDEX(المدخلات!$AD$6:$AD$12,MATCH($C194,المدخلات!$AC$6:$AC$12,0)),"")</f>
        <v>الخميس</v>
      </c>
      <c r="E194" s="72" t="str">
        <f>'عدد اللاعبين'!D183</f>
        <v>مجموعة جدة</v>
      </c>
      <c r="F194" s="73" t="str">
        <f>'عدد اللاعبين'!F183</f>
        <v>الرياض</v>
      </c>
      <c r="G194" s="74">
        <f>'عدد اللاعبين'!G183</f>
        <v>49</v>
      </c>
      <c r="H194" s="72" t="str">
        <f>IFERROR(INDEX(المدخلات!$AE$6:$AE$12,MATCH($C194,المدخلات!$AC$6:$AC$12,0)),"")</f>
        <v>قانوني</v>
      </c>
      <c r="I194" s="74">
        <f t="shared" si="2"/>
        <v>24</v>
      </c>
      <c r="J194" s="74">
        <f>ROUNDUP($I194/IFERROR(INDEX(المدخلات!$AJ$6:$AJ$12,MATCH($C194,المدخلات!$AC$6:$AC$12,0)),1),0)</f>
        <v>8</v>
      </c>
      <c r="K194" s="74">
        <f>IF($G194&lt;الحد_الأدنى,0,IFERROR(SUMIFS(Sheet1!$D$3:$D$97,Sheet1!$B$3:$B$97,INDEX(Sheet1!$G$3:$G$9,MATCH($C194,Sheet1!$F$3:$F$9,0)),Sheet1!$C$3:$C$97,$G194),0))</f>
        <v>0</v>
      </c>
    </row>
    <row r="195" spans="2:11">
      <c r="B195" s="77" t="str">
        <f>'عدد اللاعبين'!B184</f>
        <v>الشرقية</v>
      </c>
      <c r="C195" s="72" t="str">
        <f>'عدد اللاعبين'!C184</f>
        <v>تحت 13</v>
      </c>
      <c r="D195" s="72" t="str">
        <f>IFERROR(INDEX(المدخلات!$AD$6:$AD$12,MATCH($C195,المدخلات!$AC$6:$AC$12,0)),"")</f>
        <v>الخميس</v>
      </c>
      <c r="E195" s="72" t="str">
        <f>'عدد اللاعبين'!D184</f>
        <v>مجموعة الأحساء</v>
      </c>
      <c r="F195" s="73" t="str">
        <f>'عدد اللاعبين'!F184</f>
        <v>جدة</v>
      </c>
      <c r="G195" s="74">
        <f>'عدد اللاعبين'!G184</f>
        <v>49</v>
      </c>
      <c r="H195" s="72" t="str">
        <f>IFERROR(INDEX(المدخلات!$AE$6:$AE$12,MATCH($C195,المدخلات!$AC$6:$AC$12,0)),"")</f>
        <v>قانوني</v>
      </c>
      <c r="I195" s="74">
        <f t="shared" si="2"/>
        <v>24</v>
      </c>
      <c r="J195" s="74">
        <f>ROUNDUP($I195/IFERROR(INDEX(المدخلات!$AJ$6:$AJ$12,MATCH($C195,المدخلات!$AC$6:$AC$12,0)),1),0)</f>
        <v>8</v>
      </c>
      <c r="K195" s="74">
        <f>IF($G195&lt;الحد_الأدنى,0,IFERROR(SUMIFS(Sheet1!$D$3:$D$97,Sheet1!$B$3:$B$97,INDEX(Sheet1!$G$3:$G$9,MATCH($C195,Sheet1!$F$3:$F$9,0)),Sheet1!$C$3:$C$97,$G195),0))</f>
        <v>0</v>
      </c>
    </row>
    <row r="196" spans="2:11">
      <c r="B196" s="77" t="str">
        <f>'عدد اللاعبين'!B185</f>
        <v>الشرقية</v>
      </c>
      <c r="C196" s="72" t="str">
        <f>'عدد اللاعبين'!C185</f>
        <v>تحت 11</v>
      </c>
      <c r="D196" s="72" t="str">
        <f>IFERROR(INDEX(المدخلات!$AD$6:$AD$12,MATCH($C196,المدخلات!$AC$6:$AC$12,0)),"")</f>
        <v>الأحد</v>
      </c>
      <c r="E196" s="72" t="str">
        <f>'عدد اللاعبين'!D185</f>
        <v>مجموعة الأحساء</v>
      </c>
      <c r="F196" s="73" t="str">
        <f>'عدد اللاعبين'!F185</f>
        <v>جدة</v>
      </c>
      <c r="G196" s="74">
        <f>'عدد اللاعبين'!G185</f>
        <v>52</v>
      </c>
      <c r="H196" s="72" t="str">
        <f>IFERROR(INDEX(المدخلات!$AE$6:$AE$12,MATCH($C196,المدخلات!$AC$6:$AC$12,0)),"")</f>
        <v>7 ضد 7</v>
      </c>
      <c r="I196" s="74">
        <f t="shared" si="2"/>
        <v>26</v>
      </c>
      <c r="J196" s="74">
        <f>ROUNDUP($I196/IFERROR(INDEX(المدخلات!$AJ$6:$AJ$12,MATCH($C196,المدخلات!$AC$6:$AC$12,0)),1),0)</f>
        <v>7</v>
      </c>
      <c r="K196" s="74">
        <f>IF($G196&lt;الحد_الأدنى,0,IFERROR(SUMIFS(Sheet1!$D$3:$D$97,Sheet1!$B$3:$B$97,INDEX(Sheet1!$G$3:$G$9,MATCH($C196,Sheet1!$F$3:$F$9,0)),Sheet1!$C$3:$C$97,$G196),0))</f>
        <v>0</v>
      </c>
    </row>
    <row r="197" spans="2:11">
      <c r="B197" s="77" t="str">
        <f>'عدد اللاعبين'!B186</f>
        <v>الرياض</v>
      </c>
      <c r="C197" s="72" t="str">
        <f>'عدد اللاعبين'!C186</f>
        <v>تحت 14</v>
      </c>
      <c r="D197" s="72" t="str">
        <f>IFERROR(INDEX(المدخلات!$AD$6:$AD$12,MATCH($C197,المدخلات!$AC$6:$AC$12,0)),"")</f>
        <v>الأربعاء</v>
      </c>
      <c r="E197" s="72" t="str">
        <f>'عدد اللاعبين'!D186</f>
        <v>مجموعة الرياض</v>
      </c>
      <c r="F197" s="73" t="str">
        <f>'عدد اللاعبين'!F186</f>
        <v>جدة</v>
      </c>
      <c r="G197" s="74">
        <f>'عدد اللاعبين'!G186</f>
        <v>56</v>
      </c>
      <c r="H197" s="72" t="str">
        <f>IFERROR(INDEX(المدخلات!$AE$6:$AE$12,MATCH($C197,المدخلات!$AC$6:$AC$12,0)),"")</f>
        <v>قانوني</v>
      </c>
      <c r="I197" s="74">
        <f t="shared" si="2"/>
        <v>28</v>
      </c>
      <c r="J197" s="74">
        <f>ROUNDUP($I197/IFERROR(INDEX(المدخلات!$AJ$6:$AJ$12,MATCH($C197,المدخلات!$AC$6:$AC$12,0)),1),0)</f>
        <v>10</v>
      </c>
      <c r="K197" s="74">
        <f>IF($G197&lt;الحد_الأدنى,0,IFERROR(SUMIFS(Sheet1!$D$3:$D$97,Sheet1!$B$3:$B$97,INDEX(Sheet1!$G$3:$G$9,MATCH($C197,Sheet1!$F$3:$F$9,0)),Sheet1!$C$3:$C$97,$G197),0))</f>
        <v>0</v>
      </c>
    </row>
    <row r="198" spans="2:11">
      <c r="B198" s="77" t="str">
        <f>'عدد اللاعبين'!B187</f>
        <v>مكة المكرمة</v>
      </c>
      <c r="C198" s="72" t="str">
        <f>'عدد اللاعبين'!C187</f>
        <v>تحت 14</v>
      </c>
      <c r="D198" s="72" t="str">
        <f>IFERROR(INDEX(المدخلات!$AD$6:$AD$12,MATCH($C198,المدخلات!$AC$6:$AC$12,0)),"")</f>
        <v>الأربعاء</v>
      </c>
      <c r="E198" s="72" t="str">
        <f>'عدد اللاعبين'!D187</f>
        <v>مجموعة جدة</v>
      </c>
      <c r="F198" s="73" t="e">
        <f>'عدد اللاعبين'!F187</f>
        <v>#VALUE!</v>
      </c>
      <c r="G198" s="74">
        <f>'عدد اللاعبين'!G187</f>
        <v>0</v>
      </c>
      <c r="H198" s="72" t="str">
        <f>IFERROR(INDEX(المدخلات!$AE$6:$AE$12,MATCH($C198,المدخلات!$AC$6:$AC$12,0)),"")</f>
        <v>قانوني</v>
      </c>
      <c r="I198" s="74">
        <f t="shared" si="2"/>
        <v>0</v>
      </c>
      <c r="J198" s="74">
        <f>ROUNDUP($I198/IFERROR(INDEX(المدخلات!$AJ$6:$AJ$12,MATCH($C198,المدخلات!$AC$6:$AC$12,0)),1),0)</f>
        <v>0</v>
      </c>
      <c r="K198" s="74">
        <f>IF($G198&lt;الحد_الأدنى,0,IFERROR(SUMIFS(Sheet1!$D$3:$D$97,Sheet1!$B$3:$B$97,INDEX(Sheet1!$G$3:$G$9,MATCH($C198,Sheet1!$F$3:$F$9,0)),Sheet1!$C$3:$C$97,$G198),0))</f>
        <v>0</v>
      </c>
    </row>
    <row r="199" spans="2:11">
      <c r="B199" s="77" t="str">
        <f>'عدد اللاعبين'!B188</f>
        <v>الرياض</v>
      </c>
      <c r="C199" s="72" t="str">
        <f>'عدد اللاعبين'!C188</f>
        <v>تحت 9</v>
      </c>
      <c r="D199" s="72" t="str">
        <f>IFERROR(INDEX(المدخلات!$AD$6:$AD$12,MATCH($C199,المدخلات!$AC$6:$AC$12,0)),"")</f>
        <v>السبت</v>
      </c>
      <c r="E199" s="72" t="str">
        <f>'عدد اللاعبين'!D188</f>
        <v>مجموعة الرياض</v>
      </c>
      <c r="F199" s="73" t="e">
        <f>'عدد اللاعبين'!F188</f>
        <v>#VALUE!</v>
      </c>
      <c r="G199" s="74">
        <f>'عدد اللاعبين'!G188</f>
        <v>0</v>
      </c>
      <c r="H199" s="72" t="str">
        <f>IFERROR(INDEX(المدخلات!$AE$6:$AE$12,MATCH($C199,المدخلات!$AC$6:$AC$12,0)),"")</f>
        <v>7 ضد 7</v>
      </c>
      <c r="I199" s="74">
        <f t="shared" si="2"/>
        <v>0</v>
      </c>
      <c r="J199" s="74">
        <f>ROUNDUP($I199/IFERROR(INDEX(المدخلات!$AJ$6:$AJ$12,MATCH($C199,المدخلات!$AC$6:$AC$12,0)),1),0)</f>
        <v>0</v>
      </c>
      <c r="K199" s="74">
        <f>IF($G199&lt;الحد_الأدنى,0,IFERROR(SUMIFS(Sheet1!$D$3:$D$97,Sheet1!$B$3:$B$97,INDEX(Sheet1!$G$3:$G$9,MATCH($C199,Sheet1!$F$3:$F$9,0)),Sheet1!$C$3:$C$97,$G199),0))</f>
        <v>0</v>
      </c>
    </row>
    <row r="200" spans="2:11">
      <c r="B200" s="77" t="str">
        <f>'عدد اللاعبين'!B189</f>
        <v>الرياض</v>
      </c>
      <c r="C200" s="72" t="str">
        <f>'عدد اللاعبين'!C189</f>
        <v>تحت 11</v>
      </c>
      <c r="D200" s="72" t="str">
        <f>IFERROR(INDEX(المدخلات!$AD$6:$AD$12,MATCH($C200,المدخلات!$AC$6:$AC$12,0)),"")</f>
        <v>الأحد</v>
      </c>
      <c r="E200" s="72" t="str">
        <f>'عدد اللاعبين'!D189</f>
        <v>مجموعة الرياض</v>
      </c>
      <c r="F200" s="73" t="e">
        <f>'عدد اللاعبين'!F189</f>
        <v>#VALUE!</v>
      </c>
      <c r="G200" s="74">
        <f>'عدد اللاعبين'!G189</f>
        <v>0</v>
      </c>
      <c r="H200" s="72" t="str">
        <f>IFERROR(INDEX(المدخلات!$AE$6:$AE$12,MATCH($C200,المدخلات!$AC$6:$AC$12,0)),"")</f>
        <v>7 ضد 7</v>
      </c>
      <c r="I200" s="74">
        <f t="shared" si="2"/>
        <v>0</v>
      </c>
      <c r="J200" s="74">
        <f>ROUNDUP($I200/IFERROR(INDEX(المدخلات!$AJ$6:$AJ$12,MATCH($C200,المدخلات!$AC$6:$AC$12,0)),1),0)</f>
        <v>0</v>
      </c>
      <c r="K200" s="74">
        <f>IF($G200&lt;الحد_الأدنى,0,IFERROR(SUMIFS(Sheet1!$D$3:$D$97,Sheet1!$B$3:$B$97,INDEX(Sheet1!$G$3:$G$9,MATCH($C200,Sheet1!$F$3:$F$9,0)),Sheet1!$C$3:$C$97,$G200),0))</f>
        <v>0</v>
      </c>
    </row>
    <row r="201" spans="2:11">
      <c r="B201" s="77" t="str">
        <f>'عدد اللاعبين'!B190</f>
        <v>الرياض</v>
      </c>
      <c r="C201" s="72" t="str">
        <f>'عدد اللاعبين'!C190</f>
        <v>تحت 12</v>
      </c>
      <c r="D201" s="72" t="str">
        <f>IFERROR(INDEX(المدخلات!$AD$6:$AD$12,MATCH($C201,المدخلات!$AC$6:$AC$12,0)),"")</f>
        <v>الاثنين</v>
      </c>
      <c r="E201" s="72" t="str">
        <f>'عدد اللاعبين'!D190</f>
        <v>مجموعة الرياض</v>
      </c>
      <c r="F201" s="73" t="e">
        <f>'عدد اللاعبين'!F190</f>
        <v>#VALUE!</v>
      </c>
      <c r="G201" s="74">
        <f>'عدد اللاعبين'!G190</f>
        <v>0</v>
      </c>
      <c r="H201" s="72" t="str">
        <f>IFERROR(INDEX(المدخلات!$AE$6:$AE$12,MATCH($C201,المدخلات!$AC$6:$AC$12,0)),"")</f>
        <v>7 ضد 7</v>
      </c>
      <c r="I201" s="74">
        <f t="shared" si="2"/>
        <v>0</v>
      </c>
      <c r="J201" s="74">
        <f>ROUNDUP($I201/IFERROR(INDEX(المدخلات!$AJ$6:$AJ$12,MATCH($C201,المدخلات!$AC$6:$AC$12,0)),1),0)</f>
        <v>0</v>
      </c>
      <c r="K201" s="74">
        <f>IF($G201&lt;الحد_الأدنى,0,IFERROR(SUMIFS(Sheet1!$D$3:$D$97,Sheet1!$B$3:$B$97,INDEX(Sheet1!$G$3:$G$9,MATCH($C201,Sheet1!$F$3:$F$9,0)),Sheet1!$C$3:$C$97,$G201),0))</f>
        <v>0</v>
      </c>
    </row>
    <row r="202" spans="2:11">
      <c r="B202" s="77" t="str">
        <f>'عدد اللاعبين'!B191</f>
        <v>مكة المكرمة</v>
      </c>
      <c r="C202" s="72" t="str">
        <f>'عدد اللاعبين'!C191</f>
        <v>تحت 9</v>
      </c>
      <c r="D202" s="72" t="str">
        <f>IFERROR(INDEX(المدخلات!$AD$6:$AD$12,MATCH($C202,المدخلات!$AC$6:$AC$12,0)),"")</f>
        <v>السبت</v>
      </c>
      <c r="E202" s="72" t="str">
        <f>'عدد اللاعبين'!D191</f>
        <v>مجموعة جدة</v>
      </c>
      <c r="F202" s="73" t="e">
        <f>'عدد اللاعبين'!F191</f>
        <v>#VALUE!</v>
      </c>
      <c r="G202" s="74">
        <f>'عدد اللاعبين'!G191</f>
        <v>0</v>
      </c>
      <c r="H202" s="72" t="str">
        <f>IFERROR(INDEX(المدخلات!$AE$6:$AE$12,MATCH($C202,المدخلات!$AC$6:$AC$12,0)),"")</f>
        <v>7 ضد 7</v>
      </c>
      <c r="I202" s="74">
        <f t="shared" si="2"/>
        <v>0</v>
      </c>
      <c r="J202" s="74">
        <f>ROUNDUP($I202/IFERROR(INDEX(المدخلات!$AJ$6:$AJ$12,MATCH($C202,المدخلات!$AC$6:$AC$12,0)),1),0)</f>
        <v>0</v>
      </c>
      <c r="K202" s="74">
        <f>IF($G202&lt;الحد_الأدنى,0,IFERROR(SUMIFS(Sheet1!$D$3:$D$97,Sheet1!$B$3:$B$97,INDEX(Sheet1!$G$3:$G$9,MATCH($C202,Sheet1!$F$3:$F$9,0)),Sheet1!$C$3:$C$97,$G202),0))</f>
        <v>0</v>
      </c>
    </row>
    <row r="203" spans="2:11">
      <c r="B203" s="77" t="str">
        <f>'عدد اللاعبين'!B192</f>
        <v>مكة المكرمة</v>
      </c>
      <c r="C203" s="72" t="str">
        <f>'عدد اللاعبين'!C192</f>
        <v>تحت 11</v>
      </c>
      <c r="D203" s="72" t="str">
        <f>IFERROR(INDEX(المدخلات!$AD$6:$AD$12,MATCH($C203,المدخلات!$AC$6:$AC$12,0)),"")</f>
        <v>الأحد</v>
      </c>
      <c r="E203" s="72" t="str">
        <f>'عدد اللاعبين'!D192</f>
        <v>مجموعة جدة</v>
      </c>
      <c r="F203" s="73" t="e">
        <f>'عدد اللاعبين'!F192</f>
        <v>#VALUE!</v>
      </c>
      <c r="G203" s="74">
        <f>'عدد اللاعبين'!G192</f>
        <v>0</v>
      </c>
      <c r="H203" s="72" t="str">
        <f>IFERROR(INDEX(المدخلات!$AE$6:$AE$12,MATCH($C203,المدخلات!$AC$6:$AC$12,0)),"")</f>
        <v>7 ضد 7</v>
      </c>
      <c r="I203" s="74">
        <f t="shared" si="2"/>
        <v>0</v>
      </c>
      <c r="J203" s="74">
        <f>ROUNDUP($I203/IFERROR(INDEX(المدخلات!$AJ$6:$AJ$12,MATCH($C203,المدخلات!$AC$6:$AC$12,0)),1),0)</f>
        <v>0</v>
      </c>
      <c r="K203" s="74">
        <f>IF($G203&lt;الحد_الأدنى,0,IFERROR(SUMIFS(Sheet1!$D$3:$D$97,Sheet1!$B$3:$B$97,INDEX(Sheet1!$G$3:$G$9,MATCH($C203,Sheet1!$F$3:$F$9,0)),Sheet1!$C$3:$C$97,$G203),0))</f>
        <v>0</v>
      </c>
    </row>
    <row r="204" spans="2:11">
      <c r="B204" s="77" t="str">
        <f>'عدد اللاعبين'!B193</f>
        <v>مكة المكرمة</v>
      </c>
      <c r="C204" s="72" t="str">
        <f>'عدد اللاعبين'!C193</f>
        <v>تحت 12</v>
      </c>
      <c r="D204" s="72" t="str">
        <f>IFERROR(INDEX(المدخلات!$AD$6:$AD$12,MATCH($C204,المدخلات!$AC$6:$AC$12,0)),"")</f>
        <v>الاثنين</v>
      </c>
      <c r="E204" s="72" t="str">
        <f>'عدد اللاعبين'!D193</f>
        <v>مجموعة جدة</v>
      </c>
      <c r="F204" s="73" t="e">
        <f>'عدد اللاعبين'!F193</f>
        <v>#VALUE!</v>
      </c>
      <c r="G204" s="74">
        <f>'عدد اللاعبين'!G193</f>
        <v>0</v>
      </c>
      <c r="H204" s="72" t="str">
        <f>IFERROR(INDEX(المدخلات!$AE$6:$AE$12,MATCH($C204,المدخلات!$AC$6:$AC$12,0)),"")</f>
        <v>7 ضد 7</v>
      </c>
      <c r="I204" s="74">
        <f t="shared" si="2"/>
        <v>0</v>
      </c>
      <c r="J204" s="74">
        <f>ROUNDUP($I204/IFERROR(INDEX(المدخلات!$AJ$6:$AJ$12,MATCH($C204,المدخلات!$AC$6:$AC$12,0)),1),0)</f>
        <v>0</v>
      </c>
      <c r="K204" s="74">
        <f>IF($G204&lt;الحد_الأدنى,0,IFERROR(SUMIFS(Sheet1!$D$3:$D$97,Sheet1!$B$3:$B$97,INDEX(Sheet1!$G$3:$G$9,MATCH($C204,Sheet1!$F$3:$F$9,0)),Sheet1!$C$3:$C$97,$G204),0))</f>
        <v>0</v>
      </c>
    </row>
    <row r="209" spans="2:12" ht="16">
      <c r="B209" s="55" t="s">
        <v>1514</v>
      </c>
      <c r="C209" s="56"/>
      <c r="D209" s="56"/>
      <c r="E209" s="56"/>
      <c r="F209" s="56"/>
      <c r="G209" s="56"/>
      <c r="H209" s="56"/>
      <c r="I209" s="56"/>
      <c r="J209" s="56"/>
      <c r="K209" s="47"/>
    </row>
    <row r="210" spans="2:12">
      <c r="B210" s="48" t="s">
        <v>129</v>
      </c>
      <c r="C210" s="49" t="s">
        <v>0</v>
      </c>
      <c r="D210" s="49" t="s">
        <v>6</v>
      </c>
      <c r="E210" s="49" t="s">
        <v>1518</v>
      </c>
      <c r="F210" s="49" t="str">
        <f>المدخلات!$AC$9</f>
        <v>تحت 11</v>
      </c>
      <c r="G210" s="49" t="str">
        <f>المدخلات!$AC$10</f>
        <v>تحت 12</v>
      </c>
      <c r="H210" s="49" t="str">
        <f>المدخلات!$AC$11</f>
        <v>تحت 13</v>
      </c>
      <c r="I210" s="49" t="str">
        <f>المدخلات!$AC$12</f>
        <v>تحت 14</v>
      </c>
      <c r="J210" s="49" t="s">
        <v>1516</v>
      </c>
      <c r="K210" s="50" t="s">
        <v>1517</v>
      </c>
      <c r="L210" s="61" t="s">
        <v>1573</v>
      </c>
    </row>
    <row r="211" spans="2:12">
      <c r="B211" s="48" t="s">
        <v>1515</v>
      </c>
      <c r="C211" s="49" t="s">
        <v>1515</v>
      </c>
      <c r="D211" s="49" t="s">
        <v>1515</v>
      </c>
      <c r="E211" s="49" t="str">
        <f>المدخلات!$AD$6</f>
        <v>السبت</v>
      </c>
      <c r="F211" s="49" t="str">
        <f>المدخلات!$AD$9</f>
        <v>الأحد</v>
      </c>
      <c r="G211" s="49" t="str">
        <f>المدخلات!$AD$10</f>
        <v>الاثنين</v>
      </c>
      <c r="H211" s="49" t="str">
        <f>المدخلات!$AD$11</f>
        <v>الخميس</v>
      </c>
      <c r="I211" s="49" t="str">
        <f>المدخلات!$AD$12</f>
        <v>الأربعاء</v>
      </c>
      <c r="J211" s="49" t="s">
        <v>1515</v>
      </c>
      <c r="K211" s="50" t="s">
        <v>1515</v>
      </c>
      <c r="L211" s="49" t="s">
        <v>1515</v>
      </c>
    </row>
    <row r="212" spans="2:12">
      <c r="B212" s="51" t="s">
        <v>74</v>
      </c>
      <c r="C212" s="52" t="s">
        <v>9</v>
      </c>
      <c r="D212" s="52" t="str">
        <f>IFERROR(INDEX('عدد اللاعبين'!$F$3:$F$193,MATCH($C212,'عدد اللاعبين'!$D$3:$D$193,0)),"")</f>
        <v>الباحة، بلقرن</v>
      </c>
      <c r="E212" s="53">
        <f>MAX(SUMIFS($K$14:$K$204,$E$14:$E$204,$C212,$C$14:$C$204,المدخلات!$AC$6),SUMIFS($K$14:$K$204,$E$14:$E$204,$C212,$C$14:$C$204,المدخلات!$AC$7),SUMIFS($K$14:$K$204,$E$14:$E$204,$C212,$C$14:$C$204,المدخلات!$AC$8))</f>
        <v>1</v>
      </c>
      <c r="F212" s="53">
        <f>SUMIFS($K$14:$K$204,$E$14:$E$204,$C212,$C$14:$C$204,المدخلات!$AC$9)</f>
        <v>0</v>
      </c>
      <c r="G212" s="53">
        <f>SUMIFS($K$14:$K$204,$E$14:$E$204,$C212,$C$14:$C$204,المدخلات!$AC$10)</f>
        <v>1</v>
      </c>
      <c r="H212" s="53">
        <f>SUMIFS($K$14:$K$204,$E$14:$E$204,$C212,$C$14:$C$204,المدخلات!$AC$11)</f>
        <v>1</v>
      </c>
      <c r="I212" s="53">
        <f>SUMIFS($K$14:$K$204,$E$14:$E$204,$C212,$C$14:$C$204,المدخلات!$AC$12)</f>
        <v>1</v>
      </c>
      <c r="J212" s="53">
        <f t="shared" ref="J212:J260" si="3">MAX($E212:$I212)</f>
        <v>1</v>
      </c>
      <c r="K212" s="54">
        <f t="shared" ref="K212:K243" si="4">SUMIFS($G$14:$G$204,$E$14:$E$204,$C212,$G$14:$G$204,"&gt;="&amp;الحد_الأدنى)</f>
        <v>33</v>
      </c>
      <c r="L212" s="53" t="str">
        <f t="shared" ref="L212:L260" si="5">IF($K212=0,"غير مكتملة","مكتملة")</f>
        <v>مكتملة</v>
      </c>
    </row>
    <row r="213" spans="2:12">
      <c r="B213" s="51" t="s">
        <v>75</v>
      </c>
      <c r="C213" s="52" t="s">
        <v>1490</v>
      </c>
      <c r="D213" s="52" t="str">
        <f>IFERROR(INDEX('عدد اللاعبين'!$F$3:$F$193,MATCH($C213,'عدد اللاعبين'!$D$3:$D$193,0)),"")</f>
        <v>الباحة</v>
      </c>
      <c r="E213" s="53">
        <f>MAX(SUMIFS($K$14:$K$204,$E$14:$E$204,$C213,$C$14:$C$204,المدخلات!$AC$6),SUMIFS($K$14:$K$204,$E$14:$E$204,$C213,$C$14:$C$204,المدخلات!$AC$7),SUMIFS($K$14:$K$204,$E$14:$E$204,$C213,$C$14:$C$204,المدخلات!$AC$8))</f>
        <v>1</v>
      </c>
      <c r="F213" s="53">
        <f>SUMIFS($K$14:$K$204,$E$14:$E$204,$C213,$C$14:$C$204,المدخلات!$AC$9)</f>
        <v>1</v>
      </c>
      <c r="G213" s="53">
        <f>SUMIFS($K$14:$K$204,$E$14:$E$204,$C213,$C$14:$C$204,المدخلات!$AC$10)</f>
        <v>1</v>
      </c>
      <c r="H213" s="53">
        <f>SUMIFS($K$14:$K$204,$E$14:$E$204,$C213,$C$14:$C$204,المدخلات!$AC$11)</f>
        <v>1</v>
      </c>
      <c r="I213" s="53">
        <f>SUMIFS($K$14:$K$204,$E$14:$E$204,$C213,$C$14:$C$204,المدخلات!$AC$12)</f>
        <v>1</v>
      </c>
      <c r="J213" s="53">
        <f t="shared" si="3"/>
        <v>1</v>
      </c>
      <c r="K213" s="54">
        <f t="shared" si="4"/>
        <v>46</v>
      </c>
      <c r="L213" s="53" t="str">
        <f t="shared" si="5"/>
        <v>مكتملة</v>
      </c>
    </row>
    <row r="214" spans="2:12">
      <c r="B214" s="51" t="s">
        <v>75</v>
      </c>
      <c r="C214" s="52" t="s">
        <v>1283</v>
      </c>
      <c r="D214" s="52" t="str">
        <f>IFERROR(INDEX('عدد اللاعبين'!$F$3:$F$193,MATCH($C214,'عدد اللاعبين'!$D$3:$D$193,0)),"")</f>
        <v>أحد المسارحة</v>
      </c>
      <c r="E214" s="53">
        <f>MAX(SUMIFS($K$14:$K$204,$E$14:$E$204,$C214,$C$14:$C$204,المدخلات!$AC$6),SUMIFS($K$14:$K$204,$E$14:$E$204,$C214,$C$14:$C$204,المدخلات!$AC$7),SUMIFS($K$14:$K$204,$E$14:$E$204,$C214,$C$14:$C$204,المدخلات!$AC$8))</f>
        <v>2</v>
      </c>
      <c r="F214" s="53">
        <f>SUMIFS($K$14:$K$204,$E$14:$E$204,$C214,$C$14:$C$204,المدخلات!$AC$9)</f>
        <v>0</v>
      </c>
      <c r="G214" s="53">
        <f>SUMIFS($K$14:$K$204,$E$14:$E$204,$C214,$C$14:$C$204,المدخلات!$AC$10)</f>
        <v>1</v>
      </c>
      <c r="H214" s="53">
        <f>SUMIFS($K$14:$K$204,$E$14:$E$204,$C214,$C$14:$C$204,المدخلات!$AC$11)</f>
        <v>2</v>
      </c>
      <c r="I214" s="53">
        <f>SUMIFS($K$14:$K$204,$E$14:$E$204,$C214,$C$14:$C$204,المدخلات!$AC$12)</f>
        <v>0</v>
      </c>
      <c r="J214" s="53">
        <f t="shared" si="3"/>
        <v>2</v>
      </c>
      <c r="K214" s="54">
        <f t="shared" si="4"/>
        <v>81</v>
      </c>
      <c r="L214" s="53" t="str">
        <f t="shared" si="5"/>
        <v>مكتملة</v>
      </c>
    </row>
    <row r="215" spans="2:12">
      <c r="B215" s="51" t="s">
        <v>75</v>
      </c>
      <c r="C215" s="52" t="s">
        <v>1284</v>
      </c>
      <c r="D215" s="52" t="str">
        <f>IFERROR(INDEX('عدد اللاعبين'!$F$3:$F$193,MATCH($C215,'عدد اللاعبين'!$D$3:$D$193,0)),"")</f>
        <v>الدوادمي</v>
      </c>
      <c r="E215" s="53">
        <f>MAX(SUMIFS($K$14:$K$204,$E$14:$E$204,$C215,$C$14:$C$204,المدخلات!$AC$6),SUMIFS($K$14:$K$204,$E$14:$E$204,$C215,$C$14:$C$204,المدخلات!$AC$7),SUMIFS($K$14:$K$204,$E$14:$E$204,$C215,$C$14:$C$204,المدخلات!$AC$8))</f>
        <v>1</v>
      </c>
      <c r="F215" s="53">
        <f>SUMIFS($K$14:$K$204,$E$14:$E$204,$C215,$C$14:$C$204,المدخلات!$AC$9)</f>
        <v>0</v>
      </c>
      <c r="G215" s="53">
        <f>SUMIFS($K$14:$K$204,$E$14:$E$204,$C215,$C$14:$C$204,المدخلات!$AC$10)</f>
        <v>0</v>
      </c>
      <c r="H215" s="53">
        <f>SUMIFS($K$14:$K$204,$E$14:$E$204,$C215,$C$14:$C$204,المدخلات!$AC$11)</f>
        <v>0</v>
      </c>
      <c r="I215" s="53">
        <f>SUMIFS($K$14:$K$204,$E$14:$E$204,$C215,$C$14:$C$204,المدخلات!$AC$12)</f>
        <v>0</v>
      </c>
      <c r="J215" s="53">
        <f t="shared" si="3"/>
        <v>1</v>
      </c>
      <c r="K215" s="54">
        <f t="shared" si="4"/>
        <v>7</v>
      </c>
      <c r="L215" s="53" t="str">
        <f t="shared" si="5"/>
        <v>مكتملة</v>
      </c>
    </row>
    <row r="216" spans="2:12">
      <c r="B216" s="51" t="s">
        <v>182</v>
      </c>
      <c r="C216" s="52" t="s">
        <v>10</v>
      </c>
      <c r="D216" s="52" t="str">
        <f>IFERROR(INDEX('عدد اللاعبين'!$F$3:$F$193,MATCH($C216,'عدد اللاعبين'!$D$3:$D$193,0)),"")</f>
        <v/>
      </c>
      <c r="E216" s="53">
        <f>MAX(SUMIFS($K$14:$K$204,$E$14:$E$204,$C216,$C$14:$C$204,المدخلات!$AC$6),SUMIFS($K$14:$K$204,$E$14:$E$204,$C216,$C$14:$C$204,المدخلات!$AC$7),SUMIFS($K$14:$K$204,$E$14:$E$204,$C216,$C$14:$C$204,المدخلات!$AC$8))</f>
        <v>0</v>
      </c>
      <c r="F216" s="53">
        <f>SUMIFS($K$14:$K$204,$E$14:$E$204,$C216,$C$14:$C$204,المدخلات!$AC$9)</f>
        <v>0</v>
      </c>
      <c r="G216" s="53">
        <f>SUMIFS($K$14:$K$204,$E$14:$E$204,$C216,$C$14:$C$204,المدخلات!$AC$10)</f>
        <v>0</v>
      </c>
      <c r="H216" s="53">
        <f>SUMIFS($K$14:$K$204,$E$14:$E$204,$C216,$C$14:$C$204,المدخلات!$AC$11)</f>
        <v>0</v>
      </c>
      <c r="I216" s="53">
        <f>SUMIFS($K$14:$K$204,$E$14:$E$204,$C216,$C$14:$C$204,المدخلات!$AC$12)</f>
        <v>0</v>
      </c>
      <c r="J216" s="53">
        <f t="shared" si="3"/>
        <v>0</v>
      </c>
      <c r="K216" s="54">
        <f t="shared" si="4"/>
        <v>0</v>
      </c>
      <c r="L216" s="53" t="str">
        <f t="shared" si="5"/>
        <v>غير مكتملة</v>
      </c>
    </row>
    <row r="217" spans="2:12">
      <c r="B217" s="51" t="s">
        <v>35</v>
      </c>
      <c r="C217" s="52" t="s">
        <v>11</v>
      </c>
      <c r="D217" s="52" t="str">
        <f>IFERROR(INDEX('عدد اللاعبين'!$F$3:$F$193,MATCH($C217,'عدد اللاعبين'!$D$3:$D$193,0)),"")</f>
        <v>القريات</v>
      </c>
      <c r="E217" s="53">
        <f>MAX(SUMIFS($K$14:$K$204,$E$14:$E$204,$C217,$C$14:$C$204,المدخلات!$AC$6),SUMIFS($K$14:$K$204,$E$14:$E$204,$C217,$C$14:$C$204,المدخلات!$AC$7),SUMIFS($K$14:$K$204,$E$14:$E$204,$C217,$C$14:$C$204,المدخلات!$AC$8))</f>
        <v>0</v>
      </c>
      <c r="F217" s="53">
        <f>SUMIFS($K$14:$K$204,$E$14:$E$204,$C217,$C$14:$C$204,المدخلات!$AC$9)</f>
        <v>0</v>
      </c>
      <c r="G217" s="53">
        <f>SUMIFS($K$14:$K$204,$E$14:$E$204,$C217,$C$14:$C$204,المدخلات!$AC$10)</f>
        <v>2</v>
      </c>
      <c r="H217" s="53">
        <f>SUMIFS($K$14:$K$204,$E$14:$E$204,$C217,$C$14:$C$204,المدخلات!$AC$11)</f>
        <v>2</v>
      </c>
      <c r="I217" s="53">
        <f>SUMIFS($K$14:$K$204,$E$14:$E$204,$C217,$C$14:$C$204,المدخلات!$AC$12)</f>
        <v>1</v>
      </c>
      <c r="J217" s="53">
        <f t="shared" si="3"/>
        <v>2</v>
      </c>
      <c r="K217" s="54">
        <f t="shared" si="4"/>
        <v>40</v>
      </c>
      <c r="L217" s="53" t="str">
        <f t="shared" si="5"/>
        <v>مكتملة</v>
      </c>
    </row>
    <row r="218" spans="2:12">
      <c r="B218" s="51" t="s">
        <v>35</v>
      </c>
      <c r="C218" s="52" t="s">
        <v>12</v>
      </c>
      <c r="D218" s="52" t="str">
        <f>IFERROR(INDEX('عدد اللاعبين'!$F$3:$F$193,MATCH($C218,'عدد اللاعبين'!$D$3:$D$193,0)),"")</f>
        <v>الباحة، بلقرن، العقيق</v>
      </c>
      <c r="E218" s="53">
        <f>MAX(SUMIFS($K$14:$K$204,$E$14:$E$204,$C218,$C$14:$C$204,المدخلات!$AC$6),SUMIFS($K$14:$K$204,$E$14:$E$204,$C218,$C$14:$C$204,المدخلات!$AC$7),SUMIFS($K$14:$K$204,$E$14:$E$204,$C218,$C$14:$C$204,المدخلات!$AC$8))</f>
        <v>1</v>
      </c>
      <c r="F218" s="53">
        <f>SUMIFS($K$14:$K$204,$E$14:$E$204,$C218,$C$14:$C$204,المدخلات!$AC$9)</f>
        <v>0</v>
      </c>
      <c r="G218" s="53">
        <f>SUMIFS($K$14:$K$204,$E$14:$E$204,$C218,$C$14:$C$204,المدخلات!$AC$10)</f>
        <v>0</v>
      </c>
      <c r="H218" s="53">
        <f>SUMIFS($K$14:$K$204,$E$14:$E$204,$C218,$C$14:$C$204,المدخلات!$AC$11)</f>
        <v>0</v>
      </c>
      <c r="I218" s="53">
        <f>SUMIFS($K$14:$K$204,$E$14:$E$204,$C218,$C$14:$C$204,المدخلات!$AC$12)</f>
        <v>0</v>
      </c>
      <c r="J218" s="53">
        <f t="shared" si="3"/>
        <v>1</v>
      </c>
      <c r="K218" s="54">
        <f t="shared" si="4"/>
        <v>6</v>
      </c>
      <c r="L218" s="53" t="str">
        <f t="shared" si="5"/>
        <v>مكتملة</v>
      </c>
    </row>
    <row r="219" spans="2:12">
      <c r="B219" s="51" t="s">
        <v>35</v>
      </c>
      <c r="C219" s="52" t="s">
        <v>13</v>
      </c>
      <c r="D219" s="52" t="str">
        <f>IFERROR(INDEX('عدد اللاعبين'!$F$3:$F$193,MATCH($C219,'عدد اللاعبين'!$D$3:$D$193,0)),"")</f>
        <v>مكة المكرمة</v>
      </c>
      <c r="E219" s="53">
        <f>MAX(SUMIFS($K$14:$K$204,$E$14:$E$204,$C219,$C$14:$C$204,المدخلات!$AC$6),SUMIFS($K$14:$K$204,$E$14:$E$204,$C219,$C$14:$C$204,المدخلات!$AC$7),SUMIFS($K$14:$K$204,$E$14:$E$204,$C219,$C$14:$C$204,المدخلات!$AC$8))</f>
        <v>0</v>
      </c>
      <c r="F219" s="53">
        <f>SUMIFS($K$14:$K$204,$E$14:$E$204,$C219,$C$14:$C$204,المدخلات!$AC$9)</f>
        <v>0</v>
      </c>
      <c r="G219" s="53">
        <f>SUMIFS($K$14:$K$204,$E$14:$E$204,$C219,$C$14:$C$204,المدخلات!$AC$10)</f>
        <v>0</v>
      </c>
      <c r="H219" s="53">
        <f>SUMIFS($K$14:$K$204,$E$14:$E$204,$C219,$C$14:$C$204,المدخلات!$AC$11)</f>
        <v>0</v>
      </c>
      <c r="I219" s="53">
        <f>SUMIFS($K$14:$K$204,$E$14:$E$204,$C219,$C$14:$C$204,المدخلات!$AC$12)</f>
        <v>0</v>
      </c>
      <c r="J219" s="53">
        <f t="shared" si="3"/>
        <v>0</v>
      </c>
      <c r="K219" s="54">
        <f t="shared" si="4"/>
        <v>151</v>
      </c>
      <c r="L219" s="53" t="str">
        <f t="shared" si="5"/>
        <v>مكتملة</v>
      </c>
    </row>
    <row r="220" spans="2:12">
      <c r="B220" s="51" t="s">
        <v>35</v>
      </c>
      <c r="C220" s="52" t="s">
        <v>46</v>
      </c>
      <c r="D220" s="52" t="str">
        <f>IFERROR(INDEX('عدد اللاعبين'!$F$3:$F$193,MATCH($C220,'عدد اللاعبين'!$D$3:$D$193,0)),"")</f>
        <v/>
      </c>
      <c r="E220" s="53">
        <f>MAX(SUMIFS($K$14:$K$204,$E$14:$E$204,$C220,$C$14:$C$204,المدخلات!$AC$6),SUMIFS($K$14:$K$204,$E$14:$E$204,$C220,$C$14:$C$204,المدخلات!$AC$7),SUMIFS($K$14:$K$204,$E$14:$E$204,$C220,$C$14:$C$204,المدخلات!$AC$8))</f>
        <v>0</v>
      </c>
      <c r="F220" s="53">
        <f>SUMIFS($K$14:$K$204,$E$14:$E$204,$C220,$C$14:$C$204,المدخلات!$AC$9)</f>
        <v>0</v>
      </c>
      <c r="G220" s="53">
        <f>SUMIFS($K$14:$K$204,$E$14:$E$204,$C220,$C$14:$C$204,المدخلات!$AC$10)</f>
        <v>0</v>
      </c>
      <c r="H220" s="53">
        <f>SUMIFS($K$14:$K$204,$E$14:$E$204,$C220,$C$14:$C$204,المدخلات!$AC$11)</f>
        <v>0</v>
      </c>
      <c r="I220" s="53">
        <f>SUMIFS($K$14:$K$204,$E$14:$E$204,$C220,$C$14:$C$204,المدخلات!$AC$12)</f>
        <v>0</v>
      </c>
      <c r="J220" s="53">
        <f t="shared" si="3"/>
        <v>0</v>
      </c>
      <c r="K220" s="54">
        <f t="shared" si="4"/>
        <v>0</v>
      </c>
      <c r="L220" s="53" t="str">
        <f t="shared" si="5"/>
        <v>غير مكتملة</v>
      </c>
    </row>
    <row r="221" spans="2:12">
      <c r="B221" s="51" t="s">
        <v>35</v>
      </c>
      <c r="C221" s="52" t="s">
        <v>19</v>
      </c>
      <c r="D221" s="52" t="str">
        <f>IFERROR(INDEX('عدد اللاعبين'!$F$3:$F$193,MATCH($C221,'عدد اللاعبين'!$D$3:$D$193,0)),"")</f>
        <v/>
      </c>
      <c r="E221" s="53">
        <f>MAX(SUMIFS($K$14:$K$204,$E$14:$E$204,$C221,$C$14:$C$204,المدخلات!$AC$6),SUMIFS($K$14:$K$204,$E$14:$E$204,$C221,$C$14:$C$204,المدخلات!$AC$7),SUMIFS($K$14:$K$204,$E$14:$E$204,$C221,$C$14:$C$204,المدخلات!$AC$8))</f>
        <v>0</v>
      </c>
      <c r="F221" s="53">
        <f>SUMIFS($K$14:$K$204,$E$14:$E$204,$C221,$C$14:$C$204,المدخلات!$AC$9)</f>
        <v>0</v>
      </c>
      <c r="G221" s="53">
        <f>SUMIFS($K$14:$K$204,$E$14:$E$204,$C221,$C$14:$C$204,المدخلات!$AC$10)</f>
        <v>0</v>
      </c>
      <c r="H221" s="53">
        <f>SUMIFS($K$14:$K$204,$E$14:$E$204,$C221,$C$14:$C$204,المدخلات!$AC$11)</f>
        <v>0</v>
      </c>
      <c r="I221" s="53">
        <f>SUMIFS($K$14:$K$204,$E$14:$E$204,$C221,$C$14:$C$204,المدخلات!$AC$12)</f>
        <v>0</v>
      </c>
      <c r="J221" s="53">
        <f t="shared" si="3"/>
        <v>0</v>
      </c>
      <c r="K221" s="54">
        <f t="shared" si="4"/>
        <v>0</v>
      </c>
      <c r="L221" s="53" t="str">
        <f t="shared" si="5"/>
        <v>غير مكتملة</v>
      </c>
    </row>
    <row r="222" spans="2:12">
      <c r="B222" s="51" t="s">
        <v>35</v>
      </c>
      <c r="C222" s="52" t="s">
        <v>64</v>
      </c>
      <c r="D222" s="52" t="str">
        <f>IFERROR(INDEX('عدد اللاعبين'!$F$3:$F$193,MATCH($C222,'عدد اللاعبين'!$D$3:$D$193,0)),"")</f>
        <v/>
      </c>
      <c r="E222" s="53">
        <f>MAX(SUMIFS($K$14:$K$204,$E$14:$E$204,$C222,$C$14:$C$204,المدخلات!$AC$6),SUMIFS($K$14:$K$204,$E$14:$E$204,$C222,$C$14:$C$204,المدخلات!$AC$7),SUMIFS($K$14:$K$204,$E$14:$E$204,$C222,$C$14:$C$204,المدخلات!$AC$8))</f>
        <v>0</v>
      </c>
      <c r="F222" s="53">
        <f>SUMIFS($K$14:$K$204,$E$14:$E$204,$C222,$C$14:$C$204,المدخلات!$AC$9)</f>
        <v>0</v>
      </c>
      <c r="G222" s="53">
        <f>SUMIFS($K$14:$K$204,$E$14:$E$204,$C222,$C$14:$C$204,المدخلات!$AC$10)</f>
        <v>0</v>
      </c>
      <c r="H222" s="53">
        <f>SUMIFS($K$14:$K$204,$E$14:$E$204,$C222,$C$14:$C$204,المدخلات!$AC$11)</f>
        <v>0</v>
      </c>
      <c r="I222" s="53">
        <f>SUMIFS($K$14:$K$204,$E$14:$E$204,$C222,$C$14:$C$204,المدخلات!$AC$12)</f>
        <v>0</v>
      </c>
      <c r="J222" s="53">
        <f t="shared" si="3"/>
        <v>0</v>
      </c>
      <c r="K222" s="54">
        <f t="shared" si="4"/>
        <v>0</v>
      </c>
      <c r="L222" s="53" t="str">
        <f t="shared" si="5"/>
        <v>غير مكتملة</v>
      </c>
    </row>
    <row r="223" spans="2:12">
      <c r="B223" s="51" t="s">
        <v>35</v>
      </c>
      <c r="C223" s="52" t="s">
        <v>69</v>
      </c>
      <c r="D223" s="52" t="str">
        <f>IFERROR(INDEX('عدد اللاعبين'!$F$3:$F$193,MATCH($C223,'عدد اللاعبين'!$D$3:$D$193,0)),"")</f>
        <v/>
      </c>
      <c r="E223" s="53">
        <f>MAX(SUMIFS($K$14:$K$204,$E$14:$E$204,$C223,$C$14:$C$204,المدخلات!$AC$6),SUMIFS($K$14:$K$204,$E$14:$E$204,$C223,$C$14:$C$204,المدخلات!$AC$7),SUMIFS($K$14:$K$204,$E$14:$E$204,$C223,$C$14:$C$204,المدخلات!$AC$8))</f>
        <v>0</v>
      </c>
      <c r="F223" s="53">
        <f>SUMIFS($K$14:$K$204,$E$14:$E$204,$C223,$C$14:$C$204,المدخلات!$AC$9)</f>
        <v>0</v>
      </c>
      <c r="G223" s="53">
        <f>SUMIFS($K$14:$K$204,$E$14:$E$204,$C223,$C$14:$C$204,المدخلات!$AC$10)</f>
        <v>0</v>
      </c>
      <c r="H223" s="53">
        <f>SUMIFS($K$14:$K$204,$E$14:$E$204,$C223,$C$14:$C$204,المدخلات!$AC$11)</f>
        <v>0</v>
      </c>
      <c r="I223" s="53">
        <f>SUMIFS($K$14:$K$204,$E$14:$E$204,$C223,$C$14:$C$204,المدخلات!$AC$12)</f>
        <v>0</v>
      </c>
      <c r="J223" s="53">
        <f t="shared" si="3"/>
        <v>0</v>
      </c>
      <c r="K223" s="54">
        <f t="shared" si="4"/>
        <v>0</v>
      </c>
      <c r="L223" s="53" t="str">
        <f t="shared" si="5"/>
        <v>غير مكتملة</v>
      </c>
    </row>
    <row r="224" spans="2:12">
      <c r="B224" s="51" t="s">
        <v>77</v>
      </c>
      <c r="C224" s="52" t="s">
        <v>8</v>
      </c>
      <c r="D224" s="52" t="str">
        <f>IFERROR(INDEX('عدد اللاعبين'!$F$3:$F$193,MATCH($C224,'عدد اللاعبين'!$D$3:$D$193,0)),"")</f>
        <v>الخرج، الدلم</v>
      </c>
      <c r="E224" s="53">
        <f>MAX(SUMIFS($K$14:$K$204,$E$14:$E$204,$C224,$C$14:$C$204,المدخلات!$AC$6),SUMIFS($K$14:$K$204,$E$14:$E$204,$C224,$C$14:$C$204,المدخلات!$AC$7),SUMIFS($K$14:$K$204,$E$14:$E$204,$C224,$C$14:$C$204,المدخلات!$AC$8))</f>
        <v>2</v>
      </c>
      <c r="F224" s="53">
        <f>SUMIFS($K$14:$K$204,$E$14:$E$204,$C224,$C$14:$C$204,المدخلات!$AC$9)</f>
        <v>0</v>
      </c>
      <c r="G224" s="53">
        <f>SUMIFS($K$14:$K$204,$E$14:$E$204,$C224,$C$14:$C$204,المدخلات!$AC$10)</f>
        <v>0</v>
      </c>
      <c r="H224" s="53">
        <f>SUMIFS($K$14:$K$204,$E$14:$E$204,$C224,$C$14:$C$204,المدخلات!$AC$11)</f>
        <v>0</v>
      </c>
      <c r="I224" s="53">
        <f>SUMIFS($K$14:$K$204,$E$14:$E$204,$C224,$C$14:$C$204,المدخلات!$AC$12)</f>
        <v>5</v>
      </c>
      <c r="J224" s="53">
        <f t="shared" si="3"/>
        <v>5</v>
      </c>
      <c r="K224" s="54">
        <f t="shared" si="4"/>
        <v>237</v>
      </c>
      <c r="L224" s="53" t="str">
        <f t="shared" si="5"/>
        <v>مكتملة</v>
      </c>
    </row>
    <row r="225" spans="2:12">
      <c r="B225" s="51" t="s">
        <v>77</v>
      </c>
      <c r="C225" s="52" t="s">
        <v>1559</v>
      </c>
      <c r="D225" s="52" t="str">
        <f>IFERROR(INDEX('عدد اللاعبين'!$F$3:$F$193,MATCH($C225,'عدد اللاعبين'!$D$3:$D$193,0)),"")</f>
        <v>جيزان</v>
      </c>
      <c r="E225" s="53">
        <f>MAX(SUMIFS($K$14:$K$204,$E$14:$E$204,$C225,$C$14:$C$204,المدخلات!$AC$6),SUMIFS($K$14:$K$204,$E$14:$E$204,$C225,$C$14:$C$204,المدخلات!$AC$7),SUMIFS($K$14:$K$204,$E$14:$E$204,$C225,$C$14:$C$204,المدخلات!$AC$8))</f>
        <v>0</v>
      </c>
      <c r="F225" s="53">
        <f>SUMIFS($K$14:$K$204,$E$14:$E$204,$C225,$C$14:$C$204,المدخلات!$AC$9)</f>
        <v>1</v>
      </c>
      <c r="G225" s="53">
        <f>SUMIFS($K$14:$K$204,$E$14:$E$204,$C225,$C$14:$C$204,المدخلات!$AC$10)</f>
        <v>1</v>
      </c>
      <c r="H225" s="53">
        <f>SUMIFS($K$14:$K$204,$E$14:$E$204,$C225,$C$14:$C$204,المدخلات!$AC$11)</f>
        <v>0</v>
      </c>
      <c r="I225" s="53">
        <f>SUMIFS($K$14:$K$204,$E$14:$E$204,$C225,$C$14:$C$204,المدخلات!$AC$12)</f>
        <v>0</v>
      </c>
      <c r="J225" s="53">
        <f t="shared" si="3"/>
        <v>1</v>
      </c>
      <c r="K225" s="54">
        <f t="shared" si="4"/>
        <v>24</v>
      </c>
      <c r="L225" s="53" t="str">
        <f t="shared" si="5"/>
        <v>مكتملة</v>
      </c>
    </row>
    <row r="226" spans="2:12">
      <c r="B226" s="51" t="s">
        <v>77</v>
      </c>
      <c r="C226" s="52" t="s">
        <v>42</v>
      </c>
      <c r="D226" s="52" t="str">
        <f>IFERROR(INDEX('عدد اللاعبين'!$F$3:$F$193,MATCH($C226,'عدد اللاعبين'!$D$3:$D$193,0)),"")</f>
        <v>الأحساء</v>
      </c>
      <c r="E226" s="53">
        <f>MAX(SUMIFS($K$14:$K$204,$E$14:$E$204,$C226,$C$14:$C$204,المدخلات!$AC$6),SUMIFS($K$14:$K$204,$E$14:$E$204,$C226,$C$14:$C$204,المدخلات!$AC$7),SUMIFS($K$14:$K$204,$E$14:$E$204,$C226,$C$14:$C$204,المدخلات!$AC$8))</f>
        <v>2</v>
      </c>
      <c r="F226" s="53">
        <f>SUMIFS($K$14:$K$204,$E$14:$E$204,$C226,$C$14:$C$204,المدخلات!$AC$9)</f>
        <v>2</v>
      </c>
      <c r="G226" s="53">
        <f>SUMIFS($K$14:$K$204,$E$14:$E$204,$C226,$C$14:$C$204,المدخلات!$AC$10)</f>
        <v>2</v>
      </c>
      <c r="H226" s="53">
        <f>SUMIFS($K$14:$K$204,$E$14:$E$204,$C226,$C$14:$C$204,المدخلات!$AC$11)</f>
        <v>3</v>
      </c>
      <c r="I226" s="53">
        <f>SUMIFS($K$14:$K$204,$E$14:$E$204,$C226,$C$14:$C$204,المدخلات!$AC$12)</f>
        <v>3</v>
      </c>
      <c r="J226" s="53">
        <f t="shared" si="3"/>
        <v>3</v>
      </c>
      <c r="K226" s="54">
        <f t="shared" si="4"/>
        <v>105</v>
      </c>
      <c r="L226" s="53" t="str">
        <f t="shared" si="5"/>
        <v>مكتملة</v>
      </c>
    </row>
    <row r="227" spans="2:12">
      <c r="B227" s="51" t="s">
        <v>77</v>
      </c>
      <c r="C227" s="52" t="s">
        <v>1489</v>
      </c>
      <c r="D227" s="52" t="str">
        <f>IFERROR(INDEX('عدد اللاعبين'!$F$3:$F$193,MATCH($C227,'عدد اللاعبين'!$D$3:$D$193,0)),"")</f>
        <v>أحد المسارحة</v>
      </c>
      <c r="E227" s="53">
        <f>MAX(SUMIFS($K$14:$K$204,$E$14:$E$204,$C227,$C$14:$C$204,المدخلات!$AC$6),SUMIFS($K$14:$K$204,$E$14:$E$204,$C227,$C$14:$C$204,المدخلات!$AC$7),SUMIFS($K$14:$K$204,$E$14:$E$204,$C227,$C$14:$C$204,المدخلات!$AC$8))</f>
        <v>3</v>
      </c>
      <c r="F227" s="53">
        <f>SUMIFS($K$14:$K$204,$E$14:$E$204,$C227,$C$14:$C$204,المدخلات!$AC$9)</f>
        <v>1</v>
      </c>
      <c r="G227" s="53">
        <f>SUMIFS($K$14:$K$204,$E$14:$E$204,$C227,$C$14:$C$204,المدخلات!$AC$10)</f>
        <v>1</v>
      </c>
      <c r="H227" s="53">
        <f>SUMIFS($K$14:$K$204,$E$14:$E$204,$C227,$C$14:$C$204,المدخلات!$AC$11)</f>
        <v>3</v>
      </c>
      <c r="I227" s="53">
        <f>SUMIFS($K$14:$K$204,$E$14:$E$204,$C227,$C$14:$C$204,المدخلات!$AC$12)</f>
        <v>2</v>
      </c>
      <c r="J227" s="53">
        <f t="shared" si="3"/>
        <v>3</v>
      </c>
      <c r="K227" s="54">
        <f t="shared" si="4"/>
        <v>130</v>
      </c>
      <c r="L227" s="53" t="str">
        <f t="shared" si="5"/>
        <v>مكتملة</v>
      </c>
    </row>
    <row r="228" spans="2:12">
      <c r="B228" s="51" t="s">
        <v>77</v>
      </c>
      <c r="C228" s="52" t="s">
        <v>17</v>
      </c>
      <c r="D228" s="52" t="str">
        <f>IFERROR(INDEX('عدد اللاعبين'!$F$3:$F$193,MATCH($C228,'عدد اللاعبين'!$D$3:$D$193,0)),"")</f>
        <v>ينبع، أملج</v>
      </c>
      <c r="E228" s="53">
        <f>MAX(SUMIFS($K$14:$K$204,$E$14:$E$204,$C228,$C$14:$C$204,المدخلات!$AC$6),SUMIFS($K$14:$K$204,$E$14:$E$204,$C228,$C$14:$C$204,المدخلات!$AC$7),SUMIFS($K$14:$K$204,$E$14:$E$204,$C228,$C$14:$C$204,المدخلات!$AC$8))</f>
        <v>2</v>
      </c>
      <c r="F228" s="53">
        <f>SUMIFS($K$14:$K$204,$E$14:$E$204,$C228,$C$14:$C$204,المدخلات!$AC$9)</f>
        <v>2</v>
      </c>
      <c r="G228" s="53">
        <f>SUMIFS($K$14:$K$204,$E$14:$E$204,$C228,$C$14:$C$204,المدخلات!$AC$10)</f>
        <v>2</v>
      </c>
      <c r="H228" s="53">
        <f>SUMIFS($K$14:$K$204,$E$14:$E$204,$C228,$C$14:$C$204,المدخلات!$AC$11)</f>
        <v>0</v>
      </c>
      <c r="I228" s="53">
        <f>SUMIFS($K$14:$K$204,$E$14:$E$204,$C228,$C$14:$C$204,المدخلات!$AC$12)</f>
        <v>0</v>
      </c>
      <c r="J228" s="53">
        <f t="shared" si="3"/>
        <v>2</v>
      </c>
      <c r="K228" s="54">
        <f t="shared" si="4"/>
        <v>94</v>
      </c>
      <c r="L228" s="53" t="str">
        <f t="shared" si="5"/>
        <v>مكتملة</v>
      </c>
    </row>
    <row r="229" spans="2:12">
      <c r="B229" s="51" t="s">
        <v>77</v>
      </c>
      <c r="C229" s="52" t="s">
        <v>30</v>
      </c>
      <c r="D229" s="52" t="str">
        <f>IFERROR(INDEX('عدد اللاعبين'!$F$3:$F$193,MATCH($C229,'عدد اللاعبين'!$D$3:$D$193,0)),"")</f>
        <v>حفر الباطن</v>
      </c>
      <c r="E229" s="53">
        <f>MAX(SUMIFS($K$14:$K$204,$E$14:$E$204,$C229,$C$14:$C$204,المدخلات!$AC$6),SUMIFS($K$14:$K$204,$E$14:$E$204,$C229,$C$14:$C$204,المدخلات!$AC$7),SUMIFS($K$14:$K$204,$E$14:$E$204,$C229,$C$14:$C$204,المدخلات!$AC$8))</f>
        <v>2</v>
      </c>
      <c r="F229" s="53">
        <f>SUMIFS($K$14:$K$204,$E$14:$E$204,$C229,$C$14:$C$204,المدخلات!$AC$9)</f>
        <v>2</v>
      </c>
      <c r="G229" s="53">
        <f>SUMIFS($K$14:$K$204,$E$14:$E$204,$C229,$C$14:$C$204,المدخلات!$AC$10)</f>
        <v>2</v>
      </c>
      <c r="H229" s="53">
        <f>SUMIFS($K$14:$K$204,$E$14:$E$204,$C229,$C$14:$C$204,المدخلات!$AC$11)</f>
        <v>0</v>
      </c>
      <c r="I229" s="53">
        <f>SUMIFS($K$14:$K$204,$E$14:$E$204,$C229,$C$14:$C$204,المدخلات!$AC$12)</f>
        <v>0</v>
      </c>
      <c r="J229" s="53">
        <f t="shared" si="3"/>
        <v>2</v>
      </c>
      <c r="K229" s="54">
        <f t="shared" si="4"/>
        <v>159</v>
      </c>
      <c r="L229" s="53" t="str">
        <f t="shared" si="5"/>
        <v>مكتملة</v>
      </c>
    </row>
    <row r="230" spans="2:12">
      <c r="B230" s="51" t="s">
        <v>77</v>
      </c>
      <c r="C230" s="52" t="s">
        <v>1055</v>
      </c>
      <c r="D230" s="52" t="str">
        <f>IFERROR(INDEX('عدد اللاعبين'!$F$3:$F$193,MATCH($C230,'عدد اللاعبين'!$D$3:$D$193,0)),"")</f>
        <v>أحد المسارحة</v>
      </c>
      <c r="E230" s="53">
        <f>MAX(SUMIFS($K$14:$K$204,$E$14:$E$204,$C230,$C$14:$C$204,المدخلات!$AC$6),SUMIFS($K$14:$K$204,$E$14:$E$204,$C230,$C$14:$C$204,المدخلات!$AC$7),SUMIFS($K$14:$K$204,$E$14:$E$204,$C230,$C$14:$C$204,المدخلات!$AC$8))</f>
        <v>1</v>
      </c>
      <c r="F230" s="53">
        <f>SUMIFS($K$14:$K$204,$E$14:$E$204,$C230,$C$14:$C$204,المدخلات!$AC$9)</f>
        <v>1</v>
      </c>
      <c r="G230" s="53">
        <f>SUMIFS($K$14:$K$204,$E$14:$E$204,$C230,$C$14:$C$204,المدخلات!$AC$10)</f>
        <v>1</v>
      </c>
      <c r="H230" s="53">
        <f>SUMIFS($K$14:$K$204,$E$14:$E$204,$C230,$C$14:$C$204,المدخلات!$AC$11)</f>
        <v>2</v>
      </c>
      <c r="I230" s="53">
        <f>SUMIFS($K$14:$K$204,$E$14:$E$204,$C230,$C$14:$C$204,المدخلات!$AC$12)</f>
        <v>2</v>
      </c>
      <c r="J230" s="53">
        <f t="shared" si="3"/>
        <v>2</v>
      </c>
      <c r="K230" s="54">
        <f t="shared" si="4"/>
        <v>57</v>
      </c>
      <c r="L230" s="53" t="str">
        <f t="shared" si="5"/>
        <v>مكتملة</v>
      </c>
    </row>
    <row r="231" spans="2:12">
      <c r="B231" s="51" t="s">
        <v>78</v>
      </c>
      <c r="C231" s="52" t="s">
        <v>44</v>
      </c>
      <c r="D231" s="52" t="str">
        <f>IFERROR(INDEX('عدد اللاعبين'!$F$3:$F$193,MATCH($C231,'عدد اللاعبين'!$D$3:$D$193,0)),"")</f>
        <v>مركز الرفيعة</v>
      </c>
      <c r="E231" s="53">
        <f>MAX(SUMIFS($K$14:$K$204,$E$14:$E$204,$C231,$C$14:$C$204,المدخلات!$AC$6),SUMIFS($K$14:$K$204,$E$14:$E$204,$C231,$C$14:$C$204,المدخلات!$AC$7),SUMIFS($K$14:$K$204,$E$14:$E$204,$C231,$C$14:$C$204,المدخلات!$AC$8))</f>
        <v>1</v>
      </c>
      <c r="F231" s="53">
        <f>SUMIFS($K$14:$K$204,$E$14:$E$204,$C231,$C$14:$C$204,المدخلات!$AC$9)</f>
        <v>1</v>
      </c>
      <c r="G231" s="53">
        <f>SUMIFS($K$14:$K$204,$E$14:$E$204,$C231,$C$14:$C$204,المدخلات!$AC$10)</f>
        <v>1</v>
      </c>
      <c r="H231" s="53">
        <f>SUMIFS($K$14:$K$204,$E$14:$E$204,$C231,$C$14:$C$204,المدخلات!$AC$11)</f>
        <v>1</v>
      </c>
      <c r="I231" s="53">
        <f>SUMIFS($K$14:$K$204,$E$14:$E$204,$C231,$C$14:$C$204,المدخلات!$AC$12)</f>
        <v>2</v>
      </c>
      <c r="J231" s="53">
        <f t="shared" si="3"/>
        <v>2</v>
      </c>
      <c r="K231" s="54">
        <f t="shared" si="4"/>
        <v>47</v>
      </c>
      <c r="L231" s="53" t="str">
        <f t="shared" si="5"/>
        <v>مكتملة</v>
      </c>
    </row>
    <row r="232" spans="2:12">
      <c r="B232" s="51" t="s">
        <v>78</v>
      </c>
      <c r="C232" s="52" t="s">
        <v>16</v>
      </c>
      <c r="D232" s="52" t="str">
        <f>IFERROR(INDEX('عدد اللاعبين'!$F$3:$F$193,MATCH($C232,'عدد اللاعبين'!$D$3:$D$193,0)),"")</f>
        <v>أبو عريش</v>
      </c>
      <c r="E232" s="53">
        <f>MAX(SUMIFS($K$14:$K$204,$E$14:$E$204,$C232,$C$14:$C$204,المدخلات!$AC$6),SUMIFS($K$14:$K$204,$E$14:$E$204,$C232,$C$14:$C$204,المدخلات!$AC$7),SUMIFS($K$14:$K$204,$E$14:$E$204,$C232,$C$14:$C$204,المدخلات!$AC$8))</f>
        <v>1</v>
      </c>
      <c r="F232" s="53">
        <f>SUMIFS($K$14:$K$204,$E$14:$E$204,$C232,$C$14:$C$204,المدخلات!$AC$9)</f>
        <v>2</v>
      </c>
      <c r="G232" s="53">
        <f>SUMIFS($K$14:$K$204,$E$14:$E$204,$C232,$C$14:$C$204,المدخلات!$AC$10)</f>
        <v>2</v>
      </c>
      <c r="H232" s="53">
        <f>SUMIFS($K$14:$K$204,$E$14:$E$204,$C232,$C$14:$C$204,المدخلات!$AC$11)</f>
        <v>0</v>
      </c>
      <c r="I232" s="53">
        <f>SUMIFS($K$14:$K$204,$E$14:$E$204,$C232,$C$14:$C$204,المدخلات!$AC$12)</f>
        <v>2</v>
      </c>
      <c r="J232" s="53">
        <f t="shared" si="3"/>
        <v>2</v>
      </c>
      <c r="K232" s="54">
        <f t="shared" si="4"/>
        <v>79</v>
      </c>
      <c r="L232" s="53" t="str">
        <f t="shared" si="5"/>
        <v>مكتملة</v>
      </c>
    </row>
    <row r="233" spans="2:12">
      <c r="B233" s="51" t="s">
        <v>21</v>
      </c>
      <c r="C233" s="52" t="s">
        <v>20</v>
      </c>
      <c r="D233" s="52" t="str">
        <f>IFERROR(INDEX('عدد اللاعبين'!$F$3:$F$193,MATCH($C233,'عدد اللاعبين'!$D$3:$D$193,0)),"")</f>
        <v>الخرج، الدلم</v>
      </c>
      <c r="E233" s="53">
        <f>MAX(SUMIFS($K$14:$K$204,$E$14:$E$204,$C233,$C$14:$C$204,المدخلات!$AC$6),SUMIFS($K$14:$K$204,$E$14:$E$204,$C233,$C$14:$C$204,المدخلات!$AC$7),SUMIFS($K$14:$K$204,$E$14:$E$204,$C233,$C$14:$C$204,المدخلات!$AC$8))</f>
        <v>2</v>
      </c>
      <c r="F233" s="53">
        <f>SUMIFS($K$14:$K$204,$E$14:$E$204,$C233,$C$14:$C$204,المدخلات!$AC$9)</f>
        <v>0</v>
      </c>
      <c r="G233" s="53">
        <f>SUMIFS($K$14:$K$204,$E$14:$E$204,$C233,$C$14:$C$204,المدخلات!$AC$10)</f>
        <v>3</v>
      </c>
      <c r="H233" s="53">
        <f>SUMIFS($K$14:$K$204,$E$14:$E$204,$C233,$C$14:$C$204,المدخلات!$AC$11)</f>
        <v>2</v>
      </c>
      <c r="I233" s="53">
        <f>SUMIFS($K$14:$K$204,$E$14:$E$204,$C233,$C$14:$C$204,المدخلات!$AC$12)</f>
        <v>0</v>
      </c>
      <c r="J233" s="53">
        <f t="shared" si="3"/>
        <v>3</v>
      </c>
      <c r="K233" s="54">
        <f t="shared" si="4"/>
        <v>145</v>
      </c>
      <c r="L233" s="53" t="str">
        <f t="shared" si="5"/>
        <v>مكتملة</v>
      </c>
    </row>
    <row r="234" spans="2:12">
      <c r="B234" s="51" t="s">
        <v>21</v>
      </c>
      <c r="C234" s="52" t="s">
        <v>578</v>
      </c>
      <c r="D234" s="52" t="str">
        <f>IFERROR(INDEX('عدد اللاعبين'!$F$3:$F$193,MATCH($C234,'عدد اللاعبين'!$D$3:$D$193,0)),"")</f>
        <v/>
      </c>
      <c r="E234" s="53">
        <f>MAX(SUMIFS($K$14:$K$204,$E$14:$E$204,$C234,$C$14:$C$204,المدخلات!$AC$6),SUMIFS($K$14:$K$204,$E$14:$E$204,$C234,$C$14:$C$204,المدخلات!$AC$7),SUMIFS($K$14:$K$204,$E$14:$E$204,$C234,$C$14:$C$204,المدخلات!$AC$8))</f>
        <v>0</v>
      </c>
      <c r="F234" s="53">
        <f>SUMIFS($K$14:$K$204,$E$14:$E$204,$C234,$C$14:$C$204,المدخلات!$AC$9)</f>
        <v>0</v>
      </c>
      <c r="G234" s="53">
        <f>SUMIFS($K$14:$K$204,$E$14:$E$204,$C234,$C$14:$C$204,المدخلات!$AC$10)</f>
        <v>0</v>
      </c>
      <c r="H234" s="53">
        <f>SUMIFS($K$14:$K$204,$E$14:$E$204,$C234,$C$14:$C$204,المدخلات!$AC$11)</f>
        <v>0</v>
      </c>
      <c r="I234" s="53">
        <f>SUMIFS($K$14:$K$204,$E$14:$E$204,$C234,$C$14:$C$204,المدخلات!$AC$12)</f>
        <v>0</v>
      </c>
      <c r="J234" s="53">
        <f t="shared" si="3"/>
        <v>0</v>
      </c>
      <c r="K234" s="54">
        <f t="shared" si="4"/>
        <v>0</v>
      </c>
      <c r="L234" s="53" t="str">
        <f t="shared" si="5"/>
        <v>غير مكتملة</v>
      </c>
    </row>
    <row r="235" spans="2:12">
      <c r="B235" s="51" t="s">
        <v>21</v>
      </c>
      <c r="C235" s="52" t="s">
        <v>57</v>
      </c>
      <c r="D235" s="52" t="str">
        <f>IFERROR(INDEX('عدد اللاعبين'!$F$3:$F$193,MATCH($C235,'عدد اللاعبين'!$D$3:$D$193,0)),"")</f>
        <v/>
      </c>
      <c r="E235" s="53">
        <f>MAX(SUMIFS($K$14:$K$204,$E$14:$E$204,$C235,$C$14:$C$204,المدخلات!$AC$6),SUMIFS($K$14:$K$204,$E$14:$E$204,$C235,$C$14:$C$204,المدخلات!$AC$7),SUMIFS($K$14:$K$204,$E$14:$E$204,$C235,$C$14:$C$204,المدخلات!$AC$8))</f>
        <v>0</v>
      </c>
      <c r="F235" s="53">
        <f>SUMIFS($K$14:$K$204,$E$14:$E$204,$C235,$C$14:$C$204,المدخلات!$AC$9)</f>
        <v>0</v>
      </c>
      <c r="G235" s="53">
        <f>SUMIFS($K$14:$K$204,$E$14:$E$204,$C235,$C$14:$C$204,المدخلات!$AC$10)</f>
        <v>0</v>
      </c>
      <c r="H235" s="53">
        <f>SUMIFS($K$14:$K$204,$E$14:$E$204,$C235,$C$14:$C$204,المدخلات!$AC$11)</f>
        <v>0</v>
      </c>
      <c r="I235" s="53">
        <f>SUMIFS($K$14:$K$204,$E$14:$E$204,$C235,$C$14:$C$204,المدخلات!$AC$12)</f>
        <v>0</v>
      </c>
      <c r="J235" s="53">
        <f t="shared" si="3"/>
        <v>0</v>
      </c>
      <c r="K235" s="54">
        <f t="shared" si="4"/>
        <v>0</v>
      </c>
      <c r="L235" s="53" t="str">
        <f t="shared" si="5"/>
        <v>غير مكتملة</v>
      </c>
    </row>
    <row r="236" spans="2:12">
      <c r="B236" s="51" t="s">
        <v>24</v>
      </c>
      <c r="C236" s="52" t="s">
        <v>577</v>
      </c>
      <c r="D236" s="52" t="str">
        <f>IFERROR(INDEX('عدد اللاعبين'!$F$3:$F$193,MATCH($C236,'عدد اللاعبين'!$D$3:$D$193,0)),"")</f>
        <v>الخرج، الدلم</v>
      </c>
      <c r="E236" s="53">
        <f>MAX(SUMIFS($K$14:$K$204,$E$14:$E$204,$C236,$C$14:$C$204,المدخلات!$AC$6),SUMIFS($K$14:$K$204,$E$14:$E$204,$C236,$C$14:$C$204,المدخلات!$AC$7),SUMIFS($K$14:$K$204,$E$14:$E$204,$C236,$C$14:$C$204,المدخلات!$AC$8))</f>
        <v>0</v>
      </c>
      <c r="F236" s="53">
        <f>SUMIFS($K$14:$K$204,$E$14:$E$204,$C236,$C$14:$C$204,المدخلات!$AC$9)</f>
        <v>0</v>
      </c>
      <c r="G236" s="53">
        <f>SUMIFS($K$14:$K$204,$E$14:$E$204,$C236,$C$14:$C$204,المدخلات!$AC$10)</f>
        <v>1</v>
      </c>
      <c r="H236" s="53">
        <f>SUMIFS($K$14:$K$204,$E$14:$E$204,$C236,$C$14:$C$204,المدخلات!$AC$11)</f>
        <v>0</v>
      </c>
      <c r="I236" s="53">
        <f>SUMIFS($K$14:$K$204,$E$14:$E$204,$C236,$C$14:$C$204,المدخلات!$AC$12)</f>
        <v>0</v>
      </c>
      <c r="J236" s="53">
        <f t="shared" si="3"/>
        <v>1</v>
      </c>
      <c r="K236" s="54">
        <f t="shared" si="4"/>
        <v>8</v>
      </c>
      <c r="L236" s="53" t="str">
        <f t="shared" si="5"/>
        <v>مكتملة</v>
      </c>
    </row>
    <row r="237" spans="2:12">
      <c r="B237" s="51" t="s">
        <v>24</v>
      </c>
      <c r="C237" s="52" t="s">
        <v>575</v>
      </c>
      <c r="D237" s="52" t="str">
        <f>IFERROR(INDEX('عدد اللاعبين'!$F$3:$F$193,MATCH($C237,'عدد اللاعبين'!$D$3:$D$193,0)),"")</f>
        <v/>
      </c>
      <c r="E237" s="53">
        <f>MAX(SUMIFS($K$14:$K$204,$E$14:$E$204,$C237,$C$14:$C$204,المدخلات!$AC$6),SUMIFS($K$14:$K$204,$E$14:$E$204,$C237,$C$14:$C$204,المدخلات!$AC$7),SUMIFS($K$14:$K$204,$E$14:$E$204,$C237,$C$14:$C$204,المدخلات!$AC$8))</f>
        <v>0</v>
      </c>
      <c r="F237" s="53">
        <f>SUMIFS($K$14:$K$204,$E$14:$E$204,$C237,$C$14:$C$204,المدخلات!$AC$9)</f>
        <v>0</v>
      </c>
      <c r="G237" s="53">
        <f>SUMIFS($K$14:$K$204,$E$14:$E$204,$C237,$C$14:$C$204,المدخلات!$AC$10)</f>
        <v>0</v>
      </c>
      <c r="H237" s="53">
        <f>SUMIFS($K$14:$K$204,$E$14:$E$204,$C237,$C$14:$C$204,المدخلات!$AC$11)</f>
        <v>0</v>
      </c>
      <c r="I237" s="53">
        <f>SUMIFS($K$14:$K$204,$E$14:$E$204,$C237,$C$14:$C$204,المدخلات!$AC$12)</f>
        <v>0</v>
      </c>
      <c r="J237" s="53">
        <f t="shared" si="3"/>
        <v>0</v>
      </c>
      <c r="K237" s="54">
        <f t="shared" si="4"/>
        <v>0</v>
      </c>
      <c r="L237" s="53" t="str">
        <f t="shared" si="5"/>
        <v>غير مكتملة</v>
      </c>
    </row>
    <row r="238" spans="2:12">
      <c r="B238" s="51" t="s">
        <v>24</v>
      </c>
      <c r="C238" s="52" t="s">
        <v>23</v>
      </c>
      <c r="D238" s="52" t="str">
        <f>IFERROR(INDEX('عدد اللاعبين'!$F$3:$F$193,MATCH($C238,'عدد اللاعبين'!$D$3:$D$193,0)),"")</f>
        <v>البكيرية، الرس، رياض الخبراء، البدائع</v>
      </c>
      <c r="E238" s="53">
        <f>MAX(SUMIFS($K$14:$K$204,$E$14:$E$204,$C238,$C$14:$C$204,المدخلات!$AC$6),SUMIFS($K$14:$K$204,$E$14:$E$204,$C238,$C$14:$C$204,المدخلات!$AC$7),SUMIFS($K$14:$K$204,$E$14:$E$204,$C238,$C$14:$C$204,المدخلات!$AC$8))</f>
        <v>0</v>
      </c>
      <c r="F238" s="53">
        <f>SUMIFS($K$14:$K$204,$E$14:$E$204,$C238,$C$14:$C$204,المدخلات!$AC$9)</f>
        <v>1</v>
      </c>
      <c r="G238" s="53">
        <f>SUMIFS($K$14:$K$204,$E$14:$E$204,$C238,$C$14:$C$204,المدخلات!$AC$10)</f>
        <v>1</v>
      </c>
      <c r="H238" s="53">
        <f>SUMIFS($K$14:$K$204,$E$14:$E$204,$C238,$C$14:$C$204,المدخلات!$AC$11)</f>
        <v>2</v>
      </c>
      <c r="I238" s="53">
        <f>SUMIFS($K$14:$K$204,$E$14:$E$204,$C238,$C$14:$C$204,المدخلات!$AC$12)</f>
        <v>2</v>
      </c>
      <c r="J238" s="53">
        <f t="shared" si="3"/>
        <v>2</v>
      </c>
      <c r="K238" s="54">
        <f t="shared" si="4"/>
        <v>36</v>
      </c>
      <c r="L238" s="53" t="str">
        <f t="shared" si="5"/>
        <v>مكتملة</v>
      </c>
    </row>
    <row r="239" spans="2:12">
      <c r="B239" s="51" t="s">
        <v>24</v>
      </c>
      <c r="C239" s="52" t="s">
        <v>576</v>
      </c>
      <c r="D239" s="52" t="str">
        <f>IFERROR(INDEX('عدد اللاعبين'!$F$3:$F$193,MATCH($C239,'عدد اللاعبين'!$D$3:$D$193,0)),"")</f>
        <v/>
      </c>
      <c r="E239" s="53">
        <f>MAX(SUMIFS($K$14:$K$204,$E$14:$E$204,$C239,$C$14:$C$204,المدخلات!$AC$6),SUMIFS($K$14:$K$204,$E$14:$E$204,$C239,$C$14:$C$204,المدخلات!$AC$7),SUMIFS($K$14:$K$204,$E$14:$E$204,$C239,$C$14:$C$204,المدخلات!$AC$8))</f>
        <v>0</v>
      </c>
      <c r="F239" s="53">
        <f>SUMIFS($K$14:$K$204,$E$14:$E$204,$C239,$C$14:$C$204,المدخلات!$AC$9)</f>
        <v>0</v>
      </c>
      <c r="G239" s="53">
        <f>SUMIFS($K$14:$K$204,$E$14:$E$204,$C239,$C$14:$C$204,المدخلات!$AC$10)</f>
        <v>0</v>
      </c>
      <c r="H239" s="53">
        <f>SUMIFS($K$14:$K$204,$E$14:$E$204,$C239,$C$14:$C$204,المدخلات!$AC$11)</f>
        <v>0</v>
      </c>
      <c r="I239" s="53">
        <f>SUMIFS($K$14:$K$204,$E$14:$E$204,$C239,$C$14:$C$204,المدخلات!$AC$12)</f>
        <v>0</v>
      </c>
      <c r="J239" s="53">
        <f t="shared" si="3"/>
        <v>0</v>
      </c>
      <c r="K239" s="54">
        <f t="shared" si="4"/>
        <v>0</v>
      </c>
      <c r="L239" s="53" t="str">
        <f t="shared" si="5"/>
        <v>غير مكتملة</v>
      </c>
    </row>
    <row r="240" spans="2:12">
      <c r="B240" s="51" t="s">
        <v>37</v>
      </c>
      <c r="C240" s="52" t="s">
        <v>39</v>
      </c>
      <c r="D240" s="52" t="str">
        <f>IFERROR(INDEX('عدد اللاعبين'!$F$3:$F$193,MATCH($C240,'عدد اللاعبين'!$D$3:$D$193,0)),"")</f>
        <v>جيزان</v>
      </c>
      <c r="E240" s="53">
        <f>MAX(SUMIFS($K$14:$K$204,$E$14:$E$204,$C240,$C$14:$C$204,المدخلات!$AC$6),SUMIFS($K$14:$K$204,$E$14:$E$204,$C240,$C$14:$C$204,المدخلات!$AC$7),SUMIFS($K$14:$K$204,$E$14:$E$204,$C240,$C$14:$C$204,المدخلات!$AC$8))</f>
        <v>1</v>
      </c>
      <c r="F240" s="53">
        <f>SUMIFS($K$14:$K$204,$E$14:$E$204,$C240,$C$14:$C$204,المدخلات!$AC$9)</f>
        <v>0</v>
      </c>
      <c r="G240" s="53">
        <f>SUMIFS($K$14:$K$204,$E$14:$E$204,$C240,$C$14:$C$204,المدخلات!$AC$10)</f>
        <v>0</v>
      </c>
      <c r="H240" s="53">
        <f>SUMIFS($K$14:$K$204,$E$14:$E$204,$C240,$C$14:$C$204,المدخلات!$AC$11)</f>
        <v>0</v>
      </c>
      <c r="I240" s="53">
        <f>SUMIFS($K$14:$K$204,$E$14:$E$204,$C240,$C$14:$C$204,المدخلات!$AC$12)</f>
        <v>0</v>
      </c>
      <c r="J240" s="53">
        <f t="shared" si="3"/>
        <v>1</v>
      </c>
      <c r="K240" s="54">
        <f t="shared" si="4"/>
        <v>73</v>
      </c>
      <c r="L240" s="53" t="str">
        <f t="shared" si="5"/>
        <v>مكتملة</v>
      </c>
    </row>
    <row r="241" spans="2:12">
      <c r="B241" s="51" t="s">
        <v>37</v>
      </c>
      <c r="C241" s="52" t="s">
        <v>1285</v>
      </c>
      <c r="D241" s="52" t="str">
        <f>IFERROR(INDEX('عدد اللاعبين'!$F$3:$F$193,MATCH($C241,'عدد اللاعبين'!$D$3:$D$193,0)),"")</f>
        <v>مركز الرفيعة</v>
      </c>
      <c r="E241" s="53">
        <f>MAX(SUMIFS($K$14:$K$204,$E$14:$E$204,$C241,$C$14:$C$204,المدخلات!$AC$6),SUMIFS($K$14:$K$204,$E$14:$E$204,$C241,$C$14:$C$204,المدخلات!$AC$7),SUMIFS($K$14:$K$204,$E$14:$E$204,$C241,$C$14:$C$204,المدخلات!$AC$8))</f>
        <v>1</v>
      </c>
      <c r="F241" s="53">
        <f>SUMIFS($K$14:$K$204,$E$14:$E$204,$C241,$C$14:$C$204,المدخلات!$AC$9)</f>
        <v>1</v>
      </c>
      <c r="G241" s="53">
        <f>SUMIFS($K$14:$K$204,$E$14:$E$204,$C241,$C$14:$C$204,المدخلات!$AC$10)</f>
        <v>1</v>
      </c>
      <c r="H241" s="53">
        <f>SUMIFS($K$14:$K$204,$E$14:$E$204,$C241,$C$14:$C$204,المدخلات!$AC$11)</f>
        <v>2</v>
      </c>
      <c r="I241" s="53">
        <f>SUMIFS($K$14:$K$204,$E$14:$E$204,$C241,$C$14:$C$204,المدخلات!$AC$12)</f>
        <v>2</v>
      </c>
      <c r="J241" s="53">
        <f t="shared" si="3"/>
        <v>2</v>
      </c>
      <c r="K241" s="54">
        <f t="shared" si="4"/>
        <v>59</v>
      </c>
      <c r="L241" s="53" t="str">
        <f t="shared" si="5"/>
        <v>مكتملة</v>
      </c>
    </row>
    <row r="242" spans="2:12">
      <c r="B242" s="51" t="s">
        <v>37</v>
      </c>
      <c r="C242" s="52" t="s">
        <v>53</v>
      </c>
      <c r="D242" s="52" t="str">
        <f>IFERROR(INDEX('عدد اللاعبين'!$F$3:$F$193,MATCH($C242,'عدد اللاعبين'!$D$3:$D$193,0)),"")</f>
        <v/>
      </c>
      <c r="E242" s="53">
        <f>MAX(SUMIFS($K$14:$K$204,$E$14:$E$204,$C242,$C$14:$C$204,المدخلات!$AC$6),SUMIFS($K$14:$K$204,$E$14:$E$204,$C242,$C$14:$C$204,المدخلات!$AC$7),SUMIFS($K$14:$K$204,$E$14:$E$204,$C242,$C$14:$C$204,المدخلات!$AC$8))</f>
        <v>0</v>
      </c>
      <c r="F242" s="53">
        <f>SUMIFS($K$14:$K$204,$E$14:$E$204,$C242,$C$14:$C$204,المدخلات!$AC$9)</f>
        <v>0</v>
      </c>
      <c r="G242" s="53">
        <f>SUMIFS($K$14:$K$204,$E$14:$E$204,$C242,$C$14:$C$204,المدخلات!$AC$10)</f>
        <v>0</v>
      </c>
      <c r="H242" s="53">
        <f>SUMIFS($K$14:$K$204,$E$14:$E$204,$C242,$C$14:$C$204,المدخلات!$AC$11)</f>
        <v>0</v>
      </c>
      <c r="I242" s="53">
        <f>SUMIFS($K$14:$K$204,$E$14:$E$204,$C242,$C$14:$C$204,المدخلات!$AC$12)</f>
        <v>0</v>
      </c>
      <c r="J242" s="53">
        <f t="shared" si="3"/>
        <v>0</v>
      </c>
      <c r="K242" s="54">
        <f t="shared" si="4"/>
        <v>0</v>
      </c>
      <c r="L242" s="53" t="str">
        <f t="shared" si="5"/>
        <v>غير مكتملة</v>
      </c>
    </row>
    <row r="243" spans="2:12">
      <c r="B243" s="51" t="s">
        <v>37</v>
      </c>
      <c r="C243" s="52" t="s">
        <v>22</v>
      </c>
      <c r="D243" s="52" t="str">
        <f>IFERROR(INDEX('عدد اللاعبين'!$F$3:$F$193,MATCH($C243,'عدد اللاعبين'!$D$3:$D$193,0)),"")</f>
        <v/>
      </c>
      <c r="E243" s="53">
        <f>MAX(SUMIFS($K$14:$K$204,$E$14:$E$204,$C243,$C$14:$C$204,المدخلات!$AC$6),SUMIFS($K$14:$K$204,$E$14:$E$204,$C243,$C$14:$C$204,المدخلات!$AC$7),SUMIFS($K$14:$K$204,$E$14:$E$204,$C243,$C$14:$C$204,المدخلات!$AC$8))</f>
        <v>0</v>
      </c>
      <c r="F243" s="53">
        <f>SUMIFS($K$14:$K$204,$E$14:$E$204,$C243,$C$14:$C$204,المدخلات!$AC$9)</f>
        <v>0</v>
      </c>
      <c r="G243" s="53">
        <f>SUMIFS($K$14:$K$204,$E$14:$E$204,$C243,$C$14:$C$204,المدخلات!$AC$10)</f>
        <v>0</v>
      </c>
      <c r="H243" s="53">
        <f>SUMIFS($K$14:$K$204,$E$14:$E$204,$C243,$C$14:$C$204,المدخلات!$AC$11)</f>
        <v>0</v>
      </c>
      <c r="I243" s="53">
        <f>SUMIFS($K$14:$K$204,$E$14:$E$204,$C243,$C$14:$C$204,المدخلات!$AC$12)</f>
        <v>0</v>
      </c>
      <c r="J243" s="53">
        <f t="shared" si="3"/>
        <v>0</v>
      </c>
      <c r="K243" s="54">
        <f t="shared" si="4"/>
        <v>0</v>
      </c>
      <c r="L243" s="53" t="str">
        <f t="shared" si="5"/>
        <v>غير مكتملة</v>
      </c>
    </row>
    <row r="244" spans="2:12">
      <c r="B244" s="51" t="s">
        <v>37</v>
      </c>
      <c r="C244" s="52" t="s">
        <v>25</v>
      </c>
      <c r="D244" s="52" t="str">
        <f>IFERROR(INDEX('عدد اللاعبين'!$F$3:$F$193,MATCH($C244,'عدد اللاعبين'!$D$3:$D$193,0)),"")</f>
        <v>القريات</v>
      </c>
      <c r="E244" s="53">
        <f>MAX(SUMIFS($K$14:$K$204,$E$14:$E$204,$C244,$C$14:$C$204,المدخلات!$AC$6),SUMIFS($K$14:$K$204,$E$14:$E$204,$C244,$C$14:$C$204,المدخلات!$AC$7),SUMIFS($K$14:$K$204,$E$14:$E$204,$C244,$C$14:$C$204,المدخلات!$AC$8))</f>
        <v>2</v>
      </c>
      <c r="F244" s="53">
        <f>SUMIFS($K$14:$K$204,$E$14:$E$204,$C244,$C$14:$C$204,المدخلات!$AC$9)</f>
        <v>0</v>
      </c>
      <c r="G244" s="53">
        <f>SUMIFS($K$14:$K$204,$E$14:$E$204,$C244,$C$14:$C$204,المدخلات!$AC$10)</f>
        <v>1</v>
      </c>
      <c r="H244" s="53">
        <f>SUMIFS($K$14:$K$204,$E$14:$E$204,$C244,$C$14:$C$204,المدخلات!$AC$11)</f>
        <v>1</v>
      </c>
      <c r="I244" s="53">
        <f>SUMIFS($K$14:$K$204,$E$14:$E$204,$C244,$C$14:$C$204,المدخلات!$AC$12)</f>
        <v>2</v>
      </c>
      <c r="J244" s="53">
        <f t="shared" si="3"/>
        <v>2</v>
      </c>
      <c r="K244" s="54">
        <f t="shared" ref="K244:K260" si="6">SUMIFS($G$14:$G$204,$E$14:$E$204,$C244,$G$14:$G$204,"&gt;="&amp;الحد_الأدنى)</f>
        <v>68</v>
      </c>
      <c r="L244" s="53" t="str">
        <f t="shared" si="5"/>
        <v>مكتملة</v>
      </c>
    </row>
    <row r="245" spans="2:12">
      <c r="B245" s="51" t="s">
        <v>37</v>
      </c>
      <c r="C245" s="52" t="s">
        <v>63</v>
      </c>
      <c r="D245" s="52" t="str">
        <f>IFERROR(INDEX('عدد اللاعبين'!$F$3:$F$193,MATCH($C245,'عدد اللاعبين'!$D$3:$D$193,0)),"")</f>
        <v>مركز الرفيعة</v>
      </c>
      <c r="E245" s="53">
        <f>MAX(SUMIFS($K$14:$K$204,$E$14:$E$204,$C245,$C$14:$C$204,المدخلات!$AC$6),SUMIFS($K$14:$K$204,$E$14:$E$204,$C245,$C$14:$C$204,المدخلات!$AC$7),SUMIFS($K$14:$K$204,$E$14:$E$204,$C245,$C$14:$C$204,المدخلات!$AC$8))</f>
        <v>1</v>
      </c>
      <c r="F245" s="53">
        <f>SUMIFS($K$14:$K$204,$E$14:$E$204,$C245,$C$14:$C$204,المدخلات!$AC$9)</f>
        <v>0</v>
      </c>
      <c r="G245" s="53">
        <f>SUMIFS($K$14:$K$204,$E$14:$E$204,$C245,$C$14:$C$204,المدخلات!$AC$10)</f>
        <v>0</v>
      </c>
      <c r="H245" s="53">
        <f>SUMIFS($K$14:$K$204,$E$14:$E$204,$C245,$C$14:$C$204,المدخلات!$AC$11)</f>
        <v>2</v>
      </c>
      <c r="I245" s="53">
        <f>SUMIFS($K$14:$K$204,$E$14:$E$204,$C245,$C$14:$C$204,المدخلات!$AC$12)</f>
        <v>0</v>
      </c>
      <c r="J245" s="53">
        <f t="shared" si="3"/>
        <v>2</v>
      </c>
      <c r="K245" s="54">
        <f t="shared" si="6"/>
        <v>71</v>
      </c>
      <c r="L245" s="53" t="str">
        <f t="shared" si="5"/>
        <v>مكتملة</v>
      </c>
    </row>
    <row r="246" spans="2:12">
      <c r="B246" s="51" t="s">
        <v>37</v>
      </c>
      <c r="C246" s="52" t="s">
        <v>56</v>
      </c>
      <c r="D246" s="52" t="str">
        <f>IFERROR(INDEX('عدد اللاعبين'!$F$3:$F$193,MATCH($C246,'عدد اللاعبين'!$D$3:$D$193,0)),"")</f>
        <v>بريدة، عيون الجواء، المذنب، عنيزة</v>
      </c>
      <c r="E246" s="53">
        <f>MAX(SUMIFS($K$14:$K$204,$E$14:$E$204,$C246,$C$14:$C$204,المدخلات!$AC$6),SUMIFS($K$14:$K$204,$E$14:$E$204,$C246,$C$14:$C$204,المدخلات!$AC$7),SUMIFS($K$14:$K$204,$E$14:$E$204,$C246,$C$14:$C$204,المدخلات!$AC$8))</f>
        <v>2</v>
      </c>
      <c r="F246" s="53">
        <f>SUMIFS($K$14:$K$204,$E$14:$E$204,$C246,$C$14:$C$204,المدخلات!$AC$9)</f>
        <v>2</v>
      </c>
      <c r="G246" s="53">
        <f>SUMIFS($K$14:$K$204,$E$14:$E$204,$C246,$C$14:$C$204,المدخلات!$AC$10)</f>
        <v>2</v>
      </c>
      <c r="H246" s="53">
        <f>SUMIFS($K$14:$K$204,$E$14:$E$204,$C246,$C$14:$C$204,المدخلات!$AC$11)</f>
        <v>3</v>
      </c>
      <c r="I246" s="53">
        <f>SUMIFS($K$14:$K$204,$E$14:$E$204,$C246,$C$14:$C$204,المدخلات!$AC$12)</f>
        <v>3</v>
      </c>
      <c r="J246" s="53">
        <f t="shared" si="3"/>
        <v>3</v>
      </c>
      <c r="K246" s="54">
        <f t="shared" si="6"/>
        <v>111</v>
      </c>
      <c r="L246" s="53" t="str">
        <f t="shared" si="5"/>
        <v>مكتملة</v>
      </c>
    </row>
    <row r="247" spans="2:12">
      <c r="B247" s="51" t="s">
        <v>37</v>
      </c>
      <c r="C247" s="52" t="s">
        <v>66</v>
      </c>
      <c r="D247" s="52" t="str">
        <f>IFERROR(INDEX('عدد اللاعبين'!$F$3:$F$193,MATCH($C247,'عدد اللاعبين'!$D$3:$D$193,0)),"")</f>
        <v/>
      </c>
      <c r="E247" s="53">
        <f>MAX(SUMIFS($K$14:$K$204,$E$14:$E$204,$C247,$C$14:$C$204,المدخلات!$AC$6),SUMIFS($K$14:$K$204,$E$14:$E$204,$C247,$C$14:$C$204,المدخلات!$AC$7),SUMIFS($K$14:$K$204,$E$14:$E$204,$C247,$C$14:$C$204,المدخلات!$AC$8))</f>
        <v>0</v>
      </c>
      <c r="F247" s="53">
        <f>SUMIFS($K$14:$K$204,$E$14:$E$204,$C247,$C$14:$C$204,المدخلات!$AC$9)</f>
        <v>0</v>
      </c>
      <c r="G247" s="53">
        <f>SUMIFS($K$14:$K$204,$E$14:$E$204,$C247,$C$14:$C$204,المدخلات!$AC$10)</f>
        <v>0</v>
      </c>
      <c r="H247" s="53">
        <f>SUMIFS($K$14:$K$204,$E$14:$E$204,$C247,$C$14:$C$204,المدخلات!$AC$11)</f>
        <v>0</v>
      </c>
      <c r="I247" s="53">
        <f>SUMIFS($K$14:$K$204,$E$14:$E$204,$C247,$C$14:$C$204,المدخلات!$AC$12)</f>
        <v>0</v>
      </c>
      <c r="J247" s="53">
        <f t="shared" si="3"/>
        <v>0</v>
      </c>
      <c r="K247" s="54">
        <f t="shared" si="6"/>
        <v>0</v>
      </c>
      <c r="L247" s="53" t="str">
        <f t="shared" si="5"/>
        <v>غير مكتملة</v>
      </c>
    </row>
    <row r="248" spans="2:12">
      <c r="B248" s="51" t="s">
        <v>29</v>
      </c>
      <c r="C248" s="52" t="s">
        <v>1204</v>
      </c>
      <c r="D248" s="52" t="str">
        <f>IFERROR(INDEX('عدد اللاعبين'!$F$3:$F$193,MATCH($C248,'عدد اللاعبين'!$D$3:$D$193,0)),"")</f>
        <v/>
      </c>
      <c r="E248" s="53">
        <f>MAX(SUMIFS($K$14:$K$204,$E$14:$E$204,$C248,$C$14:$C$204,المدخلات!$AC$6),SUMIFS($K$14:$K$204,$E$14:$E$204,$C248,$C$14:$C$204,المدخلات!$AC$7),SUMIFS($K$14:$K$204,$E$14:$E$204,$C248,$C$14:$C$204,المدخلات!$AC$8))</f>
        <v>0</v>
      </c>
      <c r="F248" s="53">
        <f>SUMIFS($K$14:$K$204,$E$14:$E$204,$C248,$C$14:$C$204,المدخلات!$AC$9)</f>
        <v>0</v>
      </c>
      <c r="G248" s="53">
        <f>SUMIFS($K$14:$K$204,$E$14:$E$204,$C248,$C$14:$C$204,المدخلات!$AC$10)</f>
        <v>0</v>
      </c>
      <c r="H248" s="53">
        <f>SUMIFS($K$14:$K$204,$E$14:$E$204,$C248,$C$14:$C$204,المدخلات!$AC$11)</f>
        <v>0</v>
      </c>
      <c r="I248" s="53">
        <f>SUMIFS($K$14:$K$204,$E$14:$E$204,$C248,$C$14:$C$204,المدخلات!$AC$12)</f>
        <v>0</v>
      </c>
      <c r="J248" s="53">
        <f t="shared" si="3"/>
        <v>0</v>
      </c>
      <c r="K248" s="54">
        <f t="shared" si="6"/>
        <v>0</v>
      </c>
      <c r="L248" s="53" t="str">
        <f t="shared" si="5"/>
        <v>غير مكتملة</v>
      </c>
    </row>
    <row r="249" spans="2:12">
      <c r="B249" s="51" t="s">
        <v>29</v>
      </c>
      <c r="C249" s="52" t="s">
        <v>28</v>
      </c>
      <c r="D249" s="52" t="str">
        <f>IFERROR(INDEX('عدد اللاعبين'!$F$3:$F$193,MATCH($C249,'عدد اللاعبين'!$D$3:$D$193,0)),"")</f>
        <v>الرس، البدائع</v>
      </c>
      <c r="E249" s="53">
        <f>MAX(SUMIFS($K$14:$K$204,$E$14:$E$204,$C249,$C$14:$C$204,المدخلات!$AC$6),SUMIFS($K$14:$K$204,$E$14:$E$204,$C249,$C$14:$C$204,المدخلات!$AC$7),SUMIFS($K$14:$K$204,$E$14:$E$204,$C249,$C$14:$C$204,المدخلات!$AC$8))</f>
        <v>1</v>
      </c>
      <c r="F249" s="53">
        <f>SUMIFS($K$14:$K$204,$E$14:$E$204,$C249,$C$14:$C$204,المدخلات!$AC$9)</f>
        <v>1</v>
      </c>
      <c r="G249" s="53">
        <f>SUMIFS($K$14:$K$204,$E$14:$E$204,$C249,$C$14:$C$204,المدخلات!$AC$10)</f>
        <v>1</v>
      </c>
      <c r="H249" s="53">
        <f>SUMIFS($K$14:$K$204,$E$14:$E$204,$C249,$C$14:$C$204,المدخلات!$AC$11)</f>
        <v>2</v>
      </c>
      <c r="I249" s="53">
        <f>SUMIFS($K$14:$K$204,$E$14:$E$204,$C249,$C$14:$C$204,المدخلات!$AC$12)</f>
        <v>1</v>
      </c>
      <c r="J249" s="53">
        <f t="shared" si="3"/>
        <v>2</v>
      </c>
      <c r="K249" s="54">
        <f t="shared" si="6"/>
        <v>69</v>
      </c>
      <c r="L249" s="53" t="str">
        <f t="shared" si="5"/>
        <v>مكتملة</v>
      </c>
    </row>
    <row r="250" spans="2:12">
      <c r="B250" s="51" t="s">
        <v>81</v>
      </c>
      <c r="C250" s="52" t="s">
        <v>7</v>
      </c>
      <c r="D250" s="52" t="str">
        <f>IFERROR(INDEX('عدد اللاعبين'!$F$3:$F$193,MATCH($C250,'عدد اللاعبين'!$D$3:$D$193,0)),"")</f>
        <v>مركز الرفيعة</v>
      </c>
      <c r="E250" s="53">
        <f>MAX(SUMIFS($K$14:$K$204,$E$14:$E$204,$C250,$C$14:$C$204,المدخلات!$AC$6),SUMIFS($K$14:$K$204,$E$14:$E$204,$C250,$C$14:$C$204,المدخلات!$AC$7),SUMIFS($K$14:$K$204,$E$14:$E$204,$C250,$C$14:$C$204,المدخلات!$AC$8))</f>
        <v>2</v>
      </c>
      <c r="F250" s="53">
        <f>SUMIFS($K$14:$K$204,$E$14:$E$204,$C250,$C$14:$C$204,المدخلات!$AC$9)</f>
        <v>0</v>
      </c>
      <c r="G250" s="53">
        <f>SUMIFS($K$14:$K$204,$E$14:$E$204,$C250,$C$14:$C$204,المدخلات!$AC$10)</f>
        <v>2</v>
      </c>
      <c r="H250" s="53">
        <f>SUMIFS($K$14:$K$204,$E$14:$E$204,$C250,$C$14:$C$204,المدخلات!$AC$11)</f>
        <v>0</v>
      </c>
      <c r="I250" s="53">
        <f>SUMIFS($K$14:$K$204,$E$14:$E$204,$C250,$C$14:$C$204,المدخلات!$AC$12)</f>
        <v>3</v>
      </c>
      <c r="J250" s="53">
        <f t="shared" si="3"/>
        <v>3</v>
      </c>
      <c r="K250" s="54">
        <f t="shared" si="6"/>
        <v>70</v>
      </c>
      <c r="L250" s="53" t="str">
        <f t="shared" si="5"/>
        <v>مكتملة</v>
      </c>
    </row>
    <row r="251" spans="2:12">
      <c r="B251" s="51" t="s">
        <v>81</v>
      </c>
      <c r="C251" s="52" t="s">
        <v>52</v>
      </c>
      <c r="D251" s="52" t="str">
        <f>IFERROR(INDEX('عدد اللاعبين'!$F$3:$F$193,MATCH($C251,'عدد اللاعبين'!$D$3:$D$193,0)),"")</f>
        <v/>
      </c>
      <c r="E251" s="53">
        <f>MAX(SUMIFS($K$14:$K$204,$E$14:$E$204,$C251,$C$14:$C$204,المدخلات!$AC$6),SUMIFS($K$14:$K$204,$E$14:$E$204,$C251,$C$14:$C$204,المدخلات!$AC$7),SUMIFS($K$14:$K$204,$E$14:$E$204,$C251,$C$14:$C$204,المدخلات!$AC$8))</f>
        <v>0</v>
      </c>
      <c r="F251" s="53">
        <f>SUMIFS($K$14:$K$204,$E$14:$E$204,$C251,$C$14:$C$204,المدخلات!$AC$9)</f>
        <v>0</v>
      </c>
      <c r="G251" s="53">
        <f>SUMIFS($K$14:$K$204,$E$14:$E$204,$C251,$C$14:$C$204,المدخلات!$AC$10)</f>
        <v>0</v>
      </c>
      <c r="H251" s="53">
        <f>SUMIFS($K$14:$K$204,$E$14:$E$204,$C251,$C$14:$C$204,المدخلات!$AC$11)</f>
        <v>0</v>
      </c>
      <c r="I251" s="53">
        <f>SUMIFS($K$14:$K$204,$E$14:$E$204,$C251,$C$14:$C$204,المدخلات!$AC$12)</f>
        <v>0</v>
      </c>
      <c r="J251" s="53">
        <f t="shared" si="3"/>
        <v>0</v>
      </c>
      <c r="K251" s="54">
        <f t="shared" si="6"/>
        <v>0</v>
      </c>
      <c r="L251" s="53" t="str">
        <f t="shared" si="5"/>
        <v>غير مكتملة</v>
      </c>
    </row>
    <row r="252" spans="2:12">
      <c r="B252" s="51" t="s">
        <v>81</v>
      </c>
      <c r="C252" s="52" t="s">
        <v>54</v>
      </c>
      <c r="D252" s="52" t="str">
        <f>IFERROR(INDEX('عدد اللاعبين'!$F$3:$F$193,MATCH($C252,'عدد اللاعبين'!$D$3:$D$193,0)),"")</f>
        <v/>
      </c>
      <c r="E252" s="53">
        <f>MAX(SUMIFS($K$14:$K$204,$E$14:$E$204,$C252,$C$14:$C$204,المدخلات!$AC$6),SUMIFS($K$14:$K$204,$E$14:$E$204,$C252,$C$14:$C$204,المدخلات!$AC$7),SUMIFS($K$14:$K$204,$E$14:$E$204,$C252,$C$14:$C$204,المدخلات!$AC$8))</f>
        <v>0</v>
      </c>
      <c r="F252" s="53">
        <f>SUMIFS($K$14:$K$204,$E$14:$E$204,$C252,$C$14:$C$204,المدخلات!$AC$9)</f>
        <v>0</v>
      </c>
      <c r="G252" s="53">
        <f>SUMIFS($K$14:$K$204,$E$14:$E$204,$C252,$C$14:$C$204,المدخلات!$AC$10)</f>
        <v>0</v>
      </c>
      <c r="H252" s="53">
        <f>SUMIFS($K$14:$K$204,$E$14:$E$204,$C252,$C$14:$C$204,المدخلات!$AC$11)</f>
        <v>0</v>
      </c>
      <c r="I252" s="53">
        <f>SUMIFS($K$14:$K$204,$E$14:$E$204,$C252,$C$14:$C$204,المدخلات!$AC$12)</f>
        <v>0</v>
      </c>
      <c r="J252" s="53">
        <f t="shared" si="3"/>
        <v>0</v>
      </c>
      <c r="K252" s="54">
        <f t="shared" si="6"/>
        <v>0</v>
      </c>
      <c r="L252" s="53" t="str">
        <f t="shared" si="5"/>
        <v>غير مكتملة</v>
      </c>
    </row>
    <row r="253" spans="2:12">
      <c r="B253" s="51" t="s">
        <v>81</v>
      </c>
      <c r="C253" s="52" t="s">
        <v>31</v>
      </c>
      <c r="D253" s="52" t="str">
        <f>IFERROR(INDEX('عدد اللاعبين'!$F$3:$F$193,MATCH($C253,'عدد اللاعبين'!$D$3:$D$193,0)),"")</f>
        <v/>
      </c>
      <c r="E253" s="53">
        <f>MAX(SUMIFS($K$14:$K$204,$E$14:$E$204,$C253,$C$14:$C$204,المدخلات!$AC$6),SUMIFS($K$14:$K$204,$E$14:$E$204,$C253,$C$14:$C$204,المدخلات!$AC$7),SUMIFS($K$14:$K$204,$E$14:$E$204,$C253,$C$14:$C$204,المدخلات!$AC$8))</f>
        <v>0</v>
      </c>
      <c r="F253" s="53">
        <f>SUMIFS($K$14:$K$204,$E$14:$E$204,$C253,$C$14:$C$204,المدخلات!$AC$9)</f>
        <v>0</v>
      </c>
      <c r="G253" s="53">
        <f>SUMIFS($K$14:$K$204,$E$14:$E$204,$C253,$C$14:$C$204,المدخلات!$AC$10)</f>
        <v>0</v>
      </c>
      <c r="H253" s="53">
        <f>SUMIFS($K$14:$K$204,$E$14:$E$204,$C253,$C$14:$C$204,المدخلات!$AC$11)</f>
        <v>0</v>
      </c>
      <c r="I253" s="53">
        <f>SUMIFS($K$14:$K$204,$E$14:$E$204,$C253,$C$14:$C$204,المدخلات!$AC$12)</f>
        <v>0</v>
      </c>
      <c r="J253" s="53">
        <f t="shared" si="3"/>
        <v>0</v>
      </c>
      <c r="K253" s="54">
        <f t="shared" si="6"/>
        <v>0</v>
      </c>
      <c r="L253" s="53" t="str">
        <f t="shared" si="5"/>
        <v>غير مكتملة</v>
      </c>
    </row>
    <row r="254" spans="2:12">
      <c r="B254" s="51" t="s">
        <v>108</v>
      </c>
      <c r="C254" s="52" t="s">
        <v>14</v>
      </c>
      <c r="D254" s="52" t="str">
        <f>IFERROR(INDEX('عدد اللاعبين'!$F$3:$F$193,MATCH($C254,'عدد اللاعبين'!$D$3:$D$193,0)),"")</f>
        <v>الظهران، الخبر، الدمام، سيهات</v>
      </c>
      <c r="E254" s="53">
        <f>MAX(SUMIFS($K$14:$K$204,$E$14:$E$204,$C254,$C$14:$C$204,المدخلات!$AC$6),SUMIFS($K$14:$K$204,$E$14:$E$204,$C254,$C$14:$C$204,المدخلات!$AC$7),SUMIFS($K$14:$K$204,$E$14:$E$204,$C254,$C$14:$C$204,المدخلات!$AC$8))</f>
        <v>2</v>
      </c>
      <c r="F254" s="53">
        <f>SUMIFS($K$14:$K$204,$E$14:$E$204,$C254,$C$14:$C$204,المدخلات!$AC$9)</f>
        <v>2</v>
      </c>
      <c r="G254" s="53">
        <f>SUMIFS($K$14:$K$204,$E$14:$E$204,$C254,$C$14:$C$204,المدخلات!$AC$10)</f>
        <v>2</v>
      </c>
      <c r="H254" s="53">
        <f>SUMIFS($K$14:$K$204,$E$14:$E$204,$C254,$C$14:$C$204,المدخلات!$AC$11)</f>
        <v>3</v>
      </c>
      <c r="I254" s="53">
        <f>SUMIFS($K$14:$K$204,$E$14:$E$204,$C254,$C$14:$C$204,المدخلات!$AC$12)</f>
        <v>4</v>
      </c>
      <c r="J254" s="53">
        <f t="shared" si="3"/>
        <v>4</v>
      </c>
      <c r="K254" s="54">
        <f t="shared" si="6"/>
        <v>111</v>
      </c>
      <c r="L254" s="53" t="str">
        <f t="shared" si="5"/>
        <v>مكتملة</v>
      </c>
    </row>
    <row r="255" spans="2:12">
      <c r="B255" s="51" t="s">
        <v>108</v>
      </c>
      <c r="C255" s="52" t="s">
        <v>18</v>
      </c>
      <c r="D255" s="52" t="str">
        <f>IFERROR(INDEX('عدد اللاعبين'!$F$3:$F$193,MATCH($C255,'عدد اللاعبين'!$D$3:$D$193,0)),"")</f>
        <v>المدينة المنورة</v>
      </c>
      <c r="E255" s="53">
        <f>MAX(SUMIFS($K$14:$K$204,$E$14:$E$204,$C255,$C$14:$C$204,المدخلات!$AC$6),SUMIFS($K$14:$K$204,$E$14:$E$204,$C255,$C$14:$C$204,المدخلات!$AC$7),SUMIFS($K$14:$K$204,$E$14:$E$204,$C255,$C$14:$C$204,المدخلات!$AC$8))</f>
        <v>1</v>
      </c>
      <c r="F255" s="53">
        <f>SUMIFS($K$14:$K$204,$E$14:$E$204,$C255,$C$14:$C$204,المدخلات!$AC$9)</f>
        <v>1</v>
      </c>
      <c r="G255" s="53">
        <f>SUMIFS($K$14:$K$204,$E$14:$E$204,$C255,$C$14:$C$204,المدخلات!$AC$10)</f>
        <v>1</v>
      </c>
      <c r="H255" s="53">
        <f>SUMIFS($K$14:$K$204,$E$14:$E$204,$C255,$C$14:$C$204,المدخلات!$AC$11)</f>
        <v>2</v>
      </c>
      <c r="I255" s="53">
        <f>SUMIFS($K$14:$K$204,$E$14:$E$204,$C255,$C$14:$C$204,المدخلات!$AC$12)</f>
        <v>0</v>
      </c>
      <c r="J255" s="53">
        <f t="shared" si="3"/>
        <v>2</v>
      </c>
      <c r="K255" s="54">
        <f t="shared" si="6"/>
        <v>61</v>
      </c>
      <c r="L255" s="53" t="str">
        <f t="shared" si="5"/>
        <v>مكتملة</v>
      </c>
    </row>
    <row r="256" spans="2:12">
      <c r="B256" s="51" t="s">
        <v>108</v>
      </c>
      <c r="C256" s="52" t="s">
        <v>50</v>
      </c>
      <c r="D256" s="52" t="str">
        <f>IFERROR(INDEX('عدد اللاعبين'!$F$3:$F$193,MATCH($C256,'عدد اللاعبين'!$D$3:$D$193,0)),"")</f>
        <v/>
      </c>
      <c r="E256" s="53">
        <f>MAX(SUMIFS($K$14:$K$204,$E$14:$E$204,$C256,$C$14:$C$204,المدخلات!$AC$6),SUMIFS($K$14:$K$204,$E$14:$E$204,$C256,$C$14:$C$204,المدخلات!$AC$7),SUMIFS($K$14:$K$204,$E$14:$E$204,$C256,$C$14:$C$204,المدخلات!$AC$8))</f>
        <v>0</v>
      </c>
      <c r="F256" s="53">
        <f>SUMIFS($K$14:$K$204,$E$14:$E$204,$C256,$C$14:$C$204,المدخلات!$AC$9)</f>
        <v>0</v>
      </c>
      <c r="G256" s="53">
        <f>SUMIFS($K$14:$K$204,$E$14:$E$204,$C256,$C$14:$C$204,المدخلات!$AC$10)</f>
        <v>0</v>
      </c>
      <c r="H256" s="53">
        <f>SUMIFS($K$14:$K$204,$E$14:$E$204,$C256,$C$14:$C$204,المدخلات!$AC$11)</f>
        <v>0</v>
      </c>
      <c r="I256" s="53">
        <f>SUMIFS($K$14:$K$204,$E$14:$E$204,$C256,$C$14:$C$204,المدخلات!$AC$12)</f>
        <v>0</v>
      </c>
      <c r="J256" s="53">
        <f t="shared" si="3"/>
        <v>0</v>
      </c>
      <c r="K256" s="54">
        <f t="shared" si="6"/>
        <v>0</v>
      </c>
      <c r="L256" s="53" t="str">
        <f t="shared" si="5"/>
        <v>غير مكتملة</v>
      </c>
    </row>
    <row r="257" spans="2:12">
      <c r="B257" s="51" t="s">
        <v>108</v>
      </c>
      <c r="C257" s="52" t="s">
        <v>26</v>
      </c>
      <c r="D257" s="52" t="str">
        <f>IFERROR(INDEX('عدد اللاعبين'!$F$3:$F$193,MATCH($C257,'عدد اللاعبين'!$D$3:$D$193,0)),"")</f>
        <v>مكة المكرمة، الجموم</v>
      </c>
      <c r="E257" s="53">
        <f>MAX(SUMIFS($K$14:$K$204,$E$14:$E$204,$C257,$C$14:$C$204,المدخلات!$AC$6),SUMIFS($K$14:$K$204,$E$14:$E$204,$C257,$C$14:$C$204,المدخلات!$AC$7),SUMIFS($K$14:$K$204,$E$14:$E$204,$C257,$C$14:$C$204,المدخلات!$AC$8))</f>
        <v>0</v>
      </c>
      <c r="F257" s="53">
        <f>SUMIFS($K$14:$K$204,$E$14:$E$204,$C257,$C$14:$C$204,المدخلات!$AC$9)</f>
        <v>0</v>
      </c>
      <c r="G257" s="53">
        <f>SUMIFS($K$14:$K$204,$E$14:$E$204,$C257,$C$14:$C$204,المدخلات!$AC$10)</f>
        <v>0</v>
      </c>
      <c r="H257" s="53">
        <f>SUMIFS($K$14:$K$204,$E$14:$E$204,$C257,$C$14:$C$204,المدخلات!$AC$11)</f>
        <v>0</v>
      </c>
      <c r="I257" s="53">
        <f>SUMIFS($K$14:$K$204,$E$14:$E$204,$C257,$C$14:$C$204,المدخلات!$AC$12)</f>
        <v>0</v>
      </c>
      <c r="J257" s="53">
        <f t="shared" si="3"/>
        <v>0</v>
      </c>
      <c r="K257" s="54">
        <f t="shared" si="6"/>
        <v>116</v>
      </c>
      <c r="L257" s="53" t="str">
        <f t="shared" si="5"/>
        <v>مكتملة</v>
      </c>
    </row>
    <row r="258" spans="2:12">
      <c r="B258" s="51" t="s">
        <v>108</v>
      </c>
      <c r="C258" s="52" t="s">
        <v>32</v>
      </c>
      <c r="D258" s="52" t="str">
        <f>IFERROR(INDEX('عدد اللاعبين'!$F$3:$F$193,MATCH($C258,'عدد اللاعبين'!$D$3:$D$193,0)),"")</f>
        <v>صبيا، ضمد</v>
      </c>
      <c r="E258" s="53">
        <f>MAX(SUMIFS($K$14:$K$204,$E$14:$E$204,$C258,$C$14:$C$204,المدخلات!$AC$6),SUMIFS($K$14:$K$204,$E$14:$E$204,$C258,$C$14:$C$204,المدخلات!$AC$7),SUMIFS($K$14:$K$204,$E$14:$E$204,$C258,$C$14:$C$204,المدخلات!$AC$8))</f>
        <v>0</v>
      </c>
      <c r="F258" s="53">
        <f>SUMIFS($K$14:$K$204,$E$14:$E$204,$C258,$C$14:$C$204,المدخلات!$AC$9)</f>
        <v>0</v>
      </c>
      <c r="G258" s="53">
        <f>SUMIFS($K$14:$K$204,$E$14:$E$204,$C258,$C$14:$C$204,المدخلات!$AC$10)</f>
        <v>0</v>
      </c>
      <c r="H258" s="53">
        <f>SUMIFS($K$14:$K$204,$E$14:$E$204,$C258,$C$14:$C$204,المدخلات!$AC$11)</f>
        <v>0</v>
      </c>
      <c r="I258" s="53">
        <f>SUMIFS($K$14:$K$204,$E$14:$E$204,$C258,$C$14:$C$204,المدخلات!$AC$12)</f>
        <v>0</v>
      </c>
      <c r="J258" s="53">
        <f t="shared" si="3"/>
        <v>0</v>
      </c>
      <c r="K258" s="54">
        <f t="shared" si="6"/>
        <v>198</v>
      </c>
      <c r="L258" s="53" t="str">
        <f t="shared" si="5"/>
        <v>مكتملة</v>
      </c>
    </row>
    <row r="259" spans="2:12">
      <c r="B259" s="51" t="s">
        <v>68</v>
      </c>
      <c r="C259" s="52" t="s">
        <v>60</v>
      </c>
      <c r="D259" s="52" t="str">
        <f>IFERROR(INDEX('عدد اللاعبين'!$F$3:$F$193,MATCH($C259,'عدد اللاعبين'!$D$3:$D$193,0)),"")</f>
        <v>الباحة، العقيق</v>
      </c>
      <c r="E259" s="53">
        <f>MAX(SUMIFS($K$14:$K$204,$E$14:$E$204,$C259,$C$14:$C$204,المدخلات!$AC$6),SUMIFS($K$14:$K$204,$E$14:$E$204,$C259,$C$14:$C$204,المدخلات!$AC$7),SUMIFS($K$14:$K$204,$E$14:$E$204,$C259,$C$14:$C$204,المدخلات!$AC$8))</f>
        <v>1</v>
      </c>
      <c r="F259" s="53">
        <f>SUMIFS($K$14:$K$204,$E$14:$E$204,$C259,$C$14:$C$204,المدخلات!$AC$9)</f>
        <v>0</v>
      </c>
      <c r="G259" s="53">
        <f>SUMIFS($K$14:$K$204,$E$14:$E$204,$C259,$C$14:$C$204,المدخلات!$AC$10)</f>
        <v>0</v>
      </c>
      <c r="H259" s="53">
        <f>SUMIFS($K$14:$K$204,$E$14:$E$204,$C259,$C$14:$C$204,المدخلات!$AC$11)</f>
        <v>0</v>
      </c>
      <c r="I259" s="53">
        <f>SUMIFS($K$14:$K$204,$E$14:$E$204,$C259,$C$14:$C$204,المدخلات!$AC$12)</f>
        <v>0</v>
      </c>
      <c r="J259" s="53">
        <f t="shared" si="3"/>
        <v>1</v>
      </c>
      <c r="K259" s="54">
        <f t="shared" si="6"/>
        <v>19</v>
      </c>
      <c r="L259" s="53" t="str">
        <f t="shared" si="5"/>
        <v>مكتملة</v>
      </c>
    </row>
    <row r="260" spans="2:12">
      <c r="B260" s="51" t="s">
        <v>68</v>
      </c>
      <c r="C260" s="52" t="s">
        <v>33</v>
      </c>
      <c r="D260" s="52" t="str">
        <f>IFERROR(INDEX('عدد اللاعبين'!$F$3:$F$193,MATCH($C260,'عدد اللاعبين'!$D$3:$D$193,0)),"")</f>
        <v>شرورة</v>
      </c>
      <c r="E260" s="53">
        <f>MAX(SUMIFS($K$14:$K$204,$E$14:$E$204,$C260,$C$14:$C$204,المدخلات!$AC$6),SUMIFS($K$14:$K$204,$E$14:$E$204,$C260,$C$14:$C$204,المدخلات!$AC$7),SUMIFS($K$14:$K$204,$E$14:$E$204,$C260,$C$14:$C$204,المدخلات!$AC$8))</f>
        <v>0</v>
      </c>
      <c r="F260" s="53">
        <f>SUMIFS($K$14:$K$204,$E$14:$E$204,$C260,$C$14:$C$204,المدخلات!$AC$9)</f>
        <v>0</v>
      </c>
      <c r="G260" s="53">
        <f>SUMIFS($K$14:$K$204,$E$14:$E$204,$C260,$C$14:$C$204,المدخلات!$AC$10)</f>
        <v>1</v>
      </c>
      <c r="H260" s="53">
        <f>SUMIFS($K$14:$K$204,$E$14:$E$204,$C260,$C$14:$C$204,المدخلات!$AC$11)</f>
        <v>1</v>
      </c>
      <c r="I260" s="53">
        <f>SUMIFS($K$14:$K$204,$E$14:$E$204,$C260,$C$14:$C$204,المدخلات!$AC$12)</f>
        <v>0</v>
      </c>
      <c r="J260" s="53">
        <f t="shared" si="3"/>
        <v>1</v>
      </c>
      <c r="K260" s="54">
        <f t="shared" si="6"/>
        <v>14</v>
      </c>
      <c r="L260" s="53" t="str">
        <f t="shared" si="5"/>
        <v>مكتملة</v>
      </c>
    </row>
    <row r="261" spans="2:12">
      <c r="B261" s="57" t="s">
        <v>1497</v>
      </c>
      <c r="C261" s="58"/>
      <c r="D261" s="58"/>
      <c r="E261" s="58">
        <f t="shared" ref="E261:K261" si="7">SUM(E212:E260)</f>
        <v>36</v>
      </c>
      <c r="F261" s="58">
        <f t="shared" si="7"/>
        <v>21</v>
      </c>
      <c r="G261" s="58">
        <f t="shared" si="7"/>
        <v>33</v>
      </c>
      <c r="H261" s="58">
        <f t="shared" si="7"/>
        <v>35</v>
      </c>
      <c r="I261" s="58">
        <f t="shared" si="7"/>
        <v>36</v>
      </c>
      <c r="J261" s="58">
        <f t="shared" si="7"/>
        <v>59</v>
      </c>
      <c r="K261" s="59">
        <f t="shared" si="7"/>
        <v>2525</v>
      </c>
      <c r="L261" s="60" t="str">
        <f>COUNTIF(L212:L260,"مكتملة")&amp;" من "&amp;COUNTA(L212:L260)</f>
        <v>32 من 49</v>
      </c>
    </row>
  </sheetData>
  <mergeCells count="1">
    <mergeCell ref="B2:G2"/>
  </mergeCells>
  <conditionalFormatting sqref="B212:L260">
    <cfRule type="expression" dxfId="7" priority="1">
      <formula>$K212=0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B36-E899-4190-99AC-4745BBDFDE28}">
  <dimension ref="B2:R261"/>
  <sheetViews>
    <sheetView rightToLeft="1" topLeftCell="A6" zoomScale="54" zoomScaleNormal="58" workbookViewId="0">
      <selection activeCell="K132" sqref="K132:K152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4" t="s">
        <v>1505</v>
      </c>
      <c r="C2" s="85"/>
      <c r="D2" s="85"/>
      <c r="E2" s="85"/>
      <c r="F2" s="85"/>
      <c r="G2" s="85"/>
      <c r="I2" s="22"/>
      <c r="J2" s="22"/>
      <c r="K2" s="22"/>
      <c r="L2" s="22"/>
    </row>
    <row r="3" spans="2:18">
      <c r="B3" s="23" t="s">
        <v>116</v>
      </c>
      <c r="C3" s="23" t="s">
        <v>1492</v>
      </c>
      <c r="D3" s="23" t="s">
        <v>1499</v>
      </c>
      <c r="E3" s="23" t="s">
        <v>1506</v>
      </c>
      <c r="F3" s="23" t="s">
        <v>3</v>
      </c>
      <c r="G3" s="23" t="s">
        <v>1507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COUNTIFS($C$14:$C$204,المدخلات!$AC$6,$G$14:$G$204,"&gt;="&amp;الحد_الأدنى)</f>
        <v>20</v>
      </c>
      <c r="F4" s="41">
        <f>SUMIFS($G$14:$G$204,$C$14:$C$204,المدخلات!$AC$6,$G$14:$G$204,"&gt;="&amp;الحد_الأدنى)</f>
        <v>240</v>
      </c>
      <c r="G4" s="42">
        <f>SUMIFS($K$14:$K$204,$C$14:$C$204,المدخلات!$AC$6)</f>
        <v>21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COUNTIFS($C$14:$C$204,المدخلات!$AC$7,$G$14:$G$204,"&gt;="&amp;الحد_الأدنى)</f>
        <v>23</v>
      </c>
      <c r="F5" s="41">
        <f>SUMIFS($G$14:$G$204,$C$14:$C$204,المدخلات!$AC$7,$G$14:$G$204,"&gt;="&amp;الحد_الأدنى)</f>
        <v>347</v>
      </c>
      <c r="G5" s="42">
        <f>SUMIFS($K$14:$K$204,$C$14:$C$204,المدخلات!$AC$7)</f>
        <v>38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COUNTIFS($C$14:$C$204,المدخلات!$AC$8,$G$14:$G$204,"&gt;="&amp;الحد_الأدنى)</f>
        <v>25</v>
      </c>
      <c r="F6" s="41">
        <f>SUMIFS($G$14:$G$204,$C$14:$C$204,المدخلات!$AC$8,$G$14:$G$204,"&gt;="&amp;الحد_الأدنى)</f>
        <v>398</v>
      </c>
      <c r="G6" s="42">
        <f>SUMIFS($K$14:$K$204,$C$14:$C$204,المدخلات!$AC$8)</f>
        <v>42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COUNTIFS($C$14:$C$204,المدخلات!$AC$9,$G$14:$G$204,"&gt;="&amp;الحد_الأدنى)</f>
        <v>24</v>
      </c>
      <c r="F7" s="41">
        <f>SUMIFS($G$14:$G$204,$C$14:$C$204,المدخلات!$AC$9,$G$14:$G$204,"&gt;="&amp;الحد_الأدنى)</f>
        <v>369</v>
      </c>
      <c r="G7" s="42">
        <f>SUMIFS($K$14:$K$204,$C$14:$C$204,المدخلات!$AC$9)</f>
        <v>30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COUNTIFS($C$14:$C$204,المدخلات!$AC$10,$G$14:$G$204,"&gt;="&amp;الحد_الأدنى)</f>
        <v>27</v>
      </c>
      <c r="F8" s="41">
        <f>SUMIFS($G$14:$G$204,$C$14:$C$204,المدخلات!$AC$10,$G$14:$G$204,"&gt;="&amp;الحد_الأدنى)</f>
        <v>392</v>
      </c>
      <c r="G8" s="42">
        <f>SUMIFS($K$14:$K$204,$C$14:$C$204,المدخلات!$AC$10)</f>
        <v>33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COUNTIFS($C$14:$C$204,المدخلات!$AC$11,$G$14:$G$204,"&gt;="&amp;الحد_الأدنى)</f>
        <v>27</v>
      </c>
      <c r="F9" s="41">
        <f>SUMIFS($G$14:$G$204,$C$14:$C$204,المدخلات!$AC$11,$G$14:$G$204,"&gt;="&amp;الحد_الأدنى)</f>
        <v>403</v>
      </c>
      <c r="G9" s="42">
        <f>SUMIFS($K$14:$K$204,$C$14:$C$204,المدخلات!$AC$11)</f>
        <v>75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COUNTIFS($C$14:$C$204,المدخلات!$AC$12,$G$14:$G$204,"&gt;="&amp;الحد_الأدنى)</f>
        <v>25</v>
      </c>
      <c r="F10" s="41">
        <f>SUMIFS($G$14:$G$204,$C$14:$C$204,المدخلات!$AC$12,$G$14:$G$204,"&gt;="&amp;الحد_الأدنى)</f>
        <v>376</v>
      </c>
      <c r="G10" s="42">
        <f>SUMIFS($K$14:$K$204,$C$14:$C$204,المدخلات!$AC$12)</f>
        <v>68</v>
      </c>
      <c r="I10" s="22"/>
      <c r="J10" s="22"/>
      <c r="K10" s="22"/>
      <c r="L10" s="22"/>
    </row>
    <row r="11" spans="2:18">
      <c r="B11" s="26" t="s">
        <v>1497</v>
      </c>
      <c r="C11" s="26"/>
      <c r="D11" s="26"/>
      <c r="E11" s="25">
        <f>SUM(E4:E10)</f>
        <v>171</v>
      </c>
      <c r="F11" s="25">
        <f>SUM(F4:F10)</f>
        <v>2525</v>
      </c>
      <c r="G11" s="27">
        <f>SUM(G4:G10)</f>
        <v>307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8" t="s">
        <v>129</v>
      </c>
      <c r="C13" s="79" t="s">
        <v>116</v>
      </c>
      <c r="D13" s="79" t="s">
        <v>1492</v>
      </c>
      <c r="E13" s="79" t="s">
        <v>0</v>
      </c>
      <c r="F13" s="79" t="s">
        <v>6</v>
      </c>
      <c r="G13" s="79" t="s">
        <v>3</v>
      </c>
      <c r="H13" s="79" t="s">
        <v>1499</v>
      </c>
      <c r="I13" s="79" t="s">
        <v>1496</v>
      </c>
      <c r="J13" s="79" t="s">
        <v>1504</v>
      </c>
      <c r="K13" s="79" t="s">
        <v>1503</v>
      </c>
      <c r="L13" s="22"/>
      <c r="M13" s="22"/>
      <c r="N13" s="22"/>
      <c r="O13" s="22"/>
      <c r="P13" s="22"/>
      <c r="Q13" s="22"/>
      <c r="R13" s="22"/>
    </row>
    <row r="14" spans="2:18" hidden="1">
      <c r="B14" s="77" t="str">
        <f>'عدد اللاعبين'!B3</f>
        <v/>
      </c>
      <c r="C14" s="72" t="e">
        <f>'عدد اللاعبين'!C3</f>
        <v>#REF!</v>
      </c>
      <c r="D14" s="72" t="str">
        <f>IFERROR(INDEX(المدخلات!$AD$6:$AD$12,MATCH($C14,المدخلات!$AC$6:$AC$12,0)),"")</f>
        <v/>
      </c>
      <c r="E14" s="72" t="e">
        <f>'عدد اللاعبين'!D3</f>
        <v>#REF!</v>
      </c>
      <c r="F14" s="73" t="str">
        <f>'عدد اللاعبين'!F3</f>
        <v>نجران</v>
      </c>
      <c r="G14" s="74">
        <f>'عدد اللاعبين'!G3</f>
        <v>5</v>
      </c>
      <c r="H14" s="72" t="str">
        <f>IFERROR(INDEX(المدخلات!$AE$6:$AE$12,MATCH($C14,المدخلات!$AC$6:$AC$12,0)),"")</f>
        <v/>
      </c>
      <c r="I14" s="74">
        <f t="shared" ref="I14:I77" si="0">IF($G14&lt;الحد_الأدنى,0,ROUNDDOWN($G14/فرق_المباراة,0))</f>
        <v>0</v>
      </c>
      <c r="J14" s="74">
        <f>ROUNDUP($I14/IFERROR(INDEX(المدخلات!$AJ$6:$AJ$12,MATCH($C14,المدخلات!$AC$6:$AC$12,0)),1),0)</f>
        <v>0</v>
      </c>
      <c r="K14" s="74">
        <f>ROUNDUP($J14/IFERROR(INDEX(المدخلات!$AF$6:$AF$12,MATCH($C14,المدخلات!$AC$6:$AC$12,0)),1),0)</f>
        <v>0</v>
      </c>
      <c r="L14" s="22"/>
      <c r="M14" s="22"/>
      <c r="N14" s="22"/>
      <c r="O14" s="22"/>
      <c r="P14" s="22"/>
      <c r="Q14" s="22"/>
      <c r="R14" s="22"/>
    </row>
    <row r="15" spans="2:18" hidden="1">
      <c r="B15" s="77" t="str">
        <f>'عدد اللاعبين'!B4</f>
        <v/>
      </c>
      <c r="C15" s="72" t="e">
        <f>'عدد اللاعبين'!C4</f>
        <v>#REF!</v>
      </c>
      <c r="D15" s="72" t="str">
        <f>IFERROR(INDEX(المدخلات!$AD$6:$AD$12,MATCH($C15,المدخلات!$AC$6:$AC$12,0)),"")</f>
        <v/>
      </c>
      <c r="E15" s="72" t="e">
        <f>'عدد اللاعبين'!D4</f>
        <v>#REF!</v>
      </c>
      <c r="F15" s="73" t="str">
        <f>'عدد اللاعبين'!F4</f>
        <v>طبرجل</v>
      </c>
      <c r="G15" s="74">
        <f>'عدد اللاعبين'!G4</f>
        <v>5</v>
      </c>
      <c r="H15" s="72" t="str">
        <f>IFERROR(INDEX(المدخلات!$AE$6:$AE$12,MATCH($C15,المدخلات!$AC$6:$AC$12,0)),"")</f>
        <v/>
      </c>
      <c r="I15" s="74">
        <f t="shared" si="0"/>
        <v>0</v>
      </c>
      <c r="J15" s="74">
        <f>ROUNDUP($I15/IFERROR(INDEX(المدخلات!$AJ$6:$AJ$12,MATCH($C15,المدخلات!$AC$6:$AC$12,0)),1),0)</f>
        <v>0</v>
      </c>
      <c r="K15" s="74">
        <f>ROUNDUP($J15/IFERROR(INDEX(المدخلات!$AF$6:$AF$12,MATCH($C15,المدخلات!$AC$6:$AC$12,0)),1),0)</f>
        <v>0</v>
      </c>
      <c r="L15" s="22"/>
      <c r="M15" s="22"/>
      <c r="N15" s="22"/>
      <c r="O15" s="22"/>
      <c r="P15" s="22"/>
      <c r="Q15" s="22"/>
      <c r="R15" s="22"/>
    </row>
    <row r="16" spans="2:18" hidden="1">
      <c r="B16" s="77" t="str">
        <f>'عدد اللاعبين'!B5</f>
        <v/>
      </c>
      <c r="C16" s="72" t="e">
        <f>'عدد اللاعبين'!C5</f>
        <v>#REF!</v>
      </c>
      <c r="D16" s="72" t="str">
        <f>IFERROR(INDEX(المدخلات!$AD$6:$AD$12,MATCH($C16,المدخلات!$AC$6:$AC$12,0)),"")</f>
        <v/>
      </c>
      <c r="E16" s="72" t="e">
        <f>'عدد اللاعبين'!D5</f>
        <v>#REF!</v>
      </c>
      <c r="F16" s="73" t="str">
        <f>'عدد اللاعبين'!F5</f>
        <v>طبرجل</v>
      </c>
      <c r="G16" s="74">
        <f>'عدد اللاعبين'!G5</f>
        <v>5</v>
      </c>
      <c r="H16" s="72" t="str">
        <f>IFERROR(INDEX(المدخلات!$AE$6:$AE$12,MATCH($C16,المدخلات!$AC$6:$AC$12,0)),"")</f>
        <v/>
      </c>
      <c r="I16" s="74">
        <f t="shared" si="0"/>
        <v>0</v>
      </c>
      <c r="J16" s="74">
        <f>ROUNDUP($I16/IFERROR(INDEX(المدخلات!$AJ$6:$AJ$12,MATCH($C16,المدخلات!$AC$6:$AC$12,0)),1),0)</f>
        <v>0</v>
      </c>
      <c r="K16" s="74">
        <f>ROUNDUP($J16/IFERROR(INDEX(المدخلات!$AF$6:$AF$12,MATCH($C16,المدخلات!$AC$6:$AC$12,0)),1),0)</f>
        <v>0</v>
      </c>
      <c r="L16" s="22"/>
      <c r="M16" s="22"/>
      <c r="N16" s="22"/>
      <c r="O16" s="22"/>
      <c r="P16" s="22"/>
      <c r="Q16" s="22"/>
      <c r="R16" s="22"/>
    </row>
    <row r="17" spans="2:18" hidden="1">
      <c r="B17" s="77" t="str">
        <f>'عدد اللاعبين'!B6</f>
        <v/>
      </c>
      <c r="C17" s="72" t="e">
        <f>'عدد اللاعبين'!C6</f>
        <v>#REF!</v>
      </c>
      <c r="D17" s="72" t="str">
        <f>IFERROR(INDEX(المدخلات!$AD$6:$AD$12,MATCH($C17,المدخلات!$AC$6:$AC$12,0)),"")</f>
        <v/>
      </c>
      <c r="E17" s="72" t="e">
        <f>'عدد اللاعبين'!D6</f>
        <v>#REF!</v>
      </c>
      <c r="F17" s="73" t="str">
        <f>'عدد اللاعبين'!F6</f>
        <v>الخرج</v>
      </c>
      <c r="G17" s="74">
        <f>'عدد اللاعبين'!G6</f>
        <v>5</v>
      </c>
      <c r="H17" s="72" t="str">
        <f>IFERROR(INDEX(المدخلات!$AE$6:$AE$12,MATCH($C17,المدخلات!$AC$6:$AC$12,0)),"")</f>
        <v/>
      </c>
      <c r="I17" s="74">
        <f t="shared" si="0"/>
        <v>0</v>
      </c>
      <c r="J17" s="74">
        <f>ROUNDUP($I17/IFERROR(INDEX(المدخلات!$AJ$6:$AJ$12,MATCH($C17,المدخلات!$AC$6:$AC$12,0)),1),0)</f>
        <v>0</v>
      </c>
      <c r="K17" s="74">
        <f>ROUNDUP($J17/IFERROR(INDEX(المدخلات!$AF$6:$AF$12,MATCH($C17,المدخلات!$AC$6:$AC$12,0)),1),0)</f>
        <v>0</v>
      </c>
      <c r="L17" s="22"/>
      <c r="M17" s="22"/>
      <c r="N17" s="22"/>
      <c r="O17" s="22"/>
      <c r="P17" s="22"/>
      <c r="Q17" s="22"/>
      <c r="R17" s="22"/>
    </row>
    <row r="18" spans="2:18" hidden="1">
      <c r="B18" s="77" t="str">
        <f>'عدد اللاعبين'!B7</f>
        <v/>
      </c>
      <c r="C18" s="72" t="e">
        <f>'عدد اللاعبين'!C7</f>
        <v>#REF!</v>
      </c>
      <c r="D18" s="72" t="str">
        <f>IFERROR(INDEX(المدخلات!$AD$6:$AD$12,MATCH($C18,المدخلات!$AC$6:$AC$12,0)),"")</f>
        <v/>
      </c>
      <c r="E18" s="72" t="e">
        <f>'عدد اللاعبين'!D7</f>
        <v>#REF!</v>
      </c>
      <c r="F18" s="73" t="str">
        <f>'عدد اللاعبين'!F7</f>
        <v>طبرجل</v>
      </c>
      <c r="G18" s="74">
        <f>'عدد اللاعبين'!G7</f>
        <v>5</v>
      </c>
      <c r="H18" s="72" t="str">
        <f>IFERROR(INDEX(المدخلات!$AE$6:$AE$12,MATCH($C18,المدخلات!$AC$6:$AC$12,0)),"")</f>
        <v/>
      </c>
      <c r="I18" s="74">
        <f t="shared" si="0"/>
        <v>0</v>
      </c>
      <c r="J18" s="74">
        <f>ROUNDUP($I18/IFERROR(INDEX(المدخلات!$AJ$6:$AJ$12,MATCH($C18,المدخلات!$AC$6:$AC$12,0)),1),0)</f>
        <v>0</v>
      </c>
      <c r="K18" s="74">
        <f>ROUNDUP($J18/IFERROR(INDEX(المدخلات!$AF$6:$AF$12,MATCH($C18,المدخلات!$AC$6:$AC$12,0)),1),0)</f>
        <v>0</v>
      </c>
      <c r="L18" s="22"/>
      <c r="M18" s="22"/>
      <c r="N18" s="22"/>
      <c r="O18" s="22"/>
      <c r="P18" s="22"/>
      <c r="Q18" s="22"/>
      <c r="R18" s="22"/>
    </row>
    <row r="19" spans="2:18" hidden="1">
      <c r="B19" s="77" t="str">
        <f>'عدد اللاعبين'!B8</f>
        <v/>
      </c>
      <c r="C19" s="72" t="e">
        <f>'عدد اللاعبين'!C8</f>
        <v>#REF!</v>
      </c>
      <c r="D19" s="72" t="str">
        <f>IFERROR(INDEX(المدخلات!$AD$6:$AD$12,MATCH($C19,المدخلات!$AC$6:$AC$12,0)),"")</f>
        <v/>
      </c>
      <c r="E19" s="72" t="e">
        <f>'عدد اللاعبين'!D8</f>
        <v>#REF!</v>
      </c>
      <c r="F19" s="73" t="str">
        <f>'عدد اللاعبين'!F8</f>
        <v>طبرجل</v>
      </c>
      <c r="G19" s="74">
        <f>'عدد اللاعبين'!G8</f>
        <v>5</v>
      </c>
      <c r="H19" s="72" t="str">
        <f>IFERROR(INDEX(المدخلات!$AE$6:$AE$12,MATCH($C19,المدخلات!$AC$6:$AC$12,0)),"")</f>
        <v/>
      </c>
      <c r="I19" s="74">
        <f t="shared" si="0"/>
        <v>0</v>
      </c>
      <c r="J19" s="74">
        <f>ROUNDUP($I19/IFERROR(INDEX(المدخلات!$AJ$6:$AJ$12,MATCH($C19,المدخلات!$AC$6:$AC$12,0)),1),0)</f>
        <v>0</v>
      </c>
      <c r="K19" s="74">
        <f>ROUNDUP($J19/IFERROR(INDEX(المدخلات!$AF$6:$AF$12,MATCH($C19,المدخلات!$AC$6:$AC$12,0)),1),0)</f>
        <v>0</v>
      </c>
      <c r="L19" s="22"/>
      <c r="M19" s="22"/>
      <c r="N19" s="22"/>
      <c r="O19" s="22"/>
      <c r="P19" s="22"/>
      <c r="Q19" s="22"/>
      <c r="R19" s="22"/>
    </row>
    <row r="20" spans="2:18" hidden="1">
      <c r="B20" s="77" t="str">
        <f>'عدد اللاعبين'!B9</f>
        <v/>
      </c>
      <c r="C20" s="72" t="e">
        <f>'عدد اللاعبين'!C9</f>
        <v>#REF!</v>
      </c>
      <c r="D20" s="72" t="str">
        <f>IFERROR(INDEX(المدخلات!$AD$6:$AD$12,MATCH($C20,المدخلات!$AC$6:$AC$12,0)),"")</f>
        <v/>
      </c>
      <c r="E20" s="72" t="e">
        <f>'عدد اللاعبين'!D9</f>
        <v>#REF!</v>
      </c>
      <c r="F20" s="73" t="str">
        <f>'عدد اللاعبين'!F9</f>
        <v>شرورة</v>
      </c>
      <c r="G20" s="74">
        <f>'عدد اللاعبين'!G9</f>
        <v>5</v>
      </c>
      <c r="H20" s="72" t="str">
        <f>IFERROR(INDEX(المدخلات!$AE$6:$AE$12,MATCH($C20,المدخلات!$AC$6:$AC$12,0)),"")</f>
        <v/>
      </c>
      <c r="I20" s="74">
        <f t="shared" si="0"/>
        <v>0</v>
      </c>
      <c r="J20" s="74">
        <f>ROUNDUP($I20/IFERROR(INDEX(المدخلات!$AJ$6:$AJ$12,MATCH($C20,المدخلات!$AC$6:$AC$12,0)),1),0)</f>
        <v>0</v>
      </c>
      <c r="K20" s="74">
        <f>ROUNDUP($J20/IFERROR(INDEX(المدخلات!$AF$6:$AF$12,MATCH($C20,المدخلات!$AC$6:$AC$12,0)),1),0)</f>
        <v>0</v>
      </c>
      <c r="L20" s="22"/>
      <c r="M20" s="22"/>
      <c r="N20" s="22"/>
      <c r="O20" s="22"/>
      <c r="P20" s="22"/>
      <c r="Q20" s="22"/>
      <c r="R20" s="22"/>
    </row>
    <row r="21" spans="2:18" hidden="1">
      <c r="B21" s="77" t="str">
        <f>'عدد اللاعبين'!B10</f>
        <v>نجران</v>
      </c>
      <c r="C21" s="72" t="str">
        <f>'عدد اللاعبين'!C10</f>
        <v>تحت 14</v>
      </c>
      <c r="D21" s="72" t="str">
        <f>IFERROR(INDEX(المدخلات!$AD$6:$AD$12,MATCH($C21,المدخلات!$AC$6:$AC$12,0)),"")</f>
        <v>الأربعاء</v>
      </c>
      <c r="E21" s="72" t="str">
        <f>'عدد اللاعبين'!D10</f>
        <v>مجموعة نجران</v>
      </c>
      <c r="F21" s="73" t="str">
        <f>'عدد اللاعبين'!F10</f>
        <v>شرورة</v>
      </c>
      <c r="G21" s="74">
        <f>'عدد اللاعبين'!G10</f>
        <v>5</v>
      </c>
      <c r="H21" s="72" t="str">
        <f>IFERROR(INDEX(المدخلات!$AE$6:$AE$12,MATCH($C21,المدخلات!$AC$6:$AC$12,0)),"")</f>
        <v>قانوني</v>
      </c>
      <c r="I21" s="74">
        <f t="shared" si="0"/>
        <v>0</v>
      </c>
      <c r="J21" s="74">
        <f>ROUNDUP($I21/IFERROR(INDEX(المدخلات!$AJ$6:$AJ$12,MATCH($C21,المدخلات!$AC$6:$AC$12,0)),1),0)</f>
        <v>0</v>
      </c>
      <c r="K21" s="74">
        <f>ROUNDUP($J21/IFERROR(INDEX(المدخلات!$AF$6:$AF$12,MATCH($C21,المدخلات!$AC$6:$AC$12,0)),1),0)</f>
        <v>0</v>
      </c>
      <c r="L21" s="22"/>
      <c r="M21" s="22"/>
      <c r="N21" s="22"/>
      <c r="O21" s="22"/>
      <c r="P21" s="22"/>
      <c r="Q21" s="22"/>
      <c r="R21" s="22"/>
    </row>
    <row r="22" spans="2:18" hidden="1">
      <c r="B22" s="77" t="str">
        <f>'عدد اللاعبين'!B11</f>
        <v>الجوف</v>
      </c>
      <c r="C22" s="72" t="str">
        <f>'عدد اللاعبين'!C11</f>
        <v>تحت 5</v>
      </c>
      <c r="D22" s="72" t="str">
        <f>IFERROR(INDEX(المدخلات!$AD$6:$AD$12,MATCH($C22,المدخلات!$AC$6:$AC$12,0)),"")</f>
        <v>السبت</v>
      </c>
      <c r="E22" s="72" t="str">
        <f>'عدد اللاعبين'!D11</f>
        <v>مجموعة طبرجل</v>
      </c>
      <c r="F22" s="73" t="str">
        <f>'عدد اللاعبين'!F11</f>
        <v>الدوادمي</v>
      </c>
      <c r="G22" s="74">
        <f>'عدد اللاعبين'!G11</f>
        <v>5</v>
      </c>
      <c r="H22" s="72" t="str">
        <f>IFERROR(INDEX(المدخلات!$AE$6:$AE$12,MATCH($C22,المدخلات!$AC$6:$AC$12,0)),"")</f>
        <v>5 ضد 5</v>
      </c>
      <c r="I22" s="74">
        <f t="shared" si="0"/>
        <v>0</v>
      </c>
      <c r="J22" s="74">
        <f>ROUNDUP($I22/IFERROR(INDEX(المدخلات!$AJ$6:$AJ$12,MATCH($C22,المدخلات!$AC$6:$AC$12,0)),1),0)</f>
        <v>0</v>
      </c>
      <c r="K22" s="74">
        <f>ROUNDUP($J22/IFERROR(INDEX(المدخلات!$AF$6:$AF$12,MATCH($C22,المدخلات!$AC$6:$AC$12,0)),1),0)</f>
        <v>0</v>
      </c>
      <c r="L22" s="22"/>
      <c r="M22" s="22"/>
      <c r="N22" s="22"/>
      <c r="O22" s="22"/>
      <c r="P22" s="22"/>
      <c r="Q22" s="22"/>
      <c r="R22" s="22"/>
    </row>
    <row r="23" spans="2:18" hidden="1">
      <c r="B23" s="77" t="str">
        <f>'عدد اللاعبين'!B12</f>
        <v>الجوف</v>
      </c>
      <c r="C23" s="72" t="str">
        <f>'عدد اللاعبين'!C12</f>
        <v>تحت 7</v>
      </c>
      <c r="D23" s="72" t="str">
        <f>IFERROR(INDEX(المدخلات!$AD$6:$AD$12,MATCH($C23,المدخلات!$AC$6:$AC$12,0)),"")</f>
        <v>السبت</v>
      </c>
      <c r="E23" s="72" t="str">
        <f>'عدد اللاعبين'!D12</f>
        <v>مجموعة طبرجل</v>
      </c>
      <c r="F23" s="73" t="str">
        <f>'عدد اللاعبين'!F12</f>
        <v>القريات</v>
      </c>
      <c r="G23" s="74">
        <f>'عدد اللاعبين'!G12</f>
        <v>5</v>
      </c>
      <c r="H23" s="72" t="str">
        <f>IFERROR(INDEX(المدخلات!$AE$6:$AE$12,MATCH($C23,المدخلات!$AC$6:$AC$12,0)),"")</f>
        <v>7 ضد 7</v>
      </c>
      <c r="I23" s="74">
        <f t="shared" si="0"/>
        <v>0</v>
      </c>
      <c r="J23" s="74">
        <f>ROUNDUP($I23/IFERROR(INDEX(المدخلات!$AJ$6:$AJ$12,MATCH($C23,المدخلات!$AC$6:$AC$12,0)),1),0)</f>
        <v>0</v>
      </c>
      <c r="K23" s="74">
        <f>ROUNDUP($J23/IFERROR(INDEX(المدخلات!$AF$6:$AF$12,MATCH($C23,المدخلات!$AC$6:$AC$12,0)),1),0)</f>
        <v>0</v>
      </c>
      <c r="L23" s="22"/>
      <c r="M23" s="22"/>
      <c r="N23" s="22"/>
      <c r="O23" s="22"/>
      <c r="P23" s="22"/>
      <c r="Q23" s="22"/>
      <c r="R23" s="22"/>
    </row>
    <row r="24" spans="2:18" hidden="1">
      <c r="B24" s="77" t="str">
        <f>'عدد اللاعبين'!B13</f>
        <v>الرياض</v>
      </c>
      <c r="C24" s="72" t="str">
        <f>'عدد اللاعبين'!C13</f>
        <v>تحت 9</v>
      </c>
      <c r="D24" s="72" t="str">
        <f>IFERROR(INDEX(المدخلات!$AD$6:$AD$12,MATCH($C24,المدخلات!$AC$6:$AC$12,0)),"")</f>
        <v>السبت</v>
      </c>
      <c r="E24" s="72" t="str">
        <f>'عدد اللاعبين'!D13</f>
        <v>مجموعة الخرج</v>
      </c>
      <c r="F24" s="73" t="str">
        <f>'عدد اللاعبين'!F13</f>
        <v>القريات</v>
      </c>
      <c r="G24" s="74">
        <f>'عدد اللاعبين'!G13</f>
        <v>5</v>
      </c>
      <c r="H24" s="72" t="str">
        <f>IFERROR(INDEX(المدخلات!$AE$6:$AE$12,MATCH($C24,المدخلات!$AC$6:$AC$12,0)),"")</f>
        <v>7 ضد 7</v>
      </c>
      <c r="I24" s="74">
        <f t="shared" si="0"/>
        <v>0</v>
      </c>
      <c r="J24" s="74">
        <f>ROUNDUP($I24/IFERROR(INDEX(المدخلات!$AJ$6:$AJ$12,MATCH($C24,المدخلات!$AC$6:$AC$12,0)),1),0)</f>
        <v>0</v>
      </c>
      <c r="K24" s="74">
        <f>ROUNDUP($J24/IFERROR(INDEX(المدخلات!$AF$6:$AF$12,MATCH($C24,المدخلات!$AC$6:$AC$12,0)),1),0)</f>
        <v>0</v>
      </c>
      <c r="L24" s="22"/>
      <c r="M24" s="22"/>
      <c r="N24" s="22"/>
      <c r="O24" s="22"/>
      <c r="P24" s="22"/>
      <c r="Q24" s="22"/>
      <c r="R24" s="22"/>
    </row>
    <row r="25" spans="2:18" hidden="1">
      <c r="B25" s="77" t="str">
        <f>'عدد اللاعبين'!B14</f>
        <v>الجوف</v>
      </c>
      <c r="C25" s="72" t="str">
        <f>'عدد اللاعبين'!C14</f>
        <v>تحت 12</v>
      </c>
      <c r="D25" s="72" t="str">
        <f>IFERROR(INDEX(المدخلات!$AD$6:$AD$12,MATCH($C25,المدخلات!$AC$6:$AC$12,0)),"")</f>
        <v>الاثنين</v>
      </c>
      <c r="E25" s="72" t="str">
        <f>'عدد اللاعبين'!D14</f>
        <v>مجموعة طبرجل</v>
      </c>
      <c r="F25" s="73" t="str">
        <f>'عدد اللاعبين'!F14</f>
        <v>القريات</v>
      </c>
      <c r="G25" s="74">
        <f>'عدد اللاعبين'!G14</f>
        <v>5</v>
      </c>
      <c r="H25" s="72" t="str">
        <f>IFERROR(INDEX(المدخلات!$AE$6:$AE$12,MATCH($C25,المدخلات!$AC$6:$AC$12,0)),"")</f>
        <v>7 ضد 7</v>
      </c>
      <c r="I25" s="74">
        <f t="shared" si="0"/>
        <v>0</v>
      </c>
      <c r="J25" s="74">
        <f>ROUNDUP($I25/IFERROR(INDEX(المدخلات!$AJ$6:$AJ$12,MATCH($C25,المدخلات!$AC$6:$AC$12,0)),1),0)</f>
        <v>0</v>
      </c>
      <c r="K25" s="74">
        <f>ROUNDUP($J25/IFERROR(INDEX(المدخلات!$AF$6:$AF$12,MATCH($C25,المدخلات!$AC$6:$AC$12,0)),1),0)</f>
        <v>0</v>
      </c>
      <c r="L25" s="22"/>
      <c r="M25" s="22"/>
      <c r="N25" s="22"/>
      <c r="O25" s="22"/>
      <c r="P25" s="22"/>
      <c r="Q25" s="22"/>
      <c r="R25" s="22"/>
    </row>
    <row r="26" spans="2:18" hidden="1">
      <c r="B26" s="77" t="str">
        <f>'عدد اللاعبين'!B15</f>
        <v>الجوف</v>
      </c>
      <c r="C26" s="72" t="str">
        <f>'عدد اللاعبين'!C15</f>
        <v>تحت 14</v>
      </c>
      <c r="D26" s="72" t="str">
        <f>IFERROR(INDEX(المدخلات!$AD$6:$AD$12,MATCH($C26,المدخلات!$AC$6:$AC$12,0)),"")</f>
        <v>الأربعاء</v>
      </c>
      <c r="E26" s="72" t="str">
        <f>'عدد اللاعبين'!D15</f>
        <v>مجموعة طبرجل</v>
      </c>
      <c r="F26" s="73" t="str">
        <f>'عدد اللاعبين'!F15</f>
        <v>القريات</v>
      </c>
      <c r="G26" s="74">
        <f>'عدد اللاعبين'!G15</f>
        <v>5</v>
      </c>
      <c r="H26" s="72" t="str">
        <f>IFERROR(INDEX(المدخلات!$AE$6:$AE$12,MATCH($C26,المدخلات!$AC$6:$AC$12,0)),"")</f>
        <v>قانوني</v>
      </c>
      <c r="I26" s="74">
        <f t="shared" si="0"/>
        <v>0</v>
      </c>
      <c r="J26" s="74">
        <f>ROUNDUP($I26/IFERROR(INDEX(المدخلات!$AJ$6:$AJ$12,MATCH($C26,المدخلات!$AC$6:$AC$12,0)),1),0)</f>
        <v>0</v>
      </c>
      <c r="K26" s="74">
        <f>ROUNDUP($J26/IFERROR(INDEX(المدخلات!$AF$6:$AF$12,MATCH($C26,المدخلات!$AC$6:$AC$12,0)),1),0)</f>
        <v>0</v>
      </c>
      <c r="L26" s="22"/>
      <c r="M26" s="22"/>
      <c r="N26" s="22"/>
      <c r="O26" s="22"/>
      <c r="P26" s="22"/>
      <c r="Q26" s="22"/>
      <c r="R26" s="22"/>
    </row>
    <row r="27" spans="2:18" hidden="1">
      <c r="B27" s="77" t="str">
        <f>'عدد اللاعبين'!B16</f>
        <v>نجران</v>
      </c>
      <c r="C27" s="72" t="str">
        <f>'عدد اللاعبين'!C16</f>
        <v>تحت 7</v>
      </c>
      <c r="D27" s="72" t="str">
        <f>IFERROR(INDEX(المدخلات!$AD$6:$AD$12,MATCH($C27,المدخلات!$AC$6:$AC$12,0)),"")</f>
        <v>السبت</v>
      </c>
      <c r="E27" s="72" t="str">
        <f>'عدد اللاعبين'!D16</f>
        <v>مجموعة شرورة</v>
      </c>
      <c r="F27" s="73" t="str">
        <f>'عدد اللاعبين'!F16</f>
        <v>الباحة، العقيق</v>
      </c>
      <c r="G27" s="74">
        <f>'عدد اللاعبين'!G16</f>
        <v>6</v>
      </c>
      <c r="H27" s="72" t="str">
        <f>IFERROR(INDEX(المدخلات!$AE$6:$AE$12,MATCH($C27,المدخلات!$AC$6:$AC$12,0)),"")</f>
        <v>7 ضد 7</v>
      </c>
      <c r="I27" s="74">
        <f t="shared" si="0"/>
        <v>3</v>
      </c>
      <c r="J27" s="74">
        <f>ROUNDUP($I27/IFERROR(INDEX(المدخلات!$AJ$6:$AJ$12,MATCH($C27,المدخلات!$AC$6:$AC$12,0)),1),0)</f>
        <v>1</v>
      </c>
      <c r="K27" s="74">
        <f>ROUNDUP($J27/IFERROR(INDEX(المدخلات!$AF$6:$AF$12,MATCH($C27,المدخلات!$AC$6:$AC$12,0)),1),0)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7" t="str">
        <f>'عدد اللاعبين'!B17</f>
        <v>نجران</v>
      </c>
      <c r="C28" s="72" t="str">
        <f>'عدد اللاعبين'!C17</f>
        <v>تحت 9</v>
      </c>
      <c r="D28" s="72" t="str">
        <f>IFERROR(INDEX(المدخلات!$AD$6:$AD$12,MATCH($C28,المدخلات!$AC$6:$AC$12,0)),"")</f>
        <v>السبت</v>
      </c>
      <c r="E28" s="72" t="str">
        <f>'عدد اللاعبين'!D17</f>
        <v>مجموعة شرورة</v>
      </c>
      <c r="F28" s="73" t="str">
        <f>'عدد اللاعبين'!F17</f>
        <v>نجران</v>
      </c>
      <c r="G28" s="74">
        <f>'عدد اللاعبين'!G17</f>
        <v>6</v>
      </c>
      <c r="H28" s="72" t="str">
        <f>IFERROR(INDEX(المدخلات!$AE$6:$AE$12,MATCH($C28,المدخلات!$AC$6:$AC$12,0)),"")</f>
        <v>7 ضد 7</v>
      </c>
      <c r="I28" s="74">
        <f t="shared" si="0"/>
        <v>3</v>
      </c>
      <c r="J28" s="74">
        <f>ROUNDUP($I28/IFERROR(INDEX(المدخلات!$AJ$6:$AJ$12,MATCH($C28,المدخلات!$AC$6:$AC$12,0)),1),0)</f>
        <v>1</v>
      </c>
      <c r="K28" s="74">
        <f>ROUNDUP($J28/IFERROR(INDEX(المدخلات!$AF$6:$AF$12,MATCH($C28,المدخلات!$AC$6:$AC$12,0)),1),0)</f>
        <v>1</v>
      </c>
      <c r="L28" s="22"/>
      <c r="M28" s="22"/>
      <c r="N28" s="22"/>
      <c r="O28" s="22"/>
      <c r="P28" s="22"/>
      <c r="Q28" s="22"/>
      <c r="R28" s="22"/>
    </row>
    <row r="29" spans="2:18" hidden="1">
      <c r="B29" s="77" t="str">
        <f>'عدد اللاعبين'!B18</f>
        <v>الرياض</v>
      </c>
      <c r="C29" s="72" t="str">
        <f>'عدد اللاعبين'!C18</f>
        <v>تحت 9</v>
      </c>
      <c r="D29" s="72" t="str">
        <f>IFERROR(INDEX(المدخلات!$AD$6:$AD$12,MATCH($C29,المدخلات!$AC$6:$AC$12,0)),"")</f>
        <v>السبت</v>
      </c>
      <c r="E29" s="72" t="str">
        <f>'عدد اللاعبين'!D18</f>
        <v>مجموعة الدوادمي</v>
      </c>
      <c r="F29" s="73" t="str">
        <f>'عدد اللاعبين'!F18</f>
        <v>الباحة، بلقرن، العقيق</v>
      </c>
      <c r="G29" s="74">
        <f>'عدد اللاعبين'!G18</f>
        <v>6</v>
      </c>
      <c r="H29" s="72" t="str">
        <f>IFERROR(INDEX(المدخلات!$AE$6:$AE$12,MATCH($C29,المدخلات!$AC$6:$AC$12,0)),"")</f>
        <v>7 ضد 7</v>
      </c>
      <c r="I29" s="74">
        <f t="shared" si="0"/>
        <v>3</v>
      </c>
      <c r="J29" s="74">
        <f>ROUNDUP($I29/IFERROR(INDEX(المدخلات!$AJ$6:$AJ$12,MATCH($C29,المدخلات!$AC$6:$AC$12,0)),1),0)</f>
        <v>1</v>
      </c>
      <c r="K29" s="74">
        <f>ROUNDUP($J29/IFERROR(INDEX(المدخلات!$AF$6:$AF$12,MATCH($C29,المدخلات!$AC$6:$AC$12,0)),1),0)</f>
        <v>1</v>
      </c>
      <c r="L29" s="22"/>
      <c r="M29" s="22"/>
      <c r="N29" s="22"/>
      <c r="O29" s="22"/>
      <c r="P29" s="22"/>
      <c r="Q29" s="22"/>
      <c r="R29" s="22"/>
    </row>
    <row r="30" spans="2:18" hidden="1">
      <c r="B30" s="77" t="str">
        <f>'عدد اللاعبين'!B19</f>
        <v>الجوف</v>
      </c>
      <c r="C30" s="72" t="str">
        <f>'عدد اللاعبين'!C19</f>
        <v>تحت 11</v>
      </c>
      <c r="D30" s="72" t="str">
        <f>IFERROR(INDEX(المدخلات!$AD$6:$AD$12,MATCH($C30,المدخلات!$AC$6:$AC$12,0)),"")</f>
        <v>الأحد</v>
      </c>
      <c r="E30" s="72" t="str">
        <f>'عدد اللاعبين'!D19</f>
        <v>مجموعة القريات</v>
      </c>
      <c r="F30" s="73" t="str">
        <f>'عدد اللاعبين'!F19</f>
        <v>الباحة</v>
      </c>
      <c r="G30" s="74">
        <f>'عدد اللاعبين'!G19</f>
        <v>6</v>
      </c>
      <c r="H30" s="72" t="str">
        <f>IFERROR(INDEX(المدخلات!$AE$6:$AE$12,MATCH($C30,المدخلات!$AC$6:$AC$12,0)),"")</f>
        <v>7 ضد 7</v>
      </c>
      <c r="I30" s="74">
        <f t="shared" si="0"/>
        <v>3</v>
      </c>
      <c r="J30" s="74">
        <f>ROUNDUP($I30/IFERROR(INDEX(المدخلات!$AJ$6:$AJ$12,MATCH($C30,المدخلات!$AC$6:$AC$12,0)),1),0)</f>
        <v>1</v>
      </c>
      <c r="K30" s="74">
        <f>ROUNDUP($J30/IFERROR(INDEX(المدخلات!$AF$6:$AF$12,MATCH($C30,المدخلات!$AC$6:$AC$12,0)),1),0)</f>
        <v>1</v>
      </c>
      <c r="L30" s="22"/>
      <c r="M30" s="22"/>
      <c r="N30" s="22"/>
      <c r="O30" s="22"/>
      <c r="P30" s="22"/>
      <c r="Q30" s="22"/>
      <c r="R30" s="22"/>
    </row>
    <row r="31" spans="2:18" hidden="1">
      <c r="B31" s="77" t="str">
        <f>'عدد اللاعبين'!B20</f>
        <v>الجوف</v>
      </c>
      <c r="C31" s="72" t="str">
        <f>'عدد اللاعبين'!C20</f>
        <v>تحت 12</v>
      </c>
      <c r="D31" s="72" t="str">
        <f>IFERROR(INDEX(المدخلات!$AD$6:$AD$12,MATCH($C31,المدخلات!$AC$6:$AC$12,0)),"")</f>
        <v>الاثنين</v>
      </c>
      <c r="E31" s="72" t="str">
        <f>'عدد اللاعبين'!D20</f>
        <v>مجموعة القريات</v>
      </c>
      <c r="F31" s="73" t="str">
        <f>'عدد اللاعبين'!F20</f>
        <v>حائل</v>
      </c>
      <c r="G31" s="74">
        <f>'عدد اللاعبين'!G20</f>
        <v>6</v>
      </c>
      <c r="H31" s="72" t="str">
        <f>IFERROR(INDEX(المدخلات!$AE$6:$AE$12,MATCH($C31,المدخلات!$AC$6:$AC$12,0)),"")</f>
        <v>7 ضد 7</v>
      </c>
      <c r="I31" s="74">
        <f t="shared" si="0"/>
        <v>3</v>
      </c>
      <c r="J31" s="74">
        <f>ROUNDUP($I31/IFERROR(INDEX(المدخلات!$AJ$6:$AJ$12,MATCH($C31,المدخلات!$AC$6:$AC$12,0)),1),0)</f>
        <v>1</v>
      </c>
      <c r="K31" s="74">
        <f>ROUNDUP($J31/IFERROR(INDEX(المدخلات!$AF$6:$AF$12,MATCH($C31,المدخلات!$AC$6:$AC$12,0)),1),0)</f>
        <v>1</v>
      </c>
      <c r="L31" s="22"/>
      <c r="M31" s="22"/>
      <c r="N31" s="22"/>
      <c r="O31" s="22"/>
      <c r="P31" s="22"/>
      <c r="Q31" s="22"/>
      <c r="R31" s="22"/>
    </row>
    <row r="32" spans="2:18" hidden="1">
      <c r="B32" s="77" t="str">
        <f>'عدد اللاعبين'!B21</f>
        <v>الجوف</v>
      </c>
      <c r="C32" s="72" t="str">
        <f>'عدد اللاعبين'!C21</f>
        <v>تحت 13</v>
      </c>
      <c r="D32" s="72" t="str">
        <f>IFERROR(INDEX(المدخلات!$AD$6:$AD$12,MATCH($C32,المدخلات!$AC$6:$AC$12,0)),"")</f>
        <v>الخميس</v>
      </c>
      <c r="E32" s="72" t="str">
        <f>'عدد اللاعبين'!D21</f>
        <v>مجموعة القريات</v>
      </c>
      <c r="F32" s="73" t="str">
        <f>'عدد اللاعبين'!F21</f>
        <v>القريات</v>
      </c>
      <c r="G32" s="74">
        <f>'عدد اللاعبين'!G21</f>
        <v>6</v>
      </c>
      <c r="H32" s="72" t="str">
        <f>IFERROR(INDEX(المدخلات!$AE$6:$AE$12,MATCH($C32,المدخلات!$AC$6:$AC$12,0)),"")</f>
        <v>قانوني</v>
      </c>
      <c r="I32" s="74">
        <f t="shared" si="0"/>
        <v>3</v>
      </c>
      <c r="J32" s="74">
        <f>ROUNDUP($I32/IFERROR(INDEX(المدخلات!$AJ$6:$AJ$12,MATCH($C32,المدخلات!$AC$6:$AC$12,0)),1),0)</f>
        <v>1</v>
      </c>
      <c r="K32" s="74">
        <f>ROUNDUP($J32/IFERROR(INDEX(المدخلات!$AF$6:$AF$12,MATCH($C32,المدخلات!$AC$6:$AC$12,0)),1),0)</f>
        <v>1</v>
      </c>
      <c r="L32" s="22"/>
      <c r="M32" s="22"/>
      <c r="N32" s="22"/>
      <c r="O32" s="22"/>
      <c r="P32" s="22"/>
      <c r="Q32" s="22"/>
      <c r="R32" s="22"/>
    </row>
    <row r="33" spans="2:18" hidden="1">
      <c r="B33" s="77" t="str">
        <f>'عدد اللاعبين'!B22</f>
        <v>الجوف</v>
      </c>
      <c r="C33" s="72" t="str">
        <f>'عدد اللاعبين'!C22</f>
        <v>تحت 14</v>
      </c>
      <c r="D33" s="72" t="str">
        <f>IFERROR(INDEX(المدخلات!$AD$6:$AD$12,MATCH($C33,المدخلات!$AC$6:$AC$12,0)),"")</f>
        <v>الأربعاء</v>
      </c>
      <c r="E33" s="72" t="str">
        <f>'عدد اللاعبين'!D22</f>
        <v>مجموعة القريات</v>
      </c>
      <c r="F33" s="73" t="str">
        <f>'عدد اللاعبين'!F22</f>
        <v>شرورة</v>
      </c>
      <c r="G33" s="74">
        <f>'عدد اللاعبين'!G22</f>
        <v>6</v>
      </c>
      <c r="H33" s="72" t="str">
        <f>IFERROR(INDEX(المدخلات!$AE$6:$AE$12,MATCH($C33,المدخلات!$AC$6:$AC$12,0)),"")</f>
        <v>قانوني</v>
      </c>
      <c r="I33" s="74">
        <f t="shared" si="0"/>
        <v>3</v>
      </c>
      <c r="J33" s="74">
        <f>ROUNDUP($I33/IFERROR(INDEX(المدخلات!$AJ$6:$AJ$12,MATCH($C33,المدخلات!$AC$6:$AC$12,0)),1),0)</f>
        <v>1</v>
      </c>
      <c r="K33" s="74">
        <f>ROUNDUP($J33/IFERROR(INDEX(المدخلات!$AF$6:$AF$12,MATCH($C33,المدخلات!$AC$6:$AC$12,0)),1),0)</f>
        <v>1</v>
      </c>
      <c r="L33" s="22"/>
      <c r="M33" s="22"/>
      <c r="N33" s="22"/>
      <c r="O33" s="22"/>
      <c r="P33" s="22"/>
      <c r="Q33" s="22"/>
      <c r="R33" s="22"/>
    </row>
    <row r="34" spans="2:18" hidden="1">
      <c r="B34" s="77" t="str">
        <f>'عدد اللاعبين'!B23</f>
        <v>الباحة</v>
      </c>
      <c r="C34" s="72" t="str">
        <f>'عدد اللاعبين'!C23</f>
        <v>تحت 12</v>
      </c>
      <c r="D34" s="72" t="str">
        <f>IFERROR(INDEX(المدخلات!$AD$6:$AD$12,MATCH($C34,المدخلات!$AC$6:$AC$12,0)),"")</f>
        <v>الاثنين</v>
      </c>
      <c r="E34" s="72" t="str">
        <f>'عدد اللاعبين'!D23</f>
        <v>مجموعة الباحة</v>
      </c>
      <c r="F34" s="73" t="str">
        <f>'عدد اللاعبين'!F23</f>
        <v>الباحة، بلقرن</v>
      </c>
      <c r="G34" s="74">
        <f>'عدد اللاعبين'!G23</f>
        <v>6</v>
      </c>
      <c r="H34" s="72" t="str">
        <f>IFERROR(INDEX(المدخلات!$AE$6:$AE$12,MATCH($C34,المدخلات!$AC$6:$AC$12,0)),"")</f>
        <v>7 ضد 7</v>
      </c>
      <c r="I34" s="74">
        <f t="shared" si="0"/>
        <v>3</v>
      </c>
      <c r="J34" s="74">
        <f>ROUNDUP($I34/IFERROR(INDEX(المدخلات!$AJ$6:$AJ$12,MATCH($C34,المدخلات!$AC$6:$AC$12,0)),1),0)</f>
        <v>1</v>
      </c>
      <c r="K34" s="74">
        <f>ROUNDUP($J34/IFERROR(INDEX(المدخلات!$AF$6:$AF$12,MATCH($C34,المدخلات!$AC$6:$AC$12,0)),1),0)</f>
        <v>1</v>
      </c>
      <c r="L34" s="22"/>
      <c r="M34" s="22"/>
      <c r="N34" s="22"/>
      <c r="O34" s="22"/>
      <c r="P34" s="22"/>
      <c r="Q34" s="22"/>
      <c r="R34" s="22"/>
    </row>
    <row r="35" spans="2:18" hidden="1">
      <c r="B35" s="77" t="str">
        <f>'عدد اللاعبين'!B24</f>
        <v>نجران</v>
      </c>
      <c r="C35" s="72" t="str">
        <f>'عدد اللاعبين'!C24</f>
        <v>تحت 13</v>
      </c>
      <c r="D35" s="72" t="str">
        <f>IFERROR(INDEX(المدخلات!$AD$6:$AD$12,MATCH($C35,المدخلات!$AC$6:$AC$12,0)),"")</f>
        <v>الخميس</v>
      </c>
      <c r="E35" s="72" t="str">
        <f>'عدد اللاعبين'!D24</f>
        <v>مجموعة نجران</v>
      </c>
      <c r="F35" s="73" t="str">
        <f>'عدد اللاعبين'!F24</f>
        <v>أبها، خميس مشيط</v>
      </c>
      <c r="G35" s="74">
        <f>'عدد اللاعبين'!G24</f>
        <v>6</v>
      </c>
      <c r="H35" s="72" t="str">
        <f>IFERROR(INDEX(المدخلات!$AE$6:$AE$12,MATCH($C35,المدخلات!$AC$6:$AC$12,0)),"")</f>
        <v>قانوني</v>
      </c>
      <c r="I35" s="74">
        <f t="shared" si="0"/>
        <v>3</v>
      </c>
      <c r="J35" s="74">
        <f>ROUNDUP($I35/IFERROR(INDEX(المدخلات!$AJ$6:$AJ$12,MATCH($C35,المدخلات!$AC$6:$AC$12,0)),1),0)</f>
        <v>1</v>
      </c>
      <c r="K35" s="74">
        <f>ROUNDUP($J35/IFERROR(INDEX(المدخلات!$AF$6:$AF$12,MATCH($C35,المدخلات!$AC$6:$AC$12,0)),1),0)</f>
        <v>1</v>
      </c>
      <c r="L35" s="22"/>
      <c r="M35" s="22"/>
      <c r="N35" s="22"/>
      <c r="O35" s="22"/>
      <c r="P35" s="22"/>
      <c r="Q35" s="22"/>
      <c r="R35" s="22"/>
    </row>
    <row r="36" spans="2:18" hidden="1">
      <c r="B36" s="77" t="str">
        <f>'عدد اللاعبين'!B25</f>
        <v>الباحة</v>
      </c>
      <c r="C36" s="72" t="str">
        <f>'عدد اللاعبين'!C25</f>
        <v>تحت 13</v>
      </c>
      <c r="D36" s="72" t="str">
        <f>IFERROR(INDEX(المدخلات!$AD$6:$AD$12,MATCH($C36,المدخلات!$AC$6:$AC$12,0)),"")</f>
        <v>الخميس</v>
      </c>
      <c r="E36" s="72" t="str">
        <f>'عدد اللاعبين'!D25</f>
        <v>مجموعة الباحة</v>
      </c>
      <c r="F36" s="73" t="str">
        <f>'عدد اللاعبين'!F25</f>
        <v>القريات</v>
      </c>
      <c r="G36" s="74">
        <f>'عدد اللاعبين'!G25</f>
        <v>6</v>
      </c>
      <c r="H36" s="72" t="str">
        <f>IFERROR(INDEX(المدخلات!$AE$6:$AE$12,MATCH($C36,المدخلات!$AC$6:$AC$12,0)),"")</f>
        <v>قانوني</v>
      </c>
      <c r="I36" s="74">
        <f t="shared" si="0"/>
        <v>3</v>
      </c>
      <c r="J36" s="74">
        <f>ROUNDUP($I36/IFERROR(INDEX(المدخلات!$AJ$6:$AJ$12,MATCH($C36,المدخلات!$AC$6:$AC$12,0)),1),0)</f>
        <v>1</v>
      </c>
      <c r="K36" s="74">
        <f>ROUNDUP($J36/IFERROR(INDEX(المدخلات!$AF$6:$AF$12,MATCH($C36,المدخلات!$AC$6:$AC$12,0)),1),0)</f>
        <v>1</v>
      </c>
      <c r="L36" s="22"/>
      <c r="M36" s="22"/>
      <c r="N36" s="22"/>
      <c r="O36" s="22"/>
      <c r="P36" s="22"/>
      <c r="Q36" s="22"/>
      <c r="R36" s="22"/>
    </row>
    <row r="37" spans="2:18" hidden="1">
      <c r="B37" s="77" t="str">
        <f>'عدد اللاعبين'!B26</f>
        <v>الباحة</v>
      </c>
      <c r="C37" s="72" t="str">
        <f>'عدد اللاعبين'!C26</f>
        <v>تحت 14</v>
      </c>
      <c r="D37" s="72" t="str">
        <f>IFERROR(INDEX(المدخلات!$AD$6:$AD$12,MATCH($C37,المدخلات!$AC$6:$AC$12,0)),"")</f>
        <v>الأربعاء</v>
      </c>
      <c r="E37" s="72" t="str">
        <f>'عدد اللاعبين'!D26</f>
        <v>مجموعة الباحة</v>
      </c>
      <c r="F37" s="73" t="str">
        <f>'عدد اللاعبين'!F26</f>
        <v>طبرجل</v>
      </c>
      <c r="G37" s="74">
        <f>'عدد اللاعبين'!G26</f>
        <v>6</v>
      </c>
      <c r="H37" s="72" t="str">
        <f>IFERROR(INDEX(المدخلات!$AE$6:$AE$12,MATCH($C37,المدخلات!$AC$6:$AC$12,0)),"")</f>
        <v>قانوني</v>
      </c>
      <c r="I37" s="74">
        <f t="shared" si="0"/>
        <v>3</v>
      </c>
      <c r="J37" s="74">
        <f>ROUNDUP($I37/IFERROR(INDEX(المدخلات!$AJ$6:$AJ$12,MATCH($C37,المدخلات!$AC$6:$AC$12,0)),1),0)</f>
        <v>1</v>
      </c>
      <c r="K37" s="74">
        <f>ROUNDUP($J37/IFERROR(INDEX(المدخلات!$AF$6:$AF$12,MATCH($C37,المدخلات!$AC$6:$AC$12,0)),1),0)</f>
        <v>1</v>
      </c>
      <c r="L37" s="22"/>
      <c r="M37" s="22"/>
      <c r="N37" s="22"/>
      <c r="O37" s="22"/>
      <c r="P37" s="22"/>
      <c r="Q37" s="22"/>
      <c r="R37" s="22"/>
    </row>
    <row r="38" spans="2:18" hidden="1">
      <c r="B38" s="77" t="str">
        <f>'عدد اللاعبين'!B27</f>
        <v>حائل</v>
      </c>
      <c r="C38" s="72" t="str">
        <f>'عدد اللاعبين'!C27</f>
        <v>تحت 5</v>
      </c>
      <c r="D38" s="72" t="str">
        <f>IFERROR(INDEX(المدخلات!$AD$6:$AD$12,MATCH($C38,المدخلات!$AC$6:$AC$12,0)),"")</f>
        <v>السبت</v>
      </c>
      <c r="E38" s="72" t="str">
        <f>'عدد اللاعبين'!D27</f>
        <v>مجموعة حائل</v>
      </c>
      <c r="F38" s="73" t="str">
        <f>'عدد اللاعبين'!F27</f>
        <v>الرس، البدائع</v>
      </c>
      <c r="G38" s="74">
        <f>'عدد اللاعبين'!G27</f>
        <v>7</v>
      </c>
      <c r="H38" s="72" t="str">
        <f>IFERROR(INDEX(المدخلات!$AE$6:$AE$12,MATCH($C38,المدخلات!$AC$6:$AC$12,0)),"")</f>
        <v>5 ضد 5</v>
      </c>
      <c r="I38" s="74">
        <f t="shared" si="0"/>
        <v>3</v>
      </c>
      <c r="J38" s="74">
        <f>ROUNDUP($I38/IFERROR(INDEX(المدخلات!$AJ$6:$AJ$12,MATCH($C38,المدخلات!$AC$6:$AC$12,0)),1),0)</f>
        <v>1</v>
      </c>
      <c r="K38" s="74">
        <f>ROUNDUP($J38/IFERROR(INDEX(المدخلات!$AF$6:$AF$12,MATCH($C38,المدخلات!$AC$6:$AC$12,0)),1),0)</f>
        <v>1</v>
      </c>
      <c r="L38" s="22"/>
      <c r="M38" s="22"/>
      <c r="N38" s="22"/>
      <c r="O38" s="22"/>
      <c r="P38" s="22"/>
      <c r="Q38" s="22"/>
      <c r="R38" s="22"/>
    </row>
    <row r="39" spans="2:18" hidden="1">
      <c r="B39" s="77" t="str">
        <f>'عدد اللاعبين'!B28</f>
        <v>الجوف</v>
      </c>
      <c r="C39" s="72" t="str">
        <f>'عدد اللاعبين'!C28</f>
        <v>تحت 5</v>
      </c>
      <c r="D39" s="72" t="str">
        <f>IFERROR(INDEX(المدخلات!$AD$6:$AD$12,MATCH($C39,المدخلات!$AC$6:$AC$12,0)),"")</f>
        <v>السبت</v>
      </c>
      <c r="E39" s="72" t="str">
        <f>'عدد اللاعبين'!D28</f>
        <v>مجموعة القريات</v>
      </c>
      <c r="F39" s="73" t="str">
        <f>'عدد اللاعبين'!F28</f>
        <v>جيزان</v>
      </c>
      <c r="G39" s="74">
        <f>'عدد اللاعبين'!G28</f>
        <v>7</v>
      </c>
      <c r="H39" s="72" t="str">
        <f>IFERROR(INDEX(المدخلات!$AE$6:$AE$12,MATCH($C39,المدخلات!$AC$6:$AC$12,0)),"")</f>
        <v>5 ضد 5</v>
      </c>
      <c r="I39" s="74">
        <f t="shared" si="0"/>
        <v>3</v>
      </c>
      <c r="J39" s="74">
        <f>ROUNDUP($I39/IFERROR(INDEX(المدخلات!$AJ$6:$AJ$12,MATCH($C39,المدخلات!$AC$6:$AC$12,0)),1),0)</f>
        <v>1</v>
      </c>
      <c r="K39" s="74">
        <f>ROUNDUP($J39/IFERROR(INDEX(المدخلات!$AF$6:$AF$12,MATCH($C39,المدخلات!$AC$6:$AC$12,0)),1),0)</f>
        <v>1</v>
      </c>
      <c r="L39" s="22"/>
      <c r="M39" s="22"/>
      <c r="N39" s="22"/>
      <c r="O39" s="22"/>
      <c r="P39" s="22"/>
      <c r="Q39" s="22"/>
      <c r="R39" s="22"/>
    </row>
    <row r="40" spans="2:18" hidden="1">
      <c r="B40" s="77" t="str">
        <f>'عدد اللاعبين'!B29</f>
        <v>نجران</v>
      </c>
      <c r="C40" s="72" t="str">
        <f>'عدد اللاعبين'!C29</f>
        <v>تحت 5</v>
      </c>
      <c r="D40" s="72" t="str">
        <f>IFERROR(INDEX(المدخلات!$AD$6:$AD$12,MATCH($C40,المدخلات!$AC$6:$AC$12,0)),"")</f>
        <v>السبت</v>
      </c>
      <c r="E40" s="72" t="str">
        <f>'عدد اللاعبين'!D29</f>
        <v>مجموعة شرورة</v>
      </c>
      <c r="F40" s="73" t="str">
        <f>'عدد اللاعبين'!F29</f>
        <v>حائل</v>
      </c>
      <c r="G40" s="74">
        <f>'عدد اللاعبين'!G29</f>
        <v>7</v>
      </c>
      <c r="H40" s="72" t="str">
        <f>IFERROR(INDEX(المدخلات!$AE$6:$AE$12,MATCH($C40,المدخلات!$AC$6:$AC$12,0)),"")</f>
        <v>5 ضد 5</v>
      </c>
      <c r="I40" s="74">
        <f t="shared" si="0"/>
        <v>3</v>
      </c>
      <c r="J40" s="74">
        <f>ROUNDUP($I40/IFERROR(INDEX(المدخلات!$AJ$6:$AJ$12,MATCH($C40,المدخلات!$AC$6:$AC$12,0)),1),0)</f>
        <v>1</v>
      </c>
      <c r="K40" s="74">
        <f>ROUNDUP($J40/IFERROR(INDEX(المدخلات!$AF$6:$AF$12,MATCH($C40,المدخلات!$AC$6:$AC$12,0)),1),0)</f>
        <v>1</v>
      </c>
      <c r="L40" s="22"/>
      <c r="M40" s="22"/>
      <c r="N40" s="22"/>
      <c r="O40" s="22"/>
      <c r="P40" s="22"/>
      <c r="Q40" s="22"/>
      <c r="R40" s="22"/>
    </row>
    <row r="41" spans="2:18" hidden="1">
      <c r="B41" s="77" t="str">
        <f>'عدد اللاعبين'!B30</f>
        <v>الباحة</v>
      </c>
      <c r="C41" s="72" t="str">
        <f>'عدد اللاعبين'!C30</f>
        <v>تحت 7</v>
      </c>
      <c r="D41" s="72" t="str">
        <f>IFERROR(INDEX(المدخلات!$AD$6:$AD$12,MATCH($C41,المدخلات!$AC$6:$AC$12,0)),"")</f>
        <v>السبت</v>
      </c>
      <c r="E41" s="72" t="str">
        <f>'عدد اللاعبين'!D30</f>
        <v>مجموعة الباحة</v>
      </c>
      <c r="F41" s="73" t="str">
        <f>'عدد اللاعبين'!F30</f>
        <v>الخرج، الدلم</v>
      </c>
      <c r="G41" s="74">
        <f>'عدد اللاعبين'!G30</f>
        <v>7</v>
      </c>
      <c r="H41" s="72" t="str">
        <f>IFERROR(INDEX(المدخلات!$AE$6:$AE$12,MATCH($C41,المدخلات!$AC$6:$AC$12,0)),"")</f>
        <v>7 ضد 7</v>
      </c>
      <c r="I41" s="74">
        <f t="shared" si="0"/>
        <v>3</v>
      </c>
      <c r="J41" s="74">
        <f>ROUNDUP($I41/IFERROR(INDEX(المدخلات!$AJ$6:$AJ$12,MATCH($C41,المدخلات!$AC$6:$AC$12,0)),1),0)</f>
        <v>1</v>
      </c>
      <c r="K41" s="74">
        <f>ROUNDUP($J41/IFERROR(INDEX(المدخلات!$AF$6:$AF$12,MATCH($C41,المدخلات!$AC$6:$AC$12,0)),1),0)</f>
        <v>1</v>
      </c>
      <c r="L41" s="22"/>
      <c r="M41" s="22"/>
      <c r="N41" s="22"/>
      <c r="O41" s="22"/>
      <c r="P41" s="22"/>
      <c r="Q41" s="22"/>
      <c r="R41" s="22"/>
    </row>
    <row r="42" spans="2:18" hidden="1">
      <c r="B42" s="77" t="str">
        <f>'عدد اللاعبين'!B31</f>
        <v>عسير</v>
      </c>
      <c r="C42" s="72" t="str">
        <f>'عدد اللاعبين'!C31</f>
        <v>تحت 7</v>
      </c>
      <c r="D42" s="72" t="str">
        <f>IFERROR(INDEX(المدخلات!$AD$6:$AD$12,MATCH($C42,المدخلات!$AC$6:$AC$12,0)),"")</f>
        <v>السبت</v>
      </c>
      <c r="E42" s="72" t="str">
        <f>'عدد اللاعبين'!D31</f>
        <v>مجموعة أبها</v>
      </c>
      <c r="F42" s="73" t="str">
        <f>'عدد اللاعبين'!F31</f>
        <v>مركز الرفيعة</v>
      </c>
      <c r="G42" s="74">
        <f>'عدد اللاعبين'!G31</f>
        <v>7</v>
      </c>
      <c r="H42" s="72" t="str">
        <f>IFERROR(INDEX(المدخلات!$AE$6:$AE$12,MATCH($C42,المدخلات!$AC$6:$AC$12,0)),"")</f>
        <v>7 ضد 7</v>
      </c>
      <c r="I42" s="74">
        <f t="shared" si="0"/>
        <v>3</v>
      </c>
      <c r="J42" s="74">
        <f>ROUNDUP($I42/IFERROR(INDEX(المدخلات!$AJ$6:$AJ$12,MATCH($C42,المدخلات!$AC$6:$AC$12,0)),1),0)</f>
        <v>1</v>
      </c>
      <c r="K42" s="74">
        <f>ROUNDUP($J42/IFERROR(INDEX(المدخلات!$AF$6:$AF$12,MATCH($C42,المدخلات!$AC$6:$AC$12,0)),1),0)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7" t="str">
        <f>'عدد اللاعبين'!B32</f>
        <v>الجوف</v>
      </c>
      <c r="C43" s="72" t="str">
        <f>'عدد اللاعبين'!C32</f>
        <v>تحت 9</v>
      </c>
      <c r="D43" s="72" t="str">
        <f>IFERROR(INDEX(المدخلات!$AD$6:$AD$12,MATCH($C43,المدخلات!$AC$6:$AC$12,0)),"")</f>
        <v>السبت</v>
      </c>
      <c r="E43" s="72" t="str">
        <f>'عدد اللاعبين'!D32</f>
        <v>مجموعة القريات</v>
      </c>
      <c r="F43" s="73" t="str">
        <f>'عدد اللاعبين'!F32</f>
        <v>القطيف</v>
      </c>
      <c r="G43" s="74">
        <f>'عدد اللاعبين'!G32</f>
        <v>7</v>
      </c>
      <c r="H43" s="72" t="str">
        <f>IFERROR(INDEX(المدخلات!$AE$6:$AE$12,MATCH($C43,المدخلات!$AC$6:$AC$12,0)),"")</f>
        <v>7 ضد 7</v>
      </c>
      <c r="I43" s="74">
        <f t="shared" si="0"/>
        <v>3</v>
      </c>
      <c r="J43" s="74">
        <f>ROUNDUP($I43/IFERROR(INDEX(المدخلات!$AJ$6:$AJ$12,MATCH($C43,المدخلات!$AC$6:$AC$12,0)),1),0)</f>
        <v>1</v>
      </c>
      <c r="K43" s="74">
        <f>ROUNDUP($J43/IFERROR(INDEX(المدخلات!$AF$6:$AF$12,MATCH($C43,المدخلات!$AC$6:$AC$12,0)),1),0)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7" t="str">
        <f>'عدد اللاعبين'!B33</f>
        <v>الجوف</v>
      </c>
      <c r="C44" s="72" t="str">
        <f>'عدد اللاعبين'!C33</f>
        <v>تحت 9</v>
      </c>
      <c r="D44" s="72" t="str">
        <f>IFERROR(INDEX(المدخلات!$AD$6:$AD$12,MATCH($C44,المدخلات!$AC$6:$AC$12,0)),"")</f>
        <v>السبت</v>
      </c>
      <c r="E44" s="72" t="str">
        <f>'عدد اللاعبين'!D33</f>
        <v>مجموعة طبرجل</v>
      </c>
      <c r="F44" s="73" t="str">
        <f>'عدد اللاعبين'!F33</f>
        <v>حائل</v>
      </c>
      <c r="G44" s="74">
        <f>'عدد اللاعبين'!G33</f>
        <v>7</v>
      </c>
      <c r="H44" s="72" t="str">
        <f>IFERROR(INDEX(المدخلات!$AE$6:$AE$12,MATCH($C44,المدخلات!$AC$6:$AC$12,0)),"")</f>
        <v>7 ضد 7</v>
      </c>
      <c r="I44" s="74">
        <f t="shared" si="0"/>
        <v>3</v>
      </c>
      <c r="J44" s="74">
        <f>ROUNDUP($I44/IFERROR(INDEX(المدخلات!$AJ$6:$AJ$12,MATCH($C44,المدخلات!$AC$6:$AC$12,0)),1),0)</f>
        <v>1</v>
      </c>
      <c r="K44" s="74">
        <f>ROUNDUP($J44/IFERROR(INDEX(المدخلات!$AF$6:$AF$12,MATCH($C44,المدخلات!$AC$6:$AC$12,0)),1),0)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7" t="str">
        <f>'عدد اللاعبين'!B34</f>
        <v>القصيم</v>
      </c>
      <c r="C45" s="72" t="str">
        <f>'عدد اللاعبين'!C34</f>
        <v>تحت 13</v>
      </c>
      <c r="D45" s="72" t="str">
        <f>IFERROR(INDEX(المدخلات!$AD$6:$AD$12,MATCH($C45,المدخلات!$AC$6:$AC$12,0)),"")</f>
        <v>الخميس</v>
      </c>
      <c r="E45" s="72" t="str">
        <f>'عدد اللاعبين'!D34</f>
        <v>مجموعة الرس</v>
      </c>
      <c r="F45" s="73" t="str">
        <f>'عدد اللاعبين'!F34</f>
        <v>مركز الرفيعة</v>
      </c>
      <c r="G45" s="74">
        <f>'عدد اللاعبين'!G34</f>
        <v>7</v>
      </c>
      <c r="H45" s="72" t="str">
        <f>IFERROR(INDEX(المدخلات!$AE$6:$AE$12,MATCH($C45,المدخلات!$AC$6:$AC$12,0)),"")</f>
        <v>قانوني</v>
      </c>
      <c r="I45" s="74">
        <f t="shared" si="0"/>
        <v>3</v>
      </c>
      <c r="J45" s="74">
        <f>ROUNDUP($I45/IFERROR(INDEX(المدخلات!$AJ$6:$AJ$12,MATCH($C45,المدخلات!$AC$6:$AC$12,0)),1),0)</f>
        <v>1</v>
      </c>
      <c r="K45" s="74">
        <f>ROUNDUP($J45/IFERROR(INDEX(المدخلات!$AF$6:$AF$12,MATCH($C45,المدخلات!$AC$6:$AC$12,0)),1),0)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7" t="str">
        <f>'عدد اللاعبين'!B35</f>
        <v>جازان</v>
      </c>
      <c r="C46" s="72" t="str">
        <f>'عدد اللاعبين'!C35</f>
        <v>تحت 13</v>
      </c>
      <c r="D46" s="72" t="str">
        <f>IFERROR(INDEX(المدخلات!$AD$6:$AD$12,MATCH($C46,المدخلات!$AC$6:$AC$12,0)),"")</f>
        <v>الخميس</v>
      </c>
      <c r="E46" s="72" t="str">
        <f>'عدد اللاعبين'!D35</f>
        <v>مجموعة جازان</v>
      </c>
      <c r="F46" s="73" t="str">
        <f>'عدد اللاعبين'!F35</f>
        <v>القريات</v>
      </c>
      <c r="G46" s="74">
        <f>'عدد اللاعبين'!G35</f>
        <v>7</v>
      </c>
      <c r="H46" s="72" t="str">
        <f>IFERROR(INDEX(المدخلات!$AE$6:$AE$12,MATCH($C46,المدخلات!$AC$6:$AC$12,0)),"")</f>
        <v>قانوني</v>
      </c>
      <c r="I46" s="74">
        <f t="shared" si="0"/>
        <v>3</v>
      </c>
      <c r="J46" s="74">
        <f>ROUNDUP($I46/IFERROR(INDEX(المدخلات!$AJ$6:$AJ$12,MATCH($C46,المدخلات!$AC$6:$AC$12,0)),1),0)</f>
        <v>1</v>
      </c>
      <c r="K46" s="74">
        <f>ROUNDUP($J46/IFERROR(INDEX(المدخلات!$AF$6:$AF$12,MATCH($C46,المدخلات!$AC$6:$AC$12,0)),1),0)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7" t="str">
        <f>'عدد اللاعبين'!B36</f>
        <v>حائل</v>
      </c>
      <c r="C47" s="72" t="str">
        <f>'عدد اللاعبين'!C36</f>
        <v>تحت 14</v>
      </c>
      <c r="D47" s="72" t="str">
        <f>IFERROR(INDEX(المدخلات!$AD$6:$AD$12,MATCH($C47,المدخلات!$AC$6:$AC$12,0)),"")</f>
        <v>الأربعاء</v>
      </c>
      <c r="E47" s="72" t="str">
        <f>'عدد اللاعبين'!D36</f>
        <v>مجموعة حائل</v>
      </c>
      <c r="F47" s="73" t="str">
        <f>'عدد اللاعبين'!F36</f>
        <v>مركز الرفيعة</v>
      </c>
      <c r="G47" s="74">
        <f>'عدد اللاعبين'!G36</f>
        <v>7</v>
      </c>
      <c r="H47" s="72" t="str">
        <f>IFERROR(INDEX(المدخلات!$AE$6:$AE$12,MATCH($C47,المدخلات!$AC$6:$AC$12,0)),"")</f>
        <v>قانوني</v>
      </c>
      <c r="I47" s="74">
        <f t="shared" si="0"/>
        <v>3</v>
      </c>
      <c r="J47" s="74">
        <f>ROUNDUP($I47/IFERROR(INDEX(المدخلات!$AJ$6:$AJ$12,MATCH($C47,المدخلات!$AC$6:$AC$12,0)),1),0)</f>
        <v>1</v>
      </c>
      <c r="K47" s="74">
        <f>ROUNDUP($J47/IFERROR(INDEX(المدخلات!$AF$6:$AF$12,MATCH($C47,المدخلات!$AC$6:$AC$12,0)),1),0)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7" t="str">
        <f>'عدد اللاعبين'!B37</f>
        <v>الرياض</v>
      </c>
      <c r="C48" s="72" t="str">
        <f>'عدد اللاعبين'!C37</f>
        <v>تحت 14</v>
      </c>
      <c r="D48" s="72" t="str">
        <f>IFERROR(INDEX(المدخلات!$AD$6:$AD$12,MATCH($C48,المدخلات!$AC$6:$AC$12,0)),"")</f>
        <v>الأربعاء</v>
      </c>
      <c r="E48" s="72" t="str">
        <f>'عدد اللاعبين'!D37</f>
        <v>مجموعة الخرج</v>
      </c>
      <c r="F48" s="73" t="str">
        <f>'عدد اللاعبين'!F37</f>
        <v>الباحة، بلقرن، العقيق</v>
      </c>
      <c r="G48" s="74">
        <f>'عدد اللاعبين'!G37</f>
        <v>7</v>
      </c>
      <c r="H48" s="72" t="str">
        <f>IFERROR(INDEX(المدخلات!$AE$6:$AE$12,MATCH($C48,المدخلات!$AC$6:$AC$12,0)),"")</f>
        <v>قانوني</v>
      </c>
      <c r="I48" s="74">
        <f t="shared" si="0"/>
        <v>3</v>
      </c>
      <c r="J48" s="74">
        <f>ROUNDUP($I48/IFERROR(INDEX(المدخلات!$AJ$6:$AJ$12,MATCH($C48,المدخلات!$AC$6:$AC$12,0)),1),0)</f>
        <v>1</v>
      </c>
      <c r="K48" s="74">
        <f>ROUNDUP($J48/IFERROR(INDEX(المدخلات!$AF$6:$AF$12,MATCH($C48,المدخلات!$AC$6:$AC$12,0)),1),0)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7" t="str">
        <f>'عدد اللاعبين'!B38</f>
        <v>الشرقية</v>
      </c>
      <c r="C49" s="72" t="str">
        <f>'عدد اللاعبين'!C38</f>
        <v>تحت 5</v>
      </c>
      <c r="D49" s="72" t="str">
        <f>IFERROR(INDEX(المدخلات!$AD$6:$AD$12,MATCH($C49,المدخلات!$AC$6:$AC$12,0)),"")</f>
        <v>السبت</v>
      </c>
      <c r="E49" s="72" t="str">
        <f>'عدد اللاعبين'!D38</f>
        <v>مجموعة مركز الرفيعة</v>
      </c>
      <c r="F49" s="73" t="str">
        <f>'عدد اللاعبين'!F38</f>
        <v>أحد المسارحة</v>
      </c>
      <c r="G49" s="74">
        <f>'عدد اللاعبين'!G38</f>
        <v>8</v>
      </c>
      <c r="H49" s="72" t="str">
        <f>IFERROR(INDEX(المدخلات!$AE$6:$AE$12,MATCH($C49,المدخلات!$AC$6:$AC$12,0)),"")</f>
        <v>5 ضد 5</v>
      </c>
      <c r="I49" s="74">
        <f t="shared" si="0"/>
        <v>4</v>
      </c>
      <c r="J49" s="74">
        <f>ROUNDUP($I49/IFERROR(INDEX(المدخلات!$AJ$6:$AJ$12,MATCH($C49,المدخلات!$AC$6:$AC$12,0)),1),0)</f>
        <v>2</v>
      </c>
      <c r="K49" s="74">
        <f>ROUNDUP($J49/IFERROR(INDEX(المدخلات!$AF$6:$AF$12,MATCH($C49,المدخلات!$AC$6:$AC$12,0)),1),0)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7" t="str">
        <f>'عدد اللاعبين'!B39</f>
        <v>الشرقية</v>
      </c>
      <c r="C50" s="72" t="str">
        <f>'عدد اللاعبين'!C39</f>
        <v>تحت 5</v>
      </c>
      <c r="D50" s="72" t="str">
        <f>IFERROR(INDEX(المدخلات!$AD$6:$AD$12,MATCH($C50,المدخلات!$AC$6:$AC$12,0)),"")</f>
        <v>السبت</v>
      </c>
      <c r="E50" s="72" t="str">
        <f>'عدد اللاعبين'!D39</f>
        <v>مجموعة القطيف</v>
      </c>
      <c r="F50" s="73" t="str">
        <f>'عدد اللاعبين'!F39</f>
        <v>ينبع، أملج</v>
      </c>
      <c r="G50" s="74">
        <f>'عدد اللاعبين'!G39</f>
        <v>8</v>
      </c>
      <c r="H50" s="72" t="str">
        <f>IFERROR(INDEX(المدخلات!$AE$6:$AE$12,MATCH($C50,المدخلات!$AC$6:$AC$12,0)),"")</f>
        <v>5 ضد 5</v>
      </c>
      <c r="I50" s="74">
        <f t="shared" si="0"/>
        <v>4</v>
      </c>
      <c r="J50" s="74">
        <f>ROUNDUP($I50/IFERROR(INDEX(المدخلات!$AJ$6:$AJ$12,MATCH($C50,المدخلات!$AC$6:$AC$12,0)),1),0)</f>
        <v>2</v>
      </c>
      <c r="K50" s="74">
        <f>ROUNDUP($J50/IFERROR(INDEX(المدخلات!$AF$6:$AF$12,MATCH($C50,المدخلات!$AC$6:$AC$12,0)),1),0)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7" t="str">
        <f>'عدد اللاعبين'!B40</f>
        <v>حائل</v>
      </c>
      <c r="C51" s="72" t="str">
        <f>'عدد اللاعبين'!C40</f>
        <v>تحت 7</v>
      </c>
      <c r="D51" s="72" t="str">
        <f>IFERROR(INDEX(المدخلات!$AD$6:$AD$12,MATCH($C51,المدخلات!$AC$6:$AC$12,0)),"")</f>
        <v>السبت</v>
      </c>
      <c r="E51" s="72" t="str">
        <f>'عدد اللاعبين'!D40</f>
        <v>مجموعة حائل</v>
      </c>
      <c r="F51" s="73" t="str">
        <f>'عدد اللاعبين'!F40</f>
        <v>مركز الرفيعة</v>
      </c>
      <c r="G51" s="74">
        <f>'عدد اللاعبين'!G40</f>
        <v>8</v>
      </c>
      <c r="H51" s="72" t="str">
        <f>IFERROR(INDEX(المدخلات!$AE$6:$AE$12,MATCH($C51,المدخلات!$AC$6:$AC$12,0)),"")</f>
        <v>7 ضد 7</v>
      </c>
      <c r="I51" s="74">
        <f t="shared" si="0"/>
        <v>4</v>
      </c>
      <c r="J51" s="74">
        <f>ROUNDUP($I51/IFERROR(INDEX(المدخلات!$AJ$6:$AJ$12,MATCH($C51,المدخلات!$AC$6:$AC$12,0)),1),0)</f>
        <v>2</v>
      </c>
      <c r="K51" s="74">
        <f>ROUNDUP($J51/IFERROR(INDEX(المدخلات!$AF$6:$AF$12,MATCH($C51,المدخلات!$AC$6:$AC$12,0)),1),0)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7" t="str">
        <f>'عدد اللاعبين'!B41</f>
        <v>الشرقية</v>
      </c>
      <c r="C52" s="72" t="str">
        <f>'عدد اللاعبين'!C41</f>
        <v>تحت 7</v>
      </c>
      <c r="D52" s="72" t="str">
        <f>IFERROR(INDEX(المدخلات!$AD$6:$AD$12,MATCH($C52,المدخلات!$AC$6:$AC$12,0)),"")</f>
        <v>السبت</v>
      </c>
      <c r="E52" s="72" t="str">
        <f>'عدد اللاعبين'!D41</f>
        <v>مجموعة مركز الرفيعة</v>
      </c>
      <c r="F52" s="73" t="str">
        <f>'عدد اللاعبين'!F41</f>
        <v>نجران</v>
      </c>
      <c r="G52" s="74">
        <f>'عدد اللاعبين'!G41</f>
        <v>8</v>
      </c>
      <c r="H52" s="72" t="str">
        <f>IFERROR(INDEX(المدخلات!$AE$6:$AE$12,MATCH($C52,المدخلات!$AC$6:$AC$12,0)),"")</f>
        <v>7 ضد 7</v>
      </c>
      <c r="I52" s="74">
        <f t="shared" si="0"/>
        <v>4</v>
      </c>
      <c r="J52" s="74">
        <f>ROUNDUP($I52/IFERROR(INDEX(المدخلات!$AJ$6:$AJ$12,MATCH($C52,المدخلات!$AC$6:$AC$12,0)),1),0)</f>
        <v>2</v>
      </c>
      <c r="K52" s="74">
        <f>ROUNDUP($J52/IFERROR(INDEX(المدخلات!$AF$6:$AF$12,MATCH($C52,المدخلات!$AC$6:$AC$12,0)),1),0)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7" t="str">
        <f>'عدد اللاعبين'!B42</f>
        <v>الجوف</v>
      </c>
      <c r="C53" s="72" t="str">
        <f>'عدد اللاعبين'!C42</f>
        <v>تحت 7</v>
      </c>
      <c r="D53" s="72" t="str">
        <f>IFERROR(INDEX(المدخلات!$AD$6:$AD$12,MATCH($C53,المدخلات!$AC$6:$AC$12,0)),"")</f>
        <v>السبت</v>
      </c>
      <c r="E53" s="72" t="str">
        <f>'عدد اللاعبين'!D42</f>
        <v>مجموعة القريات</v>
      </c>
      <c r="F53" s="73" t="str">
        <f>'عدد اللاعبين'!F42</f>
        <v>أحد المسارحة</v>
      </c>
      <c r="G53" s="74">
        <f>'عدد اللاعبين'!G42</f>
        <v>8</v>
      </c>
      <c r="H53" s="72" t="str">
        <f>IFERROR(INDEX(المدخلات!$AE$6:$AE$12,MATCH($C53,المدخلات!$AC$6:$AC$12,0)),"")</f>
        <v>7 ضد 7</v>
      </c>
      <c r="I53" s="74">
        <f t="shared" si="0"/>
        <v>4</v>
      </c>
      <c r="J53" s="74">
        <f>ROUNDUP($I53/IFERROR(INDEX(المدخلات!$AJ$6:$AJ$12,MATCH($C53,المدخلات!$AC$6:$AC$12,0)),1),0)</f>
        <v>2</v>
      </c>
      <c r="K53" s="74">
        <f>ROUNDUP($J53/IFERROR(INDEX(المدخلات!$AF$6:$AF$12,MATCH($C53,المدخلات!$AC$6:$AC$12,0)),1),0)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7" t="str">
        <f>'عدد اللاعبين'!B43</f>
        <v>الشرقية</v>
      </c>
      <c r="C54" s="72" t="str">
        <f>'عدد اللاعبين'!C43</f>
        <v>تحت 9</v>
      </c>
      <c r="D54" s="72" t="str">
        <f>IFERROR(INDEX(المدخلات!$AD$6:$AD$12,MATCH($C54,المدخلات!$AC$6:$AC$12,0)),"")</f>
        <v>السبت</v>
      </c>
      <c r="E54" s="72" t="str">
        <f>'عدد اللاعبين'!D43</f>
        <v>مجموعة مركز الرفيعة</v>
      </c>
      <c r="F54" s="73" t="str">
        <f>'عدد اللاعبين'!F43</f>
        <v>تبوك</v>
      </c>
      <c r="G54" s="74">
        <f>'عدد اللاعبين'!G43</f>
        <v>8</v>
      </c>
      <c r="H54" s="72" t="str">
        <f>IFERROR(INDEX(المدخلات!$AE$6:$AE$12,MATCH($C54,المدخلات!$AC$6:$AC$12,0)),"")</f>
        <v>7 ضد 7</v>
      </c>
      <c r="I54" s="74">
        <f t="shared" si="0"/>
        <v>4</v>
      </c>
      <c r="J54" s="74">
        <f>ROUNDUP($I54/IFERROR(INDEX(المدخلات!$AJ$6:$AJ$12,MATCH($C54,المدخلات!$AC$6:$AC$12,0)),1),0)</f>
        <v>2</v>
      </c>
      <c r="K54" s="74">
        <f>ROUNDUP($J54/IFERROR(INDEX(المدخلات!$AF$6:$AF$12,MATCH($C54,المدخلات!$AC$6:$AC$12,0)),1),0)</f>
        <v>1</v>
      </c>
      <c r="L54" s="22"/>
      <c r="M54" s="22"/>
      <c r="N54" s="22"/>
      <c r="O54" s="22"/>
      <c r="P54" s="22"/>
      <c r="Q54" s="22"/>
      <c r="R54" s="22"/>
    </row>
    <row r="55" spans="2:18" hidden="1">
      <c r="B55" s="77" t="str">
        <f>'عدد اللاعبين'!B44</f>
        <v>الباحة</v>
      </c>
      <c r="C55" s="72" t="str">
        <f>'عدد اللاعبين'!C44</f>
        <v>تحت 9</v>
      </c>
      <c r="D55" s="72" t="str">
        <f>IFERROR(INDEX(المدخلات!$AD$6:$AD$12,MATCH($C55,المدخلات!$AC$6:$AC$12,0)),"")</f>
        <v>السبت</v>
      </c>
      <c r="E55" s="72" t="str">
        <f>'عدد اللاعبين'!D44</f>
        <v>مجموعة الباحة</v>
      </c>
      <c r="F55" s="73" t="str">
        <f>'عدد اللاعبين'!F44</f>
        <v>حائل</v>
      </c>
      <c r="G55" s="74">
        <f>'عدد اللاعبين'!G44</f>
        <v>8</v>
      </c>
      <c r="H55" s="72" t="str">
        <f>IFERROR(INDEX(المدخلات!$AE$6:$AE$12,MATCH($C55,المدخلات!$AC$6:$AC$12,0)),"")</f>
        <v>7 ضد 7</v>
      </c>
      <c r="I55" s="74">
        <f t="shared" si="0"/>
        <v>4</v>
      </c>
      <c r="J55" s="74">
        <f>ROUNDUP($I55/IFERROR(INDEX(المدخلات!$AJ$6:$AJ$12,MATCH($C55,المدخلات!$AC$6:$AC$12,0)),1),0)</f>
        <v>2</v>
      </c>
      <c r="K55" s="74">
        <f>ROUNDUP($J55/IFERROR(INDEX(المدخلات!$AF$6:$AF$12,MATCH($C55,المدخلات!$AC$6:$AC$12,0)),1),0)</f>
        <v>1</v>
      </c>
      <c r="L55" s="22"/>
      <c r="M55" s="22"/>
      <c r="N55" s="22"/>
      <c r="O55" s="22"/>
      <c r="P55" s="22"/>
      <c r="Q55" s="22"/>
      <c r="R55" s="22"/>
    </row>
    <row r="56" spans="2:18" hidden="1">
      <c r="B56" s="77" t="str">
        <f>'عدد اللاعبين'!B45</f>
        <v>جازان</v>
      </c>
      <c r="C56" s="72" t="str">
        <f>'عدد اللاعبين'!C45</f>
        <v>تحت 11</v>
      </c>
      <c r="D56" s="72" t="str">
        <f>IFERROR(INDEX(المدخلات!$AD$6:$AD$12,MATCH($C56,المدخلات!$AC$6:$AC$12,0)),"")</f>
        <v>الأحد</v>
      </c>
      <c r="E56" s="72" t="str">
        <f>'عدد اللاعبين'!D45</f>
        <v>مجموعة أحد المسارحة</v>
      </c>
      <c r="F56" s="73" t="str">
        <f>'عدد اللاعبين'!F45</f>
        <v>مركز الرفيعة</v>
      </c>
      <c r="G56" s="74">
        <f>'عدد اللاعبين'!G45</f>
        <v>8</v>
      </c>
      <c r="H56" s="72" t="str">
        <f>IFERROR(INDEX(المدخلات!$AE$6:$AE$12,MATCH($C56,المدخلات!$AC$6:$AC$12,0)),"")</f>
        <v>7 ضد 7</v>
      </c>
      <c r="I56" s="74">
        <f t="shared" si="0"/>
        <v>4</v>
      </c>
      <c r="J56" s="74">
        <f>ROUNDUP($I56/IFERROR(INDEX(المدخلات!$AJ$6:$AJ$12,MATCH($C56,المدخلات!$AC$6:$AC$12,0)),1),0)</f>
        <v>1</v>
      </c>
      <c r="K56" s="74">
        <f>ROUNDUP($J56/IFERROR(INDEX(المدخلات!$AF$6:$AF$12,MATCH($C56,المدخلات!$AC$6:$AC$12,0)),1),0)</f>
        <v>1</v>
      </c>
      <c r="L56" s="22"/>
      <c r="M56" s="22"/>
      <c r="N56" s="22"/>
      <c r="O56" s="22"/>
      <c r="P56" s="22"/>
      <c r="Q56" s="22"/>
      <c r="R56" s="22"/>
    </row>
    <row r="57" spans="2:18" hidden="1">
      <c r="B57" s="77" t="str">
        <f>'عدد اللاعبين'!B46</f>
        <v>تبوك</v>
      </c>
      <c r="C57" s="72" t="str">
        <f>'عدد اللاعبين'!C46</f>
        <v>تحت 12</v>
      </c>
      <c r="D57" s="72" t="str">
        <f>IFERROR(INDEX(المدخلات!$AD$6:$AD$12,MATCH($C57,المدخلات!$AC$6:$AC$12,0)),"")</f>
        <v>الاثنين</v>
      </c>
      <c r="E57" s="72" t="str">
        <f>'عدد اللاعبين'!D46</f>
        <v>مجموعة أملج</v>
      </c>
      <c r="F57" s="73" t="str">
        <f>'عدد اللاعبين'!F46</f>
        <v>الخرج، الدلم</v>
      </c>
      <c r="G57" s="74">
        <f>'عدد اللاعبين'!G46</f>
        <v>8</v>
      </c>
      <c r="H57" s="72" t="str">
        <f>IFERROR(INDEX(المدخلات!$AE$6:$AE$12,MATCH($C57,المدخلات!$AC$6:$AC$12,0)),"")</f>
        <v>7 ضد 7</v>
      </c>
      <c r="I57" s="74">
        <f t="shared" si="0"/>
        <v>4</v>
      </c>
      <c r="J57" s="74">
        <f>ROUNDUP($I57/IFERROR(INDEX(المدخلات!$AJ$6:$AJ$12,MATCH($C57,المدخلات!$AC$6:$AC$12,0)),1),0)</f>
        <v>1</v>
      </c>
      <c r="K57" s="74">
        <f>ROUNDUP($J57/IFERROR(INDEX(المدخلات!$AF$6:$AF$12,MATCH($C57,المدخلات!$AC$6:$AC$12,0)),1),0)</f>
        <v>1</v>
      </c>
      <c r="L57" s="22"/>
      <c r="M57" s="22"/>
      <c r="N57" s="22"/>
      <c r="O57" s="22"/>
      <c r="P57" s="22"/>
      <c r="Q57" s="22"/>
      <c r="R57" s="22"/>
    </row>
    <row r="58" spans="2:18" hidden="1">
      <c r="B58" s="77" t="str">
        <f>'عدد اللاعبين'!B47</f>
        <v>الشرقية</v>
      </c>
      <c r="C58" s="72" t="str">
        <f>'عدد اللاعبين'!C47</f>
        <v>تحت 12</v>
      </c>
      <c r="D58" s="72" t="str">
        <f>IFERROR(INDEX(المدخلات!$AD$6:$AD$12,MATCH($C58,المدخلات!$AC$6:$AC$12,0)),"")</f>
        <v>الاثنين</v>
      </c>
      <c r="E58" s="72" t="str">
        <f>'عدد اللاعبين'!D47</f>
        <v>مجموعة مركز الرفيعة</v>
      </c>
      <c r="F58" s="73" t="str">
        <f>'عدد اللاعبين'!F47</f>
        <v>سكاكا، دومة الجندل</v>
      </c>
      <c r="G58" s="74">
        <f>'عدد اللاعبين'!G47</f>
        <v>8</v>
      </c>
      <c r="H58" s="72" t="str">
        <f>IFERROR(INDEX(المدخلات!$AE$6:$AE$12,MATCH($C58,المدخلات!$AC$6:$AC$12,0)),"")</f>
        <v>7 ضد 7</v>
      </c>
      <c r="I58" s="74">
        <f t="shared" si="0"/>
        <v>4</v>
      </c>
      <c r="J58" s="74">
        <f>ROUNDUP($I58/IFERROR(INDEX(المدخلات!$AJ$6:$AJ$12,MATCH($C58,المدخلات!$AC$6:$AC$12,0)),1),0)</f>
        <v>1</v>
      </c>
      <c r="K58" s="74">
        <f>ROUNDUP($J58/IFERROR(INDEX(المدخلات!$AF$6:$AF$12,MATCH($C58,المدخلات!$AC$6:$AC$12,0)),1),0)</f>
        <v>1</v>
      </c>
      <c r="L58" s="22"/>
      <c r="M58" s="22"/>
      <c r="N58" s="22"/>
      <c r="O58" s="22"/>
      <c r="P58" s="22"/>
      <c r="Q58" s="22"/>
      <c r="R58" s="22"/>
    </row>
    <row r="59" spans="2:18" hidden="1">
      <c r="B59" s="77" t="str">
        <f>'عدد اللاعبين'!B48</f>
        <v>نجران</v>
      </c>
      <c r="C59" s="72" t="str">
        <f>'عدد اللاعبين'!C48</f>
        <v>تحت 12</v>
      </c>
      <c r="D59" s="72" t="str">
        <f>IFERROR(INDEX(المدخلات!$AD$6:$AD$12,MATCH($C59,المدخلات!$AC$6:$AC$12,0)),"")</f>
        <v>الاثنين</v>
      </c>
      <c r="E59" s="72" t="str">
        <f>'عدد اللاعبين'!D48</f>
        <v>مجموعة نجران</v>
      </c>
      <c r="F59" s="73" t="str">
        <f>'عدد اللاعبين'!F48</f>
        <v>أحد المسارحة</v>
      </c>
      <c r="G59" s="74">
        <f>'عدد اللاعبين'!G48</f>
        <v>8</v>
      </c>
      <c r="H59" s="72" t="str">
        <f>IFERROR(INDEX(المدخلات!$AE$6:$AE$12,MATCH($C59,المدخلات!$AC$6:$AC$12,0)),"")</f>
        <v>7 ضد 7</v>
      </c>
      <c r="I59" s="74">
        <f t="shared" si="0"/>
        <v>4</v>
      </c>
      <c r="J59" s="74">
        <f>ROUNDUP($I59/IFERROR(INDEX(المدخلات!$AJ$6:$AJ$12,MATCH($C59,المدخلات!$AC$6:$AC$12,0)),1),0)</f>
        <v>1</v>
      </c>
      <c r="K59" s="74">
        <f>ROUNDUP($J59/IFERROR(INDEX(المدخلات!$AF$6:$AF$12,MATCH($C59,المدخلات!$AC$6:$AC$12,0)),1),0)</f>
        <v>1</v>
      </c>
      <c r="L59" s="22"/>
      <c r="M59" s="22"/>
      <c r="N59" s="22"/>
      <c r="O59" s="22"/>
      <c r="P59" s="22"/>
      <c r="Q59" s="22"/>
      <c r="R59" s="22"/>
    </row>
    <row r="60" spans="2:18" hidden="1">
      <c r="B60" s="77" t="str">
        <f>'عدد اللاعبين'!B49</f>
        <v>جازان</v>
      </c>
      <c r="C60" s="72" t="str">
        <f>'عدد اللاعبين'!C49</f>
        <v>تحت 12</v>
      </c>
      <c r="D60" s="72" t="str">
        <f>IFERROR(INDEX(المدخلات!$AD$6:$AD$12,MATCH($C60,المدخلات!$AC$6:$AC$12,0)),"")</f>
        <v>الاثنين</v>
      </c>
      <c r="E60" s="72" t="str">
        <f>'عدد اللاعبين'!D49</f>
        <v>مجموعة أحد المسارحة</v>
      </c>
      <c r="F60" s="73" t="str">
        <f>'عدد اللاعبين'!F49</f>
        <v>مركز الرفيعة</v>
      </c>
      <c r="G60" s="74">
        <f>'عدد اللاعبين'!G49</f>
        <v>8</v>
      </c>
      <c r="H60" s="72" t="str">
        <f>IFERROR(INDEX(المدخلات!$AE$6:$AE$12,MATCH($C60,المدخلات!$AC$6:$AC$12,0)),"")</f>
        <v>7 ضد 7</v>
      </c>
      <c r="I60" s="74">
        <f t="shared" si="0"/>
        <v>4</v>
      </c>
      <c r="J60" s="74">
        <f>ROUNDUP($I60/IFERROR(INDEX(المدخلات!$AJ$6:$AJ$12,MATCH($C60,المدخلات!$AC$6:$AC$12,0)),1),0)</f>
        <v>1</v>
      </c>
      <c r="K60" s="74">
        <f>ROUNDUP($J60/IFERROR(INDEX(المدخلات!$AF$6:$AF$12,MATCH($C60,المدخلات!$AC$6:$AC$12,0)),1),0)</f>
        <v>1</v>
      </c>
      <c r="L60" s="22"/>
      <c r="M60" s="22"/>
      <c r="N60" s="22"/>
      <c r="O60" s="22"/>
      <c r="P60" s="22"/>
      <c r="Q60" s="22"/>
      <c r="R60" s="22"/>
    </row>
    <row r="61" spans="2:18" hidden="1">
      <c r="B61" s="77" t="str">
        <f>'عدد اللاعبين'!B50</f>
        <v>تبوك</v>
      </c>
      <c r="C61" s="72" t="str">
        <f>'عدد اللاعبين'!C50</f>
        <v>تحت 13</v>
      </c>
      <c r="D61" s="72" t="str">
        <f>IFERROR(INDEX(المدخلات!$AD$6:$AD$12,MATCH($C61,المدخلات!$AC$6:$AC$12,0)),"")</f>
        <v>الخميس</v>
      </c>
      <c r="E61" s="72" t="str">
        <f>'عدد اللاعبين'!D50</f>
        <v>مجموعة تبوك</v>
      </c>
      <c r="F61" s="73" t="str">
        <f>'عدد اللاعبين'!F50</f>
        <v>البكيرية، الرس، رياض الخبراء، البدائع</v>
      </c>
      <c r="G61" s="74">
        <f>'عدد اللاعبين'!G50</f>
        <v>8</v>
      </c>
      <c r="H61" s="72" t="str">
        <f>IFERROR(INDEX(المدخلات!$AE$6:$AE$12,MATCH($C61,المدخلات!$AC$6:$AC$12,0)),"")</f>
        <v>قانوني</v>
      </c>
      <c r="I61" s="74">
        <f t="shared" si="0"/>
        <v>4</v>
      </c>
      <c r="J61" s="74">
        <f>ROUNDUP($I61/IFERROR(INDEX(المدخلات!$AJ$6:$AJ$12,MATCH($C61,المدخلات!$AC$6:$AC$12,0)),1),0)</f>
        <v>2</v>
      </c>
      <c r="K61" s="74">
        <f>ROUNDUP($J61/IFERROR(INDEX(المدخلات!$AF$6:$AF$12,MATCH($C61,المدخلات!$AC$6:$AC$12,0)),1),0)</f>
        <v>2</v>
      </c>
      <c r="L61" s="22"/>
      <c r="M61" s="22"/>
      <c r="N61" s="22"/>
      <c r="O61" s="22"/>
      <c r="P61" s="22"/>
      <c r="Q61" s="22"/>
      <c r="R61" s="22"/>
    </row>
    <row r="62" spans="2:18" hidden="1">
      <c r="B62" s="77" t="str">
        <f>'عدد اللاعبين'!B51</f>
        <v>حائل</v>
      </c>
      <c r="C62" s="72" t="str">
        <f>'عدد اللاعبين'!C51</f>
        <v>تحت 13</v>
      </c>
      <c r="D62" s="72" t="str">
        <f>IFERROR(INDEX(المدخلات!$AD$6:$AD$12,MATCH($C62,المدخلات!$AC$6:$AC$12,0)),"")</f>
        <v>الخميس</v>
      </c>
      <c r="E62" s="72" t="str">
        <f>'عدد اللاعبين'!D51</f>
        <v>مجموعة حائل</v>
      </c>
      <c r="F62" s="73" t="str">
        <f>'عدد اللاعبين'!F51</f>
        <v>جيزان</v>
      </c>
      <c r="G62" s="74">
        <f>'عدد اللاعبين'!G51</f>
        <v>8</v>
      </c>
      <c r="H62" s="72" t="str">
        <f>IFERROR(INDEX(المدخلات!$AE$6:$AE$12,MATCH($C62,المدخلات!$AC$6:$AC$12,0)),"")</f>
        <v>قانوني</v>
      </c>
      <c r="I62" s="74">
        <f t="shared" si="0"/>
        <v>4</v>
      </c>
      <c r="J62" s="74">
        <f>ROUNDUP($I62/IFERROR(INDEX(المدخلات!$AJ$6:$AJ$12,MATCH($C62,المدخلات!$AC$6:$AC$12,0)),1),0)</f>
        <v>2</v>
      </c>
      <c r="K62" s="74">
        <f>ROUNDUP($J62/IFERROR(INDEX(المدخلات!$AF$6:$AF$12,MATCH($C62,المدخلات!$AC$6:$AC$12,0)),1),0)</f>
        <v>2</v>
      </c>
      <c r="L62" s="22"/>
      <c r="M62" s="22"/>
      <c r="N62" s="22"/>
      <c r="O62" s="22"/>
      <c r="P62" s="22"/>
      <c r="Q62" s="22"/>
      <c r="R62" s="22"/>
    </row>
    <row r="63" spans="2:18" hidden="1">
      <c r="B63" s="77" t="str">
        <f>'عدد اللاعبين'!B52</f>
        <v>الشرقية</v>
      </c>
      <c r="C63" s="72" t="str">
        <f>'عدد اللاعبين'!C52</f>
        <v>تحت 13</v>
      </c>
      <c r="D63" s="72" t="str">
        <f>IFERROR(INDEX(المدخلات!$AD$6:$AD$12,MATCH($C63,المدخلات!$AC$6:$AC$12,0)),"")</f>
        <v>الخميس</v>
      </c>
      <c r="E63" s="72" t="str">
        <f>'عدد اللاعبين'!D52</f>
        <v>مجموعة مركز الرفيعة</v>
      </c>
      <c r="F63" s="73" t="str">
        <f>'عدد اللاعبين'!F52</f>
        <v>أحد المسارحة</v>
      </c>
      <c r="G63" s="74">
        <f>'عدد اللاعبين'!G52</f>
        <v>8</v>
      </c>
      <c r="H63" s="72" t="str">
        <f>IFERROR(INDEX(المدخلات!$AE$6:$AE$12,MATCH($C63,المدخلات!$AC$6:$AC$12,0)),"")</f>
        <v>قانوني</v>
      </c>
      <c r="I63" s="74">
        <f t="shared" si="0"/>
        <v>4</v>
      </c>
      <c r="J63" s="74">
        <f>ROUNDUP($I63/IFERROR(INDEX(المدخلات!$AJ$6:$AJ$12,MATCH($C63,المدخلات!$AC$6:$AC$12,0)),1),0)</f>
        <v>2</v>
      </c>
      <c r="K63" s="74">
        <f>ROUNDUP($J63/IFERROR(INDEX(المدخلات!$AF$6:$AF$12,MATCH($C63,المدخلات!$AC$6:$AC$12,0)),1),0)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7" t="str">
        <f>'عدد اللاعبين'!B53</f>
        <v>الرياض</v>
      </c>
      <c r="C64" s="72" t="str">
        <f>'عدد اللاعبين'!C53</f>
        <v>تحت 13</v>
      </c>
      <c r="D64" s="72" t="str">
        <f>IFERROR(INDEX(المدخلات!$AD$6:$AD$12,MATCH($C64,المدخلات!$AC$6:$AC$12,0)),"")</f>
        <v>الخميس</v>
      </c>
      <c r="E64" s="72" t="str">
        <f>'عدد اللاعبين'!D53</f>
        <v>مجموعة الخرج</v>
      </c>
      <c r="F64" s="73" t="str">
        <f>'عدد اللاعبين'!F53</f>
        <v>الخبر، الدمام، سيهات</v>
      </c>
      <c r="G64" s="74">
        <f>'عدد اللاعبين'!G53</f>
        <v>8</v>
      </c>
      <c r="H64" s="72" t="str">
        <f>IFERROR(INDEX(المدخلات!$AE$6:$AE$12,MATCH($C64,المدخلات!$AC$6:$AC$12,0)),"")</f>
        <v>قانوني</v>
      </c>
      <c r="I64" s="74">
        <f t="shared" si="0"/>
        <v>4</v>
      </c>
      <c r="J64" s="74">
        <f>ROUNDUP($I64/IFERROR(INDEX(المدخلات!$AJ$6:$AJ$12,MATCH($C64,المدخلات!$AC$6:$AC$12,0)),1),0)</f>
        <v>2</v>
      </c>
      <c r="K64" s="74">
        <f>ROUNDUP($J64/IFERROR(INDEX(المدخلات!$AF$6:$AF$12,MATCH($C64,المدخلات!$AC$6:$AC$12,0)),1),0)</f>
        <v>2</v>
      </c>
      <c r="L64" s="22"/>
      <c r="M64" s="22"/>
      <c r="N64" s="22"/>
      <c r="O64" s="22"/>
      <c r="P64" s="22"/>
      <c r="Q64" s="22"/>
      <c r="R64" s="22"/>
    </row>
    <row r="65" spans="2:18" hidden="1">
      <c r="B65" s="77" t="str">
        <f>'عدد اللاعبين'!B54</f>
        <v>الجوف</v>
      </c>
      <c r="C65" s="72" t="str">
        <f>'عدد اللاعبين'!C54</f>
        <v>تحت 13</v>
      </c>
      <c r="D65" s="72" t="str">
        <f>IFERROR(INDEX(المدخلات!$AD$6:$AD$12,MATCH($C65,المدخلات!$AC$6:$AC$12,0)),"")</f>
        <v>الخميس</v>
      </c>
      <c r="E65" s="72" t="str">
        <f>'عدد اللاعبين'!D54</f>
        <v>مجموعة سكاكا</v>
      </c>
      <c r="F65" s="73" t="str">
        <f>'عدد اللاعبين'!F54</f>
        <v>أحد المسارحة</v>
      </c>
      <c r="G65" s="74">
        <f>'عدد اللاعبين'!G54</f>
        <v>8</v>
      </c>
      <c r="H65" s="72" t="str">
        <f>IFERROR(INDEX(المدخلات!$AE$6:$AE$12,MATCH($C65,المدخلات!$AC$6:$AC$12,0)),"")</f>
        <v>قانوني</v>
      </c>
      <c r="I65" s="74">
        <f t="shared" si="0"/>
        <v>4</v>
      </c>
      <c r="J65" s="74">
        <f>ROUNDUP($I65/IFERROR(INDEX(المدخلات!$AJ$6:$AJ$12,MATCH($C65,المدخلات!$AC$6:$AC$12,0)),1),0)</f>
        <v>2</v>
      </c>
      <c r="K65" s="74">
        <f>ROUNDUP($J65/IFERROR(INDEX(المدخلات!$AF$6:$AF$12,MATCH($C65,المدخلات!$AC$6:$AC$12,0)),1),0)</f>
        <v>2</v>
      </c>
      <c r="L65" s="22"/>
      <c r="M65" s="22"/>
      <c r="N65" s="22"/>
      <c r="O65" s="22"/>
      <c r="P65" s="22"/>
      <c r="Q65" s="22"/>
      <c r="R65" s="22"/>
    </row>
    <row r="66" spans="2:18" hidden="1">
      <c r="B66" s="77" t="str">
        <f>'عدد اللاعبين'!B55</f>
        <v>جازان</v>
      </c>
      <c r="C66" s="72" t="str">
        <f>'عدد اللاعبين'!C55</f>
        <v>تحت 13</v>
      </c>
      <c r="D66" s="72" t="str">
        <f>IFERROR(INDEX(المدخلات!$AD$6:$AD$12,MATCH($C66,المدخلات!$AC$6:$AC$12,0)),"")</f>
        <v>الخميس</v>
      </c>
      <c r="E66" s="72" t="str">
        <f>'عدد اللاعبين'!D55</f>
        <v>مجموعة أحد المسارحة</v>
      </c>
      <c r="F66" s="73" t="str">
        <f>'عدد اللاعبين'!F55</f>
        <v>صامطة</v>
      </c>
      <c r="G66" s="74">
        <f>'عدد اللاعبين'!G55</f>
        <v>8</v>
      </c>
      <c r="H66" s="72" t="str">
        <f>IFERROR(INDEX(المدخلات!$AE$6:$AE$12,MATCH($C66,المدخلات!$AC$6:$AC$12,0)),"")</f>
        <v>قانوني</v>
      </c>
      <c r="I66" s="74">
        <f t="shared" si="0"/>
        <v>4</v>
      </c>
      <c r="J66" s="74">
        <f>ROUNDUP($I66/IFERROR(INDEX(المدخلات!$AJ$6:$AJ$12,MATCH($C66,المدخلات!$AC$6:$AC$12,0)),1),0)</f>
        <v>2</v>
      </c>
      <c r="K66" s="74">
        <f>ROUNDUP($J66/IFERROR(INDEX(المدخلات!$AF$6:$AF$12,MATCH($C66,المدخلات!$AC$6:$AC$12,0)),1),0)</f>
        <v>2</v>
      </c>
      <c r="L66" s="22"/>
      <c r="M66" s="22"/>
      <c r="N66" s="22"/>
      <c r="O66" s="22"/>
      <c r="P66" s="22"/>
      <c r="Q66" s="22"/>
      <c r="R66" s="22"/>
    </row>
    <row r="67" spans="2:18" hidden="1">
      <c r="B67" s="77" t="str">
        <f>'عدد اللاعبين'!B56</f>
        <v>الشرقية</v>
      </c>
      <c r="C67" s="72" t="str">
        <f>'عدد اللاعبين'!C56</f>
        <v>تحت 14</v>
      </c>
      <c r="D67" s="72" t="str">
        <f>IFERROR(INDEX(المدخلات!$AD$6:$AD$12,MATCH($C67,المدخلات!$AC$6:$AC$12,0)),"")</f>
        <v>الأربعاء</v>
      </c>
      <c r="E67" s="72" t="str">
        <f>'عدد اللاعبين'!D56</f>
        <v>مجموعة مركز الرفيعة</v>
      </c>
      <c r="F67" s="73" t="str">
        <f>'عدد اللاعبين'!F56</f>
        <v>جيزان</v>
      </c>
      <c r="G67" s="74">
        <f>'عدد اللاعبين'!G56</f>
        <v>8</v>
      </c>
      <c r="H67" s="72" t="str">
        <f>IFERROR(INDEX(المدخلات!$AE$6:$AE$12,MATCH($C67,المدخلات!$AC$6:$AC$12,0)),"")</f>
        <v>قانوني</v>
      </c>
      <c r="I67" s="74">
        <f t="shared" si="0"/>
        <v>4</v>
      </c>
      <c r="J67" s="74">
        <f>ROUNDUP($I67/IFERROR(INDEX(المدخلات!$AJ$6:$AJ$12,MATCH($C67,المدخلات!$AC$6:$AC$12,0)),1),0)</f>
        <v>2</v>
      </c>
      <c r="K67" s="74">
        <f>ROUNDUP($J67/IFERROR(INDEX(المدخلات!$AF$6:$AF$12,MATCH($C67,المدخلات!$AC$6:$AC$12,0)),1),0)</f>
        <v>2</v>
      </c>
      <c r="L67" s="22"/>
      <c r="M67" s="22"/>
      <c r="N67" s="22"/>
      <c r="O67" s="22"/>
      <c r="P67" s="22"/>
      <c r="Q67" s="22"/>
      <c r="R67" s="22"/>
    </row>
    <row r="68" spans="2:18" hidden="1">
      <c r="B68" s="77" t="str">
        <f>'عدد اللاعبين'!B57</f>
        <v>القصيم</v>
      </c>
      <c r="C68" s="72" t="str">
        <f>'عدد اللاعبين'!C57</f>
        <v>تحت 14</v>
      </c>
      <c r="D68" s="72" t="str">
        <f>IFERROR(INDEX(المدخلات!$AD$6:$AD$12,MATCH($C68,المدخلات!$AC$6:$AC$12,0)),"")</f>
        <v>الأربعاء</v>
      </c>
      <c r="E68" s="72" t="str">
        <f>'عدد اللاعبين'!D57</f>
        <v>مجموعة الرس</v>
      </c>
      <c r="F68" s="73" t="str">
        <f>'عدد اللاعبين'!F57</f>
        <v>أحد المسارحة</v>
      </c>
      <c r="G68" s="74">
        <f>'عدد اللاعبين'!G57</f>
        <v>8</v>
      </c>
      <c r="H68" s="72" t="str">
        <f>IFERROR(INDEX(المدخلات!$AE$6:$AE$12,MATCH($C68,المدخلات!$AC$6:$AC$12,0)),"")</f>
        <v>قانوني</v>
      </c>
      <c r="I68" s="74">
        <f t="shared" si="0"/>
        <v>4</v>
      </c>
      <c r="J68" s="74">
        <f>ROUNDUP($I68/IFERROR(INDEX(المدخلات!$AJ$6:$AJ$12,MATCH($C68,المدخلات!$AC$6:$AC$12,0)),1),0)</f>
        <v>2</v>
      </c>
      <c r="K68" s="74">
        <f>ROUNDUP($J68/IFERROR(INDEX(المدخلات!$AF$6:$AF$12,MATCH($C68,المدخلات!$AC$6:$AC$12,0)),1),0)</f>
        <v>2</v>
      </c>
      <c r="L68" s="22"/>
      <c r="M68" s="22"/>
      <c r="N68" s="22"/>
      <c r="O68" s="22"/>
      <c r="P68" s="22"/>
      <c r="Q68" s="22"/>
      <c r="R68" s="22"/>
    </row>
    <row r="69" spans="2:18" hidden="1">
      <c r="B69" s="77" t="str">
        <f>'عدد اللاعبين'!B58</f>
        <v>جازان</v>
      </c>
      <c r="C69" s="72" t="str">
        <f>'عدد اللاعبين'!C58</f>
        <v>تحت 14</v>
      </c>
      <c r="D69" s="72" t="str">
        <f>IFERROR(INDEX(المدخلات!$AD$6:$AD$12,MATCH($C69,المدخلات!$AC$6:$AC$12,0)),"")</f>
        <v>الأربعاء</v>
      </c>
      <c r="E69" s="72" t="str">
        <f>'عدد اللاعبين'!D58</f>
        <v>مجموعة جازان</v>
      </c>
      <c r="F69" s="73" t="str">
        <f>'عدد اللاعبين'!F58</f>
        <v>البكيرية، الرس، رياض الخبراء، البدائع</v>
      </c>
      <c r="G69" s="74">
        <f>'عدد اللاعبين'!G58</f>
        <v>8</v>
      </c>
      <c r="H69" s="72" t="str">
        <f>IFERROR(INDEX(المدخلات!$AE$6:$AE$12,MATCH($C69,المدخلات!$AC$6:$AC$12,0)),"")</f>
        <v>قانوني</v>
      </c>
      <c r="I69" s="74">
        <f t="shared" si="0"/>
        <v>4</v>
      </c>
      <c r="J69" s="74">
        <f>ROUNDUP($I69/IFERROR(INDEX(المدخلات!$AJ$6:$AJ$12,MATCH($C69,المدخلات!$AC$6:$AC$12,0)),1),0)</f>
        <v>2</v>
      </c>
      <c r="K69" s="74">
        <f>ROUNDUP($J69/IFERROR(INDEX(المدخلات!$AF$6:$AF$12,MATCH($C69,المدخلات!$AC$6:$AC$12,0)),1),0)</f>
        <v>2</v>
      </c>
      <c r="L69" s="22"/>
      <c r="M69" s="22"/>
      <c r="N69" s="22"/>
      <c r="O69" s="22"/>
      <c r="P69" s="22"/>
      <c r="Q69" s="22"/>
      <c r="R69" s="22"/>
    </row>
    <row r="70" spans="2:18" hidden="1">
      <c r="B70" s="77" t="str">
        <f>'عدد اللاعبين'!B59</f>
        <v>جازان</v>
      </c>
      <c r="C70" s="72" t="str">
        <f>'عدد اللاعبين'!C59</f>
        <v>تحت 14</v>
      </c>
      <c r="D70" s="72" t="str">
        <f>IFERROR(INDEX(المدخلات!$AD$6:$AD$12,MATCH($C70,المدخلات!$AC$6:$AC$12,0)),"")</f>
        <v>الأربعاء</v>
      </c>
      <c r="E70" s="72" t="str">
        <f>'عدد اللاعبين'!D59</f>
        <v>مجموعة أحد المسارحة</v>
      </c>
      <c r="F70" s="73" t="str">
        <f>'عدد اللاعبين'!F59</f>
        <v>القنفذة</v>
      </c>
      <c r="G70" s="74">
        <f>'عدد اللاعبين'!G59</f>
        <v>8</v>
      </c>
      <c r="H70" s="72" t="str">
        <f>IFERROR(INDEX(المدخلات!$AE$6:$AE$12,MATCH($C70,المدخلات!$AC$6:$AC$12,0)),"")</f>
        <v>قانوني</v>
      </c>
      <c r="I70" s="74">
        <f t="shared" si="0"/>
        <v>4</v>
      </c>
      <c r="J70" s="74">
        <f>ROUNDUP($I70/IFERROR(INDEX(المدخلات!$AJ$6:$AJ$12,MATCH($C70,المدخلات!$AC$6:$AC$12,0)),1),0)</f>
        <v>2</v>
      </c>
      <c r="K70" s="74">
        <f>ROUNDUP($J70/IFERROR(INDEX(المدخلات!$AF$6:$AF$12,MATCH($C70,المدخلات!$AC$6:$AC$12,0)),1),0)</f>
        <v>2</v>
      </c>
      <c r="L70" s="22"/>
      <c r="M70" s="22"/>
      <c r="N70" s="22"/>
      <c r="O70" s="22"/>
      <c r="P70" s="22"/>
      <c r="Q70" s="22"/>
      <c r="R70" s="22"/>
    </row>
    <row r="71" spans="2:18" hidden="1">
      <c r="B71" s="77" t="str">
        <f>'عدد اللاعبين'!B60</f>
        <v>الشرقية</v>
      </c>
      <c r="C71" s="72" t="str">
        <f>'عدد اللاعبين'!C60</f>
        <v>تحت 5</v>
      </c>
      <c r="D71" s="72" t="str">
        <f>IFERROR(INDEX(المدخلات!$AD$6:$AD$12,MATCH($C71,المدخلات!$AC$6:$AC$12,0)),"")</f>
        <v>السبت</v>
      </c>
      <c r="E71" s="72" t="str">
        <f>'عدد اللاعبين'!D60</f>
        <v>مجموعة الدمام</v>
      </c>
      <c r="F71" s="73" t="str">
        <f>'عدد اللاعبين'!F60</f>
        <v>أحد المسارحة</v>
      </c>
      <c r="G71" s="74">
        <f>'عدد اللاعبين'!G60</f>
        <v>8</v>
      </c>
      <c r="H71" s="72" t="str">
        <f>IFERROR(INDEX(المدخلات!$AE$6:$AE$12,MATCH($C71,المدخلات!$AC$6:$AC$12,0)),"")</f>
        <v>5 ضد 5</v>
      </c>
      <c r="I71" s="74">
        <f t="shared" si="0"/>
        <v>4</v>
      </c>
      <c r="J71" s="74">
        <f>ROUNDUP($I71/IFERROR(INDEX(المدخلات!$AJ$6:$AJ$12,MATCH($C71,المدخلات!$AC$6:$AC$12,0)),1),0)</f>
        <v>2</v>
      </c>
      <c r="K71" s="74">
        <f>ROUNDUP($J71/IFERROR(INDEX(المدخلات!$AF$6:$AF$12,MATCH($C71,المدخلات!$AC$6:$AC$12,0)),1),0)</f>
        <v>1</v>
      </c>
      <c r="L71" s="22"/>
      <c r="M71" s="22"/>
      <c r="N71" s="22"/>
      <c r="O71" s="22"/>
      <c r="P71" s="22"/>
      <c r="Q71" s="22"/>
      <c r="R71" s="22"/>
    </row>
    <row r="72" spans="2:18" hidden="1">
      <c r="B72" s="77" t="str">
        <f>'عدد اللاعبين'!B61</f>
        <v>جازان</v>
      </c>
      <c r="C72" s="72" t="str">
        <f>'عدد اللاعبين'!C61</f>
        <v>تحت 5</v>
      </c>
      <c r="D72" s="72" t="str">
        <f>IFERROR(INDEX(المدخلات!$AD$6:$AD$12,MATCH($C72,المدخلات!$AC$6:$AC$12,0)),"")</f>
        <v>السبت</v>
      </c>
      <c r="E72" s="72" t="str">
        <f>'عدد اللاعبين'!D61</f>
        <v>مجموعة أحد المسارحة</v>
      </c>
      <c r="F72" s="73" t="str">
        <f>'عدد اللاعبين'!F61</f>
        <v>تبوك</v>
      </c>
      <c r="G72" s="74">
        <f>'عدد اللاعبين'!G61</f>
        <v>9</v>
      </c>
      <c r="H72" s="72" t="str">
        <f>IFERROR(INDEX(المدخلات!$AE$6:$AE$12,MATCH($C72,المدخلات!$AC$6:$AC$12,0)),"")</f>
        <v>5 ضد 5</v>
      </c>
      <c r="I72" s="74">
        <f t="shared" si="0"/>
        <v>4</v>
      </c>
      <c r="J72" s="74">
        <f>ROUNDUP($I72/IFERROR(INDEX(المدخلات!$AJ$6:$AJ$12,MATCH($C72,المدخلات!$AC$6:$AC$12,0)),1),0)</f>
        <v>2</v>
      </c>
      <c r="K72" s="74">
        <f>ROUNDUP($J72/IFERROR(INDEX(المدخلات!$AF$6:$AF$12,MATCH($C72,المدخلات!$AC$6:$AC$12,0)),1),0)</f>
        <v>1</v>
      </c>
      <c r="L72" s="22"/>
      <c r="M72" s="22"/>
      <c r="N72" s="22"/>
      <c r="O72" s="22"/>
      <c r="P72" s="22"/>
      <c r="Q72" s="22"/>
      <c r="R72" s="22"/>
    </row>
    <row r="73" spans="2:18" hidden="1">
      <c r="B73" s="77" t="str">
        <f>'عدد اللاعبين'!B62</f>
        <v>جازان</v>
      </c>
      <c r="C73" s="72" t="str">
        <f>'عدد اللاعبين'!C62</f>
        <v>تحت 5</v>
      </c>
      <c r="D73" s="72" t="str">
        <f>IFERROR(INDEX(المدخلات!$AD$6:$AD$12,MATCH($C73,المدخلات!$AC$6:$AC$12,0)),"")</f>
        <v>السبت</v>
      </c>
      <c r="E73" s="72" t="str">
        <f>'عدد اللاعبين'!D62</f>
        <v>مجموعة صامطة</v>
      </c>
      <c r="F73" s="73" t="str">
        <f>'عدد اللاعبين'!F62</f>
        <v>مركز الرفيعة</v>
      </c>
      <c r="G73" s="74">
        <f>'عدد اللاعبين'!G62</f>
        <v>9</v>
      </c>
      <c r="H73" s="72" t="str">
        <f>IFERROR(INDEX(المدخلات!$AE$6:$AE$12,MATCH($C73,المدخلات!$AC$6:$AC$12,0)),"")</f>
        <v>5 ضد 5</v>
      </c>
      <c r="I73" s="74">
        <f t="shared" si="0"/>
        <v>4</v>
      </c>
      <c r="J73" s="74">
        <f>ROUNDUP($I73/IFERROR(INDEX(المدخلات!$AJ$6:$AJ$12,MATCH($C73,المدخلات!$AC$6:$AC$12,0)),1),0)</f>
        <v>2</v>
      </c>
      <c r="K73" s="74">
        <f>ROUNDUP($J73/IFERROR(INDEX(المدخلات!$AF$6:$AF$12,MATCH($C73,المدخلات!$AC$6:$AC$12,0)),1),0)</f>
        <v>1</v>
      </c>
      <c r="L73" s="22"/>
      <c r="M73" s="22"/>
      <c r="N73" s="22"/>
      <c r="O73" s="22"/>
      <c r="P73" s="22"/>
      <c r="Q73" s="22"/>
      <c r="R73" s="22"/>
    </row>
    <row r="74" spans="2:18" hidden="1">
      <c r="B74" s="77" t="str">
        <f>'عدد اللاعبين'!B63</f>
        <v>جازان</v>
      </c>
      <c r="C74" s="72" t="str">
        <f>'عدد اللاعبين'!C63</f>
        <v>تحت 7</v>
      </c>
      <c r="D74" s="72" t="str">
        <f>IFERROR(INDEX(المدخلات!$AD$6:$AD$12,MATCH($C74,المدخلات!$AC$6:$AC$12,0)),"")</f>
        <v>السبت</v>
      </c>
      <c r="E74" s="72" t="str">
        <f>'عدد اللاعبين'!D63</f>
        <v>مجموعة جازان</v>
      </c>
      <c r="F74" s="73" t="str">
        <f>'عدد اللاعبين'!F63</f>
        <v>تبوك</v>
      </c>
      <c r="G74" s="74">
        <f>'عدد اللاعبين'!G63</f>
        <v>9</v>
      </c>
      <c r="H74" s="72" t="str">
        <f>IFERROR(INDEX(المدخلات!$AE$6:$AE$12,MATCH($C74,المدخلات!$AC$6:$AC$12,0)),"")</f>
        <v>7 ضد 7</v>
      </c>
      <c r="I74" s="74">
        <f t="shared" si="0"/>
        <v>4</v>
      </c>
      <c r="J74" s="74">
        <f>ROUNDUP($I74/IFERROR(INDEX(المدخلات!$AJ$6:$AJ$12,MATCH($C74,المدخلات!$AC$6:$AC$12,0)),1),0)</f>
        <v>2</v>
      </c>
      <c r="K74" s="74">
        <f>ROUNDUP($J74/IFERROR(INDEX(المدخلات!$AF$6:$AF$12,MATCH($C74,المدخلات!$AC$6:$AC$12,0)),1),0)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7" t="str">
        <f>'عدد اللاعبين'!B64</f>
        <v>جازان</v>
      </c>
      <c r="C75" s="72" t="str">
        <f>'عدد اللاعبين'!C64</f>
        <v>تحت 7</v>
      </c>
      <c r="D75" s="72" t="str">
        <f>IFERROR(INDEX(المدخلات!$AD$6:$AD$12,MATCH($C75,المدخلات!$AC$6:$AC$12,0)),"")</f>
        <v>السبت</v>
      </c>
      <c r="E75" s="72" t="str">
        <f>'عدد اللاعبين'!D64</f>
        <v>مجموعة أحد المسارحة</v>
      </c>
      <c r="F75" s="73" t="str">
        <f>'عدد اللاعبين'!F64</f>
        <v>سكاكا، دومة الجندل</v>
      </c>
      <c r="G75" s="74">
        <f>'عدد اللاعبين'!G64</f>
        <v>9</v>
      </c>
      <c r="H75" s="72" t="str">
        <f>IFERROR(INDEX(المدخلات!$AE$6:$AE$12,MATCH($C75,المدخلات!$AC$6:$AC$12,0)),"")</f>
        <v>7 ضد 7</v>
      </c>
      <c r="I75" s="74">
        <f t="shared" si="0"/>
        <v>4</v>
      </c>
      <c r="J75" s="74">
        <f>ROUNDUP($I75/IFERROR(INDEX(المدخلات!$AJ$6:$AJ$12,MATCH($C75,المدخلات!$AC$6:$AC$12,0)),1),0)</f>
        <v>2</v>
      </c>
      <c r="K75" s="74">
        <f>ROUNDUP($J75/IFERROR(INDEX(المدخلات!$AF$6:$AF$12,MATCH($C75,المدخلات!$AC$6:$AC$12,0)),1),0)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7" t="str">
        <f>'عدد اللاعبين'!B65</f>
        <v>القصيم</v>
      </c>
      <c r="C76" s="72" t="str">
        <f>'عدد اللاعبين'!C65</f>
        <v>تحت 9</v>
      </c>
      <c r="D76" s="72" t="str">
        <f>IFERROR(INDEX(المدخلات!$AD$6:$AD$12,MATCH($C76,المدخلات!$AC$6:$AC$12,0)),"")</f>
        <v>السبت</v>
      </c>
      <c r="E76" s="72" t="str">
        <f>'عدد اللاعبين'!D65</f>
        <v>مجموعة الرس</v>
      </c>
      <c r="F76" s="73" t="str">
        <f>'عدد اللاعبين'!F65</f>
        <v>تبوك</v>
      </c>
      <c r="G76" s="74">
        <f>'عدد اللاعبين'!G65</f>
        <v>9</v>
      </c>
      <c r="H76" s="72" t="str">
        <f>IFERROR(INDEX(المدخلات!$AE$6:$AE$12,MATCH($C76,المدخلات!$AC$6:$AC$12,0)),"")</f>
        <v>7 ضد 7</v>
      </c>
      <c r="I76" s="74">
        <f t="shared" si="0"/>
        <v>4</v>
      </c>
      <c r="J76" s="74">
        <f>ROUNDUP($I76/IFERROR(INDEX(المدخلات!$AJ$6:$AJ$12,MATCH($C76,المدخلات!$AC$6:$AC$12,0)),1),0)</f>
        <v>2</v>
      </c>
      <c r="K76" s="74">
        <f>ROUNDUP($J76/IFERROR(INDEX(المدخلات!$AF$6:$AF$12,MATCH($C76,المدخلات!$AC$6:$AC$12,0)),1),0)</f>
        <v>1</v>
      </c>
      <c r="L76" s="22"/>
      <c r="M76" s="22"/>
      <c r="N76" s="22"/>
      <c r="O76" s="22"/>
      <c r="P76" s="22"/>
      <c r="Q76" s="22"/>
      <c r="R76" s="22"/>
    </row>
    <row r="77" spans="2:18" hidden="1">
      <c r="B77" s="77" t="str">
        <f>'عدد اللاعبين'!B66</f>
        <v>مكة المكرمة</v>
      </c>
      <c r="C77" s="72" t="str">
        <f>'عدد اللاعبين'!C66</f>
        <v>تحت 9</v>
      </c>
      <c r="D77" s="72" t="str">
        <f>IFERROR(INDEX(المدخلات!$AD$6:$AD$12,MATCH($C77,المدخلات!$AC$6:$AC$12,0)),"")</f>
        <v>السبت</v>
      </c>
      <c r="E77" s="72" t="str">
        <f>'عدد اللاعبين'!D66</f>
        <v>مجموعة القنفذة</v>
      </c>
      <c r="F77" s="73" t="str">
        <f>'عدد اللاعبين'!F66</f>
        <v>المدينة المنورة</v>
      </c>
      <c r="G77" s="74">
        <f>'عدد اللاعبين'!G66</f>
        <v>9</v>
      </c>
      <c r="H77" s="72" t="str">
        <f>IFERROR(INDEX(المدخلات!$AE$6:$AE$12,MATCH($C77,المدخلات!$AC$6:$AC$12,0)),"")</f>
        <v>7 ضد 7</v>
      </c>
      <c r="I77" s="74">
        <f t="shared" si="0"/>
        <v>4</v>
      </c>
      <c r="J77" s="74">
        <f>ROUNDUP($I77/IFERROR(INDEX(المدخلات!$AJ$6:$AJ$12,MATCH($C77,المدخلات!$AC$6:$AC$12,0)),1),0)</f>
        <v>2</v>
      </c>
      <c r="K77" s="74">
        <f>ROUNDUP($J77/IFERROR(INDEX(المدخلات!$AF$6:$AF$12,MATCH($C77,المدخلات!$AC$6:$AC$12,0)),1),0)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7" t="str">
        <f>'عدد اللاعبين'!B67</f>
        <v>جازان</v>
      </c>
      <c r="C78" s="72" t="str">
        <f>'عدد اللاعبين'!C67</f>
        <v>تحت 9</v>
      </c>
      <c r="D78" s="72" t="str">
        <f>IFERROR(INDEX(المدخلات!$AD$6:$AD$12,MATCH($C78,المدخلات!$AC$6:$AC$12,0)),"")</f>
        <v>السبت</v>
      </c>
      <c r="E78" s="72" t="str">
        <f>'عدد اللاعبين'!D67</f>
        <v>مجموعة أحد المسارحة</v>
      </c>
      <c r="F78" s="73" t="str">
        <f>'عدد اللاعبين'!F67</f>
        <v>جيزان</v>
      </c>
      <c r="G78" s="74">
        <f>'عدد اللاعبين'!G67</f>
        <v>9</v>
      </c>
      <c r="H78" s="72" t="str">
        <f>IFERROR(INDEX(المدخلات!$AE$6:$AE$12,MATCH($C78,المدخلات!$AC$6:$AC$12,0)),"")</f>
        <v>7 ضد 7</v>
      </c>
      <c r="I78" s="74">
        <f t="shared" ref="I78:I141" si="1">IF($G78&lt;الحد_الأدنى,0,ROUNDDOWN($G78/فرق_المباراة,0))</f>
        <v>4</v>
      </c>
      <c r="J78" s="74">
        <f>ROUNDUP($I78/IFERROR(INDEX(المدخلات!$AJ$6:$AJ$12,MATCH($C78,المدخلات!$AC$6:$AC$12,0)),1),0)</f>
        <v>2</v>
      </c>
      <c r="K78" s="74">
        <f>ROUNDUP($J78/IFERROR(INDEX(المدخلات!$AF$6:$AF$12,MATCH($C78,المدخلات!$AC$6:$AC$12,0)),1),0)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7" t="str">
        <f>'عدد اللاعبين'!B68</f>
        <v>تبوك</v>
      </c>
      <c r="C79" s="72" t="str">
        <f>'عدد اللاعبين'!C68</f>
        <v>تحت 11</v>
      </c>
      <c r="D79" s="72" t="str">
        <f>IFERROR(INDEX(المدخلات!$AD$6:$AD$12,MATCH($C79,المدخلات!$AC$6:$AC$12,0)),"")</f>
        <v>الأحد</v>
      </c>
      <c r="E79" s="72" t="str">
        <f>'عدد اللاعبين'!D68</f>
        <v>مجموعة تبوك</v>
      </c>
      <c r="F79" s="73" t="str">
        <f>'عدد اللاعبين'!F68</f>
        <v>أبو عريش</v>
      </c>
      <c r="G79" s="74">
        <f>'عدد اللاعبين'!G68</f>
        <v>9</v>
      </c>
      <c r="H79" s="72" t="str">
        <f>IFERROR(INDEX(المدخلات!$AE$6:$AE$12,MATCH($C79,المدخلات!$AC$6:$AC$12,0)),"")</f>
        <v>7 ضد 7</v>
      </c>
      <c r="I79" s="74">
        <f t="shared" si="1"/>
        <v>4</v>
      </c>
      <c r="J79" s="74">
        <f>ROUNDUP($I79/IFERROR(INDEX(المدخلات!$AJ$6:$AJ$12,MATCH($C79,المدخلات!$AC$6:$AC$12,0)),1),0)</f>
        <v>1</v>
      </c>
      <c r="K79" s="74">
        <f>ROUNDUP($J79/IFERROR(INDEX(المدخلات!$AF$6:$AF$12,MATCH($C79,المدخلات!$AC$6:$AC$12,0)),1),0)</f>
        <v>1</v>
      </c>
      <c r="L79" s="22"/>
      <c r="M79" s="22"/>
      <c r="N79" s="22"/>
      <c r="O79" s="22"/>
      <c r="P79" s="22"/>
      <c r="Q79" s="22"/>
      <c r="R79" s="22"/>
    </row>
    <row r="80" spans="2:18" hidden="1">
      <c r="B80" s="77" t="str">
        <f>'عدد اللاعبين'!B69</f>
        <v>الشرقية</v>
      </c>
      <c r="C80" s="72" t="str">
        <f>'عدد اللاعبين'!C69</f>
        <v>تحت 11</v>
      </c>
      <c r="D80" s="72" t="str">
        <f>IFERROR(INDEX(المدخلات!$AD$6:$AD$12,MATCH($C80,المدخلات!$AC$6:$AC$12,0)),"")</f>
        <v>الأحد</v>
      </c>
      <c r="E80" s="72" t="str">
        <f>'عدد اللاعبين'!D69</f>
        <v>مجموعة مركز الرفيعة</v>
      </c>
      <c r="F80" s="73" t="str">
        <f>'عدد اللاعبين'!F69</f>
        <v>بريدة، عيون الجواء، المذنب، عنيزة</v>
      </c>
      <c r="G80" s="74">
        <f>'عدد اللاعبين'!G69</f>
        <v>9</v>
      </c>
      <c r="H80" s="72" t="str">
        <f>IFERROR(INDEX(المدخلات!$AE$6:$AE$12,MATCH($C80,المدخلات!$AC$6:$AC$12,0)),"")</f>
        <v>7 ضد 7</v>
      </c>
      <c r="I80" s="74">
        <f t="shared" si="1"/>
        <v>4</v>
      </c>
      <c r="J80" s="74">
        <f>ROUNDUP($I80/IFERROR(INDEX(المدخلات!$AJ$6:$AJ$12,MATCH($C80,المدخلات!$AC$6:$AC$12,0)),1),0)</f>
        <v>1</v>
      </c>
      <c r="K80" s="74">
        <f>ROUNDUP($J80/IFERROR(INDEX(المدخلات!$AF$6:$AF$12,MATCH($C80,المدخلات!$AC$6:$AC$12,0)),1),0)</f>
        <v>1</v>
      </c>
      <c r="L80" s="22"/>
      <c r="M80" s="22"/>
      <c r="N80" s="22"/>
      <c r="O80" s="22"/>
      <c r="P80" s="22"/>
      <c r="Q80" s="22"/>
      <c r="R80" s="22"/>
    </row>
    <row r="81" spans="2:18" hidden="1">
      <c r="B81" s="77" t="str">
        <f>'عدد اللاعبين'!B70</f>
        <v>تبوك</v>
      </c>
      <c r="C81" s="72" t="str">
        <f>'عدد اللاعبين'!C70</f>
        <v>تحت 12</v>
      </c>
      <c r="D81" s="72" t="str">
        <f>IFERROR(INDEX(المدخلات!$AD$6:$AD$12,MATCH($C81,المدخلات!$AC$6:$AC$12,0)),"")</f>
        <v>الاثنين</v>
      </c>
      <c r="E81" s="72" t="str">
        <f>'عدد اللاعبين'!D70</f>
        <v>مجموعة تبوك</v>
      </c>
      <c r="F81" s="73" t="str">
        <f>'عدد اللاعبين'!F70</f>
        <v>صامطة</v>
      </c>
      <c r="G81" s="74">
        <f>'عدد اللاعبين'!G70</f>
        <v>9</v>
      </c>
      <c r="H81" s="72" t="str">
        <f>IFERROR(INDEX(المدخلات!$AE$6:$AE$12,MATCH($C81,المدخلات!$AC$6:$AC$12,0)),"")</f>
        <v>7 ضد 7</v>
      </c>
      <c r="I81" s="74">
        <f t="shared" si="1"/>
        <v>4</v>
      </c>
      <c r="J81" s="74">
        <f>ROUNDUP($I81/IFERROR(INDEX(المدخلات!$AJ$6:$AJ$12,MATCH($C81,المدخلات!$AC$6:$AC$12,0)),1),0)</f>
        <v>1</v>
      </c>
      <c r="K81" s="74">
        <f>ROUNDUP($J81/IFERROR(INDEX(المدخلات!$AF$6:$AF$12,MATCH($C81,المدخلات!$AC$6:$AC$12,0)),1),0)</f>
        <v>1</v>
      </c>
      <c r="L81" s="22"/>
      <c r="M81" s="22"/>
      <c r="N81" s="22"/>
      <c r="O81" s="22"/>
      <c r="P81" s="22"/>
      <c r="Q81" s="22"/>
      <c r="R81" s="22"/>
    </row>
    <row r="82" spans="2:18" hidden="1">
      <c r="B82" s="77" t="str">
        <f>'عدد اللاعبين'!B71</f>
        <v>الجوف</v>
      </c>
      <c r="C82" s="72" t="str">
        <f>'عدد اللاعبين'!C71</f>
        <v>تحت 12</v>
      </c>
      <c r="D82" s="72" t="str">
        <f>IFERROR(INDEX(المدخلات!$AD$6:$AD$12,MATCH($C82,المدخلات!$AC$6:$AC$12,0)),"")</f>
        <v>الاثنين</v>
      </c>
      <c r="E82" s="72" t="str">
        <f>'عدد اللاعبين'!D71</f>
        <v>مجموعة سكاكا</v>
      </c>
      <c r="F82" s="73" t="str">
        <f>'عدد اللاعبين'!F71</f>
        <v>صامطة</v>
      </c>
      <c r="G82" s="74">
        <f>'عدد اللاعبين'!G71</f>
        <v>9</v>
      </c>
      <c r="H82" s="72" t="str">
        <f>IFERROR(INDEX(المدخلات!$AE$6:$AE$12,MATCH($C82,المدخلات!$AC$6:$AC$12,0)),"")</f>
        <v>7 ضد 7</v>
      </c>
      <c r="I82" s="74">
        <f t="shared" si="1"/>
        <v>4</v>
      </c>
      <c r="J82" s="74">
        <f>ROUNDUP($I82/IFERROR(INDEX(المدخلات!$AJ$6:$AJ$12,MATCH($C82,المدخلات!$AC$6:$AC$12,0)),1),0)</f>
        <v>1</v>
      </c>
      <c r="K82" s="74">
        <f>ROUNDUP($J82/IFERROR(INDEX(المدخلات!$AF$6:$AF$12,MATCH($C82,المدخلات!$AC$6:$AC$12,0)),1),0)</f>
        <v>1</v>
      </c>
      <c r="L82" s="22"/>
      <c r="M82" s="22"/>
      <c r="N82" s="22"/>
      <c r="O82" s="22"/>
      <c r="P82" s="22"/>
      <c r="Q82" s="22"/>
      <c r="R82" s="22"/>
    </row>
    <row r="83" spans="2:18" hidden="1">
      <c r="B83" s="77" t="str">
        <f>'عدد اللاعبين'!B72</f>
        <v>تبوك</v>
      </c>
      <c r="C83" s="72" t="str">
        <f>'عدد اللاعبين'!C72</f>
        <v>تحت 14</v>
      </c>
      <c r="D83" s="72" t="str">
        <f>IFERROR(INDEX(المدخلات!$AD$6:$AD$12,MATCH($C83,المدخلات!$AC$6:$AC$12,0)),"")</f>
        <v>الأربعاء</v>
      </c>
      <c r="E83" s="72" t="str">
        <f>'عدد اللاعبين'!D72</f>
        <v>مجموعة تبوك</v>
      </c>
      <c r="F83" s="73" t="str">
        <f>'عدد اللاعبين'!F72</f>
        <v>سكاكا، دومة الجندل</v>
      </c>
      <c r="G83" s="74">
        <f>'عدد اللاعبين'!G72</f>
        <v>10</v>
      </c>
      <c r="H83" s="72" t="str">
        <f>IFERROR(INDEX(المدخلات!$AE$6:$AE$12,MATCH($C83,المدخلات!$AC$6:$AC$12,0)),"")</f>
        <v>قانوني</v>
      </c>
      <c r="I83" s="74">
        <f t="shared" si="1"/>
        <v>5</v>
      </c>
      <c r="J83" s="74">
        <f>ROUNDUP($I83/IFERROR(INDEX(المدخلات!$AJ$6:$AJ$12,MATCH($C83,المدخلات!$AC$6:$AC$12,0)),1),0)</f>
        <v>2</v>
      </c>
      <c r="K83" s="74">
        <f>ROUNDUP($J83/IFERROR(INDEX(المدخلات!$AF$6:$AF$12,MATCH($C83,المدخلات!$AC$6:$AC$12,0)),1),0)</f>
        <v>2</v>
      </c>
      <c r="L83" s="22"/>
      <c r="M83" s="22"/>
      <c r="N83" s="22"/>
      <c r="O83" s="22"/>
      <c r="P83" s="22"/>
      <c r="Q83" s="22"/>
      <c r="R83" s="22"/>
    </row>
    <row r="84" spans="2:18" hidden="1">
      <c r="B84" s="77" t="str">
        <f>'عدد اللاعبين'!B73</f>
        <v>المدينة المنورة</v>
      </c>
      <c r="C84" s="72" t="str">
        <f>'عدد اللاعبين'!C73</f>
        <v>تحت 5</v>
      </c>
      <c r="D84" s="72" t="str">
        <f>IFERROR(INDEX(المدخلات!$AD$6:$AD$12,MATCH($C84,المدخلات!$AC$6:$AC$12,0)),"")</f>
        <v>السبت</v>
      </c>
      <c r="E84" s="72" t="str">
        <f>'عدد اللاعبين'!D73</f>
        <v>مجموعة المدينة المنورة</v>
      </c>
      <c r="F84" s="73" t="str">
        <f>'عدد اللاعبين'!F73</f>
        <v>الخرج، الدلم</v>
      </c>
      <c r="G84" s="74">
        <f>'عدد اللاعبين'!G73</f>
        <v>10</v>
      </c>
      <c r="H84" s="72" t="str">
        <f>IFERROR(INDEX(المدخلات!$AE$6:$AE$12,MATCH($C84,المدخلات!$AC$6:$AC$12,0)),"")</f>
        <v>5 ضد 5</v>
      </c>
      <c r="I84" s="74">
        <f t="shared" si="1"/>
        <v>5</v>
      </c>
      <c r="J84" s="74">
        <f>ROUNDUP($I84/IFERROR(INDEX(المدخلات!$AJ$6:$AJ$12,MATCH($C84,المدخلات!$AC$6:$AC$12,0)),1),0)</f>
        <v>2</v>
      </c>
      <c r="K84" s="74">
        <f>ROUNDUP($J84/IFERROR(INDEX(المدخلات!$AF$6:$AF$12,MATCH($C84,المدخلات!$AC$6:$AC$12,0)),1),0)</f>
        <v>1</v>
      </c>
      <c r="L84" s="22"/>
      <c r="M84" s="22"/>
      <c r="N84" s="22"/>
      <c r="O84" s="22"/>
      <c r="P84" s="22"/>
      <c r="Q84" s="22"/>
      <c r="R84" s="22"/>
    </row>
    <row r="85" spans="2:18" hidden="1">
      <c r="B85" s="77" t="str">
        <f>'عدد اللاعبين'!B74</f>
        <v>جازان</v>
      </c>
      <c r="C85" s="72" t="str">
        <f>'عدد اللاعبين'!C74</f>
        <v>تحت 5</v>
      </c>
      <c r="D85" s="72" t="str">
        <f>IFERROR(INDEX(المدخلات!$AD$6:$AD$12,MATCH($C85,المدخلات!$AC$6:$AC$12,0)),"")</f>
        <v>السبت</v>
      </c>
      <c r="E85" s="72" t="str">
        <f>'عدد اللاعبين'!D74</f>
        <v>مجموعة جازان</v>
      </c>
      <c r="F85" s="73" t="str">
        <f>'عدد اللاعبين'!F74</f>
        <v>أبها، خميس مشيط</v>
      </c>
      <c r="G85" s="74">
        <f>'عدد اللاعبين'!G74</f>
        <v>10</v>
      </c>
      <c r="H85" s="72" t="str">
        <f>IFERROR(INDEX(المدخلات!$AE$6:$AE$12,MATCH($C85,المدخلات!$AC$6:$AC$12,0)),"")</f>
        <v>5 ضد 5</v>
      </c>
      <c r="I85" s="74">
        <f t="shared" si="1"/>
        <v>5</v>
      </c>
      <c r="J85" s="74">
        <f>ROUNDUP($I85/IFERROR(INDEX(المدخلات!$AJ$6:$AJ$12,MATCH($C85,المدخلات!$AC$6:$AC$12,0)),1),0)</f>
        <v>2</v>
      </c>
      <c r="K85" s="74">
        <f>ROUNDUP($J85/IFERROR(INDEX(المدخلات!$AF$6:$AF$12,MATCH($C85,المدخلات!$AC$6:$AC$12,0)),1),0)</f>
        <v>1</v>
      </c>
      <c r="L85" s="22"/>
      <c r="M85" s="22"/>
      <c r="N85" s="22"/>
      <c r="O85" s="22"/>
      <c r="P85" s="22"/>
      <c r="Q85" s="22"/>
      <c r="R85" s="22"/>
    </row>
    <row r="86" spans="2:18" hidden="1">
      <c r="B86" s="77" t="str">
        <f>'عدد اللاعبين'!B75</f>
        <v>جازان</v>
      </c>
      <c r="C86" s="72" t="str">
        <f>'عدد اللاعبين'!C75</f>
        <v>تحت 5</v>
      </c>
      <c r="D86" s="72" t="str">
        <f>IFERROR(INDEX(المدخلات!$AD$6:$AD$12,MATCH($C86,المدخلات!$AC$6:$AC$12,0)),"")</f>
        <v>السبت</v>
      </c>
      <c r="E86" s="72" t="str">
        <f>'عدد اللاعبين'!D75</f>
        <v>مجموعة أبو عريش</v>
      </c>
      <c r="F86" s="73" t="str">
        <f>'عدد اللاعبين'!F75</f>
        <v>جيزان</v>
      </c>
      <c r="G86" s="74">
        <f>'عدد اللاعبين'!G75</f>
        <v>10</v>
      </c>
      <c r="H86" s="72" t="str">
        <f>IFERROR(INDEX(المدخلات!$AE$6:$AE$12,MATCH($C86,المدخلات!$AC$6:$AC$12,0)),"")</f>
        <v>5 ضد 5</v>
      </c>
      <c r="I86" s="74">
        <f t="shared" si="1"/>
        <v>5</v>
      </c>
      <c r="J86" s="74">
        <f>ROUNDUP($I86/IFERROR(INDEX(المدخلات!$AJ$6:$AJ$12,MATCH($C86,المدخلات!$AC$6:$AC$12,0)),1),0)</f>
        <v>2</v>
      </c>
      <c r="K86" s="74">
        <f>ROUNDUP($J86/IFERROR(INDEX(المدخلات!$AF$6:$AF$12,MATCH($C86,المدخلات!$AC$6:$AC$12,0)),1),0)</f>
        <v>1</v>
      </c>
    </row>
    <row r="87" spans="2:18" hidden="1">
      <c r="B87" s="77" t="str">
        <f>'عدد اللاعبين'!B76</f>
        <v>القصيم</v>
      </c>
      <c r="C87" s="72" t="str">
        <f>'عدد اللاعبين'!C76</f>
        <v>تحت 7</v>
      </c>
      <c r="D87" s="72" t="str">
        <f>IFERROR(INDEX(المدخلات!$AD$6:$AD$12,MATCH($C87,المدخلات!$AC$6:$AC$12,0)),"")</f>
        <v>السبت</v>
      </c>
      <c r="E87" s="72" t="str">
        <f>'عدد اللاعبين'!D76</f>
        <v>مجموعة القصيم</v>
      </c>
      <c r="F87" s="73" t="str">
        <f>'عدد اللاعبين'!F76</f>
        <v>أبو عريش</v>
      </c>
      <c r="G87" s="74">
        <f>'عدد اللاعبين'!G76</f>
        <v>10</v>
      </c>
      <c r="H87" s="72" t="str">
        <f>IFERROR(INDEX(المدخلات!$AE$6:$AE$12,MATCH($C87,المدخلات!$AC$6:$AC$12,0)),"")</f>
        <v>7 ضد 7</v>
      </c>
      <c r="I87" s="74">
        <f t="shared" si="1"/>
        <v>5</v>
      </c>
      <c r="J87" s="74">
        <f>ROUNDUP($I87/IFERROR(INDEX(المدخلات!$AJ$6:$AJ$12,MATCH($C87,المدخلات!$AC$6:$AC$12,0)),1),0)</f>
        <v>2</v>
      </c>
      <c r="K87" s="74">
        <f>ROUNDUP($J87/IFERROR(INDEX(المدخلات!$AF$6:$AF$12,MATCH($C87,المدخلات!$AC$6:$AC$12,0)),1),0)</f>
        <v>1</v>
      </c>
    </row>
    <row r="88" spans="2:18" hidden="1">
      <c r="B88" s="77" t="str">
        <f>'عدد اللاعبين'!B77</f>
        <v>جازان</v>
      </c>
      <c r="C88" s="72" t="str">
        <f>'عدد اللاعبين'!C77</f>
        <v>تحت 7</v>
      </c>
      <c r="D88" s="72" t="str">
        <f>IFERROR(INDEX(المدخلات!$AD$6:$AD$12,MATCH($C88,المدخلات!$AC$6:$AC$12,0)),"")</f>
        <v>السبت</v>
      </c>
      <c r="E88" s="72" t="str">
        <f>'عدد اللاعبين'!D77</f>
        <v>مجموعة صامطة</v>
      </c>
      <c r="F88" s="73" t="str">
        <f>'عدد اللاعبين'!F77</f>
        <v>صامطة</v>
      </c>
      <c r="G88" s="74">
        <f>'عدد اللاعبين'!G77</f>
        <v>10</v>
      </c>
      <c r="H88" s="72" t="str">
        <f>IFERROR(INDEX(المدخلات!$AE$6:$AE$12,MATCH($C88,المدخلات!$AC$6:$AC$12,0)),"")</f>
        <v>7 ضد 7</v>
      </c>
      <c r="I88" s="74">
        <f t="shared" si="1"/>
        <v>5</v>
      </c>
      <c r="J88" s="74">
        <f>ROUNDUP($I88/IFERROR(INDEX(المدخلات!$AJ$6:$AJ$12,MATCH($C88,المدخلات!$AC$6:$AC$12,0)),1),0)</f>
        <v>2</v>
      </c>
      <c r="K88" s="74">
        <f>ROUNDUP($J88/IFERROR(INDEX(المدخلات!$AF$6:$AF$12,MATCH($C88,المدخلات!$AC$6:$AC$12,0)),1),0)</f>
        <v>1</v>
      </c>
    </row>
    <row r="89" spans="2:18" ht="34" hidden="1" customHeight="1">
      <c r="B89" s="77" t="str">
        <f>'عدد اللاعبين'!B78</f>
        <v>جازان</v>
      </c>
      <c r="C89" s="72" t="str">
        <f>'عدد اللاعبين'!C78</f>
        <v>تحت 9</v>
      </c>
      <c r="D89" s="72" t="str">
        <f>IFERROR(INDEX(المدخلات!$AD$6:$AD$12,MATCH($C89,المدخلات!$AC$6:$AC$12,0)),"")</f>
        <v>السبت</v>
      </c>
      <c r="E89" s="72" t="str">
        <f>'عدد اللاعبين'!D78</f>
        <v>مجموعة صامطة</v>
      </c>
      <c r="F89" s="73" t="str">
        <f>'عدد اللاعبين'!F78</f>
        <v>أبو عريش</v>
      </c>
      <c r="G89" s="74">
        <f>'عدد اللاعبين'!G78</f>
        <v>10</v>
      </c>
      <c r="H89" s="72" t="str">
        <f>IFERROR(INDEX(المدخلات!$AE$6:$AE$12,MATCH($C89,المدخلات!$AC$6:$AC$12,0)),"")</f>
        <v>7 ضد 7</v>
      </c>
      <c r="I89" s="74">
        <f t="shared" si="1"/>
        <v>5</v>
      </c>
      <c r="J89" s="74">
        <f>ROUNDUP($I89/IFERROR(INDEX(المدخلات!$AJ$6:$AJ$12,MATCH($C89,المدخلات!$AC$6:$AC$12,0)),1),0)</f>
        <v>2</v>
      </c>
      <c r="K89" s="74">
        <f>ROUNDUP($J89/IFERROR(INDEX(المدخلات!$AF$6:$AF$12,MATCH($C89,المدخلات!$AC$6:$AC$12,0)),1),0)</f>
        <v>1</v>
      </c>
    </row>
    <row r="90" spans="2:18" hidden="1">
      <c r="B90" s="77" t="str">
        <f>'عدد اللاعبين'!B79</f>
        <v>الجوف</v>
      </c>
      <c r="C90" s="72" t="str">
        <f>'عدد اللاعبين'!C79</f>
        <v>تحت 11</v>
      </c>
      <c r="D90" s="72" t="str">
        <f>IFERROR(INDEX(المدخلات!$AD$6:$AD$12,MATCH($C90,المدخلات!$AC$6:$AC$12,0)),"")</f>
        <v>الأحد</v>
      </c>
      <c r="E90" s="72" t="str">
        <f>'عدد اللاعبين'!D79</f>
        <v>مجموعة سكاكا</v>
      </c>
      <c r="F90" s="73" t="str">
        <f>'عدد اللاعبين'!F79</f>
        <v>صامطة</v>
      </c>
      <c r="G90" s="74">
        <f>'عدد اللاعبين'!G79</f>
        <v>10</v>
      </c>
      <c r="H90" s="72" t="str">
        <f>IFERROR(INDEX(المدخلات!$AE$6:$AE$12,MATCH($C90,المدخلات!$AC$6:$AC$12,0)),"")</f>
        <v>7 ضد 7</v>
      </c>
      <c r="I90" s="74">
        <f t="shared" si="1"/>
        <v>5</v>
      </c>
      <c r="J90" s="74">
        <f>ROUNDUP($I90/IFERROR(INDEX(المدخلات!$AJ$6:$AJ$12,MATCH($C90,المدخلات!$AC$6:$AC$12,0)),1),0)</f>
        <v>2</v>
      </c>
      <c r="K90" s="74">
        <f>ROUNDUP($J90/IFERROR(INDEX(المدخلات!$AF$6:$AF$12,MATCH($C90,المدخلات!$AC$6:$AC$12,0)),1),0)</f>
        <v>1</v>
      </c>
    </row>
    <row r="91" spans="2:18" hidden="1">
      <c r="B91" s="77" t="str">
        <f>'عدد اللاعبين'!B80</f>
        <v>الرياض</v>
      </c>
      <c r="C91" s="72" t="str">
        <f>'عدد اللاعبين'!C80</f>
        <v>تحت 11</v>
      </c>
      <c r="D91" s="72" t="str">
        <f>IFERROR(INDEX(المدخلات!$AD$6:$AD$12,MATCH($C91,المدخلات!$AC$6:$AC$12,0)),"")</f>
        <v>الأحد</v>
      </c>
      <c r="E91" s="72" t="str">
        <f>'عدد اللاعبين'!D80</f>
        <v>مجموعة الخرج</v>
      </c>
      <c r="F91" s="73" t="str">
        <f>'عدد اللاعبين'!F80</f>
        <v>أبها، خميس مشيط</v>
      </c>
      <c r="G91" s="74">
        <f>'عدد اللاعبين'!G80</f>
        <v>10</v>
      </c>
      <c r="H91" s="72" t="str">
        <f>IFERROR(INDEX(المدخلات!$AE$6:$AE$12,MATCH($C91,المدخلات!$AC$6:$AC$12,0)),"")</f>
        <v>7 ضد 7</v>
      </c>
      <c r="I91" s="74">
        <f t="shared" si="1"/>
        <v>5</v>
      </c>
      <c r="J91" s="74">
        <f>ROUNDUP($I91/IFERROR(INDEX(المدخلات!$AJ$6:$AJ$12,MATCH($C91,المدخلات!$AC$6:$AC$12,0)),1),0)</f>
        <v>2</v>
      </c>
      <c r="K91" s="74">
        <f>ROUNDUP($J91/IFERROR(INDEX(المدخلات!$AF$6:$AF$12,MATCH($C91,المدخلات!$AC$6:$AC$12,0)),1),0)</f>
        <v>1</v>
      </c>
    </row>
    <row r="92" spans="2:18" hidden="1">
      <c r="B92" s="77" t="str">
        <f>'عدد اللاعبين'!B81</f>
        <v>عسير</v>
      </c>
      <c r="C92" s="72" t="str">
        <f>'عدد اللاعبين'!C81</f>
        <v>تحت 11</v>
      </c>
      <c r="D92" s="72" t="str">
        <f>IFERROR(INDEX(المدخلات!$AD$6:$AD$12,MATCH($C92,المدخلات!$AC$6:$AC$12,0)),"")</f>
        <v>الأحد</v>
      </c>
      <c r="E92" s="72" t="str">
        <f>'عدد اللاعبين'!D81</f>
        <v>مجموعة أبها</v>
      </c>
      <c r="F92" s="73" t="str">
        <f>'عدد اللاعبين'!F81</f>
        <v>بريدة، عيون الجواء، المذنب، عنيزة</v>
      </c>
      <c r="G92" s="74">
        <f>'عدد اللاعبين'!G81</f>
        <v>10</v>
      </c>
      <c r="H92" s="72" t="str">
        <f>IFERROR(INDEX(المدخلات!$AE$6:$AE$12,MATCH($C92,المدخلات!$AC$6:$AC$12,0)),"")</f>
        <v>7 ضد 7</v>
      </c>
      <c r="I92" s="74">
        <f t="shared" si="1"/>
        <v>5</v>
      </c>
      <c r="J92" s="74">
        <f>ROUNDUP($I92/IFERROR(INDEX(المدخلات!$AJ$6:$AJ$12,MATCH($C92,المدخلات!$AC$6:$AC$12,0)),1),0)</f>
        <v>2</v>
      </c>
      <c r="K92" s="74">
        <f>ROUNDUP($J92/IFERROR(INDEX(المدخلات!$AF$6:$AF$12,MATCH($C92,المدخلات!$AC$6:$AC$12,0)),1),0)</f>
        <v>1</v>
      </c>
    </row>
    <row r="93" spans="2:18" hidden="1">
      <c r="B93" s="77" t="str">
        <f>'عدد اللاعبين'!B82</f>
        <v>جازان</v>
      </c>
      <c r="C93" s="72" t="str">
        <f>'عدد اللاعبين'!C82</f>
        <v>تحت 11</v>
      </c>
      <c r="D93" s="72" t="str">
        <f>IFERROR(INDEX(المدخلات!$AD$6:$AD$12,MATCH($C93,المدخلات!$AC$6:$AC$12,0)),"")</f>
        <v>الأحد</v>
      </c>
      <c r="E93" s="72" t="str">
        <f>'عدد اللاعبين'!D82</f>
        <v>مجموعة جازان</v>
      </c>
      <c r="F93" s="73" t="str">
        <f>'عدد اللاعبين'!F82</f>
        <v>القطيف</v>
      </c>
      <c r="G93" s="74">
        <f>'عدد اللاعبين'!G82</f>
        <v>10</v>
      </c>
      <c r="H93" s="72" t="str">
        <f>IFERROR(INDEX(المدخلات!$AE$6:$AE$12,MATCH($C93,المدخلات!$AC$6:$AC$12,0)),"")</f>
        <v>7 ضد 7</v>
      </c>
      <c r="I93" s="74">
        <f t="shared" si="1"/>
        <v>5</v>
      </c>
      <c r="J93" s="74">
        <f>ROUNDUP($I93/IFERROR(INDEX(المدخلات!$AJ$6:$AJ$12,MATCH($C93,المدخلات!$AC$6:$AC$12,0)),1),0)</f>
        <v>2</v>
      </c>
      <c r="K93" s="74">
        <f>ROUNDUP($J93/IFERROR(INDEX(المدخلات!$AF$6:$AF$12,MATCH($C93,المدخلات!$AC$6:$AC$12,0)),1),0)</f>
        <v>1</v>
      </c>
    </row>
    <row r="94" spans="2:18" hidden="1">
      <c r="B94" s="77" t="str">
        <f>'عدد اللاعبين'!B83</f>
        <v>جازان</v>
      </c>
      <c r="C94" s="72" t="str">
        <f>'عدد اللاعبين'!C83</f>
        <v>تحت 11</v>
      </c>
      <c r="D94" s="72" t="str">
        <f>IFERROR(INDEX(المدخلات!$AD$6:$AD$12,MATCH($C94,المدخلات!$AC$6:$AC$12,0)),"")</f>
        <v>الأحد</v>
      </c>
      <c r="E94" s="72" t="str">
        <f>'عدد اللاعبين'!D83</f>
        <v>مجموعة أبو عريش</v>
      </c>
      <c r="F94" s="73" t="str">
        <f>'عدد اللاعبين'!F83</f>
        <v>أبو عريش</v>
      </c>
      <c r="G94" s="74">
        <f>'عدد اللاعبين'!G83</f>
        <v>10</v>
      </c>
      <c r="H94" s="72" t="str">
        <f>IFERROR(INDEX(المدخلات!$AE$6:$AE$12,MATCH($C94,المدخلات!$AC$6:$AC$12,0)),"")</f>
        <v>7 ضد 7</v>
      </c>
      <c r="I94" s="74">
        <f t="shared" si="1"/>
        <v>5</v>
      </c>
      <c r="J94" s="74">
        <f>ROUNDUP($I94/IFERROR(INDEX(المدخلات!$AJ$6:$AJ$12,MATCH($C94,المدخلات!$AC$6:$AC$12,0)),1),0)</f>
        <v>2</v>
      </c>
      <c r="K94" s="74">
        <f>ROUNDUP($J94/IFERROR(INDEX(المدخلات!$AF$6:$AF$12,MATCH($C94,المدخلات!$AC$6:$AC$12,0)),1),0)</f>
        <v>1</v>
      </c>
    </row>
    <row r="95" spans="2:18" hidden="1">
      <c r="B95" s="77" t="str">
        <f>'عدد اللاعبين'!B84</f>
        <v>جازان</v>
      </c>
      <c r="C95" s="72" t="str">
        <f>'عدد اللاعبين'!C84</f>
        <v>تحت 11</v>
      </c>
      <c r="D95" s="72" t="str">
        <f>IFERROR(INDEX(المدخلات!$AD$6:$AD$12,MATCH($C95,المدخلات!$AC$6:$AC$12,0)),"")</f>
        <v>الأحد</v>
      </c>
      <c r="E95" s="72" t="str">
        <f>'عدد اللاعبين'!D84</f>
        <v>مجموعة صامطة</v>
      </c>
      <c r="F95" s="73" t="str">
        <f>'عدد اللاعبين'!F84</f>
        <v>صامطة</v>
      </c>
      <c r="G95" s="74">
        <f>'عدد اللاعبين'!G84</f>
        <v>10</v>
      </c>
      <c r="H95" s="72" t="str">
        <f>IFERROR(INDEX(المدخلات!$AE$6:$AE$12,MATCH($C95,المدخلات!$AC$6:$AC$12,0)),"")</f>
        <v>7 ضد 7</v>
      </c>
      <c r="I95" s="74">
        <f t="shared" si="1"/>
        <v>5</v>
      </c>
      <c r="J95" s="74">
        <f>ROUNDUP($I95/IFERROR(INDEX(المدخلات!$AJ$6:$AJ$12,MATCH($C95,المدخلات!$AC$6:$AC$12,0)),1),0)</f>
        <v>2</v>
      </c>
      <c r="K95" s="74">
        <f>ROUNDUP($J95/IFERROR(INDEX(المدخلات!$AF$6:$AF$12,MATCH($C95,المدخلات!$AC$6:$AC$12,0)),1),0)</f>
        <v>1</v>
      </c>
    </row>
    <row r="96" spans="2:18" hidden="1">
      <c r="B96" s="77" t="str">
        <f>'عدد اللاعبين'!B85</f>
        <v>جازان</v>
      </c>
      <c r="C96" s="72" t="str">
        <f>'عدد اللاعبين'!C85</f>
        <v>تحت 12</v>
      </c>
      <c r="D96" s="72" t="str">
        <f>IFERROR(INDEX(المدخلات!$AD$6:$AD$12,MATCH($C96,المدخلات!$AC$6:$AC$12,0)),"")</f>
        <v>الاثنين</v>
      </c>
      <c r="E96" s="72" t="str">
        <f>'عدد اللاعبين'!D85</f>
        <v>مجموعة أبو عريش</v>
      </c>
      <c r="F96" s="73" t="str">
        <f>'عدد اللاعبين'!F85</f>
        <v>القطيف، الجبيل</v>
      </c>
      <c r="G96" s="74">
        <f>'عدد اللاعبين'!G85</f>
        <v>10</v>
      </c>
      <c r="H96" s="72" t="str">
        <f>IFERROR(INDEX(المدخلات!$AE$6:$AE$12,MATCH($C96,المدخلات!$AC$6:$AC$12,0)),"")</f>
        <v>7 ضد 7</v>
      </c>
      <c r="I96" s="74">
        <f t="shared" si="1"/>
        <v>5</v>
      </c>
      <c r="J96" s="74">
        <f>ROUNDUP($I96/IFERROR(INDEX(المدخلات!$AJ$6:$AJ$12,MATCH($C96,المدخلات!$AC$6:$AC$12,0)),1),0)</f>
        <v>2</v>
      </c>
      <c r="K96" s="74">
        <f>ROUNDUP($J96/IFERROR(INDEX(المدخلات!$AF$6:$AF$12,MATCH($C96,المدخلات!$AC$6:$AC$12,0)),1),0)</f>
        <v>1</v>
      </c>
    </row>
    <row r="97" spans="2:11" hidden="1">
      <c r="B97" s="77" t="str">
        <f>'عدد اللاعبين'!B86</f>
        <v>جازان</v>
      </c>
      <c r="C97" s="72" t="str">
        <f>'عدد اللاعبين'!C86</f>
        <v>تحت 12</v>
      </c>
      <c r="D97" s="72" t="str">
        <f>IFERROR(INDEX(المدخلات!$AD$6:$AD$12,MATCH($C97,المدخلات!$AC$6:$AC$12,0)),"")</f>
        <v>الاثنين</v>
      </c>
      <c r="E97" s="72" t="str">
        <f>'عدد اللاعبين'!D86</f>
        <v>مجموعة صامطة</v>
      </c>
      <c r="F97" s="73" t="str">
        <f>'عدد اللاعبين'!F86</f>
        <v>صامطة</v>
      </c>
      <c r="G97" s="74">
        <f>'عدد اللاعبين'!G86</f>
        <v>10</v>
      </c>
      <c r="H97" s="72" t="str">
        <f>IFERROR(INDEX(المدخلات!$AE$6:$AE$12,MATCH($C97,المدخلات!$AC$6:$AC$12,0)),"")</f>
        <v>7 ضد 7</v>
      </c>
      <c r="I97" s="74">
        <f t="shared" si="1"/>
        <v>5</v>
      </c>
      <c r="J97" s="74">
        <f>ROUNDUP($I97/IFERROR(INDEX(المدخلات!$AJ$6:$AJ$12,MATCH($C97,المدخلات!$AC$6:$AC$12,0)),1),0)</f>
        <v>2</v>
      </c>
      <c r="K97" s="74">
        <f>ROUNDUP($J97/IFERROR(INDEX(المدخلات!$AF$6:$AF$12,MATCH($C97,المدخلات!$AC$6:$AC$12,0)),1),0)</f>
        <v>1</v>
      </c>
    </row>
    <row r="98" spans="2:11" hidden="1">
      <c r="B98" s="77" t="str">
        <f>'عدد اللاعبين'!B87</f>
        <v>عسير</v>
      </c>
      <c r="C98" s="72" t="str">
        <f>'عدد اللاعبين'!C87</f>
        <v>تحت 13</v>
      </c>
      <c r="D98" s="72" t="str">
        <f>IFERROR(INDEX(المدخلات!$AD$6:$AD$12,MATCH($C98,المدخلات!$AC$6:$AC$12,0)),"")</f>
        <v>الخميس</v>
      </c>
      <c r="E98" s="72" t="str">
        <f>'عدد اللاعبين'!D87</f>
        <v>مجموعة أبها</v>
      </c>
      <c r="F98" s="73" t="str">
        <f>'عدد اللاعبين'!F87</f>
        <v>أبو عريش</v>
      </c>
      <c r="G98" s="74">
        <f>'عدد اللاعبين'!G87</f>
        <v>10</v>
      </c>
      <c r="H98" s="72" t="str">
        <f>IFERROR(INDEX(المدخلات!$AE$6:$AE$12,MATCH($C98,المدخلات!$AC$6:$AC$12,0)),"")</f>
        <v>قانوني</v>
      </c>
      <c r="I98" s="74">
        <f t="shared" si="1"/>
        <v>5</v>
      </c>
      <c r="J98" s="74">
        <f>ROUNDUP($I98/IFERROR(INDEX(المدخلات!$AJ$6:$AJ$12,MATCH($C98,المدخلات!$AC$6:$AC$12,0)),1),0)</f>
        <v>2</v>
      </c>
      <c r="K98" s="74">
        <f>ROUNDUP($J98/IFERROR(INDEX(المدخلات!$AF$6:$AF$12,MATCH($C98,المدخلات!$AC$6:$AC$12,0)),1),0)</f>
        <v>2</v>
      </c>
    </row>
    <row r="99" spans="2:11" hidden="1">
      <c r="B99" s="77" t="str">
        <f>'عدد اللاعبين'!B88</f>
        <v>القصيم</v>
      </c>
      <c r="C99" s="72" t="str">
        <f>'عدد اللاعبين'!C88</f>
        <v>تحت 13</v>
      </c>
      <c r="D99" s="72" t="str">
        <f>IFERROR(INDEX(المدخلات!$AD$6:$AD$12,MATCH($C99,المدخلات!$AC$6:$AC$12,0)),"")</f>
        <v>الخميس</v>
      </c>
      <c r="E99" s="72" t="str">
        <f>'عدد اللاعبين'!D88</f>
        <v>مجموعة القصيم</v>
      </c>
      <c r="F99" s="73" t="str">
        <f>'عدد اللاعبين'!F88</f>
        <v>القطيف</v>
      </c>
      <c r="G99" s="74">
        <f>'عدد اللاعبين'!G88</f>
        <v>10</v>
      </c>
      <c r="H99" s="72" t="str">
        <f>IFERROR(INDEX(المدخلات!$AE$6:$AE$12,MATCH($C99,المدخلات!$AC$6:$AC$12,0)),"")</f>
        <v>قانوني</v>
      </c>
      <c r="I99" s="74">
        <f t="shared" si="1"/>
        <v>5</v>
      </c>
      <c r="J99" s="74">
        <f>ROUNDUP($I99/IFERROR(INDEX(المدخلات!$AJ$6:$AJ$12,MATCH($C99,المدخلات!$AC$6:$AC$12,0)),1),0)</f>
        <v>2</v>
      </c>
      <c r="K99" s="74">
        <f>ROUNDUP($J99/IFERROR(INDEX(المدخلات!$AF$6:$AF$12,MATCH($C99,المدخلات!$AC$6:$AC$12,0)),1),0)</f>
        <v>2</v>
      </c>
    </row>
    <row r="100" spans="2:11" hidden="1">
      <c r="B100" s="77" t="str">
        <f>'عدد اللاعبين'!B89</f>
        <v>الشرقية</v>
      </c>
      <c r="C100" s="72" t="str">
        <f>'عدد اللاعبين'!C89</f>
        <v>تحت 13</v>
      </c>
      <c r="D100" s="72" t="str">
        <f>IFERROR(INDEX(المدخلات!$AD$6:$AD$12,MATCH($C100,المدخلات!$AC$6:$AC$12,0)),"")</f>
        <v>الخميس</v>
      </c>
      <c r="E100" s="72" t="str">
        <f>'عدد اللاعبين'!D89</f>
        <v>مجموعة القطيف</v>
      </c>
      <c r="F100" s="73" t="str">
        <f>'عدد اللاعبين'!F89</f>
        <v>أبو عريش</v>
      </c>
      <c r="G100" s="74">
        <f>'عدد اللاعبين'!G89</f>
        <v>10</v>
      </c>
      <c r="H100" s="72" t="str">
        <f>IFERROR(INDEX(المدخلات!$AE$6:$AE$12,MATCH($C100,المدخلات!$AC$6:$AC$12,0)),"")</f>
        <v>قانوني</v>
      </c>
      <c r="I100" s="74">
        <f t="shared" si="1"/>
        <v>5</v>
      </c>
      <c r="J100" s="74">
        <f>ROUNDUP($I100/IFERROR(INDEX(المدخلات!$AJ$6:$AJ$12,MATCH($C100,المدخلات!$AC$6:$AC$12,0)),1),0)</f>
        <v>2</v>
      </c>
      <c r="K100" s="74">
        <f>ROUNDUP($J100/IFERROR(INDEX(المدخلات!$AF$6:$AF$12,MATCH($C100,المدخلات!$AC$6:$AC$12,0)),1),0)</f>
        <v>2</v>
      </c>
    </row>
    <row r="101" spans="2:11" hidden="1">
      <c r="B101" s="77" t="str">
        <f>'عدد اللاعبين'!B90</f>
        <v>جازان</v>
      </c>
      <c r="C101" s="72" t="str">
        <f>'عدد اللاعبين'!C90</f>
        <v>تحت 13</v>
      </c>
      <c r="D101" s="72" t="str">
        <f>IFERROR(INDEX(المدخلات!$AD$6:$AD$12,MATCH($C101,المدخلات!$AC$6:$AC$12,0)),"")</f>
        <v>الخميس</v>
      </c>
      <c r="E101" s="72" t="str">
        <f>'عدد اللاعبين'!D90</f>
        <v>مجموعة أبو عريش</v>
      </c>
      <c r="F101" s="73" t="str">
        <f>'عدد اللاعبين'!F90</f>
        <v>أبو عريش</v>
      </c>
      <c r="G101" s="74">
        <f>'عدد اللاعبين'!G90</f>
        <v>10</v>
      </c>
      <c r="H101" s="72" t="str">
        <f>IFERROR(INDEX(المدخلات!$AE$6:$AE$12,MATCH($C101,المدخلات!$AC$6:$AC$12,0)),"")</f>
        <v>قانوني</v>
      </c>
      <c r="I101" s="74">
        <f t="shared" si="1"/>
        <v>5</v>
      </c>
      <c r="J101" s="74">
        <f>ROUNDUP($I101/IFERROR(INDEX(المدخلات!$AJ$6:$AJ$12,MATCH($C101,المدخلات!$AC$6:$AC$12,0)),1),0)</f>
        <v>2</v>
      </c>
      <c r="K101" s="74">
        <f>ROUNDUP($J101/IFERROR(INDEX(المدخلات!$AF$6:$AF$12,MATCH($C101,المدخلات!$AC$6:$AC$12,0)),1),0)</f>
        <v>2</v>
      </c>
    </row>
    <row r="102" spans="2:11" hidden="1">
      <c r="B102" s="77" t="str">
        <f>'عدد اللاعبين'!B91</f>
        <v>جازان</v>
      </c>
      <c r="C102" s="72" t="str">
        <f>'عدد اللاعبين'!C91</f>
        <v>تحت 13</v>
      </c>
      <c r="D102" s="72" t="str">
        <f>IFERROR(INDEX(المدخلات!$AD$6:$AD$12,MATCH($C102,المدخلات!$AC$6:$AC$12,0)),"")</f>
        <v>الخميس</v>
      </c>
      <c r="E102" s="72" t="str">
        <f>'عدد اللاعبين'!D91</f>
        <v>مجموعة صامطة</v>
      </c>
      <c r="F102" s="73" t="str">
        <f>'عدد اللاعبين'!F91</f>
        <v>البكيرية، الرس، رياض الخبراء، البدائع</v>
      </c>
      <c r="G102" s="74">
        <f>'عدد اللاعبين'!G91</f>
        <v>11</v>
      </c>
      <c r="H102" s="72" t="str">
        <f>IFERROR(INDEX(المدخلات!$AE$6:$AE$12,MATCH($C102,المدخلات!$AC$6:$AC$12,0)),"")</f>
        <v>قانوني</v>
      </c>
      <c r="I102" s="74">
        <f t="shared" si="1"/>
        <v>5</v>
      </c>
      <c r="J102" s="74">
        <f>ROUNDUP($I102/IFERROR(INDEX(المدخلات!$AJ$6:$AJ$12,MATCH($C102,المدخلات!$AC$6:$AC$12,0)),1),0)</f>
        <v>2</v>
      </c>
      <c r="K102" s="74">
        <f>ROUNDUP($J102/IFERROR(INDEX(المدخلات!$AF$6:$AF$12,MATCH($C102,المدخلات!$AC$6:$AC$12,0)),1),0)</f>
        <v>2</v>
      </c>
    </row>
    <row r="103" spans="2:11" hidden="1">
      <c r="B103" s="77" t="str">
        <f>'عدد اللاعبين'!B92</f>
        <v>الشرقية</v>
      </c>
      <c r="C103" s="72" t="str">
        <f>'عدد اللاعبين'!C92</f>
        <v>تحت 14</v>
      </c>
      <c r="D103" s="72" t="str">
        <f>IFERROR(INDEX(المدخلات!$AD$6:$AD$12,MATCH($C103,المدخلات!$AC$6:$AC$12,0)),"")</f>
        <v>الأربعاء</v>
      </c>
      <c r="E103" s="72" t="str">
        <f>'عدد اللاعبين'!D92</f>
        <v>مجموعة القطيف</v>
      </c>
      <c r="F103" s="73" t="str">
        <f>'عدد اللاعبين'!F92</f>
        <v>الظهران، الخبر</v>
      </c>
      <c r="G103" s="74">
        <f>'عدد اللاعبين'!G92</f>
        <v>11</v>
      </c>
      <c r="H103" s="72" t="str">
        <f>IFERROR(INDEX(المدخلات!$AE$6:$AE$12,MATCH($C103,المدخلات!$AC$6:$AC$12,0)),"")</f>
        <v>قانوني</v>
      </c>
      <c r="I103" s="74">
        <f t="shared" si="1"/>
        <v>5</v>
      </c>
      <c r="J103" s="74">
        <f>ROUNDUP($I103/IFERROR(INDEX(المدخلات!$AJ$6:$AJ$12,MATCH($C103,المدخلات!$AC$6:$AC$12,0)),1),0)</f>
        <v>2</v>
      </c>
      <c r="K103" s="74">
        <f>ROUNDUP($J103/IFERROR(INDEX(المدخلات!$AF$6:$AF$12,MATCH($C103,المدخلات!$AC$6:$AC$12,0)),1),0)</f>
        <v>2</v>
      </c>
    </row>
    <row r="104" spans="2:11" hidden="1">
      <c r="B104" s="77" t="str">
        <f>'عدد اللاعبين'!B93</f>
        <v>جازان</v>
      </c>
      <c r="C104" s="72" t="str">
        <f>'عدد اللاعبين'!C93</f>
        <v>تحت 14</v>
      </c>
      <c r="D104" s="72" t="str">
        <f>IFERROR(INDEX(المدخلات!$AD$6:$AD$12,MATCH($C104,المدخلات!$AC$6:$AC$12,0)),"")</f>
        <v>الأربعاء</v>
      </c>
      <c r="E104" s="72" t="str">
        <f>'عدد اللاعبين'!D93</f>
        <v>مجموعة صامطة</v>
      </c>
      <c r="F104" s="73" t="str">
        <f>'عدد اللاعبين'!F93</f>
        <v>البكيرية، الرس، رياض الخبراء، البدائع</v>
      </c>
      <c r="G104" s="74">
        <f>'عدد اللاعبين'!G93</f>
        <v>11</v>
      </c>
      <c r="H104" s="72" t="str">
        <f>IFERROR(INDEX(المدخلات!$AE$6:$AE$12,MATCH($C104,المدخلات!$AC$6:$AC$12,0)),"")</f>
        <v>قانوني</v>
      </c>
      <c r="I104" s="74">
        <f t="shared" si="1"/>
        <v>5</v>
      </c>
      <c r="J104" s="74">
        <f>ROUNDUP($I104/IFERROR(INDEX(المدخلات!$AJ$6:$AJ$12,MATCH($C104,المدخلات!$AC$6:$AC$12,0)),1),0)</f>
        <v>2</v>
      </c>
      <c r="K104" s="74">
        <f>ROUNDUP($J104/IFERROR(INDEX(المدخلات!$AF$6:$AF$12,MATCH($C104,المدخلات!$AC$6:$AC$12,0)),1),0)</f>
        <v>2</v>
      </c>
    </row>
    <row r="105" spans="2:11" hidden="1">
      <c r="B105" s="77" t="str">
        <f>'عدد اللاعبين'!B94</f>
        <v>جازان</v>
      </c>
      <c r="C105" s="72" t="str">
        <f>'عدد اللاعبين'!C94</f>
        <v>تحت 14</v>
      </c>
      <c r="D105" s="72" t="str">
        <f>IFERROR(INDEX(المدخلات!$AD$6:$AD$12,MATCH($C105,المدخلات!$AC$6:$AC$12,0)),"")</f>
        <v>الأربعاء</v>
      </c>
      <c r="E105" s="72" t="str">
        <f>'عدد اللاعبين'!D94</f>
        <v>مجموعة أبو عريش</v>
      </c>
      <c r="F105" s="73" t="str">
        <f>'عدد اللاعبين'!F94</f>
        <v>جيزان</v>
      </c>
      <c r="G105" s="74">
        <f>'عدد اللاعبين'!G94</f>
        <v>11</v>
      </c>
      <c r="H105" s="72" t="str">
        <f>IFERROR(INDEX(المدخلات!$AE$6:$AE$12,MATCH($C105,المدخلات!$AC$6:$AC$12,0)),"")</f>
        <v>قانوني</v>
      </c>
      <c r="I105" s="74">
        <f t="shared" si="1"/>
        <v>5</v>
      </c>
      <c r="J105" s="74">
        <f>ROUNDUP($I105/IFERROR(INDEX(المدخلات!$AJ$6:$AJ$12,MATCH($C105,المدخلات!$AC$6:$AC$12,0)),1),0)</f>
        <v>2</v>
      </c>
      <c r="K105" s="74">
        <f>ROUNDUP($J105/IFERROR(INDEX(المدخلات!$AF$6:$AF$12,MATCH($C105,المدخلات!$AC$6:$AC$12,0)),1),0)</f>
        <v>2</v>
      </c>
    </row>
    <row r="106" spans="2:11" hidden="1">
      <c r="B106" s="77" t="str">
        <f>'عدد اللاعبين'!B95</f>
        <v>الشرقية</v>
      </c>
      <c r="C106" s="72" t="str">
        <f>'عدد اللاعبين'!C95</f>
        <v>تحت 7</v>
      </c>
      <c r="D106" s="72" t="str">
        <f>IFERROR(INDEX(المدخلات!$AD$6:$AD$12,MATCH($C106,المدخلات!$AC$6:$AC$12,0)),"")</f>
        <v>السبت</v>
      </c>
      <c r="E106" s="72" t="str">
        <f>'عدد اللاعبين'!D95</f>
        <v>مجموعة القطيف</v>
      </c>
      <c r="F106" s="73" t="str">
        <f>'عدد اللاعبين'!F95</f>
        <v>سكاكا، دومة الجندل</v>
      </c>
      <c r="G106" s="74">
        <f>'عدد اللاعبين'!G95</f>
        <v>11</v>
      </c>
      <c r="H106" s="72" t="str">
        <f>IFERROR(INDEX(المدخلات!$AE$6:$AE$12,MATCH($C106,المدخلات!$AC$6:$AC$12,0)),"")</f>
        <v>7 ضد 7</v>
      </c>
      <c r="I106" s="74">
        <f t="shared" si="1"/>
        <v>5</v>
      </c>
      <c r="J106" s="74">
        <f>ROUNDUP($I106/IFERROR(INDEX(المدخلات!$AJ$6:$AJ$12,MATCH($C106,المدخلات!$AC$6:$AC$12,0)),1),0)</f>
        <v>2</v>
      </c>
      <c r="K106" s="74">
        <f>ROUNDUP($J106/IFERROR(INDEX(المدخلات!$AF$6:$AF$12,MATCH($C106,المدخلات!$AC$6:$AC$12,0)),1),0)</f>
        <v>1</v>
      </c>
    </row>
    <row r="107" spans="2:11" hidden="1">
      <c r="B107" s="77" t="str">
        <f>'عدد اللاعبين'!B96</f>
        <v>جازان</v>
      </c>
      <c r="C107" s="72" t="str">
        <f>'عدد اللاعبين'!C96</f>
        <v>تحت 7</v>
      </c>
      <c r="D107" s="72" t="str">
        <f>IFERROR(INDEX(المدخلات!$AD$6:$AD$12,MATCH($C107,المدخلات!$AC$6:$AC$12,0)),"")</f>
        <v>السبت</v>
      </c>
      <c r="E107" s="72" t="str">
        <f>'عدد اللاعبين'!D96</f>
        <v>مجموعة أبو عريش</v>
      </c>
      <c r="F107" s="73" t="str">
        <f>'عدد اللاعبين'!F96</f>
        <v>القنفذة</v>
      </c>
      <c r="G107" s="74">
        <f>'عدد اللاعبين'!G96</f>
        <v>11</v>
      </c>
      <c r="H107" s="72" t="str">
        <f>IFERROR(INDEX(المدخلات!$AE$6:$AE$12,MATCH($C107,المدخلات!$AC$6:$AC$12,0)),"")</f>
        <v>7 ضد 7</v>
      </c>
      <c r="I107" s="74">
        <f t="shared" si="1"/>
        <v>5</v>
      </c>
      <c r="J107" s="74">
        <f>ROUNDUP($I107/IFERROR(INDEX(المدخلات!$AJ$6:$AJ$12,MATCH($C107,المدخلات!$AC$6:$AC$12,0)),1),0)</f>
        <v>2</v>
      </c>
      <c r="K107" s="74">
        <f>ROUNDUP($J107/IFERROR(INDEX(المدخلات!$AF$6:$AF$12,MATCH($C107,المدخلات!$AC$6:$AC$12,0)),1),0)</f>
        <v>1</v>
      </c>
    </row>
    <row r="108" spans="2:11" hidden="1">
      <c r="B108" s="77" t="str">
        <f>'عدد اللاعبين'!B97</f>
        <v>جازان</v>
      </c>
      <c r="C108" s="72" t="str">
        <f>'عدد اللاعبين'!C97</f>
        <v>تحت 9</v>
      </c>
      <c r="D108" s="72" t="str">
        <f>IFERROR(INDEX(المدخلات!$AD$6:$AD$12,MATCH($C108,المدخلات!$AC$6:$AC$12,0)),"")</f>
        <v>السبت</v>
      </c>
      <c r="E108" s="72" t="str">
        <f>'عدد اللاعبين'!D97</f>
        <v>مجموعة أبو عريش</v>
      </c>
      <c r="F108" s="73" t="str">
        <f>'عدد اللاعبين'!F97</f>
        <v>الطائف</v>
      </c>
      <c r="G108" s="74">
        <f>'عدد اللاعبين'!G97</f>
        <v>11</v>
      </c>
      <c r="H108" s="72" t="str">
        <f>IFERROR(INDEX(المدخلات!$AE$6:$AE$12,MATCH($C108,المدخلات!$AC$6:$AC$12,0)),"")</f>
        <v>7 ضد 7</v>
      </c>
      <c r="I108" s="74">
        <f t="shared" si="1"/>
        <v>5</v>
      </c>
      <c r="J108" s="74">
        <f>ROUNDUP($I108/IFERROR(INDEX(المدخلات!$AJ$6:$AJ$12,MATCH($C108,المدخلات!$AC$6:$AC$12,0)),1),0)</f>
        <v>2</v>
      </c>
      <c r="K108" s="74">
        <f>ROUNDUP($J108/IFERROR(INDEX(المدخلات!$AF$6:$AF$12,MATCH($C108,المدخلات!$AC$6:$AC$12,0)),1),0)</f>
        <v>1</v>
      </c>
    </row>
    <row r="109" spans="2:11" hidden="1">
      <c r="B109" s="77" t="str">
        <f>'عدد اللاعبين'!B98</f>
        <v>القصيم</v>
      </c>
      <c r="C109" s="72" t="str">
        <f>'عدد اللاعبين'!C98</f>
        <v>تحت 11</v>
      </c>
      <c r="D109" s="72" t="str">
        <f>IFERROR(INDEX(المدخلات!$AD$6:$AD$12,MATCH($C109,المدخلات!$AC$6:$AC$12,0)),"")</f>
        <v>الأحد</v>
      </c>
      <c r="E109" s="72" t="str">
        <f>'عدد اللاعبين'!D98</f>
        <v>مجموعة الرس</v>
      </c>
      <c r="F109" s="73" t="str">
        <f>'عدد اللاعبين'!F98</f>
        <v>أبها، خميس مشيط</v>
      </c>
      <c r="G109" s="74">
        <f>'عدد اللاعبين'!G98</f>
        <v>11</v>
      </c>
      <c r="H109" s="72" t="str">
        <f>IFERROR(INDEX(المدخلات!$AE$6:$AE$12,MATCH($C109,المدخلات!$AC$6:$AC$12,0)),"")</f>
        <v>7 ضد 7</v>
      </c>
      <c r="I109" s="74">
        <f t="shared" si="1"/>
        <v>5</v>
      </c>
      <c r="J109" s="74">
        <f>ROUNDUP($I109/IFERROR(INDEX(المدخلات!$AJ$6:$AJ$12,MATCH($C109,المدخلات!$AC$6:$AC$12,0)),1),0)</f>
        <v>2</v>
      </c>
      <c r="K109" s="74">
        <f>ROUNDUP($J109/IFERROR(INDEX(المدخلات!$AF$6:$AF$12,MATCH($C109,المدخلات!$AC$6:$AC$12,0)),1),0)</f>
        <v>1</v>
      </c>
    </row>
    <row r="110" spans="2:11" hidden="1">
      <c r="B110" s="77" t="str">
        <f>'عدد اللاعبين'!B99</f>
        <v>الشرقية</v>
      </c>
      <c r="C110" s="72" t="str">
        <f>'عدد اللاعبين'!C99</f>
        <v>تحت 11</v>
      </c>
      <c r="D110" s="72" t="str">
        <f>IFERROR(INDEX(المدخلات!$AD$6:$AD$12,MATCH($C110,المدخلات!$AC$6:$AC$12,0)),"")</f>
        <v>الأحد</v>
      </c>
      <c r="E110" s="72" t="str">
        <f>'عدد اللاعبين'!D99</f>
        <v>مجموعة الخبر</v>
      </c>
      <c r="F110" s="73" t="str">
        <f>'عدد اللاعبين'!F99</f>
        <v>جيزان</v>
      </c>
      <c r="G110" s="74">
        <f>'عدد اللاعبين'!G99</f>
        <v>11</v>
      </c>
      <c r="H110" s="72" t="str">
        <f>IFERROR(INDEX(المدخلات!$AE$6:$AE$12,MATCH($C110,المدخلات!$AC$6:$AC$12,0)),"")</f>
        <v>7 ضد 7</v>
      </c>
      <c r="I110" s="74">
        <f t="shared" si="1"/>
        <v>5</v>
      </c>
      <c r="J110" s="74">
        <f>ROUNDUP($I110/IFERROR(INDEX(المدخلات!$AJ$6:$AJ$12,MATCH($C110,المدخلات!$AC$6:$AC$12,0)),1),0)</f>
        <v>2</v>
      </c>
      <c r="K110" s="74">
        <f>ROUNDUP($J110/IFERROR(INDEX(المدخلات!$AF$6:$AF$12,MATCH($C110,المدخلات!$AC$6:$AC$12,0)),1),0)</f>
        <v>1</v>
      </c>
    </row>
    <row r="111" spans="2:11" hidden="1">
      <c r="B111" s="77" t="str">
        <f>'عدد اللاعبين'!B100</f>
        <v>القصيم</v>
      </c>
      <c r="C111" s="72" t="str">
        <f>'عدد اللاعبين'!C100</f>
        <v>تحت 12</v>
      </c>
      <c r="D111" s="72" t="str">
        <f>IFERROR(INDEX(المدخلات!$AD$6:$AD$12,MATCH($C111,المدخلات!$AC$6:$AC$12,0)),"")</f>
        <v>الاثنين</v>
      </c>
      <c r="E111" s="72" t="str">
        <f>'عدد اللاعبين'!D100</f>
        <v>مجموعة الرس</v>
      </c>
      <c r="F111" s="73" t="str">
        <f>'عدد اللاعبين'!F100</f>
        <v>حائل، سميراء</v>
      </c>
      <c r="G111" s="74">
        <f>'عدد اللاعبين'!G100</f>
        <v>12</v>
      </c>
      <c r="H111" s="72" t="str">
        <f>IFERROR(INDEX(المدخلات!$AE$6:$AE$12,MATCH($C111,المدخلات!$AC$6:$AC$12,0)),"")</f>
        <v>7 ضد 7</v>
      </c>
      <c r="I111" s="74">
        <f t="shared" si="1"/>
        <v>6</v>
      </c>
      <c r="J111" s="74">
        <f>ROUNDUP($I111/IFERROR(INDEX(المدخلات!$AJ$6:$AJ$12,MATCH($C111,المدخلات!$AC$6:$AC$12,0)),1),0)</f>
        <v>2</v>
      </c>
      <c r="K111" s="74">
        <f>ROUNDUP($J111/IFERROR(INDEX(المدخلات!$AF$6:$AF$12,MATCH($C111,المدخلات!$AC$6:$AC$12,0)),1),0)</f>
        <v>1</v>
      </c>
    </row>
    <row r="112" spans="2:11" hidden="1">
      <c r="B112" s="77" t="str">
        <f>'عدد اللاعبين'!B101</f>
        <v>جازان</v>
      </c>
      <c r="C112" s="72" t="str">
        <f>'عدد اللاعبين'!C101</f>
        <v>تحت 12</v>
      </c>
      <c r="D112" s="72" t="str">
        <f>IFERROR(INDEX(المدخلات!$AD$6:$AD$12,MATCH($C112,المدخلات!$AC$6:$AC$12,0)),"")</f>
        <v>الاثنين</v>
      </c>
      <c r="E112" s="72" t="str">
        <f>'عدد اللاعبين'!D101</f>
        <v>مجموعة جازان</v>
      </c>
      <c r="F112" s="73" t="str">
        <f>'عدد اللاعبين'!F101</f>
        <v>القنفذة، الليث</v>
      </c>
      <c r="G112" s="74">
        <f>'عدد اللاعبين'!G101</f>
        <v>12</v>
      </c>
      <c r="H112" s="72" t="str">
        <f>IFERROR(INDEX(المدخلات!$AE$6:$AE$12,MATCH($C112,المدخلات!$AC$6:$AC$12,0)),"")</f>
        <v>7 ضد 7</v>
      </c>
      <c r="I112" s="74">
        <f t="shared" si="1"/>
        <v>6</v>
      </c>
      <c r="J112" s="74">
        <f>ROUNDUP($I112/IFERROR(INDEX(المدخلات!$AJ$6:$AJ$12,MATCH($C112,المدخلات!$AC$6:$AC$12,0)),1),0)</f>
        <v>2</v>
      </c>
      <c r="K112" s="74">
        <f>ROUNDUP($J112/IFERROR(INDEX(المدخلات!$AF$6:$AF$12,MATCH($C112,المدخلات!$AC$6:$AC$12,0)),1),0)</f>
        <v>1</v>
      </c>
    </row>
    <row r="113" spans="2:11" hidden="1">
      <c r="B113" s="77" t="str">
        <f>'عدد اللاعبين'!B102</f>
        <v>الجوف</v>
      </c>
      <c r="C113" s="72" t="str">
        <f>'عدد اللاعبين'!C102</f>
        <v>تحت 14</v>
      </c>
      <c r="D113" s="72" t="str">
        <f>IFERROR(INDEX(المدخلات!$AD$6:$AD$12,MATCH($C113,المدخلات!$AC$6:$AC$12,0)),"")</f>
        <v>الأربعاء</v>
      </c>
      <c r="E113" s="72" t="str">
        <f>'عدد اللاعبين'!D102</f>
        <v>مجموعة سكاكا</v>
      </c>
      <c r="F113" s="73" t="str">
        <f>'عدد اللاعبين'!F102</f>
        <v>الظهران، الخبر</v>
      </c>
      <c r="G113" s="74">
        <f>'عدد اللاعبين'!G102</f>
        <v>12</v>
      </c>
      <c r="H113" s="72" t="str">
        <f>IFERROR(INDEX(المدخلات!$AE$6:$AE$12,MATCH($C113,المدخلات!$AC$6:$AC$12,0)),"")</f>
        <v>قانوني</v>
      </c>
      <c r="I113" s="74">
        <f t="shared" si="1"/>
        <v>6</v>
      </c>
      <c r="J113" s="74">
        <f>ROUNDUP($I113/IFERROR(INDEX(المدخلات!$AJ$6:$AJ$12,MATCH($C113,المدخلات!$AC$6:$AC$12,0)),1),0)</f>
        <v>2</v>
      </c>
      <c r="K113" s="74">
        <f>ROUNDUP($J113/IFERROR(INDEX(المدخلات!$AF$6:$AF$12,MATCH($C113,المدخلات!$AC$6:$AC$12,0)),1),0)</f>
        <v>2</v>
      </c>
    </row>
    <row r="114" spans="2:11" hidden="1">
      <c r="B114" s="77" t="str">
        <f>'عدد اللاعبين'!B103</f>
        <v>مكة المكرمة</v>
      </c>
      <c r="C114" s="72" t="str">
        <f>'عدد اللاعبين'!C103</f>
        <v>تحت 14</v>
      </c>
      <c r="D114" s="72" t="str">
        <f>IFERROR(INDEX(المدخلات!$AD$6:$AD$12,MATCH($C114,المدخلات!$AC$6:$AC$12,0)),"")</f>
        <v>الأربعاء</v>
      </c>
      <c r="E114" s="72" t="str">
        <f>'عدد اللاعبين'!D103</f>
        <v>مجموعة القنفذة</v>
      </c>
      <c r="F114" s="73" t="str">
        <f>'عدد اللاعبين'!F103</f>
        <v>بريدة، عيون الجواء، المذنب، عنيزة</v>
      </c>
      <c r="G114" s="74">
        <f>'عدد اللاعبين'!G103</f>
        <v>12</v>
      </c>
      <c r="H114" s="72" t="str">
        <f>IFERROR(INDEX(المدخلات!$AE$6:$AE$12,MATCH($C114,المدخلات!$AC$6:$AC$12,0)),"")</f>
        <v>قانوني</v>
      </c>
      <c r="I114" s="74">
        <f t="shared" si="1"/>
        <v>6</v>
      </c>
      <c r="J114" s="74">
        <f>ROUNDUP($I114/IFERROR(INDEX(المدخلات!$AJ$6:$AJ$12,MATCH($C114,المدخلات!$AC$6:$AC$12,0)),1),0)</f>
        <v>2</v>
      </c>
      <c r="K114" s="74">
        <f>ROUNDUP($J114/IFERROR(INDEX(المدخلات!$AF$6:$AF$12,MATCH($C114,المدخلات!$AC$6:$AC$12,0)),1),0)</f>
        <v>2</v>
      </c>
    </row>
    <row r="115" spans="2:11" hidden="1">
      <c r="B115" s="77" t="str">
        <f>'عدد اللاعبين'!B104</f>
        <v>مكة المكرمة</v>
      </c>
      <c r="C115" s="72" t="str">
        <f>'عدد اللاعبين'!C104</f>
        <v>تحت 5</v>
      </c>
      <c r="D115" s="72" t="str">
        <f>IFERROR(INDEX(المدخلات!$AD$6:$AD$12,MATCH($C115,المدخلات!$AC$6:$AC$12,0)),"")</f>
        <v>السبت</v>
      </c>
      <c r="E115" s="72" t="str">
        <f>'عدد اللاعبين'!D104</f>
        <v>مجموعة الطائف</v>
      </c>
      <c r="F115" s="73" t="str">
        <f>'عدد اللاعبين'!F104</f>
        <v>الظهران، الخبر، الدمام، سيهات</v>
      </c>
      <c r="G115" s="74">
        <f>'عدد اللاعبين'!G104</f>
        <v>12</v>
      </c>
      <c r="H115" s="72" t="str">
        <f>IFERROR(INDEX(المدخلات!$AE$6:$AE$12,MATCH($C115,المدخلات!$AC$6:$AC$12,0)),"")</f>
        <v>5 ضد 5</v>
      </c>
      <c r="I115" s="74">
        <f t="shared" si="1"/>
        <v>6</v>
      </c>
      <c r="J115" s="74">
        <f>ROUNDUP($I115/IFERROR(INDEX(المدخلات!$AJ$6:$AJ$12,MATCH($C115,المدخلات!$AC$6:$AC$12,0)),1),0)</f>
        <v>2</v>
      </c>
      <c r="K115" s="74">
        <f>ROUNDUP($J115/IFERROR(INDEX(المدخلات!$AF$6:$AF$12,MATCH($C115,المدخلات!$AC$6:$AC$12,0)),1),0)</f>
        <v>1</v>
      </c>
    </row>
    <row r="116" spans="2:11" hidden="1">
      <c r="B116" s="77" t="str">
        <f>'عدد اللاعبين'!B105</f>
        <v>عسير</v>
      </c>
      <c r="C116" s="72" t="str">
        <f>'عدد اللاعبين'!C105</f>
        <v>تحت 9</v>
      </c>
      <c r="D116" s="72" t="str">
        <f>IFERROR(INDEX(المدخلات!$AD$6:$AD$12,MATCH($C116,المدخلات!$AC$6:$AC$12,0)),"")</f>
        <v>السبت</v>
      </c>
      <c r="E116" s="72" t="str">
        <f>'عدد اللاعبين'!D105</f>
        <v>مجموعة أبها</v>
      </c>
      <c r="F116" s="73" t="str">
        <f>'عدد اللاعبين'!F105</f>
        <v>الخفجي</v>
      </c>
      <c r="G116" s="74">
        <f>'عدد اللاعبين'!G105</f>
        <v>12</v>
      </c>
      <c r="H116" s="72" t="str">
        <f>IFERROR(INDEX(المدخلات!$AE$6:$AE$12,MATCH($C116,المدخلات!$AC$6:$AC$12,0)),"")</f>
        <v>7 ضد 7</v>
      </c>
      <c r="I116" s="74">
        <f t="shared" si="1"/>
        <v>6</v>
      </c>
      <c r="J116" s="74">
        <f>ROUNDUP($I116/IFERROR(INDEX(المدخلات!$AJ$6:$AJ$12,MATCH($C116,المدخلات!$AC$6:$AC$12,0)),1),0)</f>
        <v>2</v>
      </c>
      <c r="K116" s="74">
        <f>ROUNDUP($J116/IFERROR(INDEX(المدخلات!$AF$6:$AF$12,MATCH($C116,المدخلات!$AC$6:$AC$12,0)),1),0)</f>
        <v>1</v>
      </c>
    </row>
    <row r="117" spans="2:11" hidden="1">
      <c r="B117" s="77" t="str">
        <f>'عدد اللاعبين'!B106</f>
        <v>جازان</v>
      </c>
      <c r="C117" s="72" t="str">
        <f>'عدد اللاعبين'!C106</f>
        <v>تحت 9</v>
      </c>
      <c r="D117" s="72" t="str">
        <f>IFERROR(INDEX(المدخلات!$AD$6:$AD$12,MATCH($C117,المدخلات!$AC$6:$AC$12,0)),"")</f>
        <v>السبت</v>
      </c>
      <c r="E117" s="72" t="str">
        <f>'عدد اللاعبين'!D106</f>
        <v>مجموعة جازان</v>
      </c>
      <c r="F117" s="73" t="str">
        <f>'عدد اللاعبين'!F106</f>
        <v>سكاكا، دومة الجندل</v>
      </c>
      <c r="G117" s="74">
        <f>'عدد اللاعبين'!G106</f>
        <v>12</v>
      </c>
      <c r="H117" s="72" t="str">
        <f>IFERROR(INDEX(المدخلات!$AE$6:$AE$12,MATCH($C117,المدخلات!$AC$6:$AC$12,0)),"")</f>
        <v>7 ضد 7</v>
      </c>
      <c r="I117" s="74">
        <f t="shared" si="1"/>
        <v>6</v>
      </c>
      <c r="J117" s="74">
        <f>ROUNDUP($I117/IFERROR(INDEX(المدخلات!$AJ$6:$AJ$12,MATCH($C117,المدخلات!$AC$6:$AC$12,0)),1),0)</f>
        <v>2</v>
      </c>
      <c r="K117" s="74">
        <f>ROUNDUP($J117/IFERROR(INDEX(المدخلات!$AF$6:$AF$12,MATCH($C117,المدخلات!$AC$6:$AC$12,0)),1),0)</f>
        <v>1</v>
      </c>
    </row>
    <row r="118" spans="2:11" hidden="1">
      <c r="B118" s="77" t="str">
        <f>'عدد اللاعبين'!B107</f>
        <v>حائل</v>
      </c>
      <c r="C118" s="72" t="str">
        <f>'عدد اللاعبين'!C107</f>
        <v>تحت 12</v>
      </c>
      <c r="D118" s="72" t="str">
        <f>IFERROR(INDEX(المدخلات!$AD$6:$AD$12,MATCH($C118,المدخلات!$AC$6:$AC$12,0)),"")</f>
        <v>الاثنين</v>
      </c>
      <c r="E118" s="72" t="str">
        <f>'عدد اللاعبين'!D107</f>
        <v>مجموعة حائل</v>
      </c>
      <c r="F118" s="73" t="str">
        <f>'عدد اللاعبين'!F107</f>
        <v>سكاكا، دومة الجندل</v>
      </c>
      <c r="G118" s="74">
        <f>'عدد اللاعبين'!G107</f>
        <v>12</v>
      </c>
      <c r="H118" s="72" t="str">
        <f>IFERROR(INDEX(المدخلات!$AE$6:$AE$12,MATCH($C118,المدخلات!$AC$6:$AC$12,0)),"")</f>
        <v>7 ضد 7</v>
      </c>
      <c r="I118" s="74">
        <f t="shared" si="1"/>
        <v>6</v>
      </c>
      <c r="J118" s="74">
        <f>ROUNDUP($I118/IFERROR(INDEX(المدخلات!$AJ$6:$AJ$12,MATCH($C118,المدخلات!$AC$6:$AC$12,0)),1),0)</f>
        <v>2</v>
      </c>
      <c r="K118" s="74">
        <f>ROUNDUP($J118/IFERROR(INDEX(المدخلات!$AF$6:$AF$12,MATCH($C118,المدخلات!$AC$6:$AC$12,0)),1),0)</f>
        <v>1</v>
      </c>
    </row>
    <row r="119" spans="2:11" hidden="1">
      <c r="B119" s="77" t="str">
        <f>'عدد اللاعبين'!B108</f>
        <v>مكة المكرمة</v>
      </c>
      <c r="C119" s="72" t="str">
        <f>'عدد اللاعبين'!C108</f>
        <v>تحت 12</v>
      </c>
      <c r="D119" s="72" t="str">
        <f>IFERROR(INDEX(المدخلات!$AD$6:$AD$12,MATCH($C119,المدخلات!$AC$6:$AC$12,0)),"")</f>
        <v>الاثنين</v>
      </c>
      <c r="E119" s="72" t="str">
        <f>'عدد اللاعبين'!D108</f>
        <v>مجموعة القنفذة</v>
      </c>
      <c r="F119" s="73" t="str">
        <f>'عدد اللاعبين'!F108</f>
        <v>حائل</v>
      </c>
      <c r="G119" s="74">
        <f>'عدد اللاعبين'!G108</f>
        <v>12</v>
      </c>
      <c r="H119" s="72" t="str">
        <f>IFERROR(INDEX(المدخلات!$AE$6:$AE$12,MATCH($C119,المدخلات!$AC$6:$AC$12,0)),"")</f>
        <v>7 ضد 7</v>
      </c>
      <c r="I119" s="74">
        <f t="shared" si="1"/>
        <v>6</v>
      </c>
      <c r="J119" s="74">
        <f>ROUNDUP($I119/IFERROR(INDEX(المدخلات!$AJ$6:$AJ$12,MATCH($C119,المدخلات!$AC$6:$AC$12,0)),1),0)</f>
        <v>2</v>
      </c>
      <c r="K119" s="74">
        <f>ROUNDUP($J119/IFERROR(INDEX(المدخلات!$AF$6:$AF$12,MATCH($C119,المدخلات!$AC$6:$AC$12,0)),1),0)</f>
        <v>1</v>
      </c>
    </row>
    <row r="120" spans="2:11" hidden="1">
      <c r="B120" s="77" t="str">
        <f>'عدد اللاعبين'!B109</f>
        <v>الشرقية</v>
      </c>
      <c r="C120" s="72" t="str">
        <f>'عدد اللاعبين'!C109</f>
        <v>تحت 12</v>
      </c>
      <c r="D120" s="72" t="str">
        <f>IFERROR(INDEX(المدخلات!$AD$6:$AD$12,MATCH($C120,المدخلات!$AC$6:$AC$12,0)),"")</f>
        <v>الاثنين</v>
      </c>
      <c r="E120" s="72" t="str">
        <f>'عدد اللاعبين'!D109</f>
        <v>مجموعة الخبر</v>
      </c>
      <c r="F120" s="73" t="str">
        <f>'عدد اللاعبين'!F109</f>
        <v>حائل، سميراء</v>
      </c>
      <c r="G120" s="74">
        <f>'عدد اللاعبين'!G109</f>
        <v>13</v>
      </c>
      <c r="H120" s="72" t="str">
        <f>IFERROR(INDEX(المدخلات!$AE$6:$AE$12,MATCH($C120,المدخلات!$AC$6:$AC$12,0)),"")</f>
        <v>7 ضد 7</v>
      </c>
      <c r="I120" s="74">
        <f t="shared" si="1"/>
        <v>6</v>
      </c>
      <c r="J120" s="74">
        <f>ROUNDUP($I120/IFERROR(INDEX(المدخلات!$AJ$6:$AJ$12,MATCH($C120,المدخلات!$AC$6:$AC$12,0)),1),0)</f>
        <v>2</v>
      </c>
      <c r="K120" s="74">
        <f>ROUNDUP($J120/IFERROR(INDEX(المدخلات!$AF$6:$AF$12,MATCH($C120,المدخلات!$AC$6:$AC$12,0)),1),0)</f>
        <v>1</v>
      </c>
    </row>
    <row r="121" spans="2:11" hidden="1">
      <c r="B121" s="77" t="str">
        <f>'عدد اللاعبين'!B110</f>
        <v>القصيم</v>
      </c>
      <c r="C121" s="72" t="str">
        <f>'عدد اللاعبين'!C110</f>
        <v>تحت 14</v>
      </c>
      <c r="D121" s="72" t="str">
        <f>IFERROR(INDEX(المدخلات!$AD$6:$AD$12,MATCH($C121,المدخلات!$AC$6:$AC$12,0)),"")</f>
        <v>الأربعاء</v>
      </c>
      <c r="E121" s="72" t="str">
        <f>'عدد اللاعبين'!D110</f>
        <v>مجموعة القصيم</v>
      </c>
      <c r="F121" s="73" t="str">
        <f>'عدد اللاعبين'!F110</f>
        <v>القنفذة</v>
      </c>
      <c r="G121" s="74">
        <f>'عدد اللاعبين'!G110</f>
        <v>13</v>
      </c>
      <c r="H121" s="72" t="str">
        <f>IFERROR(INDEX(المدخلات!$AE$6:$AE$12,MATCH($C121,المدخلات!$AC$6:$AC$12,0)),"")</f>
        <v>قانوني</v>
      </c>
      <c r="I121" s="74">
        <f t="shared" si="1"/>
        <v>6</v>
      </c>
      <c r="J121" s="74">
        <f>ROUNDUP($I121/IFERROR(INDEX(المدخلات!$AJ$6:$AJ$12,MATCH($C121,المدخلات!$AC$6:$AC$12,0)),1),0)</f>
        <v>2</v>
      </c>
      <c r="K121" s="74">
        <f>ROUNDUP($J121/IFERROR(INDEX(المدخلات!$AF$6:$AF$12,MATCH($C121,المدخلات!$AC$6:$AC$12,0)),1),0)</f>
        <v>2</v>
      </c>
    </row>
    <row r="122" spans="2:11" hidden="1">
      <c r="B122" s="77" t="str">
        <f>'عدد اللاعبين'!B111</f>
        <v>الشرقية</v>
      </c>
      <c r="C122" s="72" t="str">
        <f>'عدد اللاعبين'!C111</f>
        <v>تحت 14</v>
      </c>
      <c r="D122" s="72" t="str">
        <f>IFERROR(INDEX(المدخلات!$AD$6:$AD$12,MATCH($C122,المدخلات!$AC$6:$AC$12,0)),"")</f>
        <v>الأربعاء</v>
      </c>
      <c r="E122" s="72" t="str">
        <f>'عدد اللاعبين'!D111</f>
        <v>مجموعة الدمام</v>
      </c>
      <c r="F122" s="73" t="str">
        <f>'عدد اللاعبين'!F111</f>
        <v>المدينة المنورة</v>
      </c>
      <c r="G122" s="74">
        <f>'عدد اللاعبين'!G111</f>
        <v>13</v>
      </c>
      <c r="H122" s="72" t="str">
        <f>IFERROR(INDEX(المدخلات!$AE$6:$AE$12,MATCH($C122,المدخلات!$AC$6:$AC$12,0)),"")</f>
        <v>قانوني</v>
      </c>
      <c r="I122" s="74">
        <f t="shared" si="1"/>
        <v>6</v>
      </c>
      <c r="J122" s="74">
        <f>ROUNDUP($I122/IFERROR(INDEX(المدخلات!$AJ$6:$AJ$12,MATCH($C122,المدخلات!$AC$6:$AC$12,0)),1),0)</f>
        <v>2</v>
      </c>
      <c r="K122" s="74">
        <f>ROUNDUP($J122/IFERROR(INDEX(المدخلات!$AF$6:$AF$12,MATCH($C122,المدخلات!$AC$6:$AC$12,0)),1),0)</f>
        <v>2</v>
      </c>
    </row>
    <row r="123" spans="2:11" hidden="1">
      <c r="B123" s="77" t="str">
        <f>'عدد اللاعبين'!B112</f>
        <v>الشرقية</v>
      </c>
      <c r="C123" s="72" t="str">
        <f>'عدد اللاعبين'!C112</f>
        <v>تحت 5</v>
      </c>
      <c r="D123" s="72" t="str">
        <f>IFERROR(INDEX(المدخلات!$AD$6:$AD$12,MATCH($C123,المدخلات!$AC$6:$AC$12,0)),"")</f>
        <v>السبت</v>
      </c>
      <c r="E123" s="72" t="str">
        <f>'عدد اللاعبين'!D112</f>
        <v>مجموعة الخفجي</v>
      </c>
      <c r="F123" s="73" t="str">
        <f>'عدد اللاعبين'!F112</f>
        <v>الأحساء</v>
      </c>
      <c r="G123" s="74">
        <f>'عدد اللاعبين'!G112</f>
        <v>13</v>
      </c>
      <c r="H123" s="72" t="str">
        <f>IFERROR(INDEX(المدخلات!$AE$6:$AE$12,MATCH($C123,المدخلات!$AC$6:$AC$12,0)),"")</f>
        <v>5 ضد 5</v>
      </c>
      <c r="I123" s="74">
        <f t="shared" si="1"/>
        <v>6</v>
      </c>
      <c r="J123" s="74">
        <f>ROUNDUP($I123/IFERROR(INDEX(المدخلات!$AJ$6:$AJ$12,MATCH($C123,المدخلات!$AC$6:$AC$12,0)),1),0)</f>
        <v>2</v>
      </c>
      <c r="K123" s="74">
        <f>ROUNDUP($J123/IFERROR(INDEX(المدخلات!$AF$6:$AF$12,MATCH($C123,المدخلات!$AC$6:$AC$12,0)),1),0)</f>
        <v>1</v>
      </c>
    </row>
    <row r="124" spans="2:11" hidden="1">
      <c r="B124" s="77" t="str">
        <f>'عدد اللاعبين'!B113</f>
        <v>الجوف</v>
      </c>
      <c r="C124" s="72" t="str">
        <f>'عدد اللاعبين'!C113</f>
        <v>تحت 5</v>
      </c>
      <c r="D124" s="72" t="str">
        <f>IFERROR(INDEX(المدخلات!$AD$6:$AD$12,MATCH($C124,المدخلات!$AC$6:$AC$12,0)),"")</f>
        <v>السبت</v>
      </c>
      <c r="E124" s="72" t="str">
        <f>'عدد اللاعبين'!D113</f>
        <v>مجموعة سكاكا</v>
      </c>
      <c r="F124" s="73" t="str">
        <f>'عدد اللاعبين'!F113</f>
        <v>صبيا، ضمد</v>
      </c>
      <c r="G124" s="74">
        <f>'عدد اللاعبين'!G113</f>
        <v>13</v>
      </c>
      <c r="H124" s="72" t="str">
        <f>IFERROR(INDEX(المدخلات!$AE$6:$AE$12,MATCH($C124,المدخلات!$AC$6:$AC$12,0)),"")</f>
        <v>5 ضد 5</v>
      </c>
      <c r="I124" s="74">
        <f t="shared" si="1"/>
        <v>6</v>
      </c>
      <c r="J124" s="74">
        <f>ROUNDUP($I124/IFERROR(INDEX(المدخلات!$AJ$6:$AJ$12,MATCH($C124,المدخلات!$AC$6:$AC$12,0)),1),0)</f>
        <v>2</v>
      </c>
      <c r="K124" s="74">
        <f>ROUNDUP($J124/IFERROR(INDEX(المدخلات!$AF$6:$AF$12,MATCH($C124,المدخلات!$AC$6:$AC$12,0)),1),0)</f>
        <v>1</v>
      </c>
    </row>
    <row r="125" spans="2:11" hidden="1">
      <c r="B125" s="77" t="str">
        <f>'عدد اللاعبين'!B114</f>
        <v>الجوف</v>
      </c>
      <c r="C125" s="72" t="str">
        <f>'عدد اللاعبين'!C114</f>
        <v>تحت 7</v>
      </c>
      <c r="D125" s="72" t="str">
        <f>IFERROR(INDEX(المدخلات!$AD$6:$AD$12,MATCH($C125,المدخلات!$AC$6:$AC$12,0)),"")</f>
        <v>السبت</v>
      </c>
      <c r="E125" s="72" t="str">
        <f>'عدد اللاعبين'!D114</f>
        <v>مجموعة سكاكا</v>
      </c>
      <c r="F125" s="73" t="str">
        <f>'عدد اللاعبين'!F114</f>
        <v>الخفجي</v>
      </c>
      <c r="G125" s="74">
        <f>'عدد اللاعبين'!G114</f>
        <v>13</v>
      </c>
      <c r="H125" s="72" t="str">
        <f>IFERROR(INDEX(المدخلات!$AE$6:$AE$12,MATCH($C125,المدخلات!$AC$6:$AC$12,0)),"")</f>
        <v>7 ضد 7</v>
      </c>
      <c r="I125" s="74">
        <f t="shared" si="1"/>
        <v>6</v>
      </c>
      <c r="J125" s="74">
        <f>ROUNDUP($I125/IFERROR(INDEX(المدخلات!$AJ$6:$AJ$12,MATCH($C125,المدخلات!$AC$6:$AC$12,0)),1),0)</f>
        <v>2</v>
      </c>
      <c r="K125" s="74">
        <f>ROUNDUP($J125/IFERROR(INDEX(المدخلات!$AF$6:$AF$12,MATCH($C125,المدخلات!$AC$6:$AC$12,0)),1),0)</f>
        <v>1</v>
      </c>
    </row>
    <row r="126" spans="2:11" hidden="1">
      <c r="B126" s="77" t="str">
        <f>'عدد اللاعبين'!B115</f>
        <v>حائل</v>
      </c>
      <c r="C126" s="72" t="str">
        <f>'عدد اللاعبين'!C115</f>
        <v>تحت 9</v>
      </c>
      <c r="D126" s="72" t="str">
        <f>IFERROR(INDEX(المدخلات!$AD$6:$AD$12,MATCH($C126,المدخلات!$AC$6:$AC$12,0)),"")</f>
        <v>السبت</v>
      </c>
      <c r="E126" s="72" t="str">
        <f>'عدد اللاعبين'!D115</f>
        <v>مجموعة حائل</v>
      </c>
      <c r="F126" s="73" t="str">
        <f>'عدد اللاعبين'!F115</f>
        <v>الطائف</v>
      </c>
      <c r="G126" s="74">
        <f>'عدد اللاعبين'!G115</f>
        <v>13</v>
      </c>
      <c r="H126" s="72" t="str">
        <f>IFERROR(INDEX(المدخلات!$AE$6:$AE$12,MATCH($C126,المدخلات!$AC$6:$AC$12,0)),"")</f>
        <v>7 ضد 7</v>
      </c>
      <c r="I126" s="74">
        <f t="shared" si="1"/>
        <v>6</v>
      </c>
      <c r="J126" s="74">
        <f>ROUNDUP($I126/IFERROR(INDEX(المدخلات!$AJ$6:$AJ$12,MATCH($C126,المدخلات!$AC$6:$AC$12,0)),1),0)</f>
        <v>2</v>
      </c>
      <c r="K126" s="74">
        <f>ROUNDUP($J126/IFERROR(INDEX(المدخلات!$AF$6:$AF$12,MATCH($C126,المدخلات!$AC$6:$AC$12,0)),1),0)</f>
        <v>1</v>
      </c>
    </row>
    <row r="127" spans="2:11" hidden="1">
      <c r="B127" s="77" t="str">
        <f>'عدد اللاعبين'!B116</f>
        <v>حائل</v>
      </c>
      <c r="C127" s="72" t="str">
        <f>'عدد اللاعبين'!C116</f>
        <v>تحت 11</v>
      </c>
      <c r="D127" s="72" t="str">
        <f>IFERROR(INDEX(المدخلات!$AD$6:$AD$12,MATCH($C127,المدخلات!$AC$6:$AC$12,0)),"")</f>
        <v>الأحد</v>
      </c>
      <c r="E127" s="72" t="str">
        <f>'عدد اللاعبين'!D116</f>
        <v>مجموعة حائل</v>
      </c>
      <c r="F127" s="73" t="str">
        <f>'عدد اللاعبين'!F116</f>
        <v>الدمام، سيهات</v>
      </c>
      <c r="G127" s="74">
        <f>'عدد اللاعبين'!G116</f>
        <v>14</v>
      </c>
      <c r="H127" s="72" t="str">
        <f>IFERROR(INDEX(المدخلات!$AE$6:$AE$12,MATCH($C127,المدخلات!$AC$6:$AC$12,0)),"")</f>
        <v>7 ضد 7</v>
      </c>
      <c r="I127" s="74">
        <f t="shared" si="1"/>
        <v>7</v>
      </c>
      <c r="J127" s="74">
        <f>ROUNDUP($I127/IFERROR(INDEX(المدخلات!$AJ$6:$AJ$12,MATCH($C127,المدخلات!$AC$6:$AC$12,0)),1),0)</f>
        <v>2</v>
      </c>
      <c r="K127" s="74">
        <f>ROUNDUP($J127/IFERROR(INDEX(المدخلات!$AF$6:$AF$12,MATCH($C127,المدخلات!$AC$6:$AC$12,0)),1),0)</f>
        <v>1</v>
      </c>
    </row>
    <row r="128" spans="2:11" hidden="1">
      <c r="B128" s="77" t="str">
        <f>'عدد اللاعبين'!B117</f>
        <v>مكة المكرمة</v>
      </c>
      <c r="C128" s="72" t="str">
        <f>'عدد اللاعبين'!C117</f>
        <v>تحت 13</v>
      </c>
      <c r="D128" s="72" t="str">
        <f>IFERROR(INDEX(المدخلات!$AD$6:$AD$12,MATCH($C128,المدخلات!$AC$6:$AC$12,0)),"")</f>
        <v>الخميس</v>
      </c>
      <c r="E128" s="72" t="str">
        <f>'عدد اللاعبين'!D117</f>
        <v>مجموعة القنفذة</v>
      </c>
      <c r="F128" s="73" t="str">
        <f>'عدد اللاعبين'!F117</f>
        <v>القنفذة، الليث</v>
      </c>
      <c r="G128" s="74">
        <f>'عدد اللاعبين'!G117</f>
        <v>14</v>
      </c>
      <c r="H128" s="72" t="str">
        <f>IFERROR(INDEX(المدخلات!$AE$6:$AE$12,MATCH($C128,المدخلات!$AC$6:$AC$12,0)),"")</f>
        <v>قانوني</v>
      </c>
      <c r="I128" s="74">
        <f t="shared" si="1"/>
        <v>7</v>
      </c>
      <c r="J128" s="74">
        <f>ROUNDUP($I128/IFERROR(INDEX(المدخلات!$AJ$6:$AJ$12,MATCH($C128,المدخلات!$AC$6:$AC$12,0)),1),0)</f>
        <v>3</v>
      </c>
      <c r="K128" s="74">
        <f>ROUNDUP($J128/IFERROR(INDEX(المدخلات!$AF$6:$AF$12,MATCH($C128,المدخلات!$AC$6:$AC$12,0)),1),0)</f>
        <v>3</v>
      </c>
    </row>
    <row r="129" spans="2:11" hidden="1">
      <c r="B129" s="77" t="str">
        <f>'عدد اللاعبين'!B118</f>
        <v>المدينة المنورة</v>
      </c>
      <c r="C129" s="72" t="str">
        <f>'عدد اللاعبين'!C118</f>
        <v>تحت 13</v>
      </c>
      <c r="D129" s="72" t="str">
        <f>IFERROR(INDEX(المدخلات!$AD$6:$AD$12,MATCH($C129,المدخلات!$AC$6:$AC$12,0)),"")</f>
        <v>الخميس</v>
      </c>
      <c r="E129" s="72" t="str">
        <f>'عدد اللاعبين'!D118</f>
        <v>مجموعة المدينة المنورة</v>
      </c>
      <c r="F129" s="73" t="str">
        <f>'عدد اللاعبين'!F118</f>
        <v>الدمام، سيهات</v>
      </c>
      <c r="G129" s="74">
        <f>'عدد اللاعبين'!G118</f>
        <v>14</v>
      </c>
      <c r="H129" s="72" t="str">
        <f>IFERROR(INDEX(المدخلات!$AE$6:$AE$12,MATCH($C129,المدخلات!$AC$6:$AC$12,0)),"")</f>
        <v>قانوني</v>
      </c>
      <c r="I129" s="74">
        <f t="shared" si="1"/>
        <v>7</v>
      </c>
      <c r="J129" s="74">
        <f>ROUNDUP($I129/IFERROR(INDEX(المدخلات!$AJ$6:$AJ$12,MATCH($C129,المدخلات!$AC$6:$AC$12,0)),1),0)</f>
        <v>3</v>
      </c>
      <c r="K129" s="74">
        <f>ROUNDUP($J129/IFERROR(INDEX(المدخلات!$AF$6:$AF$12,MATCH($C129,المدخلات!$AC$6:$AC$12,0)),1),0)</f>
        <v>3</v>
      </c>
    </row>
    <row r="130" spans="2:11" hidden="1">
      <c r="B130" s="77" t="str">
        <f>'عدد اللاعبين'!B119</f>
        <v>الشرقية</v>
      </c>
      <c r="C130" s="72" t="str">
        <f>'عدد اللاعبين'!C119</f>
        <v>تحت 5</v>
      </c>
      <c r="D130" s="72" t="str">
        <f>IFERROR(INDEX(المدخلات!$AD$6:$AD$12,MATCH($C130,المدخلات!$AC$6:$AC$12,0)),"")</f>
        <v>السبت</v>
      </c>
      <c r="E130" s="72" t="str">
        <f>'عدد اللاعبين'!D119</f>
        <v>مجموعة الأحساء</v>
      </c>
      <c r="F130" s="73" t="str">
        <f>'عدد اللاعبين'!F119</f>
        <v>الخرج، الدلم</v>
      </c>
      <c r="G130" s="74">
        <f>'عدد اللاعبين'!G119</f>
        <v>14</v>
      </c>
      <c r="H130" s="72" t="str">
        <f>IFERROR(INDEX(المدخلات!$AE$6:$AE$12,MATCH($C130,المدخلات!$AC$6:$AC$12,0)),"")</f>
        <v>5 ضد 5</v>
      </c>
      <c r="I130" s="74">
        <f t="shared" si="1"/>
        <v>7</v>
      </c>
      <c r="J130" s="74">
        <f>ROUNDUP($I130/IFERROR(INDEX(المدخلات!$AJ$6:$AJ$12,MATCH($C130,المدخلات!$AC$6:$AC$12,0)),1),0)</f>
        <v>3</v>
      </c>
      <c r="K130" s="74">
        <f>ROUNDUP($J130/IFERROR(INDEX(المدخلات!$AF$6:$AF$12,MATCH($C130,المدخلات!$AC$6:$AC$12,0)),1),0)</f>
        <v>1</v>
      </c>
    </row>
    <row r="131" spans="2:11" hidden="1">
      <c r="B131" s="77" t="str">
        <f>'عدد اللاعبين'!B120</f>
        <v>جازان</v>
      </c>
      <c r="C131" s="72" t="str">
        <f>'عدد اللاعبين'!C120</f>
        <v>تحت 5</v>
      </c>
      <c r="D131" s="72" t="str">
        <f>IFERROR(INDEX(المدخلات!$AD$6:$AD$12,MATCH($C131,المدخلات!$AC$6:$AC$12,0)),"")</f>
        <v>السبت</v>
      </c>
      <c r="E131" s="72" t="str">
        <f>'عدد اللاعبين'!D120</f>
        <v>مجموعة صبيا</v>
      </c>
      <c r="F131" s="73" t="str">
        <f>'عدد اللاعبين'!F120</f>
        <v>بريدة، عيون الجواء، المذنب، عنيزة</v>
      </c>
      <c r="G131" s="74">
        <f>'عدد اللاعبين'!G120</f>
        <v>14</v>
      </c>
      <c r="H131" s="72" t="str">
        <f>IFERROR(INDEX(المدخلات!$AE$6:$AE$12,MATCH($C131,المدخلات!$AC$6:$AC$12,0)),"")</f>
        <v>5 ضد 5</v>
      </c>
      <c r="I131" s="74">
        <f t="shared" si="1"/>
        <v>7</v>
      </c>
      <c r="J131" s="74">
        <f>ROUNDUP($I131/IFERROR(INDEX(المدخلات!$AJ$6:$AJ$12,MATCH($C131,المدخلات!$AC$6:$AC$12,0)),1),0)</f>
        <v>3</v>
      </c>
      <c r="K131" s="74">
        <f>ROUNDUP($J131/IFERROR(INDEX(المدخلات!$AF$6:$AF$12,MATCH($C131,المدخلات!$AC$6:$AC$12,0)),1),0)</f>
        <v>1</v>
      </c>
    </row>
    <row r="132" spans="2:11">
      <c r="B132" s="77" t="str">
        <f>'عدد اللاعبين'!B121</f>
        <v>الشرقية</v>
      </c>
      <c r="C132" s="72" t="str">
        <f>'عدد اللاعبين'!C121</f>
        <v>تحت 7</v>
      </c>
      <c r="D132" s="72" t="str">
        <f>IFERROR(INDEX(المدخلات!$AD$6:$AD$12,MATCH($C132,المدخلات!$AC$6:$AC$12,0)),"")</f>
        <v>السبت</v>
      </c>
      <c r="E132" s="72" t="str">
        <f>'عدد اللاعبين'!D121</f>
        <v>مجموعة الخفجي</v>
      </c>
      <c r="F132" s="73" t="str">
        <f>'عدد اللاعبين'!F121</f>
        <v>الظهران، الخبر، الدمام، سيهات</v>
      </c>
      <c r="G132" s="74">
        <f>'عدد اللاعبين'!G121</f>
        <v>14</v>
      </c>
      <c r="H132" s="72" t="str">
        <f>IFERROR(INDEX(المدخلات!$AE$6:$AE$12,MATCH($C132,المدخلات!$AC$6:$AC$12,0)),"")</f>
        <v>7 ضد 7</v>
      </c>
      <c r="I132" s="74">
        <f t="shared" si="1"/>
        <v>7</v>
      </c>
      <c r="J132" s="74">
        <f>ROUNDUP($I132/IFERROR(INDEX(المدخلات!$AJ$6:$AJ$12,MATCH($C132,المدخلات!$AC$6:$AC$12,0)),1),0)</f>
        <v>3</v>
      </c>
      <c r="K132" s="74">
        <f>ROUNDUP($J132/IFERROR(INDEX(المدخلات!$AF$6:$AF$12,MATCH($C132,المدخلات!$AC$6:$AC$12,0)),1),0)</f>
        <v>2</v>
      </c>
    </row>
    <row r="133" spans="2:11">
      <c r="B133" s="77" t="str">
        <f>'عدد اللاعبين'!B122</f>
        <v>مكة المكرمة</v>
      </c>
      <c r="C133" s="72" t="str">
        <f>'عدد اللاعبين'!C122</f>
        <v>تحت 7</v>
      </c>
      <c r="D133" s="72" t="str">
        <f>IFERROR(INDEX(المدخلات!$AD$6:$AD$12,MATCH($C133,المدخلات!$AC$6:$AC$12,0)),"")</f>
        <v>السبت</v>
      </c>
      <c r="E133" s="72" t="str">
        <f>'عدد اللاعبين'!D122</f>
        <v>مجموعة الطائف</v>
      </c>
      <c r="F133" s="73" t="str">
        <f>'عدد اللاعبين'!F122</f>
        <v>صبيا، ضمد</v>
      </c>
      <c r="G133" s="74">
        <f>'عدد اللاعبين'!G122</f>
        <v>14</v>
      </c>
      <c r="H133" s="72" t="str">
        <f>IFERROR(INDEX(المدخلات!$AE$6:$AE$12,MATCH($C133,المدخلات!$AC$6:$AC$12,0)),"")</f>
        <v>7 ضد 7</v>
      </c>
      <c r="I133" s="74">
        <f t="shared" si="1"/>
        <v>7</v>
      </c>
      <c r="J133" s="74">
        <f>ROUNDUP($I133/IFERROR(INDEX(المدخلات!$AJ$6:$AJ$12,MATCH($C133,المدخلات!$AC$6:$AC$12,0)),1),0)</f>
        <v>3</v>
      </c>
      <c r="K133" s="74">
        <f>ROUNDUP($J133/IFERROR(INDEX(المدخلات!$AF$6:$AF$12,MATCH($C133,المدخلات!$AC$6:$AC$12,0)),1),0)</f>
        <v>2</v>
      </c>
    </row>
    <row r="134" spans="2:11">
      <c r="B134" s="77" t="str">
        <f>'عدد اللاعبين'!B123</f>
        <v>الشرقية</v>
      </c>
      <c r="C134" s="72" t="str">
        <f>'عدد اللاعبين'!C123</f>
        <v>تحت 11</v>
      </c>
      <c r="D134" s="72" t="str">
        <f>IFERROR(INDEX(المدخلات!$AD$6:$AD$12,MATCH($C134,المدخلات!$AC$6:$AC$12,0)),"")</f>
        <v>الأحد</v>
      </c>
      <c r="E134" s="72" t="str">
        <f>'عدد اللاعبين'!D123</f>
        <v>مجموعة الدمام</v>
      </c>
      <c r="F134" s="73" t="str">
        <f>'عدد اللاعبين'!F123</f>
        <v>صبيا، ضمد</v>
      </c>
      <c r="G134" s="74">
        <f>'عدد اللاعبين'!G123</f>
        <v>14</v>
      </c>
      <c r="H134" s="72" t="str">
        <f>IFERROR(INDEX(المدخلات!$AE$6:$AE$12,MATCH($C134,المدخلات!$AC$6:$AC$12,0)),"")</f>
        <v>7 ضد 7</v>
      </c>
      <c r="I134" s="74">
        <f t="shared" si="1"/>
        <v>7</v>
      </c>
      <c r="J134" s="74">
        <f>ROUNDUP($I134/IFERROR(INDEX(المدخلات!$AJ$6:$AJ$12,MATCH($C134,المدخلات!$AC$6:$AC$12,0)),1),0)</f>
        <v>2</v>
      </c>
      <c r="K134" s="74">
        <f>ROUNDUP($J134/IFERROR(INDEX(المدخلات!$AF$6:$AF$12,MATCH($C134,المدخلات!$AC$6:$AC$12,0)),1),0)</f>
        <v>1</v>
      </c>
    </row>
    <row r="135" spans="2:11">
      <c r="B135" s="77" t="str">
        <f>'عدد اللاعبين'!B124</f>
        <v>مكة المكرمة</v>
      </c>
      <c r="C135" s="72" t="str">
        <f>'عدد اللاعبين'!C124</f>
        <v>تحت 11</v>
      </c>
      <c r="D135" s="72" t="str">
        <f>IFERROR(INDEX(المدخلات!$AD$6:$AD$12,MATCH($C135,المدخلات!$AC$6:$AC$12,0)),"")</f>
        <v>الأحد</v>
      </c>
      <c r="E135" s="72" t="str">
        <f>'عدد اللاعبين'!D124</f>
        <v>مجموعة القنفذة</v>
      </c>
      <c r="F135" s="73" t="str">
        <f>'عدد اللاعبين'!F124</f>
        <v>الخفجي</v>
      </c>
      <c r="G135" s="74">
        <f>'عدد اللاعبين'!G124</f>
        <v>14</v>
      </c>
      <c r="H135" s="72" t="str">
        <f>IFERROR(INDEX(المدخلات!$AE$6:$AE$12,MATCH($C135,المدخلات!$AC$6:$AC$12,0)),"")</f>
        <v>7 ضد 7</v>
      </c>
      <c r="I135" s="74">
        <f t="shared" si="1"/>
        <v>7</v>
      </c>
      <c r="J135" s="74">
        <f>ROUNDUP($I135/IFERROR(INDEX(المدخلات!$AJ$6:$AJ$12,MATCH($C135,المدخلات!$AC$6:$AC$12,0)),1),0)</f>
        <v>2</v>
      </c>
      <c r="K135" s="74">
        <f>ROUNDUP($J135/IFERROR(INDEX(المدخلات!$AF$6:$AF$12,MATCH($C135,المدخلات!$AC$6:$AC$12,0)),1),0)</f>
        <v>1</v>
      </c>
    </row>
    <row r="136" spans="2:11">
      <c r="B136" s="77" t="str">
        <f>'عدد اللاعبين'!B125</f>
        <v>الشرقية</v>
      </c>
      <c r="C136" s="72" t="str">
        <f>'عدد اللاعبين'!C125</f>
        <v>تحت 12</v>
      </c>
      <c r="D136" s="72" t="str">
        <f>IFERROR(INDEX(المدخلات!$AD$6:$AD$12,MATCH($C136,المدخلات!$AC$6:$AC$12,0)),"")</f>
        <v>الاثنين</v>
      </c>
      <c r="E136" s="72" t="str">
        <f>'عدد اللاعبين'!D125</f>
        <v>مجموعة الدمام</v>
      </c>
      <c r="F136" s="73" t="str">
        <f>'عدد اللاعبين'!F125</f>
        <v>بريدة، عيون الجواء، المذنب، عنيزة</v>
      </c>
      <c r="G136" s="74">
        <f>'عدد اللاعبين'!G125</f>
        <v>14</v>
      </c>
      <c r="H136" s="72" t="str">
        <f>IFERROR(INDEX(المدخلات!$AE$6:$AE$12,MATCH($C136,المدخلات!$AC$6:$AC$12,0)),"")</f>
        <v>7 ضد 7</v>
      </c>
      <c r="I136" s="74">
        <f t="shared" si="1"/>
        <v>7</v>
      </c>
      <c r="J136" s="74">
        <f>ROUNDUP($I136/IFERROR(INDEX(المدخلات!$AJ$6:$AJ$12,MATCH($C136,المدخلات!$AC$6:$AC$12,0)),1),0)</f>
        <v>2</v>
      </c>
      <c r="K136" s="74">
        <f>ROUNDUP($J136/IFERROR(INDEX(المدخلات!$AF$6:$AF$12,MATCH($C136,المدخلات!$AC$6:$AC$12,0)),1),0)</f>
        <v>1</v>
      </c>
    </row>
    <row r="137" spans="2:11">
      <c r="B137" s="77" t="str">
        <f>'عدد اللاعبين'!B126</f>
        <v>الرياض</v>
      </c>
      <c r="C137" s="72" t="str">
        <f>'عدد اللاعبين'!C126</f>
        <v>تحت 12</v>
      </c>
      <c r="D137" s="72" t="str">
        <f>IFERROR(INDEX(المدخلات!$AD$6:$AD$12,MATCH($C137,المدخلات!$AC$6:$AC$12,0)),"")</f>
        <v>الاثنين</v>
      </c>
      <c r="E137" s="72" t="str">
        <f>'عدد اللاعبين'!D126</f>
        <v>مجموعة الخرج</v>
      </c>
      <c r="F137" s="73" t="str">
        <f>'عدد اللاعبين'!F126</f>
        <v>الخفجي</v>
      </c>
      <c r="G137" s="74">
        <f>'عدد اللاعبين'!G126</f>
        <v>15</v>
      </c>
      <c r="H137" s="72" t="str">
        <f>IFERROR(INDEX(المدخلات!$AE$6:$AE$12,MATCH($C137,المدخلات!$AC$6:$AC$12,0)),"")</f>
        <v>7 ضد 7</v>
      </c>
      <c r="I137" s="74">
        <f t="shared" si="1"/>
        <v>7</v>
      </c>
      <c r="J137" s="74">
        <f>ROUNDUP($I137/IFERROR(INDEX(المدخلات!$AJ$6:$AJ$12,MATCH($C137,المدخلات!$AC$6:$AC$12,0)),1),0)</f>
        <v>2</v>
      </c>
      <c r="K137" s="74">
        <f>ROUNDUP($J137/IFERROR(INDEX(المدخلات!$AF$6:$AF$12,MATCH($C137,المدخلات!$AC$6:$AC$12,0)),1),0)</f>
        <v>1</v>
      </c>
    </row>
    <row r="138" spans="2:11">
      <c r="B138" s="77" t="str">
        <f>'عدد اللاعبين'!B127</f>
        <v>القصيم</v>
      </c>
      <c r="C138" s="72" t="str">
        <f>'عدد اللاعبين'!C127</f>
        <v>تحت 12</v>
      </c>
      <c r="D138" s="72" t="str">
        <f>IFERROR(INDEX(المدخلات!$AD$6:$AD$12,MATCH($C138,المدخلات!$AC$6:$AC$12,0)),"")</f>
        <v>الاثنين</v>
      </c>
      <c r="E138" s="72" t="str">
        <f>'عدد اللاعبين'!D127</f>
        <v>مجموعة القصيم</v>
      </c>
      <c r="F138" s="73" t="str">
        <f>'عدد اللاعبين'!F127</f>
        <v>الطائف</v>
      </c>
      <c r="G138" s="74">
        <f>'عدد اللاعبين'!G127</f>
        <v>15</v>
      </c>
      <c r="H138" s="72" t="str">
        <f>IFERROR(INDEX(المدخلات!$AE$6:$AE$12,MATCH($C138,المدخلات!$AC$6:$AC$12,0)),"")</f>
        <v>7 ضد 7</v>
      </c>
      <c r="I138" s="74">
        <f t="shared" si="1"/>
        <v>7</v>
      </c>
      <c r="J138" s="74">
        <f>ROUNDUP($I138/IFERROR(INDEX(المدخلات!$AJ$6:$AJ$12,MATCH($C138,المدخلات!$AC$6:$AC$12,0)),1),0)</f>
        <v>2</v>
      </c>
      <c r="K138" s="74">
        <f>ROUNDUP($J138/IFERROR(INDEX(المدخلات!$AF$6:$AF$12,MATCH($C138,المدخلات!$AC$6:$AC$12,0)),1),0)</f>
        <v>1</v>
      </c>
    </row>
    <row r="139" spans="2:11">
      <c r="B139" s="77" t="str">
        <f>'عدد اللاعبين'!B128</f>
        <v>الشرقية</v>
      </c>
      <c r="C139" s="72" t="str">
        <f>'عدد اللاعبين'!C128</f>
        <v>تحت 13</v>
      </c>
      <c r="D139" s="72" t="str">
        <f>IFERROR(INDEX(المدخلات!$AD$6:$AD$12,MATCH($C139,المدخلات!$AC$6:$AC$12,0)),"")</f>
        <v>الخميس</v>
      </c>
      <c r="E139" s="72" t="str">
        <f>'عدد اللاعبين'!D128</f>
        <v>مجموعة الدمام</v>
      </c>
      <c r="F139" s="73" t="str">
        <f>'عدد اللاعبين'!F128</f>
        <v>أبها، خميس مشيط</v>
      </c>
      <c r="G139" s="74">
        <f>'عدد اللاعبين'!G128</f>
        <v>15</v>
      </c>
      <c r="H139" s="72" t="str">
        <f>IFERROR(INDEX(المدخلات!$AE$6:$AE$12,MATCH($C139,المدخلات!$AC$6:$AC$12,0)),"")</f>
        <v>قانوني</v>
      </c>
      <c r="I139" s="74">
        <f t="shared" si="1"/>
        <v>7</v>
      </c>
      <c r="J139" s="74">
        <f>ROUNDUP($I139/IFERROR(INDEX(المدخلات!$AJ$6:$AJ$12,MATCH($C139,المدخلات!$AC$6:$AC$12,0)),1),0)</f>
        <v>3</v>
      </c>
      <c r="K139" s="74">
        <f>ROUNDUP($J139/IFERROR(INDEX(المدخلات!$AF$6:$AF$12,MATCH($C139,المدخلات!$AC$6:$AC$12,0)),1),0)</f>
        <v>3</v>
      </c>
    </row>
    <row r="140" spans="2:11">
      <c r="B140" s="77" t="str">
        <f>'عدد اللاعبين'!B129</f>
        <v>جازان</v>
      </c>
      <c r="C140" s="72" t="str">
        <f>'عدد اللاعبين'!C129</f>
        <v>تحت 13</v>
      </c>
      <c r="D140" s="72" t="str">
        <f>IFERROR(INDEX(المدخلات!$AD$6:$AD$12,MATCH($C140,المدخلات!$AC$6:$AC$12,0)),"")</f>
        <v>الخميس</v>
      </c>
      <c r="E140" s="72" t="str">
        <f>'عدد اللاعبين'!D129</f>
        <v>مجموعة صبيا</v>
      </c>
      <c r="F140" s="73" t="str">
        <f>'عدد اللاعبين'!F129</f>
        <v>الخفجي</v>
      </c>
      <c r="G140" s="74">
        <f>'عدد اللاعبين'!G129</f>
        <v>15</v>
      </c>
      <c r="H140" s="72" t="str">
        <f>IFERROR(INDEX(المدخلات!$AE$6:$AE$12,MATCH($C140,المدخلات!$AC$6:$AC$12,0)),"")</f>
        <v>قانوني</v>
      </c>
      <c r="I140" s="74">
        <f t="shared" si="1"/>
        <v>7</v>
      </c>
      <c r="J140" s="74">
        <f>ROUNDUP($I140/IFERROR(INDEX(المدخلات!$AJ$6:$AJ$12,MATCH($C140,المدخلات!$AC$6:$AC$12,0)),1),0)</f>
        <v>3</v>
      </c>
      <c r="K140" s="74">
        <f>ROUNDUP($J140/IFERROR(INDEX(المدخلات!$AF$6:$AF$12,MATCH($C140,المدخلات!$AC$6:$AC$12,0)),1),0)</f>
        <v>3</v>
      </c>
    </row>
    <row r="141" spans="2:11">
      <c r="B141" s="77" t="str">
        <f>'عدد اللاعبين'!B130</f>
        <v>جازان</v>
      </c>
      <c r="C141" s="72" t="str">
        <f>'عدد اللاعبين'!C130</f>
        <v>تحت 14</v>
      </c>
      <c r="D141" s="72" t="str">
        <f>IFERROR(INDEX(المدخلات!$AD$6:$AD$12,MATCH($C141,المدخلات!$AC$6:$AC$12,0)),"")</f>
        <v>الأربعاء</v>
      </c>
      <c r="E141" s="72" t="str">
        <f>'عدد اللاعبين'!D130</f>
        <v>مجموعة صبيا</v>
      </c>
      <c r="F141" s="73" t="str">
        <f>'عدد اللاعبين'!F130</f>
        <v>أبها، خميس مشيط</v>
      </c>
      <c r="G141" s="74">
        <f>'عدد اللاعبين'!G130</f>
        <v>15</v>
      </c>
      <c r="H141" s="72" t="str">
        <f>IFERROR(INDEX(المدخلات!$AE$6:$AE$12,MATCH($C141,المدخلات!$AC$6:$AC$12,0)),"")</f>
        <v>قانوني</v>
      </c>
      <c r="I141" s="74">
        <f t="shared" si="1"/>
        <v>7</v>
      </c>
      <c r="J141" s="74">
        <f>ROUNDUP($I141/IFERROR(INDEX(المدخلات!$AJ$6:$AJ$12,MATCH($C141,المدخلات!$AC$6:$AC$12,0)),1),0)</f>
        <v>3</v>
      </c>
      <c r="K141" s="74">
        <f>ROUNDUP($J141/IFERROR(INDEX(المدخلات!$AF$6:$AF$12,MATCH($C141,المدخلات!$AC$6:$AC$12,0)),1),0)</f>
        <v>3</v>
      </c>
    </row>
    <row r="142" spans="2:11">
      <c r="B142" s="77" t="str">
        <f>'عدد اللاعبين'!B131</f>
        <v>الشرقية</v>
      </c>
      <c r="C142" s="72" t="str">
        <f>'عدد اللاعبين'!C131</f>
        <v>تحت 9</v>
      </c>
      <c r="D142" s="72" t="str">
        <f>IFERROR(INDEX(المدخلات!$AD$6:$AD$12,MATCH($C142,المدخلات!$AC$6:$AC$12,0)),"")</f>
        <v>السبت</v>
      </c>
      <c r="E142" s="72" t="str">
        <f>'عدد اللاعبين'!D131</f>
        <v>مجموعة الخفجي</v>
      </c>
      <c r="F142" s="73" t="str">
        <f>'عدد اللاعبين'!F131</f>
        <v>الخفجي</v>
      </c>
      <c r="G142" s="74">
        <f>'عدد اللاعبين'!G131</f>
        <v>15</v>
      </c>
      <c r="H142" s="72" t="str">
        <f>IFERROR(INDEX(المدخلات!$AE$6:$AE$12,MATCH($C142,المدخلات!$AC$6:$AC$12,0)),"")</f>
        <v>7 ضد 7</v>
      </c>
      <c r="I142" s="74">
        <f t="shared" ref="I142:I204" si="2">IF($G142&lt;الحد_الأدنى,0,ROUNDDOWN($G142/فرق_المباراة,0))</f>
        <v>7</v>
      </c>
      <c r="J142" s="74">
        <f>ROUNDUP($I142/IFERROR(INDEX(المدخلات!$AJ$6:$AJ$12,MATCH($C142,المدخلات!$AC$6:$AC$12,0)),1),0)</f>
        <v>3</v>
      </c>
      <c r="K142" s="74">
        <f>ROUNDUP($J142/IFERROR(INDEX(المدخلات!$AF$6:$AF$12,MATCH($C142,المدخلات!$AC$6:$AC$12,0)),1),0)</f>
        <v>2</v>
      </c>
    </row>
    <row r="143" spans="2:11">
      <c r="B143" s="77" t="str">
        <f>'عدد اللاعبين'!B132</f>
        <v>القصيم</v>
      </c>
      <c r="C143" s="72" t="str">
        <f>'عدد اللاعبين'!C132</f>
        <v>تحت 9</v>
      </c>
      <c r="D143" s="72" t="str">
        <f>IFERROR(INDEX(المدخلات!$AD$6:$AD$12,MATCH($C143,المدخلات!$AC$6:$AC$12,0)),"")</f>
        <v>السبت</v>
      </c>
      <c r="E143" s="72" t="str">
        <f>'عدد اللاعبين'!D132</f>
        <v>مجموعة القصيم</v>
      </c>
      <c r="F143" s="73" t="str">
        <f>'عدد اللاعبين'!F132</f>
        <v>مكة المكرمة</v>
      </c>
      <c r="G143" s="74">
        <f>'عدد اللاعبين'!G132</f>
        <v>15</v>
      </c>
      <c r="H143" s="72" t="str">
        <f>IFERROR(INDEX(المدخلات!$AE$6:$AE$12,MATCH($C143,المدخلات!$AC$6:$AC$12,0)),"")</f>
        <v>7 ضد 7</v>
      </c>
      <c r="I143" s="74">
        <f t="shared" si="2"/>
        <v>7</v>
      </c>
      <c r="J143" s="74">
        <f>ROUNDUP($I143/IFERROR(INDEX(المدخلات!$AJ$6:$AJ$12,MATCH($C143,المدخلات!$AC$6:$AC$12,0)),1),0)</f>
        <v>3</v>
      </c>
      <c r="K143" s="74">
        <f>ROUNDUP($J143/IFERROR(INDEX(المدخلات!$AF$6:$AF$12,MATCH($C143,المدخلات!$AC$6:$AC$12,0)),1),0)</f>
        <v>2</v>
      </c>
    </row>
    <row r="144" spans="2:11">
      <c r="B144" s="77" t="str">
        <f>'عدد اللاعبين'!B133</f>
        <v>الشرقية</v>
      </c>
      <c r="C144" s="72" t="str">
        <f>'عدد اللاعبين'!C133</f>
        <v>تحت 11</v>
      </c>
      <c r="D144" s="72" t="str">
        <f>IFERROR(INDEX(المدخلات!$AD$6:$AD$12,MATCH($C144,المدخلات!$AC$6:$AC$12,0)),"")</f>
        <v>الأحد</v>
      </c>
      <c r="E144" s="72" t="str">
        <f>'عدد اللاعبين'!D133</f>
        <v>مجموعة الخفجي</v>
      </c>
      <c r="F144" s="73" t="str">
        <f>'عدد اللاعبين'!F133</f>
        <v>صبيا، ضمد</v>
      </c>
      <c r="G144" s="74">
        <f>'عدد اللاعبين'!G133</f>
        <v>15</v>
      </c>
      <c r="H144" s="72" t="str">
        <f>IFERROR(INDEX(المدخلات!$AE$6:$AE$12,MATCH($C144,المدخلات!$AC$6:$AC$12,0)),"")</f>
        <v>7 ضد 7</v>
      </c>
      <c r="I144" s="74">
        <f t="shared" si="2"/>
        <v>7</v>
      </c>
      <c r="J144" s="74">
        <f>ROUNDUP($I144/IFERROR(INDEX(المدخلات!$AJ$6:$AJ$12,MATCH($C144,المدخلات!$AC$6:$AC$12,0)),1),0)</f>
        <v>2</v>
      </c>
      <c r="K144" s="74">
        <f>ROUNDUP($J144/IFERROR(INDEX(المدخلات!$AF$6:$AF$12,MATCH($C144,المدخلات!$AC$6:$AC$12,0)),1),0)</f>
        <v>1</v>
      </c>
    </row>
    <row r="145" spans="2:11">
      <c r="B145" s="77" t="str">
        <f>'عدد اللاعبين'!B134</f>
        <v>مكة المكرمة</v>
      </c>
      <c r="C145" s="72" t="str">
        <f>'عدد اللاعبين'!C134</f>
        <v>تحت 11</v>
      </c>
      <c r="D145" s="72" t="str">
        <f>IFERROR(INDEX(المدخلات!$AD$6:$AD$12,MATCH($C145,المدخلات!$AC$6:$AC$12,0)),"")</f>
        <v>الأحد</v>
      </c>
      <c r="E145" s="72" t="str">
        <f>'عدد اللاعبين'!D134</f>
        <v>مجموعة الطائف</v>
      </c>
      <c r="F145" s="73" t="str">
        <f>'عدد اللاعبين'!F134</f>
        <v>القطيف، الجبيل</v>
      </c>
      <c r="G145" s="74">
        <f>'عدد اللاعبين'!G134</f>
        <v>15</v>
      </c>
      <c r="H145" s="72" t="str">
        <f>IFERROR(INDEX(المدخلات!$AE$6:$AE$12,MATCH($C145,المدخلات!$AC$6:$AC$12,0)),"")</f>
        <v>7 ضد 7</v>
      </c>
      <c r="I145" s="74">
        <f t="shared" si="2"/>
        <v>7</v>
      </c>
      <c r="J145" s="74">
        <f>ROUNDUP($I145/IFERROR(INDEX(المدخلات!$AJ$6:$AJ$12,MATCH($C145,المدخلات!$AC$6:$AC$12,0)),1),0)</f>
        <v>2</v>
      </c>
      <c r="K145" s="74">
        <f>ROUNDUP($J145/IFERROR(INDEX(المدخلات!$AF$6:$AF$12,MATCH($C145,المدخلات!$AC$6:$AC$12,0)),1),0)</f>
        <v>1</v>
      </c>
    </row>
    <row r="146" spans="2:11">
      <c r="B146" s="77" t="str">
        <f>'عدد اللاعبين'!B135</f>
        <v>عسير</v>
      </c>
      <c r="C146" s="72" t="str">
        <f>'عدد اللاعبين'!C135</f>
        <v>تحت 12</v>
      </c>
      <c r="D146" s="72" t="str">
        <f>IFERROR(INDEX(المدخلات!$AD$6:$AD$12,MATCH($C146,المدخلات!$AC$6:$AC$12,0)),"")</f>
        <v>الاثنين</v>
      </c>
      <c r="E146" s="72" t="str">
        <f>'عدد اللاعبين'!D135</f>
        <v>مجموعة أبها</v>
      </c>
      <c r="F146" s="73" t="str">
        <f>'عدد اللاعبين'!F135</f>
        <v>سكاكا، دومة الجندل</v>
      </c>
      <c r="G146" s="74">
        <f>'عدد اللاعبين'!G135</f>
        <v>15</v>
      </c>
      <c r="H146" s="72" t="str">
        <f>IFERROR(INDEX(المدخلات!$AE$6:$AE$12,MATCH($C146,المدخلات!$AC$6:$AC$12,0)),"")</f>
        <v>7 ضد 7</v>
      </c>
      <c r="I146" s="74">
        <f t="shared" si="2"/>
        <v>7</v>
      </c>
      <c r="J146" s="74">
        <f>ROUNDUP($I146/IFERROR(INDEX(المدخلات!$AJ$6:$AJ$12,MATCH($C146,المدخلات!$AC$6:$AC$12,0)),1),0)</f>
        <v>2</v>
      </c>
      <c r="K146" s="74">
        <f>ROUNDUP($J146/IFERROR(INDEX(المدخلات!$AF$6:$AF$12,MATCH($C146,المدخلات!$AC$6:$AC$12,0)),1),0)</f>
        <v>1</v>
      </c>
    </row>
    <row r="147" spans="2:11">
      <c r="B147" s="77" t="str">
        <f>'عدد اللاعبين'!B136</f>
        <v>الشرقية</v>
      </c>
      <c r="C147" s="72" t="str">
        <f>'عدد اللاعبين'!C136</f>
        <v>تحت 12</v>
      </c>
      <c r="D147" s="72" t="str">
        <f>IFERROR(INDEX(المدخلات!$AD$6:$AD$12,MATCH($C147,المدخلات!$AC$6:$AC$12,0)),"")</f>
        <v>الاثنين</v>
      </c>
      <c r="E147" s="72" t="str">
        <f>'عدد اللاعبين'!D136</f>
        <v>مجموعة الخفجي</v>
      </c>
      <c r="F147" s="73" t="str">
        <f>'عدد اللاعبين'!F136</f>
        <v>الطائف</v>
      </c>
      <c r="G147" s="74">
        <f>'عدد اللاعبين'!G136</f>
        <v>15</v>
      </c>
      <c r="H147" s="72" t="str">
        <f>IFERROR(INDEX(المدخلات!$AE$6:$AE$12,MATCH($C147,المدخلات!$AC$6:$AC$12,0)),"")</f>
        <v>7 ضد 7</v>
      </c>
      <c r="I147" s="74">
        <f t="shared" si="2"/>
        <v>7</v>
      </c>
      <c r="J147" s="74">
        <f>ROUNDUP($I147/IFERROR(INDEX(المدخلات!$AJ$6:$AJ$12,MATCH($C147,المدخلات!$AC$6:$AC$12,0)),1),0)</f>
        <v>2</v>
      </c>
      <c r="K147" s="74">
        <f>ROUNDUP($J147/IFERROR(INDEX(المدخلات!$AF$6:$AF$12,MATCH($C147,المدخلات!$AC$6:$AC$12,0)),1),0)</f>
        <v>1</v>
      </c>
    </row>
    <row r="148" spans="2:11">
      <c r="B148" s="77" t="str">
        <f>'عدد اللاعبين'!B137</f>
        <v>عسير</v>
      </c>
      <c r="C148" s="72" t="str">
        <f>'عدد اللاعبين'!C137</f>
        <v>تحت 14</v>
      </c>
      <c r="D148" s="72" t="str">
        <f>IFERROR(INDEX(المدخلات!$AD$6:$AD$12,MATCH($C148,المدخلات!$AC$6:$AC$12,0)),"")</f>
        <v>الأربعاء</v>
      </c>
      <c r="E148" s="72" t="str">
        <f>'عدد اللاعبين'!D137</f>
        <v>مجموعة أبها</v>
      </c>
      <c r="F148" s="73" t="str">
        <f>'عدد اللاعبين'!F137</f>
        <v>بريدة، عيون الجواء، المذنب، عنيزة</v>
      </c>
      <c r="G148" s="74">
        <f>'عدد اللاعبين'!G137</f>
        <v>16</v>
      </c>
      <c r="H148" s="72" t="str">
        <f>IFERROR(INDEX(المدخلات!$AE$6:$AE$12,MATCH($C148,المدخلات!$AC$6:$AC$12,0)),"")</f>
        <v>قانوني</v>
      </c>
      <c r="I148" s="74">
        <f t="shared" si="2"/>
        <v>8</v>
      </c>
      <c r="J148" s="74">
        <f>ROUNDUP($I148/IFERROR(INDEX(المدخلات!$AJ$6:$AJ$12,MATCH($C148,المدخلات!$AC$6:$AC$12,0)),1),0)</f>
        <v>3</v>
      </c>
      <c r="K148" s="74">
        <f>ROUNDUP($J148/IFERROR(INDEX(المدخلات!$AF$6:$AF$12,MATCH($C148,المدخلات!$AC$6:$AC$12,0)),1),0)</f>
        <v>3</v>
      </c>
    </row>
    <row r="149" spans="2:11">
      <c r="B149" s="77" t="str">
        <f>'عدد اللاعبين'!B138</f>
        <v>الشرقية</v>
      </c>
      <c r="C149" s="72" t="str">
        <f>'عدد اللاعبين'!C138</f>
        <v>تحت 14</v>
      </c>
      <c r="D149" s="72" t="str">
        <f>IFERROR(INDEX(المدخلات!$AD$6:$AD$12,MATCH($C149,المدخلات!$AC$6:$AC$12,0)),"")</f>
        <v>الأربعاء</v>
      </c>
      <c r="E149" s="72" t="str">
        <f>'عدد اللاعبين'!D138</f>
        <v>مجموعة الخفجي</v>
      </c>
      <c r="F149" s="73" t="str">
        <f>'عدد اللاعبين'!F138</f>
        <v>القطيف، الجبيل</v>
      </c>
      <c r="G149" s="74">
        <f>'عدد اللاعبين'!G138</f>
        <v>16</v>
      </c>
      <c r="H149" s="72" t="str">
        <f>IFERROR(INDEX(المدخلات!$AE$6:$AE$12,MATCH($C149,المدخلات!$AC$6:$AC$12,0)),"")</f>
        <v>قانوني</v>
      </c>
      <c r="I149" s="74">
        <f t="shared" si="2"/>
        <v>8</v>
      </c>
      <c r="J149" s="74">
        <f>ROUNDUP($I149/IFERROR(INDEX(المدخلات!$AJ$6:$AJ$12,MATCH($C149,المدخلات!$AC$6:$AC$12,0)),1),0)</f>
        <v>3</v>
      </c>
      <c r="K149" s="74">
        <f>ROUNDUP($J149/IFERROR(INDEX(المدخلات!$AF$6:$AF$12,MATCH($C149,المدخلات!$AC$6:$AC$12,0)),1),0)</f>
        <v>3</v>
      </c>
    </row>
    <row r="150" spans="2:11">
      <c r="B150" s="77" t="str">
        <f>'عدد اللاعبين'!B139</f>
        <v>مكة المكرمة</v>
      </c>
      <c r="C150" s="72" t="str">
        <f>'عدد اللاعبين'!C139</f>
        <v>تحت 5</v>
      </c>
      <c r="D150" s="72" t="str">
        <f>IFERROR(INDEX(المدخلات!$AD$6:$AD$12,MATCH($C150,المدخلات!$AC$6:$AC$12,0)),"")</f>
        <v>السبت</v>
      </c>
      <c r="E150" s="72" t="str">
        <f>'عدد اللاعبين'!D139</f>
        <v>مجموعة مكة المكرمة</v>
      </c>
      <c r="F150" s="73" t="str">
        <f>'عدد اللاعبين'!F139</f>
        <v>صبيا، ضمد</v>
      </c>
      <c r="G150" s="74">
        <f>'عدد اللاعبين'!G139</f>
        <v>16</v>
      </c>
      <c r="H150" s="72" t="str">
        <f>IFERROR(INDEX(المدخلات!$AE$6:$AE$12,MATCH($C150,المدخلات!$AC$6:$AC$12,0)),"")</f>
        <v>5 ضد 5</v>
      </c>
      <c r="I150" s="74">
        <f t="shared" si="2"/>
        <v>8</v>
      </c>
      <c r="J150" s="74">
        <f>ROUNDUP($I150/IFERROR(INDEX(المدخلات!$AJ$6:$AJ$12,MATCH($C150,المدخلات!$AC$6:$AC$12,0)),1),0)</f>
        <v>3</v>
      </c>
      <c r="K150" s="74">
        <f>ROUNDUP($J150/IFERROR(INDEX(المدخلات!$AF$6:$AF$12,MATCH($C150,المدخلات!$AC$6:$AC$12,0)),1),0)</f>
        <v>1</v>
      </c>
    </row>
    <row r="151" spans="2:11">
      <c r="B151" s="77" t="str">
        <f>'عدد اللاعبين'!B140</f>
        <v>جازان</v>
      </c>
      <c r="C151" s="72" t="str">
        <f>'عدد اللاعبين'!C140</f>
        <v>تحت 7</v>
      </c>
      <c r="D151" s="72" t="str">
        <f>IFERROR(INDEX(المدخلات!$AD$6:$AD$12,MATCH($C151,المدخلات!$AC$6:$AC$12,0)),"")</f>
        <v>السبت</v>
      </c>
      <c r="E151" s="72" t="str">
        <f>'عدد اللاعبين'!D140</f>
        <v>مجموعة صبيا</v>
      </c>
      <c r="F151" s="73" t="str">
        <f>'عدد اللاعبين'!F140</f>
        <v>الطائف</v>
      </c>
      <c r="G151" s="74">
        <f>'عدد اللاعبين'!G140</f>
        <v>16</v>
      </c>
      <c r="H151" s="72" t="str">
        <f>IFERROR(INDEX(المدخلات!$AE$6:$AE$12,MATCH($C151,المدخلات!$AC$6:$AC$12,0)),"")</f>
        <v>7 ضد 7</v>
      </c>
      <c r="I151" s="74">
        <f t="shared" si="2"/>
        <v>8</v>
      </c>
      <c r="J151" s="74">
        <f>ROUNDUP($I151/IFERROR(INDEX(المدخلات!$AJ$6:$AJ$12,MATCH($C151,المدخلات!$AC$6:$AC$12,0)),1),0)</f>
        <v>3</v>
      </c>
      <c r="K151" s="74">
        <f>ROUNDUP($J151/IFERROR(INDEX(المدخلات!$AF$6:$AF$12,MATCH($C151,المدخلات!$AC$6:$AC$12,0)),1),0)</f>
        <v>2</v>
      </c>
    </row>
    <row r="152" spans="2:11">
      <c r="B152" s="77" t="str">
        <f>'عدد اللاعبين'!B141</f>
        <v>الشرقية</v>
      </c>
      <c r="C152" s="72" t="str">
        <f>'عدد اللاعبين'!C141</f>
        <v>تحت 9</v>
      </c>
      <c r="D152" s="72" t="str">
        <f>IFERROR(INDEX(المدخلات!$AD$6:$AD$12,MATCH($C152,المدخلات!$AC$6:$AC$12,0)),"")</f>
        <v>السبت</v>
      </c>
      <c r="E152" s="72" t="str">
        <f>'عدد اللاعبين'!D141</f>
        <v>مجموعة القطيف</v>
      </c>
      <c r="F152" s="73" t="str">
        <f>'عدد اللاعبين'!F141</f>
        <v>صبيا، ضمد</v>
      </c>
      <c r="G152" s="74">
        <f>'عدد اللاعبين'!G141</f>
        <v>16</v>
      </c>
      <c r="H152" s="72" t="str">
        <f>IFERROR(INDEX(المدخلات!$AE$6:$AE$12,MATCH($C152,المدخلات!$AC$6:$AC$12,0)),"")</f>
        <v>7 ضد 7</v>
      </c>
      <c r="I152" s="74">
        <f t="shared" si="2"/>
        <v>8</v>
      </c>
      <c r="J152" s="74">
        <f>ROUNDUP($I152/IFERROR(INDEX(المدخلات!$AJ$6:$AJ$12,MATCH($C152,المدخلات!$AC$6:$AC$12,0)),1),0)</f>
        <v>3</v>
      </c>
      <c r="K152" s="74">
        <f>ROUNDUP($J152/IFERROR(INDEX(المدخلات!$AF$6:$AF$12,MATCH($C152,المدخلات!$AC$6:$AC$12,0)),1),0)</f>
        <v>2</v>
      </c>
    </row>
    <row r="153" spans="2:11" hidden="1">
      <c r="B153" s="77" t="str">
        <f>'عدد اللاعبين'!B142</f>
        <v>الجوف</v>
      </c>
      <c r="C153" s="72" t="str">
        <f>'عدد اللاعبين'!C142</f>
        <v>تحت 9</v>
      </c>
      <c r="D153" s="72" t="str">
        <f>IFERROR(INDEX(المدخلات!$AD$6:$AD$12,MATCH($C153,المدخلات!$AC$6:$AC$12,0)),"")</f>
        <v>السبت</v>
      </c>
      <c r="E153" s="72" t="str">
        <f>'عدد اللاعبين'!D142</f>
        <v>مجموعة سكاكا</v>
      </c>
      <c r="F153" s="73" t="str">
        <f>'عدد اللاعبين'!F142</f>
        <v>الخفجي</v>
      </c>
      <c r="G153" s="74">
        <f>'عدد اللاعبين'!G142</f>
        <v>16</v>
      </c>
      <c r="H153" s="72" t="str">
        <f>IFERROR(INDEX(المدخلات!$AE$6:$AE$12,MATCH($C153,المدخلات!$AC$6:$AC$12,0)),"")</f>
        <v>7 ضد 7</v>
      </c>
      <c r="I153" s="74">
        <f t="shared" si="2"/>
        <v>8</v>
      </c>
      <c r="J153" s="74">
        <f>ROUNDUP($I153/IFERROR(INDEX(المدخلات!$AJ$6:$AJ$12,MATCH($C153,المدخلات!$AC$6:$AC$12,0)),1),0)</f>
        <v>3</v>
      </c>
      <c r="K153" s="74">
        <f>ROUNDUP($J153/IFERROR(INDEX(المدخلات!$AF$6:$AF$12,MATCH($C153,المدخلات!$AC$6:$AC$12,0)),1),0)</f>
        <v>2</v>
      </c>
    </row>
    <row r="154" spans="2:11" hidden="1">
      <c r="B154" s="77" t="str">
        <f>'عدد اللاعبين'!B143</f>
        <v>مكة المكرمة</v>
      </c>
      <c r="C154" s="72" t="str">
        <f>'عدد اللاعبين'!C143</f>
        <v>تحت 9</v>
      </c>
      <c r="D154" s="72" t="str">
        <f>IFERROR(INDEX(المدخلات!$AD$6:$AD$12,MATCH($C154,المدخلات!$AC$6:$AC$12,0)),"")</f>
        <v>السبت</v>
      </c>
      <c r="E154" s="72" t="str">
        <f>'عدد اللاعبين'!D143</f>
        <v>مجموعة الطائف</v>
      </c>
      <c r="F154" s="73" t="str">
        <f>'عدد اللاعبين'!F143</f>
        <v>الطائف</v>
      </c>
      <c r="G154" s="74">
        <f>'عدد اللاعبين'!G143</f>
        <v>16</v>
      </c>
      <c r="H154" s="72" t="str">
        <f>IFERROR(INDEX(المدخلات!$AE$6:$AE$12,MATCH($C154,المدخلات!$AC$6:$AC$12,0)),"")</f>
        <v>7 ضد 7</v>
      </c>
      <c r="I154" s="74">
        <f t="shared" si="2"/>
        <v>8</v>
      </c>
      <c r="J154" s="74">
        <f>ROUNDUP($I154/IFERROR(INDEX(المدخلات!$AJ$6:$AJ$12,MATCH($C154,المدخلات!$AC$6:$AC$12,0)),1),0)</f>
        <v>3</v>
      </c>
      <c r="K154" s="74">
        <f>ROUNDUP($J154/IFERROR(INDEX(المدخلات!$AF$6:$AF$12,MATCH($C154,المدخلات!$AC$6:$AC$12,0)),1),0)</f>
        <v>2</v>
      </c>
    </row>
    <row r="155" spans="2:11" hidden="1">
      <c r="B155" s="77" t="str">
        <f>'عدد اللاعبين'!B144</f>
        <v>القصيم</v>
      </c>
      <c r="C155" s="72" t="str">
        <f>'عدد اللاعبين'!C144</f>
        <v>تحت 11</v>
      </c>
      <c r="D155" s="72" t="str">
        <f>IFERROR(INDEX(المدخلات!$AD$6:$AD$12,MATCH($C155,المدخلات!$AC$6:$AC$12,0)),"")</f>
        <v>الأحد</v>
      </c>
      <c r="E155" s="72" t="str">
        <f>'عدد اللاعبين'!D144</f>
        <v>مجموعة القصيم</v>
      </c>
      <c r="F155" s="73" t="str">
        <f>'عدد اللاعبين'!F144</f>
        <v>المدينة المنورة</v>
      </c>
      <c r="G155" s="74">
        <f>'عدد اللاعبين'!G144</f>
        <v>16</v>
      </c>
      <c r="H155" s="72" t="str">
        <f>IFERROR(INDEX(المدخلات!$AE$6:$AE$12,MATCH($C155,المدخلات!$AC$6:$AC$12,0)),"")</f>
        <v>7 ضد 7</v>
      </c>
      <c r="I155" s="74">
        <f t="shared" si="2"/>
        <v>8</v>
      </c>
      <c r="J155" s="74">
        <f>ROUNDUP($I155/IFERROR(INDEX(المدخلات!$AJ$6:$AJ$12,MATCH($C155,المدخلات!$AC$6:$AC$12,0)),1),0)</f>
        <v>2</v>
      </c>
      <c r="K155" s="74">
        <f>ROUNDUP($J155/IFERROR(INDEX(المدخلات!$AF$6:$AF$12,MATCH($C155,المدخلات!$AC$6:$AC$12,0)),1),0)</f>
        <v>1</v>
      </c>
    </row>
    <row r="156" spans="2:11" hidden="1">
      <c r="B156" s="77" t="str">
        <f>'عدد اللاعبين'!B145</f>
        <v>الشرقية</v>
      </c>
      <c r="C156" s="72" t="str">
        <f>'عدد اللاعبين'!C145</f>
        <v>تحت 11</v>
      </c>
      <c r="D156" s="72" t="str">
        <f>IFERROR(INDEX(المدخلات!$AD$6:$AD$12,MATCH($C156,المدخلات!$AC$6:$AC$12,0)),"")</f>
        <v>الأحد</v>
      </c>
      <c r="E156" s="72" t="str">
        <f>'عدد اللاعبين'!D145</f>
        <v>مجموعة القطيف</v>
      </c>
      <c r="F156" s="73" t="str">
        <f>'عدد اللاعبين'!F145</f>
        <v>حفر الباطن</v>
      </c>
      <c r="G156" s="74">
        <f>'عدد اللاعبين'!G145</f>
        <v>16</v>
      </c>
      <c r="H156" s="72" t="str">
        <f>IFERROR(INDEX(المدخلات!$AE$6:$AE$12,MATCH($C156,المدخلات!$AC$6:$AC$12,0)),"")</f>
        <v>7 ضد 7</v>
      </c>
      <c r="I156" s="74">
        <f t="shared" si="2"/>
        <v>8</v>
      </c>
      <c r="J156" s="74">
        <f>ROUNDUP($I156/IFERROR(INDEX(المدخلات!$AJ$6:$AJ$12,MATCH($C156,المدخلات!$AC$6:$AC$12,0)),1),0)</f>
        <v>2</v>
      </c>
      <c r="K156" s="74">
        <f>ROUNDUP($J156/IFERROR(INDEX(المدخلات!$AF$6:$AF$12,MATCH($C156,المدخلات!$AC$6:$AC$12,0)),1),0)</f>
        <v>1</v>
      </c>
    </row>
    <row r="157" spans="2:11" hidden="1">
      <c r="B157" s="77" t="str">
        <f>'عدد اللاعبين'!B146</f>
        <v>جازان</v>
      </c>
      <c r="C157" s="72" t="str">
        <f>'عدد اللاعبين'!C146</f>
        <v>تحت 11</v>
      </c>
      <c r="D157" s="72" t="str">
        <f>IFERROR(INDEX(المدخلات!$AD$6:$AD$12,MATCH($C157,المدخلات!$AC$6:$AC$12,0)),"")</f>
        <v>الأحد</v>
      </c>
      <c r="E157" s="72" t="str">
        <f>'عدد اللاعبين'!D146</f>
        <v>مجموعة صبيا</v>
      </c>
      <c r="F157" s="73" t="str">
        <f>'عدد اللاعبين'!F146</f>
        <v>المدينة المنورة</v>
      </c>
      <c r="G157" s="74">
        <f>'عدد اللاعبين'!G146</f>
        <v>16</v>
      </c>
      <c r="H157" s="72" t="str">
        <f>IFERROR(INDEX(المدخلات!$AE$6:$AE$12,MATCH($C157,المدخلات!$AC$6:$AC$12,0)),"")</f>
        <v>7 ضد 7</v>
      </c>
      <c r="I157" s="74">
        <f t="shared" si="2"/>
        <v>8</v>
      </c>
      <c r="J157" s="74">
        <f>ROUNDUP($I157/IFERROR(INDEX(المدخلات!$AJ$6:$AJ$12,MATCH($C157,المدخلات!$AC$6:$AC$12,0)),1),0)</f>
        <v>2</v>
      </c>
      <c r="K157" s="74">
        <f>ROUNDUP($J157/IFERROR(INDEX(المدخلات!$AF$6:$AF$12,MATCH($C157,المدخلات!$AC$6:$AC$12,0)),1),0)</f>
        <v>1</v>
      </c>
    </row>
    <row r="158" spans="2:11" hidden="1">
      <c r="B158" s="77" t="str">
        <f>'عدد اللاعبين'!B147</f>
        <v>مكة المكرمة</v>
      </c>
      <c r="C158" s="72" t="str">
        <f>'عدد اللاعبين'!C147</f>
        <v>تحت 12</v>
      </c>
      <c r="D158" s="72" t="str">
        <f>IFERROR(INDEX(المدخلات!$AD$6:$AD$12,MATCH($C158,المدخلات!$AC$6:$AC$12,0)),"")</f>
        <v>الاثنين</v>
      </c>
      <c r="E158" s="72" t="str">
        <f>'عدد اللاعبين'!D147</f>
        <v>مجموعة الطائف</v>
      </c>
      <c r="F158" s="73" t="str">
        <f>'عدد اللاعبين'!F147</f>
        <v>الظهران، الخبر، الدمام، سيهات</v>
      </c>
      <c r="G158" s="74">
        <f>'عدد اللاعبين'!G147</f>
        <v>16</v>
      </c>
      <c r="H158" s="72" t="str">
        <f>IFERROR(INDEX(المدخلات!$AE$6:$AE$12,MATCH($C158,المدخلات!$AC$6:$AC$12,0)),"")</f>
        <v>7 ضد 7</v>
      </c>
      <c r="I158" s="74">
        <f t="shared" si="2"/>
        <v>8</v>
      </c>
      <c r="J158" s="74">
        <f>ROUNDUP($I158/IFERROR(INDEX(المدخلات!$AJ$6:$AJ$12,MATCH($C158,المدخلات!$AC$6:$AC$12,0)),1),0)</f>
        <v>2</v>
      </c>
      <c r="K158" s="74">
        <f>ROUNDUP($J158/IFERROR(INDEX(المدخلات!$AF$6:$AF$12,MATCH($C158,المدخلات!$AC$6:$AC$12,0)),1),0)</f>
        <v>1</v>
      </c>
    </row>
    <row r="159" spans="2:11" hidden="1">
      <c r="B159" s="77" t="str">
        <f>'عدد اللاعبين'!B148</f>
        <v>جازان</v>
      </c>
      <c r="C159" s="72" t="str">
        <f>'عدد اللاعبين'!C148</f>
        <v>تحت 12</v>
      </c>
      <c r="D159" s="72" t="str">
        <f>IFERROR(INDEX(المدخلات!$AD$6:$AD$12,MATCH($C159,المدخلات!$AC$6:$AC$12,0)),"")</f>
        <v>الاثنين</v>
      </c>
      <c r="E159" s="72" t="str">
        <f>'عدد اللاعبين'!D148</f>
        <v>مجموعة صبيا</v>
      </c>
      <c r="F159" s="73" t="str">
        <f>'عدد اللاعبين'!F148</f>
        <v>صبيا، ضمد</v>
      </c>
      <c r="G159" s="74">
        <f>'عدد اللاعبين'!G148</f>
        <v>16</v>
      </c>
      <c r="H159" s="72" t="str">
        <f>IFERROR(INDEX(المدخلات!$AE$6:$AE$12,MATCH($C159,المدخلات!$AC$6:$AC$12,0)),"")</f>
        <v>7 ضد 7</v>
      </c>
      <c r="I159" s="74">
        <f t="shared" si="2"/>
        <v>8</v>
      </c>
      <c r="J159" s="74">
        <f>ROUNDUP($I159/IFERROR(INDEX(المدخلات!$AJ$6:$AJ$12,MATCH($C159,المدخلات!$AC$6:$AC$12,0)),1),0)</f>
        <v>2</v>
      </c>
      <c r="K159" s="74">
        <f>ROUNDUP($J159/IFERROR(INDEX(المدخلات!$AF$6:$AF$12,MATCH($C159,المدخلات!$AC$6:$AC$12,0)),1),0)</f>
        <v>1</v>
      </c>
    </row>
    <row r="160" spans="2:11" hidden="1">
      <c r="B160" s="77" t="str">
        <f>'عدد اللاعبين'!B149</f>
        <v>الشرقية</v>
      </c>
      <c r="C160" s="72" t="str">
        <f>'عدد اللاعبين'!C149</f>
        <v>تحت 13</v>
      </c>
      <c r="D160" s="72" t="str">
        <f>IFERROR(INDEX(المدخلات!$AD$6:$AD$12,MATCH($C160,المدخلات!$AC$6:$AC$12,0)),"")</f>
        <v>الخميس</v>
      </c>
      <c r="E160" s="72" t="str">
        <f>'عدد اللاعبين'!D149</f>
        <v>مجموعة الخفجي</v>
      </c>
      <c r="F160" s="73" t="str">
        <f>'عدد اللاعبين'!F149</f>
        <v>حفر الباطن</v>
      </c>
      <c r="G160" s="74">
        <f>'عدد اللاعبين'!G149</f>
        <v>17</v>
      </c>
      <c r="H160" s="72" t="str">
        <f>IFERROR(INDEX(المدخلات!$AE$6:$AE$12,MATCH($C160,المدخلات!$AC$6:$AC$12,0)),"")</f>
        <v>قانوني</v>
      </c>
      <c r="I160" s="74">
        <f t="shared" si="2"/>
        <v>8</v>
      </c>
      <c r="J160" s="74">
        <f>ROUNDUP($I160/IFERROR(INDEX(المدخلات!$AJ$6:$AJ$12,MATCH($C160,المدخلات!$AC$6:$AC$12,0)),1),0)</f>
        <v>3</v>
      </c>
      <c r="K160" s="74">
        <f>ROUNDUP($J160/IFERROR(INDEX(المدخلات!$AF$6:$AF$12,MATCH($C160,المدخلات!$AC$6:$AC$12,0)),1),0)</f>
        <v>3</v>
      </c>
    </row>
    <row r="161" spans="2:11" hidden="1">
      <c r="B161" s="77" t="str">
        <f>'عدد اللاعبين'!B150</f>
        <v>مكة المكرمة</v>
      </c>
      <c r="C161" s="72" t="str">
        <f>'عدد اللاعبين'!C150</f>
        <v>تحت 13</v>
      </c>
      <c r="D161" s="72" t="str">
        <f>IFERROR(INDEX(المدخلات!$AD$6:$AD$12,MATCH($C161,المدخلات!$AC$6:$AC$12,0)),"")</f>
        <v>الخميس</v>
      </c>
      <c r="E161" s="72" t="str">
        <f>'عدد اللاعبين'!D150</f>
        <v>مجموعة الطائف</v>
      </c>
      <c r="F161" s="73" t="str">
        <f>'عدد اللاعبين'!F150</f>
        <v>الطائف</v>
      </c>
      <c r="G161" s="74">
        <f>'عدد اللاعبين'!G150</f>
        <v>17</v>
      </c>
      <c r="H161" s="72" t="str">
        <f>IFERROR(INDEX(المدخلات!$AE$6:$AE$12,MATCH($C161,المدخلات!$AC$6:$AC$12,0)),"")</f>
        <v>قانوني</v>
      </c>
      <c r="I161" s="74">
        <f t="shared" si="2"/>
        <v>8</v>
      </c>
      <c r="J161" s="74">
        <f>ROUNDUP($I161/IFERROR(INDEX(المدخلات!$AJ$6:$AJ$12,MATCH($C161,المدخلات!$AC$6:$AC$12,0)),1),0)</f>
        <v>3</v>
      </c>
      <c r="K161" s="74">
        <f>ROUNDUP($J161/IFERROR(INDEX(المدخلات!$AF$6:$AF$12,MATCH($C161,المدخلات!$AC$6:$AC$12,0)),1),0)</f>
        <v>3</v>
      </c>
    </row>
    <row r="162" spans="2:11" hidden="1">
      <c r="B162" s="77" t="str">
        <f>'عدد اللاعبين'!B151</f>
        <v>المدينة المنورة</v>
      </c>
      <c r="C162" s="72" t="str">
        <f>'عدد اللاعبين'!C151</f>
        <v>تحت 14</v>
      </c>
      <c r="D162" s="72" t="str">
        <f>IFERROR(INDEX(المدخلات!$AD$6:$AD$12,MATCH($C162,المدخلات!$AC$6:$AC$12,0)),"")</f>
        <v>الأربعاء</v>
      </c>
      <c r="E162" s="72" t="str">
        <f>'عدد اللاعبين'!D151</f>
        <v>مجموعة المدينة المنورة</v>
      </c>
      <c r="F162" s="73" t="str">
        <f>'عدد اللاعبين'!F151</f>
        <v>الرياض</v>
      </c>
      <c r="G162" s="74">
        <f>'عدد اللاعبين'!G151</f>
        <v>17</v>
      </c>
      <c r="H162" s="72" t="str">
        <f>IFERROR(INDEX(المدخلات!$AE$6:$AE$12,MATCH($C162,المدخلات!$AC$6:$AC$12,0)),"")</f>
        <v>قانوني</v>
      </c>
      <c r="I162" s="74">
        <f t="shared" si="2"/>
        <v>8</v>
      </c>
      <c r="J162" s="74">
        <f>ROUNDUP($I162/IFERROR(INDEX(المدخلات!$AJ$6:$AJ$12,MATCH($C162,المدخلات!$AC$6:$AC$12,0)),1),0)</f>
        <v>3</v>
      </c>
      <c r="K162" s="74">
        <f>ROUNDUP($J162/IFERROR(INDEX(المدخلات!$AF$6:$AF$12,MATCH($C162,المدخلات!$AC$6:$AC$12,0)),1),0)</f>
        <v>3</v>
      </c>
    </row>
    <row r="163" spans="2:11" hidden="1">
      <c r="B163" s="77" t="str">
        <f>'عدد اللاعبين'!B152</f>
        <v>الشرقية</v>
      </c>
      <c r="C163" s="72" t="str">
        <f>'عدد اللاعبين'!C152</f>
        <v>تحت 5</v>
      </c>
      <c r="D163" s="72" t="str">
        <f>IFERROR(INDEX(المدخلات!$AD$6:$AD$12,MATCH($C163,المدخلات!$AC$6:$AC$12,0)),"")</f>
        <v>السبت</v>
      </c>
      <c r="E163" s="72" t="str">
        <f>'عدد اللاعبين'!D152</f>
        <v>مجموعة حفر الباطن</v>
      </c>
      <c r="F163" s="73" t="str">
        <f>'عدد اللاعبين'!F152</f>
        <v>حفر الباطن</v>
      </c>
      <c r="G163" s="74">
        <f>'عدد اللاعبين'!G152</f>
        <v>17</v>
      </c>
      <c r="H163" s="72" t="str">
        <f>IFERROR(INDEX(المدخلات!$AE$6:$AE$12,MATCH($C163,المدخلات!$AC$6:$AC$12,0)),"")</f>
        <v>5 ضد 5</v>
      </c>
      <c r="I163" s="74">
        <f t="shared" si="2"/>
        <v>8</v>
      </c>
      <c r="J163" s="74">
        <f>ROUNDUP($I163/IFERROR(INDEX(المدخلات!$AJ$6:$AJ$12,MATCH($C163,المدخلات!$AC$6:$AC$12,0)),1),0)</f>
        <v>3</v>
      </c>
      <c r="K163" s="74">
        <f>ROUNDUP($J163/IFERROR(INDEX(المدخلات!$AF$6:$AF$12,MATCH($C163,المدخلات!$AC$6:$AC$12,0)),1),0)</f>
        <v>1</v>
      </c>
    </row>
    <row r="164" spans="2:11" hidden="1">
      <c r="B164" s="77" t="str">
        <f>'عدد اللاعبين'!B153</f>
        <v>المدينة المنورة</v>
      </c>
      <c r="C164" s="72" t="str">
        <f>'عدد اللاعبين'!C153</f>
        <v>تحت 7</v>
      </c>
      <c r="D164" s="72" t="str">
        <f>IFERROR(INDEX(المدخلات!$AD$6:$AD$12,MATCH($C164,المدخلات!$AC$6:$AC$12,0)),"")</f>
        <v>السبت</v>
      </c>
      <c r="E164" s="72" t="str">
        <f>'عدد اللاعبين'!D153</f>
        <v>مجموعة المدينة المنورة</v>
      </c>
      <c r="F164" s="73" t="str">
        <f>'عدد اللاعبين'!F153</f>
        <v>القطيف، الجبيل</v>
      </c>
      <c r="G164" s="74">
        <f>'عدد اللاعبين'!G153</f>
        <v>18</v>
      </c>
      <c r="H164" s="72" t="str">
        <f>IFERROR(INDEX(المدخلات!$AE$6:$AE$12,MATCH($C164,المدخلات!$AC$6:$AC$12,0)),"")</f>
        <v>7 ضد 7</v>
      </c>
      <c r="I164" s="74">
        <f t="shared" si="2"/>
        <v>9</v>
      </c>
      <c r="J164" s="74">
        <f>ROUNDUP($I164/IFERROR(INDEX(المدخلات!$AJ$6:$AJ$12,MATCH($C164,المدخلات!$AC$6:$AC$12,0)),1),0)</f>
        <v>3</v>
      </c>
      <c r="K164" s="74">
        <f>ROUNDUP($J164/IFERROR(INDEX(المدخلات!$AF$6:$AF$12,MATCH($C164,المدخلات!$AC$6:$AC$12,0)),1),0)</f>
        <v>2</v>
      </c>
    </row>
    <row r="165" spans="2:11" hidden="1">
      <c r="B165" s="77" t="str">
        <f>'عدد اللاعبين'!B154</f>
        <v>الشرقية</v>
      </c>
      <c r="C165" s="72" t="str">
        <f>'عدد اللاعبين'!C154</f>
        <v>تحت 7</v>
      </c>
      <c r="D165" s="72" t="str">
        <f>IFERROR(INDEX(المدخلات!$AD$6:$AD$12,MATCH($C165,المدخلات!$AC$6:$AC$12,0)),"")</f>
        <v>السبت</v>
      </c>
      <c r="E165" s="72" t="str">
        <f>'عدد اللاعبين'!D154</f>
        <v>مجموعة الدمام</v>
      </c>
      <c r="F165" s="73" t="str">
        <f>'عدد اللاعبين'!F154</f>
        <v>الأحساء</v>
      </c>
      <c r="G165" s="74">
        <f>'عدد اللاعبين'!G154</f>
        <v>18</v>
      </c>
      <c r="H165" s="72" t="str">
        <f>IFERROR(INDEX(المدخلات!$AE$6:$AE$12,MATCH($C165,المدخلات!$AC$6:$AC$12,0)),"")</f>
        <v>7 ضد 7</v>
      </c>
      <c r="I165" s="74">
        <f t="shared" si="2"/>
        <v>9</v>
      </c>
      <c r="J165" s="74">
        <f>ROUNDUP($I165/IFERROR(INDEX(المدخلات!$AJ$6:$AJ$12,MATCH($C165,المدخلات!$AC$6:$AC$12,0)),1),0)</f>
        <v>3</v>
      </c>
      <c r="K165" s="74">
        <f>ROUNDUP($J165/IFERROR(INDEX(المدخلات!$AF$6:$AF$12,MATCH($C165,المدخلات!$AC$6:$AC$12,0)),1),0)</f>
        <v>2</v>
      </c>
    </row>
    <row r="166" spans="2:11" hidden="1">
      <c r="B166" s="77" t="str">
        <f>'عدد اللاعبين'!B155</f>
        <v>جازان</v>
      </c>
      <c r="C166" s="72" t="str">
        <f>'عدد اللاعبين'!C155</f>
        <v>تحت 9</v>
      </c>
      <c r="D166" s="72" t="str">
        <f>IFERROR(INDEX(المدخلات!$AD$6:$AD$12,MATCH($C166,المدخلات!$AC$6:$AC$12,0)),"")</f>
        <v>السبت</v>
      </c>
      <c r="E166" s="72" t="str">
        <f>'عدد اللاعبين'!D155</f>
        <v>مجموعة صبيا</v>
      </c>
      <c r="F166" s="73" t="str">
        <f>'عدد اللاعبين'!F155</f>
        <v>حفر الباطن</v>
      </c>
      <c r="G166" s="74">
        <f>'عدد اللاعبين'!G155</f>
        <v>19</v>
      </c>
      <c r="H166" s="72" t="str">
        <f>IFERROR(INDEX(المدخلات!$AE$6:$AE$12,MATCH($C166,المدخلات!$AC$6:$AC$12,0)),"")</f>
        <v>7 ضد 7</v>
      </c>
      <c r="I166" s="74">
        <f t="shared" si="2"/>
        <v>9</v>
      </c>
      <c r="J166" s="74">
        <f>ROUNDUP($I166/IFERROR(INDEX(المدخلات!$AJ$6:$AJ$12,MATCH($C166,المدخلات!$AC$6:$AC$12,0)),1),0)</f>
        <v>3</v>
      </c>
      <c r="K166" s="74">
        <f>ROUNDUP($J166/IFERROR(INDEX(المدخلات!$AF$6:$AF$12,MATCH($C166,المدخلات!$AC$6:$AC$12,0)),1),0)</f>
        <v>2</v>
      </c>
    </row>
    <row r="167" spans="2:11" hidden="1">
      <c r="B167" s="77" t="str">
        <f>'عدد اللاعبين'!B156</f>
        <v>الشرقية</v>
      </c>
      <c r="C167" s="72" t="str">
        <f>'عدد اللاعبين'!C156</f>
        <v>تحت 13</v>
      </c>
      <c r="D167" s="72" t="str">
        <f>IFERROR(INDEX(المدخلات!$AD$6:$AD$12,MATCH($C167,المدخلات!$AC$6:$AC$12,0)),"")</f>
        <v>الخميس</v>
      </c>
      <c r="E167" s="72" t="str">
        <f>'عدد اللاعبين'!D156</f>
        <v>مجموعة حفر الباطن</v>
      </c>
      <c r="F167" s="73" t="str">
        <f>'عدد اللاعبين'!F156</f>
        <v>حفر الباطن</v>
      </c>
      <c r="G167" s="74">
        <f>'عدد اللاعبين'!G156</f>
        <v>19</v>
      </c>
      <c r="H167" s="72" t="str">
        <f>IFERROR(INDEX(المدخلات!$AE$6:$AE$12,MATCH($C167,المدخلات!$AC$6:$AC$12,0)),"")</f>
        <v>قانوني</v>
      </c>
      <c r="I167" s="74">
        <f t="shared" si="2"/>
        <v>9</v>
      </c>
      <c r="J167" s="74">
        <f>ROUNDUP($I167/IFERROR(INDEX(المدخلات!$AJ$6:$AJ$12,MATCH($C167,المدخلات!$AC$6:$AC$12,0)),1),0)</f>
        <v>3</v>
      </c>
      <c r="K167" s="74">
        <f>ROUNDUP($J167/IFERROR(INDEX(المدخلات!$AF$6:$AF$12,MATCH($C167,المدخلات!$AC$6:$AC$12,0)),1),0)</f>
        <v>3</v>
      </c>
    </row>
    <row r="168" spans="2:11" hidden="1">
      <c r="B168" s="77" t="str">
        <f>'عدد اللاعبين'!B157</f>
        <v>مكة المكرمة</v>
      </c>
      <c r="C168" s="72" t="str">
        <f>'عدد اللاعبين'!C157</f>
        <v>تحت 14</v>
      </c>
      <c r="D168" s="72" t="str">
        <f>IFERROR(INDEX(المدخلات!$AD$6:$AD$12,MATCH($C168,المدخلات!$AC$6:$AC$12,0)),"")</f>
        <v>الأربعاء</v>
      </c>
      <c r="E168" s="72" t="str">
        <f>'عدد اللاعبين'!D157</f>
        <v>مجموعة الطائف</v>
      </c>
      <c r="F168" s="73" t="str">
        <f>'عدد اللاعبين'!F157</f>
        <v>حفر الباطن</v>
      </c>
      <c r="G168" s="74">
        <f>'عدد اللاعبين'!G157</f>
        <v>21</v>
      </c>
      <c r="H168" s="72" t="str">
        <f>IFERROR(INDEX(المدخلات!$AE$6:$AE$12,MATCH($C168,المدخلات!$AC$6:$AC$12,0)),"")</f>
        <v>قانوني</v>
      </c>
      <c r="I168" s="74">
        <f t="shared" si="2"/>
        <v>10</v>
      </c>
      <c r="J168" s="74">
        <f>ROUNDUP($I168/IFERROR(INDEX(المدخلات!$AJ$6:$AJ$12,MATCH($C168,المدخلات!$AC$6:$AC$12,0)),1),0)</f>
        <v>4</v>
      </c>
      <c r="K168" s="74">
        <f>ROUNDUP($J168/IFERROR(INDEX(المدخلات!$AF$6:$AF$12,MATCH($C168,المدخلات!$AC$6:$AC$12,0)),1),0)</f>
        <v>4</v>
      </c>
    </row>
    <row r="169" spans="2:11" hidden="1">
      <c r="B169" s="77" t="str">
        <f>'عدد اللاعبين'!B158</f>
        <v>الرياض</v>
      </c>
      <c r="C169" s="72" t="str">
        <f>'عدد اللاعبين'!C158</f>
        <v>تحت 5</v>
      </c>
      <c r="D169" s="72" t="str">
        <f>IFERROR(INDEX(المدخلات!$AD$6:$AD$12,MATCH($C169,المدخلات!$AC$6:$AC$12,0)),"")</f>
        <v>السبت</v>
      </c>
      <c r="E169" s="72" t="str">
        <f>'عدد اللاعبين'!D158</f>
        <v>مجموعة الرياض</v>
      </c>
      <c r="F169" s="73" t="str">
        <f>'عدد اللاعبين'!F158</f>
        <v>مكة المكرمة</v>
      </c>
      <c r="G169" s="74">
        <f>'عدد اللاعبين'!G158</f>
        <v>21</v>
      </c>
      <c r="H169" s="72" t="str">
        <f>IFERROR(INDEX(المدخلات!$AE$6:$AE$12,MATCH($C169,المدخلات!$AC$6:$AC$12,0)),"")</f>
        <v>5 ضد 5</v>
      </c>
      <c r="I169" s="74">
        <f t="shared" si="2"/>
        <v>10</v>
      </c>
      <c r="J169" s="74">
        <f>ROUNDUP($I169/IFERROR(INDEX(المدخلات!$AJ$6:$AJ$12,MATCH($C169,المدخلات!$AC$6:$AC$12,0)),1),0)</f>
        <v>4</v>
      </c>
      <c r="K169" s="74">
        <f>ROUNDUP($J169/IFERROR(INDEX(المدخلات!$AF$6:$AF$12,MATCH($C169,المدخلات!$AC$6:$AC$12,0)),1),0)</f>
        <v>1</v>
      </c>
    </row>
    <row r="170" spans="2:11" hidden="1">
      <c r="B170" s="77" t="str">
        <f>'عدد اللاعبين'!B159</f>
        <v>الشرقية</v>
      </c>
      <c r="C170" s="72" t="str">
        <f>'عدد اللاعبين'!C159</f>
        <v>تحت 7</v>
      </c>
      <c r="D170" s="72" t="str">
        <f>IFERROR(INDEX(المدخلات!$AD$6:$AD$12,MATCH($C170,المدخلات!$AC$6:$AC$12,0)),"")</f>
        <v>السبت</v>
      </c>
      <c r="E170" s="72" t="str">
        <f>'عدد اللاعبين'!D159</f>
        <v>مجموعة حفر الباطن</v>
      </c>
      <c r="F170" s="73" t="str">
        <f>'عدد اللاعبين'!F159</f>
        <v>حفر الباطن</v>
      </c>
      <c r="G170" s="74">
        <f>'عدد اللاعبين'!G159</f>
        <v>22</v>
      </c>
      <c r="H170" s="72" t="str">
        <f>IFERROR(INDEX(المدخلات!$AE$6:$AE$12,MATCH($C170,المدخلات!$AC$6:$AC$12,0)),"")</f>
        <v>7 ضد 7</v>
      </c>
      <c r="I170" s="74">
        <f t="shared" si="2"/>
        <v>11</v>
      </c>
      <c r="J170" s="74">
        <f>ROUNDUP($I170/IFERROR(INDEX(المدخلات!$AJ$6:$AJ$12,MATCH($C170,المدخلات!$AC$6:$AC$12,0)),1),0)</f>
        <v>4</v>
      </c>
      <c r="K170" s="74">
        <f>ROUNDUP($J170/IFERROR(INDEX(المدخلات!$AF$6:$AF$12,MATCH($C170,المدخلات!$AC$6:$AC$12,0)),1),0)</f>
        <v>2</v>
      </c>
    </row>
    <row r="171" spans="2:11" hidden="1">
      <c r="B171" s="77" t="str">
        <f>'عدد اللاعبين'!B160</f>
        <v>الشرقية</v>
      </c>
      <c r="C171" s="72" t="str">
        <f>'عدد اللاعبين'!C160</f>
        <v>تحت 12</v>
      </c>
      <c r="D171" s="72" t="str">
        <f>IFERROR(INDEX(المدخلات!$AD$6:$AD$12,MATCH($C171,المدخلات!$AC$6:$AC$12,0)),"")</f>
        <v>الاثنين</v>
      </c>
      <c r="E171" s="72" t="str">
        <f>'عدد اللاعبين'!D160</f>
        <v>مجموعة القطيف</v>
      </c>
      <c r="F171" s="73" t="str">
        <f>'عدد اللاعبين'!F160</f>
        <v>جدة</v>
      </c>
      <c r="G171" s="74">
        <f>'عدد اللاعبين'!G160</f>
        <v>22</v>
      </c>
      <c r="H171" s="72" t="str">
        <f>IFERROR(INDEX(المدخلات!$AE$6:$AE$12,MATCH($C171,المدخلات!$AC$6:$AC$12,0)),"")</f>
        <v>7 ضد 7</v>
      </c>
      <c r="I171" s="74">
        <f t="shared" si="2"/>
        <v>11</v>
      </c>
      <c r="J171" s="74">
        <f>ROUNDUP($I171/IFERROR(INDEX(المدخلات!$AJ$6:$AJ$12,MATCH($C171,المدخلات!$AC$6:$AC$12,0)),1),0)</f>
        <v>3</v>
      </c>
      <c r="K171" s="74">
        <f>ROUNDUP($J171/IFERROR(INDEX(المدخلات!$AF$6:$AF$12,MATCH($C171,المدخلات!$AC$6:$AC$12,0)),1),0)</f>
        <v>2</v>
      </c>
    </row>
    <row r="172" spans="2:11" hidden="1">
      <c r="B172" s="77" t="str">
        <f>'عدد اللاعبين'!B161</f>
        <v>الشرقية</v>
      </c>
      <c r="C172" s="72" t="str">
        <f>'عدد اللاعبين'!C161</f>
        <v>تحت 7</v>
      </c>
      <c r="D172" s="72" t="str">
        <f>IFERROR(INDEX(المدخلات!$AD$6:$AD$12,MATCH($C172,المدخلات!$AC$6:$AC$12,0)),"")</f>
        <v>السبت</v>
      </c>
      <c r="E172" s="72" t="str">
        <f>'عدد اللاعبين'!D161</f>
        <v>مجموعة الأحساء</v>
      </c>
      <c r="F172" s="73" t="str">
        <f>'عدد اللاعبين'!F161</f>
        <v>المدينة المنورة</v>
      </c>
      <c r="G172" s="74">
        <f>'عدد اللاعبين'!G161</f>
        <v>23</v>
      </c>
      <c r="H172" s="72" t="str">
        <f>IFERROR(INDEX(المدخلات!$AE$6:$AE$12,MATCH($C172,المدخلات!$AC$6:$AC$12,0)),"")</f>
        <v>7 ضد 7</v>
      </c>
      <c r="I172" s="74">
        <f t="shared" si="2"/>
        <v>11</v>
      </c>
      <c r="J172" s="74">
        <f>ROUNDUP($I172/IFERROR(INDEX(المدخلات!$AJ$6:$AJ$12,MATCH($C172,المدخلات!$AC$6:$AC$12,0)),1),0)</f>
        <v>4</v>
      </c>
      <c r="K172" s="74">
        <f>ROUNDUP($J172/IFERROR(INDEX(المدخلات!$AF$6:$AF$12,MATCH($C172,المدخلات!$AC$6:$AC$12,0)),1),0)</f>
        <v>2</v>
      </c>
    </row>
    <row r="173" spans="2:11" hidden="1">
      <c r="B173" s="77" t="str">
        <f>'عدد اللاعبين'!B162</f>
        <v>الشرقية</v>
      </c>
      <c r="C173" s="72" t="str">
        <f>'عدد اللاعبين'!C162</f>
        <v>تحت 14</v>
      </c>
      <c r="D173" s="72" t="str">
        <f>IFERROR(INDEX(المدخلات!$AD$6:$AD$12,MATCH($C173,المدخلات!$AC$6:$AC$12,0)),"")</f>
        <v>الأربعاء</v>
      </c>
      <c r="E173" s="72" t="str">
        <f>'عدد اللاعبين'!D162</f>
        <v>مجموعة حفر الباطن</v>
      </c>
      <c r="F173" s="73" t="str">
        <f>'عدد اللاعبين'!F162</f>
        <v>مكة المكرمة، الجموم</v>
      </c>
      <c r="G173" s="74">
        <f>'عدد اللاعبين'!G162</f>
        <v>24</v>
      </c>
      <c r="H173" s="72" t="str">
        <f>IFERROR(INDEX(المدخلات!$AE$6:$AE$12,MATCH($C173,المدخلات!$AC$6:$AC$12,0)),"")</f>
        <v>قانوني</v>
      </c>
      <c r="I173" s="74">
        <f t="shared" si="2"/>
        <v>12</v>
      </c>
      <c r="J173" s="74">
        <f>ROUNDUP($I173/IFERROR(INDEX(المدخلات!$AJ$6:$AJ$12,MATCH($C173,المدخلات!$AC$6:$AC$12,0)),1),0)</f>
        <v>4</v>
      </c>
      <c r="K173" s="74">
        <f>ROUNDUP($J173/IFERROR(INDEX(المدخلات!$AF$6:$AF$12,MATCH($C173,المدخلات!$AC$6:$AC$12,0)),1),0)</f>
        <v>4</v>
      </c>
    </row>
    <row r="174" spans="2:11" hidden="1">
      <c r="B174" s="77" t="str">
        <f>'عدد اللاعبين'!B163</f>
        <v>الشرقية</v>
      </c>
      <c r="C174" s="72" t="str">
        <f>'عدد اللاعبين'!C163</f>
        <v>تحت 9</v>
      </c>
      <c r="D174" s="72" t="str">
        <f>IFERROR(INDEX(المدخلات!$AD$6:$AD$12,MATCH($C174,المدخلات!$AC$6:$AC$12,0)),"")</f>
        <v>السبت</v>
      </c>
      <c r="E174" s="72" t="str">
        <f>'عدد اللاعبين'!D163</f>
        <v>مجموعة حفر الباطن</v>
      </c>
      <c r="F174" s="73" t="str">
        <f>'عدد اللاعبين'!F163</f>
        <v>المدينة المنورة</v>
      </c>
      <c r="G174" s="74">
        <f>'عدد اللاعبين'!G163</f>
        <v>25</v>
      </c>
      <c r="H174" s="72" t="str">
        <f>IFERROR(INDEX(المدخلات!$AE$6:$AE$12,MATCH($C174,المدخلات!$AC$6:$AC$12,0)),"")</f>
        <v>7 ضد 7</v>
      </c>
      <c r="I174" s="74">
        <f t="shared" si="2"/>
        <v>12</v>
      </c>
      <c r="J174" s="74">
        <f>ROUNDUP($I174/IFERROR(INDEX(المدخلات!$AJ$6:$AJ$12,MATCH($C174,المدخلات!$AC$6:$AC$12,0)),1),0)</f>
        <v>4</v>
      </c>
      <c r="K174" s="74">
        <f>ROUNDUP($J174/IFERROR(INDEX(المدخلات!$AF$6:$AF$12,MATCH($C174,المدخلات!$AC$6:$AC$12,0)),1),0)</f>
        <v>2</v>
      </c>
    </row>
    <row r="175" spans="2:11" hidden="1">
      <c r="B175" s="77" t="str">
        <f>'عدد اللاعبين'!B164</f>
        <v>الشرقية</v>
      </c>
      <c r="C175" s="72" t="str">
        <f>'عدد اللاعبين'!C164</f>
        <v>تحت 11</v>
      </c>
      <c r="D175" s="72" t="str">
        <f>IFERROR(INDEX(المدخلات!$AD$6:$AD$12,MATCH($C175,المدخلات!$AC$6:$AC$12,0)),"")</f>
        <v>الأحد</v>
      </c>
      <c r="E175" s="72" t="str">
        <f>'عدد اللاعبين'!D164</f>
        <v>مجموعة حفر الباطن</v>
      </c>
      <c r="F175" s="73" t="str">
        <f>'عدد اللاعبين'!F164</f>
        <v>المدينة المنورة</v>
      </c>
      <c r="G175" s="74">
        <f>'عدد اللاعبين'!G164</f>
        <v>25</v>
      </c>
      <c r="H175" s="72" t="str">
        <f>IFERROR(INDEX(المدخلات!$AE$6:$AE$12,MATCH($C175,المدخلات!$AC$6:$AC$12,0)),"")</f>
        <v>7 ضد 7</v>
      </c>
      <c r="I175" s="74">
        <f t="shared" si="2"/>
        <v>12</v>
      </c>
      <c r="J175" s="74">
        <f>ROUNDUP($I175/IFERROR(INDEX(المدخلات!$AJ$6:$AJ$12,MATCH($C175,المدخلات!$AC$6:$AC$12,0)),1),0)</f>
        <v>3</v>
      </c>
      <c r="K175" s="74">
        <f>ROUNDUP($J175/IFERROR(INDEX(المدخلات!$AF$6:$AF$12,MATCH($C175,المدخلات!$AC$6:$AC$12,0)),1),0)</f>
        <v>2</v>
      </c>
    </row>
    <row r="176" spans="2:11" hidden="1">
      <c r="B176" s="77" t="str">
        <f>'عدد اللاعبين'!B165</f>
        <v>مكة المكرمة</v>
      </c>
      <c r="C176" s="72" t="str">
        <f>'عدد اللاعبين'!C165</f>
        <v>تحت 7</v>
      </c>
      <c r="D176" s="72" t="str">
        <f>IFERROR(INDEX(المدخلات!$AD$6:$AD$12,MATCH($C176,المدخلات!$AC$6:$AC$12,0)),"")</f>
        <v>السبت</v>
      </c>
      <c r="E176" s="72" t="str">
        <f>'عدد اللاعبين'!D165</f>
        <v>مجموعة مكة المكرمة</v>
      </c>
      <c r="F176" s="73" t="str">
        <f>'عدد اللاعبين'!F165</f>
        <v>مكة المكرمة، الجموم</v>
      </c>
      <c r="G176" s="74">
        <f>'عدد اللاعبين'!G165</f>
        <v>26</v>
      </c>
      <c r="H176" s="72" t="str">
        <f>IFERROR(INDEX(المدخلات!$AE$6:$AE$12,MATCH($C176,المدخلات!$AC$6:$AC$12,0)),"")</f>
        <v>7 ضد 7</v>
      </c>
      <c r="I176" s="74">
        <f t="shared" si="2"/>
        <v>13</v>
      </c>
      <c r="J176" s="74">
        <f>ROUNDUP($I176/IFERROR(INDEX(المدخلات!$AJ$6:$AJ$12,MATCH($C176,المدخلات!$AC$6:$AC$12,0)),1),0)</f>
        <v>5</v>
      </c>
      <c r="K176" s="74">
        <f>ROUNDUP($J176/IFERROR(INDEX(المدخلات!$AF$6:$AF$12,MATCH($C176,المدخلات!$AC$6:$AC$12,0)),1),0)</f>
        <v>3</v>
      </c>
    </row>
    <row r="177" spans="2:11" hidden="1">
      <c r="B177" s="77" t="str">
        <f>'عدد اللاعبين'!B166</f>
        <v>الشرقية</v>
      </c>
      <c r="C177" s="72" t="str">
        <f>'عدد اللاعبين'!C166</f>
        <v>تحت 12</v>
      </c>
      <c r="D177" s="72" t="str">
        <f>IFERROR(INDEX(المدخلات!$AD$6:$AD$12,MATCH($C177,المدخلات!$AC$6:$AC$12,0)),"")</f>
        <v>الاثنين</v>
      </c>
      <c r="E177" s="72" t="str">
        <f>'عدد اللاعبين'!D166</f>
        <v>مجموعة حفر الباطن</v>
      </c>
      <c r="F177" s="73" t="str">
        <f>'عدد اللاعبين'!F166</f>
        <v>مكة المكرمة، الجموم</v>
      </c>
      <c r="G177" s="74">
        <f>'عدد اللاعبين'!G166</f>
        <v>27</v>
      </c>
      <c r="H177" s="72" t="str">
        <f>IFERROR(INDEX(المدخلات!$AE$6:$AE$12,MATCH($C177,المدخلات!$AC$6:$AC$12,0)),"")</f>
        <v>7 ضد 7</v>
      </c>
      <c r="I177" s="74">
        <f t="shared" si="2"/>
        <v>13</v>
      </c>
      <c r="J177" s="74">
        <f>ROUNDUP($I177/IFERROR(INDEX(المدخلات!$AJ$6:$AJ$12,MATCH($C177,المدخلات!$AC$6:$AC$12,0)),1),0)</f>
        <v>4</v>
      </c>
      <c r="K177" s="74">
        <f>ROUNDUP($J177/IFERROR(INDEX(المدخلات!$AF$6:$AF$12,MATCH($C177,المدخلات!$AC$6:$AC$12,0)),1),0)</f>
        <v>2</v>
      </c>
    </row>
    <row r="178" spans="2:11" hidden="1">
      <c r="B178" s="77" t="str">
        <f>'عدد اللاعبين'!B167</f>
        <v>مكة المكرمة</v>
      </c>
      <c r="C178" s="72" t="str">
        <f>'عدد اللاعبين'!C167</f>
        <v>تحت 5</v>
      </c>
      <c r="D178" s="72" t="str">
        <f>IFERROR(INDEX(المدخلات!$AD$6:$AD$12,MATCH($C178,المدخلات!$AC$6:$AC$12,0)),"")</f>
        <v>السبت</v>
      </c>
      <c r="E178" s="72" t="str">
        <f>'عدد اللاعبين'!D167</f>
        <v>مجموعة جدة</v>
      </c>
      <c r="F178" s="73" t="str">
        <f>'عدد اللاعبين'!F167</f>
        <v>مكة المكرمة، الجموم</v>
      </c>
      <c r="G178" s="74">
        <f>'عدد اللاعبين'!G167</f>
        <v>27</v>
      </c>
      <c r="H178" s="72" t="str">
        <f>IFERROR(INDEX(المدخلات!$AE$6:$AE$12,MATCH($C178,المدخلات!$AC$6:$AC$12,0)),"")</f>
        <v>5 ضد 5</v>
      </c>
      <c r="I178" s="74">
        <f t="shared" si="2"/>
        <v>13</v>
      </c>
      <c r="J178" s="74">
        <f>ROUNDUP($I178/IFERROR(INDEX(المدخلات!$AJ$6:$AJ$12,MATCH($C178,المدخلات!$AC$6:$AC$12,0)),1),0)</f>
        <v>5</v>
      </c>
      <c r="K178" s="74">
        <f>ROUNDUP($J178/IFERROR(INDEX(المدخلات!$AF$6:$AF$12,MATCH($C178,المدخلات!$AC$6:$AC$12,0)),1),0)</f>
        <v>2</v>
      </c>
    </row>
    <row r="179" spans="2:11" hidden="1">
      <c r="B179" s="77" t="str">
        <f>'عدد اللاعبين'!B168</f>
        <v>المدينة المنورة</v>
      </c>
      <c r="C179" s="72" t="str">
        <f>'عدد اللاعبين'!C168</f>
        <v>تحت 11</v>
      </c>
      <c r="D179" s="72" t="str">
        <f>IFERROR(INDEX(المدخلات!$AD$6:$AD$12,MATCH($C179,المدخلات!$AC$6:$AC$12,0)),"")</f>
        <v>الأحد</v>
      </c>
      <c r="E179" s="72" t="str">
        <f>'عدد اللاعبين'!D168</f>
        <v>مجموعة المدينة المنورة</v>
      </c>
      <c r="F179" s="73" t="str">
        <f>'عدد اللاعبين'!F168</f>
        <v>الأحساء</v>
      </c>
      <c r="G179" s="74">
        <f>'عدد اللاعبين'!G168</f>
        <v>28</v>
      </c>
      <c r="H179" s="72" t="str">
        <f>IFERROR(INDEX(المدخلات!$AE$6:$AE$12,MATCH($C179,المدخلات!$AC$6:$AC$12,0)),"")</f>
        <v>7 ضد 7</v>
      </c>
      <c r="I179" s="74">
        <f t="shared" si="2"/>
        <v>14</v>
      </c>
      <c r="J179" s="74">
        <f>ROUNDUP($I179/IFERROR(INDEX(المدخلات!$AJ$6:$AJ$12,MATCH($C179,المدخلات!$AC$6:$AC$12,0)),1),0)</f>
        <v>4</v>
      </c>
      <c r="K179" s="74">
        <f>ROUNDUP($J179/IFERROR(INDEX(المدخلات!$AF$6:$AF$12,MATCH($C179,المدخلات!$AC$6:$AC$12,0)),1),0)</f>
        <v>2</v>
      </c>
    </row>
    <row r="180" spans="2:11" hidden="1">
      <c r="B180" s="77" t="str">
        <f>'عدد اللاعبين'!B169</f>
        <v>مكة المكرمة</v>
      </c>
      <c r="C180" s="72" t="str">
        <f>'عدد اللاعبين'!C169</f>
        <v>تحت 13</v>
      </c>
      <c r="D180" s="72" t="str">
        <f>IFERROR(INDEX(المدخلات!$AD$6:$AD$12,MATCH($C180,المدخلات!$AC$6:$AC$12,0)),"")</f>
        <v>الخميس</v>
      </c>
      <c r="E180" s="72" t="str">
        <f>'عدد اللاعبين'!D169</f>
        <v>مجموعة مكة المكرمة</v>
      </c>
      <c r="F180" s="73" t="str">
        <f>'عدد اللاعبين'!F169</f>
        <v>الأحساء</v>
      </c>
      <c r="G180" s="74">
        <f>'عدد اللاعبين'!G169</f>
        <v>28</v>
      </c>
      <c r="H180" s="72" t="str">
        <f>IFERROR(INDEX(المدخلات!$AE$6:$AE$12,MATCH($C180,المدخلات!$AC$6:$AC$12,0)),"")</f>
        <v>قانوني</v>
      </c>
      <c r="I180" s="74">
        <f t="shared" si="2"/>
        <v>14</v>
      </c>
      <c r="J180" s="74">
        <f>ROUNDUP($I180/IFERROR(INDEX(المدخلات!$AJ$6:$AJ$12,MATCH($C180,المدخلات!$AC$6:$AC$12,0)),1),0)</f>
        <v>5</v>
      </c>
      <c r="K180" s="74">
        <f>ROUNDUP($J180/IFERROR(INDEX(المدخلات!$AF$6:$AF$12,MATCH($C180,المدخلات!$AC$6:$AC$12,0)),1),0)</f>
        <v>5</v>
      </c>
    </row>
    <row r="181" spans="2:11" hidden="1">
      <c r="B181" s="77" t="str">
        <f>'عدد اللاعبين'!B170</f>
        <v>المدينة المنورة</v>
      </c>
      <c r="C181" s="72" t="str">
        <f>'عدد اللاعبين'!C170</f>
        <v>تحت 12</v>
      </c>
      <c r="D181" s="72" t="str">
        <f>IFERROR(INDEX(المدخلات!$AD$6:$AD$12,MATCH($C181,المدخلات!$AC$6:$AC$12,0)),"")</f>
        <v>الاثنين</v>
      </c>
      <c r="E181" s="72" t="str">
        <f>'عدد اللاعبين'!D170</f>
        <v>مجموعة المدينة المنورة</v>
      </c>
      <c r="F181" s="73" t="str">
        <f>'عدد اللاعبين'!F170</f>
        <v>الأحساء</v>
      </c>
      <c r="G181" s="74">
        <f>'عدد اللاعبين'!G170</f>
        <v>29</v>
      </c>
      <c r="H181" s="72" t="str">
        <f>IFERROR(INDEX(المدخلات!$AE$6:$AE$12,MATCH($C181,المدخلات!$AC$6:$AC$12,0)),"")</f>
        <v>7 ضد 7</v>
      </c>
      <c r="I181" s="74">
        <f t="shared" si="2"/>
        <v>14</v>
      </c>
      <c r="J181" s="74">
        <f>ROUNDUP($I181/IFERROR(INDEX(المدخلات!$AJ$6:$AJ$12,MATCH($C181,المدخلات!$AC$6:$AC$12,0)),1),0)</f>
        <v>4</v>
      </c>
      <c r="K181" s="74">
        <f>ROUNDUP($J181/IFERROR(INDEX(المدخلات!$AF$6:$AF$12,MATCH($C181,المدخلات!$AC$6:$AC$12,0)),1),0)</f>
        <v>2</v>
      </c>
    </row>
    <row r="182" spans="2:11" hidden="1">
      <c r="B182" s="77" t="str">
        <f>'عدد اللاعبين'!B171</f>
        <v>المدينة المنورة</v>
      </c>
      <c r="C182" s="72" t="str">
        <f>'عدد اللاعبين'!C171</f>
        <v>تحت 9</v>
      </c>
      <c r="D182" s="72" t="str">
        <f>IFERROR(INDEX(المدخلات!$AD$6:$AD$12,MATCH($C182,المدخلات!$AC$6:$AC$12,0)),"")</f>
        <v>السبت</v>
      </c>
      <c r="E182" s="72" t="str">
        <f>'عدد اللاعبين'!D171</f>
        <v>مجموعة المدينة المنورة</v>
      </c>
      <c r="F182" s="73" t="str">
        <f>'عدد اللاعبين'!F171</f>
        <v>الرياض</v>
      </c>
      <c r="G182" s="74">
        <f>'عدد اللاعبين'!G171</f>
        <v>29</v>
      </c>
      <c r="H182" s="72" t="str">
        <f>IFERROR(INDEX(المدخلات!$AE$6:$AE$12,MATCH($C182,المدخلات!$AC$6:$AC$12,0)),"")</f>
        <v>7 ضد 7</v>
      </c>
      <c r="I182" s="74">
        <f t="shared" si="2"/>
        <v>14</v>
      </c>
      <c r="J182" s="74">
        <f>ROUNDUP($I182/IFERROR(INDEX(المدخلات!$AJ$6:$AJ$12,MATCH($C182,المدخلات!$AC$6:$AC$12,0)),1),0)</f>
        <v>5</v>
      </c>
      <c r="K182" s="74">
        <f>ROUNDUP($J182/IFERROR(INDEX(المدخلات!$AF$6:$AF$12,MATCH($C182,المدخلات!$AC$6:$AC$12,0)),1),0)</f>
        <v>3</v>
      </c>
    </row>
    <row r="183" spans="2:11" hidden="1">
      <c r="B183" s="77" t="str">
        <f>'عدد اللاعبين'!B172</f>
        <v>مكة المكرمة</v>
      </c>
      <c r="C183" s="72" t="str">
        <f>'عدد اللاعبين'!C172</f>
        <v>تحت 14</v>
      </c>
      <c r="D183" s="72" t="str">
        <f>IFERROR(INDEX(المدخلات!$AD$6:$AD$12,MATCH($C183,المدخلات!$AC$6:$AC$12,0)),"")</f>
        <v>الأربعاء</v>
      </c>
      <c r="E183" s="72" t="str">
        <f>'عدد اللاعبين'!D172</f>
        <v>مجموعة مكة المكرمة</v>
      </c>
      <c r="F183" s="73" t="str">
        <f>'عدد اللاعبين'!F172</f>
        <v>مكة المكرمة، الجموم</v>
      </c>
      <c r="G183" s="74">
        <f>'عدد اللاعبين'!G172</f>
        <v>29</v>
      </c>
      <c r="H183" s="72" t="str">
        <f>IFERROR(INDEX(المدخلات!$AE$6:$AE$12,MATCH($C183,المدخلات!$AC$6:$AC$12,0)),"")</f>
        <v>قانوني</v>
      </c>
      <c r="I183" s="74">
        <f t="shared" si="2"/>
        <v>14</v>
      </c>
      <c r="J183" s="74">
        <f>ROUNDUP($I183/IFERROR(INDEX(المدخلات!$AJ$6:$AJ$12,MATCH($C183,المدخلات!$AC$6:$AC$12,0)),1),0)</f>
        <v>5</v>
      </c>
      <c r="K183" s="74">
        <f>ROUNDUP($J183/IFERROR(INDEX(المدخلات!$AF$6:$AF$12,MATCH($C183,المدخلات!$AC$6:$AC$12,0)),1),0)</f>
        <v>5</v>
      </c>
    </row>
    <row r="184" spans="2:11" hidden="1">
      <c r="B184" s="77" t="str">
        <f>'عدد اللاعبين'!B173</f>
        <v>مكة المكرمة</v>
      </c>
      <c r="C184" s="72" t="str">
        <f>'عدد اللاعبين'!C173</f>
        <v>تحت 11</v>
      </c>
      <c r="D184" s="72" t="str">
        <f>IFERROR(INDEX(المدخلات!$AD$6:$AD$12,MATCH($C184,المدخلات!$AC$6:$AC$12,0)),"")</f>
        <v>الأحد</v>
      </c>
      <c r="E184" s="72" t="str">
        <f>'عدد اللاعبين'!D173</f>
        <v>مجموعة مكة المكرمة</v>
      </c>
      <c r="F184" s="73" t="str">
        <f>'عدد اللاعبين'!F173</f>
        <v>الرياض</v>
      </c>
      <c r="G184" s="74">
        <f>'عدد اللاعبين'!G173</f>
        <v>30</v>
      </c>
      <c r="H184" s="72" t="str">
        <f>IFERROR(INDEX(المدخلات!$AE$6:$AE$12,MATCH($C184,المدخلات!$AC$6:$AC$12,0)),"")</f>
        <v>7 ضد 7</v>
      </c>
      <c r="I184" s="74">
        <f t="shared" si="2"/>
        <v>15</v>
      </c>
      <c r="J184" s="74">
        <f>ROUNDUP($I184/IFERROR(INDEX(المدخلات!$AJ$6:$AJ$12,MATCH($C184,المدخلات!$AC$6:$AC$12,0)),1),0)</f>
        <v>4</v>
      </c>
      <c r="K184" s="74">
        <f>ROUNDUP($J184/IFERROR(INDEX(المدخلات!$AF$6:$AF$12,MATCH($C184,المدخلات!$AC$6:$AC$12,0)),1),0)</f>
        <v>2</v>
      </c>
    </row>
    <row r="185" spans="2:11" hidden="1">
      <c r="B185" s="77" t="str">
        <f>'عدد اللاعبين'!B174</f>
        <v>مكة المكرمة</v>
      </c>
      <c r="C185" s="72" t="str">
        <f>'عدد اللاعبين'!C174</f>
        <v>تحت 12</v>
      </c>
      <c r="D185" s="72" t="str">
        <f>IFERROR(INDEX(المدخلات!$AD$6:$AD$12,MATCH($C185,المدخلات!$AC$6:$AC$12,0)),"")</f>
        <v>الاثنين</v>
      </c>
      <c r="E185" s="72" t="str">
        <f>'عدد اللاعبين'!D174</f>
        <v>مجموعة مكة المكرمة</v>
      </c>
      <c r="F185" s="73" t="str">
        <f>'عدد اللاعبين'!F174</f>
        <v>جدة</v>
      </c>
      <c r="G185" s="74">
        <f>'عدد اللاعبين'!G174</f>
        <v>31</v>
      </c>
      <c r="H185" s="72" t="str">
        <f>IFERROR(INDEX(المدخلات!$AE$6:$AE$12,MATCH($C185,المدخلات!$AC$6:$AC$12,0)),"")</f>
        <v>7 ضد 7</v>
      </c>
      <c r="I185" s="74">
        <f t="shared" si="2"/>
        <v>15</v>
      </c>
      <c r="J185" s="74">
        <f>ROUNDUP($I185/IFERROR(INDEX(المدخلات!$AJ$6:$AJ$12,MATCH($C185,المدخلات!$AC$6:$AC$12,0)),1),0)</f>
        <v>4</v>
      </c>
      <c r="K185" s="74">
        <f>ROUNDUP($J185/IFERROR(INDEX(المدخلات!$AF$6:$AF$12,MATCH($C185,المدخلات!$AC$6:$AC$12,0)),1),0)</f>
        <v>2</v>
      </c>
    </row>
    <row r="186" spans="2:11" hidden="1">
      <c r="B186" s="77" t="str">
        <f>'عدد اللاعبين'!B175</f>
        <v>الشرقية</v>
      </c>
      <c r="C186" s="72" t="str">
        <f>'عدد اللاعبين'!C175</f>
        <v>تحت 14</v>
      </c>
      <c r="D186" s="72" t="str">
        <f>IFERROR(INDEX(المدخلات!$AD$6:$AD$12,MATCH($C186,المدخلات!$AC$6:$AC$12,0)),"")</f>
        <v>الأربعاء</v>
      </c>
      <c r="E186" s="72" t="str">
        <f>'عدد اللاعبين'!D175</f>
        <v>مجموعة الأحساء</v>
      </c>
      <c r="F186" s="73" t="str">
        <f>'عدد اللاعبين'!F175</f>
        <v>الظهران، الخبر، الدمام، سيهات</v>
      </c>
      <c r="G186" s="74">
        <f>'عدد اللاعبين'!G175</f>
        <v>31</v>
      </c>
      <c r="H186" s="72" t="str">
        <f>IFERROR(INDEX(المدخلات!$AE$6:$AE$12,MATCH($C186,المدخلات!$AC$6:$AC$12,0)),"")</f>
        <v>قانوني</v>
      </c>
      <c r="I186" s="74">
        <f t="shared" si="2"/>
        <v>15</v>
      </c>
      <c r="J186" s="74">
        <f>ROUNDUP($I186/IFERROR(INDEX(المدخلات!$AJ$6:$AJ$12,MATCH($C186,المدخلات!$AC$6:$AC$12,0)),1),0)</f>
        <v>5</v>
      </c>
      <c r="K186" s="74">
        <f>ROUNDUP($J186/IFERROR(INDEX(المدخلات!$AF$6:$AF$12,MATCH($C186,المدخلات!$AC$6:$AC$12,0)),1),0)</f>
        <v>5</v>
      </c>
    </row>
    <row r="187" spans="2:11" hidden="1">
      <c r="B187" s="77" t="str">
        <f>'عدد اللاعبين'!B176</f>
        <v>الشرقية</v>
      </c>
      <c r="C187" s="72" t="str">
        <f>'عدد اللاعبين'!C176</f>
        <v>تحت 9</v>
      </c>
      <c r="D187" s="72" t="str">
        <f>IFERROR(INDEX(المدخلات!$AD$6:$AD$12,MATCH($C187,المدخلات!$AC$6:$AC$12,0)),"")</f>
        <v>السبت</v>
      </c>
      <c r="E187" s="72" t="str">
        <f>'عدد اللاعبين'!D176</f>
        <v>مجموعة الأحساء</v>
      </c>
      <c r="F187" s="73" t="str">
        <f>'عدد اللاعبين'!F176</f>
        <v>جدة</v>
      </c>
      <c r="G187" s="74">
        <f>'عدد اللاعبين'!G176</f>
        <v>34</v>
      </c>
      <c r="H187" s="72" t="str">
        <f>IFERROR(INDEX(المدخلات!$AE$6:$AE$12,MATCH($C187,المدخلات!$AC$6:$AC$12,0)),"")</f>
        <v>7 ضد 7</v>
      </c>
      <c r="I187" s="74">
        <f t="shared" si="2"/>
        <v>17</v>
      </c>
      <c r="J187" s="74">
        <f>ROUNDUP($I187/IFERROR(INDEX(المدخلات!$AJ$6:$AJ$12,MATCH($C187,المدخلات!$AC$6:$AC$12,0)),1),0)</f>
        <v>6</v>
      </c>
      <c r="K187" s="74">
        <f>ROUNDUP($J187/IFERROR(INDEX(المدخلات!$AF$6:$AF$12,MATCH($C187,المدخلات!$AC$6:$AC$12,0)),1),0)</f>
        <v>3</v>
      </c>
    </row>
    <row r="188" spans="2:11" hidden="1">
      <c r="B188" s="77" t="str">
        <f>'عدد اللاعبين'!B177</f>
        <v>الشرقية</v>
      </c>
      <c r="C188" s="72" t="str">
        <f>'عدد اللاعبين'!C177</f>
        <v>تحت 12</v>
      </c>
      <c r="D188" s="72" t="str">
        <f>IFERROR(INDEX(المدخلات!$AD$6:$AD$12,MATCH($C188,المدخلات!$AC$6:$AC$12,0)),"")</f>
        <v>الاثنين</v>
      </c>
      <c r="E188" s="72" t="str">
        <f>'عدد اللاعبين'!D177</f>
        <v>مجموعة الأحساء</v>
      </c>
      <c r="F188" s="73" t="str">
        <f>'عدد اللاعبين'!F177</f>
        <v>الأحساء</v>
      </c>
      <c r="G188" s="74">
        <f>'عدد اللاعبين'!G177</f>
        <v>34</v>
      </c>
      <c r="H188" s="72" t="str">
        <f>IFERROR(INDEX(المدخلات!$AE$6:$AE$12,MATCH($C188,المدخلات!$AC$6:$AC$12,0)),"")</f>
        <v>7 ضد 7</v>
      </c>
      <c r="I188" s="74">
        <f t="shared" si="2"/>
        <v>17</v>
      </c>
      <c r="J188" s="74">
        <f>ROUNDUP($I188/IFERROR(INDEX(المدخلات!$AJ$6:$AJ$12,MATCH($C188,المدخلات!$AC$6:$AC$12,0)),1),0)</f>
        <v>5</v>
      </c>
      <c r="K188" s="74">
        <f>ROUNDUP($J188/IFERROR(INDEX(المدخلات!$AF$6:$AF$12,MATCH($C188,المدخلات!$AC$6:$AC$12,0)),1),0)</f>
        <v>3</v>
      </c>
    </row>
    <row r="189" spans="2:11" hidden="1">
      <c r="B189" s="77" t="str">
        <f>'عدد اللاعبين'!B178</f>
        <v>الرياض</v>
      </c>
      <c r="C189" s="72" t="str">
        <f>'عدد اللاعبين'!C178</f>
        <v>تحت 13</v>
      </c>
      <c r="D189" s="72" t="str">
        <f>IFERROR(INDEX(المدخلات!$AD$6:$AD$12,MATCH($C189,المدخلات!$AC$6:$AC$12,0)),"")</f>
        <v>الخميس</v>
      </c>
      <c r="E189" s="72" t="str">
        <f>'عدد اللاعبين'!D178</f>
        <v>مجموعة الرياض</v>
      </c>
      <c r="F189" s="73" t="str">
        <f>'عدد اللاعبين'!F178</f>
        <v>الأحساء</v>
      </c>
      <c r="G189" s="74">
        <f>'عدد اللاعبين'!G178</f>
        <v>35</v>
      </c>
      <c r="H189" s="72" t="str">
        <f>IFERROR(INDEX(المدخلات!$AE$6:$AE$12,MATCH($C189,المدخلات!$AC$6:$AC$12,0)),"")</f>
        <v>قانوني</v>
      </c>
      <c r="I189" s="74">
        <f t="shared" si="2"/>
        <v>17</v>
      </c>
      <c r="J189" s="74">
        <f>ROUNDUP($I189/IFERROR(INDEX(المدخلات!$AJ$6:$AJ$12,MATCH($C189,المدخلات!$AC$6:$AC$12,0)),1),0)</f>
        <v>6</v>
      </c>
      <c r="K189" s="74">
        <f>ROUNDUP($J189/IFERROR(INDEX(المدخلات!$AF$6:$AF$12,MATCH($C189,المدخلات!$AC$6:$AC$12,0)),1),0)</f>
        <v>6</v>
      </c>
    </row>
    <row r="190" spans="2:11" hidden="1">
      <c r="B190" s="77" t="str">
        <f>'عدد اللاعبين'!B179</f>
        <v>مكة المكرمة</v>
      </c>
      <c r="C190" s="72" t="str">
        <f>'عدد اللاعبين'!C179</f>
        <v>تحت 9</v>
      </c>
      <c r="D190" s="72" t="str">
        <f>IFERROR(INDEX(المدخلات!$AD$6:$AD$12,MATCH($C190,المدخلات!$AC$6:$AC$12,0)),"")</f>
        <v>السبت</v>
      </c>
      <c r="E190" s="72" t="str">
        <f>'عدد اللاعبين'!D179</f>
        <v>مجموعة مكة المكرمة</v>
      </c>
      <c r="F190" s="73" t="str">
        <f>'عدد اللاعبين'!F179</f>
        <v>الرياض</v>
      </c>
      <c r="G190" s="74">
        <f>'عدد اللاعبين'!G179</f>
        <v>38</v>
      </c>
      <c r="H190" s="72" t="str">
        <f>IFERROR(INDEX(المدخلات!$AE$6:$AE$12,MATCH($C190,المدخلات!$AC$6:$AC$12,0)),"")</f>
        <v>7 ضد 7</v>
      </c>
      <c r="I190" s="74">
        <f t="shared" si="2"/>
        <v>19</v>
      </c>
      <c r="J190" s="74">
        <f>ROUNDUP($I190/IFERROR(INDEX(المدخلات!$AJ$6:$AJ$12,MATCH($C190,المدخلات!$AC$6:$AC$12,0)),1),0)</f>
        <v>7</v>
      </c>
      <c r="K190" s="74">
        <f>ROUNDUP($J190/IFERROR(INDEX(المدخلات!$AF$6:$AF$12,MATCH($C190,المدخلات!$AC$6:$AC$12,0)),1),0)</f>
        <v>4</v>
      </c>
    </row>
    <row r="191" spans="2:11" hidden="1">
      <c r="B191" s="77" t="str">
        <f>'عدد اللاعبين'!B180</f>
        <v>الرياض</v>
      </c>
      <c r="C191" s="72" t="str">
        <f>'عدد اللاعبين'!C180</f>
        <v>تحت 7</v>
      </c>
      <c r="D191" s="72" t="str">
        <f>IFERROR(INDEX(المدخلات!$AD$6:$AD$12,MATCH($C191,المدخلات!$AC$6:$AC$12,0)),"")</f>
        <v>السبت</v>
      </c>
      <c r="E191" s="72" t="str">
        <f>'عدد اللاعبين'!D180</f>
        <v>مجموعة الرياض</v>
      </c>
      <c r="F191" s="73" t="str">
        <f>'عدد اللاعبين'!F180</f>
        <v>جدة</v>
      </c>
      <c r="G191" s="74">
        <f>'عدد اللاعبين'!G180</f>
        <v>39</v>
      </c>
      <c r="H191" s="72" t="str">
        <f>IFERROR(INDEX(المدخلات!$AE$6:$AE$12,MATCH($C191,المدخلات!$AC$6:$AC$12,0)),"")</f>
        <v>7 ضد 7</v>
      </c>
      <c r="I191" s="74">
        <f t="shared" si="2"/>
        <v>19</v>
      </c>
      <c r="J191" s="74">
        <f>ROUNDUP($I191/IFERROR(INDEX(المدخلات!$AJ$6:$AJ$12,MATCH($C191,المدخلات!$AC$6:$AC$12,0)),1),0)</f>
        <v>7</v>
      </c>
      <c r="K191" s="74">
        <f>ROUNDUP($J191/IFERROR(INDEX(المدخلات!$AF$6:$AF$12,MATCH($C191,المدخلات!$AC$6:$AC$12,0)),1),0)</f>
        <v>4</v>
      </c>
    </row>
    <row r="192" spans="2:11" hidden="1">
      <c r="B192" s="77" t="str">
        <f>'عدد اللاعبين'!B181</f>
        <v>مكة المكرمة</v>
      </c>
      <c r="C192" s="72" t="str">
        <f>'عدد اللاعبين'!C181</f>
        <v>تحت 7</v>
      </c>
      <c r="D192" s="72" t="str">
        <f>IFERROR(INDEX(المدخلات!$AD$6:$AD$12,MATCH($C192,المدخلات!$AC$6:$AC$12,0)),"")</f>
        <v>السبت</v>
      </c>
      <c r="E192" s="72" t="str">
        <f>'عدد اللاعبين'!D181</f>
        <v>مجموعة جدة</v>
      </c>
      <c r="F192" s="73" t="str">
        <f>'عدد اللاعبين'!F181</f>
        <v>الرياض</v>
      </c>
      <c r="G192" s="74">
        <f>'عدد اللاعبين'!G181</f>
        <v>40</v>
      </c>
      <c r="H192" s="72" t="str">
        <f>IFERROR(INDEX(المدخلات!$AE$6:$AE$12,MATCH($C192,المدخلات!$AC$6:$AC$12,0)),"")</f>
        <v>7 ضد 7</v>
      </c>
      <c r="I192" s="74">
        <f t="shared" si="2"/>
        <v>20</v>
      </c>
      <c r="J192" s="74">
        <f>ROUNDUP($I192/IFERROR(INDEX(المدخلات!$AJ$6:$AJ$12,MATCH($C192,المدخلات!$AC$6:$AC$12,0)),1),0)</f>
        <v>7</v>
      </c>
      <c r="K192" s="74">
        <f>ROUNDUP($J192/IFERROR(INDEX(المدخلات!$AF$6:$AF$12,MATCH($C192,المدخلات!$AC$6:$AC$12,0)),1),0)</f>
        <v>4</v>
      </c>
    </row>
    <row r="193" spans="2:11" hidden="1">
      <c r="B193" s="77" t="str">
        <f>'عدد اللاعبين'!B182</f>
        <v>الشرقية</v>
      </c>
      <c r="C193" s="72" t="str">
        <f>'عدد اللاعبين'!C182</f>
        <v>تحت 9</v>
      </c>
      <c r="D193" s="72" t="str">
        <f>IFERROR(INDEX(المدخلات!$AD$6:$AD$12,MATCH($C193,المدخلات!$AC$6:$AC$12,0)),"")</f>
        <v>السبت</v>
      </c>
      <c r="E193" s="72" t="str">
        <f>'عدد اللاعبين'!D182</f>
        <v>مجموعة الدمام</v>
      </c>
      <c r="F193" s="73" t="str">
        <f>'عدد اللاعبين'!F182</f>
        <v>الرياض</v>
      </c>
      <c r="G193" s="74">
        <f>'عدد اللاعبين'!G182</f>
        <v>48</v>
      </c>
      <c r="H193" s="72" t="str">
        <f>IFERROR(INDEX(المدخلات!$AE$6:$AE$12,MATCH($C193,المدخلات!$AC$6:$AC$12,0)),"")</f>
        <v>7 ضد 7</v>
      </c>
      <c r="I193" s="74">
        <f t="shared" si="2"/>
        <v>24</v>
      </c>
      <c r="J193" s="74">
        <f>ROUNDUP($I193/IFERROR(INDEX(المدخلات!$AJ$6:$AJ$12,MATCH($C193,المدخلات!$AC$6:$AC$12,0)),1),0)</f>
        <v>8</v>
      </c>
      <c r="K193" s="74">
        <f>ROUNDUP($J193/IFERROR(INDEX(المدخلات!$AF$6:$AF$12,MATCH($C193,المدخلات!$AC$6:$AC$12,0)),1),0)</f>
        <v>4</v>
      </c>
    </row>
    <row r="194" spans="2:11" hidden="1">
      <c r="B194" s="77" t="str">
        <f>'عدد اللاعبين'!B183</f>
        <v>مكة المكرمة</v>
      </c>
      <c r="C194" s="72" t="str">
        <f>'عدد اللاعبين'!C183</f>
        <v>تحت 13</v>
      </c>
      <c r="D194" s="72" t="str">
        <f>IFERROR(INDEX(المدخلات!$AD$6:$AD$12,MATCH($C194,المدخلات!$AC$6:$AC$12,0)),"")</f>
        <v>الخميس</v>
      </c>
      <c r="E194" s="72" t="str">
        <f>'عدد اللاعبين'!D183</f>
        <v>مجموعة جدة</v>
      </c>
      <c r="F194" s="73" t="str">
        <f>'عدد اللاعبين'!F183</f>
        <v>الرياض</v>
      </c>
      <c r="G194" s="74">
        <f>'عدد اللاعبين'!G183</f>
        <v>49</v>
      </c>
      <c r="H194" s="72" t="str">
        <f>IFERROR(INDEX(المدخلات!$AE$6:$AE$12,MATCH($C194,المدخلات!$AC$6:$AC$12,0)),"")</f>
        <v>قانوني</v>
      </c>
      <c r="I194" s="74">
        <f t="shared" si="2"/>
        <v>24</v>
      </c>
      <c r="J194" s="74">
        <f>ROUNDUP($I194/IFERROR(INDEX(المدخلات!$AJ$6:$AJ$12,MATCH($C194,المدخلات!$AC$6:$AC$12,0)),1),0)</f>
        <v>8</v>
      </c>
      <c r="K194" s="74">
        <f>ROUNDUP($J194/IFERROR(INDEX(المدخلات!$AF$6:$AF$12,MATCH($C194,المدخلات!$AC$6:$AC$12,0)),1),0)</f>
        <v>8</v>
      </c>
    </row>
    <row r="195" spans="2:11" hidden="1">
      <c r="B195" s="77" t="str">
        <f>'عدد اللاعبين'!B184</f>
        <v>الشرقية</v>
      </c>
      <c r="C195" s="72" t="str">
        <f>'عدد اللاعبين'!C184</f>
        <v>تحت 13</v>
      </c>
      <c r="D195" s="72" t="str">
        <f>IFERROR(INDEX(المدخلات!$AD$6:$AD$12,MATCH($C195,المدخلات!$AC$6:$AC$12,0)),"")</f>
        <v>الخميس</v>
      </c>
      <c r="E195" s="72" t="str">
        <f>'عدد اللاعبين'!D184</f>
        <v>مجموعة الأحساء</v>
      </c>
      <c r="F195" s="73" t="str">
        <f>'عدد اللاعبين'!F184</f>
        <v>جدة</v>
      </c>
      <c r="G195" s="74">
        <f>'عدد اللاعبين'!G184</f>
        <v>49</v>
      </c>
      <c r="H195" s="72" t="str">
        <f>IFERROR(INDEX(المدخلات!$AE$6:$AE$12,MATCH($C195,المدخلات!$AC$6:$AC$12,0)),"")</f>
        <v>قانوني</v>
      </c>
      <c r="I195" s="74">
        <f t="shared" si="2"/>
        <v>24</v>
      </c>
      <c r="J195" s="74">
        <f>ROUNDUP($I195/IFERROR(INDEX(المدخلات!$AJ$6:$AJ$12,MATCH($C195,المدخلات!$AC$6:$AC$12,0)),1),0)</f>
        <v>8</v>
      </c>
      <c r="K195" s="74">
        <f>ROUNDUP($J195/IFERROR(INDEX(المدخلات!$AF$6:$AF$12,MATCH($C195,المدخلات!$AC$6:$AC$12,0)),1),0)</f>
        <v>8</v>
      </c>
    </row>
    <row r="196" spans="2:11" hidden="1">
      <c r="B196" s="77" t="str">
        <f>'عدد اللاعبين'!B185</f>
        <v>الشرقية</v>
      </c>
      <c r="C196" s="72" t="str">
        <f>'عدد اللاعبين'!C185</f>
        <v>تحت 11</v>
      </c>
      <c r="D196" s="72" t="str">
        <f>IFERROR(INDEX(المدخلات!$AD$6:$AD$12,MATCH($C196,المدخلات!$AC$6:$AC$12,0)),"")</f>
        <v>الأحد</v>
      </c>
      <c r="E196" s="72" t="str">
        <f>'عدد اللاعبين'!D185</f>
        <v>مجموعة الأحساء</v>
      </c>
      <c r="F196" s="73" t="str">
        <f>'عدد اللاعبين'!F185</f>
        <v>جدة</v>
      </c>
      <c r="G196" s="74">
        <f>'عدد اللاعبين'!G185</f>
        <v>52</v>
      </c>
      <c r="H196" s="72" t="str">
        <f>IFERROR(INDEX(المدخلات!$AE$6:$AE$12,MATCH($C196,المدخلات!$AC$6:$AC$12,0)),"")</f>
        <v>7 ضد 7</v>
      </c>
      <c r="I196" s="74">
        <f t="shared" si="2"/>
        <v>26</v>
      </c>
      <c r="J196" s="74">
        <f>ROUNDUP($I196/IFERROR(INDEX(المدخلات!$AJ$6:$AJ$12,MATCH($C196,المدخلات!$AC$6:$AC$12,0)),1),0)</f>
        <v>7</v>
      </c>
      <c r="K196" s="74">
        <f>ROUNDUP($J196/IFERROR(INDEX(المدخلات!$AF$6:$AF$12,MATCH($C196,المدخلات!$AC$6:$AC$12,0)),1),0)</f>
        <v>4</v>
      </c>
    </row>
    <row r="197" spans="2:11" hidden="1">
      <c r="B197" s="77" t="str">
        <f>'عدد اللاعبين'!B186</f>
        <v>الرياض</v>
      </c>
      <c r="C197" s="72" t="str">
        <f>'عدد اللاعبين'!C186</f>
        <v>تحت 14</v>
      </c>
      <c r="D197" s="72" t="str">
        <f>IFERROR(INDEX(المدخلات!$AD$6:$AD$12,MATCH($C197,المدخلات!$AC$6:$AC$12,0)),"")</f>
        <v>الأربعاء</v>
      </c>
      <c r="E197" s="72" t="str">
        <f>'عدد اللاعبين'!D186</f>
        <v>مجموعة الرياض</v>
      </c>
      <c r="F197" s="73" t="str">
        <f>'عدد اللاعبين'!F186</f>
        <v>جدة</v>
      </c>
      <c r="G197" s="74">
        <f>'عدد اللاعبين'!G186</f>
        <v>56</v>
      </c>
      <c r="H197" s="72" t="str">
        <f>IFERROR(INDEX(المدخلات!$AE$6:$AE$12,MATCH($C197,المدخلات!$AC$6:$AC$12,0)),"")</f>
        <v>قانوني</v>
      </c>
      <c r="I197" s="74">
        <f t="shared" si="2"/>
        <v>28</v>
      </c>
      <c r="J197" s="74">
        <f>ROUNDUP($I197/IFERROR(INDEX(المدخلات!$AJ$6:$AJ$12,MATCH($C197,المدخلات!$AC$6:$AC$12,0)),1),0)</f>
        <v>10</v>
      </c>
      <c r="K197" s="74">
        <f>ROUNDUP($J197/IFERROR(INDEX(المدخلات!$AF$6:$AF$12,MATCH($C197,المدخلات!$AC$6:$AC$12,0)),1),0)</f>
        <v>10</v>
      </c>
    </row>
    <row r="198" spans="2:11" hidden="1">
      <c r="B198" s="77" t="str">
        <f>'عدد اللاعبين'!B187</f>
        <v>مكة المكرمة</v>
      </c>
      <c r="C198" s="72" t="str">
        <f>'عدد اللاعبين'!C187</f>
        <v>تحت 14</v>
      </c>
      <c r="D198" s="72" t="str">
        <f>IFERROR(INDEX(المدخلات!$AD$6:$AD$12,MATCH($C198,المدخلات!$AC$6:$AC$12,0)),"")</f>
        <v>الأربعاء</v>
      </c>
      <c r="E198" s="72" t="str">
        <f>'عدد اللاعبين'!D187</f>
        <v>مجموعة جدة</v>
      </c>
      <c r="F198" s="73" t="e">
        <f>'عدد اللاعبين'!F187</f>
        <v>#VALUE!</v>
      </c>
      <c r="G198" s="74">
        <f>'عدد اللاعبين'!G187</f>
        <v>0</v>
      </c>
      <c r="H198" s="72" t="str">
        <f>IFERROR(INDEX(المدخلات!$AE$6:$AE$12,MATCH($C198,المدخلات!$AC$6:$AC$12,0)),"")</f>
        <v>قانوني</v>
      </c>
      <c r="I198" s="74">
        <f t="shared" si="2"/>
        <v>0</v>
      </c>
      <c r="J198" s="74">
        <f>ROUNDUP($I198/IFERROR(INDEX(المدخلات!$AJ$6:$AJ$12,MATCH($C198,المدخلات!$AC$6:$AC$12,0)),1),0)</f>
        <v>0</v>
      </c>
      <c r="K198" s="74">
        <f>ROUNDUP($J198/IFERROR(INDEX(المدخلات!$AF$6:$AF$12,MATCH($C198,المدخلات!$AC$6:$AC$12,0)),1),0)</f>
        <v>0</v>
      </c>
    </row>
    <row r="199" spans="2:11" hidden="1">
      <c r="B199" s="77" t="str">
        <f>'عدد اللاعبين'!B188</f>
        <v>الرياض</v>
      </c>
      <c r="C199" s="72" t="str">
        <f>'عدد اللاعبين'!C188</f>
        <v>تحت 9</v>
      </c>
      <c r="D199" s="72" t="str">
        <f>IFERROR(INDEX(المدخلات!$AD$6:$AD$12,MATCH($C199,المدخلات!$AC$6:$AC$12,0)),"")</f>
        <v>السبت</v>
      </c>
      <c r="E199" s="72" t="str">
        <f>'عدد اللاعبين'!D188</f>
        <v>مجموعة الرياض</v>
      </c>
      <c r="F199" s="73" t="e">
        <f>'عدد اللاعبين'!F188</f>
        <v>#VALUE!</v>
      </c>
      <c r="G199" s="74">
        <f>'عدد اللاعبين'!G188</f>
        <v>0</v>
      </c>
      <c r="H199" s="72" t="str">
        <f>IFERROR(INDEX(المدخلات!$AE$6:$AE$12,MATCH($C199,المدخلات!$AC$6:$AC$12,0)),"")</f>
        <v>7 ضد 7</v>
      </c>
      <c r="I199" s="74">
        <f t="shared" si="2"/>
        <v>0</v>
      </c>
      <c r="J199" s="74">
        <f>ROUNDUP($I199/IFERROR(INDEX(المدخلات!$AJ$6:$AJ$12,MATCH($C199,المدخلات!$AC$6:$AC$12,0)),1),0)</f>
        <v>0</v>
      </c>
      <c r="K199" s="74">
        <f>ROUNDUP($J199/IFERROR(INDEX(المدخلات!$AF$6:$AF$12,MATCH($C199,المدخلات!$AC$6:$AC$12,0)),1),0)</f>
        <v>0</v>
      </c>
    </row>
    <row r="200" spans="2:11" hidden="1">
      <c r="B200" s="77" t="str">
        <f>'عدد اللاعبين'!B189</f>
        <v>الرياض</v>
      </c>
      <c r="C200" s="72" t="str">
        <f>'عدد اللاعبين'!C189</f>
        <v>تحت 11</v>
      </c>
      <c r="D200" s="72" t="str">
        <f>IFERROR(INDEX(المدخلات!$AD$6:$AD$12,MATCH($C200,المدخلات!$AC$6:$AC$12,0)),"")</f>
        <v>الأحد</v>
      </c>
      <c r="E200" s="72" t="str">
        <f>'عدد اللاعبين'!D189</f>
        <v>مجموعة الرياض</v>
      </c>
      <c r="F200" s="73" t="e">
        <f>'عدد اللاعبين'!F189</f>
        <v>#VALUE!</v>
      </c>
      <c r="G200" s="74">
        <f>'عدد اللاعبين'!G189</f>
        <v>0</v>
      </c>
      <c r="H200" s="72" t="str">
        <f>IFERROR(INDEX(المدخلات!$AE$6:$AE$12,MATCH($C200,المدخلات!$AC$6:$AC$12,0)),"")</f>
        <v>7 ضد 7</v>
      </c>
      <c r="I200" s="74">
        <f t="shared" si="2"/>
        <v>0</v>
      </c>
      <c r="J200" s="74">
        <f>ROUNDUP($I200/IFERROR(INDEX(المدخلات!$AJ$6:$AJ$12,MATCH($C200,المدخلات!$AC$6:$AC$12,0)),1),0)</f>
        <v>0</v>
      </c>
      <c r="K200" s="74">
        <f>ROUNDUP($J200/IFERROR(INDEX(المدخلات!$AF$6:$AF$12,MATCH($C200,المدخلات!$AC$6:$AC$12,0)),1),0)</f>
        <v>0</v>
      </c>
    </row>
    <row r="201" spans="2:11" hidden="1">
      <c r="B201" s="77" t="str">
        <f>'عدد اللاعبين'!B190</f>
        <v>الرياض</v>
      </c>
      <c r="C201" s="72" t="str">
        <f>'عدد اللاعبين'!C190</f>
        <v>تحت 12</v>
      </c>
      <c r="D201" s="72" t="str">
        <f>IFERROR(INDEX(المدخلات!$AD$6:$AD$12,MATCH($C201,المدخلات!$AC$6:$AC$12,0)),"")</f>
        <v>الاثنين</v>
      </c>
      <c r="E201" s="72" t="str">
        <f>'عدد اللاعبين'!D190</f>
        <v>مجموعة الرياض</v>
      </c>
      <c r="F201" s="73" t="e">
        <f>'عدد اللاعبين'!F190</f>
        <v>#VALUE!</v>
      </c>
      <c r="G201" s="74">
        <f>'عدد اللاعبين'!G190</f>
        <v>0</v>
      </c>
      <c r="H201" s="72" t="str">
        <f>IFERROR(INDEX(المدخلات!$AE$6:$AE$12,MATCH($C201,المدخلات!$AC$6:$AC$12,0)),"")</f>
        <v>7 ضد 7</v>
      </c>
      <c r="I201" s="74">
        <f t="shared" si="2"/>
        <v>0</v>
      </c>
      <c r="J201" s="74">
        <f>ROUNDUP($I201/IFERROR(INDEX(المدخلات!$AJ$6:$AJ$12,MATCH($C201,المدخلات!$AC$6:$AC$12,0)),1),0)</f>
        <v>0</v>
      </c>
      <c r="K201" s="74">
        <f>ROUNDUP($J201/IFERROR(INDEX(المدخلات!$AF$6:$AF$12,MATCH($C201,المدخلات!$AC$6:$AC$12,0)),1),0)</f>
        <v>0</v>
      </c>
    </row>
    <row r="202" spans="2:11" hidden="1">
      <c r="B202" s="77" t="str">
        <f>'عدد اللاعبين'!B191</f>
        <v>مكة المكرمة</v>
      </c>
      <c r="C202" s="72" t="str">
        <f>'عدد اللاعبين'!C191</f>
        <v>تحت 9</v>
      </c>
      <c r="D202" s="72" t="str">
        <f>IFERROR(INDEX(المدخلات!$AD$6:$AD$12,MATCH($C202,المدخلات!$AC$6:$AC$12,0)),"")</f>
        <v>السبت</v>
      </c>
      <c r="E202" s="72" t="str">
        <f>'عدد اللاعبين'!D191</f>
        <v>مجموعة جدة</v>
      </c>
      <c r="F202" s="73" t="e">
        <f>'عدد اللاعبين'!F191</f>
        <v>#VALUE!</v>
      </c>
      <c r="G202" s="74">
        <f>'عدد اللاعبين'!G191</f>
        <v>0</v>
      </c>
      <c r="H202" s="72" t="str">
        <f>IFERROR(INDEX(المدخلات!$AE$6:$AE$12,MATCH($C202,المدخلات!$AC$6:$AC$12,0)),"")</f>
        <v>7 ضد 7</v>
      </c>
      <c r="I202" s="74">
        <f t="shared" si="2"/>
        <v>0</v>
      </c>
      <c r="J202" s="74">
        <f>ROUNDUP($I202/IFERROR(INDEX(المدخلات!$AJ$6:$AJ$12,MATCH($C202,المدخلات!$AC$6:$AC$12,0)),1),0)</f>
        <v>0</v>
      </c>
      <c r="K202" s="74">
        <f>ROUNDUP($J202/IFERROR(INDEX(المدخلات!$AF$6:$AF$12,MATCH($C202,المدخلات!$AC$6:$AC$12,0)),1),0)</f>
        <v>0</v>
      </c>
    </row>
    <row r="203" spans="2:11" hidden="1">
      <c r="B203" s="77" t="str">
        <f>'عدد اللاعبين'!B192</f>
        <v>مكة المكرمة</v>
      </c>
      <c r="C203" s="72" t="str">
        <f>'عدد اللاعبين'!C192</f>
        <v>تحت 11</v>
      </c>
      <c r="D203" s="72" t="str">
        <f>IFERROR(INDEX(المدخلات!$AD$6:$AD$12,MATCH($C203,المدخلات!$AC$6:$AC$12,0)),"")</f>
        <v>الأحد</v>
      </c>
      <c r="E203" s="72" t="str">
        <f>'عدد اللاعبين'!D192</f>
        <v>مجموعة جدة</v>
      </c>
      <c r="F203" s="73" t="e">
        <f>'عدد اللاعبين'!F192</f>
        <v>#VALUE!</v>
      </c>
      <c r="G203" s="74">
        <f>'عدد اللاعبين'!G192</f>
        <v>0</v>
      </c>
      <c r="H203" s="72" t="str">
        <f>IFERROR(INDEX(المدخلات!$AE$6:$AE$12,MATCH($C203,المدخلات!$AC$6:$AC$12,0)),"")</f>
        <v>7 ضد 7</v>
      </c>
      <c r="I203" s="74">
        <f t="shared" si="2"/>
        <v>0</v>
      </c>
      <c r="J203" s="74">
        <f>ROUNDUP($I203/IFERROR(INDEX(المدخلات!$AJ$6:$AJ$12,MATCH($C203,المدخلات!$AC$6:$AC$12,0)),1),0)</f>
        <v>0</v>
      </c>
      <c r="K203" s="74">
        <f>ROUNDUP($J203/IFERROR(INDEX(المدخلات!$AF$6:$AF$12,MATCH($C203,المدخلات!$AC$6:$AC$12,0)),1),0)</f>
        <v>0</v>
      </c>
    </row>
    <row r="204" spans="2:11" hidden="1">
      <c r="B204" s="77" t="str">
        <f>'عدد اللاعبين'!B193</f>
        <v>مكة المكرمة</v>
      </c>
      <c r="C204" s="72" t="str">
        <f>'عدد اللاعبين'!C193</f>
        <v>تحت 12</v>
      </c>
      <c r="D204" s="72" t="str">
        <f>IFERROR(INDEX(المدخلات!$AD$6:$AD$12,MATCH($C204,المدخلات!$AC$6:$AC$12,0)),"")</f>
        <v>الاثنين</v>
      </c>
      <c r="E204" s="72" t="str">
        <f>'عدد اللاعبين'!D193</f>
        <v>مجموعة جدة</v>
      </c>
      <c r="F204" s="73" t="e">
        <f>'عدد اللاعبين'!F193</f>
        <v>#VALUE!</v>
      </c>
      <c r="G204" s="74">
        <f>'عدد اللاعبين'!G193</f>
        <v>0</v>
      </c>
      <c r="H204" s="72" t="str">
        <f>IFERROR(INDEX(المدخلات!$AE$6:$AE$12,MATCH($C204,المدخلات!$AC$6:$AC$12,0)),"")</f>
        <v>7 ضد 7</v>
      </c>
      <c r="I204" s="74">
        <f t="shared" si="2"/>
        <v>0</v>
      </c>
      <c r="J204" s="74">
        <f>ROUNDUP($I204/IFERROR(INDEX(المدخلات!$AJ$6:$AJ$12,MATCH($C204,المدخلات!$AC$6:$AC$12,0)),1),0)</f>
        <v>0</v>
      </c>
      <c r="K204" s="74">
        <f>ROUNDUP($J204/IFERROR(INDEX(المدخلات!$AF$6:$AF$12,MATCH($C204,المدخلات!$AC$6:$AC$12,0)),1),0)</f>
        <v>0</v>
      </c>
    </row>
    <row r="209" spans="2:12" ht="16">
      <c r="B209" s="55" t="s">
        <v>1514</v>
      </c>
      <c r="C209" s="56"/>
      <c r="D209" s="56"/>
      <c r="E209" s="56"/>
      <c r="F209" s="56"/>
      <c r="G209" s="56"/>
      <c r="H209" s="56"/>
      <c r="I209" s="56"/>
      <c r="J209" s="56"/>
      <c r="K209" s="47"/>
    </row>
    <row r="210" spans="2:12">
      <c r="B210" s="48" t="s">
        <v>129</v>
      </c>
      <c r="C210" s="49" t="s">
        <v>0</v>
      </c>
      <c r="D210" s="49" t="s">
        <v>6</v>
      </c>
      <c r="E210" s="49" t="s">
        <v>1518</v>
      </c>
      <c r="F210" s="49" t="str">
        <f>المدخلات!$AC$9</f>
        <v>تحت 11</v>
      </c>
      <c r="G210" s="49" t="str">
        <f>المدخلات!$AC$10</f>
        <v>تحت 12</v>
      </c>
      <c r="H210" s="49" t="str">
        <f>المدخلات!$AC$11</f>
        <v>تحت 13</v>
      </c>
      <c r="I210" s="49" t="str">
        <f>المدخلات!$AC$12</f>
        <v>تحت 14</v>
      </c>
      <c r="J210" s="49" t="s">
        <v>1516</v>
      </c>
      <c r="K210" s="50" t="s">
        <v>1517</v>
      </c>
      <c r="L210" s="61" t="s">
        <v>1573</v>
      </c>
    </row>
    <row r="211" spans="2:12">
      <c r="B211" s="48" t="s">
        <v>1515</v>
      </c>
      <c r="C211" s="49" t="s">
        <v>1515</v>
      </c>
      <c r="D211" s="49" t="s">
        <v>1515</v>
      </c>
      <c r="E211" s="49" t="str">
        <f>المدخلات!$AD$6</f>
        <v>السبت</v>
      </c>
      <c r="F211" s="49" t="str">
        <f>المدخلات!$AD$9</f>
        <v>الأحد</v>
      </c>
      <c r="G211" s="49" t="str">
        <f>المدخلات!$AD$10</f>
        <v>الاثنين</v>
      </c>
      <c r="H211" s="49" t="str">
        <f>المدخلات!$AD$11</f>
        <v>الخميس</v>
      </c>
      <c r="I211" s="49" t="str">
        <f>المدخلات!$AD$12</f>
        <v>الأربعاء</v>
      </c>
      <c r="J211" s="49" t="s">
        <v>1515</v>
      </c>
      <c r="K211" s="50" t="s">
        <v>1515</v>
      </c>
      <c r="L211" s="49" t="s">
        <v>1515</v>
      </c>
    </row>
    <row r="212" spans="2:12">
      <c r="B212" s="51" t="s">
        <v>74</v>
      </c>
      <c r="C212" s="52" t="s">
        <v>9</v>
      </c>
      <c r="D212" s="52" t="str">
        <f>IFERROR(INDEX('عدد اللاعبين'!$F$3:$F$193,MATCH($C212,'عدد اللاعبين'!$D$3:$D$193,0)),"")</f>
        <v>الباحة، بلقرن</v>
      </c>
      <c r="E212" s="53">
        <f>MAX(SUMIFS($K$14:$K$204,$E$14:$E$204,$C212,$C$14:$C$204,المدخلات!$AC$6),SUMIFS($K$14:$K$204,$E$14:$E$204,$C212,$C$14:$C$204,المدخلات!$AC$7),SUMIFS($K$14:$K$204,$E$14:$E$204,$C212,$C$14:$C$204,المدخلات!$AC$8))</f>
        <v>1</v>
      </c>
      <c r="F212" s="53">
        <f>SUMIFS($K$14:$K$204,$E$14:$E$204,$C212,$C$14:$C$204,المدخلات!$AC$9)</f>
        <v>0</v>
      </c>
      <c r="G212" s="53">
        <f>SUMIFS($K$14:$K$204,$E$14:$E$204,$C212,$C$14:$C$204,المدخلات!$AC$10)</f>
        <v>1</v>
      </c>
      <c r="H212" s="53">
        <f>SUMIFS($K$14:$K$204,$E$14:$E$204,$C212,$C$14:$C$204,المدخلات!$AC$11)</f>
        <v>1</v>
      </c>
      <c r="I212" s="53">
        <f>SUMIFS($K$14:$K$204,$E$14:$E$204,$C212,$C$14:$C$204,المدخلات!$AC$12)</f>
        <v>1</v>
      </c>
      <c r="J212" s="53">
        <f t="shared" ref="J212:J243" si="3">MAX($E212:$I212)</f>
        <v>1</v>
      </c>
      <c r="K212" s="54">
        <f t="shared" ref="K212:K243" si="4">SUMIFS($G$14:$G$204,$E$14:$E$204,$C212,$G$14:$G$204,"&gt;="&amp;الحد_الأدنى)</f>
        <v>33</v>
      </c>
      <c r="L212" s="53" t="str">
        <f t="shared" ref="L212:L243" si="5">IF($K212=0,"غير مكتملة","مكتملة")</f>
        <v>مكتملة</v>
      </c>
    </row>
    <row r="213" spans="2:12">
      <c r="B213" s="51" t="s">
        <v>75</v>
      </c>
      <c r="C213" s="52" t="s">
        <v>1490</v>
      </c>
      <c r="D213" s="52" t="str">
        <f>IFERROR(INDEX('عدد اللاعبين'!$F$3:$F$193,MATCH($C213,'عدد اللاعبين'!$D$3:$D$193,0)),"")</f>
        <v>الباحة</v>
      </c>
      <c r="E213" s="53">
        <f>MAX(SUMIFS($K$14:$K$204,$E$14:$E$204,$C213,$C$14:$C$204,المدخلات!$AC$6),SUMIFS($K$14:$K$204,$E$14:$E$204,$C213,$C$14:$C$204,المدخلات!$AC$7),SUMIFS($K$14:$K$204,$E$14:$E$204,$C213,$C$14:$C$204,المدخلات!$AC$8))</f>
        <v>1</v>
      </c>
      <c r="F213" s="53">
        <f>SUMIFS($K$14:$K$204,$E$14:$E$204,$C213,$C$14:$C$204,المدخلات!$AC$9)</f>
        <v>1</v>
      </c>
      <c r="G213" s="53">
        <f>SUMIFS($K$14:$K$204,$E$14:$E$204,$C213,$C$14:$C$204,المدخلات!$AC$10)</f>
        <v>1</v>
      </c>
      <c r="H213" s="53">
        <f>SUMIFS($K$14:$K$204,$E$14:$E$204,$C213,$C$14:$C$204,المدخلات!$AC$11)</f>
        <v>1</v>
      </c>
      <c r="I213" s="53">
        <f>SUMIFS($K$14:$K$204,$E$14:$E$204,$C213,$C$14:$C$204,المدخلات!$AC$12)</f>
        <v>1</v>
      </c>
      <c r="J213" s="53">
        <f t="shared" si="3"/>
        <v>1</v>
      </c>
      <c r="K213" s="54">
        <f t="shared" si="4"/>
        <v>46</v>
      </c>
      <c r="L213" s="53" t="str">
        <f t="shared" si="5"/>
        <v>مكتملة</v>
      </c>
    </row>
    <row r="214" spans="2:12">
      <c r="B214" s="51" t="s">
        <v>75</v>
      </c>
      <c r="C214" s="52" t="s">
        <v>1283</v>
      </c>
      <c r="D214" s="52" t="str">
        <f>IFERROR(INDEX('عدد اللاعبين'!$F$3:$F$193,MATCH($C214,'عدد اللاعبين'!$D$3:$D$193,0)),"")</f>
        <v>أحد المسارحة</v>
      </c>
      <c r="E214" s="53">
        <f>MAX(SUMIFS($K$14:$K$204,$E$14:$E$204,$C214,$C$14:$C$204,المدخلات!$AC$6),SUMIFS($K$14:$K$204,$E$14:$E$204,$C214,$C$14:$C$204,المدخلات!$AC$7),SUMIFS($K$14:$K$204,$E$14:$E$204,$C214,$C$14:$C$204,المدخلات!$AC$8))</f>
        <v>2</v>
      </c>
      <c r="F214" s="53">
        <f>SUMIFS($K$14:$K$204,$E$14:$E$204,$C214,$C$14:$C$204,المدخلات!$AC$9)</f>
        <v>1</v>
      </c>
      <c r="G214" s="53">
        <f>SUMIFS($K$14:$K$204,$E$14:$E$204,$C214,$C$14:$C$204,المدخلات!$AC$10)</f>
        <v>1</v>
      </c>
      <c r="H214" s="53">
        <f>SUMIFS($K$14:$K$204,$E$14:$E$204,$C214,$C$14:$C$204,المدخلات!$AC$11)</f>
        <v>2</v>
      </c>
      <c r="I214" s="53">
        <f>SUMIFS($K$14:$K$204,$E$14:$E$204,$C214,$C$14:$C$204,المدخلات!$AC$12)</f>
        <v>2</v>
      </c>
      <c r="J214" s="53">
        <f t="shared" si="3"/>
        <v>2</v>
      </c>
      <c r="K214" s="54">
        <f t="shared" si="4"/>
        <v>81</v>
      </c>
      <c r="L214" s="53" t="str">
        <f t="shared" si="5"/>
        <v>مكتملة</v>
      </c>
    </row>
    <row r="215" spans="2:12">
      <c r="B215" s="51" t="s">
        <v>75</v>
      </c>
      <c r="C215" s="52" t="s">
        <v>1284</v>
      </c>
      <c r="D215" s="52" t="str">
        <f>IFERROR(INDEX('عدد اللاعبين'!$F$3:$F$193,MATCH($C215,'عدد اللاعبين'!$D$3:$D$193,0)),"")</f>
        <v>الدوادمي</v>
      </c>
      <c r="E215" s="53">
        <f>MAX(SUMIFS($K$14:$K$204,$E$14:$E$204,$C215,$C$14:$C$204,المدخلات!$AC$6),SUMIFS($K$14:$K$204,$E$14:$E$204,$C215,$C$14:$C$204,المدخلات!$AC$7),SUMIFS($K$14:$K$204,$E$14:$E$204,$C215,$C$14:$C$204,المدخلات!$AC$8))</f>
        <v>1</v>
      </c>
      <c r="F215" s="53">
        <f>SUMIFS($K$14:$K$204,$E$14:$E$204,$C215,$C$14:$C$204,المدخلات!$AC$9)</f>
        <v>0</v>
      </c>
      <c r="G215" s="53">
        <f>SUMIFS($K$14:$K$204,$E$14:$E$204,$C215,$C$14:$C$204,المدخلات!$AC$10)</f>
        <v>0</v>
      </c>
      <c r="H215" s="53">
        <f>SUMIFS($K$14:$K$204,$E$14:$E$204,$C215,$C$14:$C$204,المدخلات!$AC$11)</f>
        <v>0</v>
      </c>
      <c r="I215" s="53">
        <f>SUMIFS($K$14:$K$204,$E$14:$E$204,$C215,$C$14:$C$204,المدخلات!$AC$12)</f>
        <v>0</v>
      </c>
      <c r="J215" s="53">
        <f t="shared" si="3"/>
        <v>1</v>
      </c>
      <c r="K215" s="54">
        <f t="shared" si="4"/>
        <v>7</v>
      </c>
      <c r="L215" s="53" t="str">
        <f t="shared" si="5"/>
        <v>مكتملة</v>
      </c>
    </row>
    <row r="216" spans="2:12">
      <c r="B216" s="51" t="s">
        <v>182</v>
      </c>
      <c r="C216" s="52" t="s">
        <v>10</v>
      </c>
      <c r="D216" s="52" t="str">
        <f>IFERROR(INDEX('عدد اللاعبين'!$F$3:$F$193,MATCH($C216,'عدد اللاعبين'!$D$3:$D$193,0)),"")</f>
        <v/>
      </c>
      <c r="E216" s="53">
        <f>MAX(SUMIFS($K$14:$K$204,$E$14:$E$204,$C216,$C$14:$C$204,المدخلات!$AC$6),SUMIFS($K$14:$K$204,$E$14:$E$204,$C216,$C$14:$C$204,المدخلات!$AC$7),SUMIFS($K$14:$K$204,$E$14:$E$204,$C216,$C$14:$C$204,المدخلات!$AC$8))</f>
        <v>0</v>
      </c>
      <c r="F216" s="53">
        <f>SUMIFS($K$14:$K$204,$E$14:$E$204,$C216,$C$14:$C$204,المدخلات!$AC$9)</f>
        <v>0</v>
      </c>
      <c r="G216" s="53">
        <f>SUMIFS($K$14:$K$204,$E$14:$E$204,$C216,$C$14:$C$204,المدخلات!$AC$10)</f>
        <v>0</v>
      </c>
      <c r="H216" s="53">
        <f>SUMIFS($K$14:$K$204,$E$14:$E$204,$C216,$C$14:$C$204,المدخلات!$AC$11)</f>
        <v>0</v>
      </c>
      <c r="I216" s="53">
        <f>SUMIFS($K$14:$K$204,$E$14:$E$204,$C216,$C$14:$C$204,المدخلات!$AC$12)</f>
        <v>0</v>
      </c>
      <c r="J216" s="53">
        <f t="shared" si="3"/>
        <v>0</v>
      </c>
      <c r="K216" s="54">
        <f t="shared" si="4"/>
        <v>0</v>
      </c>
      <c r="L216" s="53" t="str">
        <f t="shared" si="5"/>
        <v>غير مكتملة</v>
      </c>
    </row>
    <row r="217" spans="2:12">
      <c r="B217" s="51" t="s">
        <v>35</v>
      </c>
      <c r="C217" s="52" t="s">
        <v>11</v>
      </c>
      <c r="D217" s="52" t="str">
        <f>IFERROR(INDEX('عدد اللاعبين'!$F$3:$F$193,MATCH($C217,'عدد اللاعبين'!$D$3:$D$193,0)),"")</f>
        <v>القريات</v>
      </c>
      <c r="E217" s="53">
        <f>MAX(SUMIFS($K$14:$K$204,$E$14:$E$204,$C217,$C$14:$C$204,المدخلات!$AC$6),SUMIFS($K$14:$K$204,$E$14:$E$204,$C217,$C$14:$C$204,المدخلات!$AC$7),SUMIFS($K$14:$K$204,$E$14:$E$204,$C217,$C$14:$C$204,المدخلات!$AC$8))</f>
        <v>0</v>
      </c>
      <c r="F217" s="53">
        <f>SUMIFS($K$14:$K$204,$E$14:$E$204,$C217,$C$14:$C$204,المدخلات!$AC$9)</f>
        <v>1</v>
      </c>
      <c r="G217" s="53">
        <f>SUMIFS($K$14:$K$204,$E$14:$E$204,$C217,$C$14:$C$204,المدخلات!$AC$10)</f>
        <v>1</v>
      </c>
      <c r="H217" s="53">
        <f>SUMIFS($K$14:$K$204,$E$14:$E$204,$C217,$C$14:$C$204,المدخلات!$AC$11)</f>
        <v>2</v>
      </c>
      <c r="I217" s="53">
        <f>SUMIFS($K$14:$K$204,$E$14:$E$204,$C217,$C$14:$C$204,المدخلات!$AC$12)</f>
        <v>1</v>
      </c>
      <c r="J217" s="53">
        <f t="shared" si="3"/>
        <v>2</v>
      </c>
      <c r="K217" s="54">
        <f t="shared" si="4"/>
        <v>40</v>
      </c>
      <c r="L217" s="53" t="str">
        <f t="shared" si="5"/>
        <v>مكتملة</v>
      </c>
    </row>
    <row r="218" spans="2:12">
      <c r="B218" s="51" t="s">
        <v>35</v>
      </c>
      <c r="C218" s="52" t="s">
        <v>12</v>
      </c>
      <c r="D218" s="52" t="str">
        <f>IFERROR(INDEX('عدد اللاعبين'!$F$3:$F$193,MATCH($C218,'عدد اللاعبين'!$D$3:$D$193,0)),"")</f>
        <v>الباحة، بلقرن، العقيق</v>
      </c>
      <c r="E218" s="53">
        <f>MAX(SUMIFS($K$14:$K$204,$E$14:$E$204,$C218,$C$14:$C$204,المدخلات!$AC$6),SUMIFS($K$14:$K$204,$E$14:$E$204,$C218,$C$14:$C$204,المدخلات!$AC$7),SUMIFS($K$14:$K$204,$E$14:$E$204,$C218,$C$14:$C$204,المدخلات!$AC$8))</f>
        <v>1</v>
      </c>
      <c r="F218" s="53">
        <f>SUMIFS($K$14:$K$204,$E$14:$E$204,$C218,$C$14:$C$204,المدخلات!$AC$9)</f>
        <v>0</v>
      </c>
      <c r="G218" s="53">
        <f>SUMIFS($K$14:$K$204,$E$14:$E$204,$C218,$C$14:$C$204,المدخلات!$AC$10)</f>
        <v>0</v>
      </c>
      <c r="H218" s="53">
        <f>SUMIFS($K$14:$K$204,$E$14:$E$204,$C218,$C$14:$C$204,المدخلات!$AC$11)</f>
        <v>0</v>
      </c>
      <c r="I218" s="53">
        <f>SUMIFS($K$14:$K$204,$E$14:$E$204,$C218,$C$14:$C$204,المدخلات!$AC$12)</f>
        <v>0</v>
      </c>
      <c r="J218" s="53">
        <f t="shared" si="3"/>
        <v>1</v>
      </c>
      <c r="K218" s="54">
        <f t="shared" si="4"/>
        <v>6</v>
      </c>
      <c r="L218" s="53" t="str">
        <f t="shared" si="5"/>
        <v>مكتملة</v>
      </c>
    </row>
    <row r="219" spans="2:12">
      <c r="B219" s="51" t="s">
        <v>35</v>
      </c>
      <c r="C219" s="52" t="s">
        <v>13</v>
      </c>
      <c r="D219" s="52" t="str">
        <f>IFERROR(INDEX('عدد اللاعبين'!$F$3:$F$193,MATCH($C219,'عدد اللاعبين'!$D$3:$D$193,0)),"")</f>
        <v>مكة المكرمة</v>
      </c>
      <c r="E219" s="53">
        <f>MAX(SUMIFS($K$14:$K$204,$E$14:$E$204,$C219,$C$14:$C$204,المدخلات!$AC$6),SUMIFS($K$14:$K$204,$E$14:$E$204,$C219,$C$14:$C$204,المدخلات!$AC$7),SUMIFS($K$14:$K$204,$E$14:$E$204,$C219,$C$14:$C$204,المدخلات!$AC$8))</f>
        <v>4</v>
      </c>
      <c r="F219" s="53">
        <f>SUMIFS($K$14:$K$204,$E$14:$E$204,$C219,$C$14:$C$204,المدخلات!$AC$9)</f>
        <v>0</v>
      </c>
      <c r="G219" s="53">
        <f>SUMIFS($K$14:$K$204,$E$14:$E$204,$C219,$C$14:$C$204,المدخلات!$AC$10)</f>
        <v>0</v>
      </c>
      <c r="H219" s="53">
        <f>SUMIFS($K$14:$K$204,$E$14:$E$204,$C219,$C$14:$C$204,المدخلات!$AC$11)</f>
        <v>6</v>
      </c>
      <c r="I219" s="53">
        <f>SUMIFS($K$14:$K$204,$E$14:$E$204,$C219,$C$14:$C$204,المدخلات!$AC$12)</f>
        <v>10</v>
      </c>
      <c r="J219" s="53">
        <f t="shared" si="3"/>
        <v>10</v>
      </c>
      <c r="K219" s="54">
        <f t="shared" si="4"/>
        <v>151</v>
      </c>
      <c r="L219" s="53" t="str">
        <f t="shared" si="5"/>
        <v>مكتملة</v>
      </c>
    </row>
    <row r="220" spans="2:12">
      <c r="B220" s="51" t="s">
        <v>35</v>
      </c>
      <c r="C220" s="52" t="s">
        <v>46</v>
      </c>
      <c r="D220" s="52" t="str">
        <f>IFERROR(INDEX('عدد اللاعبين'!$F$3:$F$193,MATCH($C220,'عدد اللاعبين'!$D$3:$D$193,0)),"")</f>
        <v/>
      </c>
      <c r="E220" s="53">
        <f>MAX(SUMIFS($K$14:$K$204,$E$14:$E$204,$C220,$C$14:$C$204,المدخلات!$AC$6),SUMIFS($K$14:$K$204,$E$14:$E$204,$C220,$C$14:$C$204,المدخلات!$AC$7),SUMIFS($K$14:$K$204,$E$14:$E$204,$C220,$C$14:$C$204,المدخلات!$AC$8))</f>
        <v>0</v>
      </c>
      <c r="F220" s="53">
        <f>SUMIFS($K$14:$K$204,$E$14:$E$204,$C220,$C$14:$C$204,المدخلات!$AC$9)</f>
        <v>0</v>
      </c>
      <c r="G220" s="53">
        <f>SUMIFS($K$14:$K$204,$E$14:$E$204,$C220,$C$14:$C$204,المدخلات!$AC$10)</f>
        <v>0</v>
      </c>
      <c r="H220" s="53">
        <f>SUMIFS($K$14:$K$204,$E$14:$E$204,$C220,$C$14:$C$204,المدخلات!$AC$11)</f>
        <v>0</v>
      </c>
      <c r="I220" s="53">
        <f>SUMIFS($K$14:$K$204,$E$14:$E$204,$C220,$C$14:$C$204,المدخلات!$AC$12)</f>
        <v>0</v>
      </c>
      <c r="J220" s="53">
        <f t="shared" si="3"/>
        <v>0</v>
      </c>
      <c r="K220" s="54">
        <f t="shared" si="4"/>
        <v>0</v>
      </c>
      <c r="L220" s="53" t="str">
        <f t="shared" si="5"/>
        <v>غير مكتملة</v>
      </c>
    </row>
    <row r="221" spans="2:12">
      <c r="B221" s="51" t="s">
        <v>35</v>
      </c>
      <c r="C221" s="52" t="s">
        <v>19</v>
      </c>
      <c r="D221" s="52" t="str">
        <f>IFERROR(INDEX('عدد اللاعبين'!$F$3:$F$193,MATCH($C221,'عدد اللاعبين'!$D$3:$D$193,0)),"")</f>
        <v/>
      </c>
      <c r="E221" s="53">
        <f>MAX(SUMIFS($K$14:$K$204,$E$14:$E$204,$C221,$C$14:$C$204,المدخلات!$AC$6),SUMIFS($K$14:$K$204,$E$14:$E$204,$C221,$C$14:$C$204,المدخلات!$AC$7),SUMIFS($K$14:$K$204,$E$14:$E$204,$C221,$C$14:$C$204,المدخلات!$AC$8))</f>
        <v>0</v>
      </c>
      <c r="F221" s="53">
        <f>SUMIFS($K$14:$K$204,$E$14:$E$204,$C221,$C$14:$C$204,المدخلات!$AC$9)</f>
        <v>0</v>
      </c>
      <c r="G221" s="53">
        <f>SUMIFS($K$14:$K$204,$E$14:$E$204,$C221,$C$14:$C$204,المدخلات!$AC$10)</f>
        <v>0</v>
      </c>
      <c r="H221" s="53">
        <f>SUMIFS($K$14:$K$204,$E$14:$E$204,$C221,$C$14:$C$204,المدخلات!$AC$11)</f>
        <v>0</v>
      </c>
      <c r="I221" s="53">
        <f>SUMIFS($K$14:$K$204,$E$14:$E$204,$C221,$C$14:$C$204,المدخلات!$AC$12)</f>
        <v>0</v>
      </c>
      <c r="J221" s="53">
        <f t="shared" si="3"/>
        <v>0</v>
      </c>
      <c r="K221" s="54">
        <f t="shared" si="4"/>
        <v>0</v>
      </c>
      <c r="L221" s="53" t="str">
        <f t="shared" si="5"/>
        <v>غير مكتملة</v>
      </c>
    </row>
    <row r="222" spans="2:12">
      <c r="B222" s="51" t="s">
        <v>35</v>
      </c>
      <c r="C222" s="52" t="s">
        <v>64</v>
      </c>
      <c r="D222" s="52" t="str">
        <f>IFERROR(INDEX('عدد اللاعبين'!$F$3:$F$193,MATCH($C222,'عدد اللاعبين'!$D$3:$D$193,0)),"")</f>
        <v/>
      </c>
      <c r="E222" s="53">
        <f>MAX(SUMIFS($K$14:$K$204,$E$14:$E$204,$C222,$C$14:$C$204,المدخلات!$AC$6),SUMIFS($K$14:$K$204,$E$14:$E$204,$C222,$C$14:$C$204,المدخلات!$AC$7),SUMIFS($K$14:$K$204,$E$14:$E$204,$C222,$C$14:$C$204,المدخلات!$AC$8))</f>
        <v>0</v>
      </c>
      <c r="F222" s="53">
        <f>SUMIFS($K$14:$K$204,$E$14:$E$204,$C222,$C$14:$C$204,المدخلات!$AC$9)</f>
        <v>0</v>
      </c>
      <c r="G222" s="53">
        <f>SUMIFS($K$14:$K$204,$E$14:$E$204,$C222,$C$14:$C$204,المدخلات!$AC$10)</f>
        <v>0</v>
      </c>
      <c r="H222" s="53">
        <f>SUMIFS($K$14:$K$204,$E$14:$E$204,$C222,$C$14:$C$204,المدخلات!$AC$11)</f>
        <v>0</v>
      </c>
      <c r="I222" s="53">
        <f>SUMIFS($K$14:$K$204,$E$14:$E$204,$C222,$C$14:$C$204,المدخلات!$AC$12)</f>
        <v>0</v>
      </c>
      <c r="J222" s="53">
        <f t="shared" si="3"/>
        <v>0</v>
      </c>
      <c r="K222" s="54">
        <f t="shared" si="4"/>
        <v>0</v>
      </c>
      <c r="L222" s="53" t="str">
        <f t="shared" si="5"/>
        <v>غير مكتملة</v>
      </c>
    </row>
    <row r="223" spans="2:12">
      <c r="B223" s="51" t="s">
        <v>35</v>
      </c>
      <c r="C223" s="52" t="s">
        <v>69</v>
      </c>
      <c r="D223" s="52" t="str">
        <f>IFERROR(INDEX('عدد اللاعبين'!$F$3:$F$193,MATCH($C223,'عدد اللاعبين'!$D$3:$D$193,0)),"")</f>
        <v/>
      </c>
      <c r="E223" s="53">
        <f>MAX(SUMIFS($K$14:$K$204,$E$14:$E$204,$C223,$C$14:$C$204,المدخلات!$AC$6),SUMIFS($K$14:$K$204,$E$14:$E$204,$C223,$C$14:$C$204,المدخلات!$AC$7),SUMIFS($K$14:$K$204,$E$14:$E$204,$C223,$C$14:$C$204,المدخلات!$AC$8))</f>
        <v>0</v>
      </c>
      <c r="F223" s="53">
        <f>SUMIFS($K$14:$K$204,$E$14:$E$204,$C223,$C$14:$C$204,المدخلات!$AC$9)</f>
        <v>0</v>
      </c>
      <c r="G223" s="53">
        <f>SUMIFS($K$14:$K$204,$E$14:$E$204,$C223,$C$14:$C$204,المدخلات!$AC$10)</f>
        <v>0</v>
      </c>
      <c r="H223" s="53">
        <f>SUMIFS($K$14:$K$204,$E$14:$E$204,$C223,$C$14:$C$204,المدخلات!$AC$11)</f>
        <v>0</v>
      </c>
      <c r="I223" s="53">
        <f>SUMIFS($K$14:$K$204,$E$14:$E$204,$C223,$C$14:$C$204,المدخلات!$AC$12)</f>
        <v>0</v>
      </c>
      <c r="J223" s="53">
        <f t="shared" si="3"/>
        <v>0</v>
      </c>
      <c r="K223" s="54">
        <f t="shared" si="4"/>
        <v>0</v>
      </c>
      <c r="L223" s="53" t="str">
        <f t="shared" si="5"/>
        <v>غير مكتملة</v>
      </c>
    </row>
    <row r="224" spans="2:12">
      <c r="B224" s="51" t="s">
        <v>77</v>
      </c>
      <c r="C224" s="52" t="s">
        <v>8</v>
      </c>
      <c r="D224" s="52" t="str">
        <f>IFERROR(INDEX('عدد اللاعبين'!$F$3:$F$193,MATCH($C224,'عدد اللاعبين'!$D$3:$D$193,0)),"")</f>
        <v>الخرج، الدلم</v>
      </c>
      <c r="E224" s="53">
        <f>MAX(SUMIFS($K$14:$K$204,$E$14:$E$204,$C224,$C$14:$C$204,المدخلات!$AC$6),SUMIFS($K$14:$K$204,$E$14:$E$204,$C224,$C$14:$C$204,المدخلات!$AC$7),SUMIFS($K$14:$K$204,$E$14:$E$204,$C224,$C$14:$C$204,المدخلات!$AC$8))</f>
        <v>3</v>
      </c>
      <c r="F224" s="53">
        <f>SUMIFS($K$14:$K$204,$E$14:$E$204,$C224,$C$14:$C$204,المدخلات!$AC$9)</f>
        <v>4</v>
      </c>
      <c r="G224" s="53">
        <f>SUMIFS($K$14:$K$204,$E$14:$E$204,$C224,$C$14:$C$204,المدخلات!$AC$10)</f>
        <v>3</v>
      </c>
      <c r="H224" s="53">
        <f>SUMIFS($K$14:$K$204,$E$14:$E$204,$C224,$C$14:$C$204,المدخلات!$AC$11)</f>
        <v>8</v>
      </c>
      <c r="I224" s="53">
        <f>SUMIFS($K$14:$K$204,$E$14:$E$204,$C224,$C$14:$C$204,المدخلات!$AC$12)</f>
        <v>5</v>
      </c>
      <c r="J224" s="53">
        <f t="shared" si="3"/>
        <v>8</v>
      </c>
      <c r="K224" s="54">
        <f t="shared" si="4"/>
        <v>237</v>
      </c>
      <c r="L224" s="53" t="str">
        <f t="shared" si="5"/>
        <v>مكتملة</v>
      </c>
    </row>
    <row r="225" spans="2:12">
      <c r="B225" s="51" t="s">
        <v>77</v>
      </c>
      <c r="C225" s="52" t="s">
        <v>1559</v>
      </c>
      <c r="D225" s="52" t="str">
        <f>IFERROR(INDEX('عدد اللاعبين'!$F$3:$F$193,MATCH($C225,'عدد اللاعبين'!$D$3:$D$193,0)),"")</f>
        <v>جيزان</v>
      </c>
      <c r="E225" s="53">
        <f>MAX(SUMIFS($K$14:$K$204,$E$14:$E$204,$C225,$C$14:$C$204,المدخلات!$AC$6),SUMIFS($K$14:$K$204,$E$14:$E$204,$C225,$C$14:$C$204,المدخلات!$AC$7),SUMIFS($K$14:$K$204,$E$14:$E$204,$C225,$C$14:$C$204,المدخلات!$AC$8))</f>
        <v>0</v>
      </c>
      <c r="F225" s="53">
        <f>SUMIFS($K$14:$K$204,$E$14:$E$204,$C225,$C$14:$C$204,المدخلات!$AC$9)</f>
        <v>1</v>
      </c>
      <c r="G225" s="53">
        <f>SUMIFS($K$14:$K$204,$E$14:$E$204,$C225,$C$14:$C$204,المدخلات!$AC$10)</f>
        <v>1</v>
      </c>
      <c r="H225" s="53">
        <f>SUMIFS($K$14:$K$204,$E$14:$E$204,$C225,$C$14:$C$204,المدخلات!$AC$11)</f>
        <v>0</v>
      </c>
      <c r="I225" s="53">
        <f>SUMIFS($K$14:$K$204,$E$14:$E$204,$C225,$C$14:$C$204,المدخلات!$AC$12)</f>
        <v>0</v>
      </c>
      <c r="J225" s="53">
        <f t="shared" si="3"/>
        <v>1</v>
      </c>
      <c r="K225" s="54">
        <f t="shared" si="4"/>
        <v>24</v>
      </c>
      <c r="L225" s="53" t="str">
        <f t="shared" si="5"/>
        <v>مكتملة</v>
      </c>
    </row>
    <row r="226" spans="2:12">
      <c r="B226" s="51" t="s">
        <v>77</v>
      </c>
      <c r="C226" s="52" t="s">
        <v>42</v>
      </c>
      <c r="D226" s="52" t="str">
        <f>IFERROR(INDEX('عدد اللاعبين'!$F$3:$F$193,MATCH($C226,'عدد اللاعبين'!$D$3:$D$193,0)),"")</f>
        <v>الأحساء</v>
      </c>
      <c r="E226" s="53">
        <f>MAX(SUMIFS($K$14:$K$204,$E$14:$E$204,$C226,$C$14:$C$204,المدخلات!$AC$6),SUMIFS($K$14:$K$204,$E$14:$E$204,$C226,$C$14:$C$204,المدخلات!$AC$7),SUMIFS($K$14:$K$204,$E$14:$E$204,$C226,$C$14:$C$204,المدخلات!$AC$8))</f>
        <v>2</v>
      </c>
      <c r="F226" s="53">
        <f>SUMIFS($K$14:$K$204,$E$14:$E$204,$C226,$C$14:$C$204,المدخلات!$AC$9)</f>
        <v>1</v>
      </c>
      <c r="G226" s="53">
        <f>SUMIFS($K$14:$K$204,$E$14:$E$204,$C226,$C$14:$C$204,المدخلات!$AC$10)</f>
        <v>1</v>
      </c>
      <c r="H226" s="53">
        <f>SUMIFS($K$14:$K$204,$E$14:$E$204,$C226,$C$14:$C$204,المدخلات!$AC$11)</f>
        <v>3</v>
      </c>
      <c r="I226" s="53">
        <f>SUMIFS($K$14:$K$204,$E$14:$E$204,$C226,$C$14:$C$204,المدخلات!$AC$12)</f>
        <v>3</v>
      </c>
      <c r="J226" s="53">
        <f t="shared" si="3"/>
        <v>3</v>
      </c>
      <c r="K226" s="54">
        <f t="shared" si="4"/>
        <v>105</v>
      </c>
      <c r="L226" s="53" t="str">
        <f t="shared" si="5"/>
        <v>مكتملة</v>
      </c>
    </row>
    <row r="227" spans="2:12">
      <c r="B227" s="51" t="s">
        <v>77</v>
      </c>
      <c r="C227" s="52" t="s">
        <v>1489</v>
      </c>
      <c r="D227" s="52" t="str">
        <f>IFERROR(INDEX('عدد اللاعبين'!$F$3:$F$193,MATCH($C227,'عدد اللاعبين'!$D$3:$D$193,0)),"")</f>
        <v>أحد المسارحة</v>
      </c>
      <c r="E227" s="53">
        <f>MAX(SUMIFS($K$14:$K$204,$E$14:$E$204,$C227,$C$14:$C$204,المدخلات!$AC$6),SUMIFS($K$14:$K$204,$E$14:$E$204,$C227,$C$14:$C$204,المدخلات!$AC$7),SUMIFS($K$14:$K$204,$E$14:$E$204,$C227,$C$14:$C$204,المدخلات!$AC$8))</f>
        <v>4</v>
      </c>
      <c r="F227" s="53">
        <f>SUMIFS($K$14:$K$204,$E$14:$E$204,$C227,$C$14:$C$204,المدخلات!$AC$9)</f>
        <v>1</v>
      </c>
      <c r="G227" s="53">
        <f>SUMIFS($K$14:$K$204,$E$14:$E$204,$C227,$C$14:$C$204,المدخلات!$AC$10)</f>
        <v>1</v>
      </c>
      <c r="H227" s="53">
        <f>SUMIFS($K$14:$K$204,$E$14:$E$204,$C227,$C$14:$C$204,المدخلات!$AC$11)</f>
        <v>3</v>
      </c>
      <c r="I227" s="53">
        <f>SUMIFS($K$14:$K$204,$E$14:$E$204,$C227,$C$14:$C$204,المدخلات!$AC$12)</f>
        <v>2</v>
      </c>
      <c r="J227" s="53">
        <f t="shared" si="3"/>
        <v>4</v>
      </c>
      <c r="K227" s="54">
        <f t="shared" si="4"/>
        <v>130</v>
      </c>
      <c r="L227" s="53" t="str">
        <f t="shared" si="5"/>
        <v>مكتملة</v>
      </c>
    </row>
    <row r="228" spans="2:12">
      <c r="B228" s="51" t="s">
        <v>77</v>
      </c>
      <c r="C228" s="52" t="s">
        <v>17</v>
      </c>
      <c r="D228" s="52" t="str">
        <f>IFERROR(INDEX('عدد اللاعبين'!$F$3:$F$193,MATCH($C228,'عدد اللاعبين'!$D$3:$D$193,0)),"")</f>
        <v>ينبع، أملج</v>
      </c>
      <c r="E228" s="53">
        <f>MAX(SUMIFS($K$14:$K$204,$E$14:$E$204,$C228,$C$14:$C$204,المدخلات!$AC$6),SUMIFS($K$14:$K$204,$E$14:$E$204,$C228,$C$14:$C$204,المدخلات!$AC$7),SUMIFS($K$14:$K$204,$E$14:$E$204,$C228,$C$14:$C$204,المدخلات!$AC$8))</f>
        <v>2</v>
      </c>
      <c r="F228" s="53">
        <f>SUMIFS($K$14:$K$204,$E$14:$E$204,$C228,$C$14:$C$204,المدخلات!$AC$9)</f>
        <v>1</v>
      </c>
      <c r="G228" s="53">
        <f>SUMIFS($K$14:$K$204,$E$14:$E$204,$C228,$C$14:$C$204,المدخلات!$AC$10)</f>
        <v>2</v>
      </c>
      <c r="H228" s="53">
        <f>SUMIFS($K$14:$K$204,$E$14:$E$204,$C228,$C$14:$C$204,المدخلات!$AC$11)</f>
        <v>2</v>
      </c>
      <c r="I228" s="53">
        <f>SUMIFS($K$14:$K$204,$E$14:$E$204,$C228,$C$14:$C$204,المدخلات!$AC$12)</f>
        <v>2</v>
      </c>
      <c r="J228" s="53">
        <f t="shared" si="3"/>
        <v>2</v>
      </c>
      <c r="K228" s="54">
        <f t="shared" si="4"/>
        <v>94</v>
      </c>
      <c r="L228" s="53" t="str">
        <f t="shared" si="5"/>
        <v>مكتملة</v>
      </c>
    </row>
    <row r="229" spans="2:12">
      <c r="B229" s="51" t="s">
        <v>77</v>
      </c>
      <c r="C229" s="52" t="s">
        <v>30</v>
      </c>
      <c r="D229" s="52" t="str">
        <f>IFERROR(INDEX('عدد اللاعبين'!$F$3:$F$193,MATCH($C229,'عدد اللاعبين'!$D$3:$D$193,0)),"")</f>
        <v>حفر الباطن</v>
      </c>
      <c r="E229" s="53">
        <f>MAX(SUMIFS($K$14:$K$204,$E$14:$E$204,$C229,$C$14:$C$204,المدخلات!$AC$6),SUMIFS($K$14:$K$204,$E$14:$E$204,$C229,$C$14:$C$204,المدخلات!$AC$7),SUMIFS($K$14:$K$204,$E$14:$E$204,$C229,$C$14:$C$204,المدخلات!$AC$8))</f>
        <v>2</v>
      </c>
      <c r="F229" s="53">
        <f>SUMIFS($K$14:$K$204,$E$14:$E$204,$C229,$C$14:$C$204,المدخلات!$AC$9)</f>
        <v>2</v>
      </c>
      <c r="G229" s="53">
        <f>SUMIFS($K$14:$K$204,$E$14:$E$204,$C229,$C$14:$C$204,المدخلات!$AC$10)</f>
        <v>2</v>
      </c>
      <c r="H229" s="53">
        <f>SUMIFS($K$14:$K$204,$E$14:$E$204,$C229,$C$14:$C$204,المدخلات!$AC$11)</f>
        <v>3</v>
      </c>
      <c r="I229" s="53">
        <f>SUMIFS($K$14:$K$204,$E$14:$E$204,$C229,$C$14:$C$204,المدخلات!$AC$12)</f>
        <v>4</v>
      </c>
      <c r="J229" s="53">
        <f t="shared" si="3"/>
        <v>4</v>
      </c>
      <c r="K229" s="54">
        <f t="shared" si="4"/>
        <v>159</v>
      </c>
      <c r="L229" s="53" t="str">
        <f t="shared" si="5"/>
        <v>مكتملة</v>
      </c>
    </row>
    <row r="230" spans="2:12">
      <c r="B230" s="51" t="s">
        <v>77</v>
      </c>
      <c r="C230" s="52" t="s">
        <v>1055</v>
      </c>
      <c r="D230" s="52" t="str">
        <f>IFERROR(INDEX('عدد اللاعبين'!$F$3:$F$193,MATCH($C230,'عدد اللاعبين'!$D$3:$D$193,0)),"")</f>
        <v>أحد المسارحة</v>
      </c>
      <c r="E230" s="53">
        <f>MAX(SUMIFS($K$14:$K$204,$E$14:$E$204,$C230,$C$14:$C$204,المدخلات!$AC$6),SUMIFS($K$14:$K$204,$E$14:$E$204,$C230,$C$14:$C$204,المدخلات!$AC$7),SUMIFS($K$14:$K$204,$E$14:$E$204,$C230,$C$14:$C$204,المدخلات!$AC$8))</f>
        <v>1</v>
      </c>
      <c r="F230" s="53">
        <f>SUMIFS($K$14:$K$204,$E$14:$E$204,$C230,$C$14:$C$204,المدخلات!$AC$9)</f>
        <v>1</v>
      </c>
      <c r="G230" s="53">
        <f>SUMIFS($K$14:$K$204,$E$14:$E$204,$C230,$C$14:$C$204,المدخلات!$AC$10)</f>
        <v>1</v>
      </c>
      <c r="H230" s="53">
        <f>SUMIFS($K$14:$K$204,$E$14:$E$204,$C230,$C$14:$C$204,المدخلات!$AC$11)</f>
        <v>2</v>
      </c>
      <c r="I230" s="53">
        <f>SUMIFS($K$14:$K$204,$E$14:$E$204,$C230,$C$14:$C$204,المدخلات!$AC$12)</f>
        <v>2</v>
      </c>
      <c r="J230" s="53">
        <f t="shared" si="3"/>
        <v>2</v>
      </c>
      <c r="K230" s="54">
        <f t="shared" si="4"/>
        <v>57</v>
      </c>
      <c r="L230" s="53" t="str">
        <f t="shared" si="5"/>
        <v>مكتملة</v>
      </c>
    </row>
    <row r="231" spans="2:12">
      <c r="B231" s="51" t="s">
        <v>78</v>
      </c>
      <c r="C231" s="52" t="s">
        <v>44</v>
      </c>
      <c r="D231" s="52" t="str">
        <f>IFERROR(INDEX('عدد اللاعبين'!$F$3:$F$193,MATCH($C231,'عدد اللاعبين'!$D$3:$D$193,0)),"")</f>
        <v>مركز الرفيعة</v>
      </c>
      <c r="E231" s="53">
        <f>MAX(SUMIFS($K$14:$K$204,$E$14:$E$204,$C231,$C$14:$C$204,المدخلات!$AC$6),SUMIFS($K$14:$K$204,$E$14:$E$204,$C231,$C$14:$C$204,المدخلات!$AC$7),SUMIFS($K$14:$K$204,$E$14:$E$204,$C231,$C$14:$C$204,المدخلات!$AC$8))</f>
        <v>1</v>
      </c>
      <c r="F231" s="53">
        <f>SUMIFS($K$14:$K$204,$E$14:$E$204,$C231,$C$14:$C$204,المدخلات!$AC$9)</f>
        <v>1</v>
      </c>
      <c r="G231" s="53">
        <f>SUMIFS($K$14:$K$204,$E$14:$E$204,$C231,$C$14:$C$204,المدخلات!$AC$10)</f>
        <v>1</v>
      </c>
      <c r="H231" s="53">
        <f>SUMIFS($K$14:$K$204,$E$14:$E$204,$C231,$C$14:$C$204,المدخلات!$AC$11)</f>
        <v>1</v>
      </c>
      <c r="I231" s="53">
        <f>SUMIFS($K$14:$K$204,$E$14:$E$204,$C231,$C$14:$C$204,المدخلات!$AC$12)</f>
        <v>2</v>
      </c>
      <c r="J231" s="53">
        <f t="shared" si="3"/>
        <v>2</v>
      </c>
      <c r="K231" s="54">
        <f t="shared" si="4"/>
        <v>47</v>
      </c>
      <c r="L231" s="53" t="str">
        <f t="shared" si="5"/>
        <v>مكتملة</v>
      </c>
    </row>
    <row r="232" spans="2:12">
      <c r="B232" s="51" t="s">
        <v>78</v>
      </c>
      <c r="C232" s="52" t="s">
        <v>16</v>
      </c>
      <c r="D232" s="52" t="str">
        <f>IFERROR(INDEX('عدد اللاعبين'!$F$3:$F$193,MATCH($C232,'عدد اللاعبين'!$D$3:$D$193,0)),"")</f>
        <v>أبو عريش</v>
      </c>
      <c r="E232" s="53">
        <f>MAX(SUMIFS($K$14:$K$204,$E$14:$E$204,$C232,$C$14:$C$204,المدخلات!$AC$6),SUMIFS($K$14:$K$204,$E$14:$E$204,$C232,$C$14:$C$204,المدخلات!$AC$7),SUMIFS($K$14:$K$204,$E$14:$E$204,$C232,$C$14:$C$204,المدخلات!$AC$8))</f>
        <v>2</v>
      </c>
      <c r="F232" s="53">
        <f>SUMIFS($K$14:$K$204,$E$14:$E$204,$C232,$C$14:$C$204,المدخلات!$AC$9)</f>
        <v>1</v>
      </c>
      <c r="G232" s="53">
        <f>SUMIFS($K$14:$K$204,$E$14:$E$204,$C232,$C$14:$C$204,المدخلات!$AC$10)</f>
        <v>1</v>
      </c>
      <c r="H232" s="53">
        <f>SUMIFS($K$14:$K$204,$E$14:$E$204,$C232,$C$14:$C$204,المدخلات!$AC$11)</f>
        <v>2</v>
      </c>
      <c r="I232" s="53">
        <f>SUMIFS($K$14:$K$204,$E$14:$E$204,$C232,$C$14:$C$204,المدخلات!$AC$12)</f>
        <v>2</v>
      </c>
      <c r="J232" s="53">
        <f t="shared" si="3"/>
        <v>2</v>
      </c>
      <c r="K232" s="54">
        <f t="shared" si="4"/>
        <v>79</v>
      </c>
      <c r="L232" s="53" t="str">
        <f t="shared" si="5"/>
        <v>مكتملة</v>
      </c>
    </row>
    <row r="233" spans="2:12">
      <c r="B233" s="51" t="s">
        <v>21</v>
      </c>
      <c r="C233" s="52" t="s">
        <v>20</v>
      </c>
      <c r="D233" s="52" t="str">
        <f>IFERROR(INDEX('عدد اللاعبين'!$F$3:$F$193,MATCH($C233,'عدد اللاعبين'!$D$3:$D$193,0)),"")</f>
        <v>الخرج، الدلم</v>
      </c>
      <c r="E233" s="53">
        <f>MAX(SUMIFS($K$14:$K$204,$E$14:$E$204,$C233,$C$14:$C$204,المدخلات!$AC$6),SUMIFS($K$14:$K$204,$E$14:$E$204,$C233,$C$14:$C$204,المدخلات!$AC$7),SUMIFS($K$14:$K$204,$E$14:$E$204,$C233,$C$14:$C$204,المدخلات!$AC$8))</f>
        <v>3</v>
      </c>
      <c r="F233" s="53">
        <f>SUMIFS($K$14:$K$204,$E$14:$E$204,$C233,$C$14:$C$204,المدخلات!$AC$9)</f>
        <v>2</v>
      </c>
      <c r="G233" s="53">
        <f>SUMIFS($K$14:$K$204,$E$14:$E$204,$C233,$C$14:$C$204,المدخلات!$AC$10)</f>
        <v>2</v>
      </c>
      <c r="H233" s="53">
        <f>SUMIFS($K$14:$K$204,$E$14:$E$204,$C233,$C$14:$C$204,المدخلات!$AC$11)</f>
        <v>3</v>
      </c>
      <c r="I233" s="53">
        <f>SUMIFS($K$14:$K$204,$E$14:$E$204,$C233,$C$14:$C$204,المدخلات!$AC$12)</f>
        <v>3</v>
      </c>
      <c r="J233" s="53">
        <f t="shared" si="3"/>
        <v>3</v>
      </c>
      <c r="K233" s="54">
        <f t="shared" si="4"/>
        <v>145</v>
      </c>
      <c r="L233" s="53" t="str">
        <f t="shared" si="5"/>
        <v>مكتملة</v>
      </c>
    </row>
    <row r="234" spans="2:12">
      <c r="B234" s="51" t="s">
        <v>21</v>
      </c>
      <c r="C234" s="52" t="s">
        <v>578</v>
      </c>
      <c r="D234" s="52" t="str">
        <f>IFERROR(INDEX('عدد اللاعبين'!$F$3:$F$193,MATCH($C234,'عدد اللاعبين'!$D$3:$D$193,0)),"")</f>
        <v/>
      </c>
      <c r="E234" s="53">
        <f>MAX(SUMIFS($K$14:$K$204,$E$14:$E$204,$C234,$C$14:$C$204,المدخلات!$AC$6),SUMIFS($K$14:$K$204,$E$14:$E$204,$C234,$C$14:$C$204,المدخلات!$AC$7),SUMIFS($K$14:$K$204,$E$14:$E$204,$C234,$C$14:$C$204,المدخلات!$AC$8))</f>
        <v>0</v>
      </c>
      <c r="F234" s="53">
        <f>SUMIFS($K$14:$K$204,$E$14:$E$204,$C234,$C$14:$C$204,المدخلات!$AC$9)</f>
        <v>0</v>
      </c>
      <c r="G234" s="53">
        <f>SUMIFS($K$14:$K$204,$E$14:$E$204,$C234,$C$14:$C$204,المدخلات!$AC$10)</f>
        <v>0</v>
      </c>
      <c r="H234" s="53">
        <f>SUMIFS($K$14:$K$204,$E$14:$E$204,$C234,$C$14:$C$204,المدخلات!$AC$11)</f>
        <v>0</v>
      </c>
      <c r="I234" s="53">
        <f>SUMIFS($K$14:$K$204,$E$14:$E$204,$C234,$C$14:$C$204,المدخلات!$AC$12)</f>
        <v>0</v>
      </c>
      <c r="J234" s="53">
        <f t="shared" si="3"/>
        <v>0</v>
      </c>
      <c r="K234" s="54">
        <f t="shared" si="4"/>
        <v>0</v>
      </c>
      <c r="L234" s="53" t="str">
        <f t="shared" si="5"/>
        <v>غير مكتملة</v>
      </c>
    </row>
    <row r="235" spans="2:12">
      <c r="B235" s="51" t="s">
        <v>21</v>
      </c>
      <c r="C235" s="52" t="s">
        <v>57</v>
      </c>
      <c r="D235" s="52" t="str">
        <f>IFERROR(INDEX('عدد اللاعبين'!$F$3:$F$193,MATCH($C235,'عدد اللاعبين'!$D$3:$D$193,0)),"")</f>
        <v/>
      </c>
      <c r="E235" s="53">
        <f>MAX(SUMIFS($K$14:$K$204,$E$14:$E$204,$C235,$C$14:$C$204,المدخلات!$AC$6),SUMIFS($K$14:$K$204,$E$14:$E$204,$C235,$C$14:$C$204,المدخلات!$AC$7),SUMIFS($K$14:$K$204,$E$14:$E$204,$C235,$C$14:$C$204,المدخلات!$AC$8))</f>
        <v>0</v>
      </c>
      <c r="F235" s="53">
        <f>SUMIFS($K$14:$K$204,$E$14:$E$204,$C235,$C$14:$C$204,المدخلات!$AC$9)</f>
        <v>0</v>
      </c>
      <c r="G235" s="53">
        <f>SUMIFS($K$14:$K$204,$E$14:$E$204,$C235,$C$14:$C$204,المدخلات!$AC$10)</f>
        <v>0</v>
      </c>
      <c r="H235" s="53">
        <f>SUMIFS($K$14:$K$204,$E$14:$E$204,$C235,$C$14:$C$204,المدخلات!$AC$11)</f>
        <v>0</v>
      </c>
      <c r="I235" s="53">
        <f>SUMIFS($K$14:$K$204,$E$14:$E$204,$C235,$C$14:$C$204,المدخلات!$AC$12)</f>
        <v>0</v>
      </c>
      <c r="J235" s="53">
        <f t="shared" si="3"/>
        <v>0</v>
      </c>
      <c r="K235" s="54">
        <f t="shared" si="4"/>
        <v>0</v>
      </c>
      <c r="L235" s="53" t="str">
        <f t="shared" si="5"/>
        <v>غير مكتملة</v>
      </c>
    </row>
    <row r="236" spans="2:12">
      <c r="B236" s="51" t="s">
        <v>24</v>
      </c>
      <c r="C236" s="52" t="s">
        <v>577</v>
      </c>
      <c r="D236" s="52" t="str">
        <f>IFERROR(INDEX('عدد اللاعبين'!$F$3:$F$193,MATCH($C236,'عدد اللاعبين'!$D$3:$D$193,0)),"")</f>
        <v>الخرج، الدلم</v>
      </c>
      <c r="E236" s="53">
        <f>MAX(SUMIFS($K$14:$K$204,$E$14:$E$204,$C236,$C$14:$C$204,المدخلات!$AC$6),SUMIFS($K$14:$K$204,$E$14:$E$204,$C236,$C$14:$C$204,المدخلات!$AC$7),SUMIFS($K$14:$K$204,$E$14:$E$204,$C236,$C$14:$C$204,المدخلات!$AC$8))</f>
        <v>0</v>
      </c>
      <c r="F236" s="53">
        <f>SUMIFS($K$14:$K$204,$E$14:$E$204,$C236,$C$14:$C$204,المدخلات!$AC$9)</f>
        <v>0</v>
      </c>
      <c r="G236" s="53">
        <f>SUMIFS($K$14:$K$204,$E$14:$E$204,$C236,$C$14:$C$204,المدخلات!$AC$10)</f>
        <v>1</v>
      </c>
      <c r="H236" s="53">
        <f>SUMIFS($K$14:$K$204,$E$14:$E$204,$C236,$C$14:$C$204,المدخلات!$AC$11)</f>
        <v>0</v>
      </c>
      <c r="I236" s="53">
        <f>SUMIFS($K$14:$K$204,$E$14:$E$204,$C236,$C$14:$C$204,المدخلات!$AC$12)</f>
        <v>0</v>
      </c>
      <c r="J236" s="53">
        <f t="shared" si="3"/>
        <v>1</v>
      </c>
      <c r="K236" s="54">
        <f t="shared" si="4"/>
        <v>8</v>
      </c>
      <c r="L236" s="53" t="str">
        <f t="shared" si="5"/>
        <v>مكتملة</v>
      </c>
    </row>
    <row r="237" spans="2:12">
      <c r="B237" s="51" t="s">
        <v>24</v>
      </c>
      <c r="C237" s="52" t="s">
        <v>575</v>
      </c>
      <c r="D237" s="52" t="str">
        <f>IFERROR(INDEX('عدد اللاعبين'!$F$3:$F$193,MATCH($C237,'عدد اللاعبين'!$D$3:$D$193,0)),"")</f>
        <v/>
      </c>
      <c r="E237" s="53">
        <f>MAX(SUMIFS($K$14:$K$204,$E$14:$E$204,$C237,$C$14:$C$204,المدخلات!$AC$6),SUMIFS($K$14:$K$204,$E$14:$E$204,$C237,$C$14:$C$204,المدخلات!$AC$7),SUMIFS($K$14:$K$204,$E$14:$E$204,$C237,$C$14:$C$204,المدخلات!$AC$8))</f>
        <v>0</v>
      </c>
      <c r="F237" s="53">
        <f>SUMIFS($K$14:$K$204,$E$14:$E$204,$C237,$C$14:$C$204,المدخلات!$AC$9)</f>
        <v>0</v>
      </c>
      <c r="G237" s="53">
        <f>SUMIFS($K$14:$K$204,$E$14:$E$204,$C237,$C$14:$C$204,المدخلات!$AC$10)</f>
        <v>0</v>
      </c>
      <c r="H237" s="53">
        <f>SUMIFS($K$14:$K$204,$E$14:$E$204,$C237,$C$14:$C$204,المدخلات!$AC$11)</f>
        <v>0</v>
      </c>
      <c r="I237" s="53">
        <f>SUMIFS($K$14:$K$204,$E$14:$E$204,$C237,$C$14:$C$204,المدخلات!$AC$12)</f>
        <v>0</v>
      </c>
      <c r="J237" s="53">
        <f t="shared" si="3"/>
        <v>0</v>
      </c>
      <c r="K237" s="54">
        <f t="shared" si="4"/>
        <v>0</v>
      </c>
      <c r="L237" s="53" t="str">
        <f t="shared" si="5"/>
        <v>غير مكتملة</v>
      </c>
    </row>
    <row r="238" spans="2:12">
      <c r="B238" s="51" t="s">
        <v>24</v>
      </c>
      <c r="C238" s="52" t="s">
        <v>23</v>
      </c>
      <c r="D238" s="52" t="str">
        <f>IFERROR(INDEX('عدد اللاعبين'!$F$3:$F$193,MATCH($C238,'عدد اللاعبين'!$D$3:$D$193,0)),"")</f>
        <v>البكيرية، الرس، رياض الخبراء، البدائع</v>
      </c>
      <c r="E238" s="53">
        <f>MAX(SUMIFS($K$14:$K$204,$E$14:$E$204,$C238,$C$14:$C$204,المدخلات!$AC$6),SUMIFS($K$14:$K$204,$E$14:$E$204,$C238,$C$14:$C$204,المدخلات!$AC$7),SUMIFS($K$14:$K$204,$E$14:$E$204,$C238,$C$14:$C$204,المدخلات!$AC$8))</f>
        <v>0</v>
      </c>
      <c r="F238" s="53">
        <f>SUMIFS($K$14:$K$204,$E$14:$E$204,$C238,$C$14:$C$204,المدخلات!$AC$9)</f>
        <v>1</v>
      </c>
      <c r="G238" s="53">
        <f>SUMIFS($K$14:$K$204,$E$14:$E$204,$C238,$C$14:$C$204,المدخلات!$AC$10)</f>
        <v>1</v>
      </c>
      <c r="H238" s="53">
        <f>SUMIFS($K$14:$K$204,$E$14:$E$204,$C238,$C$14:$C$204,المدخلات!$AC$11)</f>
        <v>2</v>
      </c>
      <c r="I238" s="53">
        <f>SUMIFS($K$14:$K$204,$E$14:$E$204,$C238,$C$14:$C$204,المدخلات!$AC$12)</f>
        <v>2</v>
      </c>
      <c r="J238" s="53">
        <f t="shared" si="3"/>
        <v>2</v>
      </c>
      <c r="K238" s="54">
        <f t="shared" si="4"/>
        <v>36</v>
      </c>
      <c r="L238" s="53" t="str">
        <f t="shared" si="5"/>
        <v>مكتملة</v>
      </c>
    </row>
    <row r="239" spans="2:12">
      <c r="B239" s="51" t="s">
        <v>24</v>
      </c>
      <c r="C239" s="52" t="s">
        <v>576</v>
      </c>
      <c r="D239" s="52" t="str">
        <f>IFERROR(INDEX('عدد اللاعبين'!$F$3:$F$193,MATCH($C239,'عدد اللاعبين'!$D$3:$D$193,0)),"")</f>
        <v/>
      </c>
      <c r="E239" s="53">
        <f>MAX(SUMIFS($K$14:$K$204,$E$14:$E$204,$C239,$C$14:$C$204,المدخلات!$AC$6),SUMIFS($K$14:$K$204,$E$14:$E$204,$C239,$C$14:$C$204,المدخلات!$AC$7),SUMIFS($K$14:$K$204,$E$14:$E$204,$C239,$C$14:$C$204,المدخلات!$AC$8))</f>
        <v>0</v>
      </c>
      <c r="F239" s="53">
        <f>SUMIFS($K$14:$K$204,$E$14:$E$204,$C239,$C$14:$C$204,المدخلات!$AC$9)</f>
        <v>0</v>
      </c>
      <c r="G239" s="53">
        <f>SUMIFS($K$14:$K$204,$E$14:$E$204,$C239,$C$14:$C$204,المدخلات!$AC$10)</f>
        <v>0</v>
      </c>
      <c r="H239" s="53">
        <f>SUMIFS($K$14:$K$204,$E$14:$E$204,$C239,$C$14:$C$204,المدخلات!$AC$11)</f>
        <v>0</v>
      </c>
      <c r="I239" s="53">
        <f>SUMIFS($K$14:$K$204,$E$14:$E$204,$C239,$C$14:$C$204,المدخلات!$AC$12)</f>
        <v>0</v>
      </c>
      <c r="J239" s="53">
        <f t="shared" si="3"/>
        <v>0</v>
      </c>
      <c r="K239" s="54">
        <f t="shared" si="4"/>
        <v>0</v>
      </c>
      <c r="L239" s="53" t="str">
        <f t="shared" si="5"/>
        <v>غير مكتملة</v>
      </c>
    </row>
    <row r="240" spans="2:12">
      <c r="B240" s="51" t="s">
        <v>37</v>
      </c>
      <c r="C240" s="52" t="s">
        <v>39</v>
      </c>
      <c r="D240" s="52" t="str">
        <f>IFERROR(INDEX('عدد اللاعبين'!$F$3:$F$193,MATCH($C240,'عدد اللاعبين'!$D$3:$D$193,0)),"")</f>
        <v>جيزان</v>
      </c>
      <c r="E240" s="53">
        <f>MAX(SUMIFS($K$14:$K$204,$E$14:$E$204,$C240,$C$14:$C$204,المدخلات!$AC$6),SUMIFS($K$14:$K$204,$E$14:$E$204,$C240,$C$14:$C$204,المدخلات!$AC$7),SUMIFS($K$14:$K$204,$E$14:$E$204,$C240,$C$14:$C$204,المدخلات!$AC$8))</f>
        <v>1</v>
      </c>
      <c r="F240" s="53">
        <f>SUMIFS($K$14:$K$204,$E$14:$E$204,$C240,$C$14:$C$204,المدخلات!$AC$9)</f>
        <v>1</v>
      </c>
      <c r="G240" s="53">
        <f>SUMIFS($K$14:$K$204,$E$14:$E$204,$C240,$C$14:$C$204,المدخلات!$AC$10)</f>
        <v>1</v>
      </c>
      <c r="H240" s="53">
        <f>SUMIFS($K$14:$K$204,$E$14:$E$204,$C240,$C$14:$C$204,المدخلات!$AC$11)</f>
        <v>2</v>
      </c>
      <c r="I240" s="53">
        <f>SUMIFS($K$14:$K$204,$E$14:$E$204,$C240,$C$14:$C$204,المدخلات!$AC$12)</f>
        <v>2</v>
      </c>
      <c r="J240" s="53">
        <f t="shared" si="3"/>
        <v>2</v>
      </c>
      <c r="K240" s="54">
        <f t="shared" si="4"/>
        <v>73</v>
      </c>
      <c r="L240" s="53" t="str">
        <f t="shared" si="5"/>
        <v>مكتملة</v>
      </c>
    </row>
    <row r="241" spans="2:12">
      <c r="B241" s="51" t="s">
        <v>37</v>
      </c>
      <c r="C241" s="52" t="s">
        <v>1285</v>
      </c>
      <c r="D241" s="52" t="str">
        <f>IFERROR(INDEX('عدد اللاعبين'!$F$3:$F$193,MATCH($C241,'عدد اللاعبين'!$D$3:$D$193,0)),"")</f>
        <v>مركز الرفيعة</v>
      </c>
      <c r="E241" s="53">
        <f>MAX(SUMIFS($K$14:$K$204,$E$14:$E$204,$C241,$C$14:$C$204,المدخلات!$AC$6),SUMIFS($K$14:$K$204,$E$14:$E$204,$C241,$C$14:$C$204,المدخلات!$AC$7),SUMIFS($K$14:$K$204,$E$14:$E$204,$C241,$C$14:$C$204,المدخلات!$AC$8))</f>
        <v>1</v>
      </c>
      <c r="F241" s="53">
        <f>SUMIFS($K$14:$K$204,$E$14:$E$204,$C241,$C$14:$C$204,المدخلات!$AC$9)</f>
        <v>1</v>
      </c>
      <c r="G241" s="53">
        <f>SUMIFS($K$14:$K$204,$E$14:$E$204,$C241,$C$14:$C$204,المدخلات!$AC$10)</f>
        <v>1</v>
      </c>
      <c r="H241" s="53">
        <f>SUMIFS($K$14:$K$204,$E$14:$E$204,$C241,$C$14:$C$204,المدخلات!$AC$11)</f>
        <v>2</v>
      </c>
      <c r="I241" s="53">
        <f>SUMIFS($K$14:$K$204,$E$14:$E$204,$C241,$C$14:$C$204,المدخلات!$AC$12)</f>
        <v>2</v>
      </c>
      <c r="J241" s="53">
        <f t="shared" si="3"/>
        <v>2</v>
      </c>
      <c r="K241" s="54">
        <f t="shared" si="4"/>
        <v>59</v>
      </c>
      <c r="L241" s="53" t="str">
        <f t="shared" si="5"/>
        <v>مكتملة</v>
      </c>
    </row>
    <row r="242" spans="2:12">
      <c r="B242" s="51" t="s">
        <v>37</v>
      </c>
      <c r="C242" s="52" t="s">
        <v>53</v>
      </c>
      <c r="D242" s="52" t="str">
        <f>IFERROR(INDEX('عدد اللاعبين'!$F$3:$F$193,MATCH($C242,'عدد اللاعبين'!$D$3:$D$193,0)),"")</f>
        <v/>
      </c>
      <c r="E242" s="53">
        <f>MAX(SUMIFS($K$14:$K$204,$E$14:$E$204,$C242,$C$14:$C$204,المدخلات!$AC$6),SUMIFS($K$14:$K$204,$E$14:$E$204,$C242,$C$14:$C$204,المدخلات!$AC$7),SUMIFS($K$14:$K$204,$E$14:$E$204,$C242,$C$14:$C$204,المدخلات!$AC$8))</f>
        <v>0</v>
      </c>
      <c r="F242" s="53">
        <f>SUMIFS($K$14:$K$204,$E$14:$E$204,$C242,$C$14:$C$204,المدخلات!$AC$9)</f>
        <v>0</v>
      </c>
      <c r="G242" s="53">
        <f>SUMIFS($K$14:$K$204,$E$14:$E$204,$C242,$C$14:$C$204,المدخلات!$AC$10)</f>
        <v>0</v>
      </c>
      <c r="H242" s="53">
        <f>SUMIFS($K$14:$K$204,$E$14:$E$204,$C242,$C$14:$C$204,المدخلات!$AC$11)</f>
        <v>0</v>
      </c>
      <c r="I242" s="53">
        <f>SUMIFS($K$14:$K$204,$E$14:$E$204,$C242,$C$14:$C$204,المدخلات!$AC$12)</f>
        <v>0</v>
      </c>
      <c r="J242" s="53">
        <f t="shared" si="3"/>
        <v>0</v>
      </c>
      <c r="K242" s="54">
        <f t="shared" si="4"/>
        <v>0</v>
      </c>
      <c r="L242" s="53" t="str">
        <f t="shared" si="5"/>
        <v>غير مكتملة</v>
      </c>
    </row>
    <row r="243" spans="2:12">
      <c r="B243" s="51" t="s">
        <v>37</v>
      </c>
      <c r="C243" s="52" t="s">
        <v>22</v>
      </c>
      <c r="D243" s="52" t="str">
        <f>IFERROR(INDEX('عدد اللاعبين'!$F$3:$F$193,MATCH($C243,'عدد اللاعبين'!$D$3:$D$193,0)),"")</f>
        <v/>
      </c>
      <c r="E243" s="53">
        <f>MAX(SUMIFS($K$14:$K$204,$E$14:$E$204,$C243,$C$14:$C$204,المدخلات!$AC$6),SUMIFS($K$14:$K$204,$E$14:$E$204,$C243,$C$14:$C$204,المدخلات!$AC$7),SUMIFS($K$14:$K$204,$E$14:$E$204,$C243,$C$14:$C$204,المدخلات!$AC$8))</f>
        <v>0</v>
      </c>
      <c r="F243" s="53">
        <f>SUMIFS($K$14:$K$204,$E$14:$E$204,$C243,$C$14:$C$204,المدخلات!$AC$9)</f>
        <v>0</v>
      </c>
      <c r="G243" s="53">
        <f>SUMIFS($K$14:$K$204,$E$14:$E$204,$C243,$C$14:$C$204,المدخلات!$AC$10)</f>
        <v>0</v>
      </c>
      <c r="H243" s="53">
        <f>SUMIFS($K$14:$K$204,$E$14:$E$204,$C243,$C$14:$C$204,المدخلات!$AC$11)</f>
        <v>0</v>
      </c>
      <c r="I243" s="53">
        <f>SUMIFS($K$14:$K$204,$E$14:$E$204,$C243,$C$14:$C$204,المدخلات!$AC$12)</f>
        <v>0</v>
      </c>
      <c r="J243" s="53">
        <f t="shared" si="3"/>
        <v>0</v>
      </c>
      <c r="K243" s="54">
        <f t="shared" si="4"/>
        <v>0</v>
      </c>
      <c r="L243" s="53" t="str">
        <f t="shared" si="5"/>
        <v>غير مكتملة</v>
      </c>
    </row>
    <row r="244" spans="2:12">
      <c r="B244" s="51" t="s">
        <v>37</v>
      </c>
      <c r="C244" s="52" t="s">
        <v>25</v>
      </c>
      <c r="D244" s="52" t="str">
        <f>IFERROR(INDEX('عدد اللاعبين'!$F$3:$F$193,MATCH($C244,'عدد اللاعبين'!$D$3:$D$193,0)),"")</f>
        <v>القريات</v>
      </c>
      <c r="E244" s="53">
        <f>MAX(SUMIFS($K$14:$K$204,$E$14:$E$204,$C244,$C$14:$C$204,المدخلات!$AC$6),SUMIFS($K$14:$K$204,$E$14:$E$204,$C244,$C$14:$C$204,المدخلات!$AC$7),SUMIFS($K$14:$K$204,$E$14:$E$204,$C244,$C$14:$C$204,المدخلات!$AC$8))</f>
        <v>1</v>
      </c>
      <c r="F244" s="53">
        <f>SUMIFS($K$14:$K$204,$E$14:$E$204,$C244,$C$14:$C$204,المدخلات!$AC$9)</f>
        <v>1</v>
      </c>
      <c r="G244" s="53">
        <f>SUMIFS($K$14:$K$204,$E$14:$E$204,$C244,$C$14:$C$204,المدخلات!$AC$10)</f>
        <v>1</v>
      </c>
      <c r="H244" s="53">
        <f>SUMIFS($K$14:$K$204,$E$14:$E$204,$C244,$C$14:$C$204,المدخلات!$AC$11)</f>
        <v>1</v>
      </c>
      <c r="I244" s="53">
        <f>SUMIFS($K$14:$K$204,$E$14:$E$204,$C244,$C$14:$C$204,المدخلات!$AC$12)</f>
        <v>2</v>
      </c>
      <c r="J244" s="53">
        <f t="shared" ref="J244:J260" si="6">MAX($E244:$I244)</f>
        <v>2</v>
      </c>
      <c r="K244" s="54">
        <f t="shared" ref="K244:K260" si="7">SUMIFS($G$14:$G$204,$E$14:$E$204,$C244,$G$14:$G$204,"&gt;="&amp;الحد_الأدنى)</f>
        <v>68</v>
      </c>
      <c r="L244" s="53" t="str">
        <f t="shared" ref="L244:L260" si="8">IF($K244=0,"غير مكتملة","مكتملة")</f>
        <v>مكتملة</v>
      </c>
    </row>
    <row r="245" spans="2:12">
      <c r="B245" s="51" t="s">
        <v>37</v>
      </c>
      <c r="C245" s="52" t="s">
        <v>63</v>
      </c>
      <c r="D245" s="52" t="str">
        <f>IFERROR(INDEX('عدد اللاعبين'!$F$3:$F$193,MATCH($C245,'عدد اللاعبين'!$D$3:$D$193,0)),"")</f>
        <v>مركز الرفيعة</v>
      </c>
      <c r="E245" s="53">
        <f>MAX(SUMIFS($K$14:$K$204,$E$14:$E$204,$C245,$C$14:$C$204,المدخلات!$AC$6),SUMIFS($K$14:$K$204,$E$14:$E$204,$C245,$C$14:$C$204,المدخلات!$AC$7),SUMIFS($K$14:$K$204,$E$14:$E$204,$C245,$C$14:$C$204,المدخلات!$AC$8))</f>
        <v>1</v>
      </c>
      <c r="F245" s="53">
        <f>SUMIFS($K$14:$K$204,$E$14:$E$204,$C245,$C$14:$C$204,المدخلات!$AC$9)</f>
        <v>1</v>
      </c>
      <c r="G245" s="53">
        <f>SUMIFS($K$14:$K$204,$E$14:$E$204,$C245,$C$14:$C$204,المدخلات!$AC$10)</f>
        <v>1</v>
      </c>
      <c r="H245" s="53">
        <f>SUMIFS($K$14:$K$204,$E$14:$E$204,$C245,$C$14:$C$204,المدخلات!$AC$11)</f>
        <v>2</v>
      </c>
      <c r="I245" s="53">
        <f>SUMIFS($K$14:$K$204,$E$14:$E$204,$C245,$C$14:$C$204,المدخلات!$AC$12)</f>
        <v>2</v>
      </c>
      <c r="J245" s="53">
        <f t="shared" si="6"/>
        <v>2</v>
      </c>
      <c r="K245" s="54">
        <f t="shared" si="7"/>
        <v>71</v>
      </c>
      <c r="L245" s="53" t="str">
        <f t="shared" si="8"/>
        <v>مكتملة</v>
      </c>
    </row>
    <row r="246" spans="2:12">
      <c r="B246" s="51" t="s">
        <v>37</v>
      </c>
      <c r="C246" s="52" t="s">
        <v>56</v>
      </c>
      <c r="D246" s="52" t="str">
        <f>IFERROR(INDEX('عدد اللاعبين'!$F$3:$F$193,MATCH($C246,'عدد اللاعبين'!$D$3:$D$193,0)),"")</f>
        <v>بريدة، عيون الجواء، المذنب، عنيزة</v>
      </c>
      <c r="E246" s="53">
        <f>MAX(SUMIFS($K$14:$K$204,$E$14:$E$204,$C246,$C$14:$C$204,المدخلات!$AC$6),SUMIFS($K$14:$K$204,$E$14:$E$204,$C246,$C$14:$C$204,المدخلات!$AC$7),SUMIFS($K$14:$K$204,$E$14:$E$204,$C246,$C$14:$C$204,المدخلات!$AC$8))</f>
        <v>2</v>
      </c>
      <c r="F246" s="53">
        <f>SUMIFS($K$14:$K$204,$E$14:$E$204,$C246,$C$14:$C$204,المدخلات!$AC$9)</f>
        <v>1</v>
      </c>
      <c r="G246" s="53">
        <f>SUMIFS($K$14:$K$204,$E$14:$E$204,$C246,$C$14:$C$204,المدخلات!$AC$10)</f>
        <v>1</v>
      </c>
      <c r="H246" s="53">
        <f>SUMIFS($K$14:$K$204,$E$14:$E$204,$C246,$C$14:$C$204,المدخلات!$AC$11)</f>
        <v>3</v>
      </c>
      <c r="I246" s="53">
        <f>SUMIFS($K$14:$K$204,$E$14:$E$204,$C246,$C$14:$C$204,المدخلات!$AC$12)</f>
        <v>3</v>
      </c>
      <c r="J246" s="53">
        <f t="shared" si="6"/>
        <v>3</v>
      </c>
      <c r="K246" s="54">
        <f t="shared" si="7"/>
        <v>111</v>
      </c>
      <c r="L246" s="53" t="str">
        <f t="shared" si="8"/>
        <v>مكتملة</v>
      </c>
    </row>
    <row r="247" spans="2:12">
      <c r="B247" s="51" t="s">
        <v>37</v>
      </c>
      <c r="C247" s="52" t="s">
        <v>66</v>
      </c>
      <c r="D247" s="52" t="str">
        <f>IFERROR(INDEX('عدد اللاعبين'!$F$3:$F$193,MATCH($C247,'عدد اللاعبين'!$D$3:$D$193,0)),"")</f>
        <v/>
      </c>
      <c r="E247" s="53">
        <f>MAX(SUMIFS($K$14:$K$204,$E$14:$E$204,$C247,$C$14:$C$204,المدخلات!$AC$6),SUMIFS($K$14:$K$204,$E$14:$E$204,$C247,$C$14:$C$204,المدخلات!$AC$7),SUMIFS($K$14:$K$204,$E$14:$E$204,$C247,$C$14:$C$204,المدخلات!$AC$8))</f>
        <v>0</v>
      </c>
      <c r="F247" s="53">
        <f>SUMIFS($K$14:$K$204,$E$14:$E$204,$C247,$C$14:$C$204,المدخلات!$AC$9)</f>
        <v>0</v>
      </c>
      <c r="G247" s="53">
        <f>SUMIFS($K$14:$K$204,$E$14:$E$204,$C247,$C$14:$C$204,المدخلات!$AC$10)</f>
        <v>0</v>
      </c>
      <c r="H247" s="53">
        <f>SUMIFS($K$14:$K$204,$E$14:$E$204,$C247,$C$14:$C$204,المدخلات!$AC$11)</f>
        <v>0</v>
      </c>
      <c r="I247" s="53">
        <f>SUMIFS($K$14:$K$204,$E$14:$E$204,$C247,$C$14:$C$204,المدخلات!$AC$12)</f>
        <v>0</v>
      </c>
      <c r="J247" s="53">
        <f t="shared" si="6"/>
        <v>0</v>
      </c>
      <c r="K247" s="54">
        <f t="shared" si="7"/>
        <v>0</v>
      </c>
      <c r="L247" s="53" t="str">
        <f t="shared" si="8"/>
        <v>غير مكتملة</v>
      </c>
    </row>
    <row r="248" spans="2:12">
      <c r="B248" s="51" t="s">
        <v>29</v>
      </c>
      <c r="C248" s="52" t="s">
        <v>1204</v>
      </c>
      <c r="D248" s="52" t="str">
        <f>IFERROR(INDEX('عدد اللاعبين'!$F$3:$F$193,MATCH($C248,'عدد اللاعبين'!$D$3:$D$193,0)),"")</f>
        <v/>
      </c>
      <c r="E248" s="53">
        <f>MAX(SUMIFS($K$14:$K$204,$E$14:$E$204,$C248,$C$14:$C$204,المدخلات!$AC$6),SUMIFS($K$14:$K$204,$E$14:$E$204,$C248,$C$14:$C$204,المدخلات!$AC$7),SUMIFS($K$14:$K$204,$E$14:$E$204,$C248,$C$14:$C$204,المدخلات!$AC$8))</f>
        <v>0</v>
      </c>
      <c r="F248" s="53">
        <f>SUMIFS($K$14:$K$204,$E$14:$E$204,$C248,$C$14:$C$204,المدخلات!$AC$9)</f>
        <v>0</v>
      </c>
      <c r="G248" s="53">
        <f>SUMIFS($K$14:$K$204,$E$14:$E$204,$C248,$C$14:$C$204,المدخلات!$AC$10)</f>
        <v>0</v>
      </c>
      <c r="H248" s="53">
        <f>SUMIFS($K$14:$K$204,$E$14:$E$204,$C248,$C$14:$C$204,المدخلات!$AC$11)</f>
        <v>0</v>
      </c>
      <c r="I248" s="53">
        <f>SUMIFS($K$14:$K$204,$E$14:$E$204,$C248,$C$14:$C$204,المدخلات!$AC$12)</f>
        <v>0</v>
      </c>
      <c r="J248" s="53">
        <f t="shared" si="6"/>
        <v>0</v>
      </c>
      <c r="K248" s="54">
        <f t="shared" si="7"/>
        <v>0</v>
      </c>
      <c r="L248" s="53" t="str">
        <f t="shared" si="8"/>
        <v>غير مكتملة</v>
      </c>
    </row>
    <row r="249" spans="2:12">
      <c r="B249" s="51" t="s">
        <v>29</v>
      </c>
      <c r="C249" s="52" t="s">
        <v>28</v>
      </c>
      <c r="D249" s="52" t="str">
        <f>IFERROR(INDEX('عدد اللاعبين'!$F$3:$F$193,MATCH($C249,'عدد اللاعبين'!$D$3:$D$193,0)),"")</f>
        <v>الرس، البدائع</v>
      </c>
      <c r="E249" s="53">
        <f>MAX(SUMIFS($K$14:$K$204,$E$14:$E$204,$C249,$C$14:$C$204,المدخلات!$AC$6),SUMIFS($K$14:$K$204,$E$14:$E$204,$C249,$C$14:$C$204,المدخلات!$AC$7),SUMIFS($K$14:$K$204,$E$14:$E$204,$C249,$C$14:$C$204,المدخلات!$AC$8))</f>
        <v>1</v>
      </c>
      <c r="F249" s="53">
        <f>SUMIFS($K$14:$K$204,$E$14:$E$204,$C249,$C$14:$C$204,المدخلات!$AC$9)</f>
        <v>1</v>
      </c>
      <c r="G249" s="53">
        <f>SUMIFS($K$14:$K$204,$E$14:$E$204,$C249,$C$14:$C$204,المدخلات!$AC$10)</f>
        <v>1</v>
      </c>
      <c r="H249" s="53">
        <f>SUMIFS($K$14:$K$204,$E$14:$E$204,$C249,$C$14:$C$204,المدخلات!$AC$11)</f>
        <v>2</v>
      </c>
      <c r="I249" s="53">
        <f>SUMIFS($K$14:$K$204,$E$14:$E$204,$C249,$C$14:$C$204,المدخلات!$AC$12)</f>
        <v>1</v>
      </c>
      <c r="J249" s="53">
        <f t="shared" si="6"/>
        <v>2</v>
      </c>
      <c r="K249" s="54">
        <f t="shared" si="7"/>
        <v>69</v>
      </c>
      <c r="L249" s="53" t="str">
        <f t="shared" si="8"/>
        <v>مكتملة</v>
      </c>
    </row>
    <row r="250" spans="2:12">
      <c r="B250" s="51" t="s">
        <v>81</v>
      </c>
      <c r="C250" s="52" t="s">
        <v>7</v>
      </c>
      <c r="D250" s="52" t="str">
        <f>IFERROR(INDEX('عدد اللاعبين'!$F$3:$F$193,MATCH($C250,'عدد اللاعبين'!$D$3:$D$193,0)),"")</f>
        <v>مركز الرفيعة</v>
      </c>
      <c r="E250" s="53">
        <f>MAX(SUMIFS($K$14:$K$204,$E$14:$E$204,$C250,$C$14:$C$204,المدخلات!$AC$6),SUMIFS($K$14:$K$204,$E$14:$E$204,$C250,$C$14:$C$204,المدخلات!$AC$7),SUMIFS($K$14:$K$204,$E$14:$E$204,$C250,$C$14:$C$204,المدخلات!$AC$8))</f>
        <v>1</v>
      </c>
      <c r="F250" s="53">
        <f>SUMIFS($K$14:$K$204,$E$14:$E$204,$C250,$C$14:$C$204,المدخلات!$AC$9)</f>
        <v>1</v>
      </c>
      <c r="G250" s="53">
        <f>SUMIFS($K$14:$K$204,$E$14:$E$204,$C250,$C$14:$C$204,المدخلات!$AC$10)</f>
        <v>1</v>
      </c>
      <c r="H250" s="53">
        <f>SUMIFS($K$14:$K$204,$E$14:$E$204,$C250,$C$14:$C$204,المدخلات!$AC$11)</f>
        <v>2</v>
      </c>
      <c r="I250" s="53">
        <f>SUMIFS($K$14:$K$204,$E$14:$E$204,$C250,$C$14:$C$204,المدخلات!$AC$12)</f>
        <v>3</v>
      </c>
      <c r="J250" s="53">
        <f t="shared" si="6"/>
        <v>3</v>
      </c>
      <c r="K250" s="54">
        <f t="shared" si="7"/>
        <v>70</v>
      </c>
      <c r="L250" s="53" t="str">
        <f t="shared" si="8"/>
        <v>مكتملة</v>
      </c>
    </row>
    <row r="251" spans="2:12">
      <c r="B251" s="51" t="s">
        <v>81</v>
      </c>
      <c r="C251" s="52" t="s">
        <v>52</v>
      </c>
      <c r="D251" s="52" t="str">
        <f>IFERROR(INDEX('عدد اللاعبين'!$F$3:$F$193,MATCH($C251,'عدد اللاعبين'!$D$3:$D$193,0)),"")</f>
        <v/>
      </c>
      <c r="E251" s="53">
        <f>MAX(SUMIFS($K$14:$K$204,$E$14:$E$204,$C251,$C$14:$C$204,المدخلات!$AC$6),SUMIFS($K$14:$K$204,$E$14:$E$204,$C251,$C$14:$C$204,المدخلات!$AC$7),SUMIFS($K$14:$K$204,$E$14:$E$204,$C251,$C$14:$C$204,المدخلات!$AC$8))</f>
        <v>0</v>
      </c>
      <c r="F251" s="53">
        <f>SUMIFS($K$14:$K$204,$E$14:$E$204,$C251,$C$14:$C$204,المدخلات!$AC$9)</f>
        <v>0</v>
      </c>
      <c r="G251" s="53">
        <f>SUMIFS($K$14:$K$204,$E$14:$E$204,$C251,$C$14:$C$204,المدخلات!$AC$10)</f>
        <v>0</v>
      </c>
      <c r="H251" s="53">
        <f>SUMIFS($K$14:$K$204,$E$14:$E$204,$C251,$C$14:$C$204,المدخلات!$AC$11)</f>
        <v>0</v>
      </c>
      <c r="I251" s="53">
        <f>SUMIFS($K$14:$K$204,$E$14:$E$204,$C251,$C$14:$C$204,المدخلات!$AC$12)</f>
        <v>0</v>
      </c>
      <c r="J251" s="53">
        <f t="shared" si="6"/>
        <v>0</v>
      </c>
      <c r="K251" s="54">
        <f t="shared" si="7"/>
        <v>0</v>
      </c>
      <c r="L251" s="53" t="str">
        <f t="shared" si="8"/>
        <v>غير مكتملة</v>
      </c>
    </row>
    <row r="252" spans="2:12">
      <c r="B252" s="51" t="s">
        <v>81</v>
      </c>
      <c r="C252" s="52" t="s">
        <v>54</v>
      </c>
      <c r="D252" s="52" t="str">
        <f>IFERROR(INDEX('عدد اللاعبين'!$F$3:$F$193,MATCH($C252,'عدد اللاعبين'!$D$3:$D$193,0)),"")</f>
        <v/>
      </c>
      <c r="E252" s="53">
        <f>MAX(SUMIFS($K$14:$K$204,$E$14:$E$204,$C252,$C$14:$C$204,المدخلات!$AC$6),SUMIFS($K$14:$K$204,$E$14:$E$204,$C252,$C$14:$C$204,المدخلات!$AC$7),SUMIFS($K$14:$K$204,$E$14:$E$204,$C252,$C$14:$C$204,المدخلات!$AC$8))</f>
        <v>0</v>
      </c>
      <c r="F252" s="53">
        <f>SUMIFS($K$14:$K$204,$E$14:$E$204,$C252,$C$14:$C$204,المدخلات!$AC$9)</f>
        <v>0</v>
      </c>
      <c r="G252" s="53">
        <f>SUMIFS($K$14:$K$204,$E$14:$E$204,$C252,$C$14:$C$204,المدخلات!$AC$10)</f>
        <v>0</v>
      </c>
      <c r="H252" s="53">
        <f>SUMIFS($K$14:$K$204,$E$14:$E$204,$C252,$C$14:$C$204,المدخلات!$AC$11)</f>
        <v>0</v>
      </c>
      <c r="I252" s="53">
        <f>SUMIFS($K$14:$K$204,$E$14:$E$204,$C252,$C$14:$C$204,المدخلات!$AC$12)</f>
        <v>0</v>
      </c>
      <c r="J252" s="53">
        <f t="shared" si="6"/>
        <v>0</v>
      </c>
      <c r="K252" s="54">
        <f t="shared" si="7"/>
        <v>0</v>
      </c>
      <c r="L252" s="53" t="str">
        <f t="shared" si="8"/>
        <v>غير مكتملة</v>
      </c>
    </row>
    <row r="253" spans="2:12">
      <c r="B253" s="51" t="s">
        <v>81</v>
      </c>
      <c r="C253" s="52" t="s">
        <v>31</v>
      </c>
      <c r="D253" s="52" t="str">
        <f>IFERROR(INDEX('عدد اللاعبين'!$F$3:$F$193,MATCH($C253,'عدد اللاعبين'!$D$3:$D$193,0)),"")</f>
        <v/>
      </c>
      <c r="E253" s="53">
        <f>MAX(SUMIFS($K$14:$K$204,$E$14:$E$204,$C253,$C$14:$C$204,المدخلات!$AC$6),SUMIFS($K$14:$K$204,$E$14:$E$204,$C253,$C$14:$C$204,المدخلات!$AC$7),SUMIFS($K$14:$K$204,$E$14:$E$204,$C253,$C$14:$C$204,المدخلات!$AC$8))</f>
        <v>0</v>
      </c>
      <c r="F253" s="53">
        <f>SUMIFS($K$14:$K$204,$E$14:$E$204,$C253,$C$14:$C$204,المدخلات!$AC$9)</f>
        <v>0</v>
      </c>
      <c r="G253" s="53">
        <f>SUMIFS($K$14:$K$204,$E$14:$E$204,$C253,$C$14:$C$204,المدخلات!$AC$10)</f>
        <v>0</v>
      </c>
      <c r="H253" s="53">
        <f>SUMIFS($K$14:$K$204,$E$14:$E$204,$C253,$C$14:$C$204,المدخلات!$AC$11)</f>
        <v>0</v>
      </c>
      <c r="I253" s="53">
        <f>SUMIFS($K$14:$K$204,$E$14:$E$204,$C253,$C$14:$C$204,المدخلات!$AC$12)</f>
        <v>0</v>
      </c>
      <c r="J253" s="53">
        <f t="shared" si="6"/>
        <v>0</v>
      </c>
      <c r="K253" s="54">
        <f t="shared" si="7"/>
        <v>0</v>
      </c>
      <c r="L253" s="53" t="str">
        <f t="shared" si="8"/>
        <v>غير مكتملة</v>
      </c>
    </row>
    <row r="254" spans="2:12">
      <c r="B254" s="51" t="s">
        <v>108</v>
      </c>
      <c r="C254" s="52" t="s">
        <v>14</v>
      </c>
      <c r="D254" s="52" t="str">
        <f>IFERROR(INDEX('عدد اللاعبين'!$F$3:$F$193,MATCH($C254,'عدد اللاعبين'!$D$3:$D$193,0)),"")</f>
        <v>الظهران، الخبر، الدمام، سيهات</v>
      </c>
      <c r="E254" s="53">
        <f>MAX(SUMIFS($K$14:$K$204,$E$14:$E$204,$C254,$C$14:$C$204,المدخلات!$AC$6),SUMIFS($K$14:$K$204,$E$14:$E$204,$C254,$C$14:$C$204,المدخلات!$AC$7),SUMIFS($K$14:$K$204,$E$14:$E$204,$C254,$C$14:$C$204,المدخلات!$AC$8))</f>
        <v>2</v>
      </c>
      <c r="F254" s="53">
        <f>SUMIFS($K$14:$K$204,$E$14:$E$204,$C254,$C$14:$C$204,المدخلات!$AC$9)</f>
        <v>1</v>
      </c>
      <c r="G254" s="53">
        <f>SUMIFS($K$14:$K$204,$E$14:$E$204,$C254,$C$14:$C$204,المدخلات!$AC$10)</f>
        <v>1</v>
      </c>
      <c r="H254" s="53">
        <f>SUMIFS($K$14:$K$204,$E$14:$E$204,$C254,$C$14:$C$204,المدخلات!$AC$11)</f>
        <v>3</v>
      </c>
      <c r="I254" s="53">
        <f>SUMIFS($K$14:$K$204,$E$14:$E$204,$C254,$C$14:$C$204,المدخلات!$AC$12)</f>
        <v>4</v>
      </c>
      <c r="J254" s="53">
        <f t="shared" si="6"/>
        <v>4</v>
      </c>
      <c r="K254" s="54">
        <f t="shared" si="7"/>
        <v>111</v>
      </c>
      <c r="L254" s="53" t="str">
        <f t="shared" si="8"/>
        <v>مكتملة</v>
      </c>
    </row>
    <row r="255" spans="2:12">
      <c r="B255" s="51" t="s">
        <v>108</v>
      </c>
      <c r="C255" s="52" t="s">
        <v>18</v>
      </c>
      <c r="D255" s="52" t="str">
        <f>IFERROR(INDEX('عدد اللاعبين'!$F$3:$F$193,MATCH($C255,'عدد اللاعبين'!$D$3:$D$193,0)),"")</f>
        <v>المدينة المنورة</v>
      </c>
      <c r="E255" s="53">
        <f>MAX(SUMIFS($K$14:$K$204,$E$14:$E$204,$C255,$C$14:$C$204,المدخلات!$AC$6),SUMIFS($K$14:$K$204,$E$14:$E$204,$C255,$C$14:$C$204,المدخلات!$AC$7),SUMIFS($K$14:$K$204,$E$14:$E$204,$C255,$C$14:$C$204,المدخلات!$AC$8))</f>
        <v>1</v>
      </c>
      <c r="F255" s="53">
        <f>SUMIFS($K$14:$K$204,$E$14:$E$204,$C255,$C$14:$C$204,المدخلات!$AC$9)</f>
        <v>1</v>
      </c>
      <c r="G255" s="53">
        <f>SUMIFS($K$14:$K$204,$E$14:$E$204,$C255,$C$14:$C$204,المدخلات!$AC$10)</f>
        <v>1</v>
      </c>
      <c r="H255" s="53">
        <f>SUMIFS($K$14:$K$204,$E$14:$E$204,$C255,$C$14:$C$204,المدخلات!$AC$11)</f>
        <v>3</v>
      </c>
      <c r="I255" s="53">
        <f>SUMIFS($K$14:$K$204,$E$14:$E$204,$C255,$C$14:$C$204,المدخلات!$AC$12)</f>
        <v>2</v>
      </c>
      <c r="J255" s="53">
        <f t="shared" si="6"/>
        <v>3</v>
      </c>
      <c r="K255" s="54">
        <f t="shared" si="7"/>
        <v>61</v>
      </c>
      <c r="L255" s="53" t="str">
        <f t="shared" si="8"/>
        <v>مكتملة</v>
      </c>
    </row>
    <row r="256" spans="2:12">
      <c r="B256" s="51" t="s">
        <v>108</v>
      </c>
      <c r="C256" s="52" t="s">
        <v>50</v>
      </c>
      <c r="D256" s="52" t="str">
        <f>IFERROR(INDEX('عدد اللاعبين'!$F$3:$F$193,MATCH($C256,'عدد اللاعبين'!$D$3:$D$193,0)),"")</f>
        <v/>
      </c>
      <c r="E256" s="53">
        <f>MAX(SUMIFS($K$14:$K$204,$E$14:$E$204,$C256,$C$14:$C$204,المدخلات!$AC$6),SUMIFS($K$14:$K$204,$E$14:$E$204,$C256,$C$14:$C$204,المدخلات!$AC$7),SUMIFS($K$14:$K$204,$E$14:$E$204,$C256,$C$14:$C$204,المدخلات!$AC$8))</f>
        <v>0</v>
      </c>
      <c r="F256" s="53">
        <f>SUMIFS($K$14:$K$204,$E$14:$E$204,$C256,$C$14:$C$204,المدخلات!$AC$9)</f>
        <v>0</v>
      </c>
      <c r="G256" s="53">
        <f>SUMIFS($K$14:$K$204,$E$14:$E$204,$C256,$C$14:$C$204,المدخلات!$AC$10)</f>
        <v>0</v>
      </c>
      <c r="H256" s="53">
        <f>SUMIFS($K$14:$K$204,$E$14:$E$204,$C256,$C$14:$C$204,المدخلات!$AC$11)</f>
        <v>0</v>
      </c>
      <c r="I256" s="53">
        <f>SUMIFS($K$14:$K$204,$E$14:$E$204,$C256,$C$14:$C$204,المدخلات!$AC$12)</f>
        <v>0</v>
      </c>
      <c r="J256" s="53">
        <f t="shared" si="6"/>
        <v>0</v>
      </c>
      <c r="K256" s="54">
        <f t="shared" si="7"/>
        <v>0</v>
      </c>
      <c r="L256" s="53" t="str">
        <f t="shared" si="8"/>
        <v>غير مكتملة</v>
      </c>
    </row>
    <row r="257" spans="2:12">
      <c r="B257" s="51" t="s">
        <v>108</v>
      </c>
      <c r="C257" s="52" t="s">
        <v>26</v>
      </c>
      <c r="D257" s="52" t="str">
        <f>IFERROR(INDEX('عدد اللاعبين'!$F$3:$F$193,MATCH($C257,'عدد اللاعبين'!$D$3:$D$193,0)),"")</f>
        <v>مكة المكرمة، الجموم</v>
      </c>
      <c r="E257" s="53">
        <f>MAX(SUMIFS($K$14:$K$204,$E$14:$E$204,$C257,$C$14:$C$204,المدخلات!$AC$6),SUMIFS($K$14:$K$204,$E$14:$E$204,$C257,$C$14:$C$204,المدخلات!$AC$7),SUMIFS($K$14:$K$204,$E$14:$E$204,$C257,$C$14:$C$204,المدخلات!$AC$8))</f>
        <v>4</v>
      </c>
      <c r="F257" s="53">
        <f>SUMIFS($K$14:$K$204,$E$14:$E$204,$C257,$C$14:$C$204,المدخلات!$AC$9)</f>
        <v>0</v>
      </c>
      <c r="G257" s="53">
        <f>SUMIFS($K$14:$K$204,$E$14:$E$204,$C257,$C$14:$C$204,المدخلات!$AC$10)</f>
        <v>0</v>
      </c>
      <c r="H257" s="53">
        <f>SUMIFS($K$14:$K$204,$E$14:$E$204,$C257,$C$14:$C$204,المدخلات!$AC$11)</f>
        <v>8</v>
      </c>
      <c r="I257" s="53">
        <f>SUMIFS($K$14:$K$204,$E$14:$E$204,$C257,$C$14:$C$204,المدخلات!$AC$12)</f>
        <v>0</v>
      </c>
      <c r="J257" s="53">
        <f t="shared" si="6"/>
        <v>8</v>
      </c>
      <c r="K257" s="54">
        <f t="shared" si="7"/>
        <v>116</v>
      </c>
      <c r="L257" s="53" t="str">
        <f t="shared" si="8"/>
        <v>مكتملة</v>
      </c>
    </row>
    <row r="258" spans="2:12">
      <c r="B258" s="51" t="s">
        <v>108</v>
      </c>
      <c r="C258" s="52" t="s">
        <v>32</v>
      </c>
      <c r="D258" s="52" t="str">
        <f>IFERROR(INDEX('عدد اللاعبين'!$F$3:$F$193,MATCH($C258,'عدد اللاعبين'!$D$3:$D$193,0)),"")</f>
        <v>صبيا، ضمد</v>
      </c>
      <c r="E258" s="53">
        <f>MAX(SUMIFS($K$14:$K$204,$E$14:$E$204,$C258,$C$14:$C$204,المدخلات!$AC$6),SUMIFS($K$14:$K$204,$E$14:$E$204,$C258,$C$14:$C$204,المدخلات!$AC$7),SUMIFS($K$14:$K$204,$E$14:$E$204,$C258,$C$14:$C$204,المدخلات!$AC$8))</f>
        <v>4</v>
      </c>
      <c r="F258" s="53">
        <f>SUMIFS($K$14:$K$204,$E$14:$E$204,$C258,$C$14:$C$204,المدخلات!$AC$9)</f>
        <v>2</v>
      </c>
      <c r="G258" s="53">
        <f>SUMIFS($K$14:$K$204,$E$14:$E$204,$C258,$C$14:$C$204,المدخلات!$AC$10)</f>
        <v>2</v>
      </c>
      <c r="H258" s="53">
        <f>SUMIFS($K$14:$K$204,$E$14:$E$204,$C258,$C$14:$C$204,المدخلات!$AC$11)</f>
        <v>5</v>
      </c>
      <c r="I258" s="53">
        <f>SUMIFS($K$14:$K$204,$E$14:$E$204,$C258,$C$14:$C$204,المدخلات!$AC$12)</f>
        <v>5</v>
      </c>
      <c r="J258" s="53">
        <f t="shared" si="6"/>
        <v>5</v>
      </c>
      <c r="K258" s="54">
        <f t="shared" si="7"/>
        <v>198</v>
      </c>
      <c r="L258" s="53" t="str">
        <f t="shared" si="8"/>
        <v>مكتملة</v>
      </c>
    </row>
    <row r="259" spans="2:12">
      <c r="B259" s="51" t="s">
        <v>68</v>
      </c>
      <c r="C259" s="52" t="s">
        <v>60</v>
      </c>
      <c r="D259" s="52" t="str">
        <f>IFERROR(INDEX('عدد اللاعبين'!$F$3:$F$193,MATCH($C259,'عدد اللاعبين'!$D$3:$D$193,0)),"")</f>
        <v>الباحة، العقيق</v>
      </c>
      <c r="E259" s="53">
        <f>MAX(SUMIFS($K$14:$K$204,$E$14:$E$204,$C259,$C$14:$C$204,المدخلات!$AC$6),SUMIFS($K$14:$K$204,$E$14:$E$204,$C259,$C$14:$C$204,المدخلات!$AC$7),SUMIFS($K$14:$K$204,$E$14:$E$204,$C259,$C$14:$C$204,المدخلات!$AC$8))</f>
        <v>1</v>
      </c>
      <c r="F259" s="53">
        <f>SUMIFS($K$14:$K$204,$E$14:$E$204,$C259,$C$14:$C$204,المدخلات!$AC$9)</f>
        <v>0</v>
      </c>
      <c r="G259" s="53">
        <f>SUMIFS($K$14:$K$204,$E$14:$E$204,$C259,$C$14:$C$204,المدخلات!$AC$10)</f>
        <v>0</v>
      </c>
      <c r="H259" s="53">
        <f>SUMIFS($K$14:$K$204,$E$14:$E$204,$C259,$C$14:$C$204,المدخلات!$AC$11)</f>
        <v>0</v>
      </c>
      <c r="I259" s="53">
        <f>SUMIFS($K$14:$K$204,$E$14:$E$204,$C259,$C$14:$C$204,المدخلات!$AC$12)</f>
        <v>0</v>
      </c>
      <c r="J259" s="53">
        <f t="shared" si="6"/>
        <v>1</v>
      </c>
      <c r="K259" s="54">
        <f t="shared" si="7"/>
        <v>19</v>
      </c>
      <c r="L259" s="53" t="str">
        <f t="shared" si="8"/>
        <v>مكتملة</v>
      </c>
    </row>
    <row r="260" spans="2:12">
      <c r="B260" s="51" t="s">
        <v>68</v>
      </c>
      <c r="C260" s="52" t="s">
        <v>33</v>
      </c>
      <c r="D260" s="52" t="str">
        <f>IFERROR(INDEX('عدد اللاعبين'!$F$3:$F$193,MATCH($C260,'عدد اللاعبين'!$D$3:$D$193,0)),"")</f>
        <v>شرورة</v>
      </c>
      <c r="E260" s="53">
        <f>MAX(SUMIFS($K$14:$K$204,$E$14:$E$204,$C260,$C$14:$C$204,المدخلات!$AC$6),SUMIFS($K$14:$K$204,$E$14:$E$204,$C260,$C$14:$C$204,المدخلات!$AC$7),SUMIFS($K$14:$K$204,$E$14:$E$204,$C260,$C$14:$C$204,المدخلات!$AC$8))</f>
        <v>0</v>
      </c>
      <c r="F260" s="53">
        <f>SUMIFS($K$14:$K$204,$E$14:$E$204,$C260,$C$14:$C$204,المدخلات!$AC$9)</f>
        <v>0</v>
      </c>
      <c r="G260" s="53">
        <f>SUMIFS($K$14:$K$204,$E$14:$E$204,$C260,$C$14:$C$204,المدخلات!$AC$10)</f>
        <v>1</v>
      </c>
      <c r="H260" s="53">
        <f>SUMIFS($K$14:$K$204,$E$14:$E$204,$C260,$C$14:$C$204,المدخلات!$AC$11)</f>
        <v>1</v>
      </c>
      <c r="I260" s="53">
        <f>SUMIFS($K$14:$K$204,$E$14:$E$204,$C260,$C$14:$C$204,المدخلات!$AC$12)</f>
        <v>0</v>
      </c>
      <c r="J260" s="53">
        <f t="shared" si="6"/>
        <v>1</v>
      </c>
      <c r="K260" s="54">
        <f t="shared" si="7"/>
        <v>14</v>
      </c>
      <c r="L260" s="53" t="str">
        <f t="shared" si="8"/>
        <v>مكتملة</v>
      </c>
    </row>
    <row r="261" spans="2:12">
      <c r="B261" s="57" t="s">
        <v>1497</v>
      </c>
      <c r="C261" s="58"/>
      <c r="D261" s="58"/>
      <c r="E261" s="58">
        <f t="shared" ref="E261:K261" si="9">SUM(E212:E260)</f>
        <v>50</v>
      </c>
      <c r="F261" s="58">
        <f t="shared" si="9"/>
        <v>30</v>
      </c>
      <c r="G261" s="58">
        <f t="shared" si="9"/>
        <v>33</v>
      </c>
      <c r="H261" s="58">
        <f t="shared" si="9"/>
        <v>75</v>
      </c>
      <c r="I261" s="58">
        <f t="shared" si="9"/>
        <v>68</v>
      </c>
      <c r="J261" s="58">
        <f t="shared" si="9"/>
        <v>90</v>
      </c>
      <c r="K261" s="59">
        <f t="shared" si="9"/>
        <v>2525</v>
      </c>
      <c r="L261" s="60" t="str">
        <f>COUNTIF(L212:L260,"مكتملة")&amp;" من "&amp;COUNTA(L212:L260)</f>
        <v>32 من 49</v>
      </c>
    </row>
  </sheetData>
  <mergeCells count="1">
    <mergeCell ref="B2:G2"/>
  </mergeCells>
  <conditionalFormatting sqref="B212:L260">
    <cfRule type="expression" dxfId="6" priority="1">
      <formula>$K212=0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64-CE49-46B6-945A-2268B27E7C8D}">
  <dimension ref="B2:H197"/>
  <sheetViews>
    <sheetView rightToLeft="1" zoomScale="51" workbookViewId="0">
      <selection activeCell="H3" sqref="H3:H30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1058</v>
      </c>
    </row>
    <row r="3" spans="2:8">
      <c r="B3" s="2" t="str">
        <f>IFERROR(INDEX(المكاتب_المصدر[المنطقة],MATCH(Table10[[#This Row],[المجموعة]],المكاتب_المصدر[المجموعة],0)),"")</f>
        <v/>
      </c>
      <c r="C3" s="2" t="e">
        <f>'ملخص المجموعات'!#REF!</f>
        <v>#REF!</v>
      </c>
      <c r="D3" s="5" t="e">
        <f>'ملخص المجموعات'!#REF!</f>
        <v>#REF!</v>
      </c>
      <c r="E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" s="4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" spans="2:8">
      <c r="B4" s="2" t="str">
        <f>IFERROR(INDEX(المكاتب_المصدر[المنطقة],MATCH(Table10[[#This Row],[المجموعة]],المكاتب_المصدر[المجموعة],0)),"")</f>
        <v/>
      </c>
      <c r="C4" s="2" t="e">
        <f>'ملخص المجموعات'!#REF!</f>
        <v>#REF!</v>
      </c>
      <c r="D4" s="5" t="e">
        <f>'ملخص المجموعات'!#REF!</f>
        <v>#REF!</v>
      </c>
      <c r="E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" s="4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" spans="2:8">
      <c r="B5" s="2" t="str">
        <f>IFERROR(INDEX(المكاتب_المصدر[المنطقة],MATCH(Table10[[#This Row],[المجموعة]],المكاتب_المصدر[المجموعة],0)),"")</f>
        <v/>
      </c>
      <c r="C5" s="2" t="e">
        <f>'ملخص المجموعات'!#REF!</f>
        <v>#REF!</v>
      </c>
      <c r="D5" s="5" t="e">
        <f>'ملخص المجموعات'!#REF!</f>
        <v>#REF!</v>
      </c>
      <c r="E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" s="4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" spans="2:8">
      <c r="B6" s="2" t="str">
        <f>IFERROR(INDEX(المكاتب_المصدر[المنطقة],MATCH(Table10[[#This Row],[المجموعة]],المكاتب_المصدر[المجموعة],0)),"")</f>
        <v/>
      </c>
      <c r="C6" s="2" t="e">
        <f>'ملخص المجموعات'!#REF!</f>
        <v>#REF!</v>
      </c>
      <c r="D6" s="5" t="e">
        <f>'ملخص المجموعات'!#REF!</f>
        <v>#REF!</v>
      </c>
      <c r="E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" s="4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" spans="2:8">
      <c r="B7" s="2" t="str">
        <f>IFERROR(INDEX(المكاتب_المصدر[المنطقة],MATCH(Table10[[#This Row],[المجموعة]],المكاتب_المصدر[المجموعة],0)),"")</f>
        <v/>
      </c>
      <c r="C7" s="2" t="e">
        <f>'ملخص المجموعات'!#REF!</f>
        <v>#REF!</v>
      </c>
      <c r="D7" s="5" t="e">
        <f>'ملخص المجموعات'!#REF!</f>
        <v>#REF!</v>
      </c>
      <c r="E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" s="4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" spans="2:8">
      <c r="B8" s="2" t="str">
        <f>IFERROR(INDEX(المكاتب_المصدر[المنطقة],MATCH(Table10[[#This Row],[المجموعة]],المكاتب_المصدر[المجموعة],0)),"")</f>
        <v/>
      </c>
      <c r="C8" s="2" t="e">
        <f>'ملخص المجموعات'!#REF!</f>
        <v>#REF!</v>
      </c>
      <c r="D8" s="5" t="e">
        <f>'ملخص المجموعات'!#REF!</f>
        <v>#REF!</v>
      </c>
      <c r="E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" s="4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" spans="2:8">
      <c r="B9" s="2" t="str">
        <f>IFERROR(INDEX(المكاتب_المصدر[المنطقة],MATCH(Table10[[#This Row],[المجموعة]],المكاتب_المصدر[المجموعة],0)),"")</f>
        <v/>
      </c>
      <c r="C9" s="2" t="e">
        <f>'ملخص المجموعات'!#REF!</f>
        <v>#REF!</v>
      </c>
      <c r="D9" s="5" t="e">
        <f>'ملخص المجموعات'!#REF!</f>
        <v>#REF!</v>
      </c>
      <c r="E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" s="4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" spans="2:8">
      <c r="B10" s="2" t="str">
        <f>IFERROR(INDEX(المكاتب_المصدر[المنطقة],MATCH(Table10[[#This Row],[المجموعة]],المكاتب_المصدر[المجموعة],0)),"")</f>
        <v>نجران</v>
      </c>
      <c r="C10" s="2" t="str">
        <f>'ملخص المجموعات'!B3</f>
        <v>تحت 14</v>
      </c>
      <c r="D10" s="5" t="str">
        <f>'ملخص المجموعات'!C3</f>
        <v>مجموعة نجران</v>
      </c>
      <c r="E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" s="4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1" spans="2:8">
      <c r="B11" s="2" t="str">
        <f>IFERROR(INDEX(المكاتب_المصدر[المنطقة],MATCH(Table10[[#This Row],[المجموعة]],المكاتب_المصدر[المجموعة],0)),"")</f>
        <v>الجوف</v>
      </c>
      <c r="C11" s="2" t="str">
        <f>'ملخص المجموعات'!B4</f>
        <v>تحت 5</v>
      </c>
      <c r="D11" s="5" t="str">
        <f>'ملخص المجموعات'!C4</f>
        <v>مجموعة طبرجل</v>
      </c>
      <c r="E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" s="4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2" spans="2:8">
      <c r="B12" s="2" t="str">
        <f>IFERROR(INDEX(المكاتب_المصدر[المنطقة],MATCH(Table10[[#This Row],[المجموعة]],المكاتب_المصدر[المجموعة],0)),"")</f>
        <v>الجوف</v>
      </c>
      <c r="C12" s="2" t="str">
        <f>'ملخص المجموعات'!B5</f>
        <v>تحت 7</v>
      </c>
      <c r="D12" s="5" t="str">
        <f>'ملخص المجموعات'!C5</f>
        <v>مجموعة طبرجل</v>
      </c>
      <c r="E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" s="4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3" spans="2:8">
      <c r="B13" s="2" t="str">
        <f>IFERROR(INDEX(المكاتب_المصدر[المنطقة],MATCH(Table10[[#This Row],[المجموعة]],المكاتب_المصدر[المجموعة],0)),"")</f>
        <v>الرياض</v>
      </c>
      <c r="C13" s="2" t="str">
        <f>'ملخص المجموعات'!B6</f>
        <v>تحت 9</v>
      </c>
      <c r="D13" s="5" t="str">
        <f>'ملخص المجموعات'!C6</f>
        <v>مجموعة الخرج</v>
      </c>
      <c r="E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" s="4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4" spans="2:8">
      <c r="B14" s="2" t="str">
        <f>IFERROR(INDEX(المكاتب_المصدر[المنطقة],MATCH(Table10[[#This Row],[المجموعة]],المكاتب_المصدر[المجموعة],0)),"")</f>
        <v>الجوف</v>
      </c>
      <c r="C14" s="2" t="str">
        <f>'ملخص المجموعات'!B7</f>
        <v>تحت 12</v>
      </c>
      <c r="D14" s="5" t="str">
        <f>'ملخص المجموعات'!C7</f>
        <v>مجموعة طبرجل</v>
      </c>
      <c r="E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" s="4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5" spans="2:8">
      <c r="B15" s="2" t="str">
        <f>IFERROR(INDEX(المكاتب_المصدر[المنطقة],MATCH(Table10[[#This Row],[المجموعة]],المكاتب_المصدر[المجموعة],0)),"")</f>
        <v>الجوف</v>
      </c>
      <c r="C15" s="2" t="str">
        <f>'ملخص المجموعات'!B8</f>
        <v>تحت 14</v>
      </c>
      <c r="D15" s="5" t="str">
        <f>'ملخص المجموعات'!C8</f>
        <v>مجموعة طبرجل</v>
      </c>
      <c r="E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" s="4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6" spans="2:8">
      <c r="B16" s="2" t="str">
        <f>IFERROR(INDEX(المكاتب_المصدر[المنطقة],MATCH(Table10[[#This Row],[المجموعة]],المكاتب_المصدر[المجموعة],0)),"")</f>
        <v>نجران</v>
      </c>
      <c r="C16" s="2" t="str">
        <f>'ملخص المجموعات'!B9</f>
        <v>تحت 7</v>
      </c>
      <c r="D16" s="5" t="str">
        <f>'ملخص المجموعات'!C9</f>
        <v>مجموعة شرورة</v>
      </c>
      <c r="E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" s="4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</v>
      </c>
      <c r="G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7" spans="2:8">
      <c r="B17" s="2" t="str">
        <f>IFERROR(INDEX(المكاتب_المصدر[المنطقة],MATCH(Table10[[#This Row],[المجموعة]],المكاتب_المصدر[المجموعة],0)),"")</f>
        <v>نجران</v>
      </c>
      <c r="C17" s="2" t="str">
        <f>'ملخص المجموعات'!B10</f>
        <v>تحت 9</v>
      </c>
      <c r="D17" s="5" t="str">
        <f>'ملخص المجموعات'!C10</f>
        <v>مجموعة شرورة</v>
      </c>
      <c r="E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" s="4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8" spans="2:8">
      <c r="B18" s="2" t="str">
        <f>IFERROR(INDEX(المكاتب_المصدر[المنطقة],MATCH(Table10[[#This Row],[المجموعة]],المكاتب_المصدر[المجموعة],0)),"")</f>
        <v>الرياض</v>
      </c>
      <c r="C18" s="2" t="str">
        <f>'ملخص المجموعات'!B11</f>
        <v>تحت 9</v>
      </c>
      <c r="D18" s="5" t="str">
        <f>'ملخص المجموعات'!C11</f>
        <v>مجموعة الدوادمي</v>
      </c>
      <c r="E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8" s="4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9" spans="2:8">
      <c r="B19" s="2" t="str">
        <f>IFERROR(INDEX(المكاتب_المصدر[المنطقة],MATCH(Table10[[#This Row],[المجموعة]],المكاتب_المصدر[المجموعة],0)),"")</f>
        <v>الجوف</v>
      </c>
      <c r="C19" s="2" t="str">
        <f>'ملخص المجموعات'!B12</f>
        <v>تحت 11</v>
      </c>
      <c r="D19" s="5" t="str">
        <f>'ملخص المجموعات'!C12</f>
        <v>مجموعة القريات</v>
      </c>
      <c r="E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" s="4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G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0" spans="2:8">
      <c r="B20" s="2" t="str">
        <f>IFERROR(INDEX(المكاتب_المصدر[المنطقة],MATCH(Table10[[#This Row],[المجموعة]],المكاتب_المصدر[المجموعة],0)),"")</f>
        <v>الجوف</v>
      </c>
      <c r="C20" s="2" t="str">
        <f>'ملخص المجموعات'!B13</f>
        <v>تحت 12</v>
      </c>
      <c r="D20" s="5" t="str">
        <f>'ملخص المجموعات'!C13</f>
        <v>مجموعة القريات</v>
      </c>
      <c r="E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" s="4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1" spans="2:8">
      <c r="B21" s="2" t="str">
        <f>IFERROR(INDEX(المكاتب_المصدر[المنطقة],MATCH(Table10[[#This Row],[المجموعة]],المكاتب_المصدر[المجموعة],0)),"")</f>
        <v>الجوف</v>
      </c>
      <c r="C21" s="2" t="str">
        <f>'ملخص المجموعات'!B14</f>
        <v>تحت 13</v>
      </c>
      <c r="D21" s="5" t="str">
        <f>'ملخص المجموعات'!C14</f>
        <v>مجموعة القريات</v>
      </c>
      <c r="E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" s="4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2" spans="2:8">
      <c r="B22" s="2" t="str">
        <f>IFERROR(INDEX(المكاتب_المصدر[المنطقة],MATCH(Table10[[#This Row],[المجموعة]],المكاتب_المصدر[المجموعة],0)),"")</f>
        <v>الجوف</v>
      </c>
      <c r="C22" s="2" t="str">
        <f>'ملخص المجموعات'!B15</f>
        <v>تحت 14</v>
      </c>
      <c r="D22" s="5" t="str">
        <f>'ملخص المجموعات'!C15</f>
        <v>مجموعة القريات</v>
      </c>
      <c r="E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" s="4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3" spans="2:8">
      <c r="B23" s="2" t="str">
        <f>IFERROR(INDEX(المكاتب_المصدر[المنطقة],MATCH(Table10[[#This Row],[المجموعة]],المكاتب_المصدر[المجموعة],0)),"")</f>
        <v>الباحة</v>
      </c>
      <c r="C23" s="2" t="str">
        <f>'ملخص المجموعات'!B16</f>
        <v>تحت 12</v>
      </c>
      <c r="D23" s="5" t="str">
        <f>'ملخص المجموعات'!C16</f>
        <v>مجموعة الباحة</v>
      </c>
      <c r="E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3" s="4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4" spans="2:8">
      <c r="B24" s="2" t="str">
        <f>IFERROR(INDEX(المكاتب_المصدر[المنطقة],MATCH(Table10[[#This Row],[المجموعة]],المكاتب_المصدر[المجموعة],0)),"")</f>
        <v>نجران</v>
      </c>
      <c r="C24" s="2" t="str">
        <f>'ملخص المجموعات'!B17</f>
        <v>تحت 13</v>
      </c>
      <c r="D24" s="5" t="str">
        <f>'ملخص المجموعات'!C17</f>
        <v>مجموعة نجران</v>
      </c>
      <c r="E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4" s="4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5" spans="2:8">
      <c r="B25" s="2" t="str">
        <f>IFERROR(INDEX(المكاتب_المصدر[المنطقة],MATCH(Table10[[#This Row],[المجموعة]],المكاتب_المصدر[المجموعة],0)),"")</f>
        <v>الباحة</v>
      </c>
      <c r="C25" s="2" t="str">
        <f>'ملخص المجموعات'!B18</f>
        <v>تحت 13</v>
      </c>
      <c r="D25" s="5" t="str">
        <f>'ملخص المجموعات'!C18</f>
        <v>مجموعة الباحة</v>
      </c>
      <c r="E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" s="4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6" spans="2:8">
      <c r="B26" s="2" t="str">
        <f>IFERROR(INDEX(المكاتب_المصدر[المنطقة],MATCH(Table10[[#This Row],[المجموعة]],المكاتب_المصدر[المجموعة],0)),"")</f>
        <v>الباحة</v>
      </c>
      <c r="C26" s="2" t="str">
        <f>'ملخص المجموعات'!B19</f>
        <v>تحت 14</v>
      </c>
      <c r="D26" s="5" t="str">
        <f>'ملخص المجموعات'!C19</f>
        <v>مجموعة الباحة</v>
      </c>
      <c r="E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" s="4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7" spans="2:8">
      <c r="B27" s="2" t="str">
        <f>IFERROR(INDEX(المكاتب_المصدر[المنطقة],MATCH(Table10[[#This Row],[المجموعة]],المكاتب_المصدر[المجموعة],0)),"")</f>
        <v>حائل</v>
      </c>
      <c r="C27" s="2" t="str">
        <f>'ملخص المجموعات'!B20</f>
        <v>تحت 5</v>
      </c>
      <c r="D27" s="5" t="str">
        <f>'ملخص المجموعات'!C20</f>
        <v>مجموعة حائل</v>
      </c>
      <c r="E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" s="4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28" spans="2:8">
      <c r="B28" s="2" t="str">
        <f>IFERROR(INDEX(المكاتب_المصدر[المنطقة],MATCH(Table10[[#This Row],[المجموعة]],المكاتب_المصدر[المجموعة],0)),"")</f>
        <v>الجوف</v>
      </c>
      <c r="C28" s="2" t="str">
        <f>'ملخص المجموعات'!B21</f>
        <v>تحت 5</v>
      </c>
      <c r="D28" s="5" t="str">
        <f>'ملخص المجموعات'!C21</f>
        <v>مجموعة القريات</v>
      </c>
      <c r="E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" s="4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29" spans="2:8">
      <c r="B29" s="2" t="str">
        <f>IFERROR(INDEX(المكاتب_المصدر[المنطقة],MATCH(Table10[[#This Row],[المجموعة]],المكاتب_المصدر[المجموعة],0)),"")</f>
        <v>نجران</v>
      </c>
      <c r="C29" s="2" t="str">
        <f>'ملخص المجموعات'!B22</f>
        <v>تحت 5</v>
      </c>
      <c r="D29" s="5" t="str">
        <f>'ملخص المجموعات'!C22</f>
        <v>مجموعة شرورة</v>
      </c>
      <c r="E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" s="4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0" spans="2:8">
      <c r="B30" s="2" t="str">
        <f>IFERROR(INDEX(المكاتب_المصدر[المنطقة],MATCH(Table10[[#This Row],[المجموعة]],المكاتب_المصدر[المجموعة],0)),"")</f>
        <v>الباحة</v>
      </c>
      <c r="C30" s="2" t="str">
        <f>'ملخص المجموعات'!B23</f>
        <v>تحت 7</v>
      </c>
      <c r="D30" s="5" t="str">
        <f>'ملخص المجموعات'!C23</f>
        <v>مجموعة الباحة</v>
      </c>
      <c r="E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0" s="4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1" spans="2:8">
      <c r="B31" s="2" t="str">
        <f>IFERROR(INDEX(المكاتب_المصدر[المنطقة],MATCH(Table10[[#This Row],[المجموعة]],المكاتب_المصدر[المجموعة],0)),"")</f>
        <v>عسير</v>
      </c>
      <c r="C31" s="2" t="str">
        <f>'ملخص المجموعات'!B24</f>
        <v>تحت 7</v>
      </c>
      <c r="D31" s="5" t="str">
        <f>'ملخص المجموعات'!C24</f>
        <v>مجموعة أبها</v>
      </c>
      <c r="E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1" s="4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2" spans="2:8">
      <c r="B32" s="2" t="str">
        <f>IFERROR(INDEX(المكاتب_المصدر[المنطقة],MATCH(Table10[[#This Row],[المجموعة]],المكاتب_المصدر[المجموعة],0)),"")</f>
        <v>الجوف</v>
      </c>
      <c r="C32" s="2" t="str">
        <f>'ملخص المجموعات'!B25</f>
        <v>تحت 9</v>
      </c>
      <c r="D32" s="5" t="str">
        <f>'ملخص المجموعات'!C25</f>
        <v>مجموعة القريات</v>
      </c>
      <c r="E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2" s="4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3" spans="2:8">
      <c r="B33" s="2" t="str">
        <f>IFERROR(INDEX(المكاتب_المصدر[المنطقة],MATCH(Table10[[#This Row],[المجموعة]],المكاتب_المصدر[المجموعة],0)),"")</f>
        <v>الجوف</v>
      </c>
      <c r="C33" s="2" t="str">
        <f>'ملخص المجموعات'!B26</f>
        <v>تحت 9</v>
      </c>
      <c r="D33" s="5" t="str">
        <f>'ملخص المجموعات'!C26</f>
        <v>مجموعة طبرجل</v>
      </c>
      <c r="E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4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4" spans="2:8">
      <c r="B34" s="2" t="str">
        <f>IFERROR(INDEX(المكاتب_المصدر[المنطقة],MATCH(Table10[[#This Row],[المجموعة]],المكاتب_المصدر[المجموعة],0)),"")</f>
        <v>القصيم</v>
      </c>
      <c r="C34" s="2" t="str">
        <f>'ملخص المجموعات'!B27</f>
        <v>تحت 13</v>
      </c>
      <c r="D34" s="5" t="str">
        <f>'ملخص المجموعات'!C27</f>
        <v>مجموعة الرس</v>
      </c>
      <c r="E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4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5" spans="2:8">
      <c r="B35" s="2" t="str">
        <f>IFERROR(INDEX(المكاتب_المصدر[المنطقة],MATCH(Table10[[#This Row],[المجموعة]],المكاتب_المصدر[المجموعة],0)),"")</f>
        <v>جازان</v>
      </c>
      <c r="C35" s="2" t="str">
        <f>'ملخص المجموعات'!B28</f>
        <v>تحت 13</v>
      </c>
      <c r="D35" s="5" t="str">
        <f>'ملخص المجموعات'!C28</f>
        <v>مجموعة جازان</v>
      </c>
      <c r="E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4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6" spans="2:8">
      <c r="B36" s="2" t="str">
        <f>IFERROR(INDEX(المكاتب_المصدر[المنطقة],MATCH(Table10[[#This Row],[المجموعة]],المكاتب_المصدر[المجموعة],0)),"")</f>
        <v>حائل</v>
      </c>
      <c r="C36" s="2" t="str">
        <f>'ملخص المجموعات'!B29</f>
        <v>تحت 14</v>
      </c>
      <c r="D36" s="5" t="str">
        <f>'ملخص المجموعات'!C29</f>
        <v>مجموعة حائل</v>
      </c>
      <c r="E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4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7" spans="2:8">
      <c r="B37" s="2" t="str">
        <f>IFERROR(INDEX(المكاتب_المصدر[المنطقة],MATCH(Table10[[#This Row],[المجموعة]],المكاتب_المصدر[المجموعة],0)),"")</f>
        <v>الرياض</v>
      </c>
      <c r="C37" s="2" t="str">
        <f>'ملخص المجموعات'!B30</f>
        <v>تحت 14</v>
      </c>
      <c r="D37" s="5" t="str">
        <f>'ملخص المجموعات'!C30</f>
        <v>مجموعة الخرج</v>
      </c>
      <c r="E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7" s="4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8" spans="2:8">
      <c r="B38" s="2" t="str">
        <f>IFERROR(INDEX(المكاتب_المصدر[المنطقة],MATCH(Table10[[#This Row],[المجموعة]],المكاتب_المصدر[المجموعة],0)),"")</f>
        <v>الشرقية</v>
      </c>
      <c r="C38" s="2" t="str">
        <f>'ملخص المجموعات'!B31</f>
        <v>تحت 5</v>
      </c>
      <c r="D38" s="5" t="str">
        <f>'ملخص المجموعات'!C31</f>
        <v>مجموعة مركز الرفيعة</v>
      </c>
      <c r="E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4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39" spans="2:8">
      <c r="B39" s="2" t="str">
        <f>IFERROR(INDEX(المكاتب_المصدر[المنطقة],MATCH(Table10[[#This Row],[المجموعة]],المكاتب_المصدر[المجموعة],0)),"")</f>
        <v>الشرقية</v>
      </c>
      <c r="C39" s="2" t="str">
        <f>'ملخص المجموعات'!B32</f>
        <v>تحت 5</v>
      </c>
      <c r="D39" s="5" t="str">
        <f>'ملخص المجموعات'!C32</f>
        <v>مجموعة القطيف</v>
      </c>
      <c r="E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9" s="4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G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40" spans="2:8">
      <c r="B40" s="2" t="str">
        <f>IFERROR(INDEX(المكاتب_المصدر[المنطقة],MATCH(Table10[[#This Row],[المجموعة]],المكاتب_المصدر[المجموعة],0)),"")</f>
        <v>حائل</v>
      </c>
      <c r="C40" s="2" t="str">
        <f>'ملخص المجموعات'!B33</f>
        <v>تحت 7</v>
      </c>
      <c r="D40" s="5" t="str">
        <f>'ملخص المجموعات'!C33</f>
        <v>مجموعة حائل</v>
      </c>
      <c r="E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0" s="4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41" spans="2:8">
      <c r="B41" s="2" t="str">
        <f>IFERROR(INDEX(المكاتب_المصدر[المنطقة],MATCH(Table10[[#This Row],[المجموعة]],المكاتب_المصدر[المجموعة],0)),"")</f>
        <v>الشرقية</v>
      </c>
      <c r="C41" s="2" t="str">
        <f>'ملخص المجموعات'!B34</f>
        <v>تحت 7</v>
      </c>
      <c r="D41" s="5" t="str">
        <f>'ملخص المجموعات'!C34</f>
        <v>مجموعة مركز الرفيعة</v>
      </c>
      <c r="E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1" s="4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42" spans="2:8">
      <c r="B42" s="2" t="str">
        <f>IFERROR(INDEX(المكاتب_المصدر[المنطقة],MATCH(Table10[[#This Row],[المجموعة]],المكاتب_المصدر[المجموعة],0)),"")</f>
        <v>الجوف</v>
      </c>
      <c r="C42" s="2" t="str">
        <f>'ملخص المجموعات'!B35</f>
        <v>تحت 7</v>
      </c>
      <c r="D42" s="5" t="str">
        <f>'ملخص المجموعات'!C35</f>
        <v>مجموعة القريات</v>
      </c>
      <c r="E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2" s="4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43" spans="2:8">
      <c r="B43" s="2" t="str">
        <f>IFERROR(INDEX(المكاتب_المصدر[المنطقة],MATCH(Table10[[#This Row],[المجموعة]],المكاتب_المصدر[المجموعة],0)),"")</f>
        <v>الشرقية</v>
      </c>
      <c r="C43" s="2" t="str">
        <f>'ملخص المجموعات'!B36</f>
        <v>تحت 9</v>
      </c>
      <c r="D43" s="5" t="str">
        <f>'ملخص المجموعات'!C36</f>
        <v>مجموعة مركز الرفيعة</v>
      </c>
      <c r="E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3" s="4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44" spans="2:8">
      <c r="B44" s="2" t="str">
        <f>IFERROR(INDEX(المكاتب_المصدر[المنطقة],MATCH(Table10[[#This Row],[المجموعة]],المكاتب_المصدر[المجموعة],0)),"")</f>
        <v>الباحة</v>
      </c>
      <c r="C44" s="2" t="str">
        <f>'ملخص المجموعات'!B37</f>
        <v>تحت 9</v>
      </c>
      <c r="D44" s="5" t="str">
        <f>'ملخص المجموعات'!C37</f>
        <v>مجموعة الباحة</v>
      </c>
      <c r="E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4" s="4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45" spans="2:8">
      <c r="B45" s="2" t="str">
        <f>IFERROR(INDEX(المكاتب_المصدر[المنطقة],MATCH(Table10[[#This Row],[المجموعة]],المكاتب_المصدر[المجموعة],0)),"")</f>
        <v>جازان</v>
      </c>
      <c r="C45" s="2" t="str">
        <f>'ملخص المجموعات'!B38</f>
        <v>تحت 11</v>
      </c>
      <c r="D45" s="5" t="str">
        <f>'ملخص المجموعات'!C38</f>
        <v>مجموعة أحد المسارحة</v>
      </c>
      <c r="E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5" s="4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6" spans="2:8">
      <c r="B46" s="2" t="str">
        <f>IFERROR(INDEX(المكاتب_المصدر[المنطقة],MATCH(Table10[[#This Row],[المجموعة]],المكاتب_المصدر[المجموعة],0)),"")</f>
        <v>تبوك</v>
      </c>
      <c r="C46" s="2" t="str">
        <f>'ملخص المجموعات'!B39</f>
        <v>تحت 12</v>
      </c>
      <c r="D46" s="5" t="str">
        <f>'ملخص المجموعات'!C39</f>
        <v>مجموعة أملج</v>
      </c>
      <c r="E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6" s="4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7" spans="2:8">
      <c r="B47" s="2" t="str">
        <f>IFERROR(INDEX(المكاتب_المصدر[المنطقة],MATCH(Table10[[#This Row],[المجموعة]],المكاتب_المصدر[المجموعة],0)),"")</f>
        <v>الشرقية</v>
      </c>
      <c r="C47" s="2" t="str">
        <f>'ملخص المجموعات'!B40</f>
        <v>تحت 12</v>
      </c>
      <c r="D47" s="5" t="str">
        <f>'ملخص المجموعات'!C40</f>
        <v>مجموعة مركز الرفيعة</v>
      </c>
      <c r="E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7" s="4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8" spans="2:8">
      <c r="B48" s="2" t="str">
        <f>IFERROR(INDEX(المكاتب_المصدر[المنطقة],MATCH(Table10[[#This Row],[المجموعة]],المكاتب_المصدر[المجموعة],0)),"")</f>
        <v>نجران</v>
      </c>
      <c r="C48" s="2" t="str">
        <f>'ملخص المجموعات'!B41</f>
        <v>تحت 12</v>
      </c>
      <c r="D48" s="5" t="str">
        <f>'ملخص المجموعات'!C41</f>
        <v>مجموعة نجران</v>
      </c>
      <c r="E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8" s="4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9" spans="2:8">
      <c r="B49" s="2" t="str">
        <f>IFERROR(INDEX(المكاتب_المصدر[المنطقة],MATCH(Table10[[#This Row],[المجموعة]],المكاتب_المصدر[المجموعة],0)),"")</f>
        <v>جازان</v>
      </c>
      <c r="C49" s="2" t="str">
        <f>'ملخص المجموعات'!B42</f>
        <v>تحت 12</v>
      </c>
      <c r="D49" s="5" t="str">
        <f>'ملخص المجموعات'!C42</f>
        <v>مجموعة أحد المسارحة</v>
      </c>
      <c r="E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4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0" spans="2:8">
      <c r="B50" s="2" t="str">
        <f>IFERROR(INDEX(المكاتب_المصدر[المنطقة],MATCH(Table10[[#This Row],[المجموعة]],المكاتب_المصدر[المجموعة],0)),"")</f>
        <v>تبوك</v>
      </c>
      <c r="C50" s="2" t="str">
        <f>'ملخص المجموعات'!B43</f>
        <v>تحت 13</v>
      </c>
      <c r="D50" s="5" t="str">
        <f>'ملخص المجموعات'!C43</f>
        <v>مجموعة تبوك</v>
      </c>
      <c r="E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50" s="4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1" spans="2:8">
      <c r="B51" s="2" t="str">
        <f>IFERROR(INDEX(المكاتب_المصدر[المنطقة],MATCH(Table10[[#This Row],[المجموعة]],المكاتب_المصدر[المجموعة],0)),"")</f>
        <v>حائل</v>
      </c>
      <c r="C51" s="2" t="str">
        <f>'ملخص المجموعات'!B44</f>
        <v>تحت 13</v>
      </c>
      <c r="D51" s="5" t="str">
        <f>'ملخص المجموعات'!C44</f>
        <v>مجموعة حائل</v>
      </c>
      <c r="E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4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2" spans="2:8">
      <c r="B52" s="2" t="str">
        <f>IFERROR(INDEX(المكاتب_المصدر[المنطقة],MATCH(Table10[[#This Row],[المجموعة]],المكاتب_المصدر[المجموعة],0)),"")</f>
        <v>الشرقية</v>
      </c>
      <c r="C52" s="2" t="str">
        <f>'ملخص المجموعات'!B45</f>
        <v>تحت 13</v>
      </c>
      <c r="D52" s="5" t="str">
        <f>'ملخص المجموعات'!C45</f>
        <v>مجموعة مركز الرفيعة</v>
      </c>
      <c r="E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2" s="4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3" spans="2:8">
      <c r="B53" s="2" t="str">
        <f>IFERROR(INDEX(المكاتب_المصدر[المنطقة],MATCH(Table10[[#This Row],[المجموعة]],المكاتب_المصدر[المجموعة],0)),"")</f>
        <v>الرياض</v>
      </c>
      <c r="C53" s="2" t="str">
        <f>'ملخص المجموعات'!B46</f>
        <v>تحت 13</v>
      </c>
      <c r="D53" s="5" t="str">
        <f>'ملخص المجموعات'!C46</f>
        <v>مجموعة الخرج</v>
      </c>
      <c r="E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53" s="4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4" spans="2:8">
      <c r="B54" s="2" t="str">
        <f>IFERROR(INDEX(المكاتب_المصدر[المنطقة],MATCH(Table10[[#This Row],[المجموعة]],المكاتب_المصدر[المجموعة],0)),"")</f>
        <v>الجوف</v>
      </c>
      <c r="C54" s="2" t="str">
        <f>'ملخص المجموعات'!B47</f>
        <v>تحت 13</v>
      </c>
      <c r="D54" s="5" t="str">
        <f>'ملخص المجموعات'!C47</f>
        <v>مجموعة سكاكا</v>
      </c>
      <c r="E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4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5" spans="2:8">
      <c r="B55" s="2" t="str">
        <f>IFERROR(INDEX(المكاتب_المصدر[المنطقة],MATCH(Table10[[#This Row],[المجموعة]],المكاتب_المصدر[المجموعة],0)),"")</f>
        <v>جازان</v>
      </c>
      <c r="C55" s="2" t="str">
        <f>'ملخص المجموعات'!B48</f>
        <v>تحت 13</v>
      </c>
      <c r="D55" s="5" t="str">
        <f>'ملخص المجموعات'!C48</f>
        <v>مجموعة أحد المسارحة</v>
      </c>
      <c r="E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4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6" spans="2:8">
      <c r="B56" s="2" t="str">
        <f>IFERROR(INDEX(المكاتب_المصدر[المنطقة],MATCH(Table10[[#This Row],[المجموعة]],المكاتب_المصدر[المجموعة],0)),"")</f>
        <v>الشرقية</v>
      </c>
      <c r="C56" s="2" t="str">
        <f>'ملخص المجموعات'!B49</f>
        <v>تحت 14</v>
      </c>
      <c r="D56" s="5" t="str">
        <f>'ملخص المجموعات'!C49</f>
        <v>مجموعة مركز الرفيعة</v>
      </c>
      <c r="E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4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7" spans="2:8">
      <c r="B57" s="2" t="str">
        <f>IFERROR(INDEX(المكاتب_المصدر[المنطقة],MATCH(Table10[[#This Row],[المجموعة]],المكاتب_المصدر[المجموعة],0)),"")</f>
        <v>القصيم</v>
      </c>
      <c r="C57" s="2" t="str">
        <f>'ملخص المجموعات'!B50</f>
        <v>تحت 14</v>
      </c>
      <c r="D57" s="5" t="str">
        <f>'ملخص المجموعات'!C50</f>
        <v>مجموعة الرس</v>
      </c>
      <c r="E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7" s="4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8" spans="2:8">
      <c r="B58" s="2" t="str">
        <f>IFERROR(INDEX(المكاتب_المصدر[المنطقة],MATCH(Table10[[#This Row],[المجموعة]],المكاتب_المصدر[المجموعة],0)),"")</f>
        <v>جازان</v>
      </c>
      <c r="C58" s="2" t="str">
        <f>'ملخص المجموعات'!B51</f>
        <v>تحت 14</v>
      </c>
      <c r="D58" s="5" t="str">
        <f>'ملخص المجموعات'!C51</f>
        <v>مجموعة جازان</v>
      </c>
      <c r="E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58" s="4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9" spans="2:8">
      <c r="B59" s="2" t="str">
        <f>IFERROR(INDEX(المكاتب_المصدر[المنطقة],MATCH(Table10[[#This Row],[المجموعة]],المكاتب_المصدر[المجموعة],0)),"")</f>
        <v>جازان</v>
      </c>
      <c r="C59" s="2" t="str">
        <f>'ملخص المجموعات'!B52</f>
        <v>تحت 14</v>
      </c>
      <c r="D59" s="5" t="str">
        <f>'ملخص المجموعات'!C52</f>
        <v>مجموعة أحد المسارحة</v>
      </c>
      <c r="E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9" s="4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60" spans="2:8">
      <c r="B60" s="2" t="str">
        <f>IFERROR(INDEX(المكاتب_المصدر[المنطقة],MATCH(Table10[[#This Row],[المجموعة]],المكاتب_المصدر[المجموعة],0)),"")</f>
        <v>الشرقية</v>
      </c>
      <c r="C60" s="2" t="str">
        <f>'ملخص المجموعات'!B53</f>
        <v>تحت 5</v>
      </c>
      <c r="D60" s="5" t="str">
        <f>'ملخص المجموعات'!C53</f>
        <v>مجموعة الدمام</v>
      </c>
      <c r="E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4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61" spans="2:8">
      <c r="B61" s="2" t="str">
        <f>IFERROR(INDEX(المكاتب_المصدر[المنطقة],MATCH(Table10[[#This Row],[المجموعة]],المكاتب_المصدر[المجموعة],0)),"")</f>
        <v>جازان</v>
      </c>
      <c r="C61" s="2" t="str">
        <f>'ملخص المجموعات'!B54</f>
        <v>تحت 5</v>
      </c>
      <c r="D61" s="5" t="str">
        <f>'ملخص المجموعات'!C54</f>
        <v>مجموعة أحد المسارحة</v>
      </c>
      <c r="E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4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2" spans="2:8">
      <c r="B62" s="2" t="str">
        <f>IFERROR(INDEX(المكاتب_المصدر[المنطقة],MATCH(Table10[[#This Row],[المجموعة]],المكاتب_المصدر[المجموعة],0)),"")</f>
        <v>جازان</v>
      </c>
      <c r="C62" s="2" t="str">
        <f>'ملخص المجموعات'!B55</f>
        <v>تحت 5</v>
      </c>
      <c r="D62" s="5" t="str">
        <f>'ملخص المجموعات'!C55</f>
        <v>مجموعة صامطة</v>
      </c>
      <c r="E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4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3" spans="2:8">
      <c r="B63" s="2" t="str">
        <f>IFERROR(INDEX(المكاتب_المصدر[المنطقة],MATCH(Table10[[#This Row],[المجموعة]],المكاتب_المصدر[المجموعة],0)),"")</f>
        <v>جازان</v>
      </c>
      <c r="C63" s="2" t="str">
        <f>'ملخص المجموعات'!B56</f>
        <v>تحت 7</v>
      </c>
      <c r="D63" s="5" t="str">
        <f>'ملخص المجموعات'!C56</f>
        <v>مجموعة جازان</v>
      </c>
      <c r="E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4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4" spans="2:8">
      <c r="B64" s="2" t="str">
        <f>IFERROR(INDEX(المكاتب_المصدر[المنطقة],MATCH(Table10[[#This Row],[المجموعة]],المكاتب_المصدر[المجموعة],0)),"")</f>
        <v>جازان</v>
      </c>
      <c r="C64" s="2" t="str">
        <f>'ملخص المجموعات'!B57</f>
        <v>تحت 7</v>
      </c>
      <c r="D64" s="5" t="str">
        <f>'ملخص المجموعات'!C57</f>
        <v>مجموعة أحد المسارحة</v>
      </c>
      <c r="E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64" s="4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5" spans="2:8">
      <c r="B65" s="2" t="str">
        <f>IFERROR(INDEX(المكاتب_المصدر[المنطقة],MATCH(Table10[[#This Row],[المجموعة]],المكاتب_المصدر[المجموعة],0)),"")</f>
        <v>القصيم</v>
      </c>
      <c r="C65" s="2" t="str">
        <f>'ملخص المجموعات'!B58</f>
        <v>تحت 9</v>
      </c>
      <c r="D65" s="5" t="str">
        <f>'ملخص المجموعات'!C58</f>
        <v>مجموعة الرس</v>
      </c>
      <c r="E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4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6" spans="2:8">
      <c r="B66" s="2" t="str">
        <f>IFERROR(INDEX(المكاتب_المصدر[المنطقة],MATCH(Table10[[#This Row],[المجموعة]],المكاتب_المصدر[المجموعة],0)),"")</f>
        <v>مكة المكرمة</v>
      </c>
      <c r="C66" s="2" t="str">
        <f>'ملخص المجموعات'!B59</f>
        <v>تحت 9</v>
      </c>
      <c r="D66" s="5" t="str">
        <f>'ملخص المجموعات'!C59</f>
        <v>مجموعة القنفذة</v>
      </c>
      <c r="E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6" s="4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7" spans="2:8">
      <c r="B67" s="2" t="str">
        <f>IFERROR(INDEX(المكاتب_المصدر[المنطقة],MATCH(Table10[[#This Row],[المجموعة]],المكاتب_المصدر[المجموعة],0)),"")</f>
        <v>جازان</v>
      </c>
      <c r="C67" s="2" t="str">
        <f>'ملخص المجموعات'!B60</f>
        <v>تحت 9</v>
      </c>
      <c r="D67" s="5" t="str">
        <f>'ملخص المجموعات'!C60</f>
        <v>مجموعة أحد المسارحة</v>
      </c>
      <c r="E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7" s="4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8" spans="2:8">
      <c r="B68" s="2" t="str">
        <f>IFERROR(INDEX(المكاتب_المصدر[المنطقة],MATCH(Table10[[#This Row],[المجموعة]],المكاتب_المصدر[المجموعة],0)),"")</f>
        <v>تبوك</v>
      </c>
      <c r="C68" s="2" t="str">
        <f>'ملخص المجموعات'!B61</f>
        <v>تحت 11</v>
      </c>
      <c r="D68" s="5" t="str">
        <f>'ملخص المجموعات'!C61</f>
        <v>مجموعة تبوك</v>
      </c>
      <c r="E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4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9" spans="2:8">
      <c r="B69" s="2" t="str">
        <f>IFERROR(INDEX(المكاتب_المصدر[المنطقة],MATCH(Table10[[#This Row],[المجموعة]],المكاتب_المصدر[المجموعة],0)),"")</f>
        <v>الشرقية</v>
      </c>
      <c r="C69" s="2" t="str">
        <f>'ملخص المجموعات'!B62</f>
        <v>تحت 11</v>
      </c>
      <c r="D69" s="5" t="str">
        <f>'ملخص المجموعات'!C62</f>
        <v>مجموعة مركز الرفيعة</v>
      </c>
      <c r="E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69" s="4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70" spans="2:8">
      <c r="B70" s="2" t="str">
        <f>IFERROR(INDEX(المكاتب_المصدر[المنطقة],MATCH(Table10[[#This Row],[المجموعة]],المكاتب_المصدر[المجموعة],0)),"")</f>
        <v>تبوك</v>
      </c>
      <c r="C70" s="2" t="str">
        <f>'ملخص المجموعات'!B63</f>
        <v>تحت 12</v>
      </c>
      <c r="D70" s="5" t="str">
        <f>'ملخص المجموعات'!C63</f>
        <v>مجموعة تبوك</v>
      </c>
      <c r="E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0" s="4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71" spans="2:8">
      <c r="B71" s="2" t="str">
        <f>IFERROR(INDEX(المكاتب_المصدر[المنطقة],MATCH(Table10[[#This Row],[المجموعة]],المكاتب_المصدر[المجموعة],0)),"")</f>
        <v>الجوف</v>
      </c>
      <c r="C71" s="2" t="str">
        <f>'ملخص المجموعات'!B64</f>
        <v>تحت 12</v>
      </c>
      <c r="D71" s="5" t="str">
        <f>'ملخص المجموعات'!C64</f>
        <v>مجموعة سكاكا</v>
      </c>
      <c r="E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1" s="4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72" spans="2:8">
      <c r="B72" s="2" t="str">
        <f>IFERROR(INDEX(المكاتب_المصدر[المنطقة],MATCH(Table10[[#This Row],[المجموعة]],المكاتب_المصدر[المجموعة],0)),"")</f>
        <v>تبوك</v>
      </c>
      <c r="C72" s="2" t="str">
        <f>'ملخص المجموعات'!B65</f>
        <v>تحت 14</v>
      </c>
      <c r="D72" s="5" t="str">
        <f>'ملخص المجموعات'!C65</f>
        <v>مجموعة تبوك</v>
      </c>
      <c r="E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2" s="4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3" spans="2:8">
      <c r="B73" s="2" t="str">
        <f>IFERROR(INDEX(المكاتب_المصدر[المنطقة],MATCH(Table10[[#This Row],[المجموعة]],المكاتب_المصدر[المجموعة],0)),"")</f>
        <v>المدينة المنورة</v>
      </c>
      <c r="C73" s="2" t="str">
        <f>'ملخص المجموعات'!B66</f>
        <v>تحت 5</v>
      </c>
      <c r="D73" s="5" t="str">
        <f>'ملخص المجموعات'!C66</f>
        <v>مجموعة المدينة المنورة</v>
      </c>
      <c r="E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3" s="4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4" spans="2:8">
      <c r="B74" s="2" t="str">
        <f>IFERROR(INDEX(المكاتب_المصدر[المنطقة],MATCH(Table10[[#This Row],[المجموعة]],المكاتب_المصدر[المجموعة],0)),"")</f>
        <v>جازان</v>
      </c>
      <c r="C74" s="2" t="str">
        <f>'ملخص المجموعات'!B67</f>
        <v>تحت 5</v>
      </c>
      <c r="D74" s="5" t="str">
        <f>'ملخص المجموعات'!C67</f>
        <v>مجموعة جازان</v>
      </c>
      <c r="E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4" s="4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5" spans="2:8">
      <c r="B75" s="2" t="str">
        <f>IFERROR(INDEX(المكاتب_المصدر[المنطقة],MATCH(Table10[[#This Row],[المجموعة]],المكاتب_المصدر[المجموعة],0)),"")</f>
        <v>جازان</v>
      </c>
      <c r="C75" s="2" t="str">
        <f>'ملخص المجموعات'!B68</f>
        <v>تحت 5</v>
      </c>
      <c r="D75" s="5" t="str">
        <f>'ملخص المجموعات'!C68</f>
        <v>مجموعة أبو عريش</v>
      </c>
      <c r="E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5" s="4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6" spans="2:8">
      <c r="B76" s="2" t="str">
        <f>IFERROR(INDEX(المكاتب_المصدر[المنطقة],MATCH(Table10[[#This Row],[المجموعة]],المكاتب_المصدر[المجموعة],0)),"")</f>
        <v>القصيم</v>
      </c>
      <c r="C76" s="2" t="str">
        <f>'ملخص المجموعات'!B69</f>
        <v>تحت 7</v>
      </c>
      <c r="D76" s="5" t="str">
        <f>'ملخص المجموعات'!C69</f>
        <v>مجموعة القصيم</v>
      </c>
      <c r="E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4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7" spans="2:8">
      <c r="B77" s="2" t="str">
        <f>IFERROR(INDEX(المكاتب_المصدر[المنطقة],MATCH(Table10[[#This Row],[المجموعة]],المكاتب_المصدر[المجموعة],0)),"")</f>
        <v>جازان</v>
      </c>
      <c r="C77" s="2" t="str">
        <f>'ملخص المجموعات'!B70</f>
        <v>تحت 7</v>
      </c>
      <c r="D77" s="5" t="str">
        <f>'ملخص المجموعات'!C70</f>
        <v>مجموعة صامطة</v>
      </c>
      <c r="E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4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8" spans="2:8">
      <c r="B78" s="2" t="str">
        <f>IFERROR(INDEX(المكاتب_المصدر[المنطقة],MATCH(Table10[[#This Row],[المجموعة]],المكاتب_المصدر[المجموعة],0)),"")</f>
        <v>جازان</v>
      </c>
      <c r="C78" s="2" t="str">
        <f>'ملخص المجموعات'!B71</f>
        <v>تحت 9</v>
      </c>
      <c r="D78" s="5" t="str">
        <f>'ملخص المجموعات'!C71</f>
        <v>مجموعة صامطة</v>
      </c>
      <c r="E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4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9" spans="2:8">
      <c r="B79" s="2" t="str">
        <f>IFERROR(INDEX(المكاتب_المصدر[المنطقة],MATCH(Table10[[#This Row],[المجموعة]],المكاتب_المصدر[المجموعة],0)),"")</f>
        <v>الجوف</v>
      </c>
      <c r="C79" s="2" t="str">
        <f>'ملخص المجموعات'!B72</f>
        <v>تحت 11</v>
      </c>
      <c r="D79" s="5" t="str">
        <f>'ملخص المجموعات'!C72</f>
        <v>مجموعة سكاكا</v>
      </c>
      <c r="E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9" s="4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0" spans="2:8">
      <c r="B80" s="2" t="str">
        <f>IFERROR(INDEX(المكاتب_المصدر[المنطقة],MATCH(Table10[[#This Row],[المجموعة]],المكاتب_المصدر[المجموعة],0)),"")</f>
        <v>الرياض</v>
      </c>
      <c r="C80" s="2" t="str">
        <f>'ملخص المجموعات'!B73</f>
        <v>تحت 11</v>
      </c>
      <c r="D80" s="5" t="str">
        <f>'ملخص المجموعات'!C73</f>
        <v>مجموعة الخرج</v>
      </c>
      <c r="E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0" s="4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1" spans="2:8">
      <c r="B81" s="2" t="str">
        <f>IFERROR(INDEX(المكاتب_المصدر[المنطقة],MATCH(Table10[[#This Row],[المجموعة]],المكاتب_المصدر[المجموعة],0)),"")</f>
        <v>عسير</v>
      </c>
      <c r="C81" s="2" t="str">
        <f>'ملخص المجموعات'!B74</f>
        <v>تحت 11</v>
      </c>
      <c r="D81" s="5" t="str">
        <f>'ملخص المجموعات'!C74</f>
        <v>مجموعة أبها</v>
      </c>
      <c r="E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1" s="4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2" spans="2:8">
      <c r="B82" s="2" t="str">
        <f>IFERROR(INDEX(المكاتب_المصدر[المنطقة],MATCH(Table10[[#This Row],[المجموعة]],المكاتب_المصدر[المجموعة],0)),"")</f>
        <v>جازان</v>
      </c>
      <c r="C82" s="2" t="str">
        <f>'ملخص المجموعات'!B75</f>
        <v>تحت 11</v>
      </c>
      <c r="D82" s="5" t="str">
        <f>'ملخص المجموعات'!C75</f>
        <v>مجموعة جازان</v>
      </c>
      <c r="E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4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3" spans="2:8">
      <c r="B83" s="2" t="str">
        <f>IFERROR(INDEX(المكاتب_المصدر[المنطقة],MATCH(Table10[[#This Row],[المجموعة]],المكاتب_المصدر[المجموعة],0)),"")</f>
        <v>جازان</v>
      </c>
      <c r="C83" s="2" t="str">
        <f>'ملخص المجموعات'!B76</f>
        <v>تحت 11</v>
      </c>
      <c r="D83" s="5" t="str">
        <f>'ملخص المجموعات'!C76</f>
        <v>مجموعة أبو عريش</v>
      </c>
      <c r="E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4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4" spans="2:8">
      <c r="B84" s="2" t="str">
        <f>IFERROR(INDEX(المكاتب_المصدر[المنطقة],MATCH(Table10[[#This Row],[المجموعة]],المكاتب_المصدر[المجموعة],0)),"")</f>
        <v>جازان</v>
      </c>
      <c r="C84" s="2" t="str">
        <f>'ملخص المجموعات'!B77</f>
        <v>تحت 11</v>
      </c>
      <c r="D84" s="5" t="str">
        <f>'ملخص المجموعات'!C77</f>
        <v>مجموعة صامطة</v>
      </c>
      <c r="E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4" s="4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5" spans="2:8">
      <c r="B85" s="2" t="str">
        <f>IFERROR(INDEX(المكاتب_المصدر[المنطقة],MATCH(Table10[[#This Row],[المجموعة]],المكاتب_المصدر[المجموعة],0)),"")</f>
        <v>جازان</v>
      </c>
      <c r="C85" s="2" t="str">
        <f>'ملخص المجموعات'!B78</f>
        <v>تحت 12</v>
      </c>
      <c r="D85" s="5" t="str">
        <f>'ملخص المجموعات'!C78</f>
        <v>مجموعة أبو عريش</v>
      </c>
      <c r="E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5" s="4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6" spans="2:8">
      <c r="B86" s="2" t="str">
        <f>IFERROR(INDEX(المكاتب_المصدر[المنطقة],MATCH(Table10[[#This Row],[المجموعة]],المكاتب_المصدر[المجموعة],0)),"")</f>
        <v>جازان</v>
      </c>
      <c r="C86" s="2" t="str">
        <f>'ملخص المجموعات'!B79</f>
        <v>تحت 12</v>
      </c>
      <c r="D86" s="5" t="str">
        <f>'ملخص المجموعات'!C79</f>
        <v>مجموعة صامطة</v>
      </c>
      <c r="E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6" s="4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7" spans="2:8">
      <c r="B87" s="2" t="str">
        <f>IFERROR(INDEX(المكاتب_المصدر[المنطقة],MATCH(Table10[[#This Row],[المجموعة]],المكاتب_المصدر[المجموعة],0)),"")</f>
        <v>عسير</v>
      </c>
      <c r="C87" s="2" t="str">
        <f>'ملخص المجموعات'!B80</f>
        <v>تحت 13</v>
      </c>
      <c r="D87" s="5" t="str">
        <f>'ملخص المجموعات'!C80</f>
        <v>مجموعة أبها</v>
      </c>
      <c r="E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7" s="4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8" spans="2:8">
      <c r="B88" s="2" t="str">
        <f>IFERROR(INDEX(المكاتب_المصدر[المنطقة],MATCH(Table10[[#This Row],[المجموعة]],المكاتب_المصدر[المجموعة],0)),"")</f>
        <v>القصيم</v>
      </c>
      <c r="C88" s="2" t="str">
        <f>'ملخص المجموعات'!B81</f>
        <v>تحت 13</v>
      </c>
      <c r="D88" s="5" t="str">
        <f>'ملخص المجموعات'!C81</f>
        <v>مجموعة القصيم</v>
      </c>
      <c r="E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4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9" spans="2:8">
      <c r="B89" s="2" t="str">
        <f>IFERROR(INDEX(المكاتب_المصدر[المنطقة],MATCH(Table10[[#This Row],[المجموعة]],المكاتب_المصدر[المجموعة],0)),"")</f>
        <v>الشرقية</v>
      </c>
      <c r="C89" s="2" t="str">
        <f>'ملخص المجموعات'!B82</f>
        <v>تحت 13</v>
      </c>
      <c r="D89" s="5" t="str">
        <f>'ملخص المجموعات'!C82</f>
        <v>مجموعة القطيف</v>
      </c>
      <c r="E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4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90" spans="2:8">
      <c r="B90" s="2" t="str">
        <f>IFERROR(INDEX(المكاتب_المصدر[المنطقة],MATCH(Table10[[#This Row],[المجموعة]],المكاتب_المصدر[المجموعة],0)),"")</f>
        <v>جازان</v>
      </c>
      <c r="C90" s="2" t="str">
        <f>'ملخص المجموعات'!B83</f>
        <v>تحت 13</v>
      </c>
      <c r="D90" s="5" t="str">
        <f>'ملخص المجموعات'!C83</f>
        <v>مجموعة أبو عريش</v>
      </c>
      <c r="E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4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91" spans="2:8">
      <c r="B91" s="2" t="str">
        <f>IFERROR(INDEX(المكاتب_المصدر[المنطقة],MATCH(Table10[[#This Row],[المجموعة]],المكاتب_المصدر[المجموعة],0)),"")</f>
        <v>جازان</v>
      </c>
      <c r="C91" s="2" t="str">
        <f>'ملخص المجموعات'!B84</f>
        <v>تحت 13</v>
      </c>
      <c r="D91" s="5" t="str">
        <f>'ملخص المجموعات'!C84</f>
        <v>مجموعة صامطة</v>
      </c>
      <c r="E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1" s="4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2" spans="2:8">
      <c r="B92" s="2" t="str">
        <f>IFERROR(INDEX(المكاتب_المصدر[المنطقة],MATCH(Table10[[#This Row],[المجموعة]],المكاتب_المصدر[المجموعة],0)),"")</f>
        <v>الشرقية</v>
      </c>
      <c r="C92" s="2" t="str">
        <f>'ملخص المجموعات'!B85</f>
        <v>تحت 14</v>
      </c>
      <c r="D92" s="5" t="str">
        <f>'ملخص المجموعات'!C85</f>
        <v>مجموعة القطيف</v>
      </c>
      <c r="E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2" s="4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3" spans="2:8">
      <c r="B93" s="2" t="str">
        <f>IFERROR(INDEX(المكاتب_المصدر[المنطقة],MATCH(Table10[[#This Row],[المجموعة]],المكاتب_المصدر[المجموعة],0)),"")</f>
        <v>جازان</v>
      </c>
      <c r="C93" s="2" t="str">
        <f>'ملخص المجموعات'!B86</f>
        <v>تحت 14</v>
      </c>
      <c r="D93" s="5" t="str">
        <f>'ملخص المجموعات'!C86</f>
        <v>مجموعة صامطة</v>
      </c>
      <c r="E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3" s="4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4" spans="2:8">
      <c r="B94" s="2" t="str">
        <f>IFERROR(INDEX(المكاتب_المصدر[المنطقة],MATCH(Table10[[#This Row],[المجموعة]],المكاتب_المصدر[المجموعة],0)),"")</f>
        <v>جازان</v>
      </c>
      <c r="C94" s="2" t="str">
        <f>'ملخص المجموعات'!B87</f>
        <v>تحت 14</v>
      </c>
      <c r="D94" s="5" t="str">
        <f>'ملخص المجموعات'!C87</f>
        <v>مجموعة أبو عريش</v>
      </c>
      <c r="E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4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5" spans="2:8">
      <c r="B95" s="2" t="str">
        <f>IFERROR(INDEX(المكاتب_المصدر[المنطقة],MATCH(Table10[[#This Row],[المجموعة]],المكاتب_المصدر[المجموعة],0)),"")</f>
        <v>الشرقية</v>
      </c>
      <c r="C95" s="2" t="str">
        <f>'ملخص المجموعات'!B88</f>
        <v>تحت 7</v>
      </c>
      <c r="D95" s="5" t="str">
        <f>'ملخص المجموعات'!C88</f>
        <v>مجموعة القطيف</v>
      </c>
      <c r="E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5" s="4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6" spans="2:8">
      <c r="B96" s="2" t="str">
        <f>IFERROR(INDEX(المكاتب_المصدر[المنطقة],MATCH(Table10[[#This Row],[المجموعة]],المكاتب_المصدر[المجموعة],0)),"")</f>
        <v>جازان</v>
      </c>
      <c r="C96" s="2" t="str">
        <f>'ملخص المجموعات'!B89</f>
        <v>تحت 7</v>
      </c>
      <c r="D96" s="5" t="str">
        <f>'ملخص المجموعات'!C89</f>
        <v>مجموعة أبو عريش</v>
      </c>
      <c r="E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6" s="4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7" spans="2:8">
      <c r="B97" s="2" t="str">
        <f>IFERROR(INDEX(المكاتب_المصدر[المنطقة],MATCH(Table10[[#This Row],[المجموعة]],المكاتب_المصدر[المجموعة],0)),"")</f>
        <v>جازان</v>
      </c>
      <c r="C97" s="2" t="str">
        <f>'ملخص المجموعات'!B90</f>
        <v>تحت 9</v>
      </c>
      <c r="D97" s="5" t="str">
        <f>'ملخص المجموعات'!C90</f>
        <v>مجموعة أبو عريش</v>
      </c>
      <c r="E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4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8" spans="2:8">
      <c r="B98" s="2" t="str">
        <f>IFERROR(INDEX(المكاتب_المصدر[المنطقة],MATCH(Table10[[#This Row],[المجموعة]],المكاتب_المصدر[المجموعة],0)),"")</f>
        <v>القصيم</v>
      </c>
      <c r="C98" s="2" t="str">
        <f>'ملخص المجموعات'!B91</f>
        <v>تحت 11</v>
      </c>
      <c r="D98" s="5" t="str">
        <f>'ملخص المجموعات'!C91</f>
        <v>مجموعة الرس</v>
      </c>
      <c r="E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8" s="4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9" spans="2:8">
      <c r="B99" s="2" t="str">
        <f>IFERROR(INDEX(المكاتب_المصدر[المنطقة],MATCH(Table10[[#This Row],[المجموعة]],المكاتب_المصدر[المجموعة],0)),"")</f>
        <v>الشرقية</v>
      </c>
      <c r="C99" s="2" t="str">
        <f>'ملخص المجموعات'!B92</f>
        <v>تحت 11</v>
      </c>
      <c r="D99" s="5" t="str">
        <f>'ملخص المجموعات'!C92</f>
        <v>مجموعة الخبر</v>
      </c>
      <c r="E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9" s="4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00" spans="2:8">
      <c r="B100" s="2" t="str">
        <f>IFERROR(INDEX(المكاتب_المصدر[المنطقة],MATCH(Table10[[#This Row],[المجموعة]],المكاتب_المصدر[المجموعة],0)),"")</f>
        <v>القصيم</v>
      </c>
      <c r="C100" s="2" t="str">
        <f>'ملخص المجموعات'!B93</f>
        <v>تحت 12</v>
      </c>
      <c r="D100" s="5" t="str">
        <f>'ملخص المجموعات'!C93</f>
        <v>مجموعة الرس</v>
      </c>
      <c r="E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0" s="4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1" spans="2:8">
      <c r="B101" s="2" t="str">
        <f>IFERROR(INDEX(المكاتب_المصدر[المنطقة],MATCH(Table10[[#This Row],[المجموعة]],المكاتب_المصدر[المجموعة],0)),"")</f>
        <v>جازان</v>
      </c>
      <c r="C101" s="2" t="str">
        <f>'ملخص المجموعات'!B94</f>
        <v>تحت 12</v>
      </c>
      <c r="D101" s="5" t="str">
        <f>'ملخص المجموعات'!C94</f>
        <v>مجموعة جازان</v>
      </c>
      <c r="E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1" s="4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2" spans="2:8">
      <c r="B102" s="2" t="str">
        <f>IFERROR(INDEX(المكاتب_المصدر[المنطقة],MATCH(Table10[[#This Row],[المجموعة]],المكاتب_المصدر[المجموعة],0)),"")</f>
        <v>الجوف</v>
      </c>
      <c r="C102" s="2" t="str">
        <f>'ملخص المجموعات'!B95</f>
        <v>تحت 14</v>
      </c>
      <c r="D102" s="5" t="str">
        <f>'ملخص المجموعات'!C95</f>
        <v>مجموعة سكاكا</v>
      </c>
      <c r="E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2" s="4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3" spans="2:8">
      <c r="B103" s="2" t="str">
        <f>IFERROR(INDEX(المكاتب_المصدر[المنطقة],MATCH(Table10[[#This Row],[المجموعة]],المكاتب_المصدر[المجموعة],0)),"")</f>
        <v>مكة المكرمة</v>
      </c>
      <c r="C103" s="2" t="str">
        <f>'ملخص المجموعات'!B96</f>
        <v>تحت 14</v>
      </c>
      <c r="D103" s="5" t="str">
        <f>'ملخص المجموعات'!C96</f>
        <v>مجموعة القنفذة</v>
      </c>
      <c r="E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3" s="4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4" spans="2:8">
      <c r="B104" s="2" t="str">
        <f>IFERROR(INDEX(المكاتب_المصدر[المنطقة],MATCH(Table10[[#This Row],[المجموعة]],المكاتب_المصدر[المجموعة],0)),"")</f>
        <v>مكة المكرمة</v>
      </c>
      <c r="C104" s="2" t="str">
        <f>'ملخص المجموعات'!B97</f>
        <v>تحت 5</v>
      </c>
      <c r="D104" s="5" t="str">
        <f>'ملخص المجموعات'!C97</f>
        <v>مجموعة الطائف</v>
      </c>
      <c r="E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4" s="4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5" spans="2:8">
      <c r="B105" s="2" t="str">
        <f>IFERROR(INDEX(المكاتب_المصدر[المنطقة],MATCH(Table10[[#This Row],[المجموعة]],المكاتب_المصدر[المجموعة],0)),"")</f>
        <v>عسير</v>
      </c>
      <c r="C105" s="2" t="str">
        <f>'ملخص المجموعات'!B98</f>
        <v>تحت 9</v>
      </c>
      <c r="D105" s="5" t="str">
        <f>'ملخص المجموعات'!C98</f>
        <v>مجموعة أبها</v>
      </c>
      <c r="E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5" s="4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6" spans="2:8">
      <c r="B106" s="2" t="str">
        <f>IFERROR(INDEX(المكاتب_المصدر[المنطقة],MATCH(Table10[[#This Row],[المجموعة]],المكاتب_المصدر[المجموعة],0)),"")</f>
        <v>جازان</v>
      </c>
      <c r="C106" s="2" t="str">
        <f>'ملخص المجموعات'!B99</f>
        <v>تحت 9</v>
      </c>
      <c r="D106" s="5" t="str">
        <f>'ملخص المجموعات'!C99</f>
        <v>مجموعة جازان</v>
      </c>
      <c r="E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4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7" spans="2:8">
      <c r="B107" s="2" t="str">
        <f>IFERROR(INDEX(المكاتب_المصدر[المنطقة],MATCH(Table10[[#This Row],[المجموعة]],المكاتب_المصدر[المجموعة],0)),"")</f>
        <v>حائل</v>
      </c>
      <c r="C107" s="2" t="str">
        <f>'ملخص المجموعات'!B100</f>
        <v>تحت 12</v>
      </c>
      <c r="D107" s="5" t="str">
        <f>'ملخص المجموعات'!C100</f>
        <v>مجموعة حائل</v>
      </c>
      <c r="E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7" s="4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8" spans="2:8">
      <c r="B108" s="2" t="str">
        <f>IFERROR(INDEX(المكاتب_المصدر[المنطقة],MATCH(Table10[[#This Row],[المجموعة]],المكاتب_المصدر[المجموعة],0)),"")</f>
        <v>مكة المكرمة</v>
      </c>
      <c r="C108" s="2" t="str">
        <f>'ملخص المجموعات'!B101</f>
        <v>تحت 12</v>
      </c>
      <c r="D108" s="5" t="str">
        <f>'ملخص المجموعات'!C101</f>
        <v>مجموعة القنفذة</v>
      </c>
      <c r="E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8" s="4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9" spans="2:8">
      <c r="B109" s="2" t="str">
        <f>IFERROR(INDEX(المكاتب_المصدر[المنطقة],MATCH(Table10[[#This Row],[المجموعة]],المكاتب_المصدر[المجموعة],0)),"")</f>
        <v>الشرقية</v>
      </c>
      <c r="C109" s="2" t="str">
        <f>'ملخص المجموعات'!B102</f>
        <v>تحت 12</v>
      </c>
      <c r="D109" s="5" t="str">
        <f>'ملخص المجموعات'!C102</f>
        <v>مجموعة الخبر</v>
      </c>
      <c r="E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4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0" spans="2:8">
      <c r="B110" s="2" t="str">
        <f>IFERROR(INDEX(المكاتب_المصدر[المنطقة],MATCH(Table10[[#This Row],[المجموعة]],المكاتب_المصدر[المجموعة],0)),"")</f>
        <v>القصيم</v>
      </c>
      <c r="C110" s="2" t="str">
        <f>'ملخص المجموعات'!B103</f>
        <v>تحت 14</v>
      </c>
      <c r="D110" s="5" t="str">
        <f>'ملخص المجموعات'!C103</f>
        <v>مجموعة القصيم</v>
      </c>
      <c r="E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4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1" spans="2:8">
      <c r="B111" s="2" t="str">
        <f>IFERROR(INDEX(المكاتب_المصدر[المنطقة],MATCH(Table10[[#This Row],[المجموعة]],المكاتب_المصدر[المجموعة],0)),"")</f>
        <v>الشرقية</v>
      </c>
      <c r="C111" s="2" t="str">
        <f>'ملخص المجموعات'!B104</f>
        <v>تحت 14</v>
      </c>
      <c r="D111" s="5" t="str">
        <f>'ملخص المجموعات'!C104</f>
        <v>مجموعة الدمام</v>
      </c>
      <c r="E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1" s="4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2" spans="2:8">
      <c r="B112" s="2" t="str">
        <f>IFERROR(INDEX(المكاتب_المصدر[المنطقة],MATCH(Table10[[#This Row],[المجموعة]],المكاتب_المصدر[المجموعة],0)),"")</f>
        <v>الشرقية</v>
      </c>
      <c r="C112" s="2" t="str">
        <f>'ملخص المجموعات'!B105</f>
        <v>تحت 5</v>
      </c>
      <c r="D112" s="5" t="str">
        <f>'ملخص المجموعات'!C105</f>
        <v>مجموعة الخفجي</v>
      </c>
      <c r="E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4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3" spans="2:8">
      <c r="B113" s="2" t="str">
        <f>IFERROR(INDEX(المكاتب_المصدر[المنطقة],MATCH(Table10[[#This Row],[المجموعة]],المكاتب_المصدر[المجموعة],0)),"")</f>
        <v>الجوف</v>
      </c>
      <c r="C113" s="2" t="str">
        <f>'ملخص المجموعات'!B106</f>
        <v>تحت 5</v>
      </c>
      <c r="D113" s="5" t="str">
        <f>'ملخص المجموعات'!C106</f>
        <v>مجموعة سكاكا</v>
      </c>
      <c r="E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3" s="4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4" spans="2:8">
      <c r="B114" s="2" t="str">
        <f>IFERROR(INDEX(المكاتب_المصدر[المنطقة],MATCH(Table10[[#This Row],[المجموعة]],المكاتب_المصدر[المجموعة],0)),"")</f>
        <v>الجوف</v>
      </c>
      <c r="C114" s="2" t="str">
        <f>'ملخص المجموعات'!B107</f>
        <v>تحت 7</v>
      </c>
      <c r="D114" s="5" t="str">
        <f>'ملخص المجموعات'!C107</f>
        <v>مجموعة سكاكا</v>
      </c>
      <c r="E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4" s="4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5" spans="2:8">
      <c r="B115" s="2" t="str">
        <f>IFERROR(INDEX(المكاتب_المصدر[المنطقة],MATCH(Table10[[#This Row],[المجموعة]],المكاتب_المصدر[المجموعة],0)),"")</f>
        <v>حائل</v>
      </c>
      <c r="C115" s="2" t="str">
        <f>'ملخص المجموعات'!B108</f>
        <v>تحت 9</v>
      </c>
      <c r="D115" s="5" t="str">
        <f>'ملخص المجموعات'!C108</f>
        <v>مجموعة حائل</v>
      </c>
      <c r="E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5" s="4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6" spans="2:8">
      <c r="B116" s="2" t="str">
        <f>IFERROR(INDEX(المكاتب_المصدر[المنطقة],MATCH(Table10[[#This Row],[المجموعة]],المكاتب_المصدر[المجموعة],0)),"")</f>
        <v>حائل</v>
      </c>
      <c r="C116" s="2" t="str">
        <f>'ملخص المجموعات'!B109</f>
        <v>تحت 11</v>
      </c>
      <c r="D116" s="5" t="str">
        <f>'ملخص المجموعات'!C109</f>
        <v>مجموعة حائل</v>
      </c>
      <c r="E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6" s="4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7" spans="2:8">
      <c r="B117" s="2" t="str">
        <f>IFERROR(INDEX(المكاتب_المصدر[المنطقة],MATCH(Table10[[#This Row],[المجموعة]],المكاتب_المصدر[المجموعة],0)),"")</f>
        <v>مكة المكرمة</v>
      </c>
      <c r="C117" s="2" t="str">
        <f>'ملخص المجموعات'!B110</f>
        <v>تحت 13</v>
      </c>
      <c r="D117" s="5" t="str">
        <f>'ملخص المجموعات'!C110</f>
        <v>مجموعة القنفذة</v>
      </c>
      <c r="E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4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8" spans="2:8">
      <c r="B118" s="2" t="str">
        <f>IFERROR(INDEX(المكاتب_المصدر[المنطقة],MATCH(Table10[[#This Row],[المجموعة]],المكاتب_المصدر[المجموعة],0)),"")</f>
        <v>المدينة المنورة</v>
      </c>
      <c r="C118" s="2" t="str">
        <f>'ملخص المجموعات'!B111</f>
        <v>تحت 13</v>
      </c>
      <c r="D118" s="5" t="str">
        <f>'ملخص المجموعات'!C111</f>
        <v>مجموعة المدينة المنورة</v>
      </c>
      <c r="E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8" s="4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9" spans="2:8">
      <c r="B119" s="2" t="str">
        <f>IFERROR(INDEX(المكاتب_المصدر[المنطقة],MATCH(Table10[[#This Row],[المجموعة]],المكاتب_المصدر[المجموعة],0)),"")</f>
        <v>الشرقية</v>
      </c>
      <c r="C119" s="2" t="str">
        <f>'ملخص المجموعات'!B112</f>
        <v>تحت 5</v>
      </c>
      <c r="D119" s="5" t="str">
        <f>'ملخص المجموعات'!C112</f>
        <v>مجموعة الأحساء</v>
      </c>
      <c r="E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9" s="4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0" spans="2:8">
      <c r="B120" s="2" t="str">
        <f>IFERROR(INDEX(المكاتب_المصدر[المنطقة],MATCH(Table10[[#This Row],[المجموعة]],المكاتب_المصدر[المجموعة],0)),"")</f>
        <v>جازان</v>
      </c>
      <c r="C120" s="2" t="str">
        <f>'ملخص المجموعات'!B113</f>
        <v>تحت 5</v>
      </c>
      <c r="D120" s="5" t="str">
        <f>'ملخص المجموعات'!C113</f>
        <v>مجموعة صبيا</v>
      </c>
      <c r="E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20" s="4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1" spans="2:8">
      <c r="B121" s="2" t="str">
        <f>IFERROR(INDEX(المكاتب_المصدر[المنطقة],MATCH(Table10[[#This Row],[المجموعة]],المكاتب_المصدر[المجموعة],0)),"")</f>
        <v>الشرقية</v>
      </c>
      <c r="C121" s="2" t="str">
        <f>'ملخص المجموعات'!B114</f>
        <v>تحت 7</v>
      </c>
      <c r="D121" s="5" t="str">
        <f>'ملخص المجموعات'!C114</f>
        <v>مجموعة الخفجي</v>
      </c>
      <c r="E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21" s="4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2" spans="2:8">
      <c r="B122" s="2" t="str">
        <f>IFERROR(INDEX(المكاتب_المصدر[المنطقة],MATCH(Table10[[#This Row],[المجموعة]],المكاتب_المصدر[المجموعة],0)),"")</f>
        <v>مكة المكرمة</v>
      </c>
      <c r="C122" s="2" t="str">
        <f>'ملخص المجموعات'!B115</f>
        <v>تحت 7</v>
      </c>
      <c r="D122" s="5" t="str">
        <f>'ملخص المجموعات'!C115</f>
        <v>مجموعة الطائف</v>
      </c>
      <c r="E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2" s="4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3" spans="2:8">
      <c r="B123" s="2" t="str">
        <f>IFERROR(INDEX(المكاتب_المصدر[المنطقة],MATCH(Table10[[#This Row],[المجموعة]],المكاتب_المصدر[المجموعة],0)),"")</f>
        <v>الشرقية</v>
      </c>
      <c r="C123" s="2" t="str">
        <f>'ملخص المجموعات'!B116</f>
        <v>تحت 11</v>
      </c>
      <c r="D123" s="5" t="str">
        <f>'ملخص المجموعات'!C116</f>
        <v>مجموعة الدمام</v>
      </c>
      <c r="E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3" s="4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4" spans="2:8">
      <c r="B124" s="2" t="str">
        <f>IFERROR(INDEX(المكاتب_المصدر[المنطقة],MATCH(Table10[[#This Row],[المجموعة]],المكاتب_المصدر[المجموعة],0)),"")</f>
        <v>مكة المكرمة</v>
      </c>
      <c r="C124" s="2" t="str">
        <f>'ملخص المجموعات'!B117</f>
        <v>تحت 11</v>
      </c>
      <c r="D124" s="5" t="str">
        <f>'ملخص المجموعات'!C117</f>
        <v>مجموعة القنفذة</v>
      </c>
      <c r="E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4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5" spans="2:8">
      <c r="B125" s="2" t="str">
        <f>IFERROR(INDEX(المكاتب_المصدر[المنطقة],MATCH(Table10[[#This Row],[المجموعة]],المكاتب_المصدر[المجموعة],0)),"")</f>
        <v>الشرقية</v>
      </c>
      <c r="C125" s="2" t="str">
        <f>'ملخص المجموعات'!B118</f>
        <v>تحت 12</v>
      </c>
      <c r="D125" s="5" t="str">
        <f>'ملخص المجموعات'!C118</f>
        <v>مجموعة الدمام</v>
      </c>
      <c r="E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25" s="4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6" spans="2:8">
      <c r="B126" s="2" t="str">
        <f>IFERROR(INDEX(المكاتب_المصدر[المنطقة],MATCH(Table10[[#This Row],[المجموعة]],المكاتب_المصدر[المجموعة],0)),"")</f>
        <v>الرياض</v>
      </c>
      <c r="C126" s="2" t="str">
        <f>'ملخص المجموعات'!B119</f>
        <v>تحت 12</v>
      </c>
      <c r="D126" s="5" t="str">
        <f>'ملخص المجموعات'!C119</f>
        <v>مجموعة الخرج</v>
      </c>
      <c r="E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4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7" spans="2:8">
      <c r="B127" s="2" t="str">
        <f>IFERROR(INDEX(المكاتب_المصدر[المنطقة],MATCH(Table10[[#This Row],[المجموعة]],المكاتب_المصدر[المجموعة],0)),"")</f>
        <v>القصيم</v>
      </c>
      <c r="C127" s="2" t="str">
        <f>'ملخص المجموعات'!B120</f>
        <v>تحت 12</v>
      </c>
      <c r="D127" s="5" t="str">
        <f>'ملخص المجموعات'!C120</f>
        <v>مجموعة القصيم</v>
      </c>
      <c r="E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7" s="4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8" spans="2:8">
      <c r="B128" s="2" t="str">
        <f>IFERROR(INDEX(المكاتب_المصدر[المنطقة],MATCH(Table10[[#This Row],[المجموعة]],المكاتب_المصدر[المجموعة],0)),"")</f>
        <v>الشرقية</v>
      </c>
      <c r="C128" s="2" t="str">
        <f>'ملخص المجموعات'!B121</f>
        <v>تحت 13</v>
      </c>
      <c r="D128" s="5" t="str">
        <f>'ملخص المجموعات'!C121</f>
        <v>مجموعة الدمام</v>
      </c>
      <c r="E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8" s="4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9" spans="2:8">
      <c r="B129" s="2" t="str">
        <f>IFERROR(INDEX(المكاتب_المصدر[المنطقة],MATCH(Table10[[#This Row],[المجموعة]],المكاتب_المصدر[المجموعة],0)),"")</f>
        <v>جازان</v>
      </c>
      <c r="C129" s="2" t="str">
        <f>'ملخص المجموعات'!B122</f>
        <v>تحت 13</v>
      </c>
      <c r="D129" s="5" t="str">
        <f>'ملخص المجموعات'!C122</f>
        <v>مجموعة صبيا</v>
      </c>
      <c r="E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4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0" spans="2:8">
      <c r="B130" s="2" t="str">
        <f>IFERROR(INDEX(المكاتب_المصدر[المنطقة],MATCH(Table10[[#This Row],[المجموعة]],المكاتب_المصدر[المجموعة],0)),"")</f>
        <v>جازان</v>
      </c>
      <c r="C130" s="2" t="str">
        <f>'ملخص المجموعات'!B123</f>
        <v>تحت 14</v>
      </c>
      <c r="D130" s="5" t="str">
        <f>'ملخص المجموعات'!C123</f>
        <v>مجموعة صبيا</v>
      </c>
      <c r="E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0" s="4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1" spans="2:8">
      <c r="B131" s="2" t="str">
        <f>IFERROR(INDEX(المكاتب_المصدر[المنطقة],MATCH(Table10[[#This Row],[المجموعة]],المكاتب_المصدر[المجموعة],0)),"")</f>
        <v>الشرقية</v>
      </c>
      <c r="C131" s="2" t="str">
        <f>'ملخص المجموعات'!B124</f>
        <v>تحت 9</v>
      </c>
      <c r="D131" s="5" t="str">
        <f>'ملخص المجموعات'!C124</f>
        <v>مجموعة الخفجي</v>
      </c>
      <c r="E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4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2" spans="2:8">
      <c r="B132" s="2" t="str">
        <f>IFERROR(INDEX(المكاتب_المصدر[المنطقة],MATCH(Table10[[#This Row],[المجموعة]],المكاتب_المصدر[المجموعة],0)),"")</f>
        <v>القصيم</v>
      </c>
      <c r="C132" s="2" t="str">
        <f>'ملخص المجموعات'!B125</f>
        <v>تحت 9</v>
      </c>
      <c r="D132" s="5" t="str">
        <f>'ملخص المجموعات'!C125</f>
        <v>مجموعة القصيم</v>
      </c>
      <c r="E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4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3" spans="2:8">
      <c r="B133" s="2" t="str">
        <f>IFERROR(INDEX(المكاتب_المصدر[المنطقة],MATCH(Table10[[#This Row],[المجموعة]],المكاتب_المصدر[المجموعة],0)),"")</f>
        <v>الشرقية</v>
      </c>
      <c r="C133" s="2" t="str">
        <f>'ملخص المجموعات'!B126</f>
        <v>تحت 11</v>
      </c>
      <c r="D133" s="5" t="str">
        <f>'ملخص المجموعات'!C126</f>
        <v>مجموعة الخفجي</v>
      </c>
      <c r="E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3" s="4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4" spans="2:8">
      <c r="B134" s="2" t="str">
        <f>IFERROR(INDEX(المكاتب_المصدر[المنطقة],MATCH(Table10[[#This Row],[المجموعة]],المكاتب_المصدر[المجموعة],0)),"")</f>
        <v>مكة المكرمة</v>
      </c>
      <c r="C134" s="2" t="str">
        <f>'ملخص المجموعات'!B127</f>
        <v>تحت 11</v>
      </c>
      <c r="D134" s="5" t="str">
        <f>'ملخص المجموعات'!C127</f>
        <v>مجموعة الطائف</v>
      </c>
      <c r="E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4" s="4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5" spans="2:8">
      <c r="B135" s="2" t="str">
        <f>IFERROR(INDEX(المكاتب_المصدر[المنطقة],MATCH(Table10[[#This Row],[المجموعة]],المكاتب_المصدر[المجموعة],0)),"")</f>
        <v>عسير</v>
      </c>
      <c r="C135" s="2" t="str">
        <f>'ملخص المجموعات'!B128</f>
        <v>تحت 12</v>
      </c>
      <c r="D135" s="5" t="str">
        <f>'ملخص المجموعات'!C128</f>
        <v>مجموعة أبها</v>
      </c>
      <c r="E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5" s="4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6" spans="2:8">
      <c r="B136" s="2" t="str">
        <f>IFERROR(INDEX(المكاتب_المصدر[المنطقة],MATCH(Table10[[#This Row],[المجموعة]],المكاتب_المصدر[المجموعة],0)),"")</f>
        <v>الشرقية</v>
      </c>
      <c r="C136" s="2" t="str">
        <f>'ملخص المجموعات'!B129</f>
        <v>تحت 12</v>
      </c>
      <c r="D136" s="5" t="str">
        <f>'ملخص المجموعات'!C129</f>
        <v>مجموعة الخفجي</v>
      </c>
      <c r="E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4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7" spans="2:8">
      <c r="B137" s="2" t="str">
        <f>IFERROR(INDEX(المكاتب_المصدر[المنطقة],MATCH(Table10[[#This Row],[المجموعة]],المكاتب_المصدر[المجموعة],0)),"")</f>
        <v>عسير</v>
      </c>
      <c r="C137" s="2" t="str">
        <f>'ملخص المجموعات'!B130</f>
        <v>تحت 14</v>
      </c>
      <c r="D137" s="5" t="str">
        <f>'ملخص المجموعات'!C130</f>
        <v>مجموعة أبها</v>
      </c>
      <c r="E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37" s="4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38" spans="2:8">
      <c r="B138" s="2" t="str">
        <f>IFERROR(INDEX(المكاتب_المصدر[المنطقة],MATCH(Table10[[#This Row],[المجموعة]],المكاتب_المصدر[المجموعة],0)),"")</f>
        <v>الشرقية</v>
      </c>
      <c r="C138" s="2" t="str">
        <f>'ملخص المجموعات'!B131</f>
        <v>تحت 14</v>
      </c>
      <c r="D138" s="5" t="str">
        <f>'ملخص المجموعات'!C131</f>
        <v>مجموعة الخفجي</v>
      </c>
      <c r="E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8" s="4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39" spans="2:8">
      <c r="B139" s="2" t="str">
        <f>IFERROR(INDEX(المكاتب_المصدر[المنطقة],MATCH(Table10[[#This Row],[المجموعة]],المكاتب_المصدر[المجموعة],0)),"")</f>
        <v>مكة المكرمة</v>
      </c>
      <c r="C139" s="2" t="str">
        <f>'ملخص المجموعات'!B132</f>
        <v>تحت 5</v>
      </c>
      <c r="D139" s="5" t="str">
        <f>'ملخص المجموعات'!C132</f>
        <v>مجموعة مكة المكرمة</v>
      </c>
      <c r="E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9" s="4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0" spans="2:8">
      <c r="B140" s="2" t="str">
        <f>IFERROR(INDEX(المكاتب_المصدر[المنطقة],MATCH(Table10[[#This Row],[المجموعة]],المكاتب_المصدر[المجموعة],0)),"")</f>
        <v>جازان</v>
      </c>
      <c r="C140" s="2" t="str">
        <f>'ملخص المجموعات'!B133</f>
        <v>تحت 7</v>
      </c>
      <c r="D140" s="5" t="str">
        <f>'ملخص المجموعات'!C133</f>
        <v>مجموعة صبيا</v>
      </c>
      <c r="E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0" s="4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1" spans="2:8">
      <c r="B141" s="2" t="str">
        <f>IFERROR(INDEX(المكاتب_المصدر[المنطقة],MATCH(Table10[[#This Row],[المجموعة]],المكاتب_المصدر[المجموعة],0)),"")</f>
        <v>الشرقية</v>
      </c>
      <c r="C141" s="2" t="str">
        <f>'ملخص المجموعات'!B134</f>
        <v>تحت 9</v>
      </c>
      <c r="D141" s="5" t="str">
        <f>'ملخص المجموعات'!C134</f>
        <v>مجموعة القطيف</v>
      </c>
      <c r="E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1" s="4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2" spans="2:8">
      <c r="B142" s="2" t="str">
        <f>IFERROR(INDEX(المكاتب_المصدر[المنطقة],MATCH(Table10[[#This Row],[المجموعة]],المكاتب_المصدر[المجموعة],0)),"")</f>
        <v>الجوف</v>
      </c>
      <c r="C142" s="2" t="str">
        <f>'ملخص المجموعات'!B135</f>
        <v>تحت 9</v>
      </c>
      <c r="D142" s="5" t="str">
        <f>'ملخص المجموعات'!C135</f>
        <v>مجموعة سكاكا</v>
      </c>
      <c r="E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4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3" spans="2:8">
      <c r="B143" s="2" t="str">
        <f>IFERROR(INDEX(المكاتب_المصدر[المنطقة],MATCH(Table10[[#This Row],[المجموعة]],المكاتب_المصدر[المجموعة],0)),"")</f>
        <v>مكة المكرمة</v>
      </c>
      <c r="C143" s="2" t="str">
        <f>'ملخص المجموعات'!B136</f>
        <v>تحت 9</v>
      </c>
      <c r="D143" s="5" t="str">
        <f>'ملخص المجموعات'!C136</f>
        <v>مجموعة الطائف</v>
      </c>
      <c r="E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3" s="4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4" spans="2:8">
      <c r="B144" s="2" t="str">
        <f>IFERROR(INDEX(المكاتب_المصدر[المنطقة],MATCH(Table10[[#This Row],[المجموعة]],المكاتب_المصدر[المجموعة],0)),"")</f>
        <v>القصيم</v>
      </c>
      <c r="C144" s="2" t="str">
        <f>'ملخص المجموعات'!B137</f>
        <v>تحت 11</v>
      </c>
      <c r="D144" s="5" t="str">
        <f>'ملخص المجموعات'!C137</f>
        <v>مجموعة القصيم</v>
      </c>
      <c r="E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4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5" spans="2:8">
      <c r="B145" s="2" t="str">
        <f>IFERROR(INDEX(المكاتب_المصدر[المنطقة],MATCH(Table10[[#This Row],[المجموعة]],المكاتب_المصدر[المجموعة],0)),"")</f>
        <v>الشرقية</v>
      </c>
      <c r="C145" s="2" t="str">
        <f>'ملخص المجموعات'!B138</f>
        <v>تحت 11</v>
      </c>
      <c r="D145" s="5" t="str">
        <f>'ملخص المجموعات'!C138</f>
        <v>مجموعة القطيف</v>
      </c>
      <c r="E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5" s="4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6" spans="2:8">
      <c r="B146" s="2" t="str">
        <f>IFERROR(INDEX(المكاتب_المصدر[المنطقة],MATCH(Table10[[#This Row],[المجموعة]],المكاتب_المصدر[المجموعة],0)),"")</f>
        <v>جازان</v>
      </c>
      <c r="C146" s="2" t="str">
        <f>'ملخص المجموعات'!B139</f>
        <v>تحت 11</v>
      </c>
      <c r="D146" s="5" t="str">
        <f>'ملخص المجموعات'!C139</f>
        <v>مجموعة صبيا</v>
      </c>
      <c r="E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6" s="4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7" spans="2:8">
      <c r="B147" s="2" t="str">
        <f>IFERROR(INDEX(المكاتب_المصدر[المنطقة],MATCH(Table10[[#This Row],[المجموعة]],المكاتب_المصدر[المجموعة],0)),"")</f>
        <v>مكة المكرمة</v>
      </c>
      <c r="C147" s="2" t="str">
        <f>'ملخص المجموعات'!B140</f>
        <v>تحت 12</v>
      </c>
      <c r="D147" s="5" t="str">
        <f>'ملخص المجموعات'!C140</f>
        <v>مجموعة الطائف</v>
      </c>
      <c r="E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7" s="4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8" spans="2:8">
      <c r="B148" s="2" t="str">
        <f>IFERROR(INDEX(المكاتب_المصدر[المنطقة],MATCH(Table10[[#This Row],[المجموعة]],المكاتب_المصدر[المجموعة],0)),"")</f>
        <v>جازان</v>
      </c>
      <c r="C148" s="2" t="str">
        <f>'ملخص المجموعات'!B141</f>
        <v>تحت 12</v>
      </c>
      <c r="D148" s="5" t="str">
        <f>'ملخص المجموعات'!C141</f>
        <v>مجموعة صبيا</v>
      </c>
      <c r="E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8" s="4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9" spans="2:8">
      <c r="B149" s="2" t="str">
        <f>IFERROR(INDEX(المكاتب_المصدر[المنطقة],MATCH(Table10[[#This Row],[المجموعة]],المكاتب_المصدر[المجموعة],0)),"")</f>
        <v>الشرقية</v>
      </c>
      <c r="C149" s="2" t="str">
        <f>'ملخص المجموعات'!B142</f>
        <v>تحت 13</v>
      </c>
      <c r="D149" s="5" t="str">
        <f>'ملخص المجموعات'!C142</f>
        <v>مجموعة الخفجي</v>
      </c>
      <c r="E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9" s="4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0" spans="2:8">
      <c r="B150" s="2" t="str">
        <f>IFERROR(INDEX(المكاتب_المصدر[المنطقة],MATCH(Table10[[#This Row],[المجموعة]],المكاتب_المصدر[المجموعة],0)),"")</f>
        <v>مكة المكرمة</v>
      </c>
      <c r="C150" s="2" t="str">
        <f>'ملخص المجموعات'!B143</f>
        <v>تحت 13</v>
      </c>
      <c r="D150" s="5" t="str">
        <f>'ملخص المجموعات'!C143</f>
        <v>مجموعة الطائف</v>
      </c>
      <c r="E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0" s="4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1" spans="2:8">
      <c r="B151" s="2" t="str">
        <f>IFERROR(INDEX(المكاتب_المصدر[المنطقة],MATCH(Table10[[#This Row],[المجموعة]],المكاتب_المصدر[المجموعة],0)),"")</f>
        <v>المدينة المنورة</v>
      </c>
      <c r="C151" s="2" t="str">
        <f>'ملخص المجموعات'!B144</f>
        <v>تحت 14</v>
      </c>
      <c r="D151" s="5" t="str">
        <f>'ملخص المجموعات'!C144</f>
        <v>مجموعة المدينة المنورة</v>
      </c>
      <c r="E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4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2" spans="2:8">
      <c r="B152" s="2" t="str">
        <f>IFERROR(INDEX(المكاتب_المصدر[المنطقة],MATCH(Table10[[#This Row],[المجموعة]],المكاتب_المصدر[المجموعة],0)),"")</f>
        <v>الشرقية</v>
      </c>
      <c r="C152" s="2" t="str">
        <f>'ملخص المجموعات'!B145</f>
        <v>تحت 5</v>
      </c>
      <c r="D152" s="5" t="str">
        <f>'ملخص المجموعات'!C145</f>
        <v>مجموعة حفر الباطن</v>
      </c>
      <c r="E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4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3" spans="2:8">
      <c r="B153" s="2" t="str">
        <f>IFERROR(INDEX(المكاتب_المصدر[المنطقة],MATCH(Table10[[#This Row],[المجموعة]],المكاتب_المصدر[المجموعة],0)),"")</f>
        <v>المدينة المنورة</v>
      </c>
      <c r="C153" s="2" t="str">
        <f>'ملخص المجموعات'!B146</f>
        <v>تحت 7</v>
      </c>
      <c r="D153" s="5" t="str">
        <f>'ملخص المجموعات'!C146</f>
        <v>مجموعة المدينة المنورة</v>
      </c>
      <c r="E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3" s="4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54" spans="2:8">
      <c r="B154" s="2" t="str">
        <f>IFERROR(INDEX(المكاتب_المصدر[المنطقة],MATCH(Table10[[#This Row],[المجموعة]],المكاتب_المصدر[المجموعة],0)),"")</f>
        <v>الشرقية</v>
      </c>
      <c r="C154" s="2" t="str">
        <f>'ملخص المجموعات'!B147</f>
        <v>تحت 7</v>
      </c>
      <c r="D154" s="5" t="str">
        <f>'ملخص المجموعات'!C147</f>
        <v>مجموعة الدمام</v>
      </c>
      <c r="E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4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55" spans="2:8">
      <c r="B155" s="2" t="str">
        <f>IFERROR(INDEX(المكاتب_المصدر[المنطقة],MATCH(Table10[[#This Row],[المجموعة]],المكاتب_المصدر[المجموعة],0)),"")</f>
        <v>جازان</v>
      </c>
      <c r="C155" s="2" t="str">
        <f>'ملخص المجموعات'!B148</f>
        <v>تحت 9</v>
      </c>
      <c r="D155" s="5" t="str">
        <f>'ملخص المجموعات'!C148</f>
        <v>مجموعة صبيا</v>
      </c>
      <c r="E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5" s="4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56" spans="2:8">
      <c r="B156" s="2" t="str">
        <f>IFERROR(INDEX(المكاتب_المصدر[المنطقة],MATCH(Table10[[#This Row],[المجموعة]],المكاتب_المصدر[المجموعة],0)),"")</f>
        <v>الشرقية</v>
      </c>
      <c r="C156" s="2" t="str">
        <f>'ملخص المجموعات'!B149</f>
        <v>تحت 13</v>
      </c>
      <c r="D156" s="5" t="str">
        <f>'ملخص المجموعات'!C149</f>
        <v>مجموعة حفر الباطن</v>
      </c>
      <c r="E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4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157" spans="2:8">
      <c r="B157" s="2" t="str">
        <f>IFERROR(INDEX(المكاتب_المصدر[المنطقة],MATCH(Table10[[#This Row],[المجموعة]],المكاتب_المصدر[المجموعة],0)),"")</f>
        <v>مكة المكرمة</v>
      </c>
      <c r="C157" s="2" t="str">
        <f>'ملخص المجموعات'!B150</f>
        <v>تحت 14</v>
      </c>
      <c r="D157" s="5" t="str">
        <f>'ملخص المجموعات'!C150</f>
        <v>مجموعة الطائف</v>
      </c>
      <c r="E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7" s="4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58" spans="2:8">
      <c r="B158" s="2" t="str">
        <f>IFERROR(INDEX(المكاتب_المصدر[المنطقة],MATCH(Table10[[#This Row],[المجموعة]],المكاتب_المصدر[المجموعة],0)),"")</f>
        <v>الرياض</v>
      </c>
      <c r="C158" s="2" t="str">
        <f>'ملخص المجموعات'!B151</f>
        <v>تحت 5</v>
      </c>
      <c r="D158" s="5" t="str">
        <f>'ملخص المجموعات'!C151</f>
        <v>مجموعة الرياض</v>
      </c>
      <c r="E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8" s="4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294</v>
      </c>
    </row>
    <row r="159" spans="2:8">
      <c r="B159" s="2" t="str">
        <f>IFERROR(INDEX(المكاتب_المصدر[المنطقة],MATCH(Table10[[#This Row],[المجموعة]],المكاتب_المصدر[المجموعة],0)),"")</f>
        <v>الشرقية</v>
      </c>
      <c r="C159" s="2" t="str">
        <f>'ملخص المجموعات'!B152</f>
        <v>تحت 7</v>
      </c>
      <c r="D159" s="5" t="str">
        <f>'ملخص المجموعات'!C152</f>
        <v>مجموعة حفر الباطن</v>
      </c>
      <c r="E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4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308</v>
      </c>
    </row>
    <row r="160" spans="2:8">
      <c r="B160" s="2" t="str">
        <f>IFERROR(INDEX(المكاتب_المصدر[المنطقة],MATCH(Table10[[#This Row],[المجموعة]],المكاتب_المصدر[المجموعة],0)),"")</f>
        <v>الشرقية</v>
      </c>
      <c r="C160" s="2" t="str">
        <f>'ملخص المجموعات'!B153</f>
        <v>تحت 12</v>
      </c>
      <c r="D160" s="5" t="str">
        <f>'ملخص المجموعات'!C153</f>
        <v>مجموعة القطيف</v>
      </c>
      <c r="E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4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161" spans="2:8">
      <c r="B161" s="2" t="str">
        <f>IFERROR(INDEX(المكاتب_المصدر[المنطقة],MATCH(Table10[[#This Row],[المجموعة]],المكاتب_المصدر[المجموعة],0)),"")</f>
        <v>الشرقية</v>
      </c>
      <c r="C161" s="2" t="str">
        <f>'ملخص المجموعات'!B154</f>
        <v>تحت 7</v>
      </c>
      <c r="D161" s="5" t="str">
        <f>'ملخص المجموعات'!C154</f>
        <v>مجموعة الأحساء</v>
      </c>
      <c r="E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4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322</v>
      </c>
    </row>
    <row r="162" spans="2:8">
      <c r="B162" s="2" t="str">
        <f>IFERROR(INDEX(المكاتب_المصدر[المنطقة],MATCH(Table10[[#This Row],[المجموعة]],المكاتب_المصدر[المجموعة],0)),"")</f>
        <v>الشرقية</v>
      </c>
      <c r="C162" s="2" t="str">
        <f>'ملخص المجموعات'!B155</f>
        <v>تحت 14</v>
      </c>
      <c r="D162" s="5" t="str">
        <f>'ملخص المجموعات'!C155</f>
        <v>مجموعة حفر الباطن</v>
      </c>
      <c r="E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2" s="4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240</v>
      </c>
    </row>
    <row r="163" spans="2:8">
      <c r="B163" s="2" t="str">
        <f>IFERROR(INDEX(المكاتب_المصدر[المنطقة],MATCH(Table10[[#This Row],[المجموعة]],المكاتب_المصدر[المجموعة],0)),"")</f>
        <v>الشرقية</v>
      </c>
      <c r="C163" s="2" t="str">
        <f>'ملخص المجموعات'!B156</f>
        <v>تحت 9</v>
      </c>
      <c r="D163" s="5" t="str">
        <f>'ملخص المجموعات'!C156</f>
        <v>مجموعة حفر الباطن</v>
      </c>
      <c r="E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3" s="4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64" spans="2:8">
      <c r="B164" s="2" t="str">
        <f>IFERROR(INDEX(المكاتب_المصدر[المنطقة],MATCH(Table10[[#This Row],[المجموعة]],المكاتب_المصدر[المجموعة],0)),"")</f>
        <v>الشرقية</v>
      </c>
      <c r="C164" s="2" t="str">
        <f>'ملخص المجموعات'!B157</f>
        <v>تحت 11</v>
      </c>
      <c r="D164" s="5" t="str">
        <f>'ملخص المجموعات'!C157</f>
        <v>مجموعة حفر الباطن</v>
      </c>
      <c r="E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4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250</v>
      </c>
    </row>
    <row r="165" spans="2:8">
      <c r="B165" s="2" t="str">
        <f>IFERROR(INDEX(المكاتب_المصدر[المنطقة],MATCH(Table10[[#This Row],[المجموعة]],المكاتب_المصدر[المجموعة],0)),"")</f>
        <v>مكة المكرمة</v>
      </c>
      <c r="C165" s="2" t="str">
        <f>'ملخص المجموعات'!B158</f>
        <v>تحت 7</v>
      </c>
      <c r="D165" s="5" t="str">
        <f>'ملخص المجموعات'!C158</f>
        <v>مجموعة مكة المكرمة</v>
      </c>
      <c r="E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5" s="4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364</v>
      </c>
    </row>
    <row r="166" spans="2:8">
      <c r="B166" s="2" t="str">
        <f>IFERROR(INDEX(المكاتب_المصدر[المنطقة],MATCH(Table10[[#This Row],[المجموعة]],المكاتب_المصدر[المجموعة],0)),"")</f>
        <v>الشرقية</v>
      </c>
      <c r="C166" s="2" t="str">
        <f>'ملخص المجموعات'!B159</f>
        <v>تحت 12</v>
      </c>
      <c r="D166" s="5" t="str">
        <f>'ملخص المجموعات'!C159</f>
        <v>مجموعة حفر الباطن</v>
      </c>
      <c r="E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6" s="4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167" spans="2:8">
      <c r="B167" s="2" t="str">
        <f>IFERROR(INDEX(المكاتب_المصدر[المنطقة],MATCH(Table10[[#This Row],[المجموعة]],المكاتب_المصدر[المجموعة],0)),"")</f>
        <v>مكة المكرمة</v>
      </c>
      <c r="C167" s="2" t="str">
        <f>'ملخص المجموعات'!B160</f>
        <v>تحت 5</v>
      </c>
      <c r="D167" s="5" t="str">
        <f>'ملخص المجموعات'!C160</f>
        <v>مجموعة جدة</v>
      </c>
      <c r="E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7" s="4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378</v>
      </c>
    </row>
    <row r="168" spans="2:8">
      <c r="B168" s="2" t="str">
        <f>IFERROR(INDEX(المكاتب_المصدر[المنطقة],MATCH(Table10[[#This Row],[المجموعة]],المكاتب_المصدر[المجموعة],0)),"")</f>
        <v>المدينة المنورة</v>
      </c>
      <c r="C168" s="2" t="str">
        <f>'ملخص المجموعات'!B161</f>
        <v>تحت 11</v>
      </c>
      <c r="D168" s="5" t="str">
        <f>'ملخص المجموعات'!C161</f>
        <v>مجموعة المدينة المنورة</v>
      </c>
      <c r="E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4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69" spans="2:8">
      <c r="B169" s="2" t="str">
        <f>IFERROR(INDEX(المكاتب_المصدر[المنطقة],MATCH(Table10[[#This Row],[المجموعة]],المكاتب_المصدر[المجموعة],0)),"")</f>
        <v>مكة المكرمة</v>
      </c>
      <c r="C169" s="2" t="str">
        <f>'ملخص المجموعات'!B162</f>
        <v>تحت 13</v>
      </c>
      <c r="D169" s="5" t="str">
        <f>'ملخص المجموعات'!C162</f>
        <v>مجموعة مكة المكرمة</v>
      </c>
      <c r="E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9" s="4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70" spans="2:8">
      <c r="B170" s="2" t="str">
        <f>IFERROR(INDEX(المكاتب_المصدر[المنطقة],MATCH(Table10[[#This Row],[المجموعة]],المكاتب_المصدر[المجموعة],0)),"")</f>
        <v>المدينة المنورة</v>
      </c>
      <c r="C170" s="2" t="str">
        <f>'ملخص المجموعات'!B163</f>
        <v>تحت 12</v>
      </c>
      <c r="D170" s="5" t="str">
        <f>'ملخص المجموعات'!C163</f>
        <v>مجموعة المدينة المنورة</v>
      </c>
      <c r="E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0" s="4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171" spans="2:8">
      <c r="B171" s="2" t="str">
        <f>IFERROR(INDEX(المكاتب_المصدر[المنطقة],MATCH(Table10[[#This Row],[المجموعة]],المكاتب_المصدر[المجموعة],0)),"")</f>
        <v>المدينة المنورة</v>
      </c>
      <c r="C171" s="2" t="str">
        <f>'ملخص المجموعات'!B164</f>
        <v>تحت 9</v>
      </c>
      <c r="D171" s="5" t="str">
        <f>'ملخص المجموعات'!C164</f>
        <v>مجموعة المدينة المنورة</v>
      </c>
      <c r="E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1" s="4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406</v>
      </c>
    </row>
    <row r="172" spans="2:8">
      <c r="B172" s="2" t="str">
        <f>IFERROR(INDEX(المكاتب_المصدر[المنطقة],MATCH(Table10[[#This Row],[المجموعة]],المكاتب_المصدر[المجموعة],0)),"")</f>
        <v>مكة المكرمة</v>
      </c>
      <c r="C172" s="2" t="str">
        <f>'ملخص المجموعات'!B165</f>
        <v>تحت 14</v>
      </c>
      <c r="D172" s="5" t="str">
        <f>'ملخص المجموعات'!C165</f>
        <v>مجموعة مكة المكرمة</v>
      </c>
      <c r="E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2" s="4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173" spans="2:8">
      <c r="B173" s="2" t="str">
        <f>IFERROR(INDEX(المكاتب_المصدر[المنطقة],MATCH(Table10[[#This Row],[المجموعة]],المكاتب_المصدر[المجموعة],0)),"")</f>
        <v>مكة المكرمة</v>
      </c>
      <c r="C173" s="2" t="str">
        <f>'ملخص المجموعات'!B166</f>
        <v>تحت 11</v>
      </c>
      <c r="D173" s="5" t="str">
        <f>'ملخص المجموعات'!C166</f>
        <v>مجموعة مكة المكرمة</v>
      </c>
      <c r="E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3" s="4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300</v>
      </c>
    </row>
    <row r="174" spans="2:8">
      <c r="B174" s="2" t="str">
        <f>IFERROR(INDEX(المكاتب_المصدر[المنطقة],MATCH(Table10[[#This Row],[المجموعة]],المكاتب_المصدر[المجموعة],0)),"")</f>
        <v>مكة المكرمة</v>
      </c>
      <c r="C174" s="2" t="str">
        <f>'ملخص المجموعات'!B167</f>
        <v>تحت 12</v>
      </c>
      <c r="D174" s="5" t="str">
        <f>'ملخص المجموعات'!C167</f>
        <v>مجموعة مكة المكرمة</v>
      </c>
      <c r="E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4" s="4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310</v>
      </c>
    </row>
    <row r="175" spans="2:8">
      <c r="B175" s="2" t="str">
        <f>IFERROR(INDEX(المكاتب_المصدر[المنطقة],MATCH(Table10[[#This Row],[المجموعة]],المكاتب_المصدر[المجموعة],0)),"")</f>
        <v>الشرقية</v>
      </c>
      <c r="C175" s="2" t="str">
        <f>'ملخص المجموعات'!B168</f>
        <v>تحت 14</v>
      </c>
      <c r="D175" s="5" t="str">
        <f>'ملخص المجموعات'!C168</f>
        <v>مجموعة الأحساء</v>
      </c>
      <c r="E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5" s="4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310</v>
      </c>
    </row>
    <row r="176" spans="2:8">
      <c r="B176" s="2" t="str">
        <f>IFERROR(INDEX(المكاتب_المصدر[المنطقة],MATCH(Table10[[#This Row],[المجموعة]],المكاتب_المصدر[المجموعة],0)),"")</f>
        <v>الشرقية</v>
      </c>
      <c r="C176" s="2" t="str">
        <f>'ملخص المجموعات'!B169</f>
        <v>تحت 9</v>
      </c>
      <c r="D176" s="5" t="str">
        <f>'ملخص المجموعات'!C169</f>
        <v>مجموعة الأحساء</v>
      </c>
      <c r="E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6" s="4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476</v>
      </c>
    </row>
    <row r="177" spans="2:8">
      <c r="B177" s="2" t="str">
        <f>IFERROR(INDEX(المكاتب_المصدر[المنطقة],MATCH(Table10[[#This Row],[المجموعة]],المكاتب_المصدر[المجموعة],0)),"")</f>
        <v>الشرقية</v>
      </c>
      <c r="C177" s="2" t="str">
        <f>'ملخص المجموعات'!B170</f>
        <v>تحت 12</v>
      </c>
      <c r="D177" s="5" t="str">
        <f>'ملخص المجموعات'!C170</f>
        <v>مجموعة الأحساء</v>
      </c>
      <c r="E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7" s="4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340</v>
      </c>
    </row>
    <row r="178" spans="2:8">
      <c r="B178" s="2" t="str">
        <f>IFERROR(INDEX(المكاتب_المصدر[المنطقة],MATCH(Table10[[#This Row],[المجموعة]],المكاتب_المصدر[المجموعة],0)),"")</f>
        <v>الرياض</v>
      </c>
      <c r="C178" s="2" t="str">
        <f>'ملخص المجموعات'!B171</f>
        <v>تحت 13</v>
      </c>
      <c r="D178" s="5" t="str">
        <f>'ملخص المجموعات'!C171</f>
        <v>مجموعة الرياض</v>
      </c>
      <c r="E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8" s="4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79" spans="2:8">
      <c r="B179" s="2" t="str">
        <f>IFERROR(INDEX(المكاتب_المصدر[المنطقة],MATCH(Table10[[#This Row],[المجموعة]],المكاتب_المصدر[المجموعة],0)),"")</f>
        <v>مكة المكرمة</v>
      </c>
      <c r="C179" s="2" t="str">
        <f>'ملخص المجموعات'!B172</f>
        <v>تحت 9</v>
      </c>
      <c r="D179" s="5" t="str">
        <f>'ملخص المجموعات'!C172</f>
        <v>مجموعة مكة المكرمة</v>
      </c>
      <c r="E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9" s="4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532</v>
      </c>
    </row>
    <row r="180" spans="2:8">
      <c r="B180" s="2" t="str">
        <f>IFERROR(INDEX(المكاتب_المصدر[المنطقة],MATCH(Table10[[#This Row],[المجموعة]],المكاتب_المصدر[المجموعة],0)),"")</f>
        <v>الرياض</v>
      </c>
      <c r="C180" s="2" t="str">
        <f>'ملخص المجموعات'!B173</f>
        <v>تحت 7</v>
      </c>
      <c r="D180" s="5" t="str">
        <f>'ملخص المجموعات'!C173</f>
        <v>مجموعة الرياض</v>
      </c>
      <c r="E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0" s="4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39</v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546</v>
      </c>
    </row>
    <row r="181" spans="2:8">
      <c r="B181" s="2" t="str">
        <f>IFERROR(INDEX(المكاتب_المصدر[المنطقة],MATCH(Table10[[#This Row],[المجموعة]],المكاتب_المصدر[المجموعة],0)),"")</f>
        <v>مكة المكرمة</v>
      </c>
      <c r="C181" s="2" t="str">
        <f>'ملخص المجموعات'!B174</f>
        <v>تحت 7</v>
      </c>
      <c r="D181" s="5" t="str">
        <f>'ملخص المجموعات'!C174</f>
        <v>مجموعة جدة</v>
      </c>
      <c r="E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1" s="4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40</v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560</v>
      </c>
    </row>
    <row r="182" spans="2:8">
      <c r="B182" s="2" t="str">
        <f>IFERROR(INDEX(المكاتب_المصدر[المنطقة],MATCH(Table10[[#This Row],[المجموعة]],المكاتب_المصدر[المجموعة],0)),"")</f>
        <v>الشرقية</v>
      </c>
      <c r="C182" s="2" t="str">
        <f>'ملخص المجموعات'!B175</f>
        <v>تحت 9</v>
      </c>
      <c r="D182" s="5" t="str">
        <f>'ملخص المجموعات'!C175</f>
        <v>مجموعة الدمام</v>
      </c>
      <c r="E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2" s="4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672</v>
      </c>
    </row>
    <row r="183" spans="2:8">
      <c r="B183" s="2" t="str">
        <f>IFERROR(INDEX(المكاتب_المصدر[المنطقة],MATCH(Table10[[#This Row],[المجموعة]],المكاتب_المصدر[المجموعة],0)),"")</f>
        <v>مكة المكرمة</v>
      </c>
      <c r="C183" s="2" t="str">
        <f>'ملخص المجموعات'!B176</f>
        <v>تحت 13</v>
      </c>
      <c r="D183" s="5" t="str">
        <f>'ملخص المجموعات'!C176</f>
        <v>مجموعة جدة</v>
      </c>
      <c r="E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4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490</v>
      </c>
    </row>
    <row r="184" spans="2:8">
      <c r="B184" s="2" t="str">
        <f>IFERROR(INDEX(المكاتب_المصدر[المنطقة],MATCH(Table10[[#This Row],[المجموعة]],المكاتب_المصدر[المجموعة],0)),"")</f>
        <v>الشرقية</v>
      </c>
      <c r="C184" s="2" t="str">
        <f>'ملخص المجموعات'!B177</f>
        <v>تحت 13</v>
      </c>
      <c r="D184" s="5" t="str">
        <f>'ملخص المجموعات'!C177</f>
        <v>مجموعة الأحساء</v>
      </c>
      <c r="E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4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490</v>
      </c>
    </row>
    <row r="185" spans="2:8">
      <c r="B185" s="2" t="str">
        <f>IFERROR(INDEX(المكاتب_المصدر[المنطقة],MATCH(Table10[[#This Row],[المجموعة]],المكاتب_المصدر[المجموعة],0)),"")</f>
        <v>الشرقية</v>
      </c>
      <c r="C185" s="2" t="str">
        <f>'ملخص المجموعات'!B178</f>
        <v>تحت 11</v>
      </c>
      <c r="D185" s="5" t="str">
        <f>'ملخص المجموعات'!C178</f>
        <v>مجموعة الأحساء</v>
      </c>
      <c r="E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4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520</v>
      </c>
    </row>
    <row r="186" spans="2:8">
      <c r="B186" s="2" t="str">
        <f>IFERROR(INDEX(المكاتب_المصدر[المنطقة],MATCH(Table10[[#This Row],[المجموعة]],المكاتب_المصدر[المجموعة],0)),"")</f>
        <v>الرياض</v>
      </c>
      <c r="C186" s="2" t="str">
        <f>'ملخص المجموعات'!B179</f>
        <v>تحت 14</v>
      </c>
      <c r="D186" s="5" t="str">
        <f>'ملخص المجموعات'!C179</f>
        <v>مجموعة الرياض</v>
      </c>
      <c r="E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4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56</v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560</v>
      </c>
    </row>
    <row r="187" spans="2:8">
      <c r="B187" s="2" t="str">
        <f>IFERROR(INDEX(المكاتب_المصدر[المنطقة],MATCH(Table10[[#This Row],[المجموعة]],المكاتب_المصدر[المجموعة],0)),"")</f>
        <v>مكة المكرمة</v>
      </c>
      <c r="C187" s="2" t="str">
        <f>'ملخص المجموعات'!B180</f>
        <v>تحت 14</v>
      </c>
      <c r="D187" s="5" t="str">
        <f>'ملخص المجموعات'!C180</f>
        <v>مجموعة جدة</v>
      </c>
      <c r="E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7" s="4" t="e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88" spans="2:8">
      <c r="B188" s="2" t="str">
        <f>IFERROR(INDEX(المكاتب_المصدر[المنطقة],MATCH(Table10[[#This Row],[المجموعة]],المكاتب_المصدر[المجموعة],0)),"")</f>
        <v>الرياض</v>
      </c>
      <c r="C188" s="2" t="str">
        <f>'ملخص المجموعات'!B181</f>
        <v>تحت 9</v>
      </c>
      <c r="D188" s="5" t="str">
        <f>'ملخص المجموعات'!C181</f>
        <v>مجموعة الرياض</v>
      </c>
      <c r="E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8" s="4" t="e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89" spans="2:8">
      <c r="B189" s="2" t="str">
        <f>IFERROR(INDEX(المكاتب_المصدر[المنطقة],MATCH(Table10[[#This Row],[المجموعة]],المكاتب_المصدر[المجموعة],0)),"")</f>
        <v>الرياض</v>
      </c>
      <c r="C189" s="2" t="str">
        <f>'ملخص المجموعات'!B182</f>
        <v>تحت 11</v>
      </c>
      <c r="D189" s="5" t="str">
        <f>'ملخص المجموعات'!C182</f>
        <v>مجموعة الرياض</v>
      </c>
      <c r="E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9" s="4" t="e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90" spans="2:8">
      <c r="B190" s="2" t="str">
        <f>IFERROR(INDEX(المكاتب_المصدر[المنطقة],MATCH(Table10[[#This Row],[المجموعة]],المكاتب_المصدر[المجموعة],0)),"")</f>
        <v>الرياض</v>
      </c>
      <c r="C190" s="2" t="str">
        <f>'ملخص المجموعات'!B183</f>
        <v>تحت 12</v>
      </c>
      <c r="D190" s="5" t="str">
        <f>'ملخص المجموعات'!C183</f>
        <v>مجموعة الرياض</v>
      </c>
      <c r="E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0" s="4" t="e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91" spans="2:8">
      <c r="B191" s="2" t="str">
        <f>IFERROR(INDEX(المكاتب_المصدر[المنطقة],MATCH(Table10[[#This Row],[المجموعة]],المكاتب_المصدر[المجموعة],0)),"")</f>
        <v>مكة المكرمة</v>
      </c>
      <c r="C191" s="2" t="str">
        <f>'ملخص المجموعات'!B184</f>
        <v>تحت 9</v>
      </c>
      <c r="D191" s="5" t="str">
        <f>'ملخص المجموعات'!C184</f>
        <v>مجموعة جدة</v>
      </c>
      <c r="E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1" s="4" t="e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92" spans="2:8">
      <c r="B192" s="2" t="str">
        <f>IFERROR(INDEX(المكاتب_المصدر[المنطقة],MATCH(Table10[[#This Row],[المجموعة]],المكاتب_المصدر[المجموعة],0)),"")</f>
        <v>مكة المكرمة</v>
      </c>
      <c r="C192" s="2" t="str">
        <f>'ملخص المجموعات'!B185</f>
        <v>تحت 11</v>
      </c>
      <c r="D192" s="5" t="str">
        <f>'ملخص المجموعات'!C185</f>
        <v>مجموعة جدة</v>
      </c>
      <c r="E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2" s="4" t="e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93" spans="2:8">
      <c r="B193" s="2" t="str">
        <f>IFERROR(INDEX(المكاتب_المصدر[المنطقة],MATCH(Table10[[#This Row],[المجموعة]],المكاتب_المصدر[المجموعة],0)),"")</f>
        <v>مكة المكرمة</v>
      </c>
      <c r="C193" s="2" t="str">
        <f>'ملخص المجموعات'!B186</f>
        <v>تحت 12</v>
      </c>
      <c r="D193" s="5" t="str">
        <f>'ملخص المجموعات'!C186</f>
        <v>مجموعة جدة</v>
      </c>
      <c r="E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3" s="4" t="e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94" spans="2:8">
      <c r="B194"/>
      <c r="C194"/>
      <c r="D194"/>
      <c r="E194"/>
      <c r="F194"/>
    </row>
    <row r="195" spans="2:8">
      <c r="B195"/>
      <c r="C195"/>
      <c r="D195"/>
      <c r="E195"/>
      <c r="F195"/>
    </row>
    <row r="196" spans="2:8">
      <c r="B196"/>
      <c r="C196"/>
      <c r="D196"/>
      <c r="E196"/>
      <c r="F196"/>
    </row>
    <row r="197" spans="2:8">
      <c r="B197"/>
      <c r="C197"/>
      <c r="D197"/>
      <c r="E197"/>
      <c r="F1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9317D5-1062-4B67-9022-A01C4CA895B7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FD2EFD8D-4F5F-44D4-B3BC-1A5BE5DB75EA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ACC-31F3-4E02-BD08-44B090D853AF}">
  <dimension ref="B2:H197"/>
  <sheetViews>
    <sheetView rightToLeft="1" zoomScale="53" zoomScaleNormal="85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6" t="s">
        <v>129</v>
      </c>
      <c r="C2" s="6" t="s">
        <v>116</v>
      </c>
      <c r="D2" s="6" t="s">
        <v>0</v>
      </c>
      <c r="E2" s="6" t="s">
        <v>5</v>
      </c>
      <c r="F2" s="6" t="s">
        <v>6</v>
      </c>
      <c r="G2" s="6" t="s">
        <v>3</v>
      </c>
      <c r="H2" s="6" t="s">
        <v>1059</v>
      </c>
    </row>
    <row r="3" spans="2:8">
      <c r="B3" s="68" t="str">
        <f>IFERROR(INDEX(المكاتب_المصدر[المنطقة],MATCH('عدد اللاعبين'!$D3,المكاتب_المصدر[المجموعة],0)),"")</f>
        <v/>
      </c>
      <c r="C3" s="68" t="e">
        <f>'ملخص المجموعات'!#REF!</f>
        <v>#REF!</v>
      </c>
      <c r="D3" s="69" t="e">
        <f>'ملخص المجموعات'!#REF!</f>
        <v>#REF!</v>
      </c>
      <c r="E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" s="71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3" s="75">
        <f>IF('عدد اللاعبين'!$G3&lt;الحد_الأدنى,0,'عدد اللاعبين'!$G3*IFERROR(INDEX(المدخلات!$Y$3:$Y$9,MATCH('عدد اللاعبين'!$C3,المدخلات!$X$3:$X$9,0)),0))</f>
        <v>0</v>
      </c>
    </row>
    <row r="4" spans="2:8">
      <c r="B4" s="67" t="str">
        <f>IFERROR(INDEX(المكاتب_المصدر[المنطقة],MATCH('عدد اللاعبين'!$D4,المكاتب_المصدر[المجموعة],0)),"")</f>
        <v/>
      </c>
      <c r="C4" s="68" t="e">
        <f>'ملخص المجموعات'!#REF!</f>
        <v>#REF!</v>
      </c>
      <c r="D4" s="69" t="e">
        <f>'ملخص المجموعات'!#REF!</f>
        <v>#REF!</v>
      </c>
      <c r="E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" s="71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4" s="76">
        <f>IF('عدد اللاعبين'!$G4&lt;الحد_الأدنى,0,'عدد اللاعبين'!$G4*IFERROR(INDEX(المدخلات!$Y$3:$Y$9,MATCH('عدد اللاعبين'!$C4,المدخلات!$X$3:$X$9,0)),0))</f>
        <v>0</v>
      </c>
    </row>
    <row r="5" spans="2:8">
      <c r="B5" s="68" t="str">
        <f>IFERROR(INDEX(المكاتب_المصدر[المنطقة],MATCH('عدد اللاعبين'!$D5,المكاتب_المصدر[المجموعة],0)),"")</f>
        <v/>
      </c>
      <c r="C5" s="68" t="e">
        <f>'ملخص المجموعات'!#REF!</f>
        <v>#REF!</v>
      </c>
      <c r="D5" s="69" t="e">
        <f>'ملخص المجموعات'!#REF!</f>
        <v>#REF!</v>
      </c>
      <c r="E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" s="71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5" s="75">
        <f>IF('عدد اللاعبين'!$G5&lt;الحد_الأدنى,0,'عدد اللاعبين'!$G5*IFERROR(INDEX(المدخلات!$Y$3:$Y$9,MATCH('عدد اللاعبين'!$C5,المدخلات!$X$3:$X$9,0)),0))</f>
        <v>0</v>
      </c>
    </row>
    <row r="6" spans="2:8">
      <c r="B6" s="67" t="str">
        <f>IFERROR(INDEX(المكاتب_المصدر[المنطقة],MATCH('عدد اللاعبين'!$D6,المكاتب_المصدر[المجموعة],0)),"")</f>
        <v/>
      </c>
      <c r="C6" s="68" t="e">
        <f>'ملخص المجموعات'!#REF!</f>
        <v>#REF!</v>
      </c>
      <c r="D6" s="69" t="e">
        <f>'ملخص المجموعات'!#REF!</f>
        <v>#REF!</v>
      </c>
      <c r="E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" s="71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6" s="76">
        <f>IF('عدد اللاعبين'!$G6&lt;الحد_الأدنى,0,'عدد اللاعبين'!$G6*IFERROR(INDEX(المدخلات!$Y$3:$Y$9,MATCH('عدد اللاعبين'!$C6,المدخلات!$X$3:$X$9,0)),0))</f>
        <v>0</v>
      </c>
    </row>
    <row r="7" spans="2:8">
      <c r="B7" s="68" t="str">
        <f>IFERROR(INDEX(المكاتب_المصدر[المنطقة],MATCH('عدد اللاعبين'!$D7,المكاتب_المصدر[المجموعة],0)),"")</f>
        <v/>
      </c>
      <c r="C7" s="68" t="e">
        <f>'ملخص المجموعات'!#REF!</f>
        <v>#REF!</v>
      </c>
      <c r="D7" s="69" t="e">
        <f>'ملخص المجموعات'!#REF!</f>
        <v>#REF!</v>
      </c>
      <c r="E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" s="71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7" s="75">
        <f>IF('عدد اللاعبين'!$G7&lt;الحد_الأدنى,0,'عدد اللاعبين'!$G7*IFERROR(INDEX(المدخلات!$Y$3:$Y$9,MATCH('عدد اللاعبين'!$C7,المدخلات!$X$3:$X$9,0)),0))</f>
        <v>0</v>
      </c>
    </row>
    <row r="8" spans="2:8">
      <c r="B8" s="67" t="str">
        <f>IFERROR(INDEX(المكاتب_المصدر[المنطقة],MATCH('عدد اللاعبين'!$D8,المكاتب_المصدر[المجموعة],0)),"")</f>
        <v/>
      </c>
      <c r="C8" s="68" t="e">
        <f>'ملخص المجموعات'!#REF!</f>
        <v>#REF!</v>
      </c>
      <c r="D8" s="69" t="e">
        <f>'ملخص المجموعات'!#REF!</f>
        <v>#REF!</v>
      </c>
      <c r="E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" s="71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8" s="76">
        <f>IF('عدد اللاعبين'!$G8&lt;الحد_الأدنى,0,'عدد اللاعبين'!$G8*IFERROR(INDEX(المدخلات!$Y$3:$Y$9,MATCH('عدد اللاعبين'!$C8,المدخلات!$X$3:$X$9,0)),0))</f>
        <v>0</v>
      </c>
    </row>
    <row r="9" spans="2:8">
      <c r="B9" s="68" t="str">
        <f>IFERROR(INDEX(المكاتب_المصدر[المنطقة],MATCH('عدد اللاعبين'!$D9,المكاتب_المصدر[المجموعة],0)),"")</f>
        <v/>
      </c>
      <c r="C9" s="68" t="e">
        <f>'ملخص المجموعات'!#REF!</f>
        <v>#REF!</v>
      </c>
      <c r="D9" s="69" t="e">
        <f>'ملخص المجموعات'!#REF!</f>
        <v>#REF!</v>
      </c>
      <c r="E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" s="71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9" s="75">
        <f>IF('عدد اللاعبين'!$G9&lt;الحد_الأدنى,0,'عدد اللاعبين'!$G9*IFERROR(INDEX(المدخلات!$Y$3:$Y$9,MATCH('عدد اللاعبين'!$C9,المدخلات!$X$3:$X$9,0)),0))</f>
        <v>0</v>
      </c>
    </row>
    <row r="10" spans="2:8">
      <c r="B10" s="67" t="str">
        <f>IFERROR(INDEX(المكاتب_المصدر[المنطقة],MATCH('عدد اللاعبين'!$D10,المكاتب_المصدر[المجموعة],0)),"")</f>
        <v>نجران</v>
      </c>
      <c r="C10" s="68" t="str">
        <f>'ملخص المجموعات'!B3</f>
        <v>تحت 14</v>
      </c>
      <c r="D10" s="69" t="str">
        <f>'ملخص المجموعات'!C3</f>
        <v>مجموعة نجران</v>
      </c>
      <c r="E1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" s="71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" s="76">
        <f>IF('عدد اللاعبين'!$G10&lt;الحد_الأدنى,0,'عدد اللاعبين'!$G10*IFERROR(INDEX(المدخلات!$Y$3:$Y$9,MATCH('عدد اللاعبين'!$C10,المدخلات!$X$3:$X$9,0)),0))</f>
        <v>0</v>
      </c>
    </row>
    <row r="11" spans="2:8">
      <c r="B11" s="68" t="str">
        <f>IFERROR(INDEX(المكاتب_المصدر[المنطقة],MATCH('عدد اللاعبين'!$D11,المكاتب_المصدر[المجموعة],0)),"")</f>
        <v>الجوف</v>
      </c>
      <c r="C11" s="68" t="str">
        <f>'ملخص المجموعات'!B4</f>
        <v>تحت 5</v>
      </c>
      <c r="D11" s="69" t="str">
        <f>'ملخص المجموعات'!C4</f>
        <v>مجموعة طبرجل</v>
      </c>
      <c r="E1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" s="71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1" s="75">
        <f>IF('عدد اللاعبين'!$G11&lt;الحد_الأدنى,0,'عدد اللاعبين'!$G11*IFERROR(INDEX(المدخلات!$Y$3:$Y$9,MATCH('عدد اللاعبين'!$C11,المدخلات!$X$3:$X$9,0)),0))</f>
        <v>0</v>
      </c>
    </row>
    <row r="12" spans="2:8">
      <c r="B12" s="67" t="str">
        <f>IFERROR(INDEX(المكاتب_المصدر[المنطقة],MATCH('عدد اللاعبين'!$D12,المكاتب_المصدر[المجموعة],0)),"")</f>
        <v>الجوف</v>
      </c>
      <c r="C12" s="68" t="str">
        <f>'ملخص المجموعات'!B5</f>
        <v>تحت 7</v>
      </c>
      <c r="D12" s="69" t="str">
        <f>'ملخص المجموعات'!C5</f>
        <v>مجموعة طبرجل</v>
      </c>
      <c r="E1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" s="71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2" s="76">
        <f>IF('عدد اللاعبين'!$G12&lt;الحد_الأدنى,0,'عدد اللاعبين'!$G12*IFERROR(INDEX(المدخلات!$Y$3:$Y$9,MATCH('عدد اللاعبين'!$C12,المدخلات!$X$3:$X$9,0)),0))</f>
        <v>0</v>
      </c>
    </row>
    <row r="13" spans="2:8">
      <c r="B13" s="68" t="str">
        <f>IFERROR(INDEX(المكاتب_المصدر[المنطقة],MATCH('عدد اللاعبين'!$D13,المكاتب_المصدر[المجموعة],0)),"")</f>
        <v>الرياض</v>
      </c>
      <c r="C13" s="68" t="str">
        <f>'ملخص المجموعات'!B6</f>
        <v>تحت 9</v>
      </c>
      <c r="D13" s="69" t="str">
        <f>'ملخص المجموعات'!C6</f>
        <v>مجموعة الخرج</v>
      </c>
      <c r="E1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" s="71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3" s="75">
        <f>IF('عدد اللاعبين'!$G13&lt;الحد_الأدنى,0,'عدد اللاعبين'!$G13*IFERROR(INDEX(المدخلات!$Y$3:$Y$9,MATCH('عدد اللاعبين'!$C13,المدخلات!$X$3:$X$9,0)),0))</f>
        <v>0</v>
      </c>
    </row>
    <row r="14" spans="2:8">
      <c r="B14" s="67" t="str">
        <f>IFERROR(INDEX(المكاتب_المصدر[المنطقة],MATCH('عدد اللاعبين'!$D14,المكاتب_المصدر[المجموعة],0)),"")</f>
        <v>الجوف</v>
      </c>
      <c r="C14" s="68" t="str">
        <f>'ملخص المجموعات'!B7</f>
        <v>تحت 12</v>
      </c>
      <c r="D14" s="69" t="str">
        <f>'ملخص المجموعات'!C7</f>
        <v>مجموعة طبرجل</v>
      </c>
      <c r="E1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" s="71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4" s="76">
        <f>IF('عدد اللاعبين'!$G14&lt;الحد_الأدنى,0,'عدد اللاعبين'!$G14*IFERROR(INDEX(المدخلات!$Y$3:$Y$9,MATCH('عدد اللاعبين'!$C14,المدخلات!$X$3:$X$9,0)),0))</f>
        <v>0</v>
      </c>
    </row>
    <row r="15" spans="2:8">
      <c r="B15" s="68" t="str">
        <f>IFERROR(INDEX(المكاتب_المصدر[المنطقة],MATCH('عدد اللاعبين'!$D15,المكاتب_المصدر[المجموعة],0)),"")</f>
        <v>الجوف</v>
      </c>
      <c r="C15" s="68" t="str">
        <f>'ملخص المجموعات'!B8</f>
        <v>تحت 14</v>
      </c>
      <c r="D15" s="69" t="str">
        <f>'ملخص المجموعات'!C8</f>
        <v>مجموعة طبرجل</v>
      </c>
      <c r="E1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" s="71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5" s="75">
        <f>IF('عدد اللاعبين'!$G15&lt;الحد_الأدنى,0,'عدد اللاعبين'!$G15*IFERROR(INDEX(المدخلات!$Y$3:$Y$9,MATCH('عدد اللاعبين'!$C15,المدخلات!$X$3:$X$9,0)),0))</f>
        <v>0</v>
      </c>
    </row>
    <row r="16" spans="2:8">
      <c r="B16" s="67" t="str">
        <f>IFERROR(INDEX(المكاتب_المصدر[المنطقة],MATCH('عدد اللاعبين'!$D16,المكاتب_المصدر[المجموعة],0)),"")</f>
        <v>نجران</v>
      </c>
      <c r="C16" s="68" t="str">
        <f>'ملخص المجموعات'!B9</f>
        <v>تحت 7</v>
      </c>
      <c r="D16" s="69" t="str">
        <f>'ملخص المجموعات'!C9</f>
        <v>مجموعة شرورة</v>
      </c>
      <c r="E1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" s="71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</v>
      </c>
      <c r="G1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6" s="76">
        <f>IF('عدد اللاعبين'!$G16&lt;الحد_الأدنى,0,'عدد اللاعبين'!$G16*IFERROR(INDEX(المدخلات!$Y$3:$Y$9,MATCH('عدد اللاعبين'!$C16,المدخلات!$X$3:$X$9,0)),0))</f>
        <v>66</v>
      </c>
    </row>
    <row r="17" spans="2:8">
      <c r="B17" s="68" t="str">
        <f>IFERROR(INDEX(المكاتب_المصدر[المنطقة],MATCH('عدد اللاعبين'!$D17,المكاتب_المصدر[المجموعة],0)),"")</f>
        <v>نجران</v>
      </c>
      <c r="C17" s="68" t="str">
        <f>'ملخص المجموعات'!B10</f>
        <v>تحت 9</v>
      </c>
      <c r="D17" s="69" t="str">
        <f>'ملخص المجموعات'!C10</f>
        <v>مجموعة شرورة</v>
      </c>
      <c r="E1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" s="71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1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7" s="75">
        <f>IF('عدد اللاعبين'!$G17&lt;الحد_الأدنى,0,'عدد اللاعبين'!$G17*IFERROR(INDEX(المدخلات!$Y$3:$Y$9,MATCH('عدد اللاعبين'!$C17,المدخلات!$X$3:$X$9,0)),0))</f>
        <v>66</v>
      </c>
    </row>
    <row r="18" spans="2:8">
      <c r="B18" s="67" t="str">
        <f>IFERROR(INDEX(المكاتب_المصدر[المنطقة],MATCH('عدد اللاعبين'!$D18,المكاتب_المصدر[المجموعة],0)),"")</f>
        <v>الرياض</v>
      </c>
      <c r="C18" s="68" t="str">
        <f>'ملخص المجموعات'!B11</f>
        <v>تحت 9</v>
      </c>
      <c r="D18" s="69" t="str">
        <f>'ملخص المجموعات'!C11</f>
        <v>مجموعة الدوادمي</v>
      </c>
      <c r="E1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8" s="71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1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8" s="76">
        <f>IF('عدد اللاعبين'!$G18&lt;الحد_الأدنى,0,'عدد اللاعبين'!$G18*IFERROR(INDEX(المدخلات!$Y$3:$Y$9,MATCH('عدد اللاعبين'!$C18,المدخلات!$X$3:$X$9,0)),0))</f>
        <v>66</v>
      </c>
    </row>
    <row r="19" spans="2:8">
      <c r="B19" s="68" t="str">
        <f>IFERROR(INDEX(المكاتب_المصدر[المنطقة],MATCH('عدد اللاعبين'!$D19,المكاتب_المصدر[المجموعة],0)),"")</f>
        <v>الجوف</v>
      </c>
      <c r="C19" s="68" t="str">
        <f>'ملخص المجموعات'!B12</f>
        <v>تحت 11</v>
      </c>
      <c r="D19" s="69" t="str">
        <f>'ملخص المجموعات'!C12</f>
        <v>مجموعة القريات</v>
      </c>
      <c r="E1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" s="71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G1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9" s="75">
        <f>IF('عدد اللاعبين'!$G19&lt;الحد_الأدنى,0,'عدد اللاعبين'!$G19*IFERROR(INDEX(المدخلات!$Y$3:$Y$9,MATCH('عدد اللاعبين'!$C19,المدخلات!$X$3:$X$9,0)),0))</f>
        <v>66</v>
      </c>
    </row>
    <row r="20" spans="2:8">
      <c r="B20" s="67" t="str">
        <f>IFERROR(INDEX(المكاتب_المصدر[المنطقة],MATCH('عدد اللاعبين'!$D20,المكاتب_المصدر[المجموعة],0)),"")</f>
        <v>الجوف</v>
      </c>
      <c r="C20" s="68" t="str">
        <f>'ملخص المجموعات'!B13</f>
        <v>تحت 12</v>
      </c>
      <c r="D20" s="69" t="str">
        <f>'ملخص المجموعات'!C13</f>
        <v>مجموعة القريات</v>
      </c>
      <c r="E2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" s="71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2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0" s="76">
        <f>IF('عدد اللاعبين'!$G20&lt;الحد_الأدنى,0,'عدد اللاعبين'!$G20*IFERROR(INDEX(المدخلات!$Y$3:$Y$9,MATCH('عدد اللاعبين'!$C20,المدخلات!$X$3:$X$9,0)),0))</f>
        <v>66</v>
      </c>
    </row>
    <row r="21" spans="2:8">
      <c r="B21" s="68" t="str">
        <f>IFERROR(INDEX(المكاتب_المصدر[المنطقة],MATCH('عدد اللاعبين'!$D21,المكاتب_المصدر[المجموعة],0)),"")</f>
        <v>الجوف</v>
      </c>
      <c r="C21" s="68" t="str">
        <f>'ملخص المجموعات'!B14</f>
        <v>تحت 13</v>
      </c>
      <c r="D21" s="69" t="str">
        <f>'ملخص المجموعات'!C14</f>
        <v>مجموعة القريات</v>
      </c>
      <c r="E2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" s="71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2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1" s="75">
        <f>IF('عدد اللاعبين'!$G21&lt;الحد_الأدنى,0,'عدد اللاعبين'!$G21*IFERROR(INDEX(المدخلات!$Y$3:$Y$9,MATCH('عدد اللاعبين'!$C21,المدخلات!$X$3:$X$9,0)),0))</f>
        <v>120</v>
      </c>
    </row>
    <row r="22" spans="2:8">
      <c r="B22" s="67" t="str">
        <f>IFERROR(INDEX(المكاتب_المصدر[المنطقة],MATCH('عدد اللاعبين'!$D22,المكاتب_المصدر[المجموعة],0)),"")</f>
        <v>الجوف</v>
      </c>
      <c r="C22" s="68" t="str">
        <f>'ملخص المجموعات'!B15</f>
        <v>تحت 14</v>
      </c>
      <c r="D22" s="69" t="str">
        <f>'ملخص المجموعات'!C15</f>
        <v>مجموعة القريات</v>
      </c>
      <c r="E2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" s="71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2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2" s="76">
        <f>IF('عدد اللاعبين'!$G22&lt;الحد_الأدنى,0,'عدد اللاعبين'!$G22*IFERROR(INDEX(المدخلات!$Y$3:$Y$9,MATCH('عدد اللاعبين'!$C22,المدخلات!$X$3:$X$9,0)),0))</f>
        <v>120</v>
      </c>
    </row>
    <row r="23" spans="2:8">
      <c r="B23" s="68" t="str">
        <f>IFERROR(INDEX(المكاتب_المصدر[المنطقة],MATCH('عدد اللاعبين'!$D23,المكاتب_المصدر[المجموعة],0)),"")</f>
        <v>الباحة</v>
      </c>
      <c r="C23" s="68" t="str">
        <f>'ملخص المجموعات'!B16</f>
        <v>تحت 12</v>
      </c>
      <c r="D23" s="69" t="str">
        <f>'ملخص المجموعات'!C16</f>
        <v>مجموعة الباحة</v>
      </c>
      <c r="E2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3" s="71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2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3" s="75">
        <f>IF('عدد اللاعبين'!$G23&lt;الحد_الأدنى,0,'عدد اللاعبين'!$G23*IFERROR(INDEX(المدخلات!$Y$3:$Y$9,MATCH('عدد اللاعبين'!$C23,المدخلات!$X$3:$X$9,0)),0))</f>
        <v>66</v>
      </c>
    </row>
    <row r="24" spans="2:8">
      <c r="B24" s="67" t="str">
        <f>IFERROR(INDEX(المكاتب_المصدر[المنطقة],MATCH('عدد اللاعبين'!$D24,المكاتب_المصدر[المجموعة],0)),"")</f>
        <v>نجران</v>
      </c>
      <c r="C24" s="68" t="str">
        <f>'ملخص المجموعات'!B17</f>
        <v>تحت 13</v>
      </c>
      <c r="D24" s="69" t="str">
        <f>'ملخص المجموعات'!C17</f>
        <v>مجموعة نجران</v>
      </c>
      <c r="E2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4" s="71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2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4" s="76">
        <f>IF('عدد اللاعبين'!$G24&lt;الحد_الأدنى,0,'عدد اللاعبين'!$G24*IFERROR(INDEX(المدخلات!$Y$3:$Y$9,MATCH('عدد اللاعبين'!$C24,المدخلات!$X$3:$X$9,0)),0))</f>
        <v>120</v>
      </c>
    </row>
    <row r="25" spans="2:8">
      <c r="B25" s="68" t="str">
        <f>IFERROR(INDEX(المكاتب_المصدر[المنطقة],MATCH('عدد اللاعبين'!$D25,المكاتب_المصدر[المجموعة],0)),"")</f>
        <v>الباحة</v>
      </c>
      <c r="C25" s="68" t="str">
        <f>'ملخص المجموعات'!B18</f>
        <v>تحت 13</v>
      </c>
      <c r="D25" s="69" t="str">
        <f>'ملخص المجموعات'!C18</f>
        <v>مجموعة الباحة</v>
      </c>
      <c r="E2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" s="71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2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5" s="75">
        <f>IF('عدد اللاعبين'!$G25&lt;الحد_الأدنى,0,'عدد اللاعبين'!$G25*IFERROR(INDEX(المدخلات!$Y$3:$Y$9,MATCH('عدد اللاعبين'!$C25,المدخلات!$X$3:$X$9,0)),0))</f>
        <v>120</v>
      </c>
    </row>
    <row r="26" spans="2:8">
      <c r="B26" s="67" t="str">
        <f>IFERROR(INDEX(المكاتب_المصدر[المنطقة],MATCH('عدد اللاعبين'!$D26,المكاتب_المصدر[المجموعة],0)),"")</f>
        <v>الباحة</v>
      </c>
      <c r="C26" s="68" t="str">
        <f>'ملخص المجموعات'!B19</f>
        <v>تحت 14</v>
      </c>
      <c r="D26" s="69" t="str">
        <f>'ملخص المجموعات'!C19</f>
        <v>مجموعة الباحة</v>
      </c>
      <c r="E2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" s="71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2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26" s="76">
        <f>IF('عدد اللاعبين'!$G26&lt;الحد_الأدنى,0,'عدد اللاعبين'!$G26*IFERROR(INDEX(المدخلات!$Y$3:$Y$9,MATCH('عدد اللاعبين'!$C26,المدخلات!$X$3:$X$9,0)),0))</f>
        <v>120</v>
      </c>
    </row>
    <row r="27" spans="2:8">
      <c r="B27" s="68" t="str">
        <f>IFERROR(INDEX(المكاتب_المصدر[المنطقة],MATCH('عدد اللاعبين'!$D27,المكاتب_المصدر[المجموعة],0)),"")</f>
        <v>حائل</v>
      </c>
      <c r="C27" s="68" t="str">
        <f>'ملخص المجموعات'!B20</f>
        <v>تحت 5</v>
      </c>
      <c r="D27" s="69" t="str">
        <f>'ملخص المجموعات'!C20</f>
        <v>مجموعة حائل</v>
      </c>
      <c r="E2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" s="71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2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27" s="75">
        <f>IF('عدد اللاعبين'!$G27&lt;الحد_الأدنى,0,'عدد اللاعبين'!$G27*IFERROR(INDEX(المدخلات!$Y$3:$Y$9,MATCH('عدد اللاعبين'!$C27,المدخلات!$X$3:$X$9,0)),0))</f>
        <v>56</v>
      </c>
    </row>
    <row r="28" spans="2:8">
      <c r="B28" s="67" t="str">
        <f>IFERROR(INDEX(المكاتب_المصدر[المنطقة],MATCH('عدد اللاعبين'!$D28,المكاتب_المصدر[المجموعة],0)),"")</f>
        <v>الجوف</v>
      </c>
      <c r="C28" s="68" t="str">
        <f>'ملخص المجموعات'!B21</f>
        <v>تحت 5</v>
      </c>
      <c r="D28" s="69" t="str">
        <f>'ملخص المجموعات'!C21</f>
        <v>مجموعة القريات</v>
      </c>
      <c r="E2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" s="71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28" s="76">
        <f>IF('عدد اللاعبين'!$G28&lt;الحد_الأدنى,0,'عدد اللاعبين'!$G28*IFERROR(INDEX(المدخلات!$Y$3:$Y$9,MATCH('عدد اللاعبين'!$C28,المدخلات!$X$3:$X$9,0)),0))</f>
        <v>56</v>
      </c>
    </row>
    <row r="29" spans="2:8">
      <c r="B29" s="68" t="str">
        <f>IFERROR(INDEX(المكاتب_المصدر[المنطقة],MATCH('عدد اللاعبين'!$D29,المكاتب_المصدر[المجموعة],0)),"")</f>
        <v>نجران</v>
      </c>
      <c r="C29" s="68" t="str">
        <f>'ملخص المجموعات'!B22</f>
        <v>تحت 5</v>
      </c>
      <c r="D29" s="69" t="str">
        <f>'ملخص المجموعات'!C22</f>
        <v>مجموعة شرورة</v>
      </c>
      <c r="E2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" s="71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2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29" s="75">
        <f>IF('عدد اللاعبين'!$G29&lt;الحد_الأدنى,0,'عدد اللاعبين'!$G29*IFERROR(INDEX(المدخلات!$Y$3:$Y$9,MATCH('عدد اللاعبين'!$C29,المدخلات!$X$3:$X$9,0)),0))</f>
        <v>56</v>
      </c>
    </row>
    <row r="30" spans="2:8">
      <c r="B30" s="67" t="str">
        <f>IFERROR(INDEX(المكاتب_المصدر[المنطقة],MATCH('عدد اللاعبين'!$D30,المكاتب_المصدر[المجموعة],0)),"")</f>
        <v>الباحة</v>
      </c>
      <c r="C30" s="68" t="str">
        <f>'ملخص المجموعات'!B23</f>
        <v>تحت 7</v>
      </c>
      <c r="D30" s="69" t="str">
        <f>'ملخص المجموعات'!C23</f>
        <v>مجموعة الباحة</v>
      </c>
      <c r="E3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0" s="71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3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0" s="76">
        <f>IF('عدد اللاعبين'!$G30&lt;الحد_الأدنى,0,'عدد اللاعبين'!$G30*IFERROR(INDEX(المدخلات!$Y$3:$Y$9,MATCH('عدد اللاعبين'!$C30,المدخلات!$X$3:$X$9,0)),0))</f>
        <v>77</v>
      </c>
    </row>
    <row r="31" spans="2:8">
      <c r="B31" s="68" t="str">
        <f>IFERROR(INDEX(المكاتب_المصدر[المنطقة],MATCH('عدد اللاعبين'!$D31,المكاتب_المصدر[المجموعة],0)),"")</f>
        <v>عسير</v>
      </c>
      <c r="C31" s="68" t="str">
        <f>'ملخص المجموعات'!B24</f>
        <v>تحت 7</v>
      </c>
      <c r="D31" s="69" t="str">
        <f>'ملخص المجموعات'!C24</f>
        <v>مجموعة أبها</v>
      </c>
      <c r="E3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1" s="71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1" s="75">
        <f>IF('عدد اللاعبين'!$G31&lt;الحد_الأدنى,0,'عدد اللاعبين'!$G31*IFERROR(INDEX(المدخلات!$Y$3:$Y$9,MATCH('عدد اللاعبين'!$C31,المدخلات!$X$3:$X$9,0)),0))</f>
        <v>77</v>
      </c>
    </row>
    <row r="32" spans="2:8">
      <c r="B32" s="67" t="str">
        <f>IFERROR(INDEX(المكاتب_المصدر[المنطقة],MATCH('عدد اللاعبين'!$D32,المكاتب_المصدر[المجموعة],0)),"")</f>
        <v>الجوف</v>
      </c>
      <c r="C32" s="68" t="str">
        <f>'ملخص المجموعات'!B25</f>
        <v>تحت 9</v>
      </c>
      <c r="D32" s="69" t="str">
        <f>'ملخص المجموعات'!C25</f>
        <v>مجموعة القريات</v>
      </c>
      <c r="E3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2" s="71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3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2" s="76">
        <f>IF('عدد اللاعبين'!$G32&lt;الحد_الأدنى,0,'عدد اللاعبين'!$G32*IFERROR(INDEX(المدخلات!$Y$3:$Y$9,MATCH('عدد اللاعبين'!$C32,المدخلات!$X$3:$X$9,0)),0))</f>
        <v>77</v>
      </c>
    </row>
    <row r="33" spans="2:8">
      <c r="B33" s="68" t="str">
        <f>IFERROR(INDEX(المكاتب_المصدر[المنطقة],MATCH('عدد اللاعبين'!$D33,المكاتب_المصدر[المجموعة],0)),"")</f>
        <v>الجوف</v>
      </c>
      <c r="C33" s="68" t="str">
        <f>'ملخص المجموعات'!B26</f>
        <v>تحت 9</v>
      </c>
      <c r="D33" s="69" t="str">
        <f>'ملخص المجموعات'!C26</f>
        <v>مجموعة طبرجل</v>
      </c>
      <c r="E3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71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3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3" s="75">
        <f>IF('عدد اللاعبين'!$G33&lt;الحد_الأدنى,0,'عدد اللاعبين'!$G33*IFERROR(INDEX(المدخلات!$Y$3:$Y$9,MATCH('عدد اللاعبين'!$C33,المدخلات!$X$3:$X$9,0)),0))</f>
        <v>77</v>
      </c>
    </row>
    <row r="34" spans="2:8">
      <c r="B34" s="67" t="str">
        <f>IFERROR(INDEX(المكاتب_المصدر[المنطقة],MATCH('عدد اللاعبين'!$D34,المكاتب_المصدر[المجموعة],0)),"")</f>
        <v>القصيم</v>
      </c>
      <c r="C34" s="68" t="str">
        <f>'ملخص المجموعات'!B27</f>
        <v>تحت 13</v>
      </c>
      <c r="D34" s="69" t="str">
        <f>'ملخص المجموعات'!C27</f>
        <v>مجموعة الرس</v>
      </c>
      <c r="E3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71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4" s="76">
        <f>IF('عدد اللاعبين'!$G34&lt;الحد_الأدنى,0,'عدد اللاعبين'!$G34*IFERROR(INDEX(المدخلات!$Y$3:$Y$9,MATCH('عدد اللاعبين'!$C34,المدخلات!$X$3:$X$9,0)),0))</f>
        <v>140</v>
      </c>
    </row>
    <row r="35" spans="2:8">
      <c r="B35" s="68" t="str">
        <f>IFERROR(INDEX(المكاتب_المصدر[المنطقة],MATCH('عدد اللاعبين'!$D35,المكاتب_المصدر[المجموعة],0)),"")</f>
        <v>جازان</v>
      </c>
      <c r="C35" s="68" t="str">
        <f>'ملخص المجموعات'!B28</f>
        <v>تحت 13</v>
      </c>
      <c r="D35" s="69" t="str">
        <f>'ملخص المجموعات'!C28</f>
        <v>مجموعة جازان</v>
      </c>
      <c r="E3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71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3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5" s="75">
        <f>IF('عدد اللاعبين'!$G35&lt;الحد_الأدنى,0,'عدد اللاعبين'!$G35*IFERROR(INDEX(المدخلات!$Y$3:$Y$9,MATCH('عدد اللاعبين'!$C35,المدخلات!$X$3:$X$9,0)),0))</f>
        <v>140</v>
      </c>
    </row>
    <row r="36" spans="2:8">
      <c r="B36" s="67" t="str">
        <f>IFERROR(INDEX(المكاتب_المصدر[المنطقة],MATCH('عدد اللاعبين'!$D36,المكاتب_المصدر[المجموعة],0)),"")</f>
        <v>حائل</v>
      </c>
      <c r="C36" s="68" t="str">
        <f>'ملخص المجموعات'!B29</f>
        <v>تحت 14</v>
      </c>
      <c r="D36" s="69" t="str">
        <f>'ملخص المجموعات'!C29</f>
        <v>مجموعة حائل</v>
      </c>
      <c r="E3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71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6" s="76">
        <f>IF('عدد اللاعبين'!$G36&lt;الحد_الأدنى,0,'عدد اللاعبين'!$G36*IFERROR(INDEX(المدخلات!$Y$3:$Y$9,MATCH('عدد اللاعبين'!$C36,المدخلات!$X$3:$X$9,0)),0))</f>
        <v>140</v>
      </c>
    </row>
    <row r="37" spans="2:8">
      <c r="B37" s="68" t="str">
        <f>IFERROR(INDEX(المكاتب_المصدر[المنطقة],MATCH('عدد اللاعبين'!$D37,المكاتب_المصدر[المجموعة],0)),"")</f>
        <v>الرياض</v>
      </c>
      <c r="C37" s="68" t="str">
        <f>'ملخص المجموعات'!B30</f>
        <v>تحت 14</v>
      </c>
      <c r="D37" s="69" t="str">
        <f>'ملخص المجموعات'!C30</f>
        <v>مجموعة الخرج</v>
      </c>
      <c r="E3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7" s="71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3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7" s="75">
        <f>IF('عدد اللاعبين'!$G37&lt;الحد_الأدنى,0,'عدد اللاعبين'!$G37*IFERROR(INDEX(المدخلات!$Y$3:$Y$9,MATCH('عدد اللاعبين'!$C37,المدخلات!$X$3:$X$9,0)),0))</f>
        <v>140</v>
      </c>
    </row>
    <row r="38" spans="2:8">
      <c r="B38" s="67" t="str">
        <f>IFERROR(INDEX(المكاتب_المصدر[المنطقة],MATCH('عدد اللاعبين'!$D38,المكاتب_المصدر[المجموعة],0)),"")</f>
        <v>الشرقية</v>
      </c>
      <c r="C38" s="68" t="str">
        <f>'ملخص المجموعات'!B31</f>
        <v>تحت 5</v>
      </c>
      <c r="D38" s="69" t="str">
        <f>'ملخص المجموعات'!C31</f>
        <v>مجموعة مركز الرفيعة</v>
      </c>
      <c r="E3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71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3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8" s="76">
        <f>IF('عدد اللاعبين'!$G38&lt;الحد_الأدنى,0,'عدد اللاعبين'!$G38*IFERROR(INDEX(المدخلات!$Y$3:$Y$9,MATCH('عدد اللاعبين'!$C38,المدخلات!$X$3:$X$9,0)),0))</f>
        <v>64</v>
      </c>
    </row>
    <row r="39" spans="2:8">
      <c r="B39" s="68" t="str">
        <f>IFERROR(INDEX(المكاتب_المصدر[المنطقة],MATCH('عدد اللاعبين'!$D39,المكاتب_المصدر[المجموعة],0)),"")</f>
        <v>الشرقية</v>
      </c>
      <c r="C39" s="68" t="str">
        <f>'ملخص المجموعات'!B32</f>
        <v>تحت 5</v>
      </c>
      <c r="D39" s="69" t="str">
        <f>'ملخص المجموعات'!C32</f>
        <v>مجموعة القطيف</v>
      </c>
      <c r="E3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9" s="71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G3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9" s="75">
        <f>IF('عدد اللاعبين'!$G39&lt;الحد_الأدنى,0,'عدد اللاعبين'!$G39*IFERROR(INDEX(المدخلات!$Y$3:$Y$9,MATCH('عدد اللاعبين'!$C39,المدخلات!$X$3:$X$9,0)),0))</f>
        <v>64</v>
      </c>
    </row>
    <row r="40" spans="2:8">
      <c r="B40" s="67" t="str">
        <f>IFERROR(INDEX(المكاتب_المصدر[المنطقة],MATCH('عدد اللاعبين'!$D40,المكاتب_المصدر[المجموعة],0)),"")</f>
        <v>حائل</v>
      </c>
      <c r="C40" s="68" t="str">
        <f>'ملخص المجموعات'!B33</f>
        <v>تحت 7</v>
      </c>
      <c r="D40" s="69" t="str">
        <f>'ملخص المجموعات'!C33</f>
        <v>مجموعة حائل</v>
      </c>
      <c r="E4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0" s="71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4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0" s="76">
        <f>IF('عدد اللاعبين'!$G40&lt;الحد_الأدنى,0,'عدد اللاعبين'!$G40*IFERROR(INDEX(المدخلات!$Y$3:$Y$9,MATCH('عدد اللاعبين'!$C40,المدخلات!$X$3:$X$9,0)),0))</f>
        <v>88</v>
      </c>
    </row>
    <row r="41" spans="2:8">
      <c r="B41" s="68" t="str">
        <f>IFERROR(INDEX(المكاتب_المصدر[المنطقة],MATCH('عدد اللاعبين'!$D41,المكاتب_المصدر[المجموعة],0)),"")</f>
        <v>الشرقية</v>
      </c>
      <c r="C41" s="68" t="str">
        <f>'ملخص المجموعات'!B34</f>
        <v>تحت 7</v>
      </c>
      <c r="D41" s="69" t="str">
        <f>'ملخص المجموعات'!C34</f>
        <v>مجموعة مركز الرفيعة</v>
      </c>
      <c r="E4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1" s="71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4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1" s="75">
        <f>IF('عدد اللاعبين'!$G41&lt;الحد_الأدنى,0,'عدد اللاعبين'!$G41*IFERROR(INDEX(المدخلات!$Y$3:$Y$9,MATCH('عدد اللاعبين'!$C41,المدخلات!$X$3:$X$9,0)),0))</f>
        <v>88</v>
      </c>
    </row>
    <row r="42" spans="2:8">
      <c r="B42" s="67" t="str">
        <f>IFERROR(INDEX(المكاتب_المصدر[المنطقة],MATCH('عدد اللاعبين'!$D42,المكاتب_المصدر[المجموعة],0)),"")</f>
        <v>الجوف</v>
      </c>
      <c r="C42" s="68" t="str">
        <f>'ملخص المجموعات'!B35</f>
        <v>تحت 7</v>
      </c>
      <c r="D42" s="69" t="str">
        <f>'ملخص المجموعات'!C35</f>
        <v>مجموعة القريات</v>
      </c>
      <c r="E4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2" s="71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4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2" s="76">
        <f>IF('عدد اللاعبين'!$G42&lt;الحد_الأدنى,0,'عدد اللاعبين'!$G42*IFERROR(INDEX(المدخلات!$Y$3:$Y$9,MATCH('عدد اللاعبين'!$C42,المدخلات!$X$3:$X$9,0)),0))</f>
        <v>88</v>
      </c>
    </row>
    <row r="43" spans="2:8">
      <c r="B43" s="68" t="str">
        <f>IFERROR(INDEX(المكاتب_المصدر[المنطقة],MATCH('عدد اللاعبين'!$D43,المكاتب_المصدر[المجموعة],0)),"")</f>
        <v>الشرقية</v>
      </c>
      <c r="C43" s="68" t="str">
        <f>'ملخص المجموعات'!B36</f>
        <v>تحت 9</v>
      </c>
      <c r="D43" s="69" t="str">
        <f>'ملخص المجموعات'!C36</f>
        <v>مجموعة مركز الرفيعة</v>
      </c>
      <c r="E4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3" s="71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4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3" s="75">
        <f>IF('عدد اللاعبين'!$G43&lt;الحد_الأدنى,0,'عدد اللاعبين'!$G43*IFERROR(INDEX(المدخلات!$Y$3:$Y$9,MATCH('عدد اللاعبين'!$C43,المدخلات!$X$3:$X$9,0)),0))</f>
        <v>88</v>
      </c>
    </row>
    <row r="44" spans="2:8">
      <c r="B44" s="67" t="str">
        <f>IFERROR(INDEX(المكاتب_المصدر[المنطقة],MATCH('عدد اللاعبين'!$D44,المكاتب_المصدر[المجموعة],0)),"")</f>
        <v>الباحة</v>
      </c>
      <c r="C44" s="68" t="str">
        <f>'ملخص المجموعات'!B37</f>
        <v>تحت 9</v>
      </c>
      <c r="D44" s="69" t="str">
        <f>'ملخص المجموعات'!C37</f>
        <v>مجموعة الباحة</v>
      </c>
      <c r="E4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4" s="71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4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4" s="76">
        <f>IF('عدد اللاعبين'!$G44&lt;الحد_الأدنى,0,'عدد اللاعبين'!$G44*IFERROR(INDEX(المدخلات!$Y$3:$Y$9,MATCH('عدد اللاعبين'!$C44,المدخلات!$X$3:$X$9,0)),0))</f>
        <v>88</v>
      </c>
    </row>
    <row r="45" spans="2:8">
      <c r="B45" s="68" t="str">
        <f>IFERROR(INDEX(المكاتب_المصدر[المنطقة],MATCH('عدد اللاعبين'!$D45,المكاتب_المصدر[المجموعة],0)),"")</f>
        <v>جازان</v>
      </c>
      <c r="C45" s="68" t="str">
        <f>'ملخص المجموعات'!B38</f>
        <v>تحت 11</v>
      </c>
      <c r="D45" s="69" t="str">
        <f>'ملخص المجموعات'!C38</f>
        <v>مجموعة أحد المسارحة</v>
      </c>
      <c r="E4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5" s="71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4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5" s="75">
        <f>IF('عدد اللاعبين'!$G45&lt;الحد_الأدنى,0,'عدد اللاعبين'!$G45*IFERROR(INDEX(المدخلات!$Y$3:$Y$9,MATCH('عدد اللاعبين'!$C45,المدخلات!$X$3:$X$9,0)),0))</f>
        <v>88</v>
      </c>
    </row>
    <row r="46" spans="2:8">
      <c r="B46" s="67" t="str">
        <f>IFERROR(INDEX(المكاتب_المصدر[المنطقة],MATCH('عدد اللاعبين'!$D46,المكاتب_المصدر[المجموعة],0)),"")</f>
        <v>تبوك</v>
      </c>
      <c r="C46" s="68" t="str">
        <f>'ملخص المجموعات'!B39</f>
        <v>تحت 12</v>
      </c>
      <c r="D46" s="69" t="str">
        <f>'ملخص المجموعات'!C39</f>
        <v>مجموعة أملج</v>
      </c>
      <c r="E4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6" s="71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4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6" s="76">
        <f>IF('عدد اللاعبين'!$G46&lt;الحد_الأدنى,0,'عدد اللاعبين'!$G46*IFERROR(INDEX(المدخلات!$Y$3:$Y$9,MATCH('عدد اللاعبين'!$C46,المدخلات!$X$3:$X$9,0)),0))</f>
        <v>88</v>
      </c>
    </row>
    <row r="47" spans="2:8">
      <c r="B47" s="68" t="str">
        <f>IFERROR(INDEX(المكاتب_المصدر[المنطقة],MATCH('عدد اللاعبين'!$D47,المكاتب_المصدر[المجموعة],0)),"")</f>
        <v>الشرقية</v>
      </c>
      <c r="C47" s="68" t="str">
        <f>'ملخص المجموعات'!B40</f>
        <v>تحت 12</v>
      </c>
      <c r="D47" s="69" t="str">
        <f>'ملخص المجموعات'!C40</f>
        <v>مجموعة مركز الرفيعة</v>
      </c>
      <c r="E4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7" s="71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4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7" s="75">
        <f>IF('عدد اللاعبين'!$G47&lt;الحد_الأدنى,0,'عدد اللاعبين'!$G47*IFERROR(INDEX(المدخلات!$Y$3:$Y$9,MATCH('عدد اللاعبين'!$C47,المدخلات!$X$3:$X$9,0)),0))</f>
        <v>88</v>
      </c>
    </row>
    <row r="48" spans="2:8">
      <c r="B48" s="67" t="str">
        <f>IFERROR(INDEX(المكاتب_المصدر[المنطقة],MATCH('عدد اللاعبين'!$D48,المكاتب_المصدر[المجموعة],0)),"")</f>
        <v>نجران</v>
      </c>
      <c r="C48" s="68" t="str">
        <f>'ملخص المجموعات'!B41</f>
        <v>تحت 12</v>
      </c>
      <c r="D48" s="69" t="str">
        <f>'ملخص المجموعات'!C41</f>
        <v>مجموعة نجران</v>
      </c>
      <c r="E4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8" s="71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4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8" s="76">
        <f>IF('عدد اللاعبين'!$G48&lt;الحد_الأدنى,0,'عدد اللاعبين'!$G48*IFERROR(INDEX(المدخلات!$Y$3:$Y$9,MATCH('عدد اللاعبين'!$C48,المدخلات!$X$3:$X$9,0)),0))</f>
        <v>88</v>
      </c>
    </row>
    <row r="49" spans="2:8">
      <c r="B49" s="68" t="str">
        <f>IFERROR(INDEX(المكاتب_المصدر[المنطقة],MATCH('عدد اللاعبين'!$D49,المكاتب_المصدر[المجموعة],0)),"")</f>
        <v>جازان</v>
      </c>
      <c r="C49" s="68" t="str">
        <f>'ملخص المجموعات'!B42</f>
        <v>تحت 12</v>
      </c>
      <c r="D49" s="69" t="str">
        <f>'ملخص المجموعات'!C42</f>
        <v>مجموعة أحد المسارحة</v>
      </c>
      <c r="E4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71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4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49" s="75">
        <f>IF('عدد اللاعبين'!$G49&lt;الحد_الأدنى,0,'عدد اللاعبين'!$G49*IFERROR(INDEX(المدخلات!$Y$3:$Y$9,MATCH('عدد اللاعبين'!$C49,المدخلات!$X$3:$X$9,0)),0))</f>
        <v>88</v>
      </c>
    </row>
    <row r="50" spans="2:8">
      <c r="B50" s="67" t="str">
        <f>IFERROR(INDEX(المكاتب_المصدر[المنطقة],MATCH('عدد اللاعبين'!$D50,المكاتب_المصدر[المجموعة],0)),"")</f>
        <v>تبوك</v>
      </c>
      <c r="C50" s="68" t="str">
        <f>'ملخص المجموعات'!B43</f>
        <v>تحت 13</v>
      </c>
      <c r="D50" s="69" t="str">
        <f>'ملخص المجموعات'!C43</f>
        <v>مجموعة تبوك</v>
      </c>
      <c r="E5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50" s="71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5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0" s="76">
        <f>IF('عدد اللاعبين'!$G50&lt;الحد_الأدنى,0,'عدد اللاعبين'!$G50*IFERROR(INDEX(المدخلات!$Y$3:$Y$9,MATCH('عدد اللاعبين'!$C50,المدخلات!$X$3:$X$9,0)),0))</f>
        <v>160</v>
      </c>
    </row>
    <row r="51" spans="2:8">
      <c r="B51" s="68" t="str">
        <f>IFERROR(INDEX(المكاتب_المصدر[المنطقة],MATCH('عدد اللاعبين'!$D51,المكاتب_المصدر[المجموعة],0)),"")</f>
        <v>حائل</v>
      </c>
      <c r="C51" s="68" t="str">
        <f>'ملخص المجموعات'!B44</f>
        <v>تحت 13</v>
      </c>
      <c r="D51" s="69" t="str">
        <f>'ملخص المجموعات'!C44</f>
        <v>مجموعة حائل</v>
      </c>
      <c r="E5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71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1" s="75">
        <f>IF('عدد اللاعبين'!$G51&lt;الحد_الأدنى,0,'عدد اللاعبين'!$G51*IFERROR(INDEX(المدخلات!$Y$3:$Y$9,MATCH('عدد اللاعبين'!$C51,المدخلات!$X$3:$X$9,0)),0))</f>
        <v>160</v>
      </c>
    </row>
    <row r="52" spans="2:8">
      <c r="B52" s="67" t="str">
        <f>IFERROR(INDEX(المكاتب_المصدر[المنطقة],MATCH('عدد اللاعبين'!$D52,المكاتب_المصدر[المجموعة],0)),"")</f>
        <v>الشرقية</v>
      </c>
      <c r="C52" s="68" t="str">
        <f>'ملخص المجموعات'!B45</f>
        <v>تحت 13</v>
      </c>
      <c r="D52" s="69" t="str">
        <f>'ملخص المجموعات'!C45</f>
        <v>مجموعة مركز الرفيعة</v>
      </c>
      <c r="E5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2" s="71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2" s="76">
        <f>IF('عدد اللاعبين'!$G52&lt;الحد_الأدنى,0,'عدد اللاعبين'!$G52*IFERROR(INDEX(المدخلات!$Y$3:$Y$9,MATCH('عدد اللاعبين'!$C52,المدخلات!$X$3:$X$9,0)),0))</f>
        <v>160</v>
      </c>
    </row>
    <row r="53" spans="2:8">
      <c r="B53" s="68" t="str">
        <f>IFERROR(INDEX(المكاتب_المصدر[المنطقة],MATCH('عدد اللاعبين'!$D53,المكاتب_المصدر[المجموعة],0)),"")</f>
        <v>الرياض</v>
      </c>
      <c r="C53" s="68" t="str">
        <f>'ملخص المجموعات'!B46</f>
        <v>تحت 13</v>
      </c>
      <c r="D53" s="69" t="str">
        <f>'ملخص المجموعات'!C46</f>
        <v>مجموعة الخرج</v>
      </c>
      <c r="E5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53" s="71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5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3" s="75">
        <f>IF('عدد اللاعبين'!$G53&lt;الحد_الأدنى,0,'عدد اللاعبين'!$G53*IFERROR(INDEX(المدخلات!$Y$3:$Y$9,MATCH('عدد اللاعبين'!$C53,المدخلات!$X$3:$X$9,0)),0))</f>
        <v>160</v>
      </c>
    </row>
    <row r="54" spans="2:8">
      <c r="B54" s="67" t="str">
        <f>IFERROR(INDEX(المكاتب_المصدر[المنطقة],MATCH('عدد اللاعبين'!$D54,المكاتب_المصدر[المجموعة],0)),"")</f>
        <v>الجوف</v>
      </c>
      <c r="C54" s="68" t="str">
        <f>'ملخص المجموعات'!B47</f>
        <v>تحت 13</v>
      </c>
      <c r="D54" s="69" t="str">
        <f>'ملخص المجموعات'!C47</f>
        <v>مجموعة سكاكا</v>
      </c>
      <c r="E5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71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4" s="76">
        <f>IF('عدد اللاعبين'!$G54&lt;الحد_الأدنى,0,'عدد اللاعبين'!$G54*IFERROR(INDEX(المدخلات!$Y$3:$Y$9,MATCH('عدد اللاعبين'!$C54,المدخلات!$X$3:$X$9,0)),0))</f>
        <v>160</v>
      </c>
    </row>
    <row r="55" spans="2:8">
      <c r="B55" s="68" t="str">
        <f>IFERROR(INDEX(المكاتب_المصدر[المنطقة],MATCH('عدد اللاعبين'!$D55,المكاتب_المصدر[المجموعة],0)),"")</f>
        <v>جازان</v>
      </c>
      <c r="C55" s="68" t="str">
        <f>'ملخص المجموعات'!B48</f>
        <v>تحت 13</v>
      </c>
      <c r="D55" s="69" t="str">
        <f>'ملخص المجموعات'!C48</f>
        <v>مجموعة أحد المسارحة</v>
      </c>
      <c r="E5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71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5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5" s="75">
        <f>IF('عدد اللاعبين'!$G55&lt;الحد_الأدنى,0,'عدد اللاعبين'!$G55*IFERROR(INDEX(المدخلات!$Y$3:$Y$9,MATCH('عدد اللاعبين'!$C55,المدخلات!$X$3:$X$9,0)),0))</f>
        <v>160</v>
      </c>
    </row>
    <row r="56" spans="2:8">
      <c r="B56" s="67" t="str">
        <f>IFERROR(INDEX(المكاتب_المصدر[المنطقة],MATCH('عدد اللاعبين'!$D56,المكاتب_المصدر[المجموعة],0)),"")</f>
        <v>الشرقية</v>
      </c>
      <c r="C56" s="68" t="str">
        <f>'ملخص المجموعات'!B49</f>
        <v>تحت 14</v>
      </c>
      <c r="D56" s="69" t="str">
        <f>'ملخص المجموعات'!C49</f>
        <v>مجموعة مركز الرفيعة</v>
      </c>
      <c r="E5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71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6" s="76">
        <f>IF('عدد اللاعبين'!$G56&lt;الحد_الأدنى,0,'عدد اللاعبين'!$G56*IFERROR(INDEX(المدخلات!$Y$3:$Y$9,MATCH('عدد اللاعبين'!$C56,المدخلات!$X$3:$X$9,0)),0))</f>
        <v>160</v>
      </c>
    </row>
    <row r="57" spans="2:8">
      <c r="B57" s="68" t="str">
        <f>IFERROR(INDEX(المكاتب_المصدر[المنطقة],MATCH('عدد اللاعبين'!$D57,المكاتب_المصدر[المجموعة],0)),"")</f>
        <v>القصيم</v>
      </c>
      <c r="C57" s="68" t="str">
        <f>'ملخص المجموعات'!B50</f>
        <v>تحت 14</v>
      </c>
      <c r="D57" s="69" t="str">
        <f>'ملخص المجموعات'!C50</f>
        <v>مجموعة الرس</v>
      </c>
      <c r="E5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7" s="71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7" s="75">
        <f>IF('عدد اللاعبين'!$G57&lt;الحد_الأدنى,0,'عدد اللاعبين'!$G57*IFERROR(INDEX(المدخلات!$Y$3:$Y$9,MATCH('عدد اللاعبين'!$C57,المدخلات!$X$3:$X$9,0)),0))</f>
        <v>160</v>
      </c>
    </row>
    <row r="58" spans="2:8">
      <c r="B58" s="67" t="str">
        <f>IFERROR(INDEX(المكاتب_المصدر[المنطقة],MATCH('عدد اللاعبين'!$D58,المكاتب_المصدر[المجموعة],0)),"")</f>
        <v>جازان</v>
      </c>
      <c r="C58" s="68" t="str">
        <f>'ملخص المجموعات'!B51</f>
        <v>تحت 14</v>
      </c>
      <c r="D58" s="69" t="str">
        <f>'ملخص المجموعات'!C51</f>
        <v>مجموعة جازان</v>
      </c>
      <c r="E5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58" s="71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5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8" s="76">
        <f>IF('عدد اللاعبين'!$G58&lt;الحد_الأدنى,0,'عدد اللاعبين'!$G58*IFERROR(INDEX(المدخلات!$Y$3:$Y$9,MATCH('عدد اللاعبين'!$C58,المدخلات!$X$3:$X$9,0)),0))</f>
        <v>160</v>
      </c>
    </row>
    <row r="59" spans="2:8">
      <c r="B59" s="68" t="str">
        <f>IFERROR(INDEX(المكاتب_المصدر[المنطقة],MATCH('عدد اللاعبين'!$D59,المكاتب_المصدر[المجموعة],0)),"")</f>
        <v>جازان</v>
      </c>
      <c r="C59" s="68" t="str">
        <f>'ملخص المجموعات'!B52</f>
        <v>تحت 14</v>
      </c>
      <c r="D59" s="69" t="str">
        <f>'ملخص المجموعات'!C52</f>
        <v>مجموعة أحد المسارحة</v>
      </c>
      <c r="E5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9" s="71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5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59" s="75">
        <f>IF('عدد اللاعبين'!$G59&lt;الحد_الأدنى,0,'عدد اللاعبين'!$G59*IFERROR(INDEX(المدخلات!$Y$3:$Y$9,MATCH('عدد اللاعبين'!$C59,المدخلات!$X$3:$X$9,0)),0))</f>
        <v>160</v>
      </c>
    </row>
    <row r="60" spans="2:8">
      <c r="B60" s="67" t="str">
        <f>IFERROR(INDEX(المكاتب_المصدر[المنطقة],MATCH('عدد اللاعبين'!$D60,المكاتب_المصدر[المجموعة],0)),"")</f>
        <v>الشرقية</v>
      </c>
      <c r="C60" s="68" t="str">
        <f>'ملخص المجموعات'!B53</f>
        <v>تحت 5</v>
      </c>
      <c r="D60" s="69" t="str">
        <f>'ملخص المجموعات'!C53</f>
        <v>مجموعة الدمام</v>
      </c>
      <c r="E6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71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6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0" s="76">
        <f>IF('عدد اللاعبين'!$G60&lt;الحد_الأدنى,0,'عدد اللاعبين'!$G60*IFERROR(INDEX(المدخلات!$Y$3:$Y$9,MATCH('عدد اللاعبين'!$C60,المدخلات!$X$3:$X$9,0)),0))</f>
        <v>64</v>
      </c>
    </row>
    <row r="61" spans="2:8">
      <c r="B61" s="68" t="str">
        <f>IFERROR(INDEX(المكاتب_المصدر[المنطقة],MATCH('عدد اللاعبين'!$D61,المكاتب_المصدر[المجموعة],0)),"")</f>
        <v>جازان</v>
      </c>
      <c r="C61" s="68" t="str">
        <f>'ملخص المجموعات'!B54</f>
        <v>تحت 5</v>
      </c>
      <c r="D61" s="69" t="str">
        <f>'ملخص المجموعات'!C54</f>
        <v>مجموعة أحد المسارحة</v>
      </c>
      <c r="E6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71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1" s="75">
        <f>IF('عدد اللاعبين'!$G61&lt;الحد_الأدنى,0,'عدد اللاعبين'!$G61*IFERROR(INDEX(المدخلات!$Y$3:$Y$9,MATCH('عدد اللاعبين'!$C61,المدخلات!$X$3:$X$9,0)),0))</f>
        <v>72</v>
      </c>
    </row>
    <row r="62" spans="2:8">
      <c r="B62" s="67" t="str">
        <f>IFERROR(INDEX(المكاتب_المصدر[المنطقة],MATCH('عدد اللاعبين'!$D62,المكاتب_المصدر[المجموعة],0)),"")</f>
        <v>جازان</v>
      </c>
      <c r="C62" s="68" t="str">
        <f>'ملخص المجموعات'!B55</f>
        <v>تحت 5</v>
      </c>
      <c r="D62" s="69" t="str">
        <f>'ملخص المجموعات'!C55</f>
        <v>مجموعة صامطة</v>
      </c>
      <c r="E6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71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6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2" s="76">
        <f>IF('عدد اللاعبين'!$G62&lt;الحد_الأدنى,0,'عدد اللاعبين'!$G62*IFERROR(INDEX(المدخلات!$Y$3:$Y$9,MATCH('عدد اللاعبين'!$C62,المدخلات!$X$3:$X$9,0)),0))</f>
        <v>72</v>
      </c>
    </row>
    <row r="63" spans="2:8">
      <c r="B63" s="68" t="str">
        <f>IFERROR(INDEX(المكاتب_المصدر[المنطقة],MATCH('عدد اللاعبين'!$D63,المكاتب_المصدر[المجموعة],0)),"")</f>
        <v>جازان</v>
      </c>
      <c r="C63" s="68" t="str">
        <f>'ملخص المجموعات'!B56</f>
        <v>تحت 7</v>
      </c>
      <c r="D63" s="69" t="str">
        <f>'ملخص المجموعات'!C56</f>
        <v>مجموعة جازان</v>
      </c>
      <c r="E6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71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3" s="75">
        <f>IF('عدد اللاعبين'!$G63&lt;الحد_الأدنى,0,'عدد اللاعبين'!$G63*IFERROR(INDEX(المدخلات!$Y$3:$Y$9,MATCH('عدد اللاعبين'!$C63,المدخلات!$X$3:$X$9,0)),0))</f>
        <v>99</v>
      </c>
    </row>
    <row r="64" spans="2:8">
      <c r="B64" s="67" t="str">
        <f>IFERROR(INDEX(المكاتب_المصدر[المنطقة],MATCH('عدد اللاعبين'!$D64,المكاتب_المصدر[المجموعة],0)),"")</f>
        <v>جازان</v>
      </c>
      <c r="C64" s="68" t="str">
        <f>'ملخص المجموعات'!B57</f>
        <v>تحت 7</v>
      </c>
      <c r="D64" s="69" t="str">
        <f>'ملخص المجموعات'!C57</f>
        <v>مجموعة أحد المسارحة</v>
      </c>
      <c r="E6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64" s="71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6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4" s="76">
        <f>IF('عدد اللاعبين'!$G64&lt;الحد_الأدنى,0,'عدد اللاعبين'!$G64*IFERROR(INDEX(المدخلات!$Y$3:$Y$9,MATCH('عدد اللاعبين'!$C64,المدخلات!$X$3:$X$9,0)),0))</f>
        <v>99</v>
      </c>
    </row>
    <row r="65" spans="2:8">
      <c r="B65" s="68" t="str">
        <f>IFERROR(INDEX(المكاتب_المصدر[المنطقة],MATCH('عدد اللاعبين'!$D65,المكاتب_المصدر[المجموعة],0)),"")</f>
        <v>القصيم</v>
      </c>
      <c r="C65" s="68" t="str">
        <f>'ملخص المجموعات'!B58</f>
        <v>تحت 9</v>
      </c>
      <c r="D65" s="69" t="str">
        <f>'ملخص المجموعات'!C58</f>
        <v>مجموعة الرس</v>
      </c>
      <c r="E6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71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5" s="75">
        <f>IF('عدد اللاعبين'!$G65&lt;الحد_الأدنى,0,'عدد اللاعبين'!$G65*IFERROR(INDEX(المدخلات!$Y$3:$Y$9,MATCH('عدد اللاعبين'!$C65,المدخلات!$X$3:$X$9,0)),0))</f>
        <v>99</v>
      </c>
    </row>
    <row r="66" spans="2:8">
      <c r="B66" s="67" t="str">
        <f>IFERROR(INDEX(المكاتب_المصدر[المنطقة],MATCH('عدد اللاعبين'!$D66,المكاتب_المصدر[المجموعة],0)),"")</f>
        <v>مكة المكرمة</v>
      </c>
      <c r="C66" s="68" t="str">
        <f>'ملخص المجموعات'!B59</f>
        <v>تحت 9</v>
      </c>
      <c r="D66" s="69" t="str">
        <f>'ملخص المجموعات'!C59</f>
        <v>مجموعة القنفذة</v>
      </c>
      <c r="E6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6" s="71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6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6" s="76">
        <f>IF('عدد اللاعبين'!$G66&lt;الحد_الأدنى,0,'عدد اللاعبين'!$G66*IFERROR(INDEX(المدخلات!$Y$3:$Y$9,MATCH('عدد اللاعبين'!$C66,المدخلات!$X$3:$X$9,0)),0))</f>
        <v>99</v>
      </c>
    </row>
    <row r="67" spans="2:8">
      <c r="B67" s="68" t="str">
        <f>IFERROR(INDEX(المكاتب_المصدر[المنطقة],MATCH('عدد اللاعبين'!$D67,المكاتب_المصدر[المجموعة],0)),"")</f>
        <v>جازان</v>
      </c>
      <c r="C67" s="68" t="str">
        <f>'ملخص المجموعات'!B60</f>
        <v>تحت 9</v>
      </c>
      <c r="D67" s="69" t="str">
        <f>'ملخص المجموعات'!C60</f>
        <v>مجموعة أحد المسارحة</v>
      </c>
      <c r="E6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7" s="71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6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7" s="75">
        <f>IF('عدد اللاعبين'!$G67&lt;الحد_الأدنى,0,'عدد اللاعبين'!$G67*IFERROR(INDEX(المدخلات!$Y$3:$Y$9,MATCH('عدد اللاعبين'!$C67,المدخلات!$X$3:$X$9,0)),0))</f>
        <v>99</v>
      </c>
    </row>
    <row r="68" spans="2:8">
      <c r="B68" s="67" t="str">
        <f>IFERROR(INDEX(المكاتب_المصدر[المنطقة],MATCH('عدد اللاعبين'!$D68,المكاتب_المصدر[المجموعة],0)),"")</f>
        <v>تبوك</v>
      </c>
      <c r="C68" s="68" t="str">
        <f>'ملخص المجموعات'!B61</f>
        <v>تحت 11</v>
      </c>
      <c r="D68" s="69" t="str">
        <f>'ملخص المجموعات'!C61</f>
        <v>مجموعة تبوك</v>
      </c>
      <c r="E6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71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6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8" s="76">
        <f>IF('عدد اللاعبين'!$G68&lt;الحد_الأدنى,0,'عدد اللاعبين'!$G68*IFERROR(INDEX(المدخلات!$Y$3:$Y$9,MATCH('عدد اللاعبين'!$C68,المدخلات!$X$3:$X$9,0)),0))</f>
        <v>99</v>
      </c>
    </row>
    <row r="69" spans="2:8">
      <c r="B69" s="68" t="str">
        <f>IFERROR(INDEX(المكاتب_المصدر[المنطقة],MATCH('عدد اللاعبين'!$D69,المكاتب_المصدر[المجموعة],0)),"")</f>
        <v>الشرقية</v>
      </c>
      <c r="C69" s="68" t="str">
        <f>'ملخص المجموعات'!B62</f>
        <v>تحت 11</v>
      </c>
      <c r="D69" s="69" t="str">
        <f>'ملخص المجموعات'!C62</f>
        <v>مجموعة مركز الرفيعة</v>
      </c>
      <c r="E6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69" s="71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6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9" s="75">
        <f>IF('عدد اللاعبين'!$G69&lt;الحد_الأدنى,0,'عدد اللاعبين'!$G69*IFERROR(INDEX(المدخلات!$Y$3:$Y$9,MATCH('عدد اللاعبين'!$C69,المدخلات!$X$3:$X$9,0)),0))</f>
        <v>99</v>
      </c>
    </row>
    <row r="70" spans="2:8">
      <c r="B70" s="67" t="str">
        <f>IFERROR(INDEX(المكاتب_المصدر[المنطقة],MATCH('عدد اللاعبين'!$D70,المكاتب_المصدر[المجموعة],0)),"")</f>
        <v>تبوك</v>
      </c>
      <c r="C70" s="68" t="str">
        <f>'ملخص المجموعات'!B63</f>
        <v>تحت 12</v>
      </c>
      <c r="D70" s="69" t="str">
        <f>'ملخص المجموعات'!C63</f>
        <v>مجموعة تبوك</v>
      </c>
      <c r="E7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0" s="71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0" s="76">
        <f>IF('عدد اللاعبين'!$G70&lt;الحد_الأدنى,0,'عدد اللاعبين'!$G70*IFERROR(INDEX(المدخلات!$Y$3:$Y$9,MATCH('عدد اللاعبين'!$C70,المدخلات!$X$3:$X$9,0)),0))</f>
        <v>99</v>
      </c>
    </row>
    <row r="71" spans="2:8">
      <c r="B71" s="68" t="str">
        <f>IFERROR(INDEX(المكاتب_المصدر[المنطقة],MATCH('عدد اللاعبين'!$D71,المكاتب_المصدر[المجموعة],0)),"")</f>
        <v>الجوف</v>
      </c>
      <c r="C71" s="68" t="str">
        <f>'ملخص المجموعات'!B64</f>
        <v>تحت 12</v>
      </c>
      <c r="D71" s="69" t="str">
        <f>'ملخص المجموعات'!C64</f>
        <v>مجموعة سكاكا</v>
      </c>
      <c r="E7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1" s="71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1" s="75">
        <f>IF('عدد اللاعبين'!$G71&lt;الحد_الأدنى,0,'عدد اللاعبين'!$G71*IFERROR(INDEX(المدخلات!$Y$3:$Y$9,MATCH('عدد اللاعبين'!$C71,المدخلات!$X$3:$X$9,0)),0))</f>
        <v>99</v>
      </c>
    </row>
    <row r="72" spans="2:8">
      <c r="B72" s="67" t="str">
        <f>IFERROR(INDEX(المكاتب_المصدر[المنطقة],MATCH('عدد اللاعبين'!$D72,المكاتب_المصدر[المجموعة],0)),"")</f>
        <v>تبوك</v>
      </c>
      <c r="C72" s="68" t="str">
        <f>'ملخص المجموعات'!B65</f>
        <v>تحت 14</v>
      </c>
      <c r="D72" s="69" t="str">
        <f>'ملخص المجموعات'!C65</f>
        <v>مجموعة تبوك</v>
      </c>
      <c r="E7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2" s="71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7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2" s="76">
        <f>IF('عدد اللاعبين'!$G72&lt;الحد_الأدنى,0,'عدد اللاعبين'!$G72*IFERROR(INDEX(المدخلات!$Y$3:$Y$9,MATCH('عدد اللاعبين'!$C72,المدخلات!$X$3:$X$9,0)),0))</f>
        <v>200</v>
      </c>
    </row>
    <row r="73" spans="2:8">
      <c r="B73" s="68" t="str">
        <f>IFERROR(INDEX(المكاتب_المصدر[المنطقة],MATCH('عدد اللاعبين'!$D73,المكاتب_المصدر[المجموعة],0)),"")</f>
        <v>المدينة المنورة</v>
      </c>
      <c r="C73" s="68" t="str">
        <f>'ملخص المجموعات'!B66</f>
        <v>تحت 5</v>
      </c>
      <c r="D73" s="69" t="str">
        <f>'ملخص المجموعات'!C66</f>
        <v>مجموعة المدينة المنورة</v>
      </c>
      <c r="E7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3" s="71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7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3" s="75">
        <f>IF('عدد اللاعبين'!$G73&lt;الحد_الأدنى,0,'عدد اللاعبين'!$G73*IFERROR(INDEX(المدخلات!$Y$3:$Y$9,MATCH('عدد اللاعبين'!$C73,المدخلات!$X$3:$X$9,0)),0))</f>
        <v>80</v>
      </c>
    </row>
    <row r="74" spans="2:8">
      <c r="B74" s="67" t="str">
        <f>IFERROR(INDEX(المكاتب_المصدر[المنطقة],MATCH('عدد اللاعبين'!$D74,المكاتب_المصدر[المجموعة],0)),"")</f>
        <v>جازان</v>
      </c>
      <c r="C74" s="68" t="str">
        <f>'ملخص المجموعات'!B67</f>
        <v>تحت 5</v>
      </c>
      <c r="D74" s="69" t="str">
        <f>'ملخص المجموعات'!C67</f>
        <v>مجموعة جازان</v>
      </c>
      <c r="E7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4" s="71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7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4" s="76">
        <f>IF('عدد اللاعبين'!$G74&lt;الحد_الأدنى,0,'عدد اللاعبين'!$G74*IFERROR(INDEX(المدخلات!$Y$3:$Y$9,MATCH('عدد اللاعبين'!$C74,المدخلات!$X$3:$X$9,0)),0))</f>
        <v>80</v>
      </c>
    </row>
    <row r="75" spans="2:8">
      <c r="B75" s="68" t="str">
        <f>IFERROR(INDEX(المكاتب_المصدر[المنطقة],MATCH('عدد اللاعبين'!$D75,المكاتب_المصدر[المجموعة],0)),"")</f>
        <v>جازان</v>
      </c>
      <c r="C75" s="68" t="str">
        <f>'ملخص المجموعات'!B68</f>
        <v>تحت 5</v>
      </c>
      <c r="D75" s="69" t="str">
        <f>'ملخص المجموعات'!C68</f>
        <v>مجموعة أبو عريش</v>
      </c>
      <c r="E7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5" s="71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7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5" s="75">
        <f>IF('عدد اللاعبين'!$G75&lt;الحد_الأدنى,0,'عدد اللاعبين'!$G75*IFERROR(INDEX(المدخلات!$Y$3:$Y$9,MATCH('عدد اللاعبين'!$C75,المدخلات!$X$3:$X$9,0)),0))</f>
        <v>80</v>
      </c>
    </row>
    <row r="76" spans="2:8">
      <c r="B76" s="67" t="str">
        <f>IFERROR(INDEX(المكاتب_المصدر[المنطقة],MATCH('عدد اللاعبين'!$D76,المكاتب_المصدر[المجموعة],0)),"")</f>
        <v>القصيم</v>
      </c>
      <c r="C76" s="68" t="str">
        <f>'ملخص المجموعات'!B69</f>
        <v>تحت 7</v>
      </c>
      <c r="D76" s="69" t="str">
        <f>'ملخص المجموعات'!C69</f>
        <v>مجموعة القصيم</v>
      </c>
      <c r="E7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71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7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6" s="76">
        <f>IF('عدد اللاعبين'!$G76&lt;الحد_الأدنى,0,'عدد اللاعبين'!$G76*IFERROR(INDEX(المدخلات!$Y$3:$Y$9,MATCH('عدد اللاعبين'!$C76,المدخلات!$X$3:$X$9,0)),0))</f>
        <v>110</v>
      </c>
    </row>
    <row r="77" spans="2:8">
      <c r="B77" s="68" t="str">
        <f>IFERROR(INDEX(المكاتب_المصدر[المنطقة],MATCH('عدد اللاعبين'!$D77,المكاتب_المصدر[المجموعة],0)),"")</f>
        <v>جازان</v>
      </c>
      <c r="C77" s="68" t="str">
        <f>'ملخص المجموعات'!B70</f>
        <v>تحت 7</v>
      </c>
      <c r="D77" s="69" t="str">
        <f>'ملخص المجموعات'!C70</f>
        <v>مجموعة صامطة</v>
      </c>
      <c r="E7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71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7" s="75">
        <f>IF('عدد اللاعبين'!$G77&lt;الحد_الأدنى,0,'عدد اللاعبين'!$G77*IFERROR(INDEX(المدخلات!$Y$3:$Y$9,MATCH('عدد اللاعبين'!$C77,المدخلات!$X$3:$X$9,0)),0))</f>
        <v>110</v>
      </c>
    </row>
    <row r="78" spans="2:8">
      <c r="B78" s="67" t="str">
        <f>IFERROR(INDEX(المكاتب_المصدر[المنطقة],MATCH('عدد اللاعبين'!$D78,المكاتب_المصدر[المجموعة],0)),"")</f>
        <v>جازان</v>
      </c>
      <c r="C78" s="68" t="str">
        <f>'ملخص المجموعات'!B71</f>
        <v>تحت 9</v>
      </c>
      <c r="D78" s="69" t="str">
        <f>'ملخص المجموعات'!C71</f>
        <v>مجموعة صامطة</v>
      </c>
      <c r="E7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71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7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8" s="76">
        <f>IF('عدد اللاعبين'!$G78&lt;الحد_الأدنى,0,'عدد اللاعبين'!$G78*IFERROR(INDEX(المدخلات!$Y$3:$Y$9,MATCH('عدد اللاعبين'!$C78,المدخلات!$X$3:$X$9,0)),0))</f>
        <v>110</v>
      </c>
    </row>
    <row r="79" spans="2:8">
      <c r="B79" s="68" t="str">
        <f>IFERROR(INDEX(المكاتب_المصدر[المنطقة],MATCH('عدد اللاعبين'!$D79,المكاتب_المصدر[المجموعة],0)),"")</f>
        <v>الجوف</v>
      </c>
      <c r="C79" s="68" t="str">
        <f>'ملخص المجموعات'!B72</f>
        <v>تحت 11</v>
      </c>
      <c r="D79" s="69" t="str">
        <f>'ملخص المجموعات'!C72</f>
        <v>مجموعة سكاكا</v>
      </c>
      <c r="E7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9" s="71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7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9" s="75">
        <f>IF('عدد اللاعبين'!$G79&lt;الحد_الأدنى,0,'عدد اللاعبين'!$G79*IFERROR(INDEX(المدخلات!$Y$3:$Y$9,MATCH('عدد اللاعبين'!$C79,المدخلات!$X$3:$X$9,0)),0))</f>
        <v>110</v>
      </c>
    </row>
    <row r="80" spans="2:8">
      <c r="B80" s="67" t="str">
        <f>IFERROR(INDEX(المكاتب_المصدر[المنطقة],MATCH('عدد اللاعبين'!$D80,المكاتب_المصدر[المجموعة],0)),"")</f>
        <v>الرياض</v>
      </c>
      <c r="C80" s="68" t="str">
        <f>'ملخص المجموعات'!B73</f>
        <v>تحت 11</v>
      </c>
      <c r="D80" s="69" t="str">
        <f>'ملخص المجموعات'!C73</f>
        <v>مجموعة الخرج</v>
      </c>
      <c r="E8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0" s="71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8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0" s="76">
        <f>IF('عدد اللاعبين'!$G80&lt;الحد_الأدنى,0,'عدد اللاعبين'!$G80*IFERROR(INDEX(المدخلات!$Y$3:$Y$9,MATCH('عدد اللاعبين'!$C80,المدخلات!$X$3:$X$9,0)),0))</f>
        <v>110</v>
      </c>
    </row>
    <row r="81" spans="2:8">
      <c r="B81" s="68" t="str">
        <f>IFERROR(INDEX(المكاتب_المصدر[المنطقة],MATCH('عدد اللاعبين'!$D81,المكاتب_المصدر[المجموعة],0)),"")</f>
        <v>عسير</v>
      </c>
      <c r="C81" s="68" t="str">
        <f>'ملخص المجموعات'!B74</f>
        <v>تحت 11</v>
      </c>
      <c r="D81" s="69" t="str">
        <f>'ملخص المجموعات'!C74</f>
        <v>مجموعة أبها</v>
      </c>
      <c r="E8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1" s="71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8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1" s="75">
        <f>IF('عدد اللاعبين'!$G81&lt;الحد_الأدنى,0,'عدد اللاعبين'!$G81*IFERROR(INDEX(المدخلات!$Y$3:$Y$9,MATCH('عدد اللاعبين'!$C81,المدخلات!$X$3:$X$9,0)),0))</f>
        <v>110</v>
      </c>
    </row>
    <row r="82" spans="2:8">
      <c r="B82" s="67" t="str">
        <f>IFERROR(INDEX(المكاتب_المصدر[المنطقة],MATCH('عدد اللاعبين'!$D82,المكاتب_المصدر[المجموعة],0)),"")</f>
        <v>جازان</v>
      </c>
      <c r="C82" s="68" t="str">
        <f>'ملخص المجموعات'!B75</f>
        <v>تحت 11</v>
      </c>
      <c r="D82" s="69" t="str">
        <f>'ملخص المجموعات'!C75</f>
        <v>مجموعة جازان</v>
      </c>
      <c r="E8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71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8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2" s="76">
        <f>IF('عدد اللاعبين'!$G82&lt;الحد_الأدنى,0,'عدد اللاعبين'!$G82*IFERROR(INDEX(المدخلات!$Y$3:$Y$9,MATCH('عدد اللاعبين'!$C82,المدخلات!$X$3:$X$9,0)),0))</f>
        <v>110</v>
      </c>
    </row>
    <row r="83" spans="2:8">
      <c r="B83" s="68" t="str">
        <f>IFERROR(INDEX(المكاتب_المصدر[المنطقة],MATCH('عدد اللاعبين'!$D83,المكاتب_المصدر[المجموعة],0)),"")</f>
        <v>جازان</v>
      </c>
      <c r="C83" s="68" t="str">
        <f>'ملخص المجموعات'!B76</f>
        <v>تحت 11</v>
      </c>
      <c r="D83" s="69" t="str">
        <f>'ملخص المجموعات'!C76</f>
        <v>مجموعة أبو عريش</v>
      </c>
      <c r="E8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71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3" s="75">
        <f>IF('عدد اللاعبين'!$G83&lt;الحد_الأدنى,0,'عدد اللاعبين'!$G83*IFERROR(INDEX(المدخلات!$Y$3:$Y$9,MATCH('عدد اللاعبين'!$C83,المدخلات!$X$3:$X$9,0)),0))</f>
        <v>110</v>
      </c>
    </row>
    <row r="84" spans="2:8">
      <c r="B84" s="67" t="str">
        <f>IFERROR(INDEX(المكاتب_المصدر[المنطقة],MATCH('عدد اللاعبين'!$D84,المكاتب_المصدر[المجموعة],0)),"")</f>
        <v>جازان</v>
      </c>
      <c r="C84" s="68" t="str">
        <f>'ملخص المجموعات'!B77</f>
        <v>تحت 11</v>
      </c>
      <c r="D84" s="69" t="str">
        <f>'ملخص المجموعات'!C77</f>
        <v>مجموعة صامطة</v>
      </c>
      <c r="E8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4" s="71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4" s="76">
        <f>IF('عدد اللاعبين'!$G84&lt;الحد_الأدنى,0,'عدد اللاعبين'!$G84*IFERROR(INDEX(المدخلات!$Y$3:$Y$9,MATCH('عدد اللاعبين'!$C84,المدخلات!$X$3:$X$9,0)),0))</f>
        <v>110</v>
      </c>
    </row>
    <row r="85" spans="2:8">
      <c r="B85" s="68" t="str">
        <f>IFERROR(INDEX(المكاتب_المصدر[المنطقة],MATCH('عدد اللاعبين'!$D85,المكاتب_المصدر[المجموعة],0)),"")</f>
        <v>جازان</v>
      </c>
      <c r="C85" s="68" t="str">
        <f>'ملخص المجموعات'!B78</f>
        <v>تحت 12</v>
      </c>
      <c r="D85" s="69" t="str">
        <f>'ملخص المجموعات'!C78</f>
        <v>مجموعة أبو عريش</v>
      </c>
      <c r="E8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5" s="71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8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5" s="75">
        <f>IF('عدد اللاعبين'!$G85&lt;الحد_الأدنى,0,'عدد اللاعبين'!$G85*IFERROR(INDEX(المدخلات!$Y$3:$Y$9,MATCH('عدد اللاعبين'!$C85,المدخلات!$X$3:$X$9,0)),0))</f>
        <v>110</v>
      </c>
    </row>
    <row r="86" spans="2:8">
      <c r="B86" s="67" t="str">
        <f>IFERROR(INDEX(المكاتب_المصدر[المنطقة],MATCH('عدد اللاعبين'!$D86,المكاتب_المصدر[المجموعة],0)),"")</f>
        <v>جازان</v>
      </c>
      <c r="C86" s="68" t="str">
        <f>'ملخص المجموعات'!B79</f>
        <v>تحت 12</v>
      </c>
      <c r="D86" s="69" t="str">
        <f>'ملخص المجموعات'!C79</f>
        <v>مجموعة صامطة</v>
      </c>
      <c r="E8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6" s="71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6" s="76">
        <f>IF('عدد اللاعبين'!$G86&lt;الحد_الأدنى,0,'عدد اللاعبين'!$G86*IFERROR(INDEX(المدخلات!$Y$3:$Y$9,MATCH('عدد اللاعبين'!$C86,المدخلات!$X$3:$X$9,0)),0))</f>
        <v>110</v>
      </c>
    </row>
    <row r="87" spans="2:8">
      <c r="B87" s="68" t="str">
        <f>IFERROR(INDEX(المكاتب_المصدر[المنطقة],MATCH('عدد اللاعبين'!$D87,المكاتب_المصدر[المجموعة],0)),"")</f>
        <v>عسير</v>
      </c>
      <c r="C87" s="68" t="str">
        <f>'ملخص المجموعات'!B80</f>
        <v>تحت 13</v>
      </c>
      <c r="D87" s="69" t="str">
        <f>'ملخص المجموعات'!C80</f>
        <v>مجموعة أبها</v>
      </c>
      <c r="E8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7" s="71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7" s="75">
        <f>IF('عدد اللاعبين'!$G87&lt;الحد_الأدنى,0,'عدد اللاعبين'!$G87*IFERROR(INDEX(المدخلات!$Y$3:$Y$9,MATCH('عدد اللاعبين'!$C87,المدخلات!$X$3:$X$9,0)),0))</f>
        <v>200</v>
      </c>
    </row>
    <row r="88" spans="2:8">
      <c r="B88" s="67" t="str">
        <f>IFERROR(INDEX(المكاتب_المصدر[المنطقة],MATCH('عدد اللاعبين'!$D88,المكاتب_المصدر[المجموعة],0)),"")</f>
        <v>القصيم</v>
      </c>
      <c r="C88" s="68" t="str">
        <f>'ملخص المجموعات'!B81</f>
        <v>تحت 13</v>
      </c>
      <c r="D88" s="69" t="str">
        <f>'ملخص المجموعات'!C81</f>
        <v>مجموعة القصيم</v>
      </c>
      <c r="E8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71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8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8" s="76">
        <f>IF('عدد اللاعبين'!$G88&lt;الحد_الأدنى,0,'عدد اللاعبين'!$G88*IFERROR(INDEX(المدخلات!$Y$3:$Y$9,MATCH('عدد اللاعبين'!$C88,المدخلات!$X$3:$X$9,0)),0))</f>
        <v>200</v>
      </c>
    </row>
    <row r="89" spans="2:8">
      <c r="B89" s="68" t="str">
        <f>IFERROR(INDEX(المكاتب_المصدر[المنطقة],MATCH('عدد اللاعبين'!$D89,المكاتب_المصدر[المجموعة],0)),"")</f>
        <v>الشرقية</v>
      </c>
      <c r="C89" s="68" t="str">
        <f>'ملخص المجموعات'!B82</f>
        <v>تحت 13</v>
      </c>
      <c r="D89" s="69" t="str">
        <f>'ملخص المجموعات'!C82</f>
        <v>مجموعة القطيف</v>
      </c>
      <c r="E8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71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89" s="75">
        <f>IF('عدد اللاعبين'!$G89&lt;الحد_الأدنى,0,'عدد اللاعبين'!$G89*IFERROR(INDEX(المدخلات!$Y$3:$Y$9,MATCH('عدد اللاعبين'!$C89,المدخلات!$X$3:$X$9,0)),0))</f>
        <v>200</v>
      </c>
    </row>
    <row r="90" spans="2:8">
      <c r="B90" s="67" t="str">
        <f>IFERROR(INDEX(المكاتب_المصدر[المنطقة],MATCH('عدد اللاعبين'!$D90,المكاتب_المصدر[المجموعة],0)),"")</f>
        <v>جازان</v>
      </c>
      <c r="C90" s="68" t="str">
        <f>'ملخص المجموعات'!B83</f>
        <v>تحت 13</v>
      </c>
      <c r="D90" s="69" t="str">
        <f>'ملخص المجموعات'!C83</f>
        <v>مجموعة أبو عريش</v>
      </c>
      <c r="E9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71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9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90" s="76">
        <f>IF('عدد اللاعبين'!$G90&lt;الحد_الأدنى,0,'عدد اللاعبين'!$G90*IFERROR(INDEX(المدخلات!$Y$3:$Y$9,MATCH('عدد اللاعبين'!$C90,المدخلات!$X$3:$X$9,0)),0))</f>
        <v>200</v>
      </c>
    </row>
    <row r="91" spans="2:8">
      <c r="B91" s="68" t="str">
        <f>IFERROR(INDEX(المكاتب_المصدر[المنطقة],MATCH('عدد اللاعبين'!$D91,المكاتب_المصدر[المجموعة],0)),"")</f>
        <v>جازان</v>
      </c>
      <c r="C91" s="68" t="str">
        <f>'ملخص المجموعات'!B84</f>
        <v>تحت 13</v>
      </c>
      <c r="D91" s="69" t="str">
        <f>'ملخص المجموعات'!C84</f>
        <v>مجموعة صامطة</v>
      </c>
      <c r="E9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1" s="71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1" s="75">
        <f>IF('عدد اللاعبين'!$G91&lt;الحد_الأدنى,0,'عدد اللاعبين'!$G91*IFERROR(INDEX(المدخلات!$Y$3:$Y$9,MATCH('عدد اللاعبين'!$C91,المدخلات!$X$3:$X$9,0)),0))</f>
        <v>220</v>
      </c>
    </row>
    <row r="92" spans="2:8">
      <c r="B92" s="67" t="str">
        <f>IFERROR(INDEX(المكاتب_المصدر[المنطقة],MATCH('عدد اللاعبين'!$D92,المكاتب_المصدر[المجموعة],0)),"")</f>
        <v>الشرقية</v>
      </c>
      <c r="C92" s="68" t="str">
        <f>'ملخص المجموعات'!B85</f>
        <v>تحت 14</v>
      </c>
      <c r="D92" s="69" t="str">
        <f>'ملخص المجموعات'!C85</f>
        <v>مجموعة القطيف</v>
      </c>
      <c r="E9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2" s="71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9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2" s="76">
        <f>IF('عدد اللاعبين'!$G92&lt;الحد_الأدنى,0,'عدد اللاعبين'!$G92*IFERROR(INDEX(المدخلات!$Y$3:$Y$9,MATCH('عدد اللاعبين'!$C92,المدخلات!$X$3:$X$9,0)),0))</f>
        <v>220</v>
      </c>
    </row>
    <row r="93" spans="2:8">
      <c r="B93" s="68" t="str">
        <f>IFERROR(INDEX(المكاتب_المصدر[المنطقة],MATCH('عدد اللاعبين'!$D93,المكاتب_المصدر[المجموعة],0)),"")</f>
        <v>جازان</v>
      </c>
      <c r="C93" s="68" t="str">
        <f>'ملخص المجموعات'!B86</f>
        <v>تحت 14</v>
      </c>
      <c r="D93" s="69" t="str">
        <f>'ملخص المجموعات'!C86</f>
        <v>مجموعة صامطة</v>
      </c>
      <c r="E9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3" s="71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3" s="75">
        <f>IF('عدد اللاعبين'!$G93&lt;الحد_الأدنى,0,'عدد اللاعبين'!$G93*IFERROR(INDEX(المدخلات!$Y$3:$Y$9,MATCH('عدد اللاعبين'!$C93,المدخلات!$X$3:$X$9,0)),0))</f>
        <v>220</v>
      </c>
    </row>
    <row r="94" spans="2:8">
      <c r="B94" s="67" t="str">
        <f>IFERROR(INDEX(المكاتب_المصدر[المنطقة],MATCH('عدد اللاعبين'!$D94,المكاتب_المصدر[المجموعة],0)),"")</f>
        <v>جازان</v>
      </c>
      <c r="C94" s="68" t="str">
        <f>'ملخص المجموعات'!B87</f>
        <v>تحت 14</v>
      </c>
      <c r="D94" s="69" t="str">
        <f>'ملخص المجموعات'!C87</f>
        <v>مجموعة أبو عريش</v>
      </c>
      <c r="E9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71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9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4" s="76">
        <f>IF('عدد اللاعبين'!$G94&lt;الحد_الأدنى,0,'عدد اللاعبين'!$G94*IFERROR(INDEX(المدخلات!$Y$3:$Y$9,MATCH('عدد اللاعبين'!$C94,المدخلات!$X$3:$X$9,0)),0))</f>
        <v>220</v>
      </c>
    </row>
    <row r="95" spans="2:8">
      <c r="B95" s="68" t="str">
        <f>IFERROR(INDEX(المكاتب_المصدر[المنطقة],MATCH('عدد اللاعبين'!$D95,المكاتب_المصدر[المجموعة],0)),"")</f>
        <v>الشرقية</v>
      </c>
      <c r="C95" s="68" t="str">
        <f>'ملخص المجموعات'!B88</f>
        <v>تحت 7</v>
      </c>
      <c r="D95" s="69" t="str">
        <f>'ملخص المجموعات'!C88</f>
        <v>مجموعة القطيف</v>
      </c>
      <c r="E9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5" s="71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9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5" s="75">
        <f>IF('عدد اللاعبين'!$G95&lt;الحد_الأدنى,0,'عدد اللاعبين'!$G95*IFERROR(INDEX(المدخلات!$Y$3:$Y$9,MATCH('عدد اللاعبين'!$C95,المدخلات!$X$3:$X$9,0)),0))</f>
        <v>121</v>
      </c>
    </row>
    <row r="96" spans="2:8">
      <c r="B96" s="67" t="str">
        <f>IFERROR(INDEX(المكاتب_المصدر[المنطقة],MATCH('عدد اللاعبين'!$D96,المكاتب_المصدر[المجموعة],0)),"")</f>
        <v>جازان</v>
      </c>
      <c r="C96" s="68" t="str">
        <f>'ملخص المجموعات'!B89</f>
        <v>تحت 7</v>
      </c>
      <c r="D96" s="69" t="str">
        <f>'ملخص المجموعات'!C89</f>
        <v>مجموعة أبو عريش</v>
      </c>
      <c r="E9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6" s="71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9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6" s="76">
        <f>IF('عدد اللاعبين'!$G96&lt;الحد_الأدنى,0,'عدد اللاعبين'!$G96*IFERROR(INDEX(المدخلات!$Y$3:$Y$9,MATCH('عدد اللاعبين'!$C96,المدخلات!$X$3:$X$9,0)),0))</f>
        <v>121</v>
      </c>
    </row>
    <row r="97" spans="2:8">
      <c r="B97" s="68" t="str">
        <f>IFERROR(INDEX(المكاتب_المصدر[المنطقة],MATCH('عدد اللاعبين'!$D97,المكاتب_المصدر[المجموعة],0)),"")</f>
        <v>جازان</v>
      </c>
      <c r="C97" s="68" t="str">
        <f>'ملخص المجموعات'!B90</f>
        <v>تحت 9</v>
      </c>
      <c r="D97" s="69" t="str">
        <f>'ملخص المجموعات'!C90</f>
        <v>مجموعة أبو عريش</v>
      </c>
      <c r="E9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71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9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7" s="75">
        <f>IF('عدد اللاعبين'!$G97&lt;الحد_الأدنى,0,'عدد اللاعبين'!$G97*IFERROR(INDEX(المدخلات!$Y$3:$Y$9,MATCH('عدد اللاعبين'!$C97,المدخلات!$X$3:$X$9,0)),0))</f>
        <v>121</v>
      </c>
    </row>
    <row r="98" spans="2:8">
      <c r="B98" s="67" t="str">
        <f>IFERROR(INDEX(المكاتب_المصدر[المنطقة],MATCH('عدد اللاعبين'!$D98,المكاتب_المصدر[المجموعة],0)),"")</f>
        <v>القصيم</v>
      </c>
      <c r="C98" s="68" t="str">
        <f>'ملخص المجموعات'!B91</f>
        <v>تحت 11</v>
      </c>
      <c r="D98" s="69" t="str">
        <f>'ملخص المجموعات'!C91</f>
        <v>مجموعة الرس</v>
      </c>
      <c r="E9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8" s="71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9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8" s="76">
        <f>IF('عدد اللاعبين'!$G98&lt;الحد_الأدنى,0,'عدد اللاعبين'!$G98*IFERROR(INDEX(المدخلات!$Y$3:$Y$9,MATCH('عدد اللاعبين'!$C98,المدخلات!$X$3:$X$9,0)),0))</f>
        <v>121</v>
      </c>
    </row>
    <row r="99" spans="2:8">
      <c r="B99" s="68" t="str">
        <f>IFERROR(INDEX(المكاتب_المصدر[المنطقة],MATCH('عدد اللاعبين'!$D99,المكاتب_المصدر[المجموعة],0)),"")</f>
        <v>الشرقية</v>
      </c>
      <c r="C99" s="68" t="str">
        <f>'ملخص المجموعات'!B92</f>
        <v>تحت 11</v>
      </c>
      <c r="D99" s="69" t="str">
        <f>'ملخص المجموعات'!C92</f>
        <v>مجموعة الخبر</v>
      </c>
      <c r="E9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9" s="71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9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99" s="75">
        <f>IF('عدد اللاعبين'!$G99&lt;الحد_الأدنى,0,'عدد اللاعبين'!$G99*IFERROR(INDEX(المدخلات!$Y$3:$Y$9,MATCH('عدد اللاعبين'!$C99,المدخلات!$X$3:$X$9,0)),0))</f>
        <v>121</v>
      </c>
    </row>
    <row r="100" spans="2:8">
      <c r="B100" s="67" t="str">
        <f>IFERROR(INDEX(المكاتب_المصدر[المنطقة],MATCH('عدد اللاعبين'!$D100,المكاتب_المصدر[المجموعة],0)),"")</f>
        <v>القصيم</v>
      </c>
      <c r="C100" s="68" t="str">
        <f>'ملخص المجموعات'!B93</f>
        <v>تحت 12</v>
      </c>
      <c r="D100" s="69" t="str">
        <f>'ملخص المجموعات'!C93</f>
        <v>مجموعة الرس</v>
      </c>
      <c r="E10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0" s="71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0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0" s="76">
        <f>IF('عدد اللاعبين'!$G100&lt;الحد_الأدنى,0,'عدد اللاعبين'!$G100*IFERROR(INDEX(المدخلات!$Y$3:$Y$9,MATCH('عدد اللاعبين'!$C100,المدخلات!$X$3:$X$9,0)),0))</f>
        <v>132</v>
      </c>
    </row>
    <row r="101" spans="2:8">
      <c r="B101" s="68" t="str">
        <f>IFERROR(INDEX(المكاتب_المصدر[المنطقة],MATCH('عدد اللاعبين'!$D101,المكاتب_المصدر[المجموعة],0)),"")</f>
        <v>جازان</v>
      </c>
      <c r="C101" s="68" t="str">
        <f>'ملخص المجموعات'!B94</f>
        <v>تحت 12</v>
      </c>
      <c r="D101" s="69" t="str">
        <f>'ملخص المجموعات'!C94</f>
        <v>مجموعة جازان</v>
      </c>
      <c r="E10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1" s="71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0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1" s="75">
        <f>IF('عدد اللاعبين'!$G101&lt;الحد_الأدنى,0,'عدد اللاعبين'!$G101*IFERROR(INDEX(المدخلات!$Y$3:$Y$9,MATCH('عدد اللاعبين'!$C101,المدخلات!$X$3:$X$9,0)),0))</f>
        <v>132</v>
      </c>
    </row>
    <row r="102" spans="2:8">
      <c r="B102" s="67" t="str">
        <f>IFERROR(INDEX(المكاتب_المصدر[المنطقة],MATCH('عدد اللاعبين'!$D102,المكاتب_المصدر[المجموعة],0)),"")</f>
        <v>الجوف</v>
      </c>
      <c r="C102" s="68" t="str">
        <f>'ملخص المجموعات'!B95</f>
        <v>تحت 14</v>
      </c>
      <c r="D102" s="69" t="str">
        <f>'ملخص المجموعات'!C95</f>
        <v>مجموعة سكاكا</v>
      </c>
      <c r="E10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2" s="71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10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2" s="76">
        <f>IF('عدد اللاعبين'!$G102&lt;الحد_الأدنى,0,'عدد اللاعبين'!$G102*IFERROR(INDEX(المدخلات!$Y$3:$Y$9,MATCH('عدد اللاعبين'!$C102,المدخلات!$X$3:$X$9,0)),0))</f>
        <v>240</v>
      </c>
    </row>
    <row r="103" spans="2:8">
      <c r="B103" s="68" t="str">
        <f>IFERROR(INDEX(المكاتب_المصدر[المنطقة],MATCH('عدد اللاعبين'!$D103,المكاتب_المصدر[المجموعة],0)),"")</f>
        <v>مكة المكرمة</v>
      </c>
      <c r="C103" s="68" t="str">
        <f>'ملخص المجموعات'!B96</f>
        <v>تحت 14</v>
      </c>
      <c r="D103" s="69" t="str">
        <f>'ملخص المجموعات'!C96</f>
        <v>مجموعة القنفذة</v>
      </c>
      <c r="E10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3" s="71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0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3" s="75">
        <f>IF('عدد اللاعبين'!$G103&lt;الحد_الأدنى,0,'عدد اللاعبين'!$G103*IFERROR(INDEX(المدخلات!$Y$3:$Y$9,MATCH('عدد اللاعبين'!$C103,المدخلات!$X$3:$X$9,0)),0))</f>
        <v>240</v>
      </c>
    </row>
    <row r="104" spans="2:8">
      <c r="B104" s="67" t="str">
        <f>IFERROR(INDEX(المكاتب_المصدر[المنطقة],MATCH('عدد اللاعبين'!$D104,المكاتب_المصدر[المجموعة],0)),"")</f>
        <v>مكة المكرمة</v>
      </c>
      <c r="C104" s="68" t="str">
        <f>'ملخص المجموعات'!B97</f>
        <v>تحت 5</v>
      </c>
      <c r="D104" s="69" t="str">
        <f>'ملخص المجموعات'!C97</f>
        <v>مجموعة الطائف</v>
      </c>
      <c r="E10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4" s="71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0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4" s="76">
        <f>IF('عدد اللاعبين'!$G104&lt;الحد_الأدنى,0,'عدد اللاعبين'!$G104*IFERROR(INDEX(المدخلات!$Y$3:$Y$9,MATCH('عدد اللاعبين'!$C104,المدخلات!$X$3:$X$9,0)),0))</f>
        <v>96</v>
      </c>
    </row>
    <row r="105" spans="2:8">
      <c r="B105" s="68" t="str">
        <f>IFERROR(INDEX(المكاتب_المصدر[المنطقة],MATCH('عدد اللاعبين'!$D105,المكاتب_المصدر[المجموعة],0)),"")</f>
        <v>عسير</v>
      </c>
      <c r="C105" s="68" t="str">
        <f>'ملخص المجموعات'!B98</f>
        <v>تحت 9</v>
      </c>
      <c r="D105" s="69" t="str">
        <f>'ملخص المجموعات'!C98</f>
        <v>مجموعة أبها</v>
      </c>
      <c r="E10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5" s="71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0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5" s="75">
        <f>IF('عدد اللاعبين'!$G105&lt;الحد_الأدنى,0,'عدد اللاعبين'!$G105*IFERROR(INDEX(المدخلات!$Y$3:$Y$9,MATCH('عدد اللاعبين'!$C105,المدخلات!$X$3:$X$9,0)),0))</f>
        <v>132</v>
      </c>
    </row>
    <row r="106" spans="2:8">
      <c r="B106" s="67" t="str">
        <f>IFERROR(INDEX(المكاتب_المصدر[المنطقة],MATCH('عدد اللاعبين'!$D106,المكاتب_المصدر[المجموعة],0)),"")</f>
        <v>جازان</v>
      </c>
      <c r="C106" s="68" t="str">
        <f>'ملخص المجموعات'!B99</f>
        <v>تحت 9</v>
      </c>
      <c r="D106" s="69" t="str">
        <f>'ملخص المجموعات'!C99</f>
        <v>مجموعة جازان</v>
      </c>
      <c r="E10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71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6" s="76">
        <f>IF('عدد اللاعبين'!$G106&lt;الحد_الأدنى,0,'عدد اللاعبين'!$G106*IFERROR(INDEX(المدخلات!$Y$3:$Y$9,MATCH('عدد اللاعبين'!$C106,المدخلات!$X$3:$X$9,0)),0))</f>
        <v>132</v>
      </c>
    </row>
    <row r="107" spans="2:8">
      <c r="B107" s="68" t="str">
        <f>IFERROR(INDEX(المكاتب_المصدر[المنطقة],MATCH('عدد اللاعبين'!$D107,المكاتب_المصدر[المجموعة],0)),"")</f>
        <v>حائل</v>
      </c>
      <c r="C107" s="68" t="str">
        <f>'ملخص المجموعات'!B100</f>
        <v>تحت 12</v>
      </c>
      <c r="D107" s="69" t="str">
        <f>'ملخص المجموعات'!C100</f>
        <v>مجموعة حائل</v>
      </c>
      <c r="E10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7" s="71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7" s="75">
        <f>IF('عدد اللاعبين'!$G107&lt;الحد_الأدنى,0,'عدد اللاعبين'!$G107*IFERROR(INDEX(المدخلات!$Y$3:$Y$9,MATCH('عدد اللاعبين'!$C107,المدخلات!$X$3:$X$9,0)),0))</f>
        <v>132</v>
      </c>
    </row>
    <row r="108" spans="2:8">
      <c r="B108" s="67" t="str">
        <f>IFERROR(INDEX(المكاتب_المصدر[المنطقة],MATCH('عدد اللاعبين'!$D108,المكاتب_المصدر[المجموعة],0)),"")</f>
        <v>مكة المكرمة</v>
      </c>
      <c r="C108" s="68" t="str">
        <f>'ملخص المجموعات'!B101</f>
        <v>تحت 12</v>
      </c>
      <c r="D108" s="69" t="str">
        <f>'ملخص المجموعات'!C101</f>
        <v>مجموعة القنفذة</v>
      </c>
      <c r="E10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8" s="71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0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8" s="76">
        <f>IF('عدد اللاعبين'!$G108&lt;الحد_الأدنى,0,'عدد اللاعبين'!$G108*IFERROR(INDEX(المدخلات!$Y$3:$Y$9,MATCH('عدد اللاعبين'!$C108,المدخلات!$X$3:$X$9,0)),0))</f>
        <v>132</v>
      </c>
    </row>
    <row r="109" spans="2:8">
      <c r="B109" s="68" t="str">
        <f>IFERROR(INDEX(المكاتب_المصدر[المنطقة],MATCH('عدد اللاعبين'!$D109,المكاتب_المصدر[المجموعة],0)),"")</f>
        <v>الشرقية</v>
      </c>
      <c r="C109" s="68" t="str">
        <f>'ملخص المجموعات'!B102</f>
        <v>تحت 12</v>
      </c>
      <c r="D109" s="69" t="str">
        <f>'ملخص المجموعات'!C102</f>
        <v>مجموعة الخبر</v>
      </c>
      <c r="E10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71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0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09" s="75">
        <f>IF('عدد اللاعبين'!$G109&lt;الحد_الأدنى,0,'عدد اللاعبين'!$G109*IFERROR(INDEX(المدخلات!$Y$3:$Y$9,MATCH('عدد اللاعبين'!$C109,المدخلات!$X$3:$X$9,0)),0))</f>
        <v>143</v>
      </c>
    </row>
    <row r="110" spans="2:8">
      <c r="B110" s="67" t="str">
        <f>IFERROR(INDEX(المكاتب_المصدر[المنطقة],MATCH('عدد اللاعبين'!$D110,المكاتب_المصدر[المجموعة],0)),"")</f>
        <v>القصيم</v>
      </c>
      <c r="C110" s="68" t="str">
        <f>'ملخص المجموعات'!B103</f>
        <v>تحت 14</v>
      </c>
      <c r="D110" s="69" t="str">
        <f>'ملخص المجموعات'!C103</f>
        <v>مجموعة القصيم</v>
      </c>
      <c r="E11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71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1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0" s="76">
        <f>IF('عدد اللاعبين'!$G110&lt;الحد_الأدنى,0,'عدد اللاعبين'!$G110*IFERROR(INDEX(المدخلات!$Y$3:$Y$9,MATCH('عدد اللاعبين'!$C110,المدخلات!$X$3:$X$9,0)),0))</f>
        <v>260</v>
      </c>
    </row>
    <row r="111" spans="2:8">
      <c r="B111" s="68" t="str">
        <f>IFERROR(INDEX(المكاتب_المصدر[المنطقة],MATCH('عدد اللاعبين'!$D111,المكاتب_المصدر[المجموعة],0)),"")</f>
        <v>الشرقية</v>
      </c>
      <c r="C111" s="68" t="str">
        <f>'ملخص المجموعات'!B104</f>
        <v>تحت 14</v>
      </c>
      <c r="D111" s="69" t="str">
        <f>'ملخص المجموعات'!C104</f>
        <v>مجموعة الدمام</v>
      </c>
      <c r="E11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1" s="71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1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1" s="75">
        <f>IF('عدد اللاعبين'!$G111&lt;الحد_الأدنى,0,'عدد اللاعبين'!$G111*IFERROR(INDEX(المدخلات!$Y$3:$Y$9,MATCH('عدد اللاعبين'!$C111,المدخلات!$X$3:$X$9,0)),0))</f>
        <v>260</v>
      </c>
    </row>
    <row r="112" spans="2:8">
      <c r="B112" s="67" t="str">
        <f>IFERROR(INDEX(المكاتب_المصدر[المنطقة],MATCH('عدد اللاعبين'!$D112,المكاتب_المصدر[المجموعة],0)),"")</f>
        <v>الشرقية</v>
      </c>
      <c r="C112" s="68" t="str">
        <f>'ملخص المجموعات'!B105</f>
        <v>تحت 5</v>
      </c>
      <c r="D112" s="69" t="str">
        <f>'ملخص المجموعات'!C105</f>
        <v>مجموعة الخفجي</v>
      </c>
      <c r="E11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71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1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2" s="76">
        <f>IF('عدد اللاعبين'!$G112&lt;الحد_الأدنى,0,'عدد اللاعبين'!$G112*IFERROR(INDEX(المدخلات!$Y$3:$Y$9,MATCH('عدد اللاعبين'!$C112,المدخلات!$X$3:$X$9,0)),0))</f>
        <v>104</v>
      </c>
    </row>
    <row r="113" spans="2:8">
      <c r="B113" s="68" t="str">
        <f>IFERROR(INDEX(المكاتب_المصدر[المنطقة],MATCH('عدد اللاعبين'!$D113,المكاتب_المصدر[المجموعة],0)),"")</f>
        <v>الجوف</v>
      </c>
      <c r="C113" s="68" t="str">
        <f>'ملخص المجموعات'!B106</f>
        <v>تحت 5</v>
      </c>
      <c r="D113" s="69" t="str">
        <f>'ملخص المجموعات'!C106</f>
        <v>مجموعة سكاكا</v>
      </c>
      <c r="E11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3" s="71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1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3" s="75">
        <f>IF('عدد اللاعبين'!$G113&lt;الحد_الأدنى,0,'عدد اللاعبين'!$G113*IFERROR(INDEX(المدخلات!$Y$3:$Y$9,MATCH('عدد اللاعبين'!$C113,المدخلات!$X$3:$X$9,0)),0))</f>
        <v>104</v>
      </c>
    </row>
    <row r="114" spans="2:8">
      <c r="B114" s="67" t="str">
        <f>IFERROR(INDEX(المكاتب_المصدر[المنطقة],MATCH('عدد اللاعبين'!$D114,المكاتب_المصدر[المجموعة],0)),"")</f>
        <v>الجوف</v>
      </c>
      <c r="C114" s="68" t="str">
        <f>'ملخص المجموعات'!B107</f>
        <v>تحت 7</v>
      </c>
      <c r="D114" s="69" t="str">
        <f>'ملخص المجموعات'!C107</f>
        <v>مجموعة سكاكا</v>
      </c>
      <c r="E11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4" s="71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1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4" s="76">
        <f>IF('عدد اللاعبين'!$G114&lt;الحد_الأدنى,0,'عدد اللاعبين'!$G114*IFERROR(INDEX(المدخلات!$Y$3:$Y$9,MATCH('عدد اللاعبين'!$C114,المدخلات!$X$3:$X$9,0)),0))</f>
        <v>143</v>
      </c>
    </row>
    <row r="115" spans="2:8">
      <c r="B115" s="68" t="str">
        <f>IFERROR(INDEX(المكاتب_المصدر[المنطقة],MATCH('عدد اللاعبين'!$D115,المكاتب_المصدر[المجموعة],0)),"")</f>
        <v>حائل</v>
      </c>
      <c r="C115" s="68" t="str">
        <f>'ملخص المجموعات'!B108</f>
        <v>تحت 9</v>
      </c>
      <c r="D115" s="69" t="str">
        <f>'ملخص المجموعات'!C108</f>
        <v>مجموعة حائل</v>
      </c>
      <c r="E11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5" s="71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1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5" s="75">
        <f>IF('عدد اللاعبين'!$G115&lt;الحد_الأدنى,0,'عدد اللاعبين'!$G115*IFERROR(INDEX(المدخلات!$Y$3:$Y$9,MATCH('عدد اللاعبين'!$C115,المدخلات!$X$3:$X$9,0)),0))</f>
        <v>143</v>
      </c>
    </row>
    <row r="116" spans="2:8">
      <c r="B116" s="67" t="str">
        <f>IFERROR(INDEX(المكاتب_المصدر[المنطقة],MATCH('عدد اللاعبين'!$D116,المكاتب_المصدر[المجموعة],0)),"")</f>
        <v>حائل</v>
      </c>
      <c r="C116" s="68" t="str">
        <f>'ملخص المجموعات'!B109</f>
        <v>تحت 11</v>
      </c>
      <c r="D116" s="69" t="str">
        <f>'ملخص المجموعات'!C109</f>
        <v>مجموعة حائل</v>
      </c>
      <c r="E11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6" s="71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1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6" s="76">
        <f>IF('عدد اللاعبين'!$G116&lt;الحد_الأدنى,0,'عدد اللاعبين'!$G116*IFERROR(INDEX(المدخلات!$Y$3:$Y$9,MATCH('عدد اللاعبين'!$C116,المدخلات!$X$3:$X$9,0)),0))</f>
        <v>154</v>
      </c>
    </row>
    <row r="117" spans="2:8">
      <c r="B117" s="68" t="str">
        <f>IFERROR(INDEX(المكاتب_المصدر[المنطقة],MATCH('عدد اللاعبين'!$D117,المكاتب_المصدر[المجموعة],0)),"")</f>
        <v>مكة المكرمة</v>
      </c>
      <c r="C117" s="68" t="str">
        <f>'ملخص المجموعات'!B110</f>
        <v>تحت 13</v>
      </c>
      <c r="D117" s="69" t="str">
        <f>'ملخص المجموعات'!C110</f>
        <v>مجموعة القنفذة</v>
      </c>
      <c r="E11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71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1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7" s="75">
        <f>IF('عدد اللاعبين'!$G117&lt;الحد_الأدنى,0,'عدد اللاعبين'!$G117*IFERROR(INDEX(المدخلات!$Y$3:$Y$9,MATCH('عدد اللاعبين'!$C117,المدخلات!$X$3:$X$9,0)),0))</f>
        <v>280</v>
      </c>
    </row>
    <row r="118" spans="2:8">
      <c r="B118" s="67" t="str">
        <f>IFERROR(INDEX(المكاتب_المصدر[المنطقة],MATCH('عدد اللاعبين'!$D118,المكاتب_المصدر[المجموعة],0)),"")</f>
        <v>المدينة المنورة</v>
      </c>
      <c r="C118" s="68" t="str">
        <f>'ملخص المجموعات'!B111</f>
        <v>تحت 13</v>
      </c>
      <c r="D118" s="69" t="str">
        <f>'ملخص المجموعات'!C111</f>
        <v>مجموعة المدينة المنورة</v>
      </c>
      <c r="E11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8" s="71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1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8" s="76">
        <f>IF('عدد اللاعبين'!$G118&lt;الحد_الأدنى,0,'عدد اللاعبين'!$G118*IFERROR(INDEX(المدخلات!$Y$3:$Y$9,MATCH('عدد اللاعبين'!$C118,المدخلات!$X$3:$X$9,0)),0))</f>
        <v>280</v>
      </c>
    </row>
    <row r="119" spans="2:8">
      <c r="B119" s="68" t="str">
        <f>IFERROR(INDEX(المكاتب_المصدر[المنطقة],MATCH('عدد اللاعبين'!$D119,المكاتب_المصدر[المجموعة],0)),"")</f>
        <v>الشرقية</v>
      </c>
      <c r="C119" s="68" t="str">
        <f>'ملخص المجموعات'!B112</f>
        <v>تحت 5</v>
      </c>
      <c r="D119" s="69" t="str">
        <f>'ملخص المجموعات'!C112</f>
        <v>مجموعة الأحساء</v>
      </c>
      <c r="E11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9" s="71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1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19" s="75">
        <f>IF('عدد اللاعبين'!$G119&lt;الحد_الأدنى,0,'عدد اللاعبين'!$G119*IFERROR(INDEX(المدخلات!$Y$3:$Y$9,MATCH('عدد اللاعبين'!$C119,المدخلات!$X$3:$X$9,0)),0))</f>
        <v>112</v>
      </c>
    </row>
    <row r="120" spans="2:8">
      <c r="B120" s="67" t="str">
        <f>IFERROR(INDEX(المكاتب_المصدر[المنطقة],MATCH('عدد اللاعبين'!$D120,المكاتب_المصدر[المجموعة],0)),"")</f>
        <v>جازان</v>
      </c>
      <c r="C120" s="68" t="str">
        <f>'ملخص المجموعات'!B113</f>
        <v>تحت 5</v>
      </c>
      <c r="D120" s="69" t="str">
        <f>'ملخص المجموعات'!C113</f>
        <v>مجموعة صبيا</v>
      </c>
      <c r="E12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20" s="71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2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0" s="76">
        <f>IF('عدد اللاعبين'!$G120&lt;الحد_الأدنى,0,'عدد اللاعبين'!$G120*IFERROR(INDEX(المدخلات!$Y$3:$Y$9,MATCH('عدد اللاعبين'!$C120,المدخلات!$X$3:$X$9,0)),0))</f>
        <v>112</v>
      </c>
    </row>
    <row r="121" spans="2:8">
      <c r="B121" s="68" t="str">
        <f>IFERROR(INDEX(المكاتب_المصدر[المنطقة],MATCH('عدد اللاعبين'!$D121,المكاتب_المصدر[المجموعة],0)),"")</f>
        <v>الشرقية</v>
      </c>
      <c r="C121" s="68" t="str">
        <f>'ملخص المجموعات'!B114</f>
        <v>تحت 7</v>
      </c>
      <c r="D121" s="69" t="str">
        <f>'ملخص المجموعات'!C114</f>
        <v>مجموعة الخفجي</v>
      </c>
      <c r="E12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21" s="71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2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1" s="75">
        <f>IF('عدد اللاعبين'!$G121&lt;الحد_الأدنى,0,'عدد اللاعبين'!$G121*IFERROR(INDEX(المدخلات!$Y$3:$Y$9,MATCH('عدد اللاعبين'!$C121,المدخلات!$X$3:$X$9,0)),0))</f>
        <v>154</v>
      </c>
    </row>
    <row r="122" spans="2:8">
      <c r="B122" s="67" t="str">
        <f>IFERROR(INDEX(المكاتب_المصدر[المنطقة],MATCH('عدد اللاعبين'!$D122,المكاتب_المصدر[المجموعة],0)),"")</f>
        <v>مكة المكرمة</v>
      </c>
      <c r="C122" s="68" t="str">
        <f>'ملخص المجموعات'!B115</f>
        <v>تحت 7</v>
      </c>
      <c r="D122" s="69" t="str">
        <f>'ملخص المجموعات'!C115</f>
        <v>مجموعة الطائف</v>
      </c>
      <c r="E12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2" s="71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2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2" s="76">
        <f>IF('عدد اللاعبين'!$G122&lt;الحد_الأدنى,0,'عدد اللاعبين'!$G122*IFERROR(INDEX(المدخلات!$Y$3:$Y$9,MATCH('عدد اللاعبين'!$C122,المدخلات!$X$3:$X$9,0)),0))</f>
        <v>154</v>
      </c>
    </row>
    <row r="123" spans="2:8">
      <c r="B123" s="68" t="str">
        <f>IFERROR(INDEX(المكاتب_المصدر[المنطقة],MATCH('عدد اللاعبين'!$D123,المكاتب_المصدر[المجموعة],0)),"")</f>
        <v>الشرقية</v>
      </c>
      <c r="C123" s="68" t="str">
        <f>'ملخص المجموعات'!B116</f>
        <v>تحت 11</v>
      </c>
      <c r="D123" s="69" t="str">
        <f>'ملخص المجموعات'!C116</f>
        <v>مجموعة الدمام</v>
      </c>
      <c r="E12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3" s="71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2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3" s="75">
        <f>IF('عدد اللاعبين'!$G123&lt;الحد_الأدنى,0,'عدد اللاعبين'!$G123*IFERROR(INDEX(المدخلات!$Y$3:$Y$9,MATCH('عدد اللاعبين'!$C123,المدخلات!$X$3:$X$9,0)),0))</f>
        <v>154</v>
      </c>
    </row>
    <row r="124" spans="2:8">
      <c r="B124" s="67" t="str">
        <f>IFERROR(INDEX(المكاتب_المصدر[المنطقة],MATCH('عدد اللاعبين'!$D124,المكاتب_المصدر[المجموعة],0)),"")</f>
        <v>مكة المكرمة</v>
      </c>
      <c r="C124" s="68" t="str">
        <f>'ملخص المجموعات'!B117</f>
        <v>تحت 11</v>
      </c>
      <c r="D124" s="69" t="str">
        <f>'ملخص المجموعات'!C117</f>
        <v>مجموعة القنفذة</v>
      </c>
      <c r="E12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71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2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4" s="76">
        <f>IF('عدد اللاعبين'!$G124&lt;الحد_الأدنى,0,'عدد اللاعبين'!$G124*IFERROR(INDEX(المدخلات!$Y$3:$Y$9,MATCH('عدد اللاعبين'!$C124,المدخلات!$X$3:$X$9,0)),0))</f>
        <v>154</v>
      </c>
    </row>
    <row r="125" spans="2:8">
      <c r="B125" s="68" t="str">
        <f>IFERROR(INDEX(المكاتب_المصدر[المنطقة],MATCH('عدد اللاعبين'!$D125,المكاتب_المصدر[المجموعة],0)),"")</f>
        <v>الشرقية</v>
      </c>
      <c r="C125" s="68" t="str">
        <f>'ملخص المجموعات'!B118</f>
        <v>تحت 12</v>
      </c>
      <c r="D125" s="69" t="str">
        <f>'ملخص المجموعات'!C118</f>
        <v>مجموعة الدمام</v>
      </c>
      <c r="E12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25" s="71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2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25" s="75">
        <f>IF('عدد اللاعبين'!$G125&lt;الحد_الأدنى,0,'عدد اللاعبين'!$G125*IFERROR(INDEX(المدخلات!$Y$3:$Y$9,MATCH('عدد اللاعبين'!$C125,المدخلات!$X$3:$X$9,0)),0))</f>
        <v>154</v>
      </c>
    </row>
    <row r="126" spans="2:8">
      <c r="B126" s="67" t="str">
        <f>IFERROR(INDEX(المكاتب_المصدر[المنطقة],MATCH('عدد اللاعبين'!$D126,المكاتب_المصدر[المجموعة],0)),"")</f>
        <v>الرياض</v>
      </c>
      <c r="C126" s="68" t="str">
        <f>'ملخص المجموعات'!B119</f>
        <v>تحت 12</v>
      </c>
      <c r="D126" s="69" t="str">
        <f>'ملخص المجموعات'!C119</f>
        <v>مجموعة الخرج</v>
      </c>
      <c r="E12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71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2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6" s="76">
        <f>IF('عدد اللاعبين'!$G126&lt;الحد_الأدنى,0,'عدد اللاعبين'!$G126*IFERROR(INDEX(المدخلات!$Y$3:$Y$9,MATCH('عدد اللاعبين'!$C126,المدخلات!$X$3:$X$9,0)),0))</f>
        <v>165</v>
      </c>
    </row>
    <row r="127" spans="2:8">
      <c r="B127" s="68" t="str">
        <f>IFERROR(INDEX(المكاتب_المصدر[المنطقة],MATCH('عدد اللاعبين'!$D127,المكاتب_المصدر[المجموعة],0)),"")</f>
        <v>القصيم</v>
      </c>
      <c r="C127" s="68" t="str">
        <f>'ملخص المجموعات'!B120</f>
        <v>تحت 12</v>
      </c>
      <c r="D127" s="69" t="str">
        <f>'ملخص المجموعات'!C120</f>
        <v>مجموعة القصيم</v>
      </c>
      <c r="E12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7" s="71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2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7" s="75">
        <f>IF('عدد اللاعبين'!$G127&lt;الحد_الأدنى,0,'عدد اللاعبين'!$G127*IFERROR(INDEX(المدخلات!$Y$3:$Y$9,MATCH('عدد اللاعبين'!$C127,المدخلات!$X$3:$X$9,0)),0))</f>
        <v>165</v>
      </c>
    </row>
    <row r="128" spans="2:8">
      <c r="B128" s="67" t="str">
        <f>IFERROR(INDEX(المكاتب_المصدر[المنطقة],MATCH('عدد اللاعبين'!$D128,المكاتب_المصدر[المجموعة],0)),"")</f>
        <v>الشرقية</v>
      </c>
      <c r="C128" s="68" t="str">
        <f>'ملخص المجموعات'!B121</f>
        <v>تحت 13</v>
      </c>
      <c r="D128" s="69" t="str">
        <f>'ملخص المجموعات'!C121</f>
        <v>مجموعة الدمام</v>
      </c>
      <c r="E12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8" s="71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8" s="76">
        <f>IF('عدد اللاعبين'!$G128&lt;الحد_الأدنى,0,'عدد اللاعبين'!$G128*IFERROR(INDEX(المدخلات!$Y$3:$Y$9,MATCH('عدد اللاعبين'!$C128,المدخلات!$X$3:$X$9,0)),0))</f>
        <v>300</v>
      </c>
    </row>
    <row r="129" spans="2:8">
      <c r="B129" s="68" t="str">
        <f>IFERROR(INDEX(المكاتب_المصدر[المنطقة],MATCH('عدد اللاعبين'!$D129,المكاتب_المصدر[المجموعة],0)),"")</f>
        <v>جازان</v>
      </c>
      <c r="C129" s="68" t="str">
        <f>'ملخص المجموعات'!B122</f>
        <v>تحت 13</v>
      </c>
      <c r="D129" s="69" t="str">
        <f>'ملخص المجموعات'!C122</f>
        <v>مجموعة صبيا</v>
      </c>
      <c r="E12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71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2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29" s="75">
        <f>IF('عدد اللاعبين'!$G129&lt;الحد_الأدنى,0,'عدد اللاعبين'!$G129*IFERROR(INDEX(المدخلات!$Y$3:$Y$9,MATCH('عدد اللاعبين'!$C129,المدخلات!$X$3:$X$9,0)),0))</f>
        <v>300</v>
      </c>
    </row>
    <row r="130" spans="2:8">
      <c r="B130" s="67" t="str">
        <f>IFERROR(INDEX(المكاتب_المصدر[المنطقة],MATCH('عدد اللاعبين'!$D130,المكاتب_المصدر[المجموعة],0)),"")</f>
        <v>جازان</v>
      </c>
      <c r="C130" s="68" t="str">
        <f>'ملخص المجموعات'!B123</f>
        <v>تحت 14</v>
      </c>
      <c r="D130" s="69" t="str">
        <f>'ملخص المجموعات'!C123</f>
        <v>مجموعة صبيا</v>
      </c>
      <c r="E13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0" s="71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3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0" s="76">
        <f>IF('عدد اللاعبين'!$G130&lt;الحد_الأدنى,0,'عدد اللاعبين'!$G130*IFERROR(INDEX(المدخلات!$Y$3:$Y$9,MATCH('عدد اللاعبين'!$C130,المدخلات!$X$3:$X$9,0)),0))</f>
        <v>300</v>
      </c>
    </row>
    <row r="131" spans="2:8">
      <c r="B131" s="68" t="str">
        <f>IFERROR(INDEX(المكاتب_المصدر[المنطقة],MATCH('عدد اللاعبين'!$D131,المكاتب_المصدر[المجموعة],0)),"")</f>
        <v>الشرقية</v>
      </c>
      <c r="C131" s="68" t="str">
        <f>'ملخص المجموعات'!B124</f>
        <v>تحت 9</v>
      </c>
      <c r="D131" s="69" t="str">
        <f>'ملخص المجموعات'!C124</f>
        <v>مجموعة الخفجي</v>
      </c>
      <c r="E13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71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3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1" s="75">
        <f>IF('عدد اللاعبين'!$G131&lt;الحد_الأدنى,0,'عدد اللاعبين'!$G131*IFERROR(INDEX(المدخلات!$Y$3:$Y$9,MATCH('عدد اللاعبين'!$C131,المدخلات!$X$3:$X$9,0)),0))</f>
        <v>165</v>
      </c>
    </row>
    <row r="132" spans="2:8">
      <c r="B132" s="67" t="str">
        <f>IFERROR(INDEX(المكاتب_المصدر[المنطقة],MATCH('عدد اللاعبين'!$D132,المكاتب_المصدر[المجموعة],0)),"")</f>
        <v>القصيم</v>
      </c>
      <c r="C132" s="68" t="str">
        <f>'ملخص المجموعات'!B125</f>
        <v>تحت 9</v>
      </c>
      <c r="D132" s="69" t="str">
        <f>'ملخص المجموعات'!C125</f>
        <v>مجموعة القصيم</v>
      </c>
      <c r="E13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71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3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2" s="76">
        <f>IF('عدد اللاعبين'!$G132&lt;الحد_الأدنى,0,'عدد اللاعبين'!$G132*IFERROR(INDEX(المدخلات!$Y$3:$Y$9,MATCH('عدد اللاعبين'!$C132,المدخلات!$X$3:$X$9,0)),0))</f>
        <v>165</v>
      </c>
    </row>
    <row r="133" spans="2:8">
      <c r="B133" s="68" t="str">
        <f>IFERROR(INDEX(المكاتب_المصدر[المنطقة],MATCH('عدد اللاعبين'!$D133,المكاتب_المصدر[المجموعة],0)),"")</f>
        <v>الشرقية</v>
      </c>
      <c r="C133" s="68" t="str">
        <f>'ملخص المجموعات'!B126</f>
        <v>تحت 11</v>
      </c>
      <c r="D133" s="69" t="str">
        <f>'ملخص المجموعات'!C126</f>
        <v>مجموعة الخفجي</v>
      </c>
      <c r="E13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3" s="71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3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3" s="75">
        <f>IF('عدد اللاعبين'!$G133&lt;الحد_الأدنى,0,'عدد اللاعبين'!$G133*IFERROR(INDEX(المدخلات!$Y$3:$Y$9,MATCH('عدد اللاعبين'!$C133,المدخلات!$X$3:$X$9,0)),0))</f>
        <v>165</v>
      </c>
    </row>
    <row r="134" spans="2:8">
      <c r="B134" s="67" t="str">
        <f>IFERROR(INDEX(المكاتب_المصدر[المنطقة],MATCH('عدد اللاعبين'!$D134,المكاتب_المصدر[المجموعة],0)),"")</f>
        <v>مكة المكرمة</v>
      </c>
      <c r="C134" s="68" t="str">
        <f>'ملخص المجموعات'!B127</f>
        <v>تحت 11</v>
      </c>
      <c r="D134" s="69" t="str">
        <f>'ملخص المجموعات'!C127</f>
        <v>مجموعة الطائف</v>
      </c>
      <c r="E13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4" s="71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3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4" s="76">
        <f>IF('عدد اللاعبين'!$G134&lt;الحد_الأدنى,0,'عدد اللاعبين'!$G134*IFERROR(INDEX(المدخلات!$Y$3:$Y$9,MATCH('عدد اللاعبين'!$C134,المدخلات!$X$3:$X$9,0)),0))</f>
        <v>165</v>
      </c>
    </row>
    <row r="135" spans="2:8">
      <c r="B135" s="68" t="str">
        <f>IFERROR(INDEX(المكاتب_المصدر[المنطقة],MATCH('عدد اللاعبين'!$D135,المكاتب_المصدر[المجموعة],0)),"")</f>
        <v>عسير</v>
      </c>
      <c r="C135" s="68" t="str">
        <f>'ملخص المجموعات'!B128</f>
        <v>تحت 12</v>
      </c>
      <c r="D135" s="69" t="str">
        <f>'ملخص المجموعات'!C128</f>
        <v>مجموعة أبها</v>
      </c>
      <c r="E13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5" s="71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3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5" s="75">
        <f>IF('عدد اللاعبين'!$G135&lt;الحد_الأدنى,0,'عدد اللاعبين'!$G135*IFERROR(INDEX(المدخلات!$Y$3:$Y$9,MATCH('عدد اللاعبين'!$C135,المدخلات!$X$3:$X$9,0)),0))</f>
        <v>165</v>
      </c>
    </row>
    <row r="136" spans="2:8">
      <c r="B136" s="67" t="str">
        <f>IFERROR(INDEX(المكاتب_المصدر[المنطقة],MATCH('عدد اللاعبين'!$D136,المكاتب_المصدر[المجموعة],0)),"")</f>
        <v>الشرقية</v>
      </c>
      <c r="C136" s="68" t="str">
        <f>'ملخص المجموعات'!B129</f>
        <v>تحت 12</v>
      </c>
      <c r="D136" s="69" t="str">
        <f>'ملخص المجموعات'!C129</f>
        <v>مجموعة الخفجي</v>
      </c>
      <c r="E13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71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3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36" s="76">
        <f>IF('عدد اللاعبين'!$G136&lt;الحد_الأدنى,0,'عدد اللاعبين'!$G136*IFERROR(INDEX(المدخلات!$Y$3:$Y$9,MATCH('عدد اللاعبين'!$C136,المدخلات!$X$3:$X$9,0)),0))</f>
        <v>165</v>
      </c>
    </row>
    <row r="137" spans="2:8">
      <c r="B137" s="68" t="str">
        <f>IFERROR(INDEX(المكاتب_المصدر[المنطقة],MATCH('عدد اللاعبين'!$D137,المكاتب_المصدر[المجموعة],0)),"")</f>
        <v>عسير</v>
      </c>
      <c r="C137" s="68" t="str">
        <f>'ملخص المجموعات'!B130</f>
        <v>تحت 14</v>
      </c>
      <c r="D137" s="69" t="str">
        <f>'ملخص المجموعات'!C130</f>
        <v>مجموعة أبها</v>
      </c>
      <c r="E13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37" s="71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3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37" s="75">
        <f>IF('عدد اللاعبين'!$G137&lt;الحد_الأدنى,0,'عدد اللاعبين'!$G137*IFERROR(INDEX(المدخلات!$Y$3:$Y$9,MATCH('عدد اللاعبين'!$C137,المدخلات!$X$3:$X$9,0)),0))</f>
        <v>320</v>
      </c>
    </row>
    <row r="138" spans="2:8">
      <c r="B138" s="67" t="str">
        <f>IFERROR(INDEX(المكاتب_المصدر[المنطقة],MATCH('عدد اللاعبين'!$D138,المكاتب_المصدر[المجموعة],0)),"")</f>
        <v>الشرقية</v>
      </c>
      <c r="C138" s="68" t="str">
        <f>'ملخص المجموعات'!B131</f>
        <v>تحت 14</v>
      </c>
      <c r="D138" s="69" t="str">
        <f>'ملخص المجموعات'!C131</f>
        <v>مجموعة الخفجي</v>
      </c>
      <c r="E13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8" s="71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3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38" s="76">
        <f>IF('عدد اللاعبين'!$G138&lt;الحد_الأدنى,0,'عدد اللاعبين'!$G138*IFERROR(INDEX(المدخلات!$Y$3:$Y$9,MATCH('عدد اللاعبين'!$C138,المدخلات!$X$3:$X$9,0)),0))</f>
        <v>320</v>
      </c>
    </row>
    <row r="139" spans="2:8">
      <c r="B139" s="68" t="str">
        <f>IFERROR(INDEX(المكاتب_المصدر[المنطقة],MATCH('عدد اللاعبين'!$D139,المكاتب_المصدر[المجموعة],0)),"")</f>
        <v>مكة المكرمة</v>
      </c>
      <c r="C139" s="68" t="str">
        <f>'ملخص المجموعات'!B132</f>
        <v>تحت 5</v>
      </c>
      <c r="D139" s="69" t="str">
        <f>'ملخص المجموعات'!C132</f>
        <v>مجموعة مكة المكرمة</v>
      </c>
      <c r="E13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9" s="71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3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39" s="75">
        <f>IF('عدد اللاعبين'!$G139&lt;الحد_الأدنى,0,'عدد اللاعبين'!$G139*IFERROR(INDEX(المدخلات!$Y$3:$Y$9,MATCH('عدد اللاعبين'!$C139,المدخلات!$X$3:$X$9,0)),0))</f>
        <v>128</v>
      </c>
    </row>
    <row r="140" spans="2:8">
      <c r="B140" s="67" t="str">
        <f>IFERROR(INDEX(المكاتب_المصدر[المنطقة],MATCH('عدد اللاعبين'!$D140,المكاتب_المصدر[المجموعة],0)),"")</f>
        <v>جازان</v>
      </c>
      <c r="C140" s="68" t="str">
        <f>'ملخص المجموعات'!B133</f>
        <v>تحت 7</v>
      </c>
      <c r="D140" s="69" t="str">
        <f>'ملخص المجموعات'!C133</f>
        <v>مجموعة صبيا</v>
      </c>
      <c r="E14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0" s="71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4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0" s="76">
        <f>IF('عدد اللاعبين'!$G140&lt;الحد_الأدنى,0,'عدد اللاعبين'!$G140*IFERROR(INDEX(المدخلات!$Y$3:$Y$9,MATCH('عدد اللاعبين'!$C140,المدخلات!$X$3:$X$9,0)),0))</f>
        <v>176</v>
      </c>
    </row>
    <row r="141" spans="2:8">
      <c r="B141" s="68" t="str">
        <f>IFERROR(INDEX(المكاتب_المصدر[المنطقة],MATCH('عدد اللاعبين'!$D141,المكاتب_المصدر[المجموعة],0)),"")</f>
        <v>الشرقية</v>
      </c>
      <c r="C141" s="68" t="str">
        <f>'ملخص المجموعات'!B134</f>
        <v>تحت 9</v>
      </c>
      <c r="D141" s="69" t="str">
        <f>'ملخص المجموعات'!C134</f>
        <v>مجموعة القطيف</v>
      </c>
      <c r="E14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1" s="71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1" s="75">
        <f>IF('عدد اللاعبين'!$G141&lt;الحد_الأدنى,0,'عدد اللاعبين'!$G141*IFERROR(INDEX(المدخلات!$Y$3:$Y$9,MATCH('عدد اللاعبين'!$C141,المدخلات!$X$3:$X$9,0)),0))</f>
        <v>176</v>
      </c>
    </row>
    <row r="142" spans="2:8">
      <c r="B142" s="67" t="str">
        <f>IFERROR(INDEX(المكاتب_المصدر[المنطقة],MATCH('عدد اللاعبين'!$D142,المكاتب_المصدر[المجموعة],0)),"")</f>
        <v>الجوف</v>
      </c>
      <c r="C142" s="68" t="str">
        <f>'ملخص المجموعات'!B135</f>
        <v>تحت 9</v>
      </c>
      <c r="D142" s="69" t="str">
        <f>'ملخص المجموعات'!C135</f>
        <v>مجموعة سكاكا</v>
      </c>
      <c r="E14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71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4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2" s="76">
        <f>IF('عدد اللاعبين'!$G142&lt;الحد_الأدنى,0,'عدد اللاعبين'!$G142*IFERROR(INDEX(المدخلات!$Y$3:$Y$9,MATCH('عدد اللاعبين'!$C142,المدخلات!$X$3:$X$9,0)),0))</f>
        <v>176</v>
      </c>
    </row>
    <row r="143" spans="2:8">
      <c r="B143" s="68" t="str">
        <f>IFERROR(INDEX(المكاتب_المصدر[المنطقة],MATCH('عدد اللاعبين'!$D143,المكاتب_المصدر[المجموعة],0)),"")</f>
        <v>مكة المكرمة</v>
      </c>
      <c r="C143" s="68" t="str">
        <f>'ملخص المجموعات'!B136</f>
        <v>تحت 9</v>
      </c>
      <c r="D143" s="69" t="str">
        <f>'ملخص المجموعات'!C136</f>
        <v>مجموعة الطائف</v>
      </c>
      <c r="E14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3" s="71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4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3" s="75">
        <f>IF('عدد اللاعبين'!$G143&lt;الحد_الأدنى,0,'عدد اللاعبين'!$G143*IFERROR(INDEX(المدخلات!$Y$3:$Y$9,MATCH('عدد اللاعبين'!$C143,المدخلات!$X$3:$X$9,0)),0))</f>
        <v>176</v>
      </c>
    </row>
    <row r="144" spans="2:8">
      <c r="B144" s="67" t="str">
        <f>IFERROR(INDEX(المكاتب_المصدر[المنطقة],MATCH('عدد اللاعبين'!$D144,المكاتب_المصدر[المجموعة],0)),"")</f>
        <v>القصيم</v>
      </c>
      <c r="C144" s="68" t="str">
        <f>'ملخص المجموعات'!B137</f>
        <v>تحت 11</v>
      </c>
      <c r="D144" s="69" t="str">
        <f>'ملخص المجموعات'!C137</f>
        <v>مجموعة القصيم</v>
      </c>
      <c r="E14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71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4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4" s="76">
        <f>IF('عدد اللاعبين'!$G144&lt;الحد_الأدنى,0,'عدد اللاعبين'!$G144*IFERROR(INDEX(المدخلات!$Y$3:$Y$9,MATCH('عدد اللاعبين'!$C144,المدخلات!$X$3:$X$9,0)),0))</f>
        <v>176</v>
      </c>
    </row>
    <row r="145" spans="2:8">
      <c r="B145" s="68" t="str">
        <f>IFERROR(INDEX(المكاتب_المصدر[المنطقة],MATCH('عدد اللاعبين'!$D145,المكاتب_المصدر[المجموعة],0)),"")</f>
        <v>الشرقية</v>
      </c>
      <c r="C145" s="68" t="str">
        <f>'ملخص المجموعات'!B138</f>
        <v>تحت 11</v>
      </c>
      <c r="D145" s="69" t="str">
        <f>'ملخص المجموعات'!C138</f>
        <v>مجموعة القطيف</v>
      </c>
      <c r="E14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5" s="71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4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5" s="75">
        <f>IF('عدد اللاعبين'!$G145&lt;الحد_الأدنى,0,'عدد اللاعبين'!$G145*IFERROR(INDEX(المدخلات!$Y$3:$Y$9,MATCH('عدد اللاعبين'!$C145,المدخلات!$X$3:$X$9,0)),0))</f>
        <v>176</v>
      </c>
    </row>
    <row r="146" spans="2:8">
      <c r="B146" s="67" t="str">
        <f>IFERROR(INDEX(المكاتب_المصدر[المنطقة],MATCH('عدد اللاعبين'!$D146,المكاتب_المصدر[المجموعة],0)),"")</f>
        <v>جازان</v>
      </c>
      <c r="C146" s="68" t="str">
        <f>'ملخص المجموعات'!B139</f>
        <v>تحت 11</v>
      </c>
      <c r="D146" s="69" t="str">
        <f>'ملخص المجموعات'!C139</f>
        <v>مجموعة صبيا</v>
      </c>
      <c r="E14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6" s="71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4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6" s="76">
        <f>IF('عدد اللاعبين'!$G146&lt;الحد_الأدنى,0,'عدد اللاعبين'!$G146*IFERROR(INDEX(المدخلات!$Y$3:$Y$9,MATCH('عدد اللاعبين'!$C146,المدخلات!$X$3:$X$9,0)),0))</f>
        <v>176</v>
      </c>
    </row>
    <row r="147" spans="2:8">
      <c r="B147" s="68" t="str">
        <f>IFERROR(INDEX(المكاتب_المصدر[المنطقة],MATCH('عدد اللاعبين'!$D147,المكاتب_المصدر[المجموعة],0)),"")</f>
        <v>مكة المكرمة</v>
      </c>
      <c r="C147" s="68" t="str">
        <f>'ملخص المجموعات'!B140</f>
        <v>تحت 12</v>
      </c>
      <c r="D147" s="69" t="str">
        <f>'ملخص المجموعات'!C140</f>
        <v>مجموعة الطائف</v>
      </c>
      <c r="E14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7" s="71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4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7" s="75">
        <f>IF('عدد اللاعبين'!$G147&lt;الحد_الأدنى,0,'عدد اللاعبين'!$G147*IFERROR(INDEX(المدخلات!$Y$3:$Y$9,MATCH('عدد اللاعبين'!$C147,المدخلات!$X$3:$X$9,0)),0))</f>
        <v>176</v>
      </c>
    </row>
    <row r="148" spans="2:8">
      <c r="B148" s="67" t="str">
        <f>IFERROR(INDEX(المكاتب_المصدر[المنطقة],MATCH('عدد اللاعبين'!$D148,المكاتب_المصدر[المجموعة],0)),"")</f>
        <v>جازان</v>
      </c>
      <c r="C148" s="68" t="str">
        <f>'ملخص المجموعات'!B141</f>
        <v>تحت 12</v>
      </c>
      <c r="D148" s="69" t="str">
        <f>'ملخص المجموعات'!C141</f>
        <v>مجموعة صبيا</v>
      </c>
      <c r="E14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8" s="71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48" s="76">
        <f>IF('عدد اللاعبين'!$G148&lt;الحد_الأدنى,0,'عدد اللاعبين'!$G148*IFERROR(INDEX(المدخلات!$Y$3:$Y$9,MATCH('عدد اللاعبين'!$C148,المدخلات!$X$3:$X$9,0)),0))</f>
        <v>176</v>
      </c>
    </row>
    <row r="149" spans="2:8">
      <c r="B149" s="68" t="str">
        <f>IFERROR(INDEX(المكاتب_المصدر[المنطقة],MATCH('عدد اللاعبين'!$D149,المكاتب_المصدر[المجموعة],0)),"")</f>
        <v>الشرقية</v>
      </c>
      <c r="C149" s="68" t="str">
        <f>'ملخص المجموعات'!B142</f>
        <v>تحت 13</v>
      </c>
      <c r="D149" s="69" t="str">
        <f>'ملخص المجموعات'!C142</f>
        <v>مجموعة الخفجي</v>
      </c>
      <c r="E14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9" s="71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4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49" s="75">
        <f>IF('عدد اللاعبين'!$G149&lt;الحد_الأدنى,0,'عدد اللاعبين'!$G149*IFERROR(INDEX(المدخلات!$Y$3:$Y$9,MATCH('عدد اللاعبين'!$C149,المدخلات!$X$3:$X$9,0)),0))</f>
        <v>340</v>
      </c>
    </row>
    <row r="150" spans="2:8">
      <c r="B150" s="67" t="str">
        <f>IFERROR(INDEX(المكاتب_المصدر[المنطقة],MATCH('عدد اللاعبين'!$D150,المكاتب_المصدر[المجموعة],0)),"")</f>
        <v>مكة المكرمة</v>
      </c>
      <c r="C150" s="68" t="str">
        <f>'ملخص المجموعات'!B143</f>
        <v>تحت 13</v>
      </c>
      <c r="D150" s="69" t="str">
        <f>'ملخص المجموعات'!C143</f>
        <v>مجموعة الطائف</v>
      </c>
      <c r="E15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0" s="71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5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0" s="76">
        <f>IF('عدد اللاعبين'!$G150&lt;الحد_الأدنى,0,'عدد اللاعبين'!$G150*IFERROR(INDEX(المدخلات!$Y$3:$Y$9,MATCH('عدد اللاعبين'!$C150,المدخلات!$X$3:$X$9,0)),0))</f>
        <v>340</v>
      </c>
    </row>
    <row r="151" spans="2:8">
      <c r="B151" s="68" t="str">
        <f>IFERROR(INDEX(المكاتب_المصدر[المنطقة],MATCH('عدد اللاعبين'!$D151,المكاتب_المصدر[المجموعة],0)),"")</f>
        <v>المدينة المنورة</v>
      </c>
      <c r="C151" s="68" t="str">
        <f>'ملخص المجموعات'!B144</f>
        <v>تحت 14</v>
      </c>
      <c r="D151" s="69" t="str">
        <f>'ملخص المجموعات'!C144</f>
        <v>مجموعة المدينة المنورة</v>
      </c>
      <c r="E15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71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5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1" s="75">
        <f>IF('عدد اللاعبين'!$G151&lt;الحد_الأدنى,0,'عدد اللاعبين'!$G151*IFERROR(INDEX(المدخلات!$Y$3:$Y$9,MATCH('عدد اللاعبين'!$C151,المدخلات!$X$3:$X$9,0)),0))</f>
        <v>340</v>
      </c>
    </row>
    <row r="152" spans="2:8">
      <c r="B152" s="67" t="str">
        <f>IFERROR(INDEX(المكاتب_المصدر[المنطقة],MATCH('عدد اللاعبين'!$D152,المكاتب_المصدر[المجموعة],0)),"")</f>
        <v>الشرقية</v>
      </c>
      <c r="C152" s="68" t="str">
        <f>'ملخص المجموعات'!B145</f>
        <v>تحت 5</v>
      </c>
      <c r="D152" s="69" t="str">
        <f>'ملخص المجموعات'!C145</f>
        <v>مجموعة حفر الباطن</v>
      </c>
      <c r="E15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71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2" s="76">
        <f>IF('عدد اللاعبين'!$G152&lt;الحد_الأدنى,0,'عدد اللاعبين'!$G152*IFERROR(INDEX(المدخلات!$Y$3:$Y$9,MATCH('عدد اللاعبين'!$C152,المدخلات!$X$3:$X$9,0)),0))</f>
        <v>136</v>
      </c>
    </row>
    <row r="153" spans="2:8">
      <c r="B153" s="68" t="str">
        <f>IFERROR(INDEX(المكاتب_المصدر[المنطقة],MATCH('عدد اللاعبين'!$D153,المكاتب_المصدر[المجموعة],0)),"")</f>
        <v>المدينة المنورة</v>
      </c>
      <c r="C153" s="68" t="str">
        <f>'ملخص المجموعات'!B146</f>
        <v>تحت 7</v>
      </c>
      <c r="D153" s="69" t="str">
        <f>'ملخص المجموعات'!C146</f>
        <v>مجموعة المدينة المنورة</v>
      </c>
      <c r="E15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3" s="71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5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3" s="75">
        <f>IF('عدد اللاعبين'!$G153&lt;الحد_الأدنى,0,'عدد اللاعبين'!$G153*IFERROR(INDEX(المدخلات!$Y$3:$Y$9,MATCH('عدد اللاعبين'!$C153,المدخلات!$X$3:$X$9,0)),0))</f>
        <v>198</v>
      </c>
    </row>
    <row r="154" spans="2:8">
      <c r="B154" s="67" t="str">
        <f>IFERROR(INDEX(المكاتب_المصدر[المنطقة],MATCH('عدد اللاعبين'!$D154,المكاتب_المصدر[المجموعة],0)),"")</f>
        <v>الشرقية</v>
      </c>
      <c r="C154" s="68" t="str">
        <f>'ملخص المجموعات'!B147</f>
        <v>تحت 7</v>
      </c>
      <c r="D154" s="69" t="str">
        <f>'ملخص المجموعات'!C147</f>
        <v>مجموعة الدمام</v>
      </c>
      <c r="E15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71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5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4" s="76">
        <f>IF('عدد اللاعبين'!$G154&lt;الحد_الأدنى,0,'عدد اللاعبين'!$G154*IFERROR(INDEX(المدخلات!$Y$3:$Y$9,MATCH('عدد اللاعبين'!$C154,المدخلات!$X$3:$X$9,0)),0))</f>
        <v>198</v>
      </c>
    </row>
    <row r="155" spans="2:8">
      <c r="B155" s="68" t="str">
        <f>IFERROR(INDEX(المكاتب_المصدر[المنطقة],MATCH('عدد اللاعبين'!$D155,المكاتب_المصدر[المجموعة],0)),"")</f>
        <v>جازان</v>
      </c>
      <c r="C155" s="68" t="str">
        <f>'ملخص المجموعات'!B148</f>
        <v>تحت 9</v>
      </c>
      <c r="D155" s="69" t="str">
        <f>'ملخص المجموعات'!C148</f>
        <v>مجموعة صبيا</v>
      </c>
      <c r="E15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5" s="71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5" s="75">
        <f>IF('عدد اللاعبين'!$G155&lt;الحد_الأدنى,0,'عدد اللاعبين'!$G155*IFERROR(INDEX(المدخلات!$Y$3:$Y$9,MATCH('عدد اللاعبين'!$C155,المدخلات!$X$3:$X$9,0)),0))</f>
        <v>209</v>
      </c>
    </row>
    <row r="156" spans="2:8">
      <c r="B156" s="67" t="str">
        <f>IFERROR(INDEX(المكاتب_المصدر[المنطقة],MATCH('عدد اللاعبين'!$D156,المكاتب_المصدر[المجموعة],0)),"")</f>
        <v>الشرقية</v>
      </c>
      <c r="C156" s="68" t="str">
        <f>'ملخص المجموعات'!B149</f>
        <v>تحت 13</v>
      </c>
      <c r="D156" s="69" t="str">
        <f>'ملخص المجموعات'!C149</f>
        <v>مجموعة حفر الباطن</v>
      </c>
      <c r="E15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71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6" s="76">
        <f>IF('عدد اللاعبين'!$G156&lt;الحد_الأدنى,0,'عدد اللاعبين'!$G156*IFERROR(INDEX(المدخلات!$Y$3:$Y$9,MATCH('عدد اللاعبين'!$C156,المدخلات!$X$3:$X$9,0)),0))</f>
        <v>380</v>
      </c>
    </row>
    <row r="157" spans="2:8">
      <c r="B157" s="68" t="str">
        <f>IFERROR(INDEX(المكاتب_المصدر[المنطقة],MATCH('عدد اللاعبين'!$D157,المكاتب_المصدر[المجموعة],0)),"")</f>
        <v>مكة المكرمة</v>
      </c>
      <c r="C157" s="68" t="str">
        <f>'ملخص المجموعات'!B150</f>
        <v>تحت 14</v>
      </c>
      <c r="D157" s="69" t="str">
        <f>'ملخص المجموعات'!C150</f>
        <v>مجموعة الطائف</v>
      </c>
      <c r="E15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7" s="71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57" s="75">
        <f>IF('عدد اللاعبين'!$G157&lt;الحد_الأدنى,0,'عدد اللاعبين'!$G157*IFERROR(INDEX(المدخلات!$Y$3:$Y$9,MATCH('عدد اللاعبين'!$C157,المدخلات!$X$3:$X$9,0)),0))</f>
        <v>420</v>
      </c>
    </row>
    <row r="158" spans="2:8">
      <c r="B158" s="67" t="str">
        <f>IFERROR(INDEX(المكاتب_المصدر[المنطقة],MATCH('عدد اللاعبين'!$D158,المكاتب_المصدر[المجموعة],0)),"")</f>
        <v>الرياض</v>
      </c>
      <c r="C158" s="68" t="str">
        <f>'ملخص المجموعات'!B151</f>
        <v>تحت 5</v>
      </c>
      <c r="D158" s="69" t="str">
        <f>'ملخص المجموعات'!C151</f>
        <v>مجموعة الرياض</v>
      </c>
      <c r="E15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8" s="71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5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58" s="76">
        <f>IF('عدد اللاعبين'!$G158&lt;الحد_الأدنى,0,'عدد اللاعبين'!$G158*IFERROR(INDEX(المدخلات!$Y$3:$Y$9,MATCH('عدد اللاعبين'!$C158,المدخلات!$X$3:$X$9,0)),0))</f>
        <v>168</v>
      </c>
    </row>
    <row r="159" spans="2:8">
      <c r="B159" s="68" t="str">
        <f>IFERROR(INDEX(المكاتب_المصدر[المنطقة],MATCH('عدد اللاعبين'!$D159,المكاتب_المصدر[المجموعة],0)),"")</f>
        <v>الشرقية</v>
      </c>
      <c r="C159" s="68" t="str">
        <f>'ملخص المجموعات'!B152</f>
        <v>تحت 7</v>
      </c>
      <c r="D159" s="69" t="str">
        <f>'ملخص المجموعات'!C152</f>
        <v>مجموعة حفر الباطن</v>
      </c>
      <c r="E15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71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59" s="75">
        <f>IF('عدد اللاعبين'!$G159&lt;الحد_الأدنى,0,'عدد اللاعبين'!$G159*IFERROR(INDEX(المدخلات!$Y$3:$Y$9,MATCH('عدد اللاعبين'!$C159,المدخلات!$X$3:$X$9,0)),0))</f>
        <v>242</v>
      </c>
    </row>
    <row r="160" spans="2:8">
      <c r="B160" s="67" t="str">
        <f>IFERROR(INDEX(المكاتب_المصدر[المنطقة],MATCH('عدد اللاعبين'!$D160,المكاتب_المصدر[المجموعة],0)),"")</f>
        <v>الشرقية</v>
      </c>
      <c r="C160" s="68" t="str">
        <f>'ملخص المجموعات'!B153</f>
        <v>تحت 12</v>
      </c>
      <c r="D160" s="69" t="str">
        <f>'ملخص المجموعات'!C153</f>
        <v>مجموعة القطيف</v>
      </c>
      <c r="E16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71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6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60" s="76">
        <f>IF('عدد اللاعبين'!$G160&lt;الحد_الأدنى,0,'عدد اللاعبين'!$G160*IFERROR(INDEX(المدخلات!$Y$3:$Y$9,MATCH('عدد اللاعبين'!$C160,المدخلات!$X$3:$X$9,0)),0))</f>
        <v>242</v>
      </c>
    </row>
    <row r="161" spans="2:8">
      <c r="B161" s="68" t="str">
        <f>IFERROR(INDEX(المكاتب_المصدر[المنطقة],MATCH('عدد اللاعبين'!$D161,المكاتب_المصدر[المجموعة],0)),"")</f>
        <v>الشرقية</v>
      </c>
      <c r="C161" s="68" t="str">
        <f>'ملخص المجموعات'!B154</f>
        <v>تحت 7</v>
      </c>
      <c r="D161" s="69" t="str">
        <f>'ملخص المجموعات'!C154</f>
        <v>مجموعة الأحساء</v>
      </c>
      <c r="E16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71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61" s="75">
        <f>IF('عدد اللاعبين'!$G161&lt;الحد_الأدنى,0,'عدد اللاعبين'!$G161*IFERROR(INDEX(المدخلات!$Y$3:$Y$9,MATCH('عدد اللاعبين'!$C161,المدخلات!$X$3:$X$9,0)),0))</f>
        <v>253</v>
      </c>
    </row>
    <row r="162" spans="2:8">
      <c r="B162" s="67" t="str">
        <f>IFERROR(INDEX(المكاتب_المصدر[المنطقة],MATCH('عدد اللاعبين'!$D162,المكاتب_المصدر[المجموعة],0)),"")</f>
        <v>الشرقية</v>
      </c>
      <c r="C162" s="68" t="str">
        <f>'ملخص المجموعات'!B155</f>
        <v>تحت 14</v>
      </c>
      <c r="D162" s="69" t="str">
        <f>'ملخص المجموعات'!C155</f>
        <v>مجموعة حفر الباطن</v>
      </c>
      <c r="E16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2" s="71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2" s="76">
        <f>IF('عدد اللاعبين'!$G162&lt;الحد_الأدنى,0,'عدد اللاعبين'!$G162*IFERROR(INDEX(المدخلات!$Y$3:$Y$9,MATCH('عدد اللاعبين'!$C162,المدخلات!$X$3:$X$9,0)),0))</f>
        <v>480</v>
      </c>
    </row>
    <row r="163" spans="2:8">
      <c r="B163" s="68" t="str">
        <f>IFERROR(INDEX(المكاتب_المصدر[المنطقة],MATCH('عدد اللاعبين'!$D163,المكاتب_المصدر[المجموعة],0)),"")</f>
        <v>الشرقية</v>
      </c>
      <c r="C163" s="68" t="str">
        <f>'ملخص المجموعات'!B156</f>
        <v>تحت 9</v>
      </c>
      <c r="D163" s="69" t="str">
        <f>'ملخص المجموعات'!C156</f>
        <v>مجموعة حفر الباطن</v>
      </c>
      <c r="E16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3" s="71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163" s="75">
        <f>IF('عدد اللاعبين'!$G163&lt;الحد_الأدنى,0,'عدد اللاعبين'!$G163*IFERROR(INDEX(المدخلات!$Y$3:$Y$9,MATCH('عدد اللاعبين'!$C163,المدخلات!$X$3:$X$9,0)),0))</f>
        <v>275</v>
      </c>
    </row>
    <row r="164" spans="2:8">
      <c r="B164" s="67" t="str">
        <f>IFERROR(INDEX(المكاتب_المصدر[المنطقة],MATCH('عدد اللاعبين'!$D164,المكاتب_المصدر[المجموعة],0)),"")</f>
        <v>الشرقية</v>
      </c>
      <c r="C164" s="68" t="str">
        <f>'ملخص المجموعات'!B157</f>
        <v>تحت 11</v>
      </c>
      <c r="D164" s="69" t="str">
        <f>'ملخص المجموعات'!C157</f>
        <v>مجموعة حفر الباطن</v>
      </c>
      <c r="E16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71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164" s="76">
        <f>IF('عدد اللاعبين'!$G164&lt;الحد_الأدنى,0,'عدد اللاعبين'!$G164*IFERROR(INDEX(المدخلات!$Y$3:$Y$9,MATCH('عدد اللاعبين'!$C164,المدخلات!$X$3:$X$9,0)),0))</f>
        <v>275</v>
      </c>
    </row>
    <row r="165" spans="2:8">
      <c r="B165" s="68" t="str">
        <f>IFERROR(INDEX(المكاتب_المصدر[المنطقة],MATCH('عدد اللاعبين'!$D165,المكاتب_المصدر[المجموعة],0)),"")</f>
        <v>مكة المكرمة</v>
      </c>
      <c r="C165" s="68" t="str">
        <f>'ملخص المجموعات'!B158</f>
        <v>تحت 7</v>
      </c>
      <c r="D165" s="69" t="str">
        <f>'ملخص المجموعات'!C158</f>
        <v>مجموعة مكة المكرمة</v>
      </c>
      <c r="E16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5" s="71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65" s="75">
        <f>IF('عدد اللاعبين'!$G165&lt;الحد_الأدنى,0,'عدد اللاعبين'!$G165*IFERROR(INDEX(المدخلات!$Y$3:$Y$9,MATCH('عدد اللاعبين'!$C165,المدخلات!$X$3:$X$9,0)),0))</f>
        <v>286</v>
      </c>
    </row>
    <row r="166" spans="2:8">
      <c r="B166" s="67" t="str">
        <f>IFERROR(INDEX(المكاتب_المصدر[المنطقة],MATCH('عدد اللاعبين'!$D166,المكاتب_المصدر[المجموعة],0)),"")</f>
        <v>الشرقية</v>
      </c>
      <c r="C166" s="68" t="str">
        <f>'ملخص المجموعات'!B159</f>
        <v>تحت 12</v>
      </c>
      <c r="D166" s="69" t="str">
        <f>'ملخص المجموعات'!C159</f>
        <v>مجموعة حفر الباطن</v>
      </c>
      <c r="E16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6" s="71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166" s="76">
        <f>IF('عدد اللاعبين'!$G166&lt;الحد_الأدنى,0,'عدد اللاعبين'!$G166*IFERROR(INDEX(المدخلات!$Y$3:$Y$9,MATCH('عدد اللاعبين'!$C166,المدخلات!$X$3:$X$9,0)),0))</f>
        <v>297</v>
      </c>
    </row>
    <row r="167" spans="2:8">
      <c r="B167" s="68" t="str">
        <f>IFERROR(INDEX(المكاتب_المصدر[المنطقة],MATCH('عدد اللاعبين'!$D167,المكاتب_المصدر[المجموعة],0)),"")</f>
        <v>مكة المكرمة</v>
      </c>
      <c r="C167" s="68" t="str">
        <f>'ملخص المجموعات'!B160</f>
        <v>تحت 5</v>
      </c>
      <c r="D167" s="69" t="str">
        <f>'ملخص المجموعات'!C160</f>
        <v>مجموعة جدة</v>
      </c>
      <c r="E16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7" s="71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6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167" s="75">
        <f>IF('عدد اللاعبين'!$G167&lt;الحد_الأدنى,0,'عدد اللاعبين'!$G167*IFERROR(INDEX(المدخلات!$Y$3:$Y$9,MATCH('عدد اللاعبين'!$C167,المدخلات!$X$3:$X$9,0)),0))</f>
        <v>216</v>
      </c>
    </row>
    <row r="168" spans="2:8">
      <c r="B168" s="67" t="str">
        <f>IFERROR(INDEX(المكاتب_المصدر[المنطقة],MATCH('عدد اللاعبين'!$D168,المكاتب_المصدر[المجموعة],0)),"")</f>
        <v>المدينة المنورة</v>
      </c>
      <c r="C168" s="68" t="str">
        <f>'ملخص المجموعات'!B161</f>
        <v>تحت 11</v>
      </c>
      <c r="D168" s="69" t="str">
        <f>'ملخص المجموعات'!C161</f>
        <v>مجموعة المدينة المنورة</v>
      </c>
      <c r="E16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71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168" s="76">
        <f>IF('عدد اللاعبين'!$G168&lt;الحد_الأدنى,0,'عدد اللاعبين'!$G168*IFERROR(INDEX(المدخلات!$Y$3:$Y$9,MATCH('عدد اللاعبين'!$C168,المدخلات!$X$3:$X$9,0)),0))</f>
        <v>308</v>
      </c>
    </row>
    <row r="169" spans="2:8">
      <c r="B169" s="68" t="str">
        <f>IFERROR(INDEX(المكاتب_المصدر[المنطقة],MATCH('عدد اللاعبين'!$D169,المكاتب_المصدر[المجموعة],0)),"")</f>
        <v>مكة المكرمة</v>
      </c>
      <c r="C169" s="68" t="str">
        <f>'ملخص المجموعات'!B162</f>
        <v>تحت 13</v>
      </c>
      <c r="D169" s="69" t="str">
        <f>'ملخص المجموعات'!C162</f>
        <v>مجموعة مكة المكرمة</v>
      </c>
      <c r="E16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9" s="71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169" s="75">
        <f>IF('عدد اللاعبين'!$G169&lt;الحد_الأدنى,0,'عدد اللاعبين'!$G169*IFERROR(INDEX(المدخلات!$Y$3:$Y$9,MATCH('عدد اللاعبين'!$C169,المدخلات!$X$3:$X$9,0)),0))</f>
        <v>560</v>
      </c>
    </row>
    <row r="170" spans="2:8">
      <c r="B170" s="67" t="str">
        <f>IFERROR(INDEX(المكاتب_المصدر[المنطقة],MATCH('عدد اللاعبين'!$D170,المكاتب_المصدر[المجموعة],0)),"")</f>
        <v>المدينة المنورة</v>
      </c>
      <c r="C170" s="68" t="str">
        <f>'ملخص المجموعات'!B163</f>
        <v>تحت 12</v>
      </c>
      <c r="D170" s="69" t="str">
        <f>'ملخص المجموعات'!C163</f>
        <v>مجموعة المدينة المنورة</v>
      </c>
      <c r="E17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0" s="71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7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170" s="76">
        <f>IF('عدد اللاعبين'!$G170&lt;الحد_الأدنى,0,'عدد اللاعبين'!$G170*IFERROR(INDEX(المدخلات!$Y$3:$Y$9,MATCH('عدد اللاعبين'!$C170,المدخلات!$X$3:$X$9,0)),0))</f>
        <v>319</v>
      </c>
    </row>
    <row r="171" spans="2:8">
      <c r="B171" s="68" t="str">
        <f>IFERROR(INDEX(المكاتب_المصدر[المنطقة],MATCH('عدد اللاعبين'!$D171,المكاتب_المصدر[المجموعة],0)),"")</f>
        <v>المدينة المنورة</v>
      </c>
      <c r="C171" s="68" t="str">
        <f>'ملخص المجموعات'!B164</f>
        <v>تحت 9</v>
      </c>
      <c r="D171" s="69" t="str">
        <f>'ملخص المجموعات'!C164</f>
        <v>مجموعة المدينة المنورة</v>
      </c>
      <c r="E17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1" s="71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7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171" s="75">
        <f>IF('عدد اللاعبين'!$G171&lt;الحد_الأدنى,0,'عدد اللاعبين'!$G171*IFERROR(INDEX(المدخلات!$Y$3:$Y$9,MATCH('عدد اللاعبين'!$C171,المدخلات!$X$3:$X$9,0)),0))</f>
        <v>319</v>
      </c>
    </row>
    <row r="172" spans="2:8">
      <c r="B172" s="67" t="str">
        <f>IFERROR(INDEX(المكاتب_المصدر[المنطقة],MATCH('عدد اللاعبين'!$D172,المكاتب_المصدر[المجموعة],0)),"")</f>
        <v>مكة المكرمة</v>
      </c>
      <c r="C172" s="68" t="str">
        <f>'ملخص المجموعات'!B165</f>
        <v>تحت 14</v>
      </c>
      <c r="D172" s="69" t="str">
        <f>'ملخص المجموعات'!C165</f>
        <v>مجموعة مكة المكرمة</v>
      </c>
      <c r="E17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2" s="71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7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172" s="76">
        <f>IF('عدد اللاعبين'!$G172&lt;الحد_الأدنى,0,'عدد اللاعبين'!$G172*IFERROR(INDEX(المدخلات!$Y$3:$Y$9,MATCH('عدد اللاعبين'!$C172,المدخلات!$X$3:$X$9,0)),0))</f>
        <v>580</v>
      </c>
    </row>
    <row r="173" spans="2:8">
      <c r="B173" s="68" t="str">
        <f>IFERROR(INDEX(المكاتب_المصدر[المنطقة],MATCH('عدد اللاعبين'!$D173,المكاتب_المصدر[المجموعة],0)),"")</f>
        <v>مكة المكرمة</v>
      </c>
      <c r="C173" s="68" t="str">
        <f>'ملخص المجموعات'!B166</f>
        <v>تحت 11</v>
      </c>
      <c r="D173" s="69" t="str">
        <f>'ملخص المجموعات'!C166</f>
        <v>مجموعة مكة المكرمة</v>
      </c>
      <c r="E17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3" s="71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7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H173" s="75">
        <f>IF('عدد اللاعبين'!$G173&lt;الحد_الأدنى,0,'عدد اللاعبين'!$G173*IFERROR(INDEX(المدخلات!$Y$3:$Y$9,MATCH('عدد اللاعبين'!$C173,المدخلات!$X$3:$X$9,0)),0))</f>
        <v>330</v>
      </c>
    </row>
    <row r="174" spans="2:8">
      <c r="B174" s="67" t="str">
        <f>IFERROR(INDEX(المكاتب_المصدر[المنطقة],MATCH('عدد اللاعبين'!$D174,المكاتب_المصدر[المجموعة],0)),"")</f>
        <v>مكة المكرمة</v>
      </c>
      <c r="C174" s="68" t="str">
        <f>'ملخص المجموعات'!B167</f>
        <v>تحت 12</v>
      </c>
      <c r="D174" s="69" t="str">
        <f>'ملخص المجموعات'!C167</f>
        <v>مجموعة مكة المكرمة</v>
      </c>
      <c r="E17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4" s="71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7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74" s="76">
        <f>IF('عدد اللاعبين'!$G174&lt;الحد_الأدنى,0,'عدد اللاعبين'!$G174*IFERROR(INDEX(المدخلات!$Y$3:$Y$9,MATCH('عدد اللاعبين'!$C174,المدخلات!$X$3:$X$9,0)),0))</f>
        <v>341</v>
      </c>
    </row>
    <row r="175" spans="2:8">
      <c r="B175" s="68" t="str">
        <f>IFERROR(INDEX(المكاتب_المصدر[المنطقة],MATCH('عدد اللاعبين'!$D175,المكاتب_المصدر[المجموعة],0)),"")</f>
        <v>الشرقية</v>
      </c>
      <c r="C175" s="68" t="str">
        <f>'ملخص المجموعات'!B168</f>
        <v>تحت 14</v>
      </c>
      <c r="D175" s="69" t="str">
        <f>'ملخص المجموعات'!C168</f>
        <v>مجموعة الأحساء</v>
      </c>
      <c r="E17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5" s="71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7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75" s="75">
        <f>IF('عدد اللاعبين'!$G175&lt;الحد_الأدنى,0,'عدد اللاعبين'!$G175*IFERROR(INDEX(المدخلات!$Y$3:$Y$9,MATCH('عدد اللاعبين'!$C175,المدخلات!$X$3:$X$9,0)),0))</f>
        <v>620</v>
      </c>
    </row>
    <row r="176" spans="2:8">
      <c r="B176" s="67" t="str">
        <f>IFERROR(INDEX(المكاتب_المصدر[المنطقة],MATCH('عدد اللاعبين'!$D176,المكاتب_المصدر[المجموعة],0)),"")</f>
        <v>الشرقية</v>
      </c>
      <c r="C176" s="68" t="str">
        <f>'ملخص المجموعات'!B169</f>
        <v>تحت 9</v>
      </c>
      <c r="D176" s="69" t="str">
        <f>'ملخص المجموعات'!C169</f>
        <v>مجموعة الأحساء</v>
      </c>
      <c r="E17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6" s="71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7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76" s="76">
        <f>IF('عدد اللاعبين'!$G176&lt;الحد_الأدنى,0,'عدد اللاعبين'!$G176*IFERROR(INDEX(المدخلات!$Y$3:$Y$9,MATCH('عدد اللاعبين'!$C176,المدخلات!$X$3:$X$9,0)),0))</f>
        <v>374</v>
      </c>
    </row>
    <row r="177" spans="2:8">
      <c r="B177" s="68" t="str">
        <f>IFERROR(INDEX(المكاتب_المصدر[المنطقة],MATCH('عدد اللاعبين'!$D177,المكاتب_المصدر[المجموعة],0)),"")</f>
        <v>الشرقية</v>
      </c>
      <c r="C177" s="68" t="str">
        <f>'ملخص المجموعات'!B170</f>
        <v>تحت 12</v>
      </c>
      <c r="D177" s="69" t="str">
        <f>'ملخص المجموعات'!C170</f>
        <v>مجموعة الأحساء</v>
      </c>
      <c r="E17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7" s="71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7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77" s="75">
        <f>IF('عدد اللاعبين'!$G177&lt;الحد_الأدنى,0,'عدد اللاعبين'!$G177*IFERROR(INDEX(المدخلات!$Y$3:$Y$9,MATCH('عدد اللاعبين'!$C177,المدخلات!$X$3:$X$9,0)),0))</f>
        <v>374</v>
      </c>
    </row>
    <row r="178" spans="2:8">
      <c r="B178" s="67" t="str">
        <f>IFERROR(INDEX(المكاتب_المصدر[المنطقة],MATCH('عدد اللاعبين'!$D178,المكاتب_المصدر[المجموعة],0)),"")</f>
        <v>الرياض</v>
      </c>
      <c r="C178" s="68" t="str">
        <f>'ملخص المجموعات'!B171</f>
        <v>تحت 13</v>
      </c>
      <c r="D178" s="69" t="str">
        <f>'ملخص المجموعات'!C171</f>
        <v>مجموعة الرياض</v>
      </c>
      <c r="E17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8" s="71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7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178" s="76">
        <f>IF('عدد اللاعبين'!$G178&lt;الحد_الأدنى,0,'عدد اللاعبين'!$G178*IFERROR(INDEX(المدخلات!$Y$3:$Y$9,MATCH('عدد اللاعبين'!$C178,المدخلات!$X$3:$X$9,0)),0))</f>
        <v>700</v>
      </c>
    </row>
    <row r="179" spans="2:8">
      <c r="B179" s="68" t="str">
        <f>IFERROR(INDEX(المكاتب_المصدر[المنطقة],MATCH('عدد اللاعبين'!$D179,المكاتب_المصدر[المجموعة],0)),"")</f>
        <v>مكة المكرمة</v>
      </c>
      <c r="C179" s="68" t="str">
        <f>'ملخص المجموعات'!B172</f>
        <v>تحت 9</v>
      </c>
      <c r="D179" s="69" t="str">
        <f>'ملخص المجموعات'!C172</f>
        <v>مجموعة مكة المكرمة</v>
      </c>
      <c r="E17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9" s="71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7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H179" s="75">
        <f>IF('عدد اللاعبين'!$G179&lt;الحد_الأدنى,0,'عدد اللاعبين'!$G179*IFERROR(INDEX(المدخلات!$Y$3:$Y$9,MATCH('عدد اللاعبين'!$C179,المدخلات!$X$3:$X$9,0)),0))</f>
        <v>418</v>
      </c>
    </row>
    <row r="180" spans="2:8">
      <c r="B180" s="67" t="str">
        <f>IFERROR(INDEX(المكاتب_المصدر[المنطقة],MATCH('عدد اللاعبين'!$D180,المكاتب_المصدر[المجموعة],0)),"")</f>
        <v>الرياض</v>
      </c>
      <c r="C180" s="68" t="str">
        <f>'ملخص المجموعات'!B173</f>
        <v>تحت 7</v>
      </c>
      <c r="D180" s="69" t="str">
        <f>'ملخص المجموعات'!C173</f>
        <v>مجموعة الرياض</v>
      </c>
      <c r="E18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0" s="71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39</v>
      </c>
      <c r="H180" s="76">
        <f>IF('عدد اللاعبين'!$G180&lt;الحد_الأدنى,0,'عدد اللاعبين'!$G180*IFERROR(INDEX(المدخلات!$Y$3:$Y$9,MATCH('عدد اللاعبين'!$C180,المدخلات!$X$3:$X$9,0)),0))</f>
        <v>429</v>
      </c>
    </row>
    <row r="181" spans="2:8">
      <c r="B181" s="68" t="str">
        <f>IFERROR(INDEX(المكاتب_المصدر[المنطقة],MATCH('عدد اللاعبين'!$D181,المكاتب_المصدر[المجموعة],0)),"")</f>
        <v>مكة المكرمة</v>
      </c>
      <c r="C181" s="68" t="str">
        <f>'ملخص المجموعات'!B174</f>
        <v>تحت 7</v>
      </c>
      <c r="D181" s="69" t="str">
        <f>'ملخص المجموعات'!C174</f>
        <v>مجموعة جدة</v>
      </c>
      <c r="E18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1" s="71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8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40</v>
      </c>
      <c r="H181" s="75">
        <f>IF('عدد اللاعبين'!$G181&lt;الحد_الأدنى,0,'عدد اللاعبين'!$G181*IFERROR(INDEX(المدخلات!$Y$3:$Y$9,MATCH('عدد اللاعبين'!$C181,المدخلات!$X$3:$X$9,0)),0))</f>
        <v>440</v>
      </c>
    </row>
    <row r="182" spans="2:8">
      <c r="B182" s="67" t="str">
        <f>IFERROR(INDEX(المكاتب_المصدر[المنطقة],MATCH('عدد اللاعبين'!$D182,المكاتب_المصدر[المجموعة],0)),"")</f>
        <v>الشرقية</v>
      </c>
      <c r="C182" s="68" t="str">
        <f>'ملخص المجموعات'!B175</f>
        <v>تحت 9</v>
      </c>
      <c r="D182" s="69" t="str">
        <f>'ملخص المجموعات'!C175</f>
        <v>مجموعة الدمام</v>
      </c>
      <c r="E18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2" s="71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8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82" s="76">
        <f>IF('عدد اللاعبين'!$G182&lt;الحد_الأدنى,0,'عدد اللاعبين'!$G182*IFERROR(INDEX(المدخلات!$Y$3:$Y$9,MATCH('عدد اللاعبين'!$C182,المدخلات!$X$3:$X$9,0)),0))</f>
        <v>528</v>
      </c>
    </row>
    <row r="183" spans="2:8">
      <c r="B183" s="68" t="str">
        <f>IFERROR(INDEX(المكاتب_المصدر[المنطقة],MATCH('عدد اللاعبين'!$D183,المكاتب_المصدر[المجموعة],0)),"")</f>
        <v>مكة المكرمة</v>
      </c>
      <c r="C183" s="68" t="str">
        <f>'ملخص المجموعات'!B176</f>
        <v>تحت 13</v>
      </c>
      <c r="D183" s="69" t="str">
        <f>'ملخص المجموعات'!C176</f>
        <v>مجموعة جدة</v>
      </c>
      <c r="E18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71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8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H183" s="75">
        <f>IF('عدد اللاعبين'!$G183&lt;الحد_الأدنى,0,'عدد اللاعبين'!$G183*IFERROR(INDEX(المدخلات!$Y$3:$Y$9,MATCH('عدد اللاعبين'!$C183,المدخلات!$X$3:$X$9,0)),0))</f>
        <v>980</v>
      </c>
    </row>
    <row r="184" spans="2:8">
      <c r="B184" s="67" t="str">
        <f>IFERROR(INDEX(المكاتب_المصدر[المنطقة],MATCH('عدد اللاعبين'!$D184,المكاتب_المصدر[المجموعة],0)),"")</f>
        <v>الشرقية</v>
      </c>
      <c r="C184" s="68" t="str">
        <f>'ملخص المجموعات'!B177</f>
        <v>تحت 13</v>
      </c>
      <c r="D184" s="69" t="str">
        <f>'ملخص المجموعات'!C177</f>
        <v>مجموعة الأحساء</v>
      </c>
      <c r="E18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71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H184" s="76">
        <f>IF('عدد اللاعبين'!$G184&lt;الحد_الأدنى,0,'عدد اللاعبين'!$G184*IFERROR(INDEX(المدخلات!$Y$3:$Y$9,MATCH('عدد اللاعبين'!$C184,المدخلات!$X$3:$X$9,0)),0))</f>
        <v>980</v>
      </c>
    </row>
    <row r="185" spans="2:8">
      <c r="B185" s="68" t="str">
        <f>IFERROR(INDEX(المكاتب_المصدر[المنطقة],MATCH('عدد اللاعبين'!$D185,المكاتب_المصدر[المجموعة],0)),"")</f>
        <v>الشرقية</v>
      </c>
      <c r="C185" s="68" t="str">
        <f>'ملخص المجموعات'!B178</f>
        <v>تحت 11</v>
      </c>
      <c r="D185" s="69" t="str">
        <f>'ملخص المجموعات'!C178</f>
        <v>مجموعة الأحساء</v>
      </c>
      <c r="E18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71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H185" s="75">
        <f>IF('عدد اللاعبين'!$G185&lt;الحد_الأدنى,0,'عدد اللاعبين'!$G185*IFERROR(INDEX(المدخلات!$Y$3:$Y$9,MATCH('عدد اللاعبين'!$C185,المدخلات!$X$3:$X$9,0)),0))</f>
        <v>572</v>
      </c>
    </row>
    <row r="186" spans="2:8">
      <c r="B186" s="67" t="str">
        <f>IFERROR(INDEX(المكاتب_المصدر[المنطقة],MATCH('عدد اللاعبين'!$D186,المكاتب_المصدر[المجموعة],0)),"")</f>
        <v>الرياض</v>
      </c>
      <c r="C186" s="68" t="str">
        <f>'ملخص المجموعات'!B179</f>
        <v>تحت 14</v>
      </c>
      <c r="D186" s="69" t="str">
        <f>'ملخص المجموعات'!C179</f>
        <v>مجموعة الرياض</v>
      </c>
      <c r="E18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71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8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56</v>
      </c>
      <c r="H186" s="76">
        <f>IF('عدد اللاعبين'!$G186&lt;الحد_الأدنى,0,'عدد اللاعبين'!$G186*IFERROR(INDEX(المدخلات!$Y$3:$Y$9,MATCH('عدد اللاعبين'!$C186,المدخلات!$X$3:$X$9,0)),0))</f>
        <v>1120</v>
      </c>
    </row>
    <row r="187" spans="2:8">
      <c r="B187" s="68" t="str">
        <f>IFERROR(INDEX(المكاتب_المصدر[المنطقة],MATCH('عدد اللاعبين'!$D187,المكاتب_المصدر[المجموعة],0)),"")</f>
        <v>مكة المكرمة</v>
      </c>
      <c r="C187" s="68" t="str">
        <f>'ملخص المجموعات'!B180</f>
        <v>تحت 14</v>
      </c>
      <c r="D187" s="69" t="str">
        <f>'ملخص المجموعات'!C180</f>
        <v>مجموعة جدة</v>
      </c>
      <c r="E18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7" s="71" t="e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8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7" s="75">
        <f>IF('عدد اللاعبين'!$G187&lt;الحد_الأدنى,0,'عدد اللاعبين'!$G187*IFERROR(INDEX(المدخلات!$Y$3:$Y$9,MATCH('عدد اللاعبين'!$C187,المدخلات!$X$3:$X$9,0)),0))</f>
        <v>0</v>
      </c>
    </row>
    <row r="188" spans="2:8">
      <c r="B188" s="67" t="str">
        <f>IFERROR(INDEX(المكاتب_المصدر[المنطقة],MATCH('عدد اللاعبين'!$D188,المكاتب_المصدر[المجموعة],0)),"")</f>
        <v>الرياض</v>
      </c>
      <c r="C188" s="68" t="str">
        <f>'ملخص المجموعات'!B181</f>
        <v>تحت 9</v>
      </c>
      <c r="D188" s="69" t="str">
        <f>'ملخص المجموعات'!C181</f>
        <v>مجموعة الرياض</v>
      </c>
      <c r="E18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8" s="71" t="e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8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8" s="76">
        <f>IF('عدد اللاعبين'!$G188&lt;الحد_الأدنى,0,'عدد اللاعبين'!$G188*IFERROR(INDEX(المدخلات!$Y$3:$Y$9,MATCH('عدد اللاعبين'!$C188,المدخلات!$X$3:$X$9,0)),0))</f>
        <v>0</v>
      </c>
    </row>
    <row r="189" spans="2:8">
      <c r="B189" s="68" t="str">
        <f>IFERROR(INDEX(المكاتب_المصدر[المنطقة],MATCH('عدد اللاعبين'!$D189,المكاتب_المصدر[المجموعة],0)),"")</f>
        <v>الرياض</v>
      </c>
      <c r="C189" s="68" t="str">
        <f>'ملخص المجموعات'!B182</f>
        <v>تحت 11</v>
      </c>
      <c r="D189" s="69" t="str">
        <f>'ملخص المجموعات'!C182</f>
        <v>مجموعة الرياض</v>
      </c>
      <c r="E18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9" s="71" t="e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8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9" s="75">
        <f>IF('عدد اللاعبين'!$G189&lt;الحد_الأدنى,0,'عدد اللاعبين'!$G189*IFERROR(INDEX(المدخلات!$Y$3:$Y$9,MATCH('عدد اللاعبين'!$C189,المدخلات!$X$3:$X$9,0)),0))</f>
        <v>0</v>
      </c>
    </row>
    <row r="190" spans="2:8">
      <c r="B190" s="67" t="str">
        <f>IFERROR(INDEX(المكاتب_المصدر[المنطقة],MATCH('عدد اللاعبين'!$D190,المكاتب_المصدر[المجموعة],0)),"")</f>
        <v>الرياض</v>
      </c>
      <c r="C190" s="68" t="str">
        <f>'ملخص المجموعات'!B183</f>
        <v>تحت 12</v>
      </c>
      <c r="D190" s="69" t="str">
        <f>'ملخص المجموعات'!C183</f>
        <v>مجموعة الرياض</v>
      </c>
      <c r="E19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0" s="71" t="e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0" s="76">
        <f>IF('عدد اللاعبين'!$G190&lt;الحد_الأدنى,0,'عدد اللاعبين'!$G190*IFERROR(INDEX(المدخلات!$Y$3:$Y$9,MATCH('عدد اللاعبين'!$C190,المدخلات!$X$3:$X$9,0)),0))</f>
        <v>0</v>
      </c>
    </row>
    <row r="191" spans="2:8">
      <c r="B191" s="68" t="str">
        <f>IFERROR(INDEX(المكاتب_المصدر[المنطقة],MATCH('عدد اللاعبين'!$D191,المكاتب_المصدر[المجموعة],0)),"")</f>
        <v>مكة المكرمة</v>
      </c>
      <c r="C191" s="68" t="str">
        <f>'ملخص المجموعات'!B184</f>
        <v>تحت 9</v>
      </c>
      <c r="D191" s="69" t="str">
        <f>'ملخص المجموعات'!C184</f>
        <v>مجموعة جدة</v>
      </c>
      <c r="E19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1" s="71" t="e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1" s="75">
        <f>IF('عدد اللاعبين'!$G191&lt;الحد_الأدنى,0,'عدد اللاعبين'!$G191*IFERROR(INDEX(المدخلات!$Y$3:$Y$9,MATCH('عدد اللاعبين'!$C191,المدخلات!$X$3:$X$9,0)),0))</f>
        <v>0</v>
      </c>
    </row>
    <row r="192" spans="2:8">
      <c r="B192" s="67" t="str">
        <f>IFERROR(INDEX(المكاتب_المصدر[المنطقة],MATCH('عدد اللاعبين'!$D192,المكاتب_المصدر[المجموعة],0)),"")</f>
        <v>مكة المكرمة</v>
      </c>
      <c r="C192" s="68" t="str">
        <f>'ملخص المجموعات'!B185</f>
        <v>تحت 11</v>
      </c>
      <c r="D192" s="69" t="str">
        <f>'ملخص المجموعات'!C185</f>
        <v>مجموعة جدة</v>
      </c>
      <c r="E19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2" s="71" t="e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2" s="76">
        <f>IF('عدد اللاعبين'!$G192&lt;الحد_الأدنى,0,'عدد اللاعبين'!$G192*IFERROR(INDEX(المدخلات!$Y$3:$Y$9,MATCH('عدد اللاعبين'!$C192,المدخلات!$X$3:$X$9,0)),0))</f>
        <v>0</v>
      </c>
    </row>
    <row r="193" spans="2:8">
      <c r="B193" s="68" t="str">
        <f>IFERROR(INDEX(المكاتب_المصدر[المنطقة],MATCH('عدد اللاعبين'!$D193,المكاتب_المصدر[المجموعة],0)),"")</f>
        <v>مكة المكرمة</v>
      </c>
      <c r="C193" s="68" t="str">
        <f>'ملخص المجموعات'!B186</f>
        <v>تحت 12</v>
      </c>
      <c r="D193" s="69" t="str">
        <f>'ملخص المجموعات'!C186</f>
        <v>مجموعة جدة</v>
      </c>
      <c r="E19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3" s="71" t="e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#VALUE!</v>
      </c>
      <c r="G19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3" s="75">
        <f>IF('عدد اللاعبين'!$G193&lt;الحد_الأدنى,0,'عدد اللاعبين'!$G193*IFERROR(INDEX(المدخلات!$Y$3:$Y$9,MATCH('عدد اللاعبين'!$C193,المدخلات!$X$3:$X$9,0)),0))</f>
        <v>0</v>
      </c>
    </row>
    <row r="194" spans="2:8">
      <c r="B194"/>
      <c r="C194"/>
      <c r="D194"/>
      <c r="E194"/>
      <c r="F194"/>
    </row>
    <row r="195" spans="2:8">
      <c r="B195"/>
      <c r="C195"/>
      <c r="D195"/>
      <c r="E195"/>
      <c r="F195"/>
    </row>
    <row r="196" spans="2:8">
      <c r="B196"/>
      <c r="C196"/>
      <c r="D196"/>
      <c r="E196"/>
      <c r="F196"/>
    </row>
    <row r="197" spans="2:8">
      <c r="B197"/>
      <c r="C197"/>
      <c r="D197"/>
      <c r="E197"/>
      <c r="F1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7E951-255C-4E9B-BF8E-092D489B2D08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B5B2A037-3816-4915-9E06-7A50D1D73741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O188"/>
  <sheetViews>
    <sheetView rightToLeft="1" zoomScale="55" workbookViewId="0">
      <pane ySplit="2" topLeftCell="A3" activePane="bottomLeft" state="frozen"/>
      <selection pane="bottomLeft" activeCell="B3" sqref="B3:B15"/>
    </sheetView>
  </sheetViews>
  <sheetFormatPr defaultRowHeight="14.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37.7265625" style="5" bestFit="1" customWidth="1"/>
    <col min="10" max="10" width="33.6328125" style="5" bestFit="1" customWidth="1"/>
    <col min="11" max="11" width="9.90625" style="5" bestFit="1" customWidth="1"/>
    <col min="12" max="12" width="8.7265625" style="5"/>
    <col min="13" max="15" width="20" style="5" customWidth="1"/>
    <col min="16" max="16384" width="8.7265625" style="5"/>
  </cols>
  <sheetData>
    <row r="2" spans="2:15">
      <c r="B2" s="3" t="s">
        <v>116</v>
      </c>
      <c r="C2" s="3" t="s">
        <v>0</v>
      </c>
      <c r="D2" s="3" t="s">
        <v>5</v>
      </c>
      <c r="E2" s="3" t="s">
        <v>6</v>
      </c>
      <c r="F2" s="3" t="s">
        <v>119</v>
      </c>
      <c r="G2" s="3" t="s">
        <v>120</v>
      </c>
      <c r="I2" s="21" t="s">
        <v>1426</v>
      </c>
    </row>
    <row r="3" spans="2:15">
      <c r="B3" s="2" t="s">
        <v>115</v>
      </c>
      <c r="C3" s="5" t="s">
        <v>33</v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3" s="1">
        <f>MAX(0,الحد_الأدنى-ملخص_المجموعات[[#This Row],[مجموع الفرق]])</f>
        <v>1</v>
      </c>
      <c r="I3" s="5" cm="1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>50</v>
      </c>
      <c r="J3" s="5" t="s">
        <v>1427</v>
      </c>
    </row>
    <row r="4" spans="2:15">
      <c r="B4" s="2" t="s">
        <v>4</v>
      </c>
      <c r="C4" s="5" t="s">
        <v>1284</v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4" s="1">
        <f>MAX(0,الحد_الأدنى-ملخص_المجموعات[[#This Row],[مجموع الفرق]])</f>
        <v>1</v>
      </c>
      <c r="I4" s="5" cm="1">
        <f t="array" ref="I4">SUMPRODUCT((ملخص_المجموعات[المتبقي]=0)*(ملخص_المجموعات[مجموع الفرق]&gt;=1))</f>
        <v>171</v>
      </c>
      <c r="J4" s="5" t="s">
        <v>1428</v>
      </c>
    </row>
    <row r="5" spans="2:15">
      <c r="B5" s="2" t="s">
        <v>112</v>
      </c>
      <c r="C5" s="5" t="s">
        <v>1284</v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5" s="1">
        <f>MAX(0,الحد_الأدنى-ملخص_المجموعات[[#This Row],[مجموع الفرق]])</f>
        <v>1</v>
      </c>
      <c r="I5" s="5" cm="1">
        <f t="array" ref="I5">SUMPRODUCT((تفاصيل_الفرق[عدد الفرق]&gt;=1)*(تفاصيل_الفرق[مجموعة مكتملة]=1))</f>
        <v>264</v>
      </c>
      <c r="J5" s="5" t="s">
        <v>1429</v>
      </c>
    </row>
    <row r="6" spans="2:15">
      <c r="B6" s="2" t="s">
        <v>113</v>
      </c>
      <c r="C6" s="5" t="s">
        <v>11</v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6" s="1">
        <f>MAX(0,الحد_الأدنى-ملخص_المجموعات[[#This Row],[مجموع الفرق]])</f>
        <v>1</v>
      </c>
      <c r="I6" s="5" cm="1">
        <f t="array" ref="I6">COUNTA(_xlfn.UNIQUE(_xlfn._xlws.FILTER(تفاصيل_الفرق[المدينة/المحافظة],(تفاصيل_الفرق[عدد الفرق]&gt;=1)*(تفاصيل_الفرق[مجموعة مكتملة]=1))))</f>
        <v>50</v>
      </c>
      <c r="J6" s="5" t="s">
        <v>1430</v>
      </c>
    </row>
    <row r="7" spans="2:15">
      <c r="B7" s="2" t="s">
        <v>117</v>
      </c>
      <c r="C7" s="5" t="s">
        <v>1284</v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7" s="1">
        <f>MAX(0,الحد_الأدنى-ملخص_المجموعات[[#This Row],[مجموع الفرق]])</f>
        <v>1</v>
      </c>
    </row>
    <row r="8" spans="2:15">
      <c r="B8" s="2" t="s">
        <v>115</v>
      </c>
      <c r="C8" s="5" t="s">
        <v>1284</v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8" s="1">
        <f>MAX(0,الحد_الأدنى-ملخص_المجموعات[[#This Row],[مجموع الفرق]])</f>
        <v>1</v>
      </c>
    </row>
    <row r="9" spans="2:15" ht="16">
      <c r="B9" s="2" t="s">
        <v>112</v>
      </c>
      <c r="C9" s="5" t="s">
        <v>60</v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9" s="1">
        <f>MAX(0,الحد_الأدنى-ملخص_المجموعات[[#This Row],[مجموع الفرق]])</f>
        <v>1</v>
      </c>
      <c r="I9" s="88" t="s">
        <v>2335</v>
      </c>
      <c r="J9" s="88"/>
      <c r="K9" s="88"/>
      <c r="M9"/>
      <c r="N9"/>
      <c r="O9"/>
    </row>
    <row r="10" spans="2:15">
      <c r="B10" s="2" t="s">
        <v>113</v>
      </c>
      <c r="C10" s="5" t="s">
        <v>60</v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" s="1">
        <f>MAX(0,الحد_الأدنى-ملخص_المجموعات[[#This Row],[مجموع الفرق]])</f>
        <v>1</v>
      </c>
      <c r="I10" s="89" t="s">
        <v>116</v>
      </c>
      <c r="J10" s="89" t="s">
        <v>0</v>
      </c>
      <c r="K10" s="89" t="s">
        <v>119</v>
      </c>
      <c r="M10"/>
      <c r="N10"/>
      <c r="O10"/>
    </row>
    <row r="11" spans="2:15">
      <c r="B11" s="2" t="s">
        <v>113</v>
      </c>
      <c r="C11" s="5" t="s">
        <v>12</v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1" s="1">
        <f>MAX(0,الحد_الأدنى-ملخص_المجموعات[[#This Row],[مجموع الفرق]])</f>
        <v>1</v>
      </c>
      <c r="I11" s="2" t="str" cm="1">
        <f t="array" ref="I11:I23">_xlfn._xlws.FILTER(ملخص_المجموعات[الفئة],ملخص_المجموعات[مجموع الفرق]=5,"لا يوجد")</f>
        <v>تحت 14</v>
      </c>
      <c r="J11" s="2" t="str" cm="1">
        <f t="array" ref="J11:J23">_xlfn._xlws.FILTER(ملخص_المجموعات[المجموعة],ملخص_المجموعات[مجموع الفرق]=5,"")</f>
        <v>مجموعة نجران</v>
      </c>
      <c r="K11" s="2" cm="1">
        <f t="array" ref="K11:K23">_xlfn._xlws.FILTER(ملخص_المجموعات[مجموع الفرق],ملخص_المجموعات[مجموع الفرق]=5,"")</f>
        <v>5</v>
      </c>
      <c r="M11"/>
      <c r="N11"/>
      <c r="O11"/>
    </row>
    <row r="12" spans="2:15">
      <c r="B12" s="2" t="s">
        <v>114</v>
      </c>
      <c r="C12" s="5" t="s">
        <v>1490</v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2" s="1">
        <f>MAX(0,الحد_الأدنى-ملخص_المجموعات[[#This Row],[مجموع الفرق]])</f>
        <v>1</v>
      </c>
      <c r="I12" s="2" t="str">
        <v>تحت 5</v>
      </c>
      <c r="J12" s="2" t="str">
        <v>مجموعة طبرجل</v>
      </c>
      <c r="K12" s="2">
        <v>5</v>
      </c>
      <c r="M12"/>
      <c r="N12"/>
      <c r="O12"/>
    </row>
    <row r="13" spans="2:15">
      <c r="B13" s="2" t="s">
        <v>117</v>
      </c>
      <c r="C13" s="5" t="s">
        <v>1490</v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3" s="1">
        <f>MAX(0,الحد_الأدنى-ملخص_المجموعات[[#This Row],[مجموع الفرق]])</f>
        <v>1</v>
      </c>
      <c r="I13" s="2" t="str">
        <v>تحت 7</v>
      </c>
      <c r="J13" s="2" t="str">
        <v>مجموعة طبرجل</v>
      </c>
      <c r="K13" s="2">
        <v>5</v>
      </c>
      <c r="M13"/>
      <c r="N13"/>
      <c r="O13"/>
    </row>
    <row r="14" spans="2:15">
      <c r="B14" s="2" t="s">
        <v>118</v>
      </c>
      <c r="C14" s="5" t="s">
        <v>1490</v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4" s="1">
        <f>MAX(0,الحد_الأدنى-ملخص_المجموعات[[#This Row],[مجموع الفرق]])</f>
        <v>1</v>
      </c>
      <c r="I14" s="2" t="str">
        <v>تحت 9</v>
      </c>
      <c r="J14" s="2" t="str">
        <v>مجموعة الخرج</v>
      </c>
      <c r="K14" s="2">
        <v>5</v>
      </c>
      <c r="M14"/>
      <c r="N14"/>
      <c r="O14"/>
    </row>
    <row r="15" spans="2:15">
      <c r="B15" s="2" t="s">
        <v>115</v>
      </c>
      <c r="C15" s="5" t="s">
        <v>1490</v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5" s="1">
        <f>MAX(0,الحد_الأدنى-ملخص_المجموعات[[#This Row],[مجموع الفرق]])</f>
        <v>1</v>
      </c>
      <c r="I15" s="2" t="str">
        <v>تحت 12</v>
      </c>
      <c r="J15" s="2" t="str">
        <v>مجموعة طبرجل</v>
      </c>
      <c r="K15" s="2">
        <v>5</v>
      </c>
      <c r="M15"/>
      <c r="N15"/>
      <c r="O15"/>
    </row>
    <row r="16" spans="2:15">
      <c r="B16" s="2" t="s">
        <v>117</v>
      </c>
      <c r="C16" s="5" t="s">
        <v>9</v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</v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6" s="1">
        <f>MAX(0,الحد_الأدنى-ملخص_المجموعات[[#This Row],[مجموع الفرق]])</f>
        <v>0</v>
      </c>
      <c r="I16" s="2" t="str">
        <v>تحت 14</v>
      </c>
      <c r="J16" s="2" t="str">
        <v>مجموعة طبرجل</v>
      </c>
      <c r="K16" s="2">
        <v>5</v>
      </c>
      <c r="M16"/>
      <c r="N16"/>
      <c r="O16"/>
    </row>
    <row r="17" spans="2:15">
      <c r="B17" s="2" t="s">
        <v>118</v>
      </c>
      <c r="C17" s="5" t="s">
        <v>33</v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7" s="1">
        <f>MAX(0,الحد_الأدنى-ملخص_المجموعات[[#This Row],[مجموع الفرق]])</f>
        <v>0</v>
      </c>
      <c r="I17" s="2" t="str">
        <v>تحت 7</v>
      </c>
      <c r="J17" s="2" t="str">
        <v>مجموعة شرورة</v>
      </c>
      <c r="K17" s="2">
        <v>5</v>
      </c>
      <c r="M17"/>
      <c r="N17"/>
      <c r="O17"/>
    </row>
    <row r="18" spans="2:15">
      <c r="B18" s="2" t="s">
        <v>118</v>
      </c>
      <c r="C18" s="5" t="s">
        <v>9</v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8" s="1">
        <f>MAX(0,الحد_الأدنى-ملخص_المجموعات[[#This Row],[مجموع الفرق]])</f>
        <v>0</v>
      </c>
      <c r="I18" s="2" t="str">
        <v>تحت 9</v>
      </c>
      <c r="J18" s="2" t="str">
        <v>مجموعة شرورة</v>
      </c>
      <c r="K18" s="2">
        <v>5</v>
      </c>
      <c r="M18"/>
      <c r="N18"/>
      <c r="O18"/>
    </row>
    <row r="19" spans="2:15">
      <c r="B19" s="2" t="s">
        <v>115</v>
      </c>
      <c r="C19" s="5" t="s">
        <v>9</v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9" s="1">
        <f>MAX(0,الحد_الأدنى-ملخص_المجموعات[[#This Row],[مجموع الفرق]])</f>
        <v>0</v>
      </c>
      <c r="I19" s="2" t="str">
        <v>تحت 9</v>
      </c>
      <c r="J19" s="2" t="str">
        <v>مجموعة الدوادمي</v>
      </c>
      <c r="K19" s="2">
        <v>5</v>
      </c>
      <c r="M19"/>
      <c r="N19"/>
      <c r="O19"/>
    </row>
    <row r="20" spans="2:15">
      <c r="B20" s="2" t="s">
        <v>4</v>
      </c>
      <c r="C20" s="5" t="s">
        <v>28</v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0" s="1">
        <f>MAX(0,الحد_الأدنى-ملخص_المجموعات[[#This Row],[مجموع الفرق]])</f>
        <v>0</v>
      </c>
      <c r="I20" s="2" t="str">
        <v>تحت 11</v>
      </c>
      <c r="J20" s="2" t="str">
        <v>مجموعة القريات</v>
      </c>
      <c r="K20" s="2">
        <v>5</v>
      </c>
      <c r="M20"/>
      <c r="N20"/>
      <c r="O20"/>
    </row>
    <row r="21" spans="2:15">
      <c r="B21" s="2" t="s">
        <v>4</v>
      </c>
      <c r="C21" s="5" t="s">
        <v>1490</v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1" s="1">
        <f>MAX(0,الحد_الأدنى-ملخص_المجموعات[[#This Row],[مجموع الفرق]])</f>
        <v>0</v>
      </c>
      <c r="I21" s="2" t="str">
        <v>تحت 12</v>
      </c>
      <c r="J21" s="2" t="str">
        <v>مجموعة القريات</v>
      </c>
      <c r="K21" s="2">
        <v>5</v>
      </c>
      <c r="M21"/>
      <c r="N21"/>
      <c r="O21"/>
    </row>
    <row r="22" spans="2:15">
      <c r="B22" s="2" t="s">
        <v>4</v>
      </c>
      <c r="C22" s="5" t="s">
        <v>60</v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2" s="1">
        <f>MAX(0,الحد_الأدنى-ملخص_المجموعات[[#This Row],[مجموع الفرق]])</f>
        <v>0</v>
      </c>
      <c r="I22" s="2" t="str">
        <v>تحت 13</v>
      </c>
      <c r="J22" s="2" t="str">
        <v>مجموعة القريات</v>
      </c>
      <c r="K22" s="2">
        <v>5</v>
      </c>
      <c r="M22"/>
      <c r="N22"/>
      <c r="O22"/>
    </row>
    <row r="23" spans="2:15">
      <c r="B23" s="2" t="s">
        <v>112</v>
      </c>
      <c r="C23" s="5" t="s">
        <v>9</v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3" s="1">
        <f>MAX(0,الحد_الأدنى-ملخص_المجموعات[[#This Row],[مجموع الفرق]])</f>
        <v>0</v>
      </c>
      <c r="I23" s="2" t="str">
        <v>تحت 14</v>
      </c>
      <c r="J23" s="2" t="str">
        <v>مجموعة القريات</v>
      </c>
      <c r="K23" s="2">
        <v>5</v>
      </c>
      <c r="M23"/>
      <c r="N23"/>
      <c r="O23"/>
    </row>
    <row r="24" spans="2:15">
      <c r="B24" s="2" t="s">
        <v>112</v>
      </c>
      <c r="C24" s="5" t="s">
        <v>7</v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4" s="1">
        <f>MAX(0,الحد_الأدنى-ملخص_المجموعات[[#This Row],[مجموع الفرق]])</f>
        <v>0</v>
      </c>
      <c r="I24" s="2"/>
      <c r="J24" s="2"/>
      <c r="K24" s="2"/>
      <c r="M24"/>
      <c r="N24"/>
      <c r="O24"/>
    </row>
    <row r="25" spans="2:15">
      <c r="B25" s="2" t="s">
        <v>113</v>
      </c>
      <c r="C25" s="5" t="s">
        <v>1490</v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5" s="1">
        <f>MAX(0,الحد_الأدنى-ملخص_المجموعات[[#This Row],[مجموع الفرق]])</f>
        <v>0</v>
      </c>
      <c r="I25" s="2"/>
      <c r="J25" s="2"/>
      <c r="K25" s="2"/>
      <c r="M25"/>
      <c r="N25"/>
      <c r="O25"/>
    </row>
    <row r="26" spans="2:15">
      <c r="B26" s="2" t="s">
        <v>113</v>
      </c>
      <c r="C26" s="5" t="s">
        <v>1284</v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6" s="1">
        <f>MAX(0,الحد_الأدنى-ملخص_المجموعات[[#This Row],[مجموع الفرق]])</f>
        <v>0</v>
      </c>
      <c r="I26" s="2"/>
      <c r="J26" s="2"/>
      <c r="K26" s="2"/>
      <c r="M26"/>
      <c r="N26"/>
      <c r="O26"/>
    </row>
    <row r="27" spans="2:15">
      <c r="B27" s="2" t="s">
        <v>118</v>
      </c>
      <c r="C27" s="5" t="s">
        <v>44</v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7" s="1">
        <f>MAX(0,الحد_الأدنى-ملخص_المجموعات[[#This Row],[مجموع الفرق]])</f>
        <v>0</v>
      </c>
      <c r="I27" s="2"/>
      <c r="J27" s="2"/>
      <c r="K27" s="2"/>
      <c r="M27"/>
      <c r="N27"/>
      <c r="O27"/>
    </row>
    <row r="28" spans="2:15">
      <c r="B28" s="2" t="s">
        <v>118</v>
      </c>
      <c r="C28" s="5" t="s">
        <v>25</v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8" s="1">
        <f>MAX(0,الحد_الأدنى-ملخص_المجموعات[[#This Row],[مجموع الفرق]])</f>
        <v>0</v>
      </c>
      <c r="I28" s="2"/>
      <c r="J28" s="2"/>
      <c r="K28" s="2"/>
      <c r="M28"/>
      <c r="N28"/>
      <c r="O28"/>
    </row>
    <row r="29" spans="2:15">
      <c r="B29" s="2" t="s">
        <v>115</v>
      </c>
      <c r="C29" s="5" t="s">
        <v>28</v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9" s="1">
        <f>MAX(0,الحد_الأدنى-ملخص_المجموعات[[#This Row],[مجموع الفرق]])</f>
        <v>0</v>
      </c>
      <c r="I29" s="2"/>
      <c r="J29" s="2"/>
      <c r="K29" s="2"/>
      <c r="M29"/>
      <c r="N29"/>
      <c r="O29"/>
    </row>
    <row r="30" spans="2:15">
      <c r="B30" s="2" t="s">
        <v>115</v>
      </c>
      <c r="C30" s="5" t="s">
        <v>11</v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0" s="1">
        <f>MAX(0,الحد_الأدنى-ملخص_المجموعات[[#This Row],[مجموع الفرق]])</f>
        <v>0</v>
      </c>
      <c r="I30" s="2"/>
      <c r="J30" s="2"/>
      <c r="K30" s="2"/>
      <c r="M30"/>
      <c r="N30"/>
      <c r="O30"/>
    </row>
    <row r="31" spans="2:15">
      <c r="B31" s="2" t="s">
        <v>4</v>
      </c>
      <c r="C31" s="5" t="s">
        <v>1055</v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1" s="1">
        <f>MAX(0,الحد_الأدنى-ملخص_المجموعات[[#This Row],[مجموع الفرق]])</f>
        <v>0</v>
      </c>
      <c r="I31" s="2"/>
      <c r="J31" s="2"/>
      <c r="K31" s="2"/>
      <c r="M31"/>
      <c r="N31"/>
      <c r="O31"/>
    </row>
    <row r="32" spans="2:15">
      <c r="B32" s="2" t="s">
        <v>4</v>
      </c>
      <c r="C32" s="5" t="s">
        <v>17</v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2" s="1">
        <f>MAX(0,الحد_الأدنى-ملخص_المجموعات[[#This Row],[مجموع الفرق]])</f>
        <v>0</v>
      </c>
      <c r="I32" s="2"/>
      <c r="J32" s="2"/>
      <c r="K32" s="2"/>
      <c r="M32"/>
      <c r="N32"/>
      <c r="O32"/>
    </row>
    <row r="33" spans="2:15">
      <c r="B33" s="2" t="s">
        <v>112</v>
      </c>
      <c r="C33" s="5" t="s">
        <v>28</v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3" s="1">
        <f>MAX(0,الحد_الأدنى-ملخص_المجموعات[[#This Row],[مجموع الفرق]])</f>
        <v>0</v>
      </c>
      <c r="I33" s="2"/>
      <c r="J33" s="2"/>
      <c r="K33" s="2"/>
      <c r="M33"/>
      <c r="N33"/>
      <c r="O33"/>
    </row>
    <row r="34" spans="2:15">
      <c r="B34" s="2" t="s">
        <v>112</v>
      </c>
      <c r="C34" s="5" t="s">
        <v>1055</v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4" s="1">
        <f>MAX(0,الحد_الأدنى-ملخص_المجموعات[[#This Row],[مجموع الفرق]])</f>
        <v>0</v>
      </c>
      <c r="I34" s="2"/>
      <c r="J34" s="2"/>
      <c r="K34" s="2"/>
      <c r="M34"/>
      <c r="N34"/>
      <c r="O34"/>
    </row>
    <row r="35" spans="2:15">
      <c r="B35" s="2" t="s">
        <v>112</v>
      </c>
      <c r="C35" s="5" t="s">
        <v>1490</v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5" s="1">
        <f>MAX(0,الحد_الأدنى-ملخص_المجموعات[[#This Row],[مجموع الفرق]])</f>
        <v>0</v>
      </c>
      <c r="I35" s="2"/>
      <c r="J35" s="2"/>
      <c r="K35" s="2"/>
      <c r="M35"/>
      <c r="N35"/>
      <c r="O35"/>
    </row>
    <row r="36" spans="2:15">
      <c r="B36" s="2" t="s">
        <v>113</v>
      </c>
      <c r="C36" s="5" t="s">
        <v>1055</v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6" s="1">
        <f>MAX(0,الحد_الأدنى-ملخص_المجموعات[[#This Row],[مجموع الفرق]])</f>
        <v>0</v>
      </c>
      <c r="I36"/>
      <c r="J36"/>
      <c r="K36"/>
    </row>
    <row r="37" spans="2:15">
      <c r="B37" s="2" t="s">
        <v>113</v>
      </c>
      <c r="C37" s="5" t="s">
        <v>9</v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7" s="1">
        <f>MAX(0,الحد_الأدنى-ملخص_المجموعات[[#This Row],[مجموع الفرق]])</f>
        <v>0</v>
      </c>
      <c r="I37"/>
      <c r="J37"/>
      <c r="K37"/>
    </row>
    <row r="38" spans="2:15">
      <c r="B38" s="2" t="s">
        <v>114</v>
      </c>
      <c r="C38" s="5" t="s">
        <v>1285</v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8" s="1">
        <f>MAX(0,الحد_الأدنى-ملخص_المجموعات[[#This Row],[مجموع الفرق]])</f>
        <v>0</v>
      </c>
      <c r="I38"/>
      <c r="J38"/>
      <c r="K38"/>
    </row>
    <row r="39" spans="2:15">
      <c r="B39" s="2" t="s">
        <v>117</v>
      </c>
      <c r="C39" s="5" t="s">
        <v>577</v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9" s="1">
        <f>MAX(0,الحد_الأدنى-ملخص_المجموعات[[#This Row],[مجموع الفرق]])</f>
        <v>0</v>
      </c>
      <c r="I39"/>
      <c r="J39"/>
      <c r="K39"/>
    </row>
    <row r="40" spans="2:15">
      <c r="B40" s="2" t="s">
        <v>117</v>
      </c>
      <c r="C40" s="5" t="s">
        <v>1055</v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0" s="1">
        <f>MAX(0,الحد_الأدنى-ملخص_المجموعات[[#This Row],[مجموع الفرق]])</f>
        <v>0</v>
      </c>
      <c r="I40"/>
      <c r="J40"/>
      <c r="K40"/>
    </row>
    <row r="41" spans="2:15">
      <c r="B41" s="2" t="s">
        <v>117</v>
      </c>
      <c r="C41" s="5" t="s">
        <v>33</v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1" s="1">
        <f>MAX(0,الحد_الأدنى-ملخص_المجموعات[[#This Row],[مجموع الفرق]])</f>
        <v>0</v>
      </c>
    </row>
    <row r="42" spans="2:15">
      <c r="B42" s="2" t="s">
        <v>117</v>
      </c>
      <c r="C42" s="5" t="s">
        <v>1285</v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2" s="1">
        <f>MAX(0,الحد_الأدنى-ملخص_المجموعات[[#This Row],[مجموع الفرق]])</f>
        <v>0</v>
      </c>
    </row>
    <row r="43" spans="2:15">
      <c r="B43" s="2" t="s">
        <v>118</v>
      </c>
      <c r="C43" s="5" t="s">
        <v>23</v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3" s="1">
        <f>MAX(0,الحد_الأدنى-ملخص_المجموعات[[#This Row],[مجموع الفرق]])</f>
        <v>0</v>
      </c>
    </row>
    <row r="44" spans="2:15">
      <c r="B44" s="2" t="s">
        <v>118</v>
      </c>
      <c r="C44" s="5" t="s">
        <v>28</v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4" s="1">
        <f>MAX(0,الحد_الأدنى-ملخص_المجموعات[[#This Row],[مجموع الفرق]])</f>
        <v>0</v>
      </c>
    </row>
    <row r="45" spans="2:15">
      <c r="B45" s="2" t="s">
        <v>118</v>
      </c>
      <c r="C45" s="5" t="s">
        <v>1055</v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5" s="1">
        <f>MAX(0,الحد_الأدنى-ملخص_المجموعات[[#This Row],[مجموع الفرق]])</f>
        <v>0</v>
      </c>
    </row>
    <row r="46" spans="2:15">
      <c r="B46" s="2" t="s">
        <v>118</v>
      </c>
      <c r="C46" s="5" t="s">
        <v>11</v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6" s="1">
        <f>MAX(0,الحد_الأدنى-ملخص_المجموعات[[#This Row],[مجموع الفرق]])</f>
        <v>0</v>
      </c>
    </row>
    <row r="47" spans="2:15">
      <c r="B47" s="2" t="s">
        <v>118</v>
      </c>
      <c r="C47" s="5" t="s">
        <v>1283</v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7" s="1">
        <f>MAX(0,الحد_الأدنى-ملخص_المجموعات[[#This Row],[مجموع الفرق]])</f>
        <v>0</v>
      </c>
    </row>
    <row r="48" spans="2:15">
      <c r="B48" s="2" t="s">
        <v>118</v>
      </c>
      <c r="C48" s="5" t="s">
        <v>1285</v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8" s="1">
        <f>MAX(0,الحد_الأدنى-ملخص_المجموعات[[#This Row],[مجموع الفرق]])</f>
        <v>0</v>
      </c>
    </row>
    <row r="49" spans="2:7">
      <c r="B49" s="2" t="s">
        <v>115</v>
      </c>
      <c r="C49" s="5" t="s">
        <v>1055</v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9" s="1">
        <f>MAX(0,الحد_الأدنى-ملخص_المجموعات[[#This Row],[مجموع الفرق]])</f>
        <v>0</v>
      </c>
    </row>
    <row r="50" spans="2:7">
      <c r="B50" s="2" t="s">
        <v>115</v>
      </c>
      <c r="C50" s="5" t="s">
        <v>44</v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0" s="1">
        <f>MAX(0,الحد_الأدنى-ملخص_المجموعات[[#This Row],[مجموع الفرق]])</f>
        <v>0</v>
      </c>
    </row>
    <row r="51" spans="2:7">
      <c r="B51" s="2" t="s">
        <v>115</v>
      </c>
      <c r="C51" s="5" t="s">
        <v>25</v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1" s="1">
        <f>MAX(0,الحد_الأدنى-ملخص_المجموعات[[#This Row],[مجموع الفرق]])</f>
        <v>0</v>
      </c>
    </row>
    <row r="52" spans="2:7">
      <c r="B52" s="2" t="s">
        <v>115</v>
      </c>
      <c r="C52" s="5" t="s">
        <v>1285</v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2" s="1">
        <f>MAX(0,الحد_الأدنى-ملخص_المجموعات[[#This Row],[مجموع الفرق]])</f>
        <v>0</v>
      </c>
    </row>
    <row r="53" spans="2:7">
      <c r="B53" s="2" t="s">
        <v>4</v>
      </c>
      <c r="C53" s="5" t="s">
        <v>1489</v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3" s="1">
        <f>MAX(0,الحد_الأدنى-ملخص_المجموعات[[#This Row],[مجموع الفرق]])</f>
        <v>0</v>
      </c>
    </row>
    <row r="54" spans="2:7">
      <c r="B54" s="2" t="s">
        <v>4</v>
      </c>
      <c r="C54" s="5" t="s">
        <v>1285</v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4" s="1">
        <f>MAX(0,الحد_الأدنى-ملخص_المجموعات[[#This Row],[مجموع الفرق]])</f>
        <v>0</v>
      </c>
    </row>
    <row r="55" spans="2:7">
      <c r="B55" s="2" t="s">
        <v>4</v>
      </c>
      <c r="C55" s="5" t="s">
        <v>63</v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5" s="1">
        <f>MAX(0,الحد_الأدنى-ملخص_المجموعات[[#This Row],[مجموع الفرق]])</f>
        <v>0</v>
      </c>
    </row>
    <row r="56" spans="2:7">
      <c r="B56" s="2" t="s">
        <v>112</v>
      </c>
      <c r="C56" s="5" t="s">
        <v>25</v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6" s="1">
        <f>MAX(0,الحد_الأدنى-ملخص_المجموعات[[#This Row],[مجموع الفرق]])</f>
        <v>0</v>
      </c>
    </row>
    <row r="57" spans="2:7">
      <c r="B57" s="2" t="s">
        <v>112</v>
      </c>
      <c r="C57" s="5" t="s">
        <v>1285</v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7" s="1">
        <f>MAX(0,الحد_الأدنى-ملخص_المجموعات[[#This Row],[مجموع الفرق]])</f>
        <v>0</v>
      </c>
    </row>
    <row r="58" spans="2:7">
      <c r="B58" s="2" t="s">
        <v>113</v>
      </c>
      <c r="C58" s="5" t="s">
        <v>44</v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8" s="1">
        <f>MAX(0,الحد_الأدنى-ملخص_المجموعات[[#This Row],[مجموع الفرق]])</f>
        <v>0</v>
      </c>
    </row>
    <row r="59" spans="2:7">
      <c r="B59" s="2" t="s">
        <v>113</v>
      </c>
      <c r="C59" s="5" t="s">
        <v>18</v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9" s="1">
        <f>MAX(0,الحد_الأدنى-ملخص_المجموعات[[#This Row],[مجموع الفرق]])</f>
        <v>0</v>
      </c>
    </row>
    <row r="60" spans="2:7">
      <c r="B60" s="2" t="s">
        <v>113</v>
      </c>
      <c r="C60" s="5" t="s">
        <v>1285</v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0" s="1">
        <f>MAX(0,الحد_الأدنى-ملخص_المجموعات[[#This Row],[مجموع الفرق]])</f>
        <v>0</v>
      </c>
    </row>
    <row r="61" spans="2:7">
      <c r="B61" s="2" t="s">
        <v>114</v>
      </c>
      <c r="C61" s="5" t="s">
        <v>23</v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1" s="1">
        <f>MAX(0,الحد_الأدنى-ملخص_المجموعات[[#This Row],[مجموع الفرق]])</f>
        <v>0</v>
      </c>
    </row>
    <row r="62" spans="2:7">
      <c r="B62" s="2" t="s">
        <v>114</v>
      </c>
      <c r="C62" s="5" t="s">
        <v>1055</v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2" s="1">
        <f>MAX(0,الحد_الأدنى-ملخص_المجموعات[[#This Row],[مجموع الفرق]])</f>
        <v>0</v>
      </c>
    </row>
    <row r="63" spans="2:7">
      <c r="B63" s="2" t="s">
        <v>117</v>
      </c>
      <c r="C63" s="5" t="s">
        <v>23</v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3" s="1">
        <f>MAX(0,الحد_الأدنى-ملخص_المجموعات[[#This Row],[مجموع الفرق]])</f>
        <v>0</v>
      </c>
    </row>
    <row r="64" spans="2:7">
      <c r="B64" s="2" t="s">
        <v>117</v>
      </c>
      <c r="C64" s="5" t="s">
        <v>1283</v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4" s="1">
        <f>MAX(0,الحد_الأدنى-ملخص_المجموعات[[#This Row],[مجموع الفرق]])</f>
        <v>0</v>
      </c>
    </row>
    <row r="65" spans="2:7">
      <c r="B65" s="2" t="s">
        <v>115</v>
      </c>
      <c r="C65" s="5" t="s">
        <v>23</v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5" s="1">
        <f>MAX(0,الحد_الأدنى-ملخص_المجموعات[[#This Row],[مجموع الفرق]])</f>
        <v>0</v>
      </c>
    </row>
    <row r="66" spans="2:7">
      <c r="B66" s="2" t="s">
        <v>4</v>
      </c>
      <c r="C66" s="5" t="s">
        <v>20</v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6" s="1">
        <f>MAX(0,الحد_الأدنى-ملخص_المجموعات[[#This Row],[مجموع الفرق]])</f>
        <v>0</v>
      </c>
    </row>
    <row r="67" spans="2:7">
      <c r="B67" s="2" t="s">
        <v>4</v>
      </c>
      <c r="C67" s="5" t="s">
        <v>25</v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7" s="1">
        <f>MAX(0,الحد_الأدنى-ملخص_المجموعات[[#This Row],[مجموع الفرق]])</f>
        <v>0</v>
      </c>
    </row>
    <row r="68" spans="2:7">
      <c r="B68" s="2" t="s">
        <v>4</v>
      </c>
      <c r="C68" s="5" t="s">
        <v>39</v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8" s="1">
        <f>MAX(0,الحد_الأدنى-ملخص_المجموعات[[#This Row],[مجموع الفرق]])</f>
        <v>0</v>
      </c>
    </row>
    <row r="69" spans="2:7">
      <c r="B69" s="2" t="s">
        <v>112</v>
      </c>
      <c r="C69" s="5" t="s">
        <v>16</v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9" s="1">
        <f>MAX(0,الحد_الأدنى-ملخص_المجموعات[[#This Row],[مجموع الفرق]])</f>
        <v>0</v>
      </c>
    </row>
    <row r="70" spans="2:7">
      <c r="B70" s="2" t="s">
        <v>112</v>
      </c>
      <c r="C70" s="5" t="s">
        <v>63</v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0" s="1">
        <f>MAX(0,الحد_الأدنى-ملخص_المجموعات[[#This Row],[مجموع الفرق]])</f>
        <v>0</v>
      </c>
    </row>
    <row r="71" spans="2:7">
      <c r="B71" s="2" t="s">
        <v>113</v>
      </c>
      <c r="C71" s="5" t="s">
        <v>63</v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1" s="1">
        <f>MAX(0,الحد_الأدنى-ملخص_المجموعات[[#This Row],[مجموع الفرق]])</f>
        <v>0</v>
      </c>
    </row>
    <row r="72" spans="2:7">
      <c r="B72" s="2" t="s">
        <v>114</v>
      </c>
      <c r="C72" s="5" t="s">
        <v>1283</v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2" s="1">
        <f>MAX(0,الحد_الأدنى-ملخص_المجموعات[[#This Row],[مجموع الفرق]])</f>
        <v>0</v>
      </c>
    </row>
    <row r="73" spans="2:7">
      <c r="B73" s="2" t="s">
        <v>114</v>
      </c>
      <c r="C73" s="5" t="s">
        <v>11</v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3" s="1">
        <f>MAX(0,الحد_الأدنى-ملخص_المجموعات[[#This Row],[مجموع الفرق]])</f>
        <v>0</v>
      </c>
    </row>
    <row r="74" spans="2:7">
      <c r="B74" s="2" t="s">
        <v>114</v>
      </c>
      <c r="C74" s="5" t="s">
        <v>7</v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4" s="1">
        <f>MAX(0,الحد_الأدنى-ملخص_المجموعات[[#This Row],[مجموع الفرق]])</f>
        <v>0</v>
      </c>
    </row>
    <row r="75" spans="2:7">
      <c r="B75" s="2" t="s">
        <v>114</v>
      </c>
      <c r="C75" s="5" t="s">
        <v>25</v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5" s="1">
        <f>MAX(0,الحد_الأدنى-ملخص_المجموعات[[#This Row],[مجموع الفرق]])</f>
        <v>0</v>
      </c>
    </row>
    <row r="76" spans="2:7">
      <c r="B76" s="2" t="s">
        <v>114</v>
      </c>
      <c r="C76" s="5" t="s">
        <v>39</v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6" s="1">
        <f>MAX(0,الحد_الأدنى-ملخص_المجموعات[[#This Row],[مجموع الفرق]])</f>
        <v>0</v>
      </c>
    </row>
    <row r="77" spans="2:7">
      <c r="B77" s="2" t="s">
        <v>114</v>
      </c>
      <c r="C77" s="5" t="s">
        <v>63</v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7" s="1">
        <f>MAX(0,الحد_الأدنى-ملخص_المجموعات[[#This Row],[مجموع الفرق]])</f>
        <v>0</v>
      </c>
    </row>
    <row r="78" spans="2:7">
      <c r="B78" s="2" t="s">
        <v>117</v>
      </c>
      <c r="C78" s="5" t="s">
        <v>39</v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8" s="1">
        <f>MAX(0,الحد_الأدنى-ملخص_المجموعات[[#This Row],[مجموع الفرق]])</f>
        <v>0</v>
      </c>
    </row>
    <row r="79" spans="2:7">
      <c r="B79" s="2" t="s">
        <v>117</v>
      </c>
      <c r="C79" s="5" t="s">
        <v>63</v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9" s="1">
        <f>MAX(0,الحد_الأدنى-ملخص_المجموعات[[#This Row],[مجموع الفرق]])</f>
        <v>0</v>
      </c>
    </row>
    <row r="80" spans="2:7">
      <c r="B80" s="2" t="s">
        <v>118</v>
      </c>
      <c r="C80" s="5" t="s">
        <v>7</v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0" s="1">
        <f>MAX(0,الحد_الأدنى-ملخص_المجموعات[[#This Row],[مجموع الفرق]])</f>
        <v>0</v>
      </c>
    </row>
    <row r="81" spans="2:7">
      <c r="B81" s="2" t="s">
        <v>118</v>
      </c>
      <c r="C81" s="5" t="s">
        <v>16</v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1" s="1">
        <f>MAX(0,الحد_الأدنى-ملخص_المجموعات[[#This Row],[مجموع الفرق]])</f>
        <v>0</v>
      </c>
    </row>
    <row r="82" spans="2:7">
      <c r="B82" s="2" t="s">
        <v>118</v>
      </c>
      <c r="C82" s="5" t="s">
        <v>17</v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2" s="1">
        <f>MAX(0,الحد_الأدنى-ملخص_المجموعات[[#This Row],[مجموع الفرق]])</f>
        <v>0</v>
      </c>
    </row>
    <row r="83" spans="2:7">
      <c r="B83" s="2" t="s">
        <v>118</v>
      </c>
      <c r="C83" s="5" t="s">
        <v>39</v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3" s="1">
        <f>MAX(0,الحد_الأدنى-ملخص_المجموعات[[#This Row],[مجموع الفرق]])</f>
        <v>0</v>
      </c>
    </row>
    <row r="84" spans="2:7">
      <c r="B84" s="2" t="s">
        <v>118</v>
      </c>
      <c r="C84" s="5" t="s">
        <v>63</v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4" s="1">
        <f>MAX(0,الحد_الأدنى-ملخص_المجموعات[[#This Row],[مجموع الفرق]])</f>
        <v>0</v>
      </c>
    </row>
    <row r="85" spans="2:7">
      <c r="B85" s="2" t="s">
        <v>115</v>
      </c>
      <c r="C85" s="5" t="s">
        <v>17</v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5" s="1">
        <f>MAX(0,الحد_الأدنى-ملخص_المجموعات[[#This Row],[مجموع الفرق]])</f>
        <v>0</v>
      </c>
    </row>
    <row r="86" spans="2:7">
      <c r="B86" s="2" t="s">
        <v>115</v>
      </c>
      <c r="C86" s="5" t="s">
        <v>63</v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6" s="1">
        <f>MAX(0,الحد_الأدنى-ملخص_المجموعات[[#This Row],[مجموع الفرق]])</f>
        <v>0</v>
      </c>
    </row>
    <row r="87" spans="2:7">
      <c r="B87" s="2" t="s">
        <v>115</v>
      </c>
      <c r="C87" s="5" t="s">
        <v>39</v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7" s="1">
        <f>MAX(0,الحد_الأدنى-ملخص_المجموعات[[#This Row],[مجموع الفرق]])</f>
        <v>0</v>
      </c>
    </row>
    <row r="88" spans="2:7">
      <c r="B88" s="2" t="s">
        <v>112</v>
      </c>
      <c r="C88" s="5" t="s">
        <v>17</v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8" s="1">
        <f>MAX(0,الحد_الأدنى-ملخص_المجموعات[[#This Row],[مجموع الفرق]])</f>
        <v>0</v>
      </c>
    </row>
    <row r="89" spans="2:7">
      <c r="B89" s="2" t="s">
        <v>112</v>
      </c>
      <c r="C89" s="5" t="s">
        <v>39</v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9" s="1">
        <f>MAX(0,الحد_الأدنى-ملخص_المجموعات[[#This Row],[مجموع الفرق]])</f>
        <v>0</v>
      </c>
    </row>
    <row r="90" spans="2:7">
      <c r="B90" s="2" t="s">
        <v>113</v>
      </c>
      <c r="C90" s="5" t="s">
        <v>39</v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90" s="1">
        <f>MAX(0,الحد_الأدنى-ملخص_المجموعات[[#This Row],[مجموع الفرق]])</f>
        <v>0</v>
      </c>
    </row>
    <row r="91" spans="2:7">
      <c r="B91" s="2" t="s">
        <v>114</v>
      </c>
      <c r="C91" s="5" t="s">
        <v>44</v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1" s="1">
        <f>MAX(0,الحد_الأدنى-ملخص_المجموعات[[#This Row],[مجموع الفرق]])</f>
        <v>0</v>
      </c>
    </row>
    <row r="92" spans="2:7">
      <c r="B92" s="2" t="s">
        <v>114</v>
      </c>
      <c r="C92" s="5" t="s">
        <v>1559</v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2" s="1">
        <f>MAX(0,الحد_الأدنى-ملخص_المجموعات[[#This Row],[مجموع الفرق]])</f>
        <v>0</v>
      </c>
    </row>
    <row r="93" spans="2:7">
      <c r="B93" s="2" t="s">
        <v>117</v>
      </c>
      <c r="C93" s="5" t="s">
        <v>44</v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3" s="1">
        <f>MAX(0,الحد_الأدنى-ملخص_المجموعات[[#This Row],[مجموع الفرق]])</f>
        <v>0</v>
      </c>
    </row>
    <row r="94" spans="2:7">
      <c r="B94" s="2" t="s">
        <v>117</v>
      </c>
      <c r="C94" s="5" t="s">
        <v>25</v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4" s="1">
        <f>MAX(0,الحد_الأدنى-ملخص_المجموعات[[#This Row],[مجموع الفرق]])</f>
        <v>0</v>
      </c>
    </row>
    <row r="95" spans="2:7">
      <c r="B95" s="2" t="s">
        <v>115</v>
      </c>
      <c r="C95" s="5" t="s">
        <v>1283</v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5" s="1">
        <f>MAX(0,الحد_الأدنى-ملخص_المجموعات[[#This Row],[مجموع الفرق]])</f>
        <v>0</v>
      </c>
    </row>
    <row r="96" spans="2:7">
      <c r="B96" s="2" t="s">
        <v>115</v>
      </c>
      <c r="C96" s="5" t="s">
        <v>18</v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6" s="1">
        <f>MAX(0,الحد_الأدنى-ملخص_المجموعات[[#This Row],[مجموع الفرق]])</f>
        <v>0</v>
      </c>
    </row>
    <row r="97" spans="2:7">
      <c r="B97" s="2" t="s">
        <v>4</v>
      </c>
      <c r="C97" s="5" t="s">
        <v>14</v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7" s="1">
        <f>MAX(0,الحد_الأدنى-ملخص_المجموعات[[#This Row],[مجموع الفرق]])</f>
        <v>0</v>
      </c>
    </row>
    <row r="98" spans="2:7">
      <c r="B98" s="2" t="s">
        <v>113</v>
      </c>
      <c r="C98" s="5" t="s">
        <v>7</v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8" s="1">
        <f>MAX(0,الحد_الأدنى-ملخص_المجموعات[[#This Row],[مجموع الفرق]])</f>
        <v>0</v>
      </c>
    </row>
    <row r="99" spans="2:7">
      <c r="B99" s="2" t="s">
        <v>113</v>
      </c>
      <c r="C99" s="5" t="s">
        <v>25</v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9" s="1">
        <f>MAX(0,الحد_الأدنى-ملخص_المجموعات[[#This Row],[مجموع الفرق]])</f>
        <v>0</v>
      </c>
    </row>
    <row r="100" spans="2:7">
      <c r="B100" s="2" t="s">
        <v>117</v>
      </c>
      <c r="C100" s="5" t="s">
        <v>28</v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0" s="1">
        <f>MAX(0,الحد_الأدنى-ملخص_المجموعات[[#This Row],[مجموع الفرق]])</f>
        <v>0</v>
      </c>
    </row>
    <row r="101" spans="2:7">
      <c r="B101" s="2" t="s">
        <v>117</v>
      </c>
      <c r="C101" s="5" t="s">
        <v>18</v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1" s="1">
        <f>MAX(0,الحد_الأدنى-ملخص_المجموعات[[#This Row],[مجموع الفرق]])</f>
        <v>0</v>
      </c>
    </row>
    <row r="102" spans="2:7">
      <c r="B102" s="2" t="s">
        <v>117</v>
      </c>
      <c r="C102" s="5" t="s">
        <v>1559</v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2" s="1">
        <f>MAX(0,الحد_الأدنى-ملخص_المجموعات[[#This Row],[مجموع الفرق]])</f>
        <v>0</v>
      </c>
    </row>
    <row r="103" spans="2:7">
      <c r="B103" s="2" t="s">
        <v>115</v>
      </c>
      <c r="C103" s="5" t="s">
        <v>16</v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3" s="1">
        <f>MAX(0,الحد_الأدنى-ملخص_المجموعات[[#This Row],[مجموع الفرق]])</f>
        <v>0</v>
      </c>
    </row>
    <row r="104" spans="2:7">
      <c r="B104" s="2" t="s">
        <v>115</v>
      </c>
      <c r="C104" s="5" t="s">
        <v>1489</v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4" s="1">
        <f>MAX(0,الحد_الأدنى-ملخص_المجموعات[[#This Row],[مجموع الفرق]])</f>
        <v>0</v>
      </c>
    </row>
    <row r="105" spans="2:7">
      <c r="B105" s="2" t="s">
        <v>4</v>
      </c>
      <c r="C105" s="5" t="s">
        <v>42</v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5" s="1">
        <f>MAX(0,الحد_الأدنى-ملخص_المجموعات[[#This Row],[مجموع الفرق]])</f>
        <v>0</v>
      </c>
    </row>
    <row r="106" spans="2:7">
      <c r="B106" s="2" t="s">
        <v>4</v>
      </c>
      <c r="C106" s="5" t="s">
        <v>1283</v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6" s="1">
        <f>MAX(0,الحد_الأدنى-ملخص_المجموعات[[#This Row],[مجموع الفرق]])</f>
        <v>0</v>
      </c>
    </row>
    <row r="107" spans="2:7">
      <c r="B107" s="2" t="s">
        <v>112</v>
      </c>
      <c r="C107" s="5" t="s">
        <v>1283</v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7" s="1">
        <f>MAX(0,الحد_الأدنى-ملخص_المجموعات[[#This Row],[مجموع الفرق]])</f>
        <v>0</v>
      </c>
    </row>
    <row r="108" spans="2:7">
      <c r="B108" s="2" t="s">
        <v>113</v>
      </c>
      <c r="C108" s="5" t="s">
        <v>28</v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8" s="1">
        <f>MAX(0,الحد_الأدنى-ملخص_المجموعات[[#This Row],[مجموع الفرق]])</f>
        <v>0</v>
      </c>
    </row>
    <row r="109" spans="2:7">
      <c r="B109" s="2" t="s">
        <v>114</v>
      </c>
      <c r="C109" s="5" t="s">
        <v>28</v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09" s="1">
        <f>MAX(0,الحد_الأدنى-ملخص_المجموعات[[#This Row],[مجموع الفرق]])</f>
        <v>0</v>
      </c>
    </row>
    <row r="110" spans="2:7">
      <c r="B110" s="2" t="s">
        <v>118</v>
      </c>
      <c r="C110" s="5" t="s">
        <v>18</v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0" s="1">
        <f>MAX(0,الحد_الأدنى-ملخص_المجموعات[[#This Row],[مجموع الفرق]])</f>
        <v>0</v>
      </c>
    </row>
    <row r="111" spans="2:7">
      <c r="B111" s="2" t="s">
        <v>118</v>
      </c>
      <c r="C111" s="5" t="s">
        <v>20</v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1" s="1">
        <f>MAX(0,الحد_الأدنى-ملخص_المجموعات[[#This Row],[مجموع الفرق]])</f>
        <v>0</v>
      </c>
    </row>
    <row r="112" spans="2:7">
      <c r="B112" s="2" t="s">
        <v>4</v>
      </c>
      <c r="C112" s="5" t="s">
        <v>8</v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2" s="1">
        <f>MAX(0,الحد_الأدنى-ملخص_المجموعات[[#This Row],[مجموع الفرق]])</f>
        <v>0</v>
      </c>
    </row>
    <row r="113" spans="2:7">
      <c r="B113" s="2" t="s">
        <v>4</v>
      </c>
      <c r="C113" s="5" t="s">
        <v>56</v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3" s="1">
        <f>MAX(0,الحد_الأدنى-ملخص_المجموعات[[#This Row],[مجموع الفرق]])</f>
        <v>0</v>
      </c>
    </row>
    <row r="114" spans="2:7">
      <c r="B114" s="2" t="s">
        <v>112</v>
      </c>
      <c r="C114" s="5" t="s">
        <v>42</v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4" s="1">
        <f>MAX(0,الحد_الأدنى-ملخص_المجموعات[[#This Row],[مجموع الفرق]])</f>
        <v>0</v>
      </c>
    </row>
    <row r="115" spans="2:7">
      <c r="B115" s="2" t="s">
        <v>112</v>
      </c>
      <c r="C115" s="5" t="s">
        <v>14</v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5" s="1">
        <f>MAX(0,الحد_الأدنى-ملخص_المجموعات[[#This Row],[مجموع الفرق]])</f>
        <v>0</v>
      </c>
    </row>
    <row r="116" spans="2:7">
      <c r="B116" s="2" t="s">
        <v>114</v>
      </c>
      <c r="C116" s="5" t="s">
        <v>1489</v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6" s="1">
        <f>MAX(0,الحد_الأدنى-ملخص_المجموعات[[#This Row],[مجموع الفرق]])</f>
        <v>0</v>
      </c>
    </row>
    <row r="117" spans="2:7">
      <c r="B117" s="2" t="s">
        <v>114</v>
      </c>
      <c r="C117" s="5" t="s">
        <v>18</v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7" s="1">
        <f>MAX(0,الحد_الأدنى-ملخص_المجموعات[[#This Row],[مجموع الفرق]])</f>
        <v>0</v>
      </c>
    </row>
    <row r="118" spans="2:7">
      <c r="B118" s="2" t="s">
        <v>117</v>
      </c>
      <c r="C118" s="5" t="s">
        <v>1489</v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8" s="1">
        <f>MAX(0,الحد_الأدنى-ملخص_المجموعات[[#This Row],[مجموع الفرق]])</f>
        <v>0</v>
      </c>
    </row>
    <row r="119" spans="2:7">
      <c r="B119" s="2" t="s">
        <v>117</v>
      </c>
      <c r="C119" s="5" t="s">
        <v>11</v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9" s="1">
        <f>MAX(0,الحد_الأدنى-ملخص_المجموعات[[#This Row],[مجموع الفرق]])</f>
        <v>0</v>
      </c>
    </row>
    <row r="120" spans="2:7">
      <c r="B120" s="2" t="s">
        <v>117</v>
      </c>
      <c r="C120" s="5" t="s">
        <v>16</v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0" s="1">
        <f>MAX(0,الحد_الأدنى-ملخص_المجموعات[[#This Row],[مجموع الفرق]])</f>
        <v>0</v>
      </c>
    </row>
    <row r="121" spans="2:7">
      <c r="B121" s="2" t="s">
        <v>118</v>
      </c>
      <c r="C121" s="5" t="s">
        <v>1489</v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1" s="1">
        <f>MAX(0,الحد_الأدنى-ملخص_المجموعات[[#This Row],[مجموع الفرق]])</f>
        <v>0</v>
      </c>
    </row>
    <row r="122" spans="2:7">
      <c r="B122" s="2" t="s">
        <v>118</v>
      </c>
      <c r="C122" s="5" t="s">
        <v>56</v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2" s="1">
        <f>MAX(0,الحد_الأدنى-ملخص_المجموعات[[#This Row],[مجموع الفرق]])</f>
        <v>0</v>
      </c>
    </row>
    <row r="123" spans="2:7">
      <c r="B123" s="2" t="s">
        <v>115</v>
      </c>
      <c r="C123" s="5" t="s">
        <v>56</v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3" s="1">
        <f>MAX(0,الحد_الأدنى-ملخص_المجموعات[[#This Row],[مجموع الفرق]])</f>
        <v>0</v>
      </c>
    </row>
    <row r="124" spans="2:7">
      <c r="B124" s="2" t="s">
        <v>113</v>
      </c>
      <c r="C124" s="5" t="s">
        <v>42</v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4" s="1">
        <f>MAX(0,الحد_الأدنى-ملخص_المجموعات[[#This Row],[مجموع الفرق]])</f>
        <v>0</v>
      </c>
    </row>
    <row r="125" spans="2:7">
      <c r="B125" s="2" t="s">
        <v>113</v>
      </c>
      <c r="C125" s="5" t="s">
        <v>16</v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5" s="1">
        <f>MAX(0,الحد_الأدنى-ملخص_المجموعات[[#This Row],[مجموع الفرق]])</f>
        <v>0</v>
      </c>
    </row>
    <row r="126" spans="2:7">
      <c r="B126" s="2" t="s">
        <v>114</v>
      </c>
      <c r="C126" s="5" t="s">
        <v>42</v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6" s="1">
        <f>MAX(0,الحد_الأدنى-ملخص_المجموعات[[#This Row],[مجموع الفرق]])</f>
        <v>0</v>
      </c>
    </row>
    <row r="127" spans="2:7">
      <c r="B127" s="2" t="s">
        <v>114</v>
      </c>
      <c r="C127" s="5" t="s">
        <v>14</v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7" s="1">
        <f>MAX(0,الحد_الأدنى-ملخص_المجموعات[[#This Row],[مجموع الفرق]])</f>
        <v>0</v>
      </c>
    </row>
    <row r="128" spans="2:7">
      <c r="B128" s="2" t="s">
        <v>117</v>
      </c>
      <c r="C128" s="5" t="s">
        <v>7</v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8" s="1">
        <f>MAX(0,الحد_الأدنى-ملخص_المجموعات[[#This Row],[مجموع الفرق]])</f>
        <v>0</v>
      </c>
    </row>
    <row r="129" spans="2:7">
      <c r="B129" s="2" t="s">
        <v>117</v>
      </c>
      <c r="C129" s="5" t="s">
        <v>42</v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9" s="1">
        <f>MAX(0,الحد_الأدنى-ملخص_المجموعات[[#This Row],[مجموع الفرق]])</f>
        <v>0</v>
      </c>
    </row>
    <row r="130" spans="2:7">
      <c r="B130" s="2" t="s">
        <v>115</v>
      </c>
      <c r="C130" s="5" t="s">
        <v>7</v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0" s="1">
        <f>MAX(0,الحد_الأدنى-ملخص_المجموعات[[#This Row],[مجموع الفرق]])</f>
        <v>0</v>
      </c>
    </row>
    <row r="131" spans="2:7">
      <c r="B131" s="2" t="s">
        <v>115</v>
      </c>
      <c r="C131" s="5" t="s">
        <v>42</v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1" s="1">
        <f>MAX(0,الحد_الأدنى-ملخص_المجموعات[[#This Row],[مجموع الفرق]])</f>
        <v>0</v>
      </c>
    </row>
    <row r="132" spans="2:7">
      <c r="B132" s="2" t="s">
        <v>4</v>
      </c>
      <c r="C132" s="5" t="s">
        <v>32</v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2" s="1">
        <f>MAX(0,الحد_الأدنى-ملخص_المجموعات[[#This Row],[مجموع الفرق]])</f>
        <v>0</v>
      </c>
    </row>
    <row r="133" spans="2:7">
      <c r="B133" s="2" t="s">
        <v>112</v>
      </c>
      <c r="C133" s="5" t="s">
        <v>56</v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3" s="1">
        <f>MAX(0,الحد_الأدنى-ملخص_المجموعات[[#This Row],[مجموع الفرق]])</f>
        <v>0</v>
      </c>
    </row>
    <row r="134" spans="2:7">
      <c r="B134" s="2" t="s">
        <v>113</v>
      </c>
      <c r="C134" s="5" t="s">
        <v>17</v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4" s="1">
        <f>MAX(0,الحد_الأدنى-ملخص_المجموعات[[#This Row],[مجموع الفرق]])</f>
        <v>0</v>
      </c>
    </row>
    <row r="135" spans="2:7">
      <c r="B135" s="2" t="s">
        <v>113</v>
      </c>
      <c r="C135" s="5" t="s">
        <v>1283</v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5" s="1">
        <f>MAX(0,الحد_الأدنى-ملخص_المجموعات[[#This Row],[مجموع الفرق]])</f>
        <v>0</v>
      </c>
    </row>
    <row r="136" spans="2:7">
      <c r="B136" s="2" t="s">
        <v>113</v>
      </c>
      <c r="C136" s="5" t="s">
        <v>14</v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6" s="1">
        <f>MAX(0,الحد_الأدنى-ملخص_المجموعات[[#This Row],[مجموع الفرق]])</f>
        <v>0</v>
      </c>
    </row>
    <row r="137" spans="2:7">
      <c r="B137" s="2" t="s">
        <v>114</v>
      </c>
      <c r="C137" s="5" t="s">
        <v>16</v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7" s="1">
        <f>MAX(0,الحد_الأدنى-ملخص_المجموعات[[#This Row],[مجموع الفرق]])</f>
        <v>0</v>
      </c>
    </row>
    <row r="138" spans="2:7">
      <c r="B138" s="2" t="s">
        <v>114</v>
      </c>
      <c r="C138" s="5" t="s">
        <v>17</v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8" s="1">
        <f>MAX(0,الحد_الأدنى-ملخص_المجموعات[[#This Row],[مجموع الفرق]])</f>
        <v>0</v>
      </c>
    </row>
    <row r="139" spans="2:7">
      <c r="B139" s="2" t="s">
        <v>114</v>
      </c>
      <c r="C139" s="5" t="s">
        <v>56</v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9" s="1">
        <f>MAX(0,الحد_الأدنى-ملخص_المجموعات[[#This Row],[مجموع الفرق]])</f>
        <v>0</v>
      </c>
    </row>
    <row r="140" spans="2:7">
      <c r="B140" s="2" t="s">
        <v>117</v>
      </c>
      <c r="C140" s="5" t="s">
        <v>14</v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0" s="1">
        <f>MAX(0,الحد_الأدنى-ملخص_المجموعات[[#This Row],[مجموع الفرق]])</f>
        <v>0</v>
      </c>
    </row>
    <row r="141" spans="2:7">
      <c r="B141" s="2" t="s">
        <v>117</v>
      </c>
      <c r="C141" s="5" t="s">
        <v>56</v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1" s="1">
        <f>MAX(0,الحد_الأدنى-ملخص_المجموعات[[#This Row],[مجموع الفرق]])</f>
        <v>0</v>
      </c>
    </row>
    <row r="142" spans="2:7">
      <c r="B142" s="2" t="s">
        <v>118</v>
      </c>
      <c r="C142" s="5" t="s">
        <v>42</v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2" s="1">
        <f>MAX(0,الحد_الأدنى-ملخص_المجموعات[[#This Row],[مجموع الفرق]])</f>
        <v>0</v>
      </c>
    </row>
    <row r="143" spans="2:7">
      <c r="B143" s="2" t="s">
        <v>118</v>
      </c>
      <c r="C143" s="5" t="s">
        <v>14</v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3" s="1">
        <f>MAX(0,الحد_الأدنى-ملخص_المجموعات[[#This Row],[مجموع الفرق]])</f>
        <v>0</v>
      </c>
    </row>
    <row r="144" spans="2:7">
      <c r="B144" s="2" t="s">
        <v>115</v>
      </c>
      <c r="C144" s="5" t="s">
        <v>20</v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4" s="1">
        <f>MAX(0,الحد_الأدنى-ملخص_المجموعات[[#This Row],[مجموع الفرق]])</f>
        <v>0</v>
      </c>
    </row>
    <row r="145" spans="2:7">
      <c r="B145" s="2" t="s">
        <v>4</v>
      </c>
      <c r="C145" s="5" t="s">
        <v>30</v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5" s="1">
        <f>MAX(0,الحد_الأدنى-ملخص_المجموعات[[#This Row],[مجموع الفرق]])</f>
        <v>0</v>
      </c>
    </row>
    <row r="146" spans="2:7">
      <c r="B146" s="2" t="s">
        <v>112</v>
      </c>
      <c r="C146" s="5" t="s">
        <v>20</v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6" s="1">
        <f>MAX(0,الحد_الأدنى-ملخص_المجموعات[[#This Row],[مجموع الفرق]])</f>
        <v>0</v>
      </c>
    </row>
    <row r="147" spans="2:7">
      <c r="B147" s="2" t="s">
        <v>112</v>
      </c>
      <c r="C147" s="5" t="s">
        <v>1489</v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7" s="1">
        <f>MAX(0,الحد_الأدنى-ملخص_المجموعات[[#This Row],[مجموع الفرق]])</f>
        <v>0</v>
      </c>
    </row>
    <row r="148" spans="2:7">
      <c r="B148" s="2" t="s">
        <v>113</v>
      </c>
      <c r="C148" s="5" t="s">
        <v>56</v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8" s="1">
        <f>MAX(0,الحد_الأدنى-ملخص_المجموعات[[#This Row],[مجموع الفرق]])</f>
        <v>0</v>
      </c>
    </row>
    <row r="149" spans="2:7">
      <c r="B149" s="2" t="s">
        <v>118</v>
      </c>
      <c r="C149" s="5" t="s">
        <v>30</v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49" s="1">
        <f>MAX(0,الحد_الأدنى-ملخص_المجموعات[[#This Row],[مجموع الفرق]])</f>
        <v>0</v>
      </c>
    </row>
    <row r="150" spans="2:7">
      <c r="B150" s="2" t="s">
        <v>115</v>
      </c>
      <c r="C150" s="5" t="s">
        <v>14</v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0" s="1">
        <f>MAX(0,الحد_الأدنى-ملخص_المجموعات[[#This Row],[مجموع الفرق]])</f>
        <v>0</v>
      </c>
    </row>
    <row r="151" spans="2:7">
      <c r="B151" s="2" t="s">
        <v>4</v>
      </c>
      <c r="C151" s="5" t="s">
        <v>13</v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1" s="1">
        <f>MAX(0,الحد_الأدنى-ملخص_المجموعات[[#This Row],[مجموع الفرق]])</f>
        <v>0</v>
      </c>
    </row>
    <row r="152" spans="2:7">
      <c r="B152" s="2" t="s">
        <v>112</v>
      </c>
      <c r="C152" s="5" t="s">
        <v>30</v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2" s="1">
        <f>MAX(0,الحد_الأدنى-ملخص_المجموعات[[#This Row],[مجموع الفرق]])</f>
        <v>0</v>
      </c>
    </row>
    <row r="153" spans="2:7">
      <c r="B153" s="2" t="s">
        <v>117</v>
      </c>
      <c r="C153" s="5" t="s">
        <v>17</v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3" s="1">
        <f>MAX(0,الحد_الأدنى-ملخص_المجموعات[[#This Row],[مجموع الفرق]])</f>
        <v>0</v>
      </c>
    </row>
    <row r="154" spans="2:7">
      <c r="B154" s="2" t="s">
        <v>112</v>
      </c>
      <c r="C154" s="5" t="s">
        <v>8</v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4" s="1">
        <f>MAX(0,الحد_الأدنى-ملخص_المجموعات[[#This Row],[مجموع الفرق]])</f>
        <v>0</v>
      </c>
    </row>
    <row r="155" spans="2:7">
      <c r="B155" s="2" t="s">
        <v>115</v>
      </c>
      <c r="C155" s="5" t="s">
        <v>30</v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5" s="1">
        <f>MAX(0,الحد_الأدنى-ملخص_المجموعات[[#This Row],[مجموع الفرق]])</f>
        <v>0</v>
      </c>
    </row>
    <row r="156" spans="2:7">
      <c r="B156" s="2" t="s">
        <v>113</v>
      </c>
      <c r="C156" s="5" t="s">
        <v>30</v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6" s="1">
        <f>MAX(0,الحد_الأدنى-ملخص_المجموعات[[#This Row],[مجموع الفرق]])</f>
        <v>0</v>
      </c>
    </row>
    <row r="157" spans="2:7">
      <c r="B157" s="2" t="s">
        <v>114</v>
      </c>
      <c r="C157" s="5" t="s">
        <v>30</v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57" s="1">
        <f>MAX(0,الحد_الأدنى-ملخص_المجموعات[[#This Row],[مجموع الفرق]])</f>
        <v>0</v>
      </c>
    </row>
    <row r="158" spans="2:7">
      <c r="B158" s="2" t="s">
        <v>112</v>
      </c>
      <c r="C158" s="5" t="s">
        <v>32</v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58" s="1">
        <f>MAX(0,الحد_الأدنى-ملخص_المجموعات[[#This Row],[مجموع الفرق]])</f>
        <v>0</v>
      </c>
    </row>
    <row r="159" spans="2:7">
      <c r="B159" s="2" t="s">
        <v>117</v>
      </c>
      <c r="C159" s="5" t="s">
        <v>30</v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59" s="1">
        <f>MAX(0,الحد_الأدنى-ملخص_المجموعات[[#This Row],[مجموع الفرق]])</f>
        <v>0</v>
      </c>
    </row>
    <row r="160" spans="2:7">
      <c r="B160" s="2" t="s">
        <v>4</v>
      </c>
      <c r="C160" s="5" t="s">
        <v>26</v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60" s="1">
        <f>MAX(0,الحد_الأدنى-ملخص_المجموعات[[#This Row],[مجموع الفرق]])</f>
        <v>0</v>
      </c>
    </row>
    <row r="161" spans="2:7">
      <c r="B161" s="2" t="s">
        <v>114</v>
      </c>
      <c r="C161" s="5" t="s">
        <v>20</v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161" s="1">
        <f>MAX(0,الحد_الأدنى-ملخص_المجموعات[[#This Row],[مجموع الفرق]])</f>
        <v>0</v>
      </c>
    </row>
    <row r="162" spans="2:7">
      <c r="B162" s="2" t="s">
        <v>118</v>
      </c>
      <c r="C162" s="5" t="s">
        <v>32</v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162" s="1">
        <f>MAX(0,الحد_الأدنى-ملخص_المجموعات[[#This Row],[مجموع الفرق]])</f>
        <v>0</v>
      </c>
    </row>
    <row r="163" spans="2:7">
      <c r="B163" s="2" t="s">
        <v>117</v>
      </c>
      <c r="C163" s="5" t="s">
        <v>20</v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63" s="1">
        <f>MAX(0,الحد_الأدنى-ملخص_المجموعات[[#This Row],[مجموع الفرق]])</f>
        <v>0</v>
      </c>
    </row>
    <row r="164" spans="2:7">
      <c r="B164" s="2" t="s">
        <v>113</v>
      </c>
      <c r="C164" s="5" t="s">
        <v>20</v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64" s="1">
        <f>MAX(0,الحد_الأدنى-ملخص_المجموعات[[#This Row],[مجموع الفرق]])</f>
        <v>0</v>
      </c>
    </row>
    <row r="165" spans="2:7">
      <c r="B165" s="2" t="s">
        <v>115</v>
      </c>
      <c r="C165" s="5" t="s">
        <v>32</v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65" s="1">
        <f>MAX(0,الحد_الأدنى-ملخص_المجموعات[[#This Row],[مجموع الفرق]])</f>
        <v>0</v>
      </c>
    </row>
    <row r="166" spans="2:7">
      <c r="B166" s="2" t="s">
        <v>114</v>
      </c>
      <c r="C166" s="5" t="s">
        <v>32</v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66" s="1">
        <f>MAX(0,الحد_الأدنى-ملخص_المجموعات[[#This Row],[مجموع الفرق]])</f>
        <v>0</v>
      </c>
    </row>
    <row r="167" spans="2:7">
      <c r="B167" s="2" t="s">
        <v>117</v>
      </c>
      <c r="C167" s="5" t="s">
        <v>32</v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67" s="1">
        <f>MAX(0,الحد_الأدنى-ملخص_المجموعات[[#This Row],[مجموع الفرق]])</f>
        <v>0</v>
      </c>
    </row>
    <row r="168" spans="2:7">
      <c r="B168" s="2" t="s">
        <v>115</v>
      </c>
      <c r="C168" s="5" t="s">
        <v>8</v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68" s="1">
        <f>MAX(0,الحد_الأدنى-ملخص_المجموعات[[#This Row],[مجموع الفرق]])</f>
        <v>0</v>
      </c>
    </row>
    <row r="169" spans="2:7">
      <c r="B169" s="2" t="s">
        <v>113</v>
      </c>
      <c r="C169" s="5" t="s">
        <v>8</v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69" s="1">
        <f>MAX(0,الحد_الأدنى-ملخص_المجموعات[[#This Row],[مجموع الفرق]])</f>
        <v>0</v>
      </c>
    </row>
    <row r="170" spans="2:7">
      <c r="B170" s="2" t="s">
        <v>117</v>
      </c>
      <c r="C170" s="5" t="s">
        <v>8</v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0" s="1">
        <f>MAX(0,الحد_الأدنى-ملخص_المجموعات[[#This Row],[مجموع الفرق]])</f>
        <v>0</v>
      </c>
    </row>
    <row r="171" spans="2:7">
      <c r="B171" s="2" t="s">
        <v>118</v>
      </c>
      <c r="C171" s="5" t="s">
        <v>13</v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1" s="1">
        <f>MAX(0,الحد_الأدنى-ملخص_المجموعات[[#This Row],[مجموع الفرق]])</f>
        <v>0</v>
      </c>
    </row>
    <row r="172" spans="2:7">
      <c r="B172" s="2" t="s">
        <v>113</v>
      </c>
      <c r="C172" s="5" t="s">
        <v>32</v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2" s="1">
        <f>MAX(0,الحد_الأدنى-ملخص_المجموعات[[#This Row],[مجموع الفرق]])</f>
        <v>0</v>
      </c>
    </row>
    <row r="173" spans="2:7">
      <c r="B173" s="2" t="s">
        <v>112</v>
      </c>
      <c r="C173" s="5" t="s">
        <v>13</v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G173" s="1">
        <f>MAX(0,الحد_الأدنى-ملخص_المجموعات[[#This Row],[مجموع الفرق]])</f>
        <v>0</v>
      </c>
    </row>
    <row r="174" spans="2:7">
      <c r="B174" s="2" t="s">
        <v>112</v>
      </c>
      <c r="C174" s="5" t="s">
        <v>26</v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74" s="1">
        <f>MAX(0,الحد_الأدنى-ملخص_المجموعات[[#This Row],[مجموع الفرق]])</f>
        <v>0</v>
      </c>
    </row>
    <row r="175" spans="2:7">
      <c r="B175" s="2" t="s">
        <v>113</v>
      </c>
      <c r="C175" s="5" t="s">
        <v>1489</v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75" s="1">
        <f>MAX(0,الحد_الأدنى-ملخص_المجموعات[[#This Row],[مجموع الفرق]])</f>
        <v>0</v>
      </c>
    </row>
    <row r="176" spans="2:7">
      <c r="B176" s="2" t="s">
        <v>118</v>
      </c>
      <c r="C176" s="5" t="s">
        <v>26</v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76" s="1">
        <f>MAX(0,الحد_الأدنى-ملخص_المجموعات[[#This Row],[مجموع الفرق]])</f>
        <v>0</v>
      </c>
    </row>
    <row r="177" spans="2:7">
      <c r="B177" s="2" t="s">
        <v>118</v>
      </c>
      <c r="C177" s="5" t="s">
        <v>8</v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77" s="1">
        <f>MAX(0,الحد_الأدنى-ملخص_المجموعات[[#This Row],[مجموع الفرق]])</f>
        <v>0</v>
      </c>
    </row>
    <row r="178" spans="2:7">
      <c r="B178" s="2" t="s">
        <v>114</v>
      </c>
      <c r="C178" s="5" t="s">
        <v>8</v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G178" s="1">
        <f>MAX(0,الحد_الأدنى-ملخص_المجموعات[[#This Row],[مجموع الفرق]])</f>
        <v>0</v>
      </c>
    </row>
    <row r="179" spans="2:7">
      <c r="B179" s="2" t="s">
        <v>115</v>
      </c>
      <c r="C179" s="5" t="s">
        <v>13</v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G179" s="1">
        <f>MAX(0,الحد_الأدنى-ملخص_المجموعات[[#This Row],[مجموع الفرق]])</f>
        <v>0</v>
      </c>
    </row>
    <row r="180" spans="2:7">
      <c r="B180" s="2" t="s">
        <v>115</v>
      </c>
      <c r="C180" s="5" t="s">
        <v>26</v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39</v>
      </c>
      <c r="G180" s="1">
        <f>MAX(0,الحد_الأدنى-ملخص_المجموعات[[#This Row],[مجموع الفرق]])</f>
        <v>0</v>
      </c>
    </row>
    <row r="181" spans="2:7">
      <c r="B181" s="2" t="s">
        <v>113</v>
      </c>
      <c r="C181" s="5" t="s">
        <v>13</v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40</v>
      </c>
      <c r="G181" s="1">
        <f>MAX(0,الحد_الأدنى-ملخص_المجموعات[[#This Row],[مجموع الفرق]])</f>
        <v>0</v>
      </c>
    </row>
    <row r="182" spans="2:7">
      <c r="B182" s="2" t="s">
        <v>114</v>
      </c>
      <c r="C182" s="5" t="s">
        <v>13</v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82" s="1">
        <f>MAX(0,الحد_الأدنى-ملخص_المجموعات[[#This Row],[مجموع الفرق]])</f>
        <v>0</v>
      </c>
    </row>
    <row r="183" spans="2:7">
      <c r="B183" s="2" t="s">
        <v>117</v>
      </c>
      <c r="C183" s="5" t="s">
        <v>13</v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G183" s="1">
        <f>MAX(0,الحد_الأدنى-ملخص_المجموعات[[#This Row],[مجموع الفرق]])</f>
        <v>0</v>
      </c>
    </row>
    <row r="184" spans="2:7">
      <c r="B184" s="2" t="s">
        <v>113</v>
      </c>
      <c r="C184" s="5" t="s">
        <v>26</v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G184" s="1">
        <f>MAX(0,الحد_الأدنى-ملخص_المجموعات[[#This Row],[مجموع الفرق]])</f>
        <v>0</v>
      </c>
    </row>
    <row r="185" spans="2:7">
      <c r="B185" s="2" t="s">
        <v>114</v>
      </c>
      <c r="C185" s="5" t="s">
        <v>26</v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G185" s="1">
        <f>MAX(0,الحد_الأدنى-ملخص_المجموعات[[#This Row],[مجموع الفرق]])</f>
        <v>0</v>
      </c>
    </row>
    <row r="186" spans="2:7">
      <c r="B186" s="2" t="s">
        <v>117</v>
      </c>
      <c r="C186" s="5" t="s">
        <v>26</v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56</v>
      </c>
      <c r="G186" s="1">
        <f>MAX(0,الحد_الأدنى-ملخص_المجموعات[[#This Row],[مجموع الفرق]])</f>
        <v>0</v>
      </c>
    </row>
    <row r="187" spans="2:7">
      <c r="B187"/>
      <c r="C187"/>
      <c r="D187"/>
      <c r="E187"/>
      <c r="F187"/>
      <c r="G187"/>
    </row>
    <row r="188" spans="2:7">
      <c r="B188"/>
      <c r="C188"/>
      <c r="D188"/>
      <c r="E188"/>
      <c r="F188"/>
      <c r="G188"/>
    </row>
  </sheetData>
  <mergeCells count="1">
    <mergeCell ref="I9:K9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0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F3:G186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N560"/>
  <sheetViews>
    <sheetView rightToLeft="1" tabSelected="1" topLeftCell="F1" zoomScale="54" zoomScaleNormal="70" workbookViewId="0">
      <pane ySplit="2" topLeftCell="A3" activePane="bottomLeft" state="frozen"/>
      <selection pane="bottomLeft" activeCell="Q1" sqref="K1:Q1048576"/>
    </sheetView>
  </sheetViews>
  <sheetFormatPr defaultColWidth="9" defaultRowHeight="14.5"/>
  <cols>
    <col min="2" max="2" width="16.453125" style="18" customWidth="1"/>
    <col min="3" max="3" width="27.453125" style="18" bestFit="1" customWidth="1"/>
    <col min="4" max="4" width="23" style="18" customWidth="1"/>
    <col min="5" max="5" width="19" style="18" customWidth="1"/>
    <col min="6" max="6" width="27.26953125" style="18" customWidth="1"/>
    <col min="7" max="7" width="11.81640625" style="18" customWidth="1"/>
    <col min="8" max="10" width="20" style="18" customWidth="1"/>
    <col min="11" max="11" width="22" style="18" customWidth="1"/>
    <col min="12" max="12" width="21.453125" style="18" customWidth="1"/>
    <col min="13" max="13" width="21.36328125" style="18" customWidth="1"/>
    <col min="14" max="17" width="22.54296875" style="18" customWidth="1"/>
    <col min="18" max="18" width="33.36328125" customWidth="1"/>
    <col min="19" max="19" width="41.453125" customWidth="1"/>
    <col min="20" max="20" width="31.6328125" bestFit="1" customWidth="1"/>
  </cols>
  <sheetData>
    <row r="2" spans="2:222" ht="18.5">
      <c r="B2" s="14" t="s">
        <v>123</v>
      </c>
      <c r="C2" s="15" t="s">
        <v>124</v>
      </c>
      <c r="D2" s="15" t="s">
        <v>125</v>
      </c>
      <c r="E2" s="15" t="s">
        <v>126</v>
      </c>
      <c r="F2" s="15" t="s">
        <v>127</v>
      </c>
      <c r="G2" s="15" t="s">
        <v>128</v>
      </c>
      <c r="H2" s="15" t="s">
        <v>129</v>
      </c>
      <c r="I2" s="15" t="s">
        <v>71</v>
      </c>
      <c r="J2" s="15" t="s">
        <v>579</v>
      </c>
      <c r="K2" s="15" t="s">
        <v>130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135</v>
      </c>
      <c r="Q2" s="16" t="s">
        <v>136</v>
      </c>
      <c r="R2" s="15" t="s">
        <v>1563</v>
      </c>
      <c r="S2" s="15" t="s">
        <v>1598</v>
      </c>
      <c r="T2" s="15" t="s">
        <v>1622</v>
      </c>
    </row>
    <row r="3" spans="2:222" s="43" customFormat="1" ht="14" customHeight="1">
      <c r="B3" s="17">
        <v>1</v>
      </c>
      <c r="C3" s="17" t="s">
        <v>137</v>
      </c>
      <c r="D3" s="17" t="s">
        <v>138</v>
      </c>
      <c r="E3" s="17">
        <v>562311110</v>
      </c>
      <c r="F3" s="17" t="s">
        <v>139</v>
      </c>
      <c r="G3" s="17" t="s">
        <v>573</v>
      </c>
      <c r="H3" s="17" t="s">
        <v>77</v>
      </c>
      <c r="I3" s="17" t="s">
        <v>91</v>
      </c>
      <c r="J3" s="17" t="s">
        <v>77</v>
      </c>
      <c r="K3" s="17">
        <v>0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0</v>
      </c>
      <c r="R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" s="46"/>
      <c r="T3" s="17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</row>
    <row r="4" spans="2:222" ht="14" customHeight="1">
      <c r="B4" s="17">
        <f t="shared" ref="B4:B67" si="0">B3+1</f>
        <v>2</v>
      </c>
      <c r="C4" s="17" t="s">
        <v>140</v>
      </c>
      <c r="D4" s="17" t="s">
        <v>141</v>
      </c>
      <c r="E4" s="17">
        <v>539099199</v>
      </c>
      <c r="F4" s="17" t="s">
        <v>142</v>
      </c>
      <c r="G4" s="17" t="s">
        <v>143</v>
      </c>
      <c r="H4" s="17" t="s">
        <v>35</v>
      </c>
      <c r="I4" s="17" t="s">
        <v>35</v>
      </c>
      <c r="J4" s="17" t="s">
        <v>35</v>
      </c>
      <c r="K4" s="17">
        <v>1</v>
      </c>
      <c r="L4" s="17">
        <v>1</v>
      </c>
      <c r="M4" s="17">
        <v>1</v>
      </c>
      <c r="N4" s="17">
        <v>1</v>
      </c>
      <c r="O4" s="17">
        <v>0</v>
      </c>
      <c r="P4" s="17">
        <v>0</v>
      </c>
      <c r="Q4" s="17">
        <v>0</v>
      </c>
      <c r="R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" s="13"/>
      <c r="T4" s="17"/>
    </row>
    <row r="5" spans="2:222" ht="14" customHeight="1">
      <c r="B5" s="17">
        <f t="shared" si="0"/>
        <v>3</v>
      </c>
      <c r="C5" s="17" t="s">
        <v>144</v>
      </c>
      <c r="D5" s="17" t="s">
        <v>145</v>
      </c>
      <c r="E5" s="17">
        <v>544394481</v>
      </c>
      <c r="F5" s="17" t="s">
        <v>146</v>
      </c>
      <c r="G5" s="17" t="s">
        <v>143</v>
      </c>
      <c r="H5" s="17" t="s">
        <v>78</v>
      </c>
      <c r="I5" s="17" t="s">
        <v>93</v>
      </c>
      <c r="J5" s="17" t="s">
        <v>78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" s="13"/>
      <c r="T5" s="17"/>
    </row>
    <row r="6" spans="2:222" ht="14" customHeight="1">
      <c r="B6" s="17">
        <f t="shared" si="0"/>
        <v>4</v>
      </c>
      <c r="C6" s="17" t="s">
        <v>147</v>
      </c>
      <c r="D6" s="17" t="s">
        <v>148</v>
      </c>
      <c r="E6" s="17">
        <v>546496199</v>
      </c>
      <c r="F6" s="17" t="s">
        <v>147</v>
      </c>
      <c r="G6" s="17" t="s">
        <v>143</v>
      </c>
      <c r="H6" s="17" t="s">
        <v>78</v>
      </c>
      <c r="I6" s="17" t="s">
        <v>93</v>
      </c>
      <c r="J6" s="17" t="s">
        <v>78</v>
      </c>
      <c r="K6" s="17">
        <v>0</v>
      </c>
      <c r="L6" s="17">
        <v>1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" s="13"/>
      <c r="T6" s="17"/>
    </row>
    <row r="7" spans="2:222" ht="14" customHeight="1">
      <c r="B7" s="17">
        <f t="shared" si="0"/>
        <v>5</v>
      </c>
      <c r="C7" s="17" t="s">
        <v>111</v>
      </c>
      <c r="D7" s="17" t="s">
        <v>149</v>
      </c>
      <c r="E7" s="17">
        <v>508279319</v>
      </c>
      <c r="F7" s="17" t="s">
        <v>96</v>
      </c>
      <c r="G7" s="17" t="s">
        <v>143</v>
      </c>
      <c r="H7" s="17" t="s">
        <v>78</v>
      </c>
      <c r="I7" s="17" t="s">
        <v>111</v>
      </c>
      <c r="J7" s="17" t="s">
        <v>45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0</v>
      </c>
      <c r="R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" s="13"/>
      <c r="T7" s="17"/>
    </row>
    <row r="8" spans="2:222" ht="14" customHeight="1">
      <c r="B8" s="17">
        <f t="shared" si="0"/>
        <v>6</v>
      </c>
      <c r="C8" s="17" t="s">
        <v>150</v>
      </c>
      <c r="D8" s="17" t="s">
        <v>151</v>
      </c>
      <c r="E8" s="17">
        <v>564110010</v>
      </c>
      <c r="F8" s="17" t="s">
        <v>142</v>
      </c>
      <c r="G8" s="17" t="s">
        <v>143</v>
      </c>
      <c r="H8" s="17" t="s">
        <v>35</v>
      </c>
      <c r="I8" s="17" t="s">
        <v>35</v>
      </c>
      <c r="J8" s="17" t="s">
        <v>35</v>
      </c>
      <c r="K8" s="17">
        <v>1</v>
      </c>
      <c r="L8" s="17">
        <v>1</v>
      </c>
      <c r="M8" s="17">
        <v>1</v>
      </c>
      <c r="N8" s="17">
        <v>1</v>
      </c>
      <c r="O8" s="17">
        <v>0</v>
      </c>
      <c r="P8" s="17">
        <v>0</v>
      </c>
      <c r="Q8" s="17">
        <v>0</v>
      </c>
      <c r="R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" s="13"/>
      <c r="T8" s="17"/>
    </row>
    <row r="9" spans="2:222" ht="14" customHeight="1">
      <c r="B9" s="17">
        <f t="shared" si="0"/>
        <v>7</v>
      </c>
      <c r="C9" s="17" t="s">
        <v>152</v>
      </c>
      <c r="D9" s="17" t="s">
        <v>153</v>
      </c>
      <c r="E9" s="17" t="s">
        <v>154</v>
      </c>
      <c r="F9" s="17" t="s">
        <v>155</v>
      </c>
      <c r="G9" s="17" t="s">
        <v>573</v>
      </c>
      <c r="H9" s="17" t="s">
        <v>77</v>
      </c>
      <c r="I9" s="17" t="s">
        <v>79</v>
      </c>
      <c r="J9" s="17" t="s">
        <v>79</v>
      </c>
      <c r="K9" s="17">
        <v>0</v>
      </c>
      <c r="L9" s="17">
        <v>1</v>
      </c>
      <c r="M9" s="17">
        <v>1</v>
      </c>
      <c r="N9" s="17">
        <v>1</v>
      </c>
      <c r="O9" s="17">
        <v>1</v>
      </c>
      <c r="P9" s="17">
        <v>0</v>
      </c>
      <c r="Q9" s="17">
        <v>0</v>
      </c>
      <c r="R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" s="13"/>
      <c r="T9" s="17"/>
    </row>
    <row r="10" spans="2:222" ht="14" customHeight="1">
      <c r="B10" s="17">
        <f t="shared" si="0"/>
        <v>8</v>
      </c>
      <c r="C10" s="17" t="s">
        <v>156</v>
      </c>
      <c r="D10" s="17" t="s">
        <v>157</v>
      </c>
      <c r="E10" s="17" t="s">
        <v>158</v>
      </c>
      <c r="F10" s="17" t="s">
        <v>159</v>
      </c>
      <c r="G10" s="17" t="s">
        <v>143</v>
      </c>
      <c r="H10" s="17" t="s">
        <v>35</v>
      </c>
      <c r="I10" s="17" t="s">
        <v>35</v>
      </c>
      <c r="J10" s="17" t="s">
        <v>35</v>
      </c>
      <c r="K10" s="17">
        <v>1</v>
      </c>
      <c r="L10" s="17">
        <v>1</v>
      </c>
      <c r="M10" s="17">
        <v>0</v>
      </c>
      <c r="N10" s="17">
        <v>2</v>
      </c>
      <c r="O10" s="17">
        <v>0</v>
      </c>
      <c r="P10" s="17">
        <v>0</v>
      </c>
      <c r="Q10" s="17">
        <v>0</v>
      </c>
      <c r="R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" s="13"/>
      <c r="T10" s="17"/>
    </row>
    <row r="11" spans="2:222" ht="14" customHeight="1">
      <c r="B11" s="17">
        <f t="shared" si="0"/>
        <v>9</v>
      </c>
      <c r="C11" s="17" t="s">
        <v>1547</v>
      </c>
      <c r="D11" s="17" t="s">
        <v>1548</v>
      </c>
      <c r="E11" s="17">
        <v>582506321</v>
      </c>
      <c r="F11" s="17" t="s">
        <v>1549</v>
      </c>
      <c r="G11" s="17" t="s">
        <v>143</v>
      </c>
      <c r="H11" s="17" t="s">
        <v>108</v>
      </c>
      <c r="I11" s="17" t="s">
        <v>48</v>
      </c>
      <c r="J11" s="17" t="s">
        <v>108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" s="13"/>
      <c r="T11" s="17"/>
    </row>
    <row r="12" spans="2:222" ht="14" customHeight="1">
      <c r="B12" s="17">
        <f t="shared" si="0"/>
        <v>10</v>
      </c>
      <c r="C12" s="17" t="s">
        <v>160</v>
      </c>
      <c r="D12" s="17" t="s">
        <v>161</v>
      </c>
      <c r="E12" s="17">
        <v>57867222</v>
      </c>
      <c r="F12" s="17" t="s">
        <v>416</v>
      </c>
      <c r="G12" s="17" t="s">
        <v>573</v>
      </c>
      <c r="H12" s="66" t="s">
        <v>75</v>
      </c>
      <c r="I12" s="17" t="s">
        <v>85</v>
      </c>
      <c r="J12" s="17" t="s">
        <v>75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" s="13"/>
      <c r="T12" s="17"/>
    </row>
    <row r="13" spans="2:222" ht="14" customHeight="1">
      <c r="B13" s="17">
        <f t="shared" si="0"/>
        <v>11</v>
      </c>
      <c r="C13" s="17" t="s">
        <v>162</v>
      </c>
      <c r="D13" s="17" t="s">
        <v>163</v>
      </c>
      <c r="E13" s="17">
        <v>505221717</v>
      </c>
      <c r="F13" s="17" t="s">
        <v>164</v>
      </c>
      <c r="G13" s="17" t="s">
        <v>573</v>
      </c>
      <c r="H13" s="17" t="s">
        <v>68</v>
      </c>
      <c r="I13" s="17" t="s">
        <v>68</v>
      </c>
      <c r="J13" s="17" t="s">
        <v>68</v>
      </c>
      <c r="K13" s="17">
        <v>1</v>
      </c>
      <c r="L13" s="17">
        <v>1</v>
      </c>
      <c r="M13" s="17">
        <v>1</v>
      </c>
      <c r="N13" s="17">
        <v>0</v>
      </c>
      <c r="O13" s="17">
        <v>0</v>
      </c>
      <c r="P13" s="17">
        <v>0</v>
      </c>
      <c r="Q13" s="17">
        <v>0</v>
      </c>
      <c r="R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" s="13"/>
      <c r="T13" s="17"/>
    </row>
    <row r="14" spans="2:222" ht="14" customHeight="1">
      <c r="B14" s="17">
        <f t="shared" si="0"/>
        <v>12</v>
      </c>
      <c r="C14" s="17" t="s">
        <v>165</v>
      </c>
      <c r="D14" s="17" t="s">
        <v>166</v>
      </c>
      <c r="E14" s="17">
        <v>503605980</v>
      </c>
      <c r="F14" s="17" t="s">
        <v>167</v>
      </c>
      <c r="G14" s="17" t="s">
        <v>573</v>
      </c>
      <c r="H14" s="17" t="s">
        <v>35</v>
      </c>
      <c r="I14" s="17" t="s">
        <v>35</v>
      </c>
      <c r="J14" s="17" t="s">
        <v>35</v>
      </c>
      <c r="K14" s="17">
        <v>0</v>
      </c>
      <c r="L14" s="17">
        <v>1</v>
      </c>
      <c r="M14" s="17">
        <v>2</v>
      </c>
      <c r="N14" s="17">
        <v>2</v>
      </c>
      <c r="O14" s="17">
        <v>3</v>
      </c>
      <c r="P14" s="17">
        <v>1</v>
      </c>
      <c r="Q14" s="17">
        <v>0</v>
      </c>
      <c r="R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" s="13"/>
      <c r="T14" s="17"/>
    </row>
    <row r="15" spans="2:222" ht="14" customHeight="1">
      <c r="B15" s="17">
        <f t="shared" si="0"/>
        <v>13</v>
      </c>
      <c r="C15" s="17" t="s">
        <v>168</v>
      </c>
      <c r="D15" s="17" t="s">
        <v>169</v>
      </c>
      <c r="E15" s="17">
        <v>550558414</v>
      </c>
      <c r="F15" s="17" t="s">
        <v>170</v>
      </c>
      <c r="G15" s="17" t="s">
        <v>143</v>
      </c>
      <c r="H15" s="17" t="s">
        <v>77</v>
      </c>
      <c r="I15" s="17" t="s">
        <v>79</v>
      </c>
      <c r="J15" s="17" t="s">
        <v>79</v>
      </c>
      <c r="K15" s="17">
        <v>1</v>
      </c>
      <c r="L15" s="17">
        <v>0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" s="13"/>
      <c r="T15" s="17"/>
    </row>
    <row r="16" spans="2:222" ht="14" customHeight="1">
      <c r="B16" s="17">
        <f t="shared" si="0"/>
        <v>14</v>
      </c>
      <c r="C16" s="17" t="s">
        <v>171</v>
      </c>
      <c r="D16" s="17" t="s">
        <v>172</v>
      </c>
      <c r="E16" s="17">
        <v>530603397</v>
      </c>
      <c r="F16" s="17" t="s">
        <v>171</v>
      </c>
      <c r="G16" s="17" t="s">
        <v>143</v>
      </c>
      <c r="H16" s="17" t="s">
        <v>108</v>
      </c>
      <c r="I16" s="17" t="s">
        <v>15</v>
      </c>
      <c r="J16" s="17" t="s">
        <v>15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" s="13"/>
      <c r="T16" s="17"/>
    </row>
    <row r="17" spans="2:20" ht="17">
      <c r="B17" s="17">
        <f t="shared" si="0"/>
        <v>15</v>
      </c>
      <c r="C17" s="17" t="s">
        <v>173</v>
      </c>
      <c r="D17" s="17" t="s">
        <v>174</v>
      </c>
      <c r="E17" s="17">
        <v>531609486</v>
      </c>
      <c r="F17" s="17" t="s">
        <v>175</v>
      </c>
      <c r="G17" s="17" t="s">
        <v>143</v>
      </c>
      <c r="H17" s="17" t="s">
        <v>29</v>
      </c>
      <c r="I17" s="17" t="s">
        <v>29</v>
      </c>
      <c r="J17" s="17" t="s">
        <v>29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" s="13"/>
      <c r="T17" s="17"/>
    </row>
    <row r="18" spans="2:20" ht="17">
      <c r="B18" s="17">
        <f t="shared" si="0"/>
        <v>16</v>
      </c>
      <c r="C18" s="17" t="s">
        <v>176</v>
      </c>
      <c r="D18" s="17" t="s">
        <v>177</v>
      </c>
      <c r="E18" s="17">
        <v>542146212</v>
      </c>
      <c r="F18" s="17" t="s">
        <v>176</v>
      </c>
      <c r="G18" s="17" t="s">
        <v>573</v>
      </c>
      <c r="H18" s="17" t="s">
        <v>35</v>
      </c>
      <c r="I18" s="17" t="s">
        <v>35</v>
      </c>
      <c r="J18" s="17" t="s">
        <v>35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7">
        <v>0</v>
      </c>
      <c r="R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" s="13"/>
      <c r="T18" s="17"/>
    </row>
    <row r="19" spans="2:20" ht="17">
      <c r="B19" s="17">
        <f t="shared" si="0"/>
        <v>17</v>
      </c>
      <c r="C19" s="17" t="s">
        <v>178</v>
      </c>
      <c r="D19" s="17" t="s">
        <v>179</v>
      </c>
      <c r="E19" s="17">
        <v>533560034</v>
      </c>
      <c r="F19" s="17" t="s">
        <v>180</v>
      </c>
      <c r="G19" s="17" t="s">
        <v>573</v>
      </c>
      <c r="H19" s="17" t="s">
        <v>35</v>
      </c>
      <c r="I19" s="17" t="s">
        <v>35</v>
      </c>
      <c r="J19" s="17" t="s">
        <v>35</v>
      </c>
      <c r="K19" s="17">
        <v>0</v>
      </c>
      <c r="L19" s="17">
        <v>1</v>
      </c>
      <c r="M19" s="17">
        <v>1</v>
      </c>
      <c r="N19" s="17">
        <v>1</v>
      </c>
      <c r="O19" s="17">
        <v>0</v>
      </c>
      <c r="P19" s="17">
        <v>0</v>
      </c>
      <c r="Q19" s="17">
        <v>0</v>
      </c>
      <c r="R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" s="13"/>
      <c r="T19" s="17"/>
    </row>
    <row r="20" spans="2:20" ht="17">
      <c r="B20" s="17">
        <f t="shared" si="0"/>
        <v>18</v>
      </c>
      <c r="C20" s="17" t="s">
        <v>183</v>
      </c>
      <c r="D20" s="17" t="s">
        <v>184</v>
      </c>
      <c r="E20" s="17">
        <v>549090796</v>
      </c>
      <c r="F20" s="17" t="s">
        <v>185</v>
      </c>
      <c r="G20" s="17" t="s">
        <v>573</v>
      </c>
      <c r="H20" s="17" t="s">
        <v>77</v>
      </c>
      <c r="I20" s="17" t="s">
        <v>79</v>
      </c>
      <c r="J20" s="17" t="s">
        <v>79</v>
      </c>
      <c r="K20" s="17">
        <v>0</v>
      </c>
      <c r="L20" s="17">
        <v>0</v>
      </c>
      <c r="M20" s="17">
        <v>1</v>
      </c>
      <c r="N20" s="17">
        <v>1</v>
      </c>
      <c r="O20" s="17">
        <v>2</v>
      </c>
      <c r="P20" s="17">
        <v>1</v>
      </c>
      <c r="Q20" s="17">
        <v>1</v>
      </c>
      <c r="R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" s="13"/>
      <c r="T20" s="17"/>
    </row>
    <row r="21" spans="2:20" ht="17">
      <c r="B21" s="17">
        <f t="shared" si="0"/>
        <v>19</v>
      </c>
      <c r="C21" s="17" t="s">
        <v>186</v>
      </c>
      <c r="D21" s="17" t="s">
        <v>187</v>
      </c>
      <c r="E21" s="17">
        <v>533515111</v>
      </c>
      <c r="F21" s="17" t="s">
        <v>188</v>
      </c>
      <c r="G21" s="17" t="s">
        <v>143</v>
      </c>
      <c r="H21" s="17" t="s">
        <v>78</v>
      </c>
      <c r="I21" s="17" t="s">
        <v>45</v>
      </c>
      <c r="J21" s="17" t="s">
        <v>45</v>
      </c>
      <c r="K21" s="17">
        <v>0</v>
      </c>
      <c r="L21" s="17">
        <v>0</v>
      </c>
      <c r="M21" s="17">
        <v>1</v>
      </c>
      <c r="N21" s="17">
        <v>1</v>
      </c>
      <c r="O21" s="17">
        <v>1</v>
      </c>
      <c r="P21" s="17">
        <v>0</v>
      </c>
      <c r="Q21" s="17">
        <v>0</v>
      </c>
      <c r="R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" s="13"/>
      <c r="T21" s="17"/>
    </row>
    <row r="22" spans="2:20" ht="17">
      <c r="B22" s="17">
        <f t="shared" si="0"/>
        <v>20</v>
      </c>
      <c r="C22" s="17" t="s">
        <v>189</v>
      </c>
      <c r="D22" s="17" t="s">
        <v>190</v>
      </c>
      <c r="E22" s="17">
        <v>558512190</v>
      </c>
      <c r="F22" s="17" t="s">
        <v>189</v>
      </c>
      <c r="G22" s="17" t="s">
        <v>143</v>
      </c>
      <c r="H22" s="17" t="s">
        <v>75</v>
      </c>
      <c r="I22" s="17" t="s">
        <v>86</v>
      </c>
      <c r="J22" s="17" t="s">
        <v>75</v>
      </c>
      <c r="K22" s="17">
        <v>1</v>
      </c>
      <c r="L22" s="17">
        <v>1</v>
      </c>
      <c r="M22" s="17">
        <v>1</v>
      </c>
      <c r="N22" s="17">
        <v>1</v>
      </c>
      <c r="O22" s="17">
        <v>3</v>
      </c>
      <c r="P22" s="17">
        <v>3</v>
      </c>
      <c r="Q22" s="17">
        <v>3</v>
      </c>
      <c r="R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" s="13"/>
      <c r="T22" s="17"/>
    </row>
    <row r="23" spans="2:20" ht="17">
      <c r="B23" s="17">
        <f t="shared" si="0"/>
        <v>21</v>
      </c>
      <c r="C23" s="17" t="s">
        <v>191</v>
      </c>
      <c r="D23" s="17" t="s">
        <v>192</v>
      </c>
      <c r="E23" s="17">
        <v>560059223</v>
      </c>
      <c r="F23" s="17" t="s">
        <v>193</v>
      </c>
      <c r="G23" s="17" t="s">
        <v>143</v>
      </c>
      <c r="H23" s="17" t="s">
        <v>77</v>
      </c>
      <c r="I23" s="17" t="s">
        <v>73</v>
      </c>
      <c r="J23" s="17" t="s">
        <v>73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" s="13"/>
      <c r="T23" s="17"/>
    </row>
    <row r="24" spans="2:20" ht="17">
      <c r="B24" s="17">
        <f t="shared" si="0"/>
        <v>22</v>
      </c>
      <c r="C24" s="17" t="s">
        <v>195</v>
      </c>
      <c r="D24" s="17" t="s">
        <v>196</v>
      </c>
      <c r="E24" s="17">
        <v>507302025</v>
      </c>
      <c r="F24" s="17" t="s">
        <v>195</v>
      </c>
      <c r="G24" s="17" t="s">
        <v>143</v>
      </c>
      <c r="H24" s="17" t="s">
        <v>24</v>
      </c>
      <c r="I24" s="17" t="s">
        <v>24</v>
      </c>
      <c r="J24" s="17" t="s">
        <v>24</v>
      </c>
      <c r="K24" s="17">
        <v>1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" s="13"/>
      <c r="T24" s="17"/>
    </row>
    <row r="25" spans="2:20" ht="17">
      <c r="B25" s="17">
        <f t="shared" si="0"/>
        <v>23</v>
      </c>
      <c r="C25" s="17" t="s">
        <v>197</v>
      </c>
      <c r="D25" s="17" t="s">
        <v>198</v>
      </c>
      <c r="E25" s="17">
        <v>550445443</v>
      </c>
      <c r="F25" s="17" t="s">
        <v>199</v>
      </c>
      <c r="G25" s="17" t="s">
        <v>573</v>
      </c>
      <c r="H25" s="17" t="s">
        <v>108</v>
      </c>
      <c r="I25" s="17" t="s">
        <v>27</v>
      </c>
      <c r="J25" s="17" t="s">
        <v>27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0</v>
      </c>
      <c r="Q25" s="17">
        <v>0</v>
      </c>
      <c r="R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" s="13"/>
      <c r="T25" s="17"/>
    </row>
    <row r="26" spans="2:20" ht="17">
      <c r="B26" s="17">
        <f t="shared" si="0"/>
        <v>24</v>
      </c>
      <c r="C26" s="17" t="s">
        <v>200</v>
      </c>
      <c r="D26" s="17" t="s">
        <v>201</v>
      </c>
      <c r="E26" s="17">
        <v>566989990</v>
      </c>
      <c r="F26" s="17" t="s">
        <v>200</v>
      </c>
      <c r="G26" s="17" t="s">
        <v>573</v>
      </c>
      <c r="H26" s="17" t="s">
        <v>21</v>
      </c>
      <c r="I26" s="17" t="s">
        <v>21</v>
      </c>
      <c r="J26" s="17" t="s">
        <v>21</v>
      </c>
      <c r="K26" s="17">
        <v>1</v>
      </c>
      <c r="L26" s="17">
        <v>1</v>
      </c>
      <c r="M26" s="17">
        <v>1</v>
      </c>
      <c r="N26" s="17">
        <v>1</v>
      </c>
      <c r="O26" s="17">
        <v>2</v>
      </c>
      <c r="P26" s="17">
        <v>1</v>
      </c>
      <c r="Q26" s="17">
        <v>1</v>
      </c>
      <c r="R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" s="13"/>
      <c r="T26" s="17"/>
    </row>
    <row r="27" spans="2:20" ht="17">
      <c r="B27" s="17">
        <f t="shared" si="0"/>
        <v>25</v>
      </c>
      <c r="C27" s="17" t="s">
        <v>202</v>
      </c>
      <c r="D27" s="17" t="s">
        <v>203</v>
      </c>
      <c r="E27" s="17" t="s">
        <v>164</v>
      </c>
      <c r="F27" s="17" t="s">
        <v>204</v>
      </c>
      <c r="G27" s="17" t="s">
        <v>143</v>
      </c>
      <c r="H27" s="17" t="s">
        <v>35</v>
      </c>
      <c r="I27" s="17" t="s">
        <v>35</v>
      </c>
      <c r="J27" s="17" t="s">
        <v>35</v>
      </c>
      <c r="K27" s="17">
        <v>1</v>
      </c>
      <c r="L27" s="17">
        <v>0</v>
      </c>
      <c r="M27" s="17">
        <v>0</v>
      </c>
      <c r="N27" s="17">
        <v>0</v>
      </c>
      <c r="O27" s="17">
        <v>1</v>
      </c>
      <c r="P27" s="17">
        <v>0</v>
      </c>
      <c r="Q27" s="17">
        <v>0</v>
      </c>
      <c r="R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" s="13"/>
      <c r="T27" s="17"/>
    </row>
    <row r="28" spans="2:20" ht="17">
      <c r="B28" s="17">
        <f t="shared" si="0"/>
        <v>26</v>
      </c>
      <c r="C28" s="17" t="s">
        <v>205</v>
      </c>
      <c r="D28" s="17" t="s">
        <v>206</v>
      </c>
      <c r="E28" s="17">
        <v>533777202</v>
      </c>
      <c r="F28" s="17" t="s">
        <v>142</v>
      </c>
      <c r="G28" s="17" t="s">
        <v>573</v>
      </c>
      <c r="H28" s="17" t="s">
        <v>35</v>
      </c>
      <c r="I28" s="17" t="s">
        <v>35</v>
      </c>
      <c r="J28" s="17" t="s">
        <v>35</v>
      </c>
      <c r="K28" s="17">
        <v>0</v>
      </c>
      <c r="L28" s="17">
        <v>0</v>
      </c>
      <c r="M28" s="17">
        <v>1</v>
      </c>
      <c r="N28" s="17">
        <v>0</v>
      </c>
      <c r="O28" s="17">
        <v>1</v>
      </c>
      <c r="P28" s="17">
        <v>1</v>
      </c>
      <c r="Q28" s="17">
        <v>0</v>
      </c>
      <c r="R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" s="13"/>
      <c r="T28" s="17"/>
    </row>
    <row r="29" spans="2:20" ht="17">
      <c r="B29" s="17">
        <f t="shared" si="0"/>
        <v>27</v>
      </c>
      <c r="C29" s="17" t="s">
        <v>207</v>
      </c>
      <c r="D29" s="17" t="s">
        <v>208</v>
      </c>
      <c r="E29" s="17">
        <v>500992928</v>
      </c>
      <c r="F29" s="17" t="s">
        <v>209</v>
      </c>
      <c r="G29" s="17" t="s">
        <v>573</v>
      </c>
      <c r="H29" s="17" t="s">
        <v>75</v>
      </c>
      <c r="I29" s="17" t="s">
        <v>85</v>
      </c>
      <c r="J29" s="17" t="s">
        <v>75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" s="13"/>
      <c r="T29" s="17"/>
    </row>
    <row r="30" spans="2:20" ht="17">
      <c r="B30" s="17">
        <f t="shared" si="0"/>
        <v>28</v>
      </c>
      <c r="C30" s="17" t="s">
        <v>210</v>
      </c>
      <c r="D30" s="17" t="s">
        <v>211</v>
      </c>
      <c r="E30" s="17">
        <v>558381111</v>
      </c>
      <c r="F30" s="17" t="s">
        <v>212</v>
      </c>
      <c r="G30" s="17" t="s">
        <v>573</v>
      </c>
      <c r="H30" s="17" t="s">
        <v>35</v>
      </c>
      <c r="I30" s="17" t="s">
        <v>35</v>
      </c>
      <c r="J30" s="17" t="s">
        <v>35</v>
      </c>
      <c r="K30" s="17">
        <v>1</v>
      </c>
      <c r="L30" s="17">
        <v>0</v>
      </c>
      <c r="M30" s="17">
        <v>1</v>
      </c>
      <c r="N30" s="17">
        <v>2</v>
      </c>
      <c r="O30" s="17">
        <v>1</v>
      </c>
      <c r="P30" s="17">
        <v>0</v>
      </c>
      <c r="Q30" s="17">
        <v>0</v>
      </c>
      <c r="R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" s="13"/>
      <c r="T30" s="17"/>
    </row>
    <row r="31" spans="2:20" ht="17">
      <c r="B31" s="17">
        <f t="shared" si="0"/>
        <v>29</v>
      </c>
      <c r="C31" s="17" t="s">
        <v>213</v>
      </c>
      <c r="D31" s="17" t="s">
        <v>214</v>
      </c>
      <c r="E31" s="17">
        <v>500705735</v>
      </c>
      <c r="F31" s="17" t="s">
        <v>215</v>
      </c>
      <c r="G31" s="17" t="s">
        <v>143</v>
      </c>
      <c r="H31" s="17" t="s">
        <v>21</v>
      </c>
      <c r="I31" s="66" t="s">
        <v>21</v>
      </c>
      <c r="J31" s="17" t="s">
        <v>21</v>
      </c>
      <c r="K31" s="17">
        <v>1</v>
      </c>
      <c r="L31" s="17">
        <v>0</v>
      </c>
      <c r="M31" s="17">
        <v>1</v>
      </c>
      <c r="N31" s="17">
        <v>0</v>
      </c>
      <c r="O31" s="17">
        <v>0</v>
      </c>
      <c r="P31" s="17">
        <v>0</v>
      </c>
      <c r="Q31" s="17">
        <v>0</v>
      </c>
      <c r="R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" s="13"/>
      <c r="T31" s="17"/>
    </row>
    <row r="32" spans="2:20" ht="17">
      <c r="B32" s="17">
        <f t="shared" si="0"/>
        <v>30</v>
      </c>
      <c r="C32" s="17" t="s">
        <v>216</v>
      </c>
      <c r="D32" s="17" t="s">
        <v>217</v>
      </c>
      <c r="E32" s="17">
        <v>557771151</v>
      </c>
      <c r="F32" s="17" t="s">
        <v>164</v>
      </c>
      <c r="G32" s="17" t="s">
        <v>573</v>
      </c>
      <c r="H32" s="17" t="s">
        <v>108</v>
      </c>
      <c r="I32" s="17" t="s">
        <v>27</v>
      </c>
      <c r="J32" s="17" t="s">
        <v>27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" s="13"/>
      <c r="T32" s="17"/>
    </row>
    <row r="33" spans="2:20" ht="17">
      <c r="B33" s="17">
        <f t="shared" si="0"/>
        <v>31</v>
      </c>
      <c r="C33" s="17" t="s">
        <v>35</v>
      </c>
      <c r="D33" s="17" t="s">
        <v>218</v>
      </c>
      <c r="E33" s="17">
        <v>500008200</v>
      </c>
      <c r="F33" s="17" t="s">
        <v>219</v>
      </c>
      <c r="G33" s="17" t="s">
        <v>143</v>
      </c>
      <c r="H33" s="17" t="s">
        <v>35</v>
      </c>
      <c r="I33" s="17" t="s">
        <v>35</v>
      </c>
      <c r="J33" s="17" t="s">
        <v>35</v>
      </c>
      <c r="K33" s="17">
        <v>1</v>
      </c>
      <c r="L33" s="17">
        <v>1</v>
      </c>
      <c r="M33" s="17">
        <v>1</v>
      </c>
      <c r="N33" s="17">
        <v>1</v>
      </c>
      <c r="O33" s="17">
        <v>0</v>
      </c>
      <c r="P33" s="17">
        <v>0</v>
      </c>
      <c r="Q33" s="17">
        <v>0</v>
      </c>
      <c r="R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" s="13"/>
      <c r="T33" s="17"/>
    </row>
    <row r="34" spans="2:20" ht="17">
      <c r="B34" s="17">
        <f t="shared" si="0"/>
        <v>32</v>
      </c>
      <c r="C34" s="17" t="s">
        <v>220</v>
      </c>
      <c r="D34" s="17" t="s">
        <v>221</v>
      </c>
      <c r="E34" s="17">
        <v>500426629</v>
      </c>
      <c r="F34" s="17" t="s">
        <v>222</v>
      </c>
      <c r="G34" s="17" t="s">
        <v>573</v>
      </c>
      <c r="H34" s="17" t="s">
        <v>35</v>
      </c>
      <c r="I34" s="17" t="s">
        <v>35</v>
      </c>
      <c r="J34" s="17" t="s">
        <v>35</v>
      </c>
      <c r="K34" s="17">
        <v>0</v>
      </c>
      <c r="L34" s="17">
        <v>0</v>
      </c>
      <c r="M34" s="17">
        <v>0</v>
      </c>
      <c r="N34" s="17">
        <v>1</v>
      </c>
      <c r="O34" s="17">
        <v>1</v>
      </c>
      <c r="P34" s="17">
        <v>1</v>
      </c>
      <c r="Q34" s="17">
        <v>0</v>
      </c>
      <c r="R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" s="13"/>
      <c r="T34" s="17"/>
    </row>
    <row r="35" spans="2:20" ht="17">
      <c r="B35" s="17">
        <f t="shared" si="0"/>
        <v>33</v>
      </c>
      <c r="C35" s="17" t="s">
        <v>223</v>
      </c>
      <c r="D35" s="17" t="s">
        <v>224</v>
      </c>
      <c r="E35" s="17">
        <v>547639991</v>
      </c>
      <c r="F35" s="17" t="s">
        <v>225</v>
      </c>
      <c r="G35" s="17" t="s">
        <v>573</v>
      </c>
      <c r="H35" s="17" t="s">
        <v>77</v>
      </c>
      <c r="I35" s="17" t="s">
        <v>91</v>
      </c>
      <c r="J35" s="17" t="s">
        <v>77</v>
      </c>
      <c r="K35" s="17">
        <v>0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0</v>
      </c>
      <c r="R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" s="13"/>
      <c r="T35" s="17"/>
    </row>
    <row r="36" spans="2:20" ht="17">
      <c r="B36" s="17">
        <f t="shared" si="0"/>
        <v>34</v>
      </c>
      <c r="C36" s="17" t="s">
        <v>226</v>
      </c>
      <c r="D36" s="17" t="s">
        <v>227</v>
      </c>
      <c r="E36" s="17">
        <v>597611102</v>
      </c>
      <c r="F36" s="17" t="s">
        <v>226</v>
      </c>
      <c r="G36" s="17" t="s">
        <v>143</v>
      </c>
      <c r="H36" s="17" t="s">
        <v>77</v>
      </c>
      <c r="I36" s="17" t="s">
        <v>79</v>
      </c>
      <c r="J36" s="17" t="s">
        <v>79</v>
      </c>
      <c r="K36" s="17">
        <v>0</v>
      </c>
      <c r="L36" s="17">
        <v>1</v>
      </c>
      <c r="M36" s="17">
        <v>1</v>
      </c>
      <c r="N36" s="17">
        <v>1</v>
      </c>
      <c r="O36" s="17">
        <v>0</v>
      </c>
      <c r="P36" s="17">
        <v>0</v>
      </c>
      <c r="Q36" s="17">
        <v>0</v>
      </c>
      <c r="R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" s="13"/>
      <c r="T36" s="17"/>
    </row>
    <row r="37" spans="2:20" ht="17">
      <c r="B37" s="17">
        <f t="shared" si="0"/>
        <v>35</v>
      </c>
      <c r="C37" s="17" t="s">
        <v>228</v>
      </c>
      <c r="D37" s="17" t="s">
        <v>229</v>
      </c>
      <c r="E37" s="17">
        <v>555969798</v>
      </c>
      <c r="F37" s="17" t="s">
        <v>230</v>
      </c>
      <c r="G37" s="17" t="s">
        <v>573</v>
      </c>
      <c r="H37" s="17" t="s">
        <v>81</v>
      </c>
      <c r="I37" s="17" t="s">
        <v>82</v>
      </c>
      <c r="J37" s="17" t="s">
        <v>81</v>
      </c>
      <c r="K37" s="17">
        <v>1</v>
      </c>
      <c r="L37" s="17">
        <v>1</v>
      </c>
      <c r="M37" s="17">
        <v>0</v>
      </c>
      <c r="N37" s="17">
        <v>1</v>
      </c>
      <c r="O37" s="17">
        <v>1</v>
      </c>
      <c r="P37" s="17">
        <v>0</v>
      </c>
      <c r="Q37" s="17">
        <v>0</v>
      </c>
      <c r="R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" s="13"/>
      <c r="T37" s="17"/>
    </row>
    <row r="38" spans="2:20" ht="17">
      <c r="B38" s="17">
        <f t="shared" si="0"/>
        <v>36</v>
      </c>
      <c r="C38" s="17" t="s">
        <v>231</v>
      </c>
      <c r="D38" s="17" t="s">
        <v>232</v>
      </c>
      <c r="E38" s="17">
        <v>530384363</v>
      </c>
      <c r="F38" s="17" t="s">
        <v>231</v>
      </c>
      <c r="G38" s="17" t="s">
        <v>143</v>
      </c>
      <c r="H38" s="17" t="s">
        <v>75</v>
      </c>
      <c r="I38" s="17" t="s">
        <v>85</v>
      </c>
      <c r="J38" s="17" t="s">
        <v>75</v>
      </c>
      <c r="K38" s="17">
        <v>1</v>
      </c>
      <c r="L38" s="17">
        <v>0</v>
      </c>
      <c r="M38" s="17">
        <v>1</v>
      </c>
      <c r="N38" s="17">
        <v>1</v>
      </c>
      <c r="O38" s="17">
        <v>2</v>
      </c>
      <c r="P38" s="17">
        <v>2</v>
      </c>
      <c r="Q38" s="17">
        <v>2</v>
      </c>
      <c r="R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" s="13"/>
      <c r="T38" s="17"/>
    </row>
    <row r="39" spans="2:20" ht="17">
      <c r="B39" s="17">
        <f t="shared" si="0"/>
        <v>37</v>
      </c>
      <c r="C39" s="17" t="s">
        <v>233</v>
      </c>
      <c r="D39" s="17" t="s">
        <v>234</v>
      </c>
      <c r="E39" s="17">
        <v>503172526</v>
      </c>
      <c r="F39" s="17" t="s">
        <v>235</v>
      </c>
      <c r="G39" s="17" t="s">
        <v>143</v>
      </c>
      <c r="H39" s="17" t="s">
        <v>29</v>
      </c>
      <c r="I39" s="17" t="s">
        <v>29</v>
      </c>
      <c r="J39" s="17" t="s">
        <v>29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" s="13"/>
      <c r="T39" s="17"/>
    </row>
    <row r="40" spans="2:20" ht="17">
      <c r="B40" s="17">
        <f t="shared" si="0"/>
        <v>38</v>
      </c>
      <c r="C40" s="17" t="s">
        <v>236</v>
      </c>
      <c r="D40" s="17" t="s">
        <v>237</v>
      </c>
      <c r="E40" s="17">
        <v>507685732</v>
      </c>
      <c r="F40" s="17" t="s">
        <v>164</v>
      </c>
      <c r="G40" s="17" t="s">
        <v>573</v>
      </c>
      <c r="H40" s="17" t="s">
        <v>77</v>
      </c>
      <c r="I40" s="17" t="s">
        <v>105</v>
      </c>
      <c r="J40" s="17" t="s">
        <v>105</v>
      </c>
      <c r="K40" s="17">
        <v>1</v>
      </c>
      <c r="L40" s="17">
        <v>1</v>
      </c>
      <c r="M40" s="17">
        <v>2</v>
      </c>
      <c r="N40" s="17">
        <v>1</v>
      </c>
      <c r="O40" s="17">
        <v>1</v>
      </c>
      <c r="P40" s="17">
        <v>1</v>
      </c>
      <c r="Q40" s="17">
        <v>1</v>
      </c>
      <c r="R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" s="13"/>
      <c r="T40" s="17"/>
    </row>
    <row r="41" spans="2:20" ht="17">
      <c r="B41" s="17">
        <f t="shared" si="0"/>
        <v>39</v>
      </c>
      <c r="C41" s="17" t="s">
        <v>238</v>
      </c>
      <c r="D41" s="17" t="s">
        <v>239</v>
      </c>
      <c r="E41" s="17">
        <v>550313771</v>
      </c>
      <c r="F41" s="17" t="s">
        <v>238</v>
      </c>
      <c r="G41" s="17" t="s">
        <v>143</v>
      </c>
      <c r="H41" s="17" t="s">
        <v>77</v>
      </c>
      <c r="I41" s="17" t="s">
        <v>91</v>
      </c>
      <c r="J41" s="17" t="s">
        <v>77</v>
      </c>
      <c r="K41" s="17">
        <v>1</v>
      </c>
      <c r="L41" s="17">
        <v>1</v>
      </c>
      <c r="M41" s="17">
        <v>2</v>
      </c>
      <c r="N41" s="17">
        <v>2</v>
      </c>
      <c r="O41" s="17">
        <v>3</v>
      </c>
      <c r="P41" s="17">
        <v>2</v>
      </c>
      <c r="Q41" s="17">
        <v>2</v>
      </c>
      <c r="R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" s="13"/>
      <c r="T41" s="17"/>
    </row>
    <row r="42" spans="2:20" ht="17">
      <c r="B42" s="17">
        <f t="shared" si="0"/>
        <v>40</v>
      </c>
      <c r="C42" s="17" t="s">
        <v>240</v>
      </c>
      <c r="D42" s="17" t="s">
        <v>241</v>
      </c>
      <c r="E42" s="17">
        <v>504981449</v>
      </c>
      <c r="F42" s="17" t="s">
        <v>242</v>
      </c>
      <c r="G42" s="17" t="s">
        <v>143</v>
      </c>
      <c r="H42" s="17" t="s">
        <v>77</v>
      </c>
      <c r="I42" s="17" t="s">
        <v>90</v>
      </c>
      <c r="J42" s="17" t="s">
        <v>77</v>
      </c>
      <c r="K42" s="17">
        <v>1</v>
      </c>
      <c r="L42" s="17">
        <v>1</v>
      </c>
      <c r="M42" s="17">
        <v>2</v>
      </c>
      <c r="N42" s="17">
        <v>2</v>
      </c>
      <c r="O42" s="17">
        <v>2</v>
      </c>
      <c r="P42" s="17">
        <v>1</v>
      </c>
      <c r="Q42" s="17">
        <v>0</v>
      </c>
      <c r="R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" s="13"/>
      <c r="T42" s="17"/>
    </row>
    <row r="43" spans="2:20" ht="17">
      <c r="B43" s="17">
        <f t="shared" si="0"/>
        <v>41</v>
      </c>
      <c r="C43" s="17" t="s">
        <v>243</v>
      </c>
      <c r="D43" s="17" t="s">
        <v>244</v>
      </c>
      <c r="E43" s="17">
        <v>591008981</v>
      </c>
      <c r="F43" s="17" t="s">
        <v>243</v>
      </c>
      <c r="G43" s="17" t="s">
        <v>143</v>
      </c>
      <c r="H43" s="17" t="s">
        <v>77</v>
      </c>
      <c r="I43" s="17" t="s">
        <v>73</v>
      </c>
      <c r="J43" s="17" t="s">
        <v>73</v>
      </c>
      <c r="K43" s="17">
        <v>1</v>
      </c>
      <c r="L43" s="17">
        <v>1</v>
      </c>
      <c r="M43" s="17">
        <v>0</v>
      </c>
      <c r="N43" s="17">
        <v>0</v>
      </c>
      <c r="O43" s="17">
        <v>1</v>
      </c>
      <c r="P43" s="17">
        <v>1</v>
      </c>
      <c r="Q43" s="17">
        <v>0</v>
      </c>
      <c r="R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" s="13"/>
      <c r="T43" s="17"/>
    </row>
    <row r="44" spans="2:20" ht="17">
      <c r="B44" s="17">
        <f t="shared" si="0"/>
        <v>42</v>
      </c>
      <c r="C44" s="17" t="s">
        <v>1318</v>
      </c>
      <c r="D44" s="17" t="s">
        <v>245</v>
      </c>
      <c r="E44" s="17">
        <v>509352326</v>
      </c>
      <c r="F44" s="17" t="s">
        <v>246</v>
      </c>
      <c r="G44" s="17" t="s">
        <v>573</v>
      </c>
      <c r="H44" s="17" t="s">
        <v>108</v>
      </c>
      <c r="I44" s="17" t="s">
        <v>27</v>
      </c>
      <c r="J44" s="17" t="s">
        <v>27</v>
      </c>
      <c r="K44" s="17">
        <v>0</v>
      </c>
      <c r="L44" s="17">
        <v>1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" s="13"/>
      <c r="T44" s="17"/>
    </row>
    <row r="45" spans="2:20" ht="17">
      <c r="B45" s="17">
        <f t="shared" si="0"/>
        <v>43</v>
      </c>
      <c r="C45" s="17" t="s">
        <v>1544</v>
      </c>
      <c r="D45" s="17" t="s">
        <v>245</v>
      </c>
      <c r="E45" s="17">
        <v>509352326</v>
      </c>
      <c r="F45" s="17" t="s">
        <v>247</v>
      </c>
      <c r="G45" s="17" t="s">
        <v>573</v>
      </c>
      <c r="H45" s="17" t="s">
        <v>77</v>
      </c>
      <c r="I45" s="17" t="s">
        <v>90</v>
      </c>
      <c r="J45" s="17" t="s">
        <v>77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0</v>
      </c>
      <c r="Q45" s="17">
        <v>0</v>
      </c>
      <c r="R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" s="13"/>
      <c r="T45" s="17"/>
    </row>
    <row r="46" spans="2:20" ht="17">
      <c r="B46" s="17">
        <f t="shared" si="0"/>
        <v>44</v>
      </c>
      <c r="C46" s="17" t="s">
        <v>248</v>
      </c>
      <c r="D46" s="17" t="s">
        <v>249</v>
      </c>
      <c r="E46" s="17">
        <v>559366026</v>
      </c>
      <c r="F46" s="17" t="s">
        <v>250</v>
      </c>
      <c r="G46" s="17" t="s">
        <v>573</v>
      </c>
      <c r="H46" s="17" t="s">
        <v>35</v>
      </c>
      <c r="I46" s="17" t="s">
        <v>35</v>
      </c>
      <c r="J46" s="17" t="s">
        <v>35</v>
      </c>
      <c r="K46" s="17">
        <v>1</v>
      </c>
      <c r="L46" s="17">
        <v>1</v>
      </c>
      <c r="M46" s="17">
        <v>1</v>
      </c>
      <c r="N46" s="17">
        <v>1</v>
      </c>
      <c r="O46" s="17">
        <v>0</v>
      </c>
      <c r="P46" s="17">
        <v>0</v>
      </c>
      <c r="Q46" s="17">
        <v>0</v>
      </c>
      <c r="R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" s="13"/>
      <c r="T46" s="17"/>
    </row>
    <row r="47" spans="2:20" ht="17">
      <c r="B47" s="17">
        <f t="shared" si="0"/>
        <v>45</v>
      </c>
      <c r="C47" s="17" t="s">
        <v>251</v>
      </c>
      <c r="D47" s="17" t="s">
        <v>252</v>
      </c>
      <c r="E47" s="17">
        <v>566780780</v>
      </c>
      <c r="F47" s="17" t="s">
        <v>253</v>
      </c>
      <c r="G47" s="17" t="s">
        <v>573</v>
      </c>
      <c r="H47" s="17" t="s">
        <v>35</v>
      </c>
      <c r="I47" s="17" t="s">
        <v>35</v>
      </c>
      <c r="J47" s="17" t="s">
        <v>35</v>
      </c>
      <c r="K47" s="17">
        <v>0</v>
      </c>
      <c r="L47" s="17">
        <v>1</v>
      </c>
      <c r="M47" s="17">
        <v>1</v>
      </c>
      <c r="N47" s="17">
        <v>2</v>
      </c>
      <c r="O47" s="17">
        <v>2</v>
      </c>
      <c r="P47" s="17">
        <v>2</v>
      </c>
      <c r="Q47" s="17">
        <v>1</v>
      </c>
      <c r="R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" s="13"/>
      <c r="T47" s="17"/>
    </row>
    <row r="48" spans="2:20" ht="17">
      <c r="B48" s="17">
        <f t="shared" si="0"/>
        <v>46</v>
      </c>
      <c r="C48" s="17" t="s">
        <v>254</v>
      </c>
      <c r="D48" s="17" t="s">
        <v>255</v>
      </c>
      <c r="E48" s="17">
        <v>550228585</v>
      </c>
      <c r="F48" s="17" t="s">
        <v>254</v>
      </c>
      <c r="G48" s="17" t="s">
        <v>573</v>
      </c>
      <c r="H48" s="17" t="s">
        <v>78</v>
      </c>
      <c r="I48" s="17" t="s">
        <v>45</v>
      </c>
      <c r="J48" s="17" t="s">
        <v>45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" s="13"/>
      <c r="T48" s="17"/>
    </row>
    <row r="49" spans="2:20" ht="17">
      <c r="B49" s="17">
        <f t="shared" si="0"/>
        <v>47</v>
      </c>
      <c r="C49" s="17" t="s">
        <v>256</v>
      </c>
      <c r="D49" s="17" t="s">
        <v>257</v>
      </c>
      <c r="E49" s="17">
        <v>50774773</v>
      </c>
      <c r="F49" s="17" t="s">
        <v>258</v>
      </c>
      <c r="G49" s="17" t="s">
        <v>143</v>
      </c>
      <c r="H49" s="17" t="s">
        <v>37</v>
      </c>
      <c r="I49" s="17" t="s">
        <v>102</v>
      </c>
      <c r="J49" s="17" t="s">
        <v>37</v>
      </c>
      <c r="K49" s="17">
        <v>1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" s="13"/>
      <c r="T49" s="17"/>
    </row>
    <row r="50" spans="2:20" ht="17">
      <c r="B50" s="17">
        <f t="shared" si="0"/>
        <v>48</v>
      </c>
      <c r="C50" s="13" t="s">
        <v>1061</v>
      </c>
      <c r="D50" s="13" t="s">
        <v>1062</v>
      </c>
      <c r="E50" s="13">
        <v>501673755</v>
      </c>
      <c r="F50" s="13" t="s">
        <v>1063</v>
      </c>
      <c r="G50" s="13" t="s">
        <v>573</v>
      </c>
      <c r="H50" s="13" t="s">
        <v>108</v>
      </c>
      <c r="I50" s="13" t="s">
        <v>27</v>
      </c>
      <c r="J50" s="17" t="s">
        <v>27</v>
      </c>
      <c r="K50" s="13">
        <v>1</v>
      </c>
      <c r="L50" s="13">
        <v>1</v>
      </c>
      <c r="M50" s="13">
        <v>2</v>
      </c>
      <c r="N50" s="13">
        <v>0</v>
      </c>
      <c r="O50" s="13">
        <v>0</v>
      </c>
      <c r="P50" s="13">
        <v>0</v>
      </c>
      <c r="Q50" s="13">
        <v>0</v>
      </c>
      <c r="R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" s="13"/>
      <c r="T50" s="17"/>
    </row>
    <row r="51" spans="2:20" ht="17">
      <c r="B51" s="17">
        <f t="shared" si="0"/>
        <v>49</v>
      </c>
      <c r="C51" s="17" t="s">
        <v>262</v>
      </c>
      <c r="D51" s="17" t="s">
        <v>263</v>
      </c>
      <c r="E51" s="17">
        <v>559777633</v>
      </c>
      <c r="F51" s="17" t="s">
        <v>264</v>
      </c>
      <c r="G51" s="17" t="s">
        <v>143</v>
      </c>
      <c r="H51" s="17" t="s">
        <v>21</v>
      </c>
      <c r="I51" s="17" t="s">
        <v>21</v>
      </c>
      <c r="J51" s="17" t="s">
        <v>21</v>
      </c>
      <c r="K51" s="17">
        <v>1</v>
      </c>
      <c r="L51" s="17">
        <v>1</v>
      </c>
      <c r="M51" s="17">
        <v>2</v>
      </c>
      <c r="N51" s="17">
        <v>2</v>
      </c>
      <c r="O51" s="17">
        <v>3</v>
      </c>
      <c r="P51" s="17">
        <v>3</v>
      </c>
      <c r="Q51" s="17">
        <v>4</v>
      </c>
      <c r="R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" s="13"/>
      <c r="T51" s="17"/>
    </row>
    <row r="52" spans="2:20" ht="17">
      <c r="B52" s="17">
        <f t="shared" si="0"/>
        <v>50</v>
      </c>
      <c r="C52" s="13" t="s">
        <v>1411</v>
      </c>
      <c r="D52" s="13" t="s">
        <v>1412</v>
      </c>
      <c r="E52" s="13">
        <v>53333554</v>
      </c>
      <c r="F52" s="13" t="s">
        <v>1413</v>
      </c>
      <c r="G52" s="13" t="s">
        <v>143</v>
      </c>
      <c r="H52" s="13" t="s">
        <v>108</v>
      </c>
      <c r="I52" s="13" t="s">
        <v>27</v>
      </c>
      <c r="J52" s="17" t="s">
        <v>27</v>
      </c>
      <c r="K52" s="13">
        <v>1</v>
      </c>
      <c r="L52" s="13">
        <v>1</v>
      </c>
      <c r="M52" s="13">
        <v>2</v>
      </c>
      <c r="N52" s="13">
        <v>2</v>
      </c>
      <c r="O52" s="13">
        <v>3</v>
      </c>
      <c r="P52" s="13">
        <v>3</v>
      </c>
      <c r="Q52" s="13">
        <v>3</v>
      </c>
      <c r="R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" s="13"/>
      <c r="T52" s="17"/>
    </row>
    <row r="53" spans="2:20" ht="17">
      <c r="B53" s="17">
        <f t="shared" si="0"/>
        <v>51</v>
      </c>
      <c r="C53" s="17" t="s">
        <v>268</v>
      </c>
      <c r="D53" s="17" t="s">
        <v>269</v>
      </c>
      <c r="E53" s="17">
        <v>555232556</v>
      </c>
      <c r="F53" s="17" t="s">
        <v>270</v>
      </c>
      <c r="G53" s="17" t="s">
        <v>573</v>
      </c>
      <c r="H53" s="17" t="s">
        <v>35</v>
      </c>
      <c r="I53" s="17" t="s">
        <v>35</v>
      </c>
      <c r="J53" s="17" t="s">
        <v>35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" s="13"/>
      <c r="T53" s="17"/>
    </row>
    <row r="54" spans="2:20" ht="17">
      <c r="B54" s="17">
        <f t="shared" si="0"/>
        <v>52</v>
      </c>
      <c r="C54" s="17" t="s">
        <v>271</v>
      </c>
      <c r="D54" s="17" t="s">
        <v>272</v>
      </c>
      <c r="E54" s="17">
        <v>509966696</v>
      </c>
      <c r="F54" s="17" t="s">
        <v>164</v>
      </c>
      <c r="G54" s="17" t="s">
        <v>143</v>
      </c>
      <c r="H54" s="17" t="s">
        <v>77</v>
      </c>
      <c r="I54" s="17" t="s">
        <v>91</v>
      </c>
      <c r="J54" s="17" t="s">
        <v>77</v>
      </c>
      <c r="K54" s="17">
        <v>1</v>
      </c>
      <c r="L54" s="17">
        <v>1</v>
      </c>
      <c r="M54" s="17">
        <v>1</v>
      </c>
      <c r="N54" s="17">
        <v>1</v>
      </c>
      <c r="O54" s="17">
        <v>0</v>
      </c>
      <c r="P54" s="17">
        <v>0</v>
      </c>
      <c r="Q54" s="17">
        <v>0</v>
      </c>
      <c r="R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" s="13"/>
      <c r="T54" s="17"/>
    </row>
    <row r="55" spans="2:20" ht="17">
      <c r="B55" s="17">
        <f t="shared" si="0"/>
        <v>53</v>
      </c>
      <c r="C55" s="17" t="s">
        <v>273</v>
      </c>
      <c r="D55" s="17" t="s">
        <v>274</v>
      </c>
      <c r="E55" s="17">
        <v>550206999</v>
      </c>
      <c r="F55" s="17" t="s">
        <v>275</v>
      </c>
      <c r="G55" s="17" t="s">
        <v>573</v>
      </c>
      <c r="H55" s="17" t="s">
        <v>108</v>
      </c>
      <c r="I55" s="17" t="s">
        <v>27</v>
      </c>
      <c r="J55" s="17" t="s">
        <v>27</v>
      </c>
      <c r="K55" s="17">
        <v>1</v>
      </c>
      <c r="L55" s="17">
        <v>1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" s="13"/>
      <c r="T55" s="17"/>
    </row>
    <row r="56" spans="2:20" ht="17">
      <c r="B56" s="17">
        <f t="shared" si="0"/>
        <v>54</v>
      </c>
      <c r="C56" s="17" t="s">
        <v>276</v>
      </c>
      <c r="D56" s="17" t="s">
        <v>277</v>
      </c>
      <c r="E56" s="17">
        <v>505821403</v>
      </c>
      <c r="F56" s="17" t="s">
        <v>140</v>
      </c>
      <c r="G56" s="17" t="s">
        <v>573</v>
      </c>
      <c r="H56" s="17" t="s">
        <v>77</v>
      </c>
      <c r="I56" s="17" t="s">
        <v>79</v>
      </c>
      <c r="J56" s="17" t="s">
        <v>79</v>
      </c>
      <c r="K56" s="17">
        <v>0</v>
      </c>
      <c r="L56" s="17">
        <v>0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" s="13"/>
      <c r="T56" s="17"/>
    </row>
    <row r="57" spans="2:20" ht="17">
      <c r="B57" s="17">
        <f t="shared" si="0"/>
        <v>55</v>
      </c>
      <c r="C57" s="17" t="s">
        <v>278</v>
      </c>
      <c r="D57" s="17" t="s">
        <v>279</v>
      </c>
      <c r="E57" s="17">
        <v>508999801</v>
      </c>
      <c r="F57" s="17" t="s">
        <v>280</v>
      </c>
      <c r="G57" s="17" t="s">
        <v>573</v>
      </c>
      <c r="H57" s="17" t="s">
        <v>77</v>
      </c>
      <c r="I57" s="17" t="s">
        <v>90</v>
      </c>
      <c r="J57" s="17" t="s">
        <v>77</v>
      </c>
      <c r="K57" s="17">
        <v>0</v>
      </c>
      <c r="L57" s="17">
        <v>0</v>
      </c>
      <c r="M57" s="17">
        <v>1</v>
      </c>
      <c r="N57" s="17">
        <v>1</v>
      </c>
      <c r="O57" s="17">
        <v>0</v>
      </c>
      <c r="P57" s="17">
        <v>0</v>
      </c>
      <c r="Q57" s="17">
        <v>0</v>
      </c>
      <c r="R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" s="13"/>
      <c r="T57" s="17"/>
    </row>
    <row r="58" spans="2:20" ht="17">
      <c r="B58" s="17">
        <f t="shared" si="0"/>
        <v>56</v>
      </c>
      <c r="C58" s="17" t="s">
        <v>281</v>
      </c>
      <c r="D58" s="17" t="s">
        <v>282</v>
      </c>
      <c r="E58" s="17">
        <v>501918000</v>
      </c>
      <c r="F58" s="17" t="s">
        <v>283</v>
      </c>
      <c r="G58" s="17" t="s">
        <v>573</v>
      </c>
      <c r="H58" s="17" t="s">
        <v>77</v>
      </c>
      <c r="I58" s="17" t="s">
        <v>90</v>
      </c>
      <c r="J58" s="17" t="s">
        <v>77</v>
      </c>
      <c r="K58" s="17">
        <v>0</v>
      </c>
      <c r="L58" s="17">
        <v>1</v>
      </c>
      <c r="M58" s="17">
        <v>2</v>
      </c>
      <c r="N58" s="17">
        <v>2</v>
      </c>
      <c r="O58" s="17">
        <v>3</v>
      </c>
      <c r="P58" s="17">
        <v>3</v>
      </c>
      <c r="Q58" s="17">
        <v>1</v>
      </c>
      <c r="R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" s="13"/>
      <c r="T58" s="17"/>
    </row>
    <row r="59" spans="2:20" ht="17">
      <c r="B59" s="17">
        <f t="shared" si="0"/>
        <v>57</v>
      </c>
      <c r="C59" s="17" t="s">
        <v>284</v>
      </c>
      <c r="D59" s="17" t="s">
        <v>282</v>
      </c>
      <c r="E59" s="17">
        <v>501918000</v>
      </c>
      <c r="F59" s="17" t="s">
        <v>164</v>
      </c>
      <c r="G59" s="17" t="s">
        <v>573</v>
      </c>
      <c r="H59" s="17" t="s">
        <v>77</v>
      </c>
      <c r="I59" s="17" t="s">
        <v>73</v>
      </c>
      <c r="J59" s="17" t="s">
        <v>73</v>
      </c>
      <c r="K59" s="17">
        <v>0</v>
      </c>
      <c r="L59" s="17">
        <v>0</v>
      </c>
      <c r="M59" s="17">
        <v>1</v>
      </c>
      <c r="N59" s="17">
        <v>1</v>
      </c>
      <c r="O59" s="17">
        <v>2</v>
      </c>
      <c r="P59" s="17">
        <v>1</v>
      </c>
      <c r="Q59" s="17">
        <v>0</v>
      </c>
      <c r="R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" s="13"/>
      <c r="T59" s="17"/>
    </row>
    <row r="60" spans="2:20" ht="17">
      <c r="B60" s="17">
        <f t="shared" si="0"/>
        <v>58</v>
      </c>
      <c r="C60" s="17" t="s">
        <v>285</v>
      </c>
      <c r="D60" s="17" t="s">
        <v>286</v>
      </c>
      <c r="E60" s="17">
        <v>531246862</v>
      </c>
      <c r="F60" s="17" t="s">
        <v>287</v>
      </c>
      <c r="G60" s="17" t="s">
        <v>573</v>
      </c>
      <c r="H60" s="17" t="s">
        <v>78</v>
      </c>
      <c r="I60" s="17" t="s">
        <v>45</v>
      </c>
      <c r="J60" s="17" t="s">
        <v>45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0</v>
      </c>
      <c r="Q60" s="17">
        <v>0</v>
      </c>
      <c r="R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" s="13"/>
      <c r="T60" s="17"/>
    </row>
    <row r="61" spans="2:20" ht="17">
      <c r="B61" s="17">
        <f t="shared" si="0"/>
        <v>59</v>
      </c>
      <c r="C61" s="17" t="s">
        <v>288</v>
      </c>
      <c r="D61" s="17" t="s">
        <v>289</v>
      </c>
      <c r="E61" s="17">
        <v>559505959</v>
      </c>
      <c r="F61" s="17" t="s">
        <v>290</v>
      </c>
      <c r="G61" s="17" t="s">
        <v>573</v>
      </c>
      <c r="H61" s="17" t="s">
        <v>77</v>
      </c>
      <c r="I61" s="17" t="s">
        <v>105</v>
      </c>
      <c r="J61" s="17" t="s">
        <v>105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" s="13"/>
      <c r="T61" s="17"/>
    </row>
    <row r="62" spans="2:20" ht="17">
      <c r="B62" s="17">
        <f t="shared" si="0"/>
        <v>60</v>
      </c>
      <c r="C62" s="17" t="s">
        <v>291</v>
      </c>
      <c r="D62" s="17" t="s">
        <v>292</v>
      </c>
      <c r="E62" s="17">
        <v>560553521</v>
      </c>
      <c r="F62" s="17" t="s">
        <v>293</v>
      </c>
      <c r="G62" s="17" t="s">
        <v>573</v>
      </c>
      <c r="H62" s="17" t="s">
        <v>77</v>
      </c>
      <c r="I62" s="17" t="s">
        <v>73</v>
      </c>
      <c r="J62" s="17" t="s">
        <v>73</v>
      </c>
      <c r="K62" s="17">
        <v>1</v>
      </c>
      <c r="L62" s="17">
        <v>1</v>
      </c>
      <c r="M62" s="17">
        <v>2</v>
      </c>
      <c r="N62" s="17">
        <v>2</v>
      </c>
      <c r="O62" s="17">
        <v>3</v>
      </c>
      <c r="P62" s="17">
        <v>2</v>
      </c>
      <c r="Q62" s="17">
        <v>2</v>
      </c>
      <c r="R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" s="13"/>
      <c r="T62" s="17"/>
    </row>
    <row r="63" spans="2:20" ht="17">
      <c r="B63" s="17">
        <f t="shared" si="0"/>
        <v>61</v>
      </c>
      <c r="C63" s="17" t="s">
        <v>295</v>
      </c>
      <c r="D63" s="17" t="s">
        <v>296</v>
      </c>
      <c r="E63" s="17">
        <v>505923214</v>
      </c>
      <c r="F63" s="17" t="s">
        <v>297</v>
      </c>
      <c r="G63" s="17" t="s">
        <v>143</v>
      </c>
      <c r="H63" s="17" t="s">
        <v>77</v>
      </c>
      <c r="I63" s="17" t="s">
        <v>73</v>
      </c>
      <c r="J63" s="17" t="s">
        <v>73</v>
      </c>
      <c r="K63" s="17">
        <v>1</v>
      </c>
      <c r="L63" s="17">
        <v>1</v>
      </c>
      <c r="M63" s="17">
        <v>2</v>
      </c>
      <c r="N63" s="17">
        <v>2</v>
      </c>
      <c r="O63" s="17">
        <v>2</v>
      </c>
      <c r="P63" s="17">
        <v>2</v>
      </c>
      <c r="Q63" s="17">
        <v>0</v>
      </c>
      <c r="R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" s="13"/>
      <c r="T63" s="17"/>
    </row>
    <row r="64" spans="2:20" ht="17">
      <c r="B64" s="17">
        <f t="shared" si="0"/>
        <v>62</v>
      </c>
      <c r="C64" s="17" t="s">
        <v>298</v>
      </c>
      <c r="D64" s="17" t="s">
        <v>299</v>
      </c>
      <c r="E64" s="17">
        <v>597190992</v>
      </c>
      <c r="F64" s="17" t="s">
        <v>253</v>
      </c>
      <c r="G64" s="17" t="s">
        <v>573</v>
      </c>
      <c r="H64" s="17" t="s">
        <v>108</v>
      </c>
      <c r="I64" s="17" t="s">
        <v>27</v>
      </c>
      <c r="J64" s="17" t="s">
        <v>27</v>
      </c>
      <c r="K64" s="17">
        <v>1</v>
      </c>
      <c r="L64" s="17">
        <v>0</v>
      </c>
      <c r="M64" s="17">
        <v>1</v>
      </c>
      <c r="N64" s="17">
        <v>0</v>
      </c>
      <c r="O64" s="17">
        <v>0</v>
      </c>
      <c r="P64" s="17">
        <v>0</v>
      </c>
      <c r="Q64" s="17">
        <v>0</v>
      </c>
      <c r="R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" s="13"/>
      <c r="T64" s="17"/>
    </row>
    <row r="65" spans="2:20" ht="17">
      <c r="B65" s="17">
        <f t="shared" si="0"/>
        <v>63</v>
      </c>
      <c r="C65" s="17" t="s">
        <v>300</v>
      </c>
      <c r="D65" s="17" t="s">
        <v>301</v>
      </c>
      <c r="E65" s="17">
        <v>561646725</v>
      </c>
      <c r="F65" s="17" t="s">
        <v>302</v>
      </c>
      <c r="G65" s="17" t="s">
        <v>573</v>
      </c>
      <c r="H65" s="17" t="s">
        <v>108</v>
      </c>
      <c r="I65" s="17" t="s">
        <v>108</v>
      </c>
      <c r="J65" s="17" t="s">
        <v>108</v>
      </c>
      <c r="K65" s="17">
        <v>1</v>
      </c>
      <c r="L65" s="17">
        <v>0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" s="13"/>
      <c r="T65" s="17"/>
    </row>
    <row r="66" spans="2:20" ht="17">
      <c r="B66" s="17">
        <f t="shared" si="0"/>
        <v>64</v>
      </c>
      <c r="C66" s="17" t="s">
        <v>303</v>
      </c>
      <c r="D66" s="17" t="s">
        <v>304</v>
      </c>
      <c r="E66" s="17">
        <v>559900567</v>
      </c>
      <c r="F66" s="17" t="s">
        <v>305</v>
      </c>
      <c r="G66" s="17" t="s">
        <v>573</v>
      </c>
      <c r="H66" s="17" t="s">
        <v>35</v>
      </c>
      <c r="I66" s="17" t="s">
        <v>35</v>
      </c>
      <c r="J66" s="17" t="s">
        <v>35</v>
      </c>
      <c r="K66" s="17">
        <v>1</v>
      </c>
      <c r="L66" s="17">
        <v>0</v>
      </c>
      <c r="M66" s="17">
        <v>1</v>
      </c>
      <c r="N66" s="17">
        <v>0</v>
      </c>
      <c r="O66" s="17">
        <v>1</v>
      </c>
      <c r="P66" s="17">
        <v>1</v>
      </c>
      <c r="Q66" s="17">
        <v>1</v>
      </c>
      <c r="R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" s="13"/>
      <c r="T66" s="17"/>
    </row>
    <row r="67" spans="2:20" ht="17">
      <c r="B67" s="17">
        <f t="shared" si="0"/>
        <v>65</v>
      </c>
      <c r="C67" s="17" t="s">
        <v>306</v>
      </c>
      <c r="D67" s="17" t="s">
        <v>307</v>
      </c>
      <c r="E67" s="17">
        <v>532676668</v>
      </c>
      <c r="F67" s="17" t="s">
        <v>308</v>
      </c>
      <c r="G67" s="17" t="s">
        <v>143</v>
      </c>
      <c r="H67" s="17" t="s">
        <v>24</v>
      </c>
      <c r="I67" s="66" t="s">
        <v>24</v>
      </c>
      <c r="J67" s="17" t="s">
        <v>24</v>
      </c>
      <c r="K67" s="17">
        <v>1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" s="13"/>
      <c r="T67" s="17"/>
    </row>
    <row r="68" spans="2:20" ht="17">
      <c r="B68" s="17">
        <f t="shared" ref="B68:B114" si="1">B67+1</f>
        <v>66</v>
      </c>
      <c r="C68" s="17" t="s">
        <v>309</v>
      </c>
      <c r="D68" s="17" t="s">
        <v>310</v>
      </c>
      <c r="E68" s="17">
        <v>555770708</v>
      </c>
      <c r="F68" s="17" t="s">
        <v>164</v>
      </c>
      <c r="G68" s="17" t="s">
        <v>573</v>
      </c>
      <c r="H68" s="17" t="s">
        <v>108</v>
      </c>
      <c r="I68" s="17" t="s">
        <v>108</v>
      </c>
      <c r="J68" s="17" t="s">
        <v>108</v>
      </c>
      <c r="K68" s="17">
        <v>1</v>
      </c>
      <c r="L68" s="17">
        <v>0</v>
      </c>
      <c r="M68" s="17">
        <v>1</v>
      </c>
      <c r="N68" s="17">
        <v>1</v>
      </c>
      <c r="O68" s="17">
        <v>2</v>
      </c>
      <c r="P68" s="17">
        <v>1</v>
      </c>
      <c r="Q68" s="17">
        <v>0</v>
      </c>
      <c r="R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" s="13"/>
      <c r="T68" s="17"/>
    </row>
    <row r="69" spans="2:20" ht="17">
      <c r="B69" s="17">
        <f t="shared" si="1"/>
        <v>67</v>
      </c>
      <c r="C69" s="17" t="s">
        <v>311</v>
      </c>
      <c r="D69" s="17" t="s">
        <v>312</v>
      </c>
      <c r="E69" s="17">
        <v>552244348</v>
      </c>
      <c r="F69" s="17" t="s">
        <v>313</v>
      </c>
      <c r="G69" s="17" t="s">
        <v>143</v>
      </c>
      <c r="H69" s="17" t="s">
        <v>108</v>
      </c>
      <c r="I69" s="17" t="s">
        <v>15</v>
      </c>
      <c r="J69" s="17" t="s">
        <v>15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" s="13"/>
      <c r="T69" s="17"/>
    </row>
    <row r="70" spans="2:20" ht="17">
      <c r="B70" s="17">
        <f t="shared" si="1"/>
        <v>68</v>
      </c>
      <c r="C70" s="17" t="s">
        <v>314</v>
      </c>
      <c r="D70" s="17" t="s">
        <v>315</v>
      </c>
      <c r="E70" s="17">
        <v>558880147</v>
      </c>
      <c r="F70" s="17" t="s">
        <v>316</v>
      </c>
      <c r="G70" s="17" t="s">
        <v>573</v>
      </c>
      <c r="H70" s="17" t="s">
        <v>21</v>
      </c>
      <c r="I70" s="17" t="s">
        <v>21</v>
      </c>
      <c r="J70" s="17" t="s">
        <v>21</v>
      </c>
      <c r="K70" s="17">
        <v>1</v>
      </c>
      <c r="L70" s="17">
        <v>1</v>
      </c>
      <c r="M70" s="17">
        <v>2</v>
      </c>
      <c r="N70" s="17">
        <v>2</v>
      </c>
      <c r="O70" s="17">
        <v>0</v>
      </c>
      <c r="P70" s="17">
        <v>0</v>
      </c>
      <c r="Q70" s="17">
        <v>0</v>
      </c>
      <c r="R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" s="13"/>
      <c r="T70" s="17"/>
    </row>
    <row r="71" spans="2:20" ht="17">
      <c r="B71" s="17">
        <f t="shared" si="1"/>
        <v>69</v>
      </c>
      <c r="C71" s="17" t="s">
        <v>317</v>
      </c>
      <c r="D71" s="17" t="s">
        <v>318</v>
      </c>
      <c r="E71" s="17">
        <v>543644757</v>
      </c>
      <c r="F71" s="17" t="s">
        <v>319</v>
      </c>
      <c r="G71" s="17" t="s">
        <v>573</v>
      </c>
      <c r="H71" s="17" t="s">
        <v>108</v>
      </c>
      <c r="I71" s="17" t="s">
        <v>27</v>
      </c>
      <c r="J71" s="17" t="s">
        <v>27</v>
      </c>
      <c r="K71" s="17">
        <v>1</v>
      </c>
      <c r="L71" s="17">
        <v>0</v>
      </c>
      <c r="M71" s="17">
        <v>2</v>
      </c>
      <c r="N71" s="17">
        <v>0</v>
      </c>
      <c r="O71" s="17">
        <v>0</v>
      </c>
      <c r="P71" s="17">
        <v>0</v>
      </c>
      <c r="Q71" s="17">
        <v>0</v>
      </c>
      <c r="R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" s="13"/>
      <c r="T71" s="17"/>
    </row>
    <row r="72" spans="2:20" ht="17">
      <c r="B72" s="17">
        <f t="shared" si="1"/>
        <v>70</v>
      </c>
      <c r="C72" s="17" t="s">
        <v>320</v>
      </c>
      <c r="D72" s="17" t="s">
        <v>321</v>
      </c>
      <c r="E72" s="17">
        <v>510301850</v>
      </c>
      <c r="F72" s="17" t="s">
        <v>164</v>
      </c>
      <c r="G72" s="17" t="s">
        <v>294</v>
      </c>
      <c r="H72" s="17" t="s">
        <v>21</v>
      </c>
      <c r="I72" s="17" t="s">
        <v>21</v>
      </c>
      <c r="J72" s="17" t="s">
        <v>21</v>
      </c>
      <c r="K72" s="17">
        <v>0</v>
      </c>
      <c r="L72" s="17">
        <v>0</v>
      </c>
      <c r="M72" s="17">
        <v>1</v>
      </c>
      <c r="N72" s="17">
        <v>1</v>
      </c>
      <c r="O72" s="17">
        <v>1</v>
      </c>
      <c r="P72" s="17">
        <v>0</v>
      </c>
      <c r="Q72" s="17">
        <v>0</v>
      </c>
      <c r="R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" s="13"/>
      <c r="T72" s="17" t="s">
        <v>1621</v>
      </c>
    </row>
    <row r="73" spans="2:20" ht="17">
      <c r="B73" s="17">
        <f t="shared" si="1"/>
        <v>71</v>
      </c>
      <c r="C73" s="17" t="s">
        <v>322</v>
      </c>
      <c r="D73" s="17" t="s">
        <v>323</v>
      </c>
      <c r="E73" s="17">
        <v>542890420</v>
      </c>
      <c r="F73" s="17" t="s">
        <v>164</v>
      </c>
      <c r="G73" s="17" t="s">
        <v>573</v>
      </c>
      <c r="H73" s="17" t="s">
        <v>35</v>
      </c>
      <c r="I73" s="17" t="s">
        <v>35</v>
      </c>
      <c r="J73" s="17" t="s">
        <v>35</v>
      </c>
      <c r="K73" s="17">
        <v>0</v>
      </c>
      <c r="L73" s="17">
        <v>0</v>
      </c>
      <c r="M73" s="17">
        <v>1</v>
      </c>
      <c r="N73" s="17">
        <v>1</v>
      </c>
      <c r="O73" s="17">
        <v>1</v>
      </c>
      <c r="P73" s="17">
        <v>1</v>
      </c>
      <c r="Q73" s="17">
        <v>0</v>
      </c>
      <c r="R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" s="13"/>
      <c r="T73" s="17"/>
    </row>
    <row r="74" spans="2:20" ht="17">
      <c r="B74" s="17">
        <f t="shared" si="1"/>
        <v>72</v>
      </c>
      <c r="C74" s="17" t="s">
        <v>324</v>
      </c>
      <c r="D74" s="17" t="s">
        <v>325</v>
      </c>
      <c r="E74" s="17">
        <v>505219942</v>
      </c>
      <c r="F74" s="17" t="s">
        <v>326</v>
      </c>
      <c r="G74" s="17" t="s">
        <v>573</v>
      </c>
      <c r="H74" s="17" t="s">
        <v>35</v>
      </c>
      <c r="I74" s="17" t="s">
        <v>35</v>
      </c>
      <c r="J74" s="17" t="s">
        <v>35</v>
      </c>
      <c r="K74" s="17">
        <v>0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" s="13"/>
      <c r="T74" s="17"/>
    </row>
    <row r="75" spans="2:20" ht="17">
      <c r="B75" s="17">
        <f t="shared" si="1"/>
        <v>73</v>
      </c>
      <c r="C75" s="17" t="s">
        <v>327</v>
      </c>
      <c r="D75" s="17" t="s">
        <v>328</v>
      </c>
      <c r="E75" s="17">
        <v>540782434</v>
      </c>
      <c r="F75" s="17" t="s">
        <v>164</v>
      </c>
      <c r="G75" s="17" t="s">
        <v>294</v>
      </c>
      <c r="H75" s="17" t="s">
        <v>108</v>
      </c>
      <c r="I75" s="17" t="s">
        <v>108</v>
      </c>
      <c r="J75" s="17" t="s">
        <v>108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5" s="13"/>
      <c r="T75" s="17" t="s">
        <v>1621</v>
      </c>
    </row>
    <row r="76" spans="2:20" ht="17">
      <c r="B76" s="17">
        <f t="shared" si="1"/>
        <v>74</v>
      </c>
      <c r="C76" s="17" t="s">
        <v>329</v>
      </c>
      <c r="D76" s="17" t="s">
        <v>330</v>
      </c>
      <c r="E76" s="17">
        <v>500003807</v>
      </c>
      <c r="F76" s="17" t="s">
        <v>1280</v>
      </c>
      <c r="G76" s="17" t="s">
        <v>573</v>
      </c>
      <c r="H76" s="17" t="s">
        <v>108</v>
      </c>
      <c r="I76" s="17" t="s">
        <v>27</v>
      </c>
      <c r="J76" s="17" t="s">
        <v>27</v>
      </c>
      <c r="K76" s="17">
        <v>0</v>
      </c>
      <c r="L76" s="17">
        <v>0</v>
      </c>
      <c r="M76" s="17">
        <v>1</v>
      </c>
      <c r="N76" s="17">
        <v>0</v>
      </c>
      <c r="O76" s="17">
        <v>1</v>
      </c>
      <c r="P76" s="17">
        <v>0</v>
      </c>
      <c r="Q76" s="17">
        <v>0</v>
      </c>
      <c r="R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6" s="13"/>
      <c r="T76" s="17"/>
    </row>
    <row r="77" spans="2:20" ht="17">
      <c r="B77" s="17">
        <f t="shared" si="1"/>
        <v>75</v>
      </c>
      <c r="C77" s="17" t="s">
        <v>331</v>
      </c>
      <c r="D77" s="17" t="s">
        <v>332</v>
      </c>
      <c r="E77" s="17">
        <v>560071810</v>
      </c>
      <c r="F77" s="17" t="s">
        <v>253</v>
      </c>
      <c r="G77" s="17" t="s">
        <v>294</v>
      </c>
      <c r="H77" s="17" t="s">
        <v>21</v>
      </c>
      <c r="I77" s="17" t="s">
        <v>21</v>
      </c>
      <c r="J77" s="17" t="s">
        <v>21</v>
      </c>
      <c r="K77" s="17">
        <v>0</v>
      </c>
      <c r="L77" s="17">
        <v>0</v>
      </c>
      <c r="M77" s="17">
        <v>0</v>
      </c>
      <c r="N77" s="17">
        <v>0</v>
      </c>
      <c r="O77" s="17">
        <v>1</v>
      </c>
      <c r="P77" s="17">
        <v>0</v>
      </c>
      <c r="Q77" s="17">
        <v>0</v>
      </c>
      <c r="R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7" s="13" t="s">
        <v>1599</v>
      </c>
      <c r="T77" s="17" t="s">
        <v>1621</v>
      </c>
    </row>
    <row r="78" spans="2:20" ht="17">
      <c r="B78" s="17">
        <f t="shared" si="1"/>
        <v>76</v>
      </c>
      <c r="C78" s="17" t="s">
        <v>333</v>
      </c>
      <c r="D78" s="17" t="s">
        <v>334</v>
      </c>
      <c r="E78" s="17">
        <v>537560942</v>
      </c>
      <c r="F78" s="17" t="s">
        <v>164</v>
      </c>
      <c r="G78" s="17" t="s">
        <v>294</v>
      </c>
      <c r="H78" s="17" t="s">
        <v>35</v>
      </c>
      <c r="I78" s="17" t="s">
        <v>35</v>
      </c>
      <c r="J78" s="17" t="s">
        <v>35</v>
      </c>
      <c r="K78" s="17">
        <v>1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8" s="13" t="s">
        <v>1599</v>
      </c>
      <c r="T78" s="17" t="s">
        <v>1621</v>
      </c>
    </row>
    <row r="79" spans="2:20" ht="17">
      <c r="B79" s="17">
        <f t="shared" si="1"/>
        <v>77</v>
      </c>
      <c r="C79" s="17" t="s">
        <v>335</v>
      </c>
      <c r="D79" s="17" t="s">
        <v>336</v>
      </c>
      <c r="E79" s="17">
        <v>558122658</v>
      </c>
      <c r="F79" s="17" t="s">
        <v>253</v>
      </c>
      <c r="G79" s="17" t="s">
        <v>294</v>
      </c>
      <c r="H79" s="17" t="s">
        <v>35</v>
      </c>
      <c r="I79" s="17" t="s">
        <v>35</v>
      </c>
      <c r="J79" s="17" t="s">
        <v>35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9" s="13"/>
      <c r="T79" s="17" t="s">
        <v>1621</v>
      </c>
    </row>
    <row r="80" spans="2:20" ht="17">
      <c r="B80" s="17" t="e">
        <f>#REF!+1</f>
        <v>#REF!</v>
      </c>
      <c r="C80" s="17" t="s">
        <v>338</v>
      </c>
      <c r="D80" s="17" t="s">
        <v>339</v>
      </c>
      <c r="E80" s="17">
        <v>566580588</v>
      </c>
      <c r="F80" s="17" t="s">
        <v>164</v>
      </c>
      <c r="G80" s="17" t="s">
        <v>294</v>
      </c>
      <c r="H80" s="17" t="s">
        <v>24</v>
      </c>
      <c r="I80" s="17" t="s">
        <v>503</v>
      </c>
      <c r="J80" s="17" t="s">
        <v>24</v>
      </c>
      <c r="K80" s="17">
        <v>0</v>
      </c>
      <c r="L80" s="17">
        <v>0</v>
      </c>
      <c r="M80" s="17">
        <v>1</v>
      </c>
      <c r="N80" s="17">
        <v>0</v>
      </c>
      <c r="O80" s="17">
        <v>0</v>
      </c>
      <c r="P80" s="17">
        <v>0</v>
      </c>
      <c r="Q80" s="17">
        <v>0</v>
      </c>
      <c r="R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0" s="13" t="s">
        <v>1599</v>
      </c>
      <c r="T80" s="17" t="s">
        <v>1621</v>
      </c>
    </row>
    <row r="81" spans="2:20" ht="17">
      <c r="B81" s="17" t="e">
        <f t="shared" si="1"/>
        <v>#REF!</v>
      </c>
      <c r="C81" s="17" t="s">
        <v>340</v>
      </c>
      <c r="D81" s="17" t="s">
        <v>341</v>
      </c>
      <c r="E81" s="17">
        <v>545585613</v>
      </c>
      <c r="F81" s="17" t="s">
        <v>253</v>
      </c>
      <c r="G81" s="17" t="s">
        <v>294</v>
      </c>
      <c r="H81" s="17" t="s">
        <v>37</v>
      </c>
      <c r="I81" s="17" t="s">
        <v>103</v>
      </c>
      <c r="J81" s="17" t="s">
        <v>37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1" s="13" t="s">
        <v>1599</v>
      </c>
      <c r="T81" s="17" t="s">
        <v>1621</v>
      </c>
    </row>
    <row r="82" spans="2:20" ht="17">
      <c r="B82" s="17" t="e">
        <f t="shared" si="1"/>
        <v>#REF!</v>
      </c>
      <c r="C82" s="17" t="s">
        <v>342</v>
      </c>
      <c r="D82" s="17" t="s">
        <v>343</v>
      </c>
      <c r="E82" s="17">
        <v>567232330</v>
      </c>
      <c r="F82" s="17" t="s">
        <v>253</v>
      </c>
      <c r="G82" s="17" t="s">
        <v>294</v>
      </c>
      <c r="H82" s="17" t="s">
        <v>77</v>
      </c>
      <c r="I82" s="17" t="s">
        <v>73</v>
      </c>
      <c r="J82" s="17" t="s">
        <v>73</v>
      </c>
      <c r="K82" s="17">
        <v>1</v>
      </c>
      <c r="L82" s="17">
        <v>1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2" s="13"/>
      <c r="T82" s="17" t="s">
        <v>1621</v>
      </c>
    </row>
    <row r="83" spans="2:20" ht="17">
      <c r="B83" s="17" t="e">
        <f>#REF!+1</f>
        <v>#REF!</v>
      </c>
      <c r="C83" s="17" t="s">
        <v>345</v>
      </c>
      <c r="D83" s="17" t="s">
        <v>346</v>
      </c>
      <c r="E83" s="17">
        <v>504855301</v>
      </c>
      <c r="F83" s="17" t="s">
        <v>253</v>
      </c>
      <c r="G83" s="17" t="s">
        <v>294</v>
      </c>
      <c r="H83" s="17" t="s">
        <v>77</v>
      </c>
      <c r="I83" s="17" t="s">
        <v>73</v>
      </c>
      <c r="J83" s="17" t="s">
        <v>73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0</v>
      </c>
      <c r="Q83" s="17">
        <v>0</v>
      </c>
      <c r="R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3" s="13"/>
      <c r="T83" s="17" t="s">
        <v>1621</v>
      </c>
    </row>
    <row r="84" spans="2:20" ht="17">
      <c r="B84" s="17" t="e">
        <f t="shared" si="1"/>
        <v>#REF!</v>
      </c>
      <c r="C84" s="17" t="s">
        <v>1699</v>
      </c>
      <c r="D84" s="17" t="s">
        <v>347</v>
      </c>
      <c r="E84" s="17">
        <v>505929798</v>
      </c>
      <c r="F84" s="17" t="s">
        <v>253</v>
      </c>
      <c r="G84" s="17" t="s">
        <v>294</v>
      </c>
      <c r="H84" s="17" t="s">
        <v>77</v>
      </c>
      <c r="I84" s="17" t="s">
        <v>73</v>
      </c>
      <c r="J84" s="17" t="s">
        <v>73</v>
      </c>
      <c r="K84" s="17">
        <v>1</v>
      </c>
      <c r="L84" s="17">
        <v>1</v>
      </c>
      <c r="M84" s="17">
        <v>1</v>
      </c>
      <c r="N84" s="17">
        <v>1</v>
      </c>
      <c r="O84" s="17">
        <v>0</v>
      </c>
      <c r="P84" s="17">
        <v>0</v>
      </c>
      <c r="Q84" s="17">
        <v>0</v>
      </c>
      <c r="R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4" s="13"/>
      <c r="T84" s="17" t="s">
        <v>1621</v>
      </c>
    </row>
    <row r="85" spans="2:20" ht="17">
      <c r="B85" s="17" t="e">
        <f t="shared" si="1"/>
        <v>#REF!</v>
      </c>
      <c r="C85" s="17" t="s">
        <v>348</v>
      </c>
      <c r="D85" s="17" t="s">
        <v>349</v>
      </c>
      <c r="E85" s="17">
        <v>540795210</v>
      </c>
      <c r="F85" s="17" t="s">
        <v>164</v>
      </c>
      <c r="G85" s="17" t="s">
        <v>294</v>
      </c>
      <c r="H85" s="17" t="s">
        <v>77</v>
      </c>
      <c r="I85" s="17" t="s">
        <v>73</v>
      </c>
      <c r="J85" s="17" t="s">
        <v>73</v>
      </c>
      <c r="K85" s="17">
        <v>1</v>
      </c>
      <c r="L85" s="17">
        <v>1</v>
      </c>
      <c r="M85" s="17">
        <v>0</v>
      </c>
      <c r="N85" s="17">
        <v>1</v>
      </c>
      <c r="O85" s="17">
        <v>0</v>
      </c>
      <c r="P85" s="17">
        <v>0</v>
      </c>
      <c r="Q85" s="17">
        <v>0</v>
      </c>
      <c r="R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5" s="13"/>
      <c r="T85" s="17" t="s">
        <v>1621</v>
      </c>
    </row>
    <row r="86" spans="2:20" ht="17">
      <c r="B86" s="17" t="e">
        <f t="shared" si="1"/>
        <v>#REF!</v>
      </c>
      <c r="C86" s="17" t="s">
        <v>350</v>
      </c>
      <c r="D86" s="17" t="s">
        <v>351</v>
      </c>
      <c r="E86" s="17">
        <v>544474405</v>
      </c>
      <c r="F86" s="17" t="s">
        <v>164</v>
      </c>
      <c r="G86" s="17" t="s">
        <v>294</v>
      </c>
      <c r="H86" s="17" t="s">
        <v>77</v>
      </c>
      <c r="I86" s="17" t="s">
        <v>73</v>
      </c>
      <c r="J86" s="17" t="s">
        <v>73</v>
      </c>
      <c r="K86" s="17">
        <v>1</v>
      </c>
      <c r="L86" s="17">
        <v>1</v>
      </c>
      <c r="M86" s="17">
        <v>1</v>
      </c>
      <c r="N86" s="17">
        <v>1</v>
      </c>
      <c r="O86" s="17">
        <v>0</v>
      </c>
      <c r="P86" s="17">
        <v>0</v>
      </c>
      <c r="Q86" s="17">
        <v>0</v>
      </c>
      <c r="R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6" s="13"/>
      <c r="T86" s="17" t="s">
        <v>1621</v>
      </c>
    </row>
    <row r="87" spans="2:20" ht="17">
      <c r="B87" s="17" t="e">
        <f t="shared" si="1"/>
        <v>#REF!</v>
      </c>
      <c r="C87" s="17" t="s">
        <v>352</v>
      </c>
      <c r="D87" s="17" t="s">
        <v>353</v>
      </c>
      <c r="E87" s="17">
        <v>503118340</v>
      </c>
      <c r="F87" s="17" t="s">
        <v>253</v>
      </c>
      <c r="G87" s="17" t="s">
        <v>294</v>
      </c>
      <c r="H87" s="17" t="s">
        <v>35</v>
      </c>
      <c r="I87" s="17" t="s">
        <v>35</v>
      </c>
      <c r="J87" s="17" t="s">
        <v>35</v>
      </c>
      <c r="K87" s="17">
        <v>1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7" s="13" t="s">
        <v>1599</v>
      </c>
      <c r="T87" s="17" t="s">
        <v>1621</v>
      </c>
    </row>
    <row r="88" spans="2:20" ht="17">
      <c r="B88" s="17" t="e">
        <f t="shared" si="1"/>
        <v>#REF!</v>
      </c>
      <c r="C88" s="17" t="s">
        <v>354</v>
      </c>
      <c r="D88" s="17" t="s">
        <v>355</v>
      </c>
      <c r="E88" s="17">
        <v>555519604</v>
      </c>
      <c r="F88" s="17" t="s">
        <v>164</v>
      </c>
      <c r="G88" s="17" t="s">
        <v>294</v>
      </c>
      <c r="H88" s="17" t="s">
        <v>108</v>
      </c>
      <c r="I88" s="17" t="s">
        <v>108</v>
      </c>
      <c r="J88" s="17" t="s">
        <v>108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8" s="13"/>
      <c r="T88" s="17" t="s">
        <v>1621</v>
      </c>
    </row>
    <row r="89" spans="2:20" ht="17">
      <c r="B89" s="17" t="e">
        <f t="shared" si="1"/>
        <v>#REF!</v>
      </c>
      <c r="C89" s="17" t="s">
        <v>356</v>
      </c>
      <c r="D89" s="17" t="s">
        <v>357</v>
      </c>
      <c r="E89" s="17">
        <v>504921358</v>
      </c>
      <c r="F89" s="17" t="s">
        <v>164</v>
      </c>
      <c r="G89" s="17" t="s">
        <v>294</v>
      </c>
      <c r="H89" s="17" t="s">
        <v>77</v>
      </c>
      <c r="I89" s="17" t="s">
        <v>73</v>
      </c>
      <c r="J89" s="17" t="s">
        <v>73</v>
      </c>
      <c r="K89" s="17">
        <v>1</v>
      </c>
      <c r="L89" s="17">
        <v>1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9" s="13"/>
      <c r="T89" s="17" t="s">
        <v>1621</v>
      </c>
    </row>
    <row r="90" spans="2:20" ht="17">
      <c r="B90" s="17" t="e">
        <f t="shared" si="1"/>
        <v>#REF!</v>
      </c>
      <c r="C90" s="17" t="s">
        <v>358</v>
      </c>
      <c r="D90" s="17" t="s">
        <v>359</v>
      </c>
      <c r="E90" s="17">
        <v>506924761</v>
      </c>
      <c r="F90" s="17" t="s">
        <v>253</v>
      </c>
      <c r="G90" s="17" t="s">
        <v>294</v>
      </c>
      <c r="H90" s="17" t="s">
        <v>77</v>
      </c>
      <c r="I90" s="17" t="s">
        <v>73</v>
      </c>
      <c r="J90" s="17" t="s">
        <v>73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0" s="13"/>
      <c r="T90" s="17" t="s">
        <v>1621</v>
      </c>
    </row>
    <row r="91" spans="2:20" ht="17">
      <c r="B91" s="17" t="e">
        <f t="shared" si="1"/>
        <v>#REF!</v>
      </c>
      <c r="C91" s="17" t="s">
        <v>360</v>
      </c>
      <c r="D91" s="17" t="s">
        <v>361</v>
      </c>
      <c r="E91" s="17">
        <v>555903375</v>
      </c>
      <c r="F91" s="17" t="s">
        <v>253</v>
      </c>
      <c r="G91" s="17" t="s">
        <v>294</v>
      </c>
      <c r="H91" s="17" t="s">
        <v>77</v>
      </c>
      <c r="I91" s="17" t="s">
        <v>73</v>
      </c>
      <c r="J91" s="17" t="s">
        <v>73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0</v>
      </c>
      <c r="Q91" s="17">
        <v>0</v>
      </c>
      <c r="R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1" s="13"/>
      <c r="T91" s="17" t="s">
        <v>1621</v>
      </c>
    </row>
    <row r="92" spans="2:20" ht="17">
      <c r="B92" s="17" t="e">
        <f>#REF!+1</f>
        <v>#REF!</v>
      </c>
      <c r="C92" s="17" t="s">
        <v>363</v>
      </c>
      <c r="D92" s="17" t="s">
        <v>364</v>
      </c>
      <c r="E92" s="17">
        <v>565503931</v>
      </c>
      <c r="F92" s="17" t="s">
        <v>253</v>
      </c>
      <c r="G92" s="17" t="s">
        <v>294</v>
      </c>
      <c r="H92" s="17" t="s">
        <v>35</v>
      </c>
      <c r="I92" s="17" t="s">
        <v>35</v>
      </c>
      <c r="J92" s="17" t="s">
        <v>35</v>
      </c>
      <c r="K92" s="17">
        <v>1</v>
      </c>
      <c r="L92" s="17">
        <v>1</v>
      </c>
      <c r="M92" s="17">
        <v>1</v>
      </c>
      <c r="N92" s="17">
        <v>1</v>
      </c>
      <c r="O92" s="17">
        <v>0</v>
      </c>
      <c r="P92" s="17">
        <v>0</v>
      </c>
      <c r="Q92" s="17">
        <v>0</v>
      </c>
      <c r="R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2" s="13" t="s">
        <v>1599</v>
      </c>
      <c r="T92" s="17" t="s">
        <v>1621</v>
      </c>
    </row>
    <row r="93" spans="2:20" ht="17">
      <c r="B93" s="17" t="e">
        <f t="shared" si="1"/>
        <v>#REF!</v>
      </c>
      <c r="C93" s="17" t="s">
        <v>365</v>
      </c>
      <c r="D93" s="17" t="s">
        <v>417</v>
      </c>
      <c r="E93" s="44" t="s">
        <v>1550</v>
      </c>
      <c r="F93" s="17" t="s">
        <v>164</v>
      </c>
      <c r="G93" s="17" t="s">
        <v>294</v>
      </c>
      <c r="H93" s="17" t="s">
        <v>37</v>
      </c>
      <c r="I93" s="17" t="s">
        <v>103</v>
      </c>
      <c r="J93" s="17" t="s">
        <v>37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3" s="13"/>
      <c r="T93" s="17" t="s">
        <v>1621</v>
      </c>
    </row>
    <row r="94" spans="2:20" ht="17">
      <c r="B94" s="17" t="e">
        <f>#REF!+1</f>
        <v>#REF!</v>
      </c>
      <c r="C94" s="17" t="s">
        <v>369</v>
      </c>
      <c r="D94" s="17" t="s">
        <v>418</v>
      </c>
      <c r="E94" s="44" t="s">
        <v>1551</v>
      </c>
      <c r="F94" s="17" t="s">
        <v>253</v>
      </c>
      <c r="G94" s="17" t="s">
        <v>294</v>
      </c>
      <c r="H94" s="17" t="s">
        <v>77</v>
      </c>
      <c r="I94" s="17" t="s">
        <v>73</v>
      </c>
      <c r="J94" s="17" t="s">
        <v>73</v>
      </c>
      <c r="K94" s="17">
        <v>1</v>
      </c>
      <c r="L94" s="17">
        <v>1</v>
      </c>
      <c r="M94" s="17">
        <v>1</v>
      </c>
      <c r="N94" s="17">
        <v>0</v>
      </c>
      <c r="O94" s="17">
        <v>1</v>
      </c>
      <c r="P94" s="17">
        <v>0</v>
      </c>
      <c r="Q94" s="17">
        <v>0</v>
      </c>
      <c r="R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4" s="13"/>
      <c r="T94" s="17" t="s">
        <v>1621</v>
      </c>
    </row>
    <row r="95" spans="2:20" ht="17">
      <c r="B95" s="17" t="e">
        <f>#REF!+1</f>
        <v>#REF!</v>
      </c>
      <c r="C95" s="17" t="s">
        <v>372</v>
      </c>
      <c r="D95" s="17" t="s">
        <v>373</v>
      </c>
      <c r="E95" s="17" t="s">
        <v>374</v>
      </c>
      <c r="F95" s="17" t="s">
        <v>253</v>
      </c>
      <c r="G95" s="17" t="s">
        <v>294</v>
      </c>
      <c r="H95" s="17" t="s">
        <v>37</v>
      </c>
      <c r="I95" s="17" t="s">
        <v>103</v>
      </c>
      <c r="J95" s="17" t="s">
        <v>37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5" s="13"/>
      <c r="T95" s="17" t="s">
        <v>1621</v>
      </c>
    </row>
    <row r="96" spans="2:20" ht="17">
      <c r="B96" s="17" t="e">
        <f t="shared" si="1"/>
        <v>#REF!</v>
      </c>
      <c r="C96" s="17" t="s">
        <v>1620</v>
      </c>
      <c r="D96" s="17" t="s">
        <v>341</v>
      </c>
      <c r="E96" s="17">
        <v>559469682</v>
      </c>
      <c r="F96" s="17" t="s">
        <v>253</v>
      </c>
      <c r="G96" s="17" t="s">
        <v>294</v>
      </c>
      <c r="H96" s="17" t="s">
        <v>77</v>
      </c>
      <c r="I96" s="17" t="s">
        <v>73</v>
      </c>
      <c r="J96" s="17" t="s">
        <v>73</v>
      </c>
      <c r="K96" s="17">
        <v>0</v>
      </c>
      <c r="L96" s="17">
        <v>1</v>
      </c>
      <c r="M96" s="17">
        <v>1</v>
      </c>
      <c r="N96" s="17">
        <v>1</v>
      </c>
      <c r="O96" s="17">
        <v>0</v>
      </c>
      <c r="P96" s="17">
        <v>0</v>
      </c>
      <c r="Q96" s="17">
        <v>0</v>
      </c>
      <c r="R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6" s="13"/>
      <c r="T96" s="17" t="s">
        <v>1621</v>
      </c>
    </row>
    <row r="97" spans="2:20" ht="17">
      <c r="B97" s="17" t="e">
        <f>#REF!+1</f>
        <v>#REF!</v>
      </c>
      <c r="C97" s="17" t="s">
        <v>379</v>
      </c>
      <c r="D97" s="17" t="s">
        <v>380</v>
      </c>
      <c r="E97" s="17" t="s">
        <v>381</v>
      </c>
      <c r="F97" s="17" t="s">
        <v>253</v>
      </c>
      <c r="G97" s="17" t="s">
        <v>294</v>
      </c>
      <c r="H97" s="17" t="s">
        <v>37</v>
      </c>
      <c r="I97" s="17" t="s">
        <v>415</v>
      </c>
      <c r="J97" s="17" t="s">
        <v>37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7" s="13"/>
      <c r="T97" s="17" t="s">
        <v>1621</v>
      </c>
    </row>
    <row r="98" spans="2:20" ht="17">
      <c r="B98" s="17" t="e">
        <f t="shared" si="1"/>
        <v>#REF!</v>
      </c>
      <c r="C98" s="17" t="s">
        <v>382</v>
      </c>
      <c r="D98" s="17" t="s">
        <v>383</v>
      </c>
      <c r="E98" s="17" t="s">
        <v>384</v>
      </c>
      <c r="F98" s="17" t="s">
        <v>253</v>
      </c>
      <c r="G98" s="17" t="s">
        <v>294</v>
      </c>
      <c r="H98" s="17" t="s">
        <v>37</v>
      </c>
      <c r="I98" s="17" t="s">
        <v>103</v>
      </c>
      <c r="J98" s="17" t="s">
        <v>37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8" s="13"/>
      <c r="T98" s="17" t="s">
        <v>1621</v>
      </c>
    </row>
    <row r="99" spans="2:20" ht="17">
      <c r="B99" s="17" t="e">
        <f>#REF!+1</f>
        <v>#REF!</v>
      </c>
      <c r="C99" s="17" t="s">
        <v>385</v>
      </c>
      <c r="D99" s="17" t="s">
        <v>1552</v>
      </c>
      <c r="E99" s="44" t="s">
        <v>1553</v>
      </c>
      <c r="F99" s="17" t="s">
        <v>164</v>
      </c>
      <c r="G99" s="17" t="s">
        <v>294</v>
      </c>
      <c r="H99" s="17" t="s">
        <v>77</v>
      </c>
      <c r="I99" s="17" t="s">
        <v>73</v>
      </c>
      <c r="J99" s="17" t="s">
        <v>73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0</v>
      </c>
      <c r="R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9" s="13"/>
      <c r="T99" s="17" t="s">
        <v>1621</v>
      </c>
    </row>
    <row r="100" spans="2:20" ht="17">
      <c r="B100" s="17" t="e">
        <f>#REF!+1</f>
        <v>#REF!</v>
      </c>
      <c r="C100" s="17" t="s">
        <v>386</v>
      </c>
      <c r="D100" s="17" t="s">
        <v>387</v>
      </c>
      <c r="E100" s="17" t="s">
        <v>388</v>
      </c>
      <c r="F100" s="17" t="s">
        <v>253</v>
      </c>
      <c r="G100" s="17" t="s">
        <v>294</v>
      </c>
      <c r="H100" s="17" t="s">
        <v>37</v>
      </c>
      <c r="I100" s="17" t="s">
        <v>103</v>
      </c>
      <c r="J100" s="17" t="s">
        <v>37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7">
        <v>1</v>
      </c>
      <c r="R1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0" s="13"/>
      <c r="T100" s="17" t="s">
        <v>1621</v>
      </c>
    </row>
    <row r="101" spans="2:20" ht="17">
      <c r="B101" s="17" t="e">
        <f t="shared" si="1"/>
        <v>#REF!</v>
      </c>
      <c r="C101" s="17" t="s">
        <v>389</v>
      </c>
      <c r="D101" s="17" t="s">
        <v>1554</v>
      </c>
      <c r="E101" s="44" t="s">
        <v>1555</v>
      </c>
      <c r="F101" s="17" t="s">
        <v>253</v>
      </c>
      <c r="G101" s="17" t="s">
        <v>294</v>
      </c>
      <c r="H101" s="17" t="s">
        <v>77</v>
      </c>
      <c r="I101" s="17" t="s">
        <v>73</v>
      </c>
      <c r="J101" s="17" t="s">
        <v>73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0</v>
      </c>
      <c r="Q101" s="17">
        <v>0</v>
      </c>
      <c r="R1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1" s="13"/>
      <c r="T101" s="17" t="s">
        <v>1621</v>
      </c>
    </row>
    <row r="102" spans="2:20" ht="17">
      <c r="B102" s="17" t="e">
        <f t="shared" si="1"/>
        <v>#REF!</v>
      </c>
      <c r="C102" s="17" t="s">
        <v>390</v>
      </c>
      <c r="D102" s="17" t="s">
        <v>391</v>
      </c>
      <c r="E102" s="17" t="s">
        <v>392</v>
      </c>
      <c r="F102" s="17" t="s">
        <v>253</v>
      </c>
      <c r="G102" s="17" t="s">
        <v>294</v>
      </c>
      <c r="H102" s="17" t="s">
        <v>37</v>
      </c>
      <c r="I102" s="17" t="s">
        <v>415</v>
      </c>
      <c r="J102" s="17" t="s">
        <v>37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2" s="13"/>
      <c r="T102" s="17" t="s">
        <v>1621</v>
      </c>
    </row>
    <row r="103" spans="2:20" ht="17">
      <c r="B103" s="17" t="e">
        <f>#REF!+1</f>
        <v>#REF!</v>
      </c>
      <c r="C103" s="17" t="s">
        <v>395</v>
      </c>
      <c r="D103" s="17" t="s">
        <v>396</v>
      </c>
      <c r="E103" s="17" t="s">
        <v>397</v>
      </c>
      <c r="F103" s="17" t="s">
        <v>253</v>
      </c>
      <c r="G103" s="17" t="s">
        <v>294</v>
      </c>
      <c r="H103" s="17" t="s">
        <v>37</v>
      </c>
      <c r="I103" s="17" t="s">
        <v>103</v>
      </c>
      <c r="J103" s="17" t="s">
        <v>37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3" s="13"/>
      <c r="T103" s="17" t="s">
        <v>1621</v>
      </c>
    </row>
    <row r="104" spans="2:20" ht="17">
      <c r="B104" s="17" t="e">
        <f t="shared" si="1"/>
        <v>#REF!</v>
      </c>
      <c r="C104" s="17" t="s">
        <v>398</v>
      </c>
      <c r="D104" s="17" t="s">
        <v>399</v>
      </c>
      <c r="E104" s="17" t="s">
        <v>400</v>
      </c>
      <c r="F104" s="17" t="s">
        <v>253</v>
      </c>
      <c r="G104" s="17" t="s">
        <v>294</v>
      </c>
      <c r="H104" s="17" t="s">
        <v>37</v>
      </c>
      <c r="I104" s="17" t="s">
        <v>40</v>
      </c>
      <c r="J104" s="17" t="s">
        <v>37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4" s="13"/>
      <c r="T104" s="17" t="s">
        <v>1621</v>
      </c>
    </row>
    <row r="105" spans="2:20" ht="17">
      <c r="B105" s="17" t="e">
        <f t="shared" si="1"/>
        <v>#REF!</v>
      </c>
      <c r="C105" s="17" t="s">
        <v>401</v>
      </c>
      <c r="D105" s="17" t="s">
        <v>402</v>
      </c>
      <c r="E105" s="17" t="s">
        <v>403</v>
      </c>
      <c r="F105" s="17" t="s">
        <v>164</v>
      </c>
      <c r="G105" s="17" t="s">
        <v>294</v>
      </c>
      <c r="H105" s="17" t="s">
        <v>77</v>
      </c>
      <c r="I105" s="17" t="s">
        <v>73</v>
      </c>
      <c r="J105" s="17" t="s">
        <v>73</v>
      </c>
      <c r="K105" s="17">
        <v>0</v>
      </c>
      <c r="L105" s="17">
        <v>1</v>
      </c>
      <c r="M105" s="17">
        <v>0</v>
      </c>
      <c r="N105" s="17">
        <v>1</v>
      </c>
      <c r="O105" s="17">
        <v>0</v>
      </c>
      <c r="P105" s="17">
        <v>0</v>
      </c>
      <c r="Q105" s="17">
        <v>0</v>
      </c>
      <c r="R1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5" s="13"/>
      <c r="T105" s="17" t="s">
        <v>1621</v>
      </c>
    </row>
    <row r="106" spans="2:20" ht="17">
      <c r="B106" s="17" t="e">
        <f t="shared" si="1"/>
        <v>#REF!</v>
      </c>
      <c r="C106" s="17" t="s">
        <v>404</v>
      </c>
      <c r="D106" s="17" t="s">
        <v>405</v>
      </c>
      <c r="E106" s="17">
        <v>547480334</v>
      </c>
      <c r="F106" s="17" t="s">
        <v>253</v>
      </c>
      <c r="G106" s="17" t="s">
        <v>143</v>
      </c>
      <c r="H106" s="17" t="s">
        <v>108</v>
      </c>
      <c r="I106" s="17" t="s">
        <v>108</v>
      </c>
      <c r="J106" s="17" t="s">
        <v>108</v>
      </c>
      <c r="K106" s="17">
        <v>1</v>
      </c>
      <c r="L106" s="17">
        <v>0</v>
      </c>
      <c r="M106" s="17">
        <v>1</v>
      </c>
      <c r="N106" s="17">
        <v>1</v>
      </c>
      <c r="O106" s="17">
        <v>0</v>
      </c>
      <c r="P106" s="17">
        <v>0</v>
      </c>
      <c r="Q106" s="17">
        <v>0</v>
      </c>
      <c r="R1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6" s="13"/>
      <c r="T106" s="17"/>
    </row>
    <row r="107" spans="2:20" ht="17">
      <c r="B107" s="17" t="e">
        <f t="shared" si="1"/>
        <v>#REF!</v>
      </c>
      <c r="C107" s="17" t="s">
        <v>406</v>
      </c>
      <c r="D107" s="17" t="s">
        <v>407</v>
      </c>
      <c r="E107" s="17">
        <v>551259595</v>
      </c>
      <c r="F107" s="17" t="s">
        <v>253</v>
      </c>
      <c r="G107" s="17" t="s">
        <v>143</v>
      </c>
      <c r="H107" s="17" t="s">
        <v>29</v>
      </c>
      <c r="I107" s="17" t="s">
        <v>29</v>
      </c>
      <c r="J107" s="17" t="s">
        <v>29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7" s="13"/>
      <c r="T107" s="17"/>
    </row>
    <row r="108" spans="2:20" ht="17">
      <c r="B108" s="17" t="e">
        <f t="shared" si="1"/>
        <v>#REF!</v>
      </c>
      <c r="C108" s="17" t="s">
        <v>408</v>
      </c>
      <c r="D108" s="17" t="s">
        <v>409</v>
      </c>
      <c r="E108" s="17">
        <v>593780900</v>
      </c>
      <c r="F108" s="17" t="s">
        <v>408</v>
      </c>
      <c r="G108" s="17" t="s">
        <v>573</v>
      </c>
      <c r="H108" s="17" t="s">
        <v>81</v>
      </c>
      <c r="I108" s="17" t="s">
        <v>82</v>
      </c>
      <c r="J108" s="17" t="s">
        <v>81</v>
      </c>
      <c r="K108" s="17">
        <v>1</v>
      </c>
      <c r="L108" s="17">
        <v>1</v>
      </c>
      <c r="M108" s="17">
        <v>2</v>
      </c>
      <c r="N108" s="17">
        <v>2</v>
      </c>
      <c r="O108" s="17">
        <v>2</v>
      </c>
      <c r="P108" s="17">
        <v>1</v>
      </c>
      <c r="Q108" s="17">
        <v>0</v>
      </c>
      <c r="R1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8" s="13"/>
      <c r="T108" s="17"/>
    </row>
    <row r="109" spans="2:20" ht="17">
      <c r="B109" s="17" t="e">
        <f t="shared" si="1"/>
        <v>#REF!</v>
      </c>
      <c r="C109" s="17" t="s">
        <v>410</v>
      </c>
      <c r="D109" s="17" t="s">
        <v>411</v>
      </c>
      <c r="E109" s="17">
        <v>532634501</v>
      </c>
      <c r="F109" s="17" t="s">
        <v>412</v>
      </c>
      <c r="G109" s="17" t="s">
        <v>143</v>
      </c>
      <c r="H109" s="17" t="s">
        <v>37</v>
      </c>
      <c r="I109" s="17" t="s">
        <v>104</v>
      </c>
      <c r="J109" s="17" t="s">
        <v>37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0</v>
      </c>
      <c r="R1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9" s="13"/>
      <c r="T109" s="17"/>
    </row>
    <row r="110" spans="2:20" ht="17">
      <c r="B110" s="17" t="e">
        <f t="shared" si="1"/>
        <v>#REF!</v>
      </c>
      <c r="C110" s="17" t="s">
        <v>413</v>
      </c>
      <c r="D110" s="17" t="s">
        <v>414</v>
      </c>
      <c r="E110" s="17">
        <v>583210955</v>
      </c>
      <c r="F110" s="17" t="s">
        <v>253</v>
      </c>
      <c r="G110" s="17" t="s">
        <v>573</v>
      </c>
      <c r="H110" s="17" t="s">
        <v>68</v>
      </c>
      <c r="I110" s="17" t="s">
        <v>68</v>
      </c>
      <c r="J110" s="17" t="s">
        <v>68</v>
      </c>
      <c r="K110" s="17">
        <v>1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110" s="13"/>
      <c r="T110" s="17"/>
    </row>
    <row r="111" spans="2:20" ht="17">
      <c r="B111" s="17" t="e">
        <f t="shared" si="1"/>
        <v>#REF!</v>
      </c>
      <c r="C111" s="17" t="s">
        <v>421</v>
      </c>
      <c r="D111" s="17" t="s">
        <v>422</v>
      </c>
      <c r="E111" s="17">
        <v>546403008</v>
      </c>
      <c r="F111" s="17" t="s">
        <v>246</v>
      </c>
      <c r="G111" s="17" t="s">
        <v>573</v>
      </c>
      <c r="H111" s="17" t="s">
        <v>108</v>
      </c>
      <c r="I111" s="17" t="s">
        <v>27</v>
      </c>
      <c r="J111" s="17" t="s">
        <v>27</v>
      </c>
      <c r="K111" s="17">
        <v>1</v>
      </c>
      <c r="L111" s="17">
        <v>1</v>
      </c>
      <c r="M111" s="17">
        <v>0</v>
      </c>
      <c r="N111" s="17">
        <v>1</v>
      </c>
      <c r="O111" s="17">
        <v>2</v>
      </c>
      <c r="P111" s="17">
        <v>1</v>
      </c>
      <c r="Q111" s="17">
        <v>0</v>
      </c>
      <c r="R1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1" s="13"/>
      <c r="T111" s="17"/>
    </row>
    <row r="112" spans="2:20" ht="17">
      <c r="B112" s="17" t="e">
        <f t="shared" si="1"/>
        <v>#REF!</v>
      </c>
      <c r="C112" s="17" t="s">
        <v>423</v>
      </c>
      <c r="D112" s="17" t="s">
        <v>424</v>
      </c>
      <c r="E112" s="17">
        <v>544122128</v>
      </c>
      <c r="F112" s="17" t="s">
        <v>425</v>
      </c>
      <c r="G112" s="17" t="s">
        <v>573</v>
      </c>
      <c r="H112" s="17" t="s">
        <v>35</v>
      </c>
      <c r="I112" s="17" t="s">
        <v>35</v>
      </c>
      <c r="J112" s="17" t="s">
        <v>35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2" s="13"/>
      <c r="T112" s="17"/>
    </row>
    <row r="113" spans="2:20" ht="17">
      <c r="B113" s="17" t="e">
        <f t="shared" si="1"/>
        <v>#REF!</v>
      </c>
      <c r="C113" s="17" t="s">
        <v>426</v>
      </c>
      <c r="D113" s="17" t="s">
        <v>427</v>
      </c>
      <c r="E113" s="17">
        <v>590203553</v>
      </c>
      <c r="F113" s="17" t="s">
        <v>337</v>
      </c>
      <c r="G113" s="17" t="s">
        <v>573</v>
      </c>
      <c r="H113" s="17" t="s">
        <v>68</v>
      </c>
      <c r="I113" s="17" t="s">
        <v>68</v>
      </c>
      <c r="J113" s="17" t="s">
        <v>68</v>
      </c>
      <c r="K113" s="17">
        <v>1</v>
      </c>
      <c r="L113" s="17">
        <v>0</v>
      </c>
      <c r="M113" s="17">
        <v>1</v>
      </c>
      <c r="N113" s="17">
        <v>0</v>
      </c>
      <c r="O113" s="17">
        <v>0</v>
      </c>
      <c r="P113" s="17">
        <v>0</v>
      </c>
      <c r="Q113" s="17">
        <v>0</v>
      </c>
      <c r="R1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3" s="13"/>
      <c r="T113" s="17"/>
    </row>
    <row r="114" spans="2:20" ht="17">
      <c r="B114" s="17" t="e">
        <f t="shared" si="1"/>
        <v>#REF!</v>
      </c>
      <c r="C114" s="17" t="s">
        <v>1700</v>
      </c>
      <c r="D114" s="17" t="s">
        <v>428</v>
      </c>
      <c r="E114" s="17">
        <v>541715198</v>
      </c>
      <c r="F114" s="17" t="s">
        <v>253</v>
      </c>
      <c r="G114" s="17" t="s">
        <v>573</v>
      </c>
      <c r="H114" s="17" t="s">
        <v>77</v>
      </c>
      <c r="I114" s="17" t="s">
        <v>91</v>
      </c>
      <c r="J114" s="17" t="s">
        <v>77</v>
      </c>
      <c r="K114" s="17">
        <v>1</v>
      </c>
      <c r="L114" s="17">
        <v>1</v>
      </c>
      <c r="M114" s="17">
        <v>1</v>
      </c>
      <c r="N114" s="17">
        <v>0</v>
      </c>
      <c r="O114" s="17">
        <v>1</v>
      </c>
      <c r="P114" s="17">
        <v>0</v>
      </c>
      <c r="Q114" s="17">
        <v>0</v>
      </c>
      <c r="R1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4" s="13"/>
      <c r="T114" s="17"/>
    </row>
    <row r="115" spans="2:20" ht="17">
      <c r="B115" s="17" t="e">
        <f>#REF!+1</f>
        <v>#REF!</v>
      </c>
      <c r="C115" s="17" t="s">
        <v>429</v>
      </c>
      <c r="D115" s="17" t="s">
        <v>430</v>
      </c>
      <c r="E115" s="17">
        <v>504888908</v>
      </c>
      <c r="F115" s="17" t="s">
        <v>429</v>
      </c>
      <c r="G115" s="17" t="s">
        <v>143</v>
      </c>
      <c r="H115" s="17" t="s">
        <v>78</v>
      </c>
      <c r="I115" s="17" t="s">
        <v>93</v>
      </c>
      <c r="J115" s="17" t="s">
        <v>78</v>
      </c>
      <c r="K115" s="17">
        <v>1</v>
      </c>
      <c r="L115" s="17">
        <v>1</v>
      </c>
      <c r="M115" s="17">
        <v>1</v>
      </c>
      <c r="N115" s="17">
        <v>1</v>
      </c>
      <c r="O115" s="17">
        <v>0</v>
      </c>
      <c r="P115" s="17">
        <v>0</v>
      </c>
      <c r="Q115" s="17">
        <v>0</v>
      </c>
      <c r="R1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5" s="13"/>
      <c r="T115" s="17"/>
    </row>
    <row r="116" spans="2:20" ht="17">
      <c r="B116" s="17" t="e">
        <f t="shared" ref="B116:B158" si="2">B115+1</f>
        <v>#REF!</v>
      </c>
      <c r="C116" s="17" t="s">
        <v>431</v>
      </c>
      <c r="D116" s="17" t="s">
        <v>432</v>
      </c>
      <c r="E116" s="17">
        <v>503041496</v>
      </c>
      <c r="F116" s="17" t="s">
        <v>164</v>
      </c>
      <c r="G116" s="17" t="s">
        <v>294</v>
      </c>
      <c r="H116" s="17" t="s">
        <v>108</v>
      </c>
      <c r="I116" s="17" t="s">
        <v>15</v>
      </c>
      <c r="J116" s="17" t="s">
        <v>15</v>
      </c>
      <c r="K116" s="17">
        <v>0</v>
      </c>
      <c r="L116" s="17">
        <v>1</v>
      </c>
      <c r="M116" s="17">
        <v>0</v>
      </c>
      <c r="N116" s="17">
        <v>1</v>
      </c>
      <c r="O116" s="17">
        <v>1</v>
      </c>
      <c r="P116" s="17">
        <v>0</v>
      </c>
      <c r="Q116" s="17">
        <v>0</v>
      </c>
      <c r="R1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6" s="13"/>
      <c r="T116" s="17" t="s">
        <v>1621</v>
      </c>
    </row>
    <row r="117" spans="2:20" ht="17">
      <c r="B117" s="17" t="e">
        <f t="shared" si="2"/>
        <v>#REF!</v>
      </c>
      <c r="C117" s="17" t="s">
        <v>433</v>
      </c>
      <c r="D117" s="17" t="s">
        <v>434</v>
      </c>
      <c r="E117" s="17">
        <v>568608087</v>
      </c>
      <c r="F117" s="17" t="s">
        <v>433</v>
      </c>
      <c r="G117" s="17" t="s">
        <v>143</v>
      </c>
      <c r="H117" s="17" t="s">
        <v>37</v>
      </c>
      <c r="I117" s="17" t="s">
        <v>415</v>
      </c>
      <c r="J117" s="17" t="s">
        <v>37</v>
      </c>
      <c r="K117" s="17">
        <v>0</v>
      </c>
      <c r="L117" s="17">
        <v>0</v>
      </c>
      <c r="M117" s="17">
        <v>2</v>
      </c>
      <c r="N117" s="17">
        <v>2</v>
      </c>
      <c r="O117" s="17">
        <v>2</v>
      </c>
      <c r="P117" s="17">
        <v>0</v>
      </c>
      <c r="Q117" s="17">
        <v>0</v>
      </c>
      <c r="R1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7" s="13"/>
      <c r="T117" s="17"/>
    </row>
    <row r="118" spans="2:20" ht="17">
      <c r="B118" s="17" t="e">
        <f t="shared" si="2"/>
        <v>#REF!</v>
      </c>
      <c r="C118" s="17" t="s">
        <v>435</v>
      </c>
      <c r="D118" s="17" t="s">
        <v>436</v>
      </c>
      <c r="E118" s="17">
        <v>503101442</v>
      </c>
      <c r="F118" s="17" t="s">
        <v>437</v>
      </c>
      <c r="G118" s="17" t="s">
        <v>573</v>
      </c>
      <c r="H118" s="17" t="s">
        <v>108</v>
      </c>
      <c r="I118" s="17" t="s">
        <v>15</v>
      </c>
      <c r="J118" s="17" t="s">
        <v>15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8" s="13"/>
      <c r="T118" s="17"/>
    </row>
    <row r="119" spans="2:20" ht="17">
      <c r="B119" s="17" t="e">
        <f t="shared" si="2"/>
        <v>#REF!</v>
      </c>
      <c r="C119" s="17" t="s">
        <v>438</v>
      </c>
      <c r="D119" s="17" t="s">
        <v>439</v>
      </c>
      <c r="E119" s="17">
        <v>545908100</v>
      </c>
      <c r="F119" s="17" t="s">
        <v>440</v>
      </c>
      <c r="G119" s="17" t="s">
        <v>573</v>
      </c>
      <c r="H119" s="17" t="s">
        <v>78</v>
      </c>
      <c r="I119" s="17" t="s">
        <v>93</v>
      </c>
      <c r="J119" s="17" t="s">
        <v>78</v>
      </c>
      <c r="K119" s="17">
        <v>0</v>
      </c>
      <c r="L119" s="17">
        <v>1</v>
      </c>
      <c r="M119" s="17">
        <v>1</v>
      </c>
      <c r="N119" s="17">
        <v>1</v>
      </c>
      <c r="O119" s="17">
        <v>3</v>
      </c>
      <c r="P119" s="17">
        <v>1</v>
      </c>
      <c r="Q119" s="17">
        <v>0</v>
      </c>
      <c r="R1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9" s="13"/>
      <c r="T119" s="17"/>
    </row>
    <row r="120" spans="2:20" ht="17">
      <c r="B120" s="17" t="e">
        <f t="shared" si="2"/>
        <v>#REF!</v>
      </c>
      <c r="C120" s="17" t="s">
        <v>441</v>
      </c>
      <c r="D120" s="17" t="s">
        <v>442</v>
      </c>
      <c r="E120" s="17">
        <v>507575082</v>
      </c>
      <c r="F120" s="17" t="s">
        <v>253</v>
      </c>
      <c r="G120" s="17" t="s">
        <v>294</v>
      </c>
      <c r="H120" s="17" t="s">
        <v>37</v>
      </c>
      <c r="I120" s="17" t="s">
        <v>101</v>
      </c>
      <c r="J120" s="17" t="s">
        <v>37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0" s="13"/>
      <c r="T120" s="17" t="s">
        <v>1621</v>
      </c>
    </row>
    <row r="121" spans="2:20" ht="17">
      <c r="B121" s="17" t="e">
        <f t="shared" si="2"/>
        <v>#REF!</v>
      </c>
      <c r="C121" s="17" t="s">
        <v>443</v>
      </c>
      <c r="D121" s="17" t="s">
        <v>444</v>
      </c>
      <c r="E121" s="17">
        <v>590059965</v>
      </c>
      <c r="F121" s="17" t="s">
        <v>253</v>
      </c>
      <c r="G121" s="17" t="s">
        <v>294</v>
      </c>
      <c r="H121" s="17" t="s">
        <v>37</v>
      </c>
      <c r="I121" s="17" t="s">
        <v>101</v>
      </c>
      <c r="J121" s="17" t="s">
        <v>37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1" s="13"/>
      <c r="T121" s="17" t="s">
        <v>1621</v>
      </c>
    </row>
    <row r="122" spans="2:20" ht="17">
      <c r="B122" s="17" t="e">
        <f>#REF!+1</f>
        <v>#REF!</v>
      </c>
      <c r="C122" s="17" t="s">
        <v>446</v>
      </c>
      <c r="D122" s="17" t="s">
        <v>447</v>
      </c>
      <c r="E122" s="17">
        <v>504403817</v>
      </c>
      <c r="F122" s="17" t="s">
        <v>253</v>
      </c>
      <c r="G122" s="17" t="s">
        <v>294</v>
      </c>
      <c r="H122" s="17" t="s">
        <v>37</v>
      </c>
      <c r="I122" s="17" t="s">
        <v>101</v>
      </c>
      <c r="J122" s="17" t="s">
        <v>37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2" s="13"/>
      <c r="T122" s="17" t="s">
        <v>1621</v>
      </c>
    </row>
    <row r="123" spans="2:20" ht="17">
      <c r="B123" s="17" t="e">
        <f t="shared" si="2"/>
        <v>#REF!</v>
      </c>
      <c r="C123" s="17" t="s">
        <v>448</v>
      </c>
      <c r="D123" s="17" t="s">
        <v>449</v>
      </c>
      <c r="E123" s="17">
        <v>507766299</v>
      </c>
      <c r="F123" s="17" t="s">
        <v>253</v>
      </c>
      <c r="G123" s="17" t="s">
        <v>294</v>
      </c>
      <c r="H123" s="17" t="s">
        <v>37</v>
      </c>
      <c r="I123" s="17" t="s">
        <v>101</v>
      </c>
      <c r="J123" s="17" t="s">
        <v>37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3" s="13"/>
      <c r="T123" s="17" t="s">
        <v>1621</v>
      </c>
    </row>
    <row r="124" spans="2:20" ht="17">
      <c r="B124" s="17" t="e">
        <f>#REF!+1</f>
        <v>#REF!</v>
      </c>
      <c r="C124" s="17" t="s">
        <v>452</v>
      </c>
      <c r="D124" s="17" t="s">
        <v>453</v>
      </c>
      <c r="E124" s="17">
        <v>506786649</v>
      </c>
      <c r="F124" s="17" t="s">
        <v>253</v>
      </c>
      <c r="G124" s="17" t="s">
        <v>294</v>
      </c>
      <c r="H124" s="17" t="s">
        <v>37</v>
      </c>
      <c r="I124" s="17" t="s">
        <v>415</v>
      </c>
      <c r="J124" s="17" t="s">
        <v>37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4" s="13"/>
      <c r="T124" s="17" t="s">
        <v>1621</v>
      </c>
    </row>
    <row r="125" spans="2:20" ht="17">
      <c r="B125" s="17" t="e">
        <f>#REF!+1</f>
        <v>#REF!</v>
      </c>
      <c r="C125" s="17" t="s">
        <v>455</v>
      </c>
      <c r="D125" s="17" t="s">
        <v>456</v>
      </c>
      <c r="E125" s="17">
        <v>558947547</v>
      </c>
      <c r="F125" s="17" t="s">
        <v>253</v>
      </c>
      <c r="G125" s="17" t="s">
        <v>294</v>
      </c>
      <c r="H125" s="17" t="s">
        <v>108</v>
      </c>
      <c r="I125" s="17" t="s">
        <v>15</v>
      </c>
      <c r="J125" s="17" t="s">
        <v>15</v>
      </c>
      <c r="K125" s="17">
        <v>1</v>
      </c>
      <c r="L125" s="17">
        <v>1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5" s="13"/>
      <c r="T125" s="17" t="s">
        <v>1621</v>
      </c>
    </row>
    <row r="126" spans="2:20" ht="17">
      <c r="B126" s="17" t="e">
        <f t="shared" si="2"/>
        <v>#REF!</v>
      </c>
      <c r="C126" s="17" t="s">
        <v>457</v>
      </c>
      <c r="D126" s="17" t="s">
        <v>458</v>
      </c>
      <c r="E126" s="17">
        <v>551351433</v>
      </c>
      <c r="F126" s="17" t="s">
        <v>253</v>
      </c>
      <c r="G126" s="17" t="s">
        <v>294</v>
      </c>
      <c r="H126" s="17" t="s">
        <v>37</v>
      </c>
      <c r="I126" s="17" t="s">
        <v>102</v>
      </c>
      <c r="J126" s="17" t="s">
        <v>37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6" s="13"/>
      <c r="T126" s="17" t="s">
        <v>1621</v>
      </c>
    </row>
    <row r="127" spans="2:20" ht="17">
      <c r="B127" s="17" t="e">
        <f t="shared" si="2"/>
        <v>#REF!</v>
      </c>
      <c r="C127" s="17" t="s">
        <v>459</v>
      </c>
      <c r="D127" s="17" t="s">
        <v>460</v>
      </c>
      <c r="E127" s="17">
        <v>507826500</v>
      </c>
      <c r="F127" s="17" t="s">
        <v>253</v>
      </c>
      <c r="G127" s="17" t="s">
        <v>294</v>
      </c>
      <c r="H127" s="17" t="s">
        <v>37</v>
      </c>
      <c r="I127" s="17" t="s">
        <v>102</v>
      </c>
      <c r="J127" s="17" t="s">
        <v>37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7" s="13"/>
      <c r="T127" s="17" t="s">
        <v>1621</v>
      </c>
    </row>
    <row r="128" spans="2:20" ht="17">
      <c r="B128" s="17" t="e">
        <f t="shared" si="2"/>
        <v>#REF!</v>
      </c>
      <c r="C128" s="17" t="s">
        <v>461</v>
      </c>
      <c r="D128" s="17" t="s">
        <v>462</v>
      </c>
      <c r="E128" s="17">
        <v>563244400</v>
      </c>
      <c r="F128" s="17" t="s">
        <v>253</v>
      </c>
      <c r="G128" s="17" t="s">
        <v>294</v>
      </c>
      <c r="H128" s="17" t="s">
        <v>77</v>
      </c>
      <c r="I128" s="17" t="s">
        <v>73</v>
      </c>
      <c r="J128" s="17" t="s">
        <v>73</v>
      </c>
      <c r="K128" s="17">
        <v>1</v>
      </c>
      <c r="L128" s="17">
        <v>1</v>
      </c>
      <c r="M128" s="17">
        <v>0</v>
      </c>
      <c r="N128" s="17">
        <v>1</v>
      </c>
      <c r="O128" s="17">
        <v>0</v>
      </c>
      <c r="P128" s="17">
        <v>0</v>
      </c>
      <c r="Q128" s="17">
        <v>0</v>
      </c>
      <c r="R1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8" s="13"/>
      <c r="T128" s="17" t="s">
        <v>1621</v>
      </c>
    </row>
    <row r="129" spans="2:20" ht="17">
      <c r="B129" s="17" t="e">
        <f t="shared" si="2"/>
        <v>#REF!</v>
      </c>
      <c r="C129" s="17" t="s">
        <v>463</v>
      </c>
      <c r="D129" s="17" t="s">
        <v>464</v>
      </c>
      <c r="E129" s="17">
        <v>535320370</v>
      </c>
      <c r="F129" s="17" t="s">
        <v>253</v>
      </c>
      <c r="G129" s="17" t="s">
        <v>294</v>
      </c>
      <c r="H129" s="17" t="s">
        <v>37</v>
      </c>
      <c r="I129" s="17" t="s">
        <v>101</v>
      </c>
      <c r="J129" s="17" t="s">
        <v>37</v>
      </c>
      <c r="K129" s="17">
        <v>1</v>
      </c>
      <c r="L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9" s="13"/>
      <c r="T129" s="17" t="s">
        <v>1621</v>
      </c>
    </row>
    <row r="130" spans="2:20" ht="17">
      <c r="B130" s="17" t="e">
        <f t="shared" si="2"/>
        <v>#REF!</v>
      </c>
      <c r="C130" s="17" t="s">
        <v>465</v>
      </c>
      <c r="D130" s="17" t="s">
        <v>466</v>
      </c>
      <c r="E130" s="17">
        <v>5533332423</v>
      </c>
      <c r="F130" s="17" t="s">
        <v>465</v>
      </c>
      <c r="G130" s="17" t="s">
        <v>143</v>
      </c>
      <c r="H130" s="17" t="s">
        <v>78</v>
      </c>
      <c r="I130" s="17" t="s">
        <v>111</v>
      </c>
      <c r="J130" s="17" t="s">
        <v>45</v>
      </c>
      <c r="K130" s="17">
        <v>1</v>
      </c>
      <c r="L130" s="17">
        <v>0</v>
      </c>
      <c r="M130" s="17">
        <v>1</v>
      </c>
      <c r="N130" s="17">
        <v>0</v>
      </c>
      <c r="O130" s="17">
        <v>0</v>
      </c>
      <c r="P130" s="17">
        <v>0</v>
      </c>
      <c r="Q130" s="17">
        <v>0</v>
      </c>
      <c r="R1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0" s="13"/>
      <c r="T130" s="17"/>
    </row>
    <row r="131" spans="2:20" ht="17">
      <c r="B131" s="17" t="e">
        <f t="shared" si="2"/>
        <v>#REF!</v>
      </c>
      <c r="C131" s="17" t="s">
        <v>467</v>
      </c>
      <c r="D131" s="17" t="s">
        <v>468</v>
      </c>
      <c r="E131" s="17">
        <v>562574033</v>
      </c>
      <c r="F131" s="17" t="s">
        <v>164</v>
      </c>
      <c r="G131" s="17" t="s">
        <v>294</v>
      </c>
      <c r="H131" s="17" t="s">
        <v>77</v>
      </c>
      <c r="I131" s="17" t="s">
        <v>73</v>
      </c>
      <c r="J131" s="17" t="s">
        <v>73</v>
      </c>
      <c r="K131" s="17">
        <v>0</v>
      </c>
      <c r="L131" s="17">
        <v>1</v>
      </c>
      <c r="M131" s="17">
        <v>1</v>
      </c>
      <c r="N131" s="17">
        <v>1</v>
      </c>
      <c r="O131" s="17">
        <v>1</v>
      </c>
      <c r="P131" s="17">
        <v>0</v>
      </c>
      <c r="Q131" s="17">
        <v>0</v>
      </c>
      <c r="R1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1" s="13"/>
      <c r="T131" s="17" t="s">
        <v>1621</v>
      </c>
    </row>
    <row r="132" spans="2:20" ht="17">
      <c r="B132" s="17" t="e">
        <f>#REF!+1</f>
        <v>#REF!</v>
      </c>
      <c r="C132" s="17" t="s">
        <v>474</v>
      </c>
      <c r="D132" s="17" t="s">
        <v>475</v>
      </c>
      <c r="E132" s="17">
        <v>507572755</v>
      </c>
      <c r="F132" s="17" t="s">
        <v>164</v>
      </c>
      <c r="G132" s="17" t="s">
        <v>294</v>
      </c>
      <c r="H132" s="17" t="s">
        <v>37</v>
      </c>
      <c r="I132" s="17" t="s">
        <v>415</v>
      </c>
      <c r="J132" s="17" t="s">
        <v>37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2" s="13"/>
      <c r="T132" s="17" t="s">
        <v>1621</v>
      </c>
    </row>
    <row r="133" spans="2:20" ht="17">
      <c r="B133" s="17" t="e">
        <f>#REF!+1</f>
        <v>#REF!</v>
      </c>
      <c r="C133" s="17" t="s">
        <v>477</v>
      </c>
      <c r="D133" s="17" t="s">
        <v>478</v>
      </c>
      <c r="E133" s="17">
        <v>505923229</v>
      </c>
      <c r="F133" s="17" t="s">
        <v>253</v>
      </c>
      <c r="G133" s="17" t="s">
        <v>294</v>
      </c>
      <c r="H133" s="17" t="s">
        <v>37</v>
      </c>
      <c r="I133" s="17" t="s">
        <v>102</v>
      </c>
      <c r="J133" s="17" t="s">
        <v>37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3" s="13"/>
      <c r="T133" s="17" t="s">
        <v>1621</v>
      </c>
    </row>
    <row r="134" spans="2:20" ht="17">
      <c r="B134" s="17" t="e">
        <f t="shared" si="2"/>
        <v>#REF!</v>
      </c>
      <c r="C134" s="17" t="s">
        <v>479</v>
      </c>
      <c r="D134" s="17" t="s">
        <v>480</v>
      </c>
      <c r="E134" s="17">
        <v>500588768</v>
      </c>
      <c r="F134" s="17" t="s">
        <v>253</v>
      </c>
      <c r="G134" s="17" t="s">
        <v>294</v>
      </c>
      <c r="H134" s="17" t="s">
        <v>37</v>
      </c>
      <c r="I134" s="17" t="s">
        <v>101</v>
      </c>
      <c r="J134" s="17" t="s">
        <v>37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4" s="13"/>
      <c r="T134" s="17" t="s">
        <v>1621</v>
      </c>
    </row>
    <row r="135" spans="2:20" ht="17">
      <c r="B135" s="17" t="e">
        <f>#REF!+1</f>
        <v>#REF!</v>
      </c>
      <c r="C135" s="17" t="s">
        <v>482</v>
      </c>
      <c r="D135" s="17" t="s">
        <v>483</v>
      </c>
      <c r="E135" s="17" t="s">
        <v>253</v>
      </c>
      <c r="F135" s="17" t="s">
        <v>95</v>
      </c>
      <c r="G135" s="17" t="s">
        <v>143</v>
      </c>
      <c r="H135" s="17" t="s">
        <v>78</v>
      </c>
      <c r="I135" s="17" t="s">
        <v>95</v>
      </c>
      <c r="J135" s="17" t="s">
        <v>45</v>
      </c>
      <c r="K135" s="17">
        <v>1</v>
      </c>
      <c r="L135" s="17">
        <v>0</v>
      </c>
      <c r="M135" s="17">
        <v>1</v>
      </c>
      <c r="N135" s="17">
        <v>0</v>
      </c>
      <c r="O135" s="17">
        <v>0</v>
      </c>
      <c r="P135" s="17">
        <v>0</v>
      </c>
      <c r="Q135" s="17">
        <v>0</v>
      </c>
      <c r="R1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5" s="13"/>
      <c r="T135" s="17"/>
    </row>
    <row r="136" spans="2:20" ht="17">
      <c r="B136" s="17" t="e">
        <f t="shared" si="2"/>
        <v>#REF!</v>
      </c>
      <c r="C136" s="17" t="s">
        <v>78</v>
      </c>
      <c r="D136" s="17" t="s">
        <v>484</v>
      </c>
      <c r="E136" s="17">
        <v>533920891</v>
      </c>
      <c r="F136" s="17" t="s">
        <v>78</v>
      </c>
      <c r="G136" s="17" t="s">
        <v>143</v>
      </c>
      <c r="H136" s="17" t="s">
        <v>78</v>
      </c>
      <c r="I136" s="17" t="s">
        <v>45</v>
      </c>
      <c r="J136" s="17" t="s">
        <v>45</v>
      </c>
      <c r="K136" s="17">
        <v>1</v>
      </c>
      <c r="L136" s="17">
        <v>1</v>
      </c>
      <c r="M136" s="17">
        <v>2</v>
      </c>
      <c r="N136" s="17">
        <v>2</v>
      </c>
      <c r="O136" s="17">
        <v>1</v>
      </c>
      <c r="P136" s="17">
        <v>0</v>
      </c>
      <c r="Q136" s="17">
        <v>0</v>
      </c>
      <c r="R1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6" s="13"/>
      <c r="T136" s="17"/>
    </row>
    <row r="137" spans="2:20" ht="17">
      <c r="B137" s="17" t="e">
        <f t="shared" si="2"/>
        <v>#REF!</v>
      </c>
      <c r="C137" s="17" t="s">
        <v>485</v>
      </c>
      <c r="D137" s="17" t="s">
        <v>486</v>
      </c>
      <c r="E137" s="17">
        <v>505769181</v>
      </c>
      <c r="F137" s="17" t="s">
        <v>485</v>
      </c>
      <c r="G137" s="17" t="s">
        <v>143</v>
      </c>
      <c r="H137" s="17" t="s">
        <v>78</v>
      </c>
      <c r="I137" s="17" t="s">
        <v>45</v>
      </c>
      <c r="J137" s="17" t="s">
        <v>45</v>
      </c>
      <c r="K137" s="17">
        <v>1</v>
      </c>
      <c r="L137" s="17">
        <v>1</v>
      </c>
      <c r="M137" s="17">
        <v>1</v>
      </c>
      <c r="N137" s="17">
        <v>1</v>
      </c>
      <c r="O137" s="17">
        <v>1</v>
      </c>
      <c r="P137" s="17">
        <v>0</v>
      </c>
      <c r="Q137" s="17">
        <v>0</v>
      </c>
      <c r="R1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7" s="13"/>
      <c r="T137" s="17"/>
    </row>
    <row r="138" spans="2:20" ht="17">
      <c r="B138" s="17" t="e">
        <f t="shared" si="2"/>
        <v>#REF!</v>
      </c>
      <c r="C138" s="17" t="s">
        <v>487</v>
      </c>
      <c r="D138" s="17" t="s">
        <v>488</v>
      </c>
      <c r="E138" s="17">
        <v>543332042</v>
      </c>
      <c r="F138" s="17" t="s">
        <v>487</v>
      </c>
      <c r="G138" s="17" t="s">
        <v>573</v>
      </c>
      <c r="H138" s="17" t="s">
        <v>78</v>
      </c>
      <c r="I138" s="17" t="s">
        <v>45</v>
      </c>
      <c r="J138" s="17" t="s">
        <v>45</v>
      </c>
      <c r="K138" s="17">
        <v>0</v>
      </c>
      <c r="L138" s="17">
        <v>0</v>
      </c>
      <c r="M138" s="17">
        <v>1</v>
      </c>
      <c r="N138" s="17">
        <v>0</v>
      </c>
      <c r="O138" s="17">
        <v>0</v>
      </c>
      <c r="P138" s="17">
        <v>0</v>
      </c>
      <c r="Q138" s="17">
        <v>0</v>
      </c>
      <c r="R1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8" s="13"/>
      <c r="T138" s="17"/>
    </row>
    <row r="139" spans="2:20" ht="17">
      <c r="B139" s="17" t="e">
        <f t="shared" si="2"/>
        <v>#REF!</v>
      </c>
      <c r="C139" s="17" t="s">
        <v>489</v>
      </c>
      <c r="D139" s="17" t="s">
        <v>490</v>
      </c>
      <c r="E139" s="17">
        <v>581520094</v>
      </c>
      <c r="F139" s="17" t="s">
        <v>253</v>
      </c>
      <c r="G139" s="17" t="s">
        <v>573</v>
      </c>
      <c r="H139" s="17" t="s">
        <v>108</v>
      </c>
      <c r="I139" s="17" t="s">
        <v>27</v>
      </c>
      <c r="J139" s="17" t="s">
        <v>27</v>
      </c>
      <c r="K139" s="17">
        <v>0</v>
      </c>
      <c r="L139" s="17">
        <v>0</v>
      </c>
      <c r="M139" s="17">
        <v>1</v>
      </c>
      <c r="N139" s="17">
        <v>2</v>
      </c>
      <c r="O139" s="17">
        <v>2</v>
      </c>
      <c r="P139" s="17">
        <v>2</v>
      </c>
      <c r="Q139" s="17">
        <v>2</v>
      </c>
      <c r="R1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9" s="13"/>
      <c r="T139" s="17"/>
    </row>
    <row r="140" spans="2:20" ht="17">
      <c r="B140" s="17" t="e">
        <f t="shared" si="2"/>
        <v>#REF!</v>
      </c>
      <c r="C140" s="17" t="s">
        <v>491</v>
      </c>
      <c r="D140" s="17" t="s">
        <v>492</v>
      </c>
      <c r="E140" s="17">
        <v>565157685</v>
      </c>
      <c r="F140" s="17" t="s">
        <v>493</v>
      </c>
      <c r="G140" s="17" t="s">
        <v>573</v>
      </c>
      <c r="H140" s="17" t="s">
        <v>108</v>
      </c>
      <c r="I140" s="17" t="s">
        <v>27</v>
      </c>
      <c r="J140" s="17" t="s">
        <v>27</v>
      </c>
      <c r="K140" s="17">
        <v>0</v>
      </c>
      <c r="L140" s="17">
        <v>1</v>
      </c>
      <c r="M140" s="17">
        <v>0</v>
      </c>
      <c r="N140" s="17">
        <v>1</v>
      </c>
      <c r="O140" s="17">
        <v>1</v>
      </c>
      <c r="P140" s="17">
        <v>0</v>
      </c>
      <c r="Q140" s="17">
        <v>0</v>
      </c>
      <c r="R1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0" s="13"/>
      <c r="T140" s="17"/>
    </row>
    <row r="141" spans="2:20" ht="17">
      <c r="B141" s="17" t="e">
        <f t="shared" si="2"/>
        <v>#REF!</v>
      </c>
      <c r="C141" s="17" t="s">
        <v>494</v>
      </c>
      <c r="D141" s="17" t="s">
        <v>495</v>
      </c>
      <c r="E141" s="17">
        <v>506107375</v>
      </c>
      <c r="F141" s="17" t="s">
        <v>496</v>
      </c>
      <c r="G141" s="17" t="s">
        <v>573</v>
      </c>
      <c r="H141" s="17" t="s">
        <v>78</v>
      </c>
      <c r="I141" s="17" t="s">
        <v>45</v>
      </c>
      <c r="J141" s="17" t="s">
        <v>45</v>
      </c>
      <c r="K141" s="17">
        <v>0</v>
      </c>
      <c r="L141" s="17">
        <v>1</v>
      </c>
      <c r="M141" s="17">
        <v>1</v>
      </c>
      <c r="N141" s="17">
        <v>1</v>
      </c>
      <c r="O141" s="17">
        <v>0</v>
      </c>
      <c r="P141" s="17">
        <v>0</v>
      </c>
      <c r="Q141" s="17">
        <v>0</v>
      </c>
      <c r="R1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1" s="13"/>
      <c r="T141" s="17"/>
    </row>
    <row r="142" spans="2:20" ht="17">
      <c r="B142" s="17" t="e">
        <f t="shared" si="2"/>
        <v>#REF!</v>
      </c>
      <c r="C142" s="17" t="s">
        <v>497</v>
      </c>
      <c r="D142" s="17" t="s">
        <v>498</v>
      </c>
      <c r="E142" s="17">
        <v>552262899</v>
      </c>
      <c r="F142" s="17" t="s">
        <v>253</v>
      </c>
      <c r="G142" s="17" t="s">
        <v>573</v>
      </c>
      <c r="H142" s="17" t="s">
        <v>21</v>
      </c>
      <c r="I142" s="17" t="s">
        <v>21</v>
      </c>
      <c r="J142" s="17" t="s">
        <v>21</v>
      </c>
      <c r="K142" s="17">
        <v>1</v>
      </c>
      <c r="L142" s="17">
        <v>1</v>
      </c>
      <c r="M142" s="17">
        <v>1</v>
      </c>
      <c r="N142" s="17">
        <v>2</v>
      </c>
      <c r="O142" s="17">
        <v>1</v>
      </c>
      <c r="P142" s="17">
        <v>1</v>
      </c>
      <c r="Q142" s="17">
        <v>0</v>
      </c>
      <c r="R1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2" s="13"/>
      <c r="T142" s="17"/>
    </row>
    <row r="143" spans="2:20" ht="17">
      <c r="B143" s="17" t="e">
        <f t="shared" si="2"/>
        <v>#REF!</v>
      </c>
      <c r="C143" s="17" t="s">
        <v>499</v>
      </c>
      <c r="D143" s="17" t="s">
        <v>500</v>
      </c>
      <c r="E143" s="17">
        <v>504868259</v>
      </c>
      <c r="F143" s="17" t="s">
        <v>253</v>
      </c>
      <c r="G143" s="17" t="s">
        <v>573</v>
      </c>
      <c r="H143" s="17" t="s">
        <v>35</v>
      </c>
      <c r="I143" s="17" t="s">
        <v>35</v>
      </c>
      <c r="J143" s="17" t="s">
        <v>35</v>
      </c>
      <c r="K143" s="17">
        <v>0</v>
      </c>
      <c r="L143" s="17">
        <v>0</v>
      </c>
      <c r="M143" s="17">
        <v>1</v>
      </c>
      <c r="N143" s="17">
        <v>0</v>
      </c>
      <c r="O143" s="17">
        <v>0</v>
      </c>
      <c r="P143" s="17">
        <v>0</v>
      </c>
      <c r="Q143" s="17">
        <v>0</v>
      </c>
      <c r="R1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3" s="13"/>
      <c r="T143" s="17"/>
    </row>
    <row r="144" spans="2:20" ht="17">
      <c r="B144" s="17" t="e">
        <f t="shared" si="2"/>
        <v>#REF!</v>
      </c>
      <c r="C144" s="17" t="s">
        <v>501</v>
      </c>
      <c r="D144" s="17" t="s">
        <v>502</v>
      </c>
      <c r="E144" s="17">
        <v>551021335</v>
      </c>
      <c r="F144" s="17" t="s">
        <v>501</v>
      </c>
      <c r="G144" s="17" t="s">
        <v>143</v>
      </c>
      <c r="H144" s="17" t="s">
        <v>24</v>
      </c>
      <c r="I144" s="17" t="s">
        <v>24</v>
      </c>
      <c r="J144" s="17" t="s">
        <v>24</v>
      </c>
      <c r="K144" s="17">
        <v>1</v>
      </c>
      <c r="L144" s="17">
        <v>1</v>
      </c>
      <c r="M144" s="17">
        <v>1</v>
      </c>
      <c r="N144" s="17">
        <v>1</v>
      </c>
      <c r="O144" s="17">
        <v>0</v>
      </c>
      <c r="P144" s="17">
        <v>0</v>
      </c>
      <c r="Q144" s="17">
        <v>0</v>
      </c>
      <c r="R1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4" s="13"/>
      <c r="T144" s="17"/>
    </row>
    <row r="145" spans="2:20" ht="17">
      <c r="B145" s="17" t="e">
        <f t="shared" si="2"/>
        <v>#REF!</v>
      </c>
      <c r="C145" s="17" t="s">
        <v>504</v>
      </c>
      <c r="D145" s="17" t="s">
        <v>505</v>
      </c>
      <c r="E145" s="17">
        <v>503980009</v>
      </c>
      <c r="F145" s="17" t="s">
        <v>253</v>
      </c>
      <c r="G145" s="17" t="s">
        <v>294</v>
      </c>
      <c r="H145" s="17" t="s">
        <v>78</v>
      </c>
      <c r="I145" s="17" t="s">
        <v>93</v>
      </c>
      <c r="J145" s="17" t="s">
        <v>78</v>
      </c>
      <c r="K145" s="17">
        <v>1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5" s="13"/>
      <c r="T145" s="17" t="s">
        <v>1621</v>
      </c>
    </row>
    <row r="146" spans="2:20" ht="17">
      <c r="B146" s="17" t="e">
        <f>#REF!+1</f>
        <v>#REF!</v>
      </c>
      <c r="C146" s="17" t="s">
        <v>510</v>
      </c>
      <c r="D146" s="17" t="s">
        <v>511</v>
      </c>
      <c r="E146" s="17">
        <v>501738972</v>
      </c>
      <c r="F146" s="17" t="s">
        <v>253</v>
      </c>
      <c r="G146" s="17" t="s">
        <v>294</v>
      </c>
      <c r="H146" s="17" t="s">
        <v>37</v>
      </c>
      <c r="I146" s="17" t="s">
        <v>101</v>
      </c>
      <c r="J146" s="17" t="s">
        <v>37</v>
      </c>
      <c r="K146" s="17">
        <v>0</v>
      </c>
      <c r="L146" s="17">
        <v>0</v>
      </c>
      <c r="M146" s="17">
        <v>1</v>
      </c>
      <c r="N146" s="17">
        <v>1</v>
      </c>
      <c r="O146" s="17">
        <v>1</v>
      </c>
      <c r="P146" s="17">
        <v>1</v>
      </c>
      <c r="Q146" s="17">
        <v>1</v>
      </c>
      <c r="R1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6" s="13"/>
      <c r="T146" s="17" t="s">
        <v>1621</v>
      </c>
    </row>
    <row r="147" spans="2:20" ht="17">
      <c r="B147" s="17" t="e">
        <f t="shared" si="2"/>
        <v>#REF!</v>
      </c>
      <c r="C147" s="17" t="s">
        <v>512</v>
      </c>
      <c r="D147" s="17" t="s">
        <v>513</v>
      </c>
      <c r="E147" s="17">
        <v>506562141</v>
      </c>
      <c r="F147" s="17" t="s">
        <v>253</v>
      </c>
      <c r="G147" s="17" t="s">
        <v>294</v>
      </c>
      <c r="H147" s="17" t="s">
        <v>108</v>
      </c>
      <c r="I147" s="17" t="s">
        <v>108</v>
      </c>
      <c r="J147" s="17" t="s">
        <v>108</v>
      </c>
      <c r="K147" s="17">
        <v>1</v>
      </c>
      <c r="L147" s="17">
        <v>1</v>
      </c>
      <c r="M147" s="17">
        <v>1</v>
      </c>
      <c r="N147" s="17">
        <v>1</v>
      </c>
      <c r="O147" s="17">
        <v>1</v>
      </c>
      <c r="P147" s="17">
        <v>0</v>
      </c>
      <c r="Q147" s="17">
        <v>0</v>
      </c>
      <c r="R1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7" s="13"/>
      <c r="T147" s="17" t="s">
        <v>1621</v>
      </c>
    </row>
    <row r="148" spans="2:20" ht="17">
      <c r="B148" s="17" t="e">
        <f t="shared" si="2"/>
        <v>#REF!</v>
      </c>
      <c r="C148" s="17" t="s">
        <v>925</v>
      </c>
      <c r="D148" s="17" t="s">
        <v>514</v>
      </c>
      <c r="E148" s="17">
        <v>533252040</v>
      </c>
      <c r="F148" s="17" t="s">
        <v>253</v>
      </c>
      <c r="G148" s="17" t="s">
        <v>294</v>
      </c>
      <c r="H148" s="17" t="s">
        <v>37</v>
      </c>
      <c r="I148" s="17" t="s">
        <v>415</v>
      </c>
      <c r="J148" s="17" t="s">
        <v>37</v>
      </c>
      <c r="K148" s="17">
        <v>1</v>
      </c>
      <c r="L148" s="17">
        <v>1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8" s="13"/>
      <c r="T148" s="17" t="s">
        <v>1621</v>
      </c>
    </row>
    <row r="149" spans="2:20" ht="17">
      <c r="B149" s="17" t="e">
        <f t="shared" si="2"/>
        <v>#REF!</v>
      </c>
      <c r="C149" s="17" t="s">
        <v>515</v>
      </c>
      <c r="D149" s="17" t="s">
        <v>516</v>
      </c>
      <c r="E149" s="17">
        <v>509764227</v>
      </c>
      <c r="F149" s="17" t="s">
        <v>164</v>
      </c>
      <c r="G149" s="17" t="s">
        <v>294</v>
      </c>
      <c r="H149" s="17" t="s">
        <v>37</v>
      </c>
      <c r="I149" s="17" t="s">
        <v>415</v>
      </c>
      <c r="J149" s="17" t="s">
        <v>37</v>
      </c>
      <c r="K149" s="17">
        <v>0</v>
      </c>
      <c r="L149" s="17">
        <v>1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9" s="13"/>
      <c r="T149" s="17" t="s">
        <v>1621</v>
      </c>
    </row>
    <row r="150" spans="2:20" ht="17">
      <c r="B150" s="17" t="e">
        <f t="shared" si="2"/>
        <v>#REF!</v>
      </c>
      <c r="C150" s="17" t="s">
        <v>517</v>
      </c>
      <c r="D150" s="17" t="s">
        <v>518</v>
      </c>
      <c r="E150" s="82">
        <v>966536699596</v>
      </c>
      <c r="F150" s="17" t="s">
        <v>164</v>
      </c>
      <c r="G150" s="17" t="s">
        <v>294</v>
      </c>
      <c r="H150" s="17" t="s">
        <v>37</v>
      </c>
      <c r="I150" s="17" t="s">
        <v>101</v>
      </c>
      <c r="J150" s="17" t="s">
        <v>37</v>
      </c>
      <c r="K150" s="17">
        <v>1</v>
      </c>
      <c r="L150" s="17">
        <v>1</v>
      </c>
      <c r="M150" s="17">
        <v>1</v>
      </c>
      <c r="N150" s="17">
        <v>1</v>
      </c>
      <c r="O150" s="17">
        <v>1</v>
      </c>
      <c r="P150" s="17">
        <v>1</v>
      </c>
      <c r="Q150" s="17">
        <v>1</v>
      </c>
      <c r="R1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0" s="13"/>
      <c r="T150" s="17" t="s">
        <v>1621</v>
      </c>
    </row>
    <row r="151" spans="2:20" ht="17">
      <c r="B151" s="17" t="e">
        <f t="shared" si="2"/>
        <v>#REF!</v>
      </c>
      <c r="C151" s="17" t="s">
        <v>530</v>
      </c>
      <c r="D151" s="17" t="s">
        <v>519</v>
      </c>
      <c r="E151" s="17">
        <v>543039491</v>
      </c>
      <c r="F151" s="17" t="s">
        <v>926</v>
      </c>
      <c r="G151" s="17" t="s">
        <v>573</v>
      </c>
      <c r="H151" s="17" t="s">
        <v>108</v>
      </c>
      <c r="I151" s="17" t="s">
        <v>15</v>
      </c>
      <c r="J151" s="17" t="s">
        <v>15</v>
      </c>
      <c r="K151" s="17">
        <v>1</v>
      </c>
      <c r="L151" s="17">
        <v>0</v>
      </c>
      <c r="M151" s="17">
        <v>1</v>
      </c>
      <c r="N151" s="17">
        <v>0</v>
      </c>
      <c r="O151" s="17">
        <v>1</v>
      </c>
      <c r="P151" s="17">
        <v>0</v>
      </c>
      <c r="Q151" s="17">
        <v>0</v>
      </c>
      <c r="R1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1" s="13"/>
      <c r="T151" s="17"/>
    </row>
    <row r="152" spans="2:20" ht="17">
      <c r="B152" s="17" t="e">
        <f>#REF!+1</f>
        <v>#REF!</v>
      </c>
      <c r="C152" s="17" t="s">
        <v>522</v>
      </c>
      <c r="D152" s="17" t="s">
        <v>523</v>
      </c>
      <c r="E152" s="17">
        <v>550404704</v>
      </c>
      <c r="F152" s="17" t="s">
        <v>253</v>
      </c>
      <c r="G152" s="17" t="s">
        <v>294</v>
      </c>
      <c r="H152" s="17" t="s">
        <v>37</v>
      </c>
      <c r="I152" s="17" t="s">
        <v>102</v>
      </c>
      <c r="J152" s="17" t="s">
        <v>37</v>
      </c>
      <c r="K152" s="17">
        <v>1</v>
      </c>
      <c r="L152" s="17">
        <v>1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2" s="13"/>
      <c r="T152" s="17" t="s">
        <v>1621</v>
      </c>
    </row>
    <row r="153" spans="2:20" ht="17">
      <c r="B153" s="17" t="e">
        <f>#REF!+1</f>
        <v>#REF!</v>
      </c>
      <c r="C153" s="17" t="s">
        <v>528</v>
      </c>
      <c r="D153" s="17" t="s">
        <v>529</v>
      </c>
      <c r="E153" s="17">
        <v>534933757</v>
      </c>
      <c r="F153" s="17" t="s">
        <v>253</v>
      </c>
      <c r="G153" s="17" t="s">
        <v>294</v>
      </c>
      <c r="H153" s="17" t="s">
        <v>37</v>
      </c>
      <c r="I153" s="17" t="s">
        <v>102</v>
      </c>
      <c r="J153" s="17" t="s">
        <v>37</v>
      </c>
      <c r="K153" s="17">
        <v>1</v>
      </c>
      <c r="L153" s="17">
        <v>1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3" s="13"/>
      <c r="T153" s="17" t="s">
        <v>1621</v>
      </c>
    </row>
    <row r="154" spans="2:20" ht="17">
      <c r="B154" s="17" t="e">
        <f t="shared" si="2"/>
        <v>#REF!</v>
      </c>
      <c r="C154" s="17" t="s">
        <v>531</v>
      </c>
      <c r="D154" s="17" t="s">
        <v>532</v>
      </c>
      <c r="E154" s="17">
        <v>507769877</v>
      </c>
      <c r="F154" s="17" t="s">
        <v>533</v>
      </c>
      <c r="G154" s="17" t="s">
        <v>573</v>
      </c>
      <c r="H154" s="17" t="s">
        <v>37</v>
      </c>
      <c r="I154" s="17" t="s">
        <v>101</v>
      </c>
      <c r="J154" s="17" t="s">
        <v>37</v>
      </c>
      <c r="K154" s="17">
        <v>1</v>
      </c>
      <c r="L154" s="17">
        <v>1</v>
      </c>
      <c r="M154" s="17">
        <v>1</v>
      </c>
      <c r="N154" s="17">
        <v>1</v>
      </c>
      <c r="O154" s="17">
        <v>1</v>
      </c>
      <c r="P154" s="17">
        <v>1</v>
      </c>
      <c r="Q154" s="17">
        <v>1</v>
      </c>
      <c r="R1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4" s="13"/>
      <c r="T154" s="17"/>
    </row>
    <row r="155" spans="2:20" ht="17">
      <c r="B155" s="17" t="e">
        <f t="shared" si="2"/>
        <v>#REF!</v>
      </c>
      <c r="C155" s="17" t="s">
        <v>534</v>
      </c>
      <c r="D155" s="17" t="s">
        <v>535</v>
      </c>
      <c r="E155" s="17">
        <v>562060445</v>
      </c>
      <c r="F155" s="17" t="s">
        <v>536</v>
      </c>
      <c r="G155" s="17" t="s">
        <v>143</v>
      </c>
      <c r="H155" s="17" t="s">
        <v>77</v>
      </c>
      <c r="I155" s="17" t="s">
        <v>79</v>
      </c>
      <c r="J155" s="17" t="s">
        <v>79</v>
      </c>
      <c r="K155" s="17">
        <v>1</v>
      </c>
      <c r="L155" s="17">
        <v>1</v>
      </c>
      <c r="M155" s="17">
        <v>1</v>
      </c>
      <c r="N155" s="17">
        <v>1</v>
      </c>
      <c r="O155" s="17">
        <v>1</v>
      </c>
      <c r="P155" s="17">
        <v>1</v>
      </c>
      <c r="Q155" s="17">
        <v>1</v>
      </c>
      <c r="R1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5" s="13"/>
      <c r="T155" s="17"/>
    </row>
    <row r="156" spans="2:20" ht="17">
      <c r="B156" s="17" t="e">
        <f t="shared" si="2"/>
        <v>#REF!</v>
      </c>
      <c r="C156" s="17" t="s">
        <v>537</v>
      </c>
      <c r="D156" s="17" t="s">
        <v>538</v>
      </c>
      <c r="E156" s="17">
        <v>547092178</v>
      </c>
      <c r="F156" s="17" t="s">
        <v>253</v>
      </c>
      <c r="G156" s="17" t="s">
        <v>573</v>
      </c>
      <c r="H156" s="17" t="s">
        <v>21</v>
      </c>
      <c r="I156" s="17" t="s">
        <v>21</v>
      </c>
      <c r="J156" s="17" t="s">
        <v>21</v>
      </c>
      <c r="K156" s="17">
        <v>0</v>
      </c>
      <c r="L156" s="17">
        <v>0</v>
      </c>
      <c r="M156" s="17">
        <v>0</v>
      </c>
      <c r="N156" s="17">
        <v>1</v>
      </c>
      <c r="O156" s="17">
        <v>0</v>
      </c>
      <c r="P156" s="17">
        <v>0</v>
      </c>
      <c r="Q156" s="17">
        <v>0</v>
      </c>
      <c r="R1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6" s="13"/>
      <c r="T156" s="17"/>
    </row>
    <row r="157" spans="2:20" ht="17">
      <c r="B157" s="17" t="e">
        <f t="shared" si="2"/>
        <v>#REF!</v>
      </c>
      <c r="C157" s="17" t="s">
        <v>539</v>
      </c>
      <c r="D157" s="17" t="s">
        <v>540</v>
      </c>
      <c r="E157" s="17">
        <v>55343180</v>
      </c>
      <c r="F157" s="17" t="s">
        <v>253</v>
      </c>
      <c r="G157" s="17" t="s">
        <v>573</v>
      </c>
      <c r="H157" s="17" t="s">
        <v>108</v>
      </c>
      <c r="I157" s="17" t="s">
        <v>27</v>
      </c>
      <c r="J157" s="17" t="s">
        <v>27</v>
      </c>
      <c r="K157" s="17">
        <v>0</v>
      </c>
      <c r="L157" s="17">
        <v>1</v>
      </c>
      <c r="M157" s="17">
        <v>0</v>
      </c>
      <c r="N157" s="17">
        <v>1</v>
      </c>
      <c r="O157" s="17">
        <v>0</v>
      </c>
      <c r="P157" s="17">
        <v>0</v>
      </c>
      <c r="Q157" s="17">
        <v>0</v>
      </c>
      <c r="R1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7" s="13"/>
      <c r="T157" s="17"/>
    </row>
    <row r="158" spans="2:20" ht="17">
      <c r="B158" s="17" t="e">
        <f t="shared" si="2"/>
        <v>#REF!</v>
      </c>
      <c r="C158" s="17" t="s">
        <v>541</v>
      </c>
      <c r="D158" s="17" t="s">
        <v>542</v>
      </c>
      <c r="E158" s="17">
        <v>551086669</v>
      </c>
      <c r="F158" s="17" t="s">
        <v>543</v>
      </c>
      <c r="G158" s="17" t="s">
        <v>573</v>
      </c>
      <c r="H158" s="17" t="s">
        <v>77</v>
      </c>
      <c r="I158" s="17" t="s">
        <v>43</v>
      </c>
      <c r="J158" s="17" t="s">
        <v>105</v>
      </c>
      <c r="K158" s="17">
        <v>1</v>
      </c>
      <c r="L158" s="17">
        <v>1</v>
      </c>
      <c r="M158" s="17">
        <v>1</v>
      </c>
      <c r="N158" s="17">
        <v>1</v>
      </c>
      <c r="O158" s="17">
        <v>1</v>
      </c>
      <c r="P158" s="17">
        <v>1</v>
      </c>
      <c r="Q158" s="17">
        <v>1</v>
      </c>
      <c r="R1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8" s="13"/>
      <c r="T158" s="17"/>
    </row>
    <row r="159" spans="2:20" ht="17">
      <c r="B159" s="17" t="e">
        <f t="shared" ref="B159:B202" si="3">B158+1</f>
        <v>#REF!</v>
      </c>
      <c r="C159" s="17" t="s">
        <v>544</v>
      </c>
      <c r="D159" s="17" t="s">
        <v>545</v>
      </c>
      <c r="E159" s="17">
        <v>535535146</v>
      </c>
      <c r="F159" s="17" t="s">
        <v>546</v>
      </c>
      <c r="G159" s="17" t="s">
        <v>573</v>
      </c>
      <c r="H159" s="17" t="s">
        <v>77</v>
      </c>
      <c r="I159" s="17" t="s">
        <v>105</v>
      </c>
      <c r="J159" s="17" t="s">
        <v>105</v>
      </c>
      <c r="K159" s="17">
        <v>1</v>
      </c>
      <c r="L159" s="17">
        <v>1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9" s="13"/>
      <c r="T159" s="17"/>
    </row>
    <row r="160" spans="2:20" ht="17">
      <c r="B160" s="17" t="e">
        <f t="shared" si="3"/>
        <v>#REF!</v>
      </c>
      <c r="C160" s="17" t="s">
        <v>547</v>
      </c>
      <c r="D160" s="17" t="s">
        <v>548</v>
      </c>
      <c r="E160" s="17">
        <v>560056156</v>
      </c>
      <c r="F160" s="17" t="s">
        <v>253</v>
      </c>
      <c r="G160" s="17" t="s">
        <v>294</v>
      </c>
      <c r="H160" s="17" t="s">
        <v>108</v>
      </c>
      <c r="I160" s="17" t="s">
        <v>48</v>
      </c>
      <c r="J160" s="17" t="s">
        <v>108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0</v>
      </c>
      <c r="Q160" s="17">
        <v>0</v>
      </c>
      <c r="R1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0" s="13"/>
      <c r="T160" s="17" t="s">
        <v>1621</v>
      </c>
    </row>
    <row r="161" spans="2:20" ht="17">
      <c r="B161" s="17" t="e">
        <f t="shared" si="3"/>
        <v>#REF!</v>
      </c>
      <c r="C161" s="17" t="s">
        <v>549</v>
      </c>
      <c r="D161" s="17" t="s">
        <v>550</v>
      </c>
      <c r="E161" s="17">
        <v>504577997</v>
      </c>
      <c r="F161" s="17" t="s">
        <v>164</v>
      </c>
      <c r="G161" s="17" t="s">
        <v>294</v>
      </c>
      <c r="H161" s="17" t="s">
        <v>37</v>
      </c>
      <c r="I161" s="17" t="s">
        <v>101</v>
      </c>
      <c r="J161" s="17" t="s">
        <v>37</v>
      </c>
      <c r="K161" s="17">
        <v>0</v>
      </c>
      <c r="L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1" s="13"/>
      <c r="T161" s="17" t="s">
        <v>1621</v>
      </c>
    </row>
    <row r="162" spans="2:20" ht="17">
      <c r="B162" s="17" t="e">
        <f t="shared" si="3"/>
        <v>#REF!</v>
      </c>
      <c r="C162" s="17" t="s">
        <v>551</v>
      </c>
      <c r="D162" s="17" t="s">
        <v>552</v>
      </c>
      <c r="E162" s="82">
        <v>966506522952</v>
      </c>
      <c r="F162" s="17" t="s">
        <v>164</v>
      </c>
      <c r="G162" s="17" t="s">
        <v>294</v>
      </c>
      <c r="H162" s="17" t="s">
        <v>108</v>
      </c>
      <c r="I162" s="17" t="s">
        <v>48</v>
      </c>
      <c r="J162" s="17" t="s">
        <v>108</v>
      </c>
      <c r="K162" s="17">
        <v>0</v>
      </c>
      <c r="L162" s="17">
        <v>1</v>
      </c>
      <c r="M162" s="17">
        <v>1</v>
      </c>
      <c r="N162" s="17">
        <v>1</v>
      </c>
      <c r="O162" s="17">
        <v>1</v>
      </c>
      <c r="P162" s="17">
        <v>0</v>
      </c>
      <c r="Q162" s="17">
        <v>0</v>
      </c>
      <c r="R1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2" s="13"/>
      <c r="T162" s="17" t="s">
        <v>1621</v>
      </c>
    </row>
    <row r="163" spans="2:20" ht="17">
      <c r="B163" s="17" t="e">
        <f t="shared" si="3"/>
        <v>#REF!</v>
      </c>
      <c r="C163" s="17" t="s">
        <v>553</v>
      </c>
      <c r="D163" s="17" t="s">
        <v>554</v>
      </c>
      <c r="E163" s="17">
        <v>555531479</v>
      </c>
      <c r="F163" s="17" t="s">
        <v>164</v>
      </c>
      <c r="G163" s="17" t="s">
        <v>294</v>
      </c>
      <c r="H163" s="17" t="s">
        <v>108</v>
      </c>
      <c r="I163" s="17" t="s">
        <v>48</v>
      </c>
      <c r="J163" s="17" t="s">
        <v>108</v>
      </c>
      <c r="K163" s="17">
        <v>1</v>
      </c>
      <c r="L163" s="17">
        <v>1</v>
      </c>
      <c r="M163" s="17">
        <v>1</v>
      </c>
      <c r="N163" s="17">
        <v>1</v>
      </c>
      <c r="O163" s="17">
        <v>0</v>
      </c>
      <c r="P163" s="17">
        <v>0</v>
      </c>
      <c r="Q163" s="17">
        <v>0</v>
      </c>
      <c r="R1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3" s="13"/>
      <c r="T163" s="17" t="s">
        <v>1621</v>
      </c>
    </row>
    <row r="164" spans="2:20" ht="17">
      <c r="B164" s="17" t="e">
        <f t="shared" si="3"/>
        <v>#REF!</v>
      </c>
      <c r="C164" s="17" t="s">
        <v>555</v>
      </c>
      <c r="D164" s="17" t="s">
        <v>556</v>
      </c>
      <c r="E164" s="17">
        <v>543040905</v>
      </c>
      <c r="F164" s="17" t="s">
        <v>253</v>
      </c>
      <c r="G164" s="17" t="s">
        <v>294</v>
      </c>
      <c r="H164" s="17" t="s">
        <v>108</v>
      </c>
      <c r="I164" s="17" t="s">
        <v>15</v>
      </c>
      <c r="J164" s="17" t="s">
        <v>15</v>
      </c>
      <c r="K164" s="17">
        <v>1</v>
      </c>
      <c r="L164" s="17">
        <v>1</v>
      </c>
      <c r="M164" s="17">
        <v>1</v>
      </c>
      <c r="N164" s="17">
        <v>1</v>
      </c>
      <c r="O164" s="17">
        <v>1</v>
      </c>
      <c r="P164" s="17">
        <v>1</v>
      </c>
      <c r="Q164" s="17">
        <v>1</v>
      </c>
      <c r="R1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4" s="13"/>
      <c r="T164" s="17" t="s">
        <v>1621</v>
      </c>
    </row>
    <row r="165" spans="2:20" ht="17">
      <c r="B165" s="17" t="e">
        <f t="shared" si="3"/>
        <v>#REF!</v>
      </c>
      <c r="C165" s="13" t="s">
        <v>962</v>
      </c>
      <c r="D165" s="13" t="s">
        <v>422</v>
      </c>
      <c r="E165" s="13">
        <v>542704065</v>
      </c>
      <c r="F165" s="13" t="s">
        <v>962</v>
      </c>
      <c r="G165" s="13" t="s">
        <v>573</v>
      </c>
      <c r="H165" s="13" t="s">
        <v>108</v>
      </c>
      <c r="I165" s="13" t="s">
        <v>27</v>
      </c>
      <c r="J165" s="17" t="s">
        <v>27</v>
      </c>
      <c r="K165" s="13">
        <v>0</v>
      </c>
      <c r="L165" s="13">
        <v>0</v>
      </c>
      <c r="M165" s="13">
        <v>1</v>
      </c>
      <c r="N165" s="13">
        <v>1</v>
      </c>
      <c r="O165" s="13">
        <v>2</v>
      </c>
      <c r="P165" s="13">
        <v>2</v>
      </c>
      <c r="Q165" s="13">
        <v>2</v>
      </c>
      <c r="R1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5" s="13"/>
      <c r="T165" s="17"/>
    </row>
    <row r="166" spans="2:20" ht="17">
      <c r="B166" s="17" t="e">
        <f>#REF!+1</f>
        <v>#REF!</v>
      </c>
      <c r="C166" s="17" t="s">
        <v>560</v>
      </c>
      <c r="D166" s="17" t="s">
        <v>561</v>
      </c>
      <c r="E166" s="17">
        <v>555106645</v>
      </c>
      <c r="F166" s="17" t="s">
        <v>1281</v>
      </c>
      <c r="G166" s="17" t="s">
        <v>294</v>
      </c>
      <c r="H166" s="17" t="s">
        <v>35</v>
      </c>
      <c r="I166" s="17" t="s">
        <v>88</v>
      </c>
      <c r="J166" s="17" t="s">
        <v>76</v>
      </c>
      <c r="K166" s="17">
        <v>0</v>
      </c>
      <c r="L166" s="17">
        <v>1</v>
      </c>
      <c r="M166" s="17">
        <v>1</v>
      </c>
      <c r="N166" s="17">
        <v>0</v>
      </c>
      <c r="O166" s="17">
        <v>0</v>
      </c>
      <c r="P166" s="17">
        <v>0</v>
      </c>
      <c r="Q166" s="17">
        <v>0</v>
      </c>
      <c r="R1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6" s="13" t="s">
        <v>1599</v>
      </c>
      <c r="T166" s="17" t="s">
        <v>1621</v>
      </c>
    </row>
    <row r="167" spans="2:20" ht="17">
      <c r="B167" s="17" t="e">
        <f>#REF!+1</f>
        <v>#REF!</v>
      </c>
      <c r="C167" s="17" t="s">
        <v>564</v>
      </c>
      <c r="D167" s="17" t="s">
        <v>565</v>
      </c>
      <c r="E167" s="17">
        <v>592080007</v>
      </c>
      <c r="F167" s="17" t="s">
        <v>253</v>
      </c>
      <c r="G167" s="17" t="s">
        <v>294</v>
      </c>
      <c r="H167" s="17" t="s">
        <v>35</v>
      </c>
      <c r="I167" s="17" t="s">
        <v>35</v>
      </c>
      <c r="J167" s="17" t="s">
        <v>35</v>
      </c>
      <c r="K167" s="17">
        <v>1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7" s="13" t="s">
        <v>1599</v>
      </c>
      <c r="T167" s="17" t="s">
        <v>1621</v>
      </c>
    </row>
    <row r="168" spans="2:20" ht="17">
      <c r="B168" s="17" t="e">
        <f t="shared" si="3"/>
        <v>#REF!</v>
      </c>
      <c r="C168" s="17" t="s">
        <v>566</v>
      </c>
      <c r="D168" s="17" t="s">
        <v>567</v>
      </c>
      <c r="E168" s="17">
        <v>580008374</v>
      </c>
      <c r="F168" s="17" t="s">
        <v>568</v>
      </c>
      <c r="G168" s="17" t="s">
        <v>143</v>
      </c>
      <c r="H168" s="17" t="s">
        <v>77</v>
      </c>
      <c r="I168" s="17" t="s">
        <v>79</v>
      </c>
      <c r="J168" s="17" t="s">
        <v>79</v>
      </c>
      <c r="K168" s="17">
        <v>0</v>
      </c>
      <c r="L168" s="17">
        <v>1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8" s="13"/>
      <c r="T168" s="17"/>
    </row>
    <row r="169" spans="2:20" ht="17">
      <c r="B169" s="17" t="e">
        <f t="shared" si="3"/>
        <v>#REF!</v>
      </c>
      <c r="C169" s="17" t="s">
        <v>569</v>
      </c>
      <c r="D169" s="17" t="s">
        <v>570</v>
      </c>
      <c r="E169" s="17">
        <v>546505524</v>
      </c>
      <c r="F169" s="17" t="s">
        <v>253</v>
      </c>
      <c r="G169" s="17" t="s">
        <v>573</v>
      </c>
      <c r="H169" s="17" t="s">
        <v>35</v>
      </c>
      <c r="I169" s="17" t="s">
        <v>35</v>
      </c>
      <c r="J169" s="17" t="s">
        <v>35</v>
      </c>
      <c r="K169" s="17">
        <v>0</v>
      </c>
      <c r="L169" s="17">
        <v>0</v>
      </c>
      <c r="M169" s="17">
        <v>1</v>
      </c>
      <c r="N169" s="17">
        <v>1</v>
      </c>
      <c r="O169" s="17">
        <v>2</v>
      </c>
      <c r="P169" s="17">
        <v>2</v>
      </c>
      <c r="Q169" s="17">
        <v>0</v>
      </c>
      <c r="R1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9" s="13"/>
      <c r="T169" s="17"/>
    </row>
    <row r="170" spans="2:20" ht="17">
      <c r="B170" s="17" t="e">
        <f t="shared" si="3"/>
        <v>#REF!</v>
      </c>
      <c r="C170" s="17" t="s">
        <v>571</v>
      </c>
      <c r="D170" s="17" t="s">
        <v>572</v>
      </c>
      <c r="E170" s="17">
        <v>503708977</v>
      </c>
      <c r="F170" s="17" t="s">
        <v>437</v>
      </c>
      <c r="G170" s="17" t="s">
        <v>143</v>
      </c>
      <c r="H170" s="17" t="s">
        <v>108</v>
      </c>
      <c r="I170" s="17" t="s">
        <v>15</v>
      </c>
      <c r="J170" s="17" t="s">
        <v>15</v>
      </c>
      <c r="K170" s="17">
        <v>1</v>
      </c>
      <c r="L170" s="17">
        <v>1</v>
      </c>
      <c r="M170" s="17">
        <v>1</v>
      </c>
      <c r="N170" s="17">
        <v>1</v>
      </c>
      <c r="O170" s="17">
        <v>1</v>
      </c>
      <c r="P170" s="17">
        <v>1</v>
      </c>
      <c r="Q170" s="17">
        <v>1</v>
      </c>
      <c r="R1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0" s="13"/>
      <c r="T170" s="17"/>
    </row>
    <row r="171" spans="2:20" ht="17">
      <c r="B171" s="17" t="e">
        <f t="shared" si="3"/>
        <v>#REF!</v>
      </c>
      <c r="C171" s="17" t="s">
        <v>580</v>
      </c>
      <c r="D171" s="17" t="s">
        <v>581</v>
      </c>
      <c r="E171" s="17">
        <v>530282832</v>
      </c>
      <c r="F171" s="17" t="s">
        <v>582</v>
      </c>
      <c r="G171" s="17" t="s">
        <v>573</v>
      </c>
      <c r="H171" s="17" t="s">
        <v>74</v>
      </c>
      <c r="I171" s="17" t="s">
        <v>83</v>
      </c>
      <c r="J171" s="17" t="s">
        <v>74</v>
      </c>
      <c r="K171" s="17">
        <v>0</v>
      </c>
      <c r="L171" s="17">
        <v>1</v>
      </c>
      <c r="M171" s="17">
        <v>1</v>
      </c>
      <c r="N171" s="17">
        <v>0</v>
      </c>
      <c r="O171" s="17">
        <v>1</v>
      </c>
      <c r="P171" s="17">
        <v>0</v>
      </c>
      <c r="Q171" s="17">
        <v>0</v>
      </c>
      <c r="R1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1" s="13"/>
      <c r="T171" s="17"/>
    </row>
    <row r="172" spans="2:20" ht="17">
      <c r="B172" s="17" t="e">
        <f t="shared" si="3"/>
        <v>#REF!</v>
      </c>
      <c r="C172" s="17" t="s">
        <v>583</v>
      </c>
      <c r="D172" s="17" t="s">
        <v>584</v>
      </c>
      <c r="E172" s="17">
        <v>561040409</v>
      </c>
      <c r="F172" s="17" t="s">
        <v>583</v>
      </c>
      <c r="G172" s="17" t="s">
        <v>573</v>
      </c>
      <c r="H172" s="17" t="s">
        <v>74</v>
      </c>
      <c r="I172" s="17" t="s">
        <v>74</v>
      </c>
      <c r="J172" s="17" t="s">
        <v>74</v>
      </c>
      <c r="K172" s="17">
        <v>1</v>
      </c>
      <c r="L172" s="17">
        <v>1</v>
      </c>
      <c r="M172" s="17">
        <v>0</v>
      </c>
      <c r="N172" s="17">
        <v>0</v>
      </c>
      <c r="O172" s="17">
        <v>1</v>
      </c>
      <c r="P172" s="17">
        <v>0</v>
      </c>
      <c r="Q172" s="17">
        <v>0</v>
      </c>
      <c r="R1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2" s="13"/>
      <c r="T172" s="17"/>
    </row>
    <row r="173" spans="2:20" ht="17">
      <c r="B173" s="17" t="e">
        <f t="shared" si="3"/>
        <v>#REF!</v>
      </c>
      <c r="C173" s="17" t="s">
        <v>585</v>
      </c>
      <c r="D173" s="17" t="s">
        <v>586</v>
      </c>
      <c r="E173" s="17">
        <v>531210933</v>
      </c>
      <c r="F173" s="17" t="s">
        <v>164</v>
      </c>
      <c r="G173" s="17" t="s">
        <v>573</v>
      </c>
      <c r="H173" s="17" t="s">
        <v>78</v>
      </c>
      <c r="I173" s="17" t="s">
        <v>93</v>
      </c>
      <c r="J173" s="17" t="s">
        <v>78</v>
      </c>
      <c r="K173" s="17">
        <v>0</v>
      </c>
      <c r="L173" s="17">
        <v>0</v>
      </c>
      <c r="M173" s="17">
        <v>1</v>
      </c>
      <c r="N173" s="17">
        <v>1</v>
      </c>
      <c r="O173" s="17">
        <v>0</v>
      </c>
      <c r="P173" s="17">
        <v>0</v>
      </c>
      <c r="Q173" s="17">
        <v>0</v>
      </c>
      <c r="R1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3" s="13"/>
      <c r="T173" s="17"/>
    </row>
    <row r="174" spans="2:20" ht="17">
      <c r="B174" s="17" t="e">
        <f t="shared" si="3"/>
        <v>#REF!</v>
      </c>
      <c r="C174" s="17" t="s">
        <v>260</v>
      </c>
      <c r="D174" s="17" t="s">
        <v>261</v>
      </c>
      <c r="E174" s="17">
        <v>551141914</v>
      </c>
      <c r="F174" s="17" t="s">
        <v>260</v>
      </c>
      <c r="G174" s="17" t="s">
        <v>573</v>
      </c>
      <c r="H174" s="17" t="s">
        <v>108</v>
      </c>
      <c r="I174" s="17" t="s">
        <v>27</v>
      </c>
      <c r="J174" s="17" t="s">
        <v>27</v>
      </c>
      <c r="K174" s="17">
        <v>1</v>
      </c>
      <c r="L174" s="17">
        <v>1</v>
      </c>
      <c r="M174" s="17">
        <v>1</v>
      </c>
      <c r="N174" s="17">
        <v>1</v>
      </c>
      <c r="O174" s="17">
        <v>1</v>
      </c>
      <c r="P174" s="17">
        <v>1</v>
      </c>
      <c r="Q174" s="17">
        <v>1</v>
      </c>
      <c r="R1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4" s="13"/>
      <c r="T174" s="17"/>
    </row>
    <row r="175" spans="2:20" ht="17">
      <c r="B175" s="17" t="e">
        <f t="shared" si="3"/>
        <v>#REF!</v>
      </c>
      <c r="C175" s="13" t="s">
        <v>589</v>
      </c>
      <c r="D175" s="13" t="s">
        <v>590</v>
      </c>
      <c r="E175" s="13">
        <v>565885126</v>
      </c>
      <c r="F175" s="13" t="s">
        <v>589</v>
      </c>
      <c r="G175" s="13" t="s">
        <v>143</v>
      </c>
      <c r="H175" s="13" t="s">
        <v>77</v>
      </c>
      <c r="I175" s="13" t="s">
        <v>79</v>
      </c>
      <c r="J175" s="17" t="s">
        <v>79</v>
      </c>
      <c r="K175" s="17">
        <v>1</v>
      </c>
      <c r="L175" s="17">
        <v>1</v>
      </c>
      <c r="M175" s="17">
        <v>1</v>
      </c>
      <c r="N175" s="17">
        <v>0</v>
      </c>
      <c r="O175" s="17">
        <v>0</v>
      </c>
      <c r="P175" s="17">
        <v>0</v>
      </c>
      <c r="Q175" s="17">
        <v>0</v>
      </c>
      <c r="R1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5" s="13"/>
      <c r="T175" s="17"/>
    </row>
    <row r="176" spans="2:20" ht="17">
      <c r="B176" s="17" t="e">
        <f t="shared" si="3"/>
        <v>#REF!</v>
      </c>
      <c r="C176" s="13" t="s">
        <v>591</v>
      </c>
      <c r="D176" s="13" t="s">
        <v>592</v>
      </c>
      <c r="E176" s="13">
        <v>560404898</v>
      </c>
      <c r="F176" s="13" t="s">
        <v>164</v>
      </c>
      <c r="G176" s="13" t="s">
        <v>294</v>
      </c>
      <c r="H176" s="13" t="s">
        <v>77</v>
      </c>
      <c r="I176" s="13" t="s">
        <v>73</v>
      </c>
      <c r="J176" s="17" t="s">
        <v>73</v>
      </c>
      <c r="K176" s="17">
        <v>0</v>
      </c>
      <c r="L176" s="17">
        <v>1</v>
      </c>
      <c r="M176" s="17">
        <v>0</v>
      </c>
      <c r="N176" s="17">
        <v>1</v>
      </c>
      <c r="O176" s="17">
        <v>0</v>
      </c>
      <c r="P176" s="17">
        <v>0</v>
      </c>
      <c r="Q176" s="17">
        <v>0</v>
      </c>
      <c r="R1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6" s="13"/>
      <c r="T176" s="17" t="s">
        <v>1621</v>
      </c>
    </row>
    <row r="177" spans="2:20" ht="17">
      <c r="B177" s="17" t="e">
        <f t="shared" si="3"/>
        <v>#REF!</v>
      </c>
      <c r="C177" s="13" t="s">
        <v>593</v>
      </c>
      <c r="D177" s="13" t="s">
        <v>594</v>
      </c>
      <c r="E177" s="13">
        <v>508665628</v>
      </c>
      <c r="F177" s="13" t="s">
        <v>164</v>
      </c>
      <c r="G177" s="13" t="s">
        <v>573</v>
      </c>
      <c r="H177" s="13" t="s">
        <v>108</v>
      </c>
      <c r="I177" s="13" t="s">
        <v>48</v>
      </c>
      <c r="J177" s="17" t="s">
        <v>108</v>
      </c>
      <c r="K177" s="17">
        <v>0</v>
      </c>
      <c r="L177" s="17">
        <v>1</v>
      </c>
      <c r="M177" s="17">
        <v>1</v>
      </c>
      <c r="N177" s="17">
        <v>1</v>
      </c>
      <c r="O177" s="17">
        <v>1</v>
      </c>
      <c r="P177" s="17">
        <v>0</v>
      </c>
      <c r="Q177" s="17">
        <v>0</v>
      </c>
      <c r="R1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7" s="13"/>
      <c r="T177" s="17"/>
    </row>
    <row r="178" spans="2:20" ht="17">
      <c r="B178" s="17" t="e">
        <f>#REF!+1</f>
        <v>#REF!</v>
      </c>
      <c r="C178" s="13" t="s">
        <v>596</v>
      </c>
      <c r="D178" s="13" t="s">
        <v>597</v>
      </c>
      <c r="E178" s="13">
        <v>556613563</v>
      </c>
      <c r="F178" s="13" t="s">
        <v>164</v>
      </c>
      <c r="G178" s="13" t="s">
        <v>294</v>
      </c>
      <c r="H178" s="13" t="s">
        <v>108</v>
      </c>
      <c r="I178" s="13" t="s">
        <v>48</v>
      </c>
      <c r="J178" s="17" t="s">
        <v>108</v>
      </c>
      <c r="K178" s="17">
        <v>1</v>
      </c>
      <c r="L178" s="17">
        <v>1</v>
      </c>
      <c r="M178" s="17">
        <v>1</v>
      </c>
      <c r="N178" s="17">
        <v>0</v>
      </c>
      <c r="O178" s="17">
        <v>0</v>
      </c>
      <c r="P178" s="17">
        <v>0</v>
      </c>
      <c r="Q178" s="17">
        <v>0</v>
      </c>
      <c r="R1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8" s="13"/>
      <c r="T178" s="17" t="s">
        <v>1621</v>
      </c>
    </row>
    <row r="179" spans="2:20" ht="17">
      <c r="B179" s="17" t="e">
        <f>#REF!+1</f>
        <v>#REF!</v>
      </c>
      <c r="C179" s="13" t="s">
        <v>599</v>
      </c>
      <c r="D179" s="13" t="s">
        <v>600</v>
      </c>
      <c r="E179" s="13">
        <v>550424299</v>
      </c>
      <c r="F179" s="13" t="s">
        <v>164</v>
      </c>
      <c r="G179" s="13" t="s">
        <v>294</v>
      </c>
      <c r="H179" s="13" t="s">
        <v>108</v>
      </c>
      <c r="I179" s="13" t="s">
        <v>15</v>
      </c>
      <c r="J179" s="17" t="s">
        <v>15</v>
      </c>
      <c r="K179" s="17">
        <v>0</v>
      </c>
      <c r="L179" s="17">
        <v>1</v>
      </c>
      <c r="M179" s="17">
        <v>1</v>
      </c>
      <c r="N179" s="17">
        <v>1</v>
      </c>
      <c r="O179" s="17">
        <v>0</v>
      </c>
      <c r="P179" s="17">
        <v>0</v>
      </c>
      <c r="Q179" s="17">
        <v>0</v>
      </c>
      <c r="R1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9" s="13"/>
      <c r="T179" s="17" t="s">
        <v>1621</v>
      </c>
    </row>
    <row r="180" spans="2:20" ht="17">
      <c r="B180" s="17" t="e">
        <f t="shared" si="3"/>
        <v>#REF!</v>
      </c>
      <c r="C180" s="13" t="s">
        <v>601</v>
      </c>
      <c r="D180" s="13" t="s">
        <v>602</v>
      </c>
      <c r="E180" s="13">
        <v>554268528</v>
      </c>
      <c r="F180" s="13" t="s">
        <v>164</v>
      </c>
      <c r="G180" s="13" t="s">
        <v>294</v>
      </c>
      <c r="H180" s="13" t="s">
        <v>108</v>
      </c>
      <c r="I180" s="13" t="s">
        <v>48</v>
      </c>
      <c r="J180" s="17" t="s">
        <v>108</v>
      </c>
      <c r="K180" s="17">
        <v>1</v>
      </c>
      <c r="L180" s="17">
        <v>1</v>
      </c>
      <c r="M180" s="17">
        <v>1</v>
      </c>
      <c r="N180" s="17">
        <v>1</v>
      </c>
      <c r="O180" s="17">
        <v>1</v>
      </c>
      <c r="P180" s="17">
        <v>0</v>
      </c>
      <c r="Q180" s="17">
        <v>0</v>
      </c>
      <c r="R1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0" s="13"/>
      <c r="T180" s="17" t="s">
        <v>1621</v>
      </c>
    </row>
    <row r="181" spans="2:20" ht="17">
      <c r="B181" s="17" t="e">
        <f t="shared" si="3"/>
        <v>#REF!</v>
      </c>
      <c r="C181" s="13" t="s">
        <v>603</v>
      </c>
      <c r="D181" s="13" t="s">
        <v>604</v>
      </c>
      <c r="E181" s="13">
        <v>500265545</v>
      </c>
      <c r="F181" s="13" t="s">
        <v>164</v>
      </c>
      <c r="G181" s="13" t="s">
        <v>294</v>
      </c>
      <c r="H181" s="13" t="s">
        <v>24</v>
      </c>
      <c r="I181" s="13" t="s">
        <v>24</v>
      </c>
      <c r="J181" s="17" t="s">
        <v>24</v>
      </c>
      <c r="K181" s="17">
        <v>1</v>
      </c>
      <c r="L181" s="17">
        <v>1</v>
      </c>
      <c r="M181" s="17">
        <v>1</v>
      </c>
      <c r="N181" s="17">
        <v>1</v>
      </c>
      <c r="O181" s="17">
        <v>0</v>
      </c>
      <c r="P181" s="17">
        <v>0</v>
      </c>
      <c r="Q181" s="17">
        <v>0</v>
      </c>
      <c r="R1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1" s="13"/>
      <c r="T181" s="17" t="s">
        <v>1621</v>
      </c>
    </row>
    <row r="182" spans="2:20" ht="17">
      <c r="B182" s="17" t="e">
        <f t="shared" si="3"/>
        <v>#REF!</v>
      </c>
      <c r="C182" s="13" t="s">
        <v>605</v>
      </c>
      <c r="D182" s="13" t="s">
        <v>606</v>
      </c>
      <c r="E182" s="13">
        <v>509245807</v>
      </c>
      <c r="F182" s="13" t="s">
        <v>164</v>
      </c>
      <c r="G182" s="13" t="s">
        <v>294</v>
      </c>
      <c r="H182" s="13" t="s">
        <v>108</v>
      </c>
      <c r="I182" s="13" t="s">
        <v>108</v>
      </c>
      <c r="J182" s="17" t="s">
        <v>108</v>
      </c>
      <c r="K182" s="17">
        <v>1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2" s="13"/>
      <c r="T182" s="17" t="s">
        <v>1621</v>
      </c>
    </row>
    <row r="183" spans="2:20" ht="17">
      <c r="B183" s="17" t="e">
        <f>#REF!+1</f>
        <v>#REF!</v>
      </c>
      <c r="C183" s="13" t="s">
        <v>607</v>
      </c>
      <c r="D183" s="13" t="s">
        <v>608</v>
      </c>
      <c r="E183" s="13">
        <v>571133686</v>
      </c>
      <c r="F183" s="13" t="s">
        <v>164</v>
      </c>
      <c r="G183" s="13" t="s">
        <v>294</v>
      </c>
      <c r="H183" s="13" t="s">
        <v>108</v>
      </c>
      <c r="I183" s="13" t="s">
        <v>15</v>
      </c>
      <c r="J183" s="17" t="s">
        <v>15</v>
      </c>
      <c r="K183" s="17">
        <v>0</v>
      </c>
      <c r="L183" s="17">
        <v>0</v>
      </c>
      <c r="M183" s="17">
        <v>1</v>
      </c>
      <c r="N183" s="17">
        <v>0</v>
      </c>
      <c r="O183" s="17">
        <v>1</v>
      </c>
      <c r="P183" s="17">
        <v>1</v>
      </c>
      <c r="Q183" s="17">
        <v>0</v>
      </c>
      <c r="R1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3" s="13"/>
      <c r="T183" s="17" t="s">
        <v>1621</v>
      </c>
    </row>
    <row r="184" spans="2:20" ht="17">
      <c r="B184" s="17" t="e">
        <f t="shared" si="3"/>
        <v>#REF!</v>
      </c>
      <c r="C184" s="13" t="s">
        <v>609</v>
      </c>
      <c r="D184" s="13" t="s">
        <v>610</v>
      </c>
      <c r="E184" s="13">
        <v>555299927</v>
      </c>
      <c r="F184" s="13" t="s">
        <v>164</v>
      </c>
      <c r="G184" s="13" t="s">
        <v>294</v>
      </c>
      <c r="H184" s="13" t="s">
        <v>35</v>
      </c>
      <c r="I184" s="13" t="s">
        <v>76</v>
      </c>
      <c r="J184" s="17" t="s">
        <v>76</v>
      </c>
      <c r="K184" s="17">
        <v>0</v>
      </c>
      <c r="L184" s="17">
        <v>0</v>
      </c>
      <c r="M184" s="17">
        <v>1</v>
      </c>
      <c r="N184" s="17">
        <v>1</v>
      </c>
      <c r="O184" s="17">
        <v>0</v>
      </c>
      <c r="P184" s="17">
        <v>0</v>
      </c>
      <c r="Q184" s="17">
        <v>0</v>
      </c>
      <c r="R1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4" s="13" t="s">
        <v>1599</v>
      </c>
      <c r="T184" s="17" t="s">
        <v>1621</v>
      </c>
    </row>
    <row r="185" spans="2:20" ht="17">
      <c r="B185" s="17" t="e">
        <f t="shared" si="3"/>
        <v>#REF!</v>
      </c>
      <c r="C185" s="13" t="s">
        <v>614</v>
      </c>
      <c r="D185" s="13" t="s">
        <v>615</v>
      </c>
      <c r="E185" s="13">
        <v>555148355</v>
      </c>
      <c r="F185" s="13" t="s">
        <v>616</v>
      </c>
      <c r="G185" s="13" t="s">
        <v>573</v>
      </c>
      <c r="H185" s="13" t="s">
        <v>78</v>
      </c>
      <c r="I185" s="13" t="s">
        <v>93</v>
      </c>
      <c r="J185" s="17" t="s">
        <v>78</v>
      </c>
      <c r="K185" s="17">
        <v>0</v>
      </c>
      <c r="L185" s="17">
        <v>0</v>
      </c>
      <c r="M185" s="17">
        <v>1</v>
      </c>
      <c r="N185" s="17">
        <v>0</v>
      </c>
      <c r="O185" s="17">
        <v>0</v>
      </c>
      <c r="P185" s="17">
        <v>0</v>
      </c>
      <c r="Q185" s="17">
        <v>0</v>
      </c>
      <c r="R1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5" s="13"/>
      <c r="T185" s="17"/>
    </row>
    <row r="186" spans="2:20" ht="17">
      <c r="B186" s="17" t="e">
        <f>#REF!+1</f>
        <v>#REF!</v>
      </c>
      <c r="C186" s="13" t="s">
        <v>619</v>
      </c>
      <c r="D186" s="13" t="s">
        <v>620</v>
      </c>
      <c r="E186" s="45">
        <v>966550772778</v>
      </c>
      <c r="F186" s="13" t="s">
        <v>253</v>
      </c>
      <c r="G186" s="13" t="s">
        <v>294</v>
      </c>
      <c r="H186" s="13" t="s">
        <v>37</v>
      </c>
      <c r="I186" s="13" t="s">
        <v>40</v>
      </c>
      <c r="J186" s="17" t="s">
        <v>37</v>
      </c>
      <c r="K186" s="13">
        <v>1</v>
      </c>
      <c r="L186" s="13">
        <v>1</v>
      </c>
      <c r="M186" s="13">
        <v>1</v>
      </c>
      <c r="N186" s="13">
        <v>1</v>
      </c>
      <c r="O186" s="13">
        <v>1</v>
      </c>
      <c r="P186" s="13">
        <v>1</v>
      </c>
      <c r="Q186" s="13">
        <v>1</v>
      </c>
      <c r="R1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6" s="13"/>
      <c r="T186" s="17" t="s">
        <v>1621</v>
      </c>
    </row>
    <row r="187" spans="2:20" ht="17">
      <c r="B187" s="17" t="e">
        <f>#REF!+1</f>
        <v>#REF!</v>
      </c>
      <c r="C187" s="13" t="s">
        <v>622</v>
      </c>
      <c r="D187" s="13" t="s">
        <v>623</v>
      </c>
      <c r="E187" s="13">
        <v>544421129</v>
      </c>
      <c r="F187" s="13" t="s">
        <v>253</v>
      </c>
      <c r="G187" s="13" t="s">
        <v>294</v>
      </c>
      <c r="H187" s="13" t="s">
        <v>108</v>
      </c>
      <c r="I187" s="13" t="s">
        <v>108</v>
      </c>
      <c r="J187" s="17" t="s">
        <v>108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1</v>
      </c>
      <c r="Q187" s="13">
        <v>1</v>
      </c>
      <c r="R1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7" s="13"/>
      <c r="T187" s="17" t="s">
        <v>1621</v>
      </c>
    </row>
    <row r="188" spans="2:20" ht="17">
      <c r="B188" s="17" t="e">
        <f t="shared" si="3"/>
        <v>#REF!</v>
      </c>
      <c r="C188" s="13" t="s">
        <v>624</v>
      </c>
      <c r="D188" s="13" t="s">
        <v>625</v>
      </c>
      <c r="E188" s="13">
        <v>531831837</v>
      </c>
      <c r="F188" s="13" t="s">
        <v>253</v>
      </c>
      <c r="G188" s="13" t="s">
        <v>294</v>
      </c>
      <c r="H188" s="13" t="s">
        <v>37</v>
      </c>
      <c r="I188" s="13" t="s">
        <v>103</v>
      </c>
      <c r="J188" s="17" t="s">
        <v>37</v>
      </c>
      <c r="K188" s="13">
        <v>1</v>
      </c>
      <c r="L188" s="13">
        <v>1</v>
      </c>
      <c r="M188" s="13">
        <v>1</v>
      </c>
      <c r="N188" s="13">
        <v>1</v>
      </c>
      <c r="O188" s="13">
        <v>1</v>
      </c>
      <c r="P188" s="13">
        <v>1</v>
      </c>
      <c r="Q188" s="13">
        <v>1</v>
      </c>
      <c r="R1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8" s="13"/>
      <c r="T188" s="17" t="s">
        <v>1621</v>
      </c>
    </row>
    <row r="189" spans="2:20" ht="17">
      <c r="B189" s="17" t="e">
        <f>#REF!+1</f>
        <v>#REF!</v>
      </c>
      <c r="C189" s="13" t="s">
        <v>628</v>
      </c>
      <c r="D189" s="13" t="s">
        <v>629</v>
      </c>
      <c r="E189" s="13">
        <v>535189141</v>
      </c>
      <c r="F189" s="13" t="s">
        <v>253</v>
      </c>
      <c r="G189" s="13" t="s">
        <v>294</v>
      </c>
      <c r="H189" s="13" t="s">
        <v>37</v>
      </c>
      <c r="I189" s="13" t="s">
        <v>40</v>
      </c>
      <c r="J189" s="17" t="s">
        <v>37</v>
      </c>
      <c r="K189" s="13">
        <v>1</v>
      </c>
      <c r="L189" s="13">
        <v>1</v>
      </c>
      <c r="M189" s="13">
        <v>1</v>
      </c>
      <c r="N189" s="13">
        <v>1</v>
      </c>
      <c r="O189" s="13">
        <v>1</v>
      </c>
      <c r="P189" s="13">
        <v>1</v>
      </c>
      <c r="Q189" s="13">
        <v>1</v>
      </c>
      <c r="R1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9" s="13"/>
      <c r="T189" s="17" t="s">
        <v>1621</v>
      </c>
    </row>
    <row r="190" spans="2:20" ht="17">
      <c r="B190" s="17" t="e">
        <f t="shared" si="3"/>
        <v>#REF!</v>
      </c>
      <c r="C190" s="17" t="s">
        <v>630</v>
      </c>
      <c r="D190" s="17" t="s">
        <v>1556</v>
      </c>
      <c r="E190" s="17">
        <v>555721800</v>
      </c>
      <c r="F190" s="17" t="s">
        <v>253</v>
      </c>
      <c r="G190" s="17" t="s">
        <v>294</v>
      </c>
      <c r="H190" s="17" t="s">
        <v>108</v>
      </c>
      <c r="I190" s="17" t="s">
        <v>15</v>
      </c>
      <c r="J190" s="17" t="s">
        <v>15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0</v>
      </c>
      <c r="R1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0" s="13"/>
      <c r="T190" s="17" t="s">
        <v>1621</v>
      </c>
    </row>
    <row r="191" spans="2:20" ht="17">
      <c r="B191" s="17" t="e">
        <f>#REF!+1</f>
        <v>#REF!</v>
      </c>
      <c r="C191" s="17" t="s">
        <v>265</v>
      </c>
      <c r="D191" s="17" t="s">
        <v>266</v>
      </c>
      <c r="E191" s="17">
        <v>539839414</v>
      </c>
      <c r="F191" s="17" t="s">
        <v>267</v>
      </c>
      <c r="G191" s="17" t="s">
        <v>573</v>
      </c>
      <c r="H191" s="17" t="s">
        <v>108</v>
      </c>
      <c r="I191" s="17" t="s">
        <v>27</v>
      </c>
      <c r="J191" s="17" t="s">
        <v>27</v>
      </c>
      <c r="K191" s="17">
        <v>1</v>
      </c>
      <c r="L191" s="17">
        <v>0</v>
      </c>
      <c r="M191" s="17">
        <v>1</v>
      </c>
      <c r="N191" s="17">
        <v>1</v>
      </c>
      <c r="O191" s="17">
        <v>1</v>
      </c>
      <c r="P191" s="17">
        <v>1</v>
      </c>
      <c r="Q191" s="17">
        <v>1</v>
      </c>
      <c r="R1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1" s="13"/>
      <c r="T191" s="17"/>
    </row>
    <row r="192" spans="2:20" ht="17">
      <c r="B192" s="17" t="e">
        <f>#REF!+1</f>
        <v>#REF!</v>
      </c>
      <c r="C192" s="13" t="s">
        <v>635</v>
      </c>
      <c r="D192" s="13" t="s">
        <v>636</v>
      </c>
      <c r="E192" s="13">
        <v>564490015</v>
      </c>
      <c r="F192" s="13" t="s">
        <v>253</v>
      </c>
      <c r="G192" s="13" t="s">
        <v>294</v>
      </c>
      <c r="H192" s="13" t="s">
        <v>108</v>
      </c>
      <c r="I192" s="13" t="s">
        <v>15</v>
      </c>
      <c r="J192" s="17" t="s">
        <v>15</v>
      </c>
      <c r="K192" s="13">
        <v>1</v>
      </c>
      <c r="L192" s="13">
        <v>1</v>
      </c>
      <c r="M192" s="13">
        <v>1</v>
      </c>
      <c r="N192" s="13">
        <v>1</v>
      </c>
      <c r="O192" s="13">
        <v>1</v>
      </c>
      <c r="P192" s="13">
        <v>1</v>
      </c>
      <c r="Q192" s="13">
        <v>1</v>
      </c>
      <c r="R1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2" s="13"/>
      <c r="T192" s="17" t="s">
        <v>1621</v>
      </c>
    </row>
    <row r="193" spans="2:20" ht="17">
      <c r="B193" s="17" t="e">
        <f>#REF!+1</f>
        <v>#REF!</v>
      </c>
      <c r="C193" s="13" t="s">
        <v>638</v>
      </c>
      <c r="D193" s="13" t="s">
        <v>639</v>
      </c>
      <c r="E193" s="13">
        <v>595147684</v>
      </c>
      <c r="F193" s="13" t="s">
        <v>253</v>
      </c>
      <c r="G193" s="13" t="s">
        <v>294</v>
      </c>
      <c r="H193" s="13" t="s">
        <v>108</v>
      </c>
      <c r="I193" s="13" t="s">
        <v>109</v>
      </c>
      <c r="J193" s="17" t="s">
        <v>108</v>
      </c>
      <c r="K193" s="13">
        <v>1</v>
      </c>
      <c r="L193" s="13">
        <v>1</v>
      </c>
      <c r="M193" s="13">
        <v>1</v>
      </c>
      <c r="N193" s="13">
        <v>1</v>
      </c>
      <c r="O193" s="13">
        <v>1</v>
      </c>
      <c r="P193" s="13">
        <v>0</v>
      </c>
      <c r="Q193" s="13">
        <v>0</v>
      </c>
      <c r="R1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3" s="13"/>
      <c r="T193" s="17" t="s">
        <v>1621</v>
      </c>
    </row>
    <row r="194" spans="2:20" ht="17">
      <c r="B194" s="17" t="e">
        <f t="shared" si="3"/>
        <v>#REF!</v>
      </c>
      <c r="C194" s="17" t="s">
        <v>557</v>
      </c>
      <c r="D194" s="17" t="s">
        <v>558</v>
      </c>
      <c r="E194" s="17">
        <v>508878096</v>
      </c>
      <c r="F194" s="17" t="s">
        <v>164</v>
      </c>
      <c r="G194" s="17" t="s">
        <v>294</v>
      </c>
      <c r="H194" s="17" t="s">
        <v>108</v>
      </c>
      <c r="I194" s="17" t="s">
        <v>27</v>
      </c>
      <c r="J194" s="17" t="s">
        <v>27</v>
      </c>
      <c r="K194" s="17">
        <v>1</v>
      </c>
      <c r="L194" s="17">
        <v>1</v>
      </c>
      <c r="M194" s="17">
        <v>1</v>
      </c>
      <c r="N194" s="17">
        <v>1</v>
      </c>
      <c r="O194" s="17">
        <v>1</v>
      </c>
      <c r="P194" s="17">
        <v>1</v>
      </c>
      <c r="Q194" s="17">
        <v>1</v>
      </c>
      <c r="R1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4" s="13"/>
      <c r="T194" s="17" t="s">
        <v>1621</v>
      </c>
    </row>
    <row r="195" spans="2:20" ht="17">
      <c r="B195" s="17" t="e">
        <f t="shared" si="3"/>
        <v>#REF!</v>
      </c>
      <c r="C195" s="13" t="s">
        <v>642</v>
      </c>
      <c r="D195" s="13" t="s">
        <v>1278</v>
      </c>
      <c r="E195" s="13">
        <v>548014000</v>
      </c>
      <c r="F195" s="13" t="s">
        <v>253</v>
      </c>
      <c r="G195" s="13" t="s">
        <v>573</v>
      </c>
      <c r="H195" s="13" t="s">
        <v>35</v>
      </c>
      <c r="I195" s="13" t="s">
        <v>76</v>
      </c>
      <c r="J195" s="17" t="s">
        <v>76</v>
      </c>
      <c r="K195" s="13">
        <v>1</v>
      </c>
      <c r="L195" s="13">
        <v>1</v>
      </c>
      <c r="M195" s="13">
        <v>1</v>
      </c>
      <c r="N195" s="13">
        <v>1</v>
      </c>
      <c r="O195" s="13">
        <v>1</v>
      </c>
      <c r="P195" s="13">
        <v>0</v>
      </c>
      <c r="Q195" s="13">
        <v>0</v>
      </c>
      <c r="R1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5" s="13"/>
      <c r="T195" s="17"/>
    </row>
    <row r="196" spans="2:20" ht="17">
      <c r="B196" s="17" t="e">
        <f>#REF!+1</f>
        <v>#REF!</v>
      </c>
      <c r="C196" s="13" t="s">
        <v>644</v>
      </c>
      <c r="D196" s="13" t="s">
        <v>645</v>
      </c>
      <c r="E196" s="13">
        <v>554070943</v>
      </c>
      <c r="F196" s="13" t="s">
        <v>253</v>
      </c>
      <c r="G196" s="13" t="s">
        <v>573</v>
      </c>
      <c r="H196" s="13" t="s">
        <v>21</v>
      </c>
      <c r="I196" s="13" t="s">
        <v>58</v>
      </c>
      <c r="J196" s="17" t="s">
        <v>21</v>
      </c>
      <c r="K196" s="13">
        <v>0</v>
      </c>
      <c r="L196" s="13">
        <v>0</v>
      </c>
      <c r="M196" s="13">
        <v>1</v>
      </c>
      <c r="N196" s="13">
        <v>0</v>
      </c>
      <c r="O196" s="13">
        <v>0</v>
      </c>
      <c r="P196" s="13">
        <v>0</v>
      </c>
      <c r="Q196" s="13">
        <v>0</v>
      </c>
      <c r="R1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6" s="13"/>
      <c r="T196" s="17"/>
    </row>
    <row r="197" spans="2:20" ht="17">
      <c r="B197" s="17" t="e">
        <f>#REF!+1</f>
        <v>#REF!</v>
      </c>
      <c r="C197" s="13" t="s">
        <v>648</v>
      </c>
      <c r="D197" s="13" t="s">
        <v>649</v>
      </c>
      <c r="E197" s="13">
        <v>504662488</v>
      </c>
      <c r="F197" s="13" t="s">
        <v>164</v>
      </c>
      <c r="G197" s="13" t="s">
        <v>294</v>
      </c>
      <c r="H197" s="13" t="s">
        <v>75</v>
      </c>
      <c r="I197" s="13" t="s">
        <v>650</v>
      </c>
      <c r="J197" s="17" t="s">
        <v>75</v>
      </c>
      <c r="K197" s="13">
        <v>1</v>
      </c>
      <c r="L197" s="13">
        <v>1</v>
      </c>
      <c r="M197" s="13">
        <v>1</v>
      </c>
      <c r="N197" s="13">
        <v>1</v>
      </c>
      <c r="O197" s="13">
        <v>1</v>
      </c>
      <c r="P197" s="13">
        <v>1</v>
      </c>
      <c r="Q197" s="13">
        <v>1</v>
      </c>
      <c r="R1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7" s="13" t="s">
        <v>1599</v>
      </c>
      <c r="T197" s="17" t="s">
        <v>1621</v>
      </c>
    </row>
    <row r="198" spans="2:20" ht="17">
      <c r="B198" s="17" t="e">
        <f t="shared" si="3"/>
        <v>#REF!</v>
      </c>
      <c r="C198" s="13" t="s">
        <v>651</v>
      </c>
      <c r="D198" s="13" t="s">
        <v>652</v>
      </c>
      <c r="E198" s="13">
        <v>546970007</v>
      </c>
      <c r="F198" s="13" t="s">
        <v>164</v>
      </c>
      <c r="G198" s="13" t="s">
        <v>143</v>
      </c>
      <c r="H198" s="13" t="s">
        <v>29</v>
      </c>
      <c r="I198" s="13" t="s">
        <v>29</v>
      </c>
      <c r="J198" s="17" t="s">
        <v>29</v>
      </c>
      <c r="K198" s="13">
        <v>0</v>
      </c>
      <c r="L198" s="13">
        <v>0</v>
      </c>
      <c r="M198" s="13">
        <v>1</v>
      </c>
      <c r="N198" s="13">
        <v>1</v>
      </c>
      <c r="O198" s="13">
        <v>1</v>
      </c>
      <c r="P198" s="13">
        <v>0</v>
      </c>
      <c r="Q198" s="13">
        <v>0</v>
      </c>
      <c r="R1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8" s="13"/>
      <c r="T198" s="17"/>
    </row>
    <row r="199" spans="2:20" ht="17">
      <c r="B199" s="17" t="e">
        <f t="shared" si="3"/>
        <v>#REF!</v>
      </c>
      <c r="C199" s="13" t="s">
        <v>653</v>
      </c>
      <c r="D199" s="13" t="s">
        <v>654</v>
      </c>
      <c r="E199" s="13">
        <v>542225868</v>
      </c>
      <c r="F199" s="13" t="s">
        <v>655</v>
      </c>
      <c r="G199" s="13" t="s">
        <v>573</v>
      </c>
      <c r="H199" s="13" t="s">
        <v>81</v>
      </c>
      <c r="I199" s="13" t="s">
        <v>72</v>
      </c>
      <c r="J199" s="17" t="s">
        <v>81</v>
      </c>
      <c r="K199" s="13">
        <v>1</v>
      </c>
      <c r="L199" s="13">
        <v>1</v>
      </c>
      <c r="M199" s="13">
        <v>1</v>
      </c>
      <c r="N199" s="13">
        <v>1</v>
      </c>
      <c r="O199" s="13">
        <v>0</v>
      </c>
      <c r="P199" s="13">
        <v>0</v>
      </c>
      <c r="Q199" s="13">
        <v>0</v>
      </c>
      <c r="R1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9" s="13"/>
      <c r="T199" s="17"/>
    </row>
    <row r="200" spans="2:20" ht="17">
      <c r="B200" s="17" t="e">
        <f t="shared" si="3"/>
        <v>#REF!</v>
      </c>
      <c r="C200" s="13" t="s">
        <v>656</v>
      </c>
      <c r="D200" s="13" t="s">
        <v>657</v>
      </c>
      <c r="E200" s="13">
        <v>565541685</v>
      </c>
      <c r="F200" s="13" t="s">
        <v>656</v>
      </c>
      <c r="G200" s="13" t="s">
        <v>573</v>
      </c>
      <c r="H200" s="13" t="s">
        <v>108</v>
      </c>
      <c r="I200" s="13" t="s">
        <v>108</v>
      </c>
      <c r="J200" s="17" t="s">
        <v>108</v>
      </c>
      <c r="K200" s="13">
        <v>1</v>
      </c>
      <c r="L200" s="13">
        <v>1</v>
      </c>
      <c r="M200" s="13">
        <v>1</v>
      </c>
      <c r="N200" s="13">
        <v>1</v>
      </c>
      <c r="O200" s="13">
        <v>2</v>
      </c>
      <c r="P200" s="13">
        <v>2</v>
      </c>
      <c r="Q200" s="13">
        <v>2</v>
      </c>
      <c r="R2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0" s="13"/>
      <c r="T200" s="17"/>
    </row>
    <row r="201" spans="2:20" ht="17">
      <c r="B201" s="17" t="e">
        <f t="shared" si="3"/>
        <v>#REF!</v>
      </c>
      <c r="C201" s="13" t="s">
        <v>658</v>
      </c>
      <c r="D201" s="13" t="s">
        <v>659</v>
      </c>
      <c r="E201" s="13">
        <v>503289999</v>
      </c>
      <c r="F201" s="13" t="s">
        <v>660</v>
      </c>
      <c r="G201" s="13" t="s">
        <v>573</v>
      </c>
      <c r="H201" s="13" t="s">
        <v>78</v>
      </c>
      <c r="I201" s="13" t="s">
        <v>93</v>
      </c>
      <c r="J201" s="17" t="s">
        <v>78</v>
      </c>
      <c r="K201" s="13">
        <v>0</v>
      </c>
      <c r="L201" s="13">
        <v>1</v>
      </c>
      <c r="M201" s="13">
        <v>2</v>
      </c>
      <c r="N201" s="13">
        <v>2</v>
      </c>
      <c r="O201" s="13">
        <v>2</v>
      </c>
      <c r="P201" s="13">
        <v>2</v>
      </c>
      <c r="Q201" s="13">
        <v>0</v>
      </c>
      <c r="R2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1" s="13"/>
      <c r="T201" s="17"/>
    </row>
    <row r="202" spans="2:20" ht="17">
      <c r="B202" s="17" t="e">
        <f t="shared" si="3"/>
        <v>#REF!</v>
      </c>
      <c r="C202" s="13" t="s">
        <v>661</v>
      </c>
      <c r="D202" s="13" t="s">
        <v>662</v>
      </c>
      <c r="E202" s="13">
        <v>553739637</v>
      </c>
      <c r="F202" s="13" t="s">
        <v>663</v>
      </c>
      <c r="G202" s="13" t="s">
        <v>573</v>
      </c>
      <c r="H202" s="13" t="s">
        <v>75</v>
      </c>
      <c r="I202" s="13" t="s">
        <v>85</v>
      </c>
      <c r="J202" s="17" t="s">
        <v>75</v>
      </c>
      <c r="K202" s="13">
        <v>1</v>
      </c>
      <c r="L202" s="13">
        <v>1</v>
      </c>
      <c r="M202" s="13">
        <v>1</v>
      </c>
      <c r="N202" s="13">
        <v>2</v>
      </c>
      <c r="O202" s="13">
        <v>1</v>
      </c>
      <c r="P202" s="13">
        <v>0</v>
      </c>
      <c r="Q202" s="13">
        <v>0</v>
      </c>
      <c r="R2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2" s="13"/>
      <c r="T202" s="17"/>
    </row>
    <row r="203" spans="2:20" ht="17">
      <c r="B203" s="17" t="e">
        <f>#REF!+1</f>
        <v>#REF!</v>
      </c>
      <c r="C203" s="13" t="s">
        <v>587</v>
      </c>
      <c r="D203" s="13" t="s">
        <v>588</v>
      </c>
      <c r="E203" s="13">
        <v>556046415</v>
      </c>
      <c r="F203" s="13" t="s">
        <v>253</v>
      </c>
      <c r="G203" s="13" t="s">
        <v>573</v>
      </c>
      <c r="H203" s="13" t="s">
        <v>108</v>
      </c>
      <c r="I203" s="13" t="s">
        <v>27</v>
      </c>
      <c r="J203" s="17" t="s">
        <v>27</v>
      </c>
      <c r="K203" s="17">
        <v>1</v>
      </c>
      <c r="L203" s="17">
        <v>1</v>
      </c>
      <c r="M203" s="17">
        <v>1</v>
      </c>
      <c r="N203" s="17">
        <v>1</v>
      </c>
      <c r="O203" s="17">
        <v>2</v>
      </c>
      <c r="P203" s="17">
        <v>2</v>
      </c>
      <c r="Q203" s="17">
        <v>1</v>
      </c>
      <c r="R2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3" s="13"/>
      <c r="T203" s="17"/>
    </row>
    <row r="204" spans="2:20" ht="17">
      <c r="B204" s="17" t="e">
        <f t="shared" ref="B204:B253" si="4">B203+1</f>
        <v>#REF!</v>
      </c>
      <c r="C204" s="13" t="s">
        <v>667</v>
      </c>
      <c r="D204" s="13" t="s">
        <v>668</v>
      </c>
      <c r="E204" s="13">
        <v>550595695</v>
      </c>
      <c r="F204" s="13" t="s">
        <v>164</v>
      </c>
      <c r="G204" s="13" t="s">
        <v>294</v>
      </c>
      <c r="H204" s="13" t="s">
        <v>21</v>
      </c>
      <c r="I204" s="13" t="s">
        <v>21</v>
      </c>
      <c r="J204" s="17" t="s">
        <v>21</v>
      </c>
      <c r="K204" s="13">
        <v>1</v>
      </c>
      <c r="L204" s="13">
        <v>1</v>
      </c>
      <c r="M204" s="13">
        <v>1</v>
      </c>
      <c r="N204" s="13">
        <v>1</v>
      </c>
      <c r="O204" s="13">
        <v>1</v>
      </c>
      <c r="P204" s="13">
        <v>1</v>
      </c>
      <c r="Q204" s="13">
        <v>0</v>
      </c>
      <c r="R2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4" s="13"/>
      <c r="T204" s="17" t="s">
        <v>1621</v>
      </c>
    </row>
    <row r="205" spans="2:20" ht="17">
      <c r="B205" s="17" t="e">
        <f t="shared" si="4"/>
        <v>#REF!</v>
      </c>
      <c r="C205" s="13" t="s">
        <v>669</v>
      </c>
      <c r="D205" s="13" t="s">
        <v>670</v>
      </c>
      <c r="E205" s="13">
        <v>534714440</v>
      </c>
      <c r="F205" s="13" t="s">
        <v>253</v>
      </c>
      <c r="G205" s="13" t="s">
        <v>294</v>
      </c>
      <c r="H205" s="13" t="s">
        <v>35</v>
      </c>
      <c r="I205" s="13" t="s">
        <v>35</v>
      </c>
      <c r="J205" s="17" t="s">
        <v>35</v>
      </c>
      <c r="K205" s="13">
        <v>0</v>
      </c>
      <c r="L205" s="13">
        <v>0</v>
      </c>
      <c r="M205" s="13">
        <v>1</v>
      </c>
      <c r="N205" s="13">
        <v>0</v>
      </c>
      <c r="O205" s="13">
        <v>0</v>
      </c>
      <c r="P205" s="13">
        <v>0</v>
      </c>
      <c r="Q205" s="13">
        <v>0</v>
      </c>
      <c r="R2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5" s="13" t="s">
        <v>1599</v>
      </c>
      <c r="T205" s="17" t="s">
        <v>1621</v>
      </c>
    </row>
    <row r="206" spans="2:20" ht="17">
      <c r="B206" s="17" t="e">
        <f t="shared" si="4"/>
        <v>#REF!</v>
      </c>
      <c r="C206" s="13" t="s">
        <v>671</v>
      </c>
      <c r="D206" s="13" t="s">
        <v>672</v>
      </c>
      <c r="E206" s="13">
        <v>539030809</v>
      </c>
      <c r="F206" s="13" t="s">
        <v>673</v>
      </c>
      <c r="G206" s="13" t="s">
        <v>143</v>
      </c>
      <c r="H206" s="13" t="s">
        <v>77</v>
      </c>
      <c r="I206" s="13" t="s">
        <v>79</v>
      </c>
      <c r="J206" s="17" t="s">
        <v>79</v>
      </c>
      <c r="K206" s="13">
        <v>1</v>
      </c>
      <c r="L206" s="13">
        <v>1</v>
      </c>
      <c r="M206" s="13">
        <v>1</v>
      </c>
      <c r="N206" s="13">
        <v>1</v>
      </c>
      <c r="O206" s="13">
        <v>0</v>
      </c>
      <c r="P206" s="13">
        <v>0</v>
      </c>
      <c r="Q206" s="13">
        <v>0</v>
      </c>
      <c r="R2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6" s="13"/>
      <c r="T206" s="17"/>
    </row>
    <row r="207" spans="2:20" ht="17">
      <c r="B207" s="17" t="e">
        <f t="shared" si="4"/>
        <v>#REF!</v>
      </c>
      <c r="C207" s="13" t="s">
        <v>674</v>
      </c>
      <c r="D207" s="13" t="s">
        <v>675</v>
      </c>
      <c r="E207" s="13">
        <v>596326699</v>
      </c>
      <c r="F207" s="13" t="s">
        <v>674</v>
      </c>
      <c r="G207" s="13" t="s">
        <v>143</v>
      </c>
      <c r="H207" s="13" t="s">
        <v>77</v>
      </c>
      <c r="I207" s="13" t="s">
        <v>79</v>
      </c>
      <c r="J207" s="17" t="s">
        <v>79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Q207" s="13">
        <v>0</v>
      </c>
      <c r="R2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7" s="13"/>
      <c r="T207" s="17"/>
    </row>
    <row r="208" spans="2:20" ht="17">
      <c r="B208" s="17" t="e">
        <f t="shared" si="4"/>
        <v>#REF!</v>
      </c>
      <c r="C208" s="13" t="s">
        <v>676</v>
      </c>
      <c r="D208" s="13" t="s">
        <v>677</v>
      </c>
      <c r="E208" s="13">
        <v>564975590</v>
      </c>
      <c r="F208" s="13" t="s">
        <v>676</v>
      </c>
      <c r="G208" s="13" t="s">
        <v>573</v>
      </c>
      <c r="H208" s="13" t="s">
        <v>77</v>
      </c>
      <c r="I208" s="13" t="s">
        <v>73</v>
      </c>
      <c r="J208" s="17" t="s">
        <v>73</v>
      </c>
      <c r="K208" s="13">
        <v>0</v>
      </c>
      <c r="L208" s="13">
        <v>0</v>
      </c>
      <c r="M208" s="13">
        <v>0</v>
      </c>
      <c r="N208" s="13">
        <v>1</v>
      </c>
      <c r="O208" s="13">
        <v>1</v>
      </c>
      <c r="P208" s="13">
        <v>1</v>
      </c>
      <c r="Q208" s="13">
        <v>1</v>
      </c>
      <c r="R2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8" s="13"/>
      <c r="T208" s="17"/>
    </row>
    <row r="209" spans="2:20" ht="17">
      <c r="B209" s="17" t="e">
        <f t="shared" si="4"/>
        <v>#REF!</v>
      </c>
      <c r="C209" s="13" t="s">
        <v>678</v>
      </c>
      <c r="D209" s="13" t="s">
        <v>679</v>
      </c>
      <c r="E209" s="13">
        <v>565546688</v>
      </c>
      <c r="F209" s="13" t="s">
        <v>253</v>
      </c>
      <c r="G209" s="13" t="s">
        <v>294</v>
      </c>
      <c r="H209" s="13" t="s">
        <v>37</v>
      </c>
      <c r="I209" s="13" t="s">
        <v>103</v>
      </c>
      <c r="J209" s="17" t="s">
        <v>37</v>
      </c>
      <c r="K209" s="13">
        <v>1</v>
      </c>
      <c r="L209" s="13">
        <v>1</v>
      </c>
      <c r="M209" s="13">
        <v>1</v>
      </c>
      <c r="N209" s="13">
        <v>1</v>
      </c>
      <c r="O209" s="13">
        <v>1</v>
      </c>
      <c r="P209" s="13">
        <v>1</v>
      </c>
      <c r="Q209" s="13">
        <v>1</v>
      </c>
      <c r="R2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9" s="13"/>
      <c r="T209" s="17" t="s">
        <v>1621</v>
      </c>
    </row>
    <row r="210" spans="2:20" ht="17">
      <c r="B210" s="17" t="e">
        <f t="shared" si="4"/>
        <v>#REF!</v>
      </c>
      <c r="C210" s="13" t="s">
        <v>680</v>
      </c>
      <c r="D210" s="13" t="s">
        <v>681</v>
      </c>
      <c r="E210" s="13">
        <v>577019226</v>
      </c>
      <c r="F210" s="13" t="s">
        <v>680</v>
      </c>
      <c r="G210" s="13" t="s">
        <v>143</v>
      </c>
      <c r="H210" s="13" t="s">
        <v>77</v>
      </c>
      <c r="I210" s="13" t="s">
        <v>79</v>
      </c>
      <c r="J210" s="17" t="s">
        <v>79</v>
      </c>
      <c r="K210" s="13">
        <v>0</v>
      </c>
      <c r="L210" s="13">
        <v>0</v>
      </c>
      <c r="M210" s="13">
        <v>1</v>
      </c>
      <c r="N210" s="13">
        <v>1</v>
      </c>
      <c r="O210" s="13">
        <v>1</v>
      </c>
      <c r="P210" s="13">
        <v>1</v>
      </c>
      <c r="Q210" s="13">
        <v>0</v>
      </c>
      <c r="R2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0" s="13"/>
      <c r="T210" s="17"/>
    </row>
    <row r="211" spans="2:20" ht="17">
      <c r="B211" s="17" t="e">
        <f t="shared" si="4"/>
        <v>#REF!</v>
      </c>
      <c r="C211" s="13" t="s">
        <v>682</v>
      </c>
      <c r="D211" s="13" t="s">
        <v>683</v>
      </c>
      <c r="E211" s="13">
        <v>534853878</v>
      </c>
      <c r="F211" s="13" t="s">
        <v>684</v>
      </c>
      <c r="G211" s="13" t="s">
        <v>573</v>
      </c>
      <c r="H211" s="13" t="s">
        <v>37</v>
      </c>
      <c r="I211" s="13" t="s">
        <v>102</v>
      </c>
      <c r="J211" s="17" t="s">
        <v>37</v>
      </c>
      <c r="K211" s="13">
        <v>1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1" s="13"/>
      <c r="T211" s="17"/>
    </row>
    <row r="212" spans="2:20" ht="17">
      <c r="B212" s="17" t="e">
        <f t="shared" si="4"/>
        <v>#REF!</v>
      </c>
      <c r="C212" s="13" t="s">
        <v>685</v>
      </c>
      <c r="D212" s="13" t="s">
        <v>686</v>
      </c>
      <c r="E212" s="13">
        <v>557113120</v>
      </c>
      <c r="F212" s="13" t="s">
        <v>687</v>
      </c>
      <c r="G212" s="13" t="s">
        <v>573</v>
      </c>
      <c r="H212" s="13" t="s">
        <v>77</v>
      </c>
      <c r="I212" s="13" t="s">
        <v>105</v>
      </c>
      <c r="J212" s="17" t="s">
        <v>105</v>
      </c>
      <c r="K212" s="13">
        <v>1</v>
      </c>
      <c r="L212" s="13">
        <v>0</v>
      </c>
      <c r="M212" s="13">
        <v>1</v>
      </c>
      <c r="N212" s="13">
        <v>1</v>
      </c>
      <c r="O212" s="13">
        <v>0</v>
      </c>
      <c r="P212" s="13">
        <v>0</v>
      </c>
      <c r="Q212" s="13">
        <v>0</v>
      </c>
      <c r="R2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2" s="13"/>
      <c r="T212" s="17"/>
    </row>
    <row r="213" spans="2:20" ht="17">
      <c r="B213" s="17" t="e">
        <f t="shared" si="4"/>
        <v>#REF!</v>
      </c>
      <c r="C213" s="13" t="s">
        <v>688</v>
      </c>
      <c r="D213" s="13" t="s">
        <v>689</v>
      </c>
      <c r="E213" s="13">
        <v>553875535</v>
      </c>
      <c r="F213" s="13" t="s">
        <v>142</v>
      </c>
      <c r="G213" s="13" t="s">
        <v>573</v>
      </c>
      <c r="H213" s="13" t="s">
        <v>35</v>
      </c>
      <c r="I213" s="13" t="s">
        <v>35</v>
      </c>
      <c r="J213" s="17" t="s">
        <v>35</v>
      </c>
      <c r="K213" s="13">
        <v>1</v>
      </c>
      <c r="L213" s="13">
        <v>1</v>
      </c>
      <c r="M213" s="13">
        <v>1</v>
      </c>
      <c r="N213" s="13">
        <v>1</v>
      </c>
      <c r="O213" s="13">
        <v>1</v>
      </c>
      <c r="P213" s="13">
        <v>1</v>
      </c>
      <c r="Q213" s="13">
        <v>0</v>
      </c>
      <c r="R2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3" s="13"/>
      <c r="T213" s="17"/>
    </row>
    <row r="214" spans="2:20" ht="17">
      <c r="B214" s="17" t="e">
        <f t="shared" si="4"/>
        <v>#REF!</v>
      </c>
      <c r="C214" s="13" t="s">
        <v>690</v>
      </c>
      <c r="D214" s="13" t="s">
        <v>691</v>
      </c>
      <c r="E214" s="13">
        <v>540838710</v>
      </c>
      <c r="F214" s="13" t="s">
        <v>164</v>
      </c>
      <c r="G214" s="13" t="s">
        <v>573</v>
      </c>
      <c r="H214" s="13" t="s">
        <v>108</v>
      </c>
      <c r="I214" s="13" t="s">
        <v>108</v>
      </c>
      <c r="J214" s="17" t="s">
        <v>108</v>
      </c>
      <c r="K214" s="13">
        <v>1</v>
      </c>
      <c r="L214" s="13">
        <v>0</v>
      </c>
      <c r="M214" s="13">
        <v>1</v>
      </c>
      <c r="N214" s="13">
        <v>1</v>
      </c>
      <c r="O214" s="13">
        <v>1</v>
      </c>
      <c r="P214" s="13">
        <v>0</v>
      </c>
      <c r="Q214" s="13">
        <v>0</v>
      </c>
      <c r="R2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4" s="13"/>
      <c r="T214" s="17"/>
    </row>
    <row r="215" spans="2:20" ht="17">
      <c r="B215" s="17" t="e">
        <f t="shared" si="4"/>
        <v>#REF!</v>
      </c>
      <c r="C215" s="13" t="s">
        <v>692</v>
      </c>
      <c r="D215" s="13" t="s">
        <v>693</v>
      </c>
      <c r="E215" s="13">
        <v>595655939</v>
      </c>
      <c r="F215" s="13" t="s">
        <v>694</v>
      </c>
      <c r="G215" s="13" t="s">
        <v>143</v>
      </c>
      <c r="H215" s="13" t="s">
        <v>81</v>
      </c>
      <c r="I215" s="13" t="s">
        <v>82</v>
      </c>
      <c r="J215" s="17" t="s">
        <v>81</v>
      </c>
      <c r="K215" s="13">
        <v>1</v>
      </c>
      <c r="L215" s="13">
        <v>1</v>
      </c>
      <c r="M215" s="13">
        <v>1</v>
      </c>
      <c r="N215" s="13">
        <v>1</v>
      </c>
      <c r="O215" s="13">
        <v>0</v>
      </c>
      <c r="P215" s="13">
        <v>0</v>
      </c>
      <c r="Q215" s="13">
        <v>0</v>
      </c>
      <c r="R2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5" s="13"/>
      <c r="T215" s="17"/>
    </row>
    <row r="216" spans="2:20" ht="17">
      <c r="B216" s="17" t="e">
        <f t="shared" si="4"/>
        <v>#REF!</v>
      </c>
      <c r="C216" s="13" t="s">
        <v>695</v>
      </c>
      <c r="D216" s="13" t="s">
        <v>696</v>
      </c>
      <c r="E216" s="13">
        <v>530634750</v>
      </c>
      <c r="F216" s="13" t="s">
        <v>531</v>
      </c>
      <c r="G216" s="13" t="s">
        <v>573</v>
      </c>
      <c r="H216" s="13" t="s">
        <v>37</v>
      </c>
      <c r="I216" s="13" t="s">
        <v>101</v>
      </c>
      <c r="J216" s="17" t="s">
        <v>37</v>
      </c>
      <c r="K216" s="13">
        <v>1</v>
      </c>
      <c r="L216" s="13">
        <v>1</v>
      </c>
      <c r="M216" s="13">
        <v>1</v>
      </c>
      <c r="N216" s="13">
        <v>1</v>
      </c>
      <c r="O216" s="13">
        <v>0</v>
      </c>
      <c r="P216" s="13">
        <v>0</v>
      </c>
      <c r="Q216" s="13">
        <v>0</v>
      </c>
      <c r="R2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6" s="13"/>
      <c r="T216" s="17"/>
    </row>
    <row r="217" spans="2:20" ht="17">
      <c r="B217" s="17" t="e">
        <f t="shared" si="4"/>
        <v>#REF!</v>
      </c>
      <c r="C217" s="13" t="s">
        <v>697</v>
      </c>
      <c r="D217" s="13" t="s">
        <v>698</v>
      </c>
      <c r="E217" s="13">
        <v>532876761</v>
      </c>
      <c r="F217" s="13" t="s">
        <v>699</v>
      </c>
      <c r="G217" s="13" t="s">
        <v>143</v>
      </c>
      <c r="H217" s="13" t="s">
        <v>35</v>
      </c>
      <c r="I217" s="13" t="s">
        <v>76</v>
      </c>
      <c r="J217" s="17" t="s">
        <v>76</v>
      </c>
      <c r="K217" s="13">
        <v>1</v>
      </c>
      <c r="L217" s="13">
        <v>1</v>
      </c>
      <c r="M217" s="13">
        <v>1</v>
      </c>
      <c r="N217" s="13">
        <v>1</v>
      </c>
      <c r="O217" s="13">
        <v>0</v>
      </c>
      <c r="P217" s="13">
        <v>0</v>
      </c>
      <c r="Q217" s="13">
        <v>0</v>
      </c>
      <c r="R2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7" s="13"/>
      <c r="T217" s="17"/>
    </row>
    <row r="218" spans="2:20" ht="17">
      <c r="B218" s="17" t="e">
        <f t="shared" si="4"/>
        <v>#REF!</v>
      </c>
      <c r="C218" s="13" t="s">
        <v>700</v>
      </c>
      <c r="D218" s="13" t="s">
        <v>701</v>
      </c>
      <c r="E218" s="13">
        <v>555509685</v>
      </c>
      <c r="F218" s="13" t="s">
        <v>702</v>
      </c>
      <c r="G218" s="13" t="s">
        <v>143</v>
      </c>
      <c r="H218" s="13" t="s">
        <v>108</v>
      </c>
      <c r="I218" s="13" t="s">
        <v>108</v>
      </c>
      <c r="J218" s="17" t="s">
        <v>108</v>
      </c>
      <c r="K218" s="13">
        <v>1</v>
      </c>
      <c r="L218" s="13">
        <v>1</v>
      </c>
      <c r="M218" s="13">
        <v>1</v>
      </c>
      <c r="N218" s="13">
        <v>1</v>
      </c>
      <c r="O218" s="13">
        <v>1</v>
      </c>
      <c r="P218" s="13">
        <v>1</v>
      </c>
      <c r="Q218" s="13">
        <v>1</v>
      </c>
      <c r="R2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8" s="13"/>
      <c r="T218" s="17"/>
    </row>
    <row r="219" spans="2:20" ht="17">
      <c r="B219" s="17" t="e">
        <f>#REF!+1</f>
        <v>#REF!</v>
      </c>
      <c r="C219" s="13" t="s">
        <v>704</v>
      </c>
      <c r="D219" s="13" t="s">
        <v>705</v>
      </c>
      <c r="E219" s="13">
        <v>560596607</v>
      </c>
      <c r="F219" s="13" t="s">
        <v>164</v>
      </c>
      <c r="G219" s="13" t="s">
        <v>294</v>
      </c>
      <c r="H219" s="13" t="s">
        <v>37</v>
      </c>
      <c r="I219" s="13" t="s">
        <v>40</v>
      </c>
      <c r="J219" s="17" t="s">
        <v>37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1</v>
      </c>
      <c r="Q219" s="13">
        <v>1</v>
      </c>
      <c r="R2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9" s="13"/>
      <c r="T219" s="17" t="s">
        <v>1621</v>
      </c>
    </row>
    <row r="220" spans="2:20" ht="17">
      <c r="B220" s="17" t="e">
        <f>#REF!+1</f>
        <v>#REF!</v>
      </c>
      <c r="C220" s="13" t="s">
        <v>707</v>
      </c>
      <c r="D220" s="13" t="s">
        <v>708</v>
      </c>
      <c r="E220" s="13">
        <v>552505347</v>
      </c>
      <c r="F220" s="13" t="s">
        <v>164</v>
      </c>
      <c r="G220" s="13" t="s">
        <v>294</v>
      </c>
      <c r="H220" s="13" t="s">
        <v>108</v>
      </c>
      <c r="I220" s="13" t="s">
        <v>27</v>
      </c>
      <c r="J220" s="17" t="s">
        <v>27</v>
      </c>
      <c r="K220" s="13">
        <v>0</v>
      </c>
      <c r="L220" s="13">
        <v>1</v>
      </c>
      <c r="M220" s="13">
        <v>0</v>
      </c>
      <c r="N220" s="13">
        <v>0</v>
      </c>
      <c r="O220" s="13">
        <v>1</v>
      </c>
      <c r="P220" s="13">
        <v>0</v>
      </c>
      <c r="Q220" s="13">
        <v>0</v>
      </c>
      <c r="R2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0" s="13"/>
      <c r="T220" s="17" t="s">
        <v>1621</v>
      </c>
    </row>
    <row r="221" spans="2:20" ht="17">
      <c r="B221" s="17" t="e">
        <f>#REF!+1</f>
        <v>#REF!</v>
      </c>
      <c r="C221" s="13" t="s">
        <v>712</v>
      </c>
      <c r="D221" s="13" t="s">
        <v>713</v>
      </c>
      <c r="E221" s="45">
        <v>966533558443</v>
      </c>
      <c r="F221" s="13" t="s">
        <v>164</v>
      </c>
      <c r="G221" s="13" t="s">
        <v>294</v>
      </c>
      <c r="H221" s="13" t="s">
        <v>37</v>
      </c>
      <c r="I221" s="13" t="s">
        <v>40</v>
      </c>
      <c r="J221" s="17" t="s">
        <v>37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1</v>
      </c>
      <c r="Q221" s="13">
        <v>1</v>
      </c>
      <c r="R2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1" s="13"/>
      <c r="T221" s="17" t="s">
        <v>1621</v>
      </c>
    </row>
    <row r="222" spans="2:20" ht="17">
      <c r="B222" s="17" t="e">
        <f>#REF!+1</f>
        <v>#REF!</v>
      </c>
      <c r="C222" s="13" t="s">
        <v>715</v>
      </c>
      <c r="D222" s="13" t="s">
        <v>525</v>
      </c>
      <c r="E222" s="13">
        <v>555877209</v>
      </c>
      <c r="F222" s="13" t="s">
        <v>164</v>
      </c>
      <c r="G222" s="13" t="s">
        <v>294</v>
      </c>
      <c r="H222" s="13" t="s">
        <v>108</v>
      </c>
      <c r="I222" s="13" t="s">
        <v>108</v>
      </c>
      <c r="J222" s="17" t="s">
        <v>108</v>
      </c>
      <c r="K222" s="13">
        <v>1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Q222" s="13">
        <v>1</v>
      </c>
      <c r="R2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2" s="13"/>
      <c r="T222" s="17" t="s">
        <v>1621</v>
      </c>
    </row>
    <row r="223" spans="2:20" ht="17">
      <c r="B223" s="17" t="e">
        <f>#REF!+1</f>
        <v>#REF!</v>
      </c>
      <c r="C223" s="13" t="s">
        <v>1702</v>
      </c>
      <c r="D223" s="13" t="s">
        <v>719</v>
      </c>
      <c r="E223" s="13">
        <v>533835900</v>
      </c>
      <c r="F223" s="13" t="s">
        <v>164</v>
      </c>
      <c r="G223" s="13" t="s">
        <v>294</v>
      </c>
      <c r="H223" s="13" t="s">
        <v>24</v>
      </c>
      <c r="I223" s="13" t="s">
        <v>24</v>
      </c>
      <c r="J223" s="17" t="s">
        <v>24</v>
      </c>
      <c r="K223" s="13">
        <v>1</v>
      </c>
      <c r="L223" s="13">
        <v>1</v>
      </c>
      <c r="M223" s="13">
        <v>1</v>
      </c>
      <c r="N223" s="13">
        <v>1</v>
      </c>
      <c r="O223" s="13">
        <v>0</v>
      </c>
      <c r="P223" s="13">
        <v>0</v>
      </c>
      <c r="Q223" s="13">
        <v>0</v>
      </c>
      <c r="R2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3" s="13"/>
      <c r="T223" s="17" t="s">
        <v>1621</v>
      </c>
    </row>
    <row r="224" spans="2:20" ht="17">
      <c r="B224" s="17" t="e">
        <f t="shared" si="4"/>
        <v>#REF!</v>
      </c>
      <c r="C224" s="13" t="s">
        <v>720</v>
      </c>
      <c r="D224" s="13" t="s">
        <v>721</v>
      </c>
      <c r="E224" s="13">
        <v>545558184</v>
      </c>
      <c r="F224" s="13" t="s">
        <v>164</v>
      </c>
      <c r="G224" s="13" t="s">
        <v>294</v>
      </c>
      <c r="H224" s="13" t="s">
        <v>37</v>
      </c>
      <c r="I224" s="13" t="s">
        <v>415</v>
      </c>
      <c r="J224" s="17" t="s">
        <v>37</v>
      </c>
      <c r="K224" s="13">
        <v>1</v>
      </c>
      <c r="L224" s="13">
        <v>1</v>
      </c>
      <c r="M224" s="13">
        <v>1</v>
      </c>
      <c r="N224" s="13">
        <v>1</v>
      </c>
      <c r="O224" s="13">
        <v>1</v>
      </c>
      <c r="P224" s="13">
        <v>1</v>
      </c>
      <c r="Q224" s="13">
        <v>1</v>
      </c>
      <c r="R2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4" s="13"/>
      <c r="T224" s="17" t="s">
        <v>1621</v>
      </c>
    </row>
    <row r="225" spans="2:20" ht="17">
      <c r="B225" s="17" t="e">
        <f t="shared" si="4"/>
        <v>#REF!</v>
      </c>
      <c r="C225" s="13" t="s">
        <v>723</v>
      </c>
      <c r="D225" s="13" t="s">
        <v>724</v>
      </c>
      <c r="E225" s="13">
        <v>503392532</v>
      </c>
      <c r="F225" s="13" t="s">
        <v>723</v>
      </c>
      <c r="G225" s="13" t="s">
        <v>573</v>
      </c>
      <c r="H225" s="13" t="s">
        <v>75</v>
      </c>
      <c r="I225" s="13" t="s">
        <v>85</v>
      </c>
      <c r="J225" s="17" t="s">
        <v>75</v>
      </c>
      <c r="K225" s="13">
        <v>1</v>
      </c>
      <c r="L225" s="13">
        <v>1</v>
      </c>
      <c r="M225" s="13">
        <v>1</v>
      </c>
      <c r="N225" s="13">
        <v>1</v>
      </c>
      <c r="O225" s="13">
        <v>1</v>
      </c>
      <c r="P225" s="13">
        <v>1</v>
      </c>
      <c r="Q225" s="13">
        <v>1</v>
      </c>
      <c r="R2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5" s="13"/>
      <c r="T225" s="17"/>
    </row>
    <row r="226" spans="2:20" ht="17">
      <c r="B226" s="17" t="e">
        <f t="shared" si="4"/>
        <v>#REF!</v>
      </c>
      <c r="C226" s="13" t="s">
        <v>725</v>
      </c>
      <c r="D226" s="13" t="s">
        <v>726</v>
      </c>
      <c r="E226" s="13">
        <v>566841189</v>
      </c>
      <c r="F226" s="13" t="s">
        <v>164</v>
      </c>
      <c r="G226" s="13" t="s">
        <v>573</v>
      </c>
      <c r="H226" s="13" t="s">
        <v>78</v>
      </c>
      <c r="I226" s="13" t="s">
        <v>45</v>
      </c>
      <c r="J226" s="17" t="s">
        <v>45</v>
      </c>
      <c r="K226" s="13">
        <v>0</v>
      </c>
      <c r="L226" s="13">
        <v>1</v>
      </c>
      <c r="M226" s="13">
        <v>0</v>
      </c>
      <c r="N226" s="13">
        <v>1</v>
      </c>
      <c r="O226" s="13">
        <v>0</v>
      </c>
      <c r="P226" s="13">
        <v>0</v>
      </c>
      <c r="Q226" s="13">
        <v>0</v>
      </c>
      <c r="R2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6" s="13"/>
      <c r="T226" s="17"/>
    </row>
    <row r="227" spans="2:20" ht="17">
      <c r="B227" s="17" t="e">
        <f t="shared" si="4"/>
        <v>#REF!</v>
      </c>
      <c r="C227" s="13" t="s">
        <v>727</v>
      </c>
      <c r="D227" s="13" t="s">
        <v>728</v>
      </c>
      <c r="E227" s="13">
        <v>561561564</v>
      </c>
      <c r="F227" s="13" t="s">
        <v>727</v>
      </c>
      <c r="G227" s="13" t="s">
        <v>143</v>
      </c>
      <c r="H227" s="13" t="s">
        <v>21</v>
      </c>
      <c r="I227" s="13" t="s">
        <v>21</v>
      </c>
      <c r="J227" s="17" t="s">
        <v>21</v>
      </c>
      <c r="K227" s="13">
        <v>1</v>
      </c>
      <c r="L227" s="13">
        <v>1</v>
      </c>
      <c r="M227" s="13">
        <v>1</v>
      </c>
      <c r="N227" s="13">
        <v>1</v>
      </c>
      <c r="O227" s="13">
        <v>1</v>
      </c>
      <c r="P227" s="13">
        <v>1</v>
      </c>
      <c r="Q227" s="13">
        <v>1</v>
      </c>
      <c r="R2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7" s="13"/>
      <c r="T227" s="17"/>
    </row>
    <row r="228" spans="2:20" ht="17">
      <c r="B228" s="17" t="e">
        <f t="shared" si="4"/>
        <v>#REF!</v>
      </c>
      <c r="C228" s="13" t="s">
        <v>722</v>
      </c>
      <c r="D228" s="13" t="s">
        <v>729</v>
      </c>
      <c r="E228" s="13">
        <v>501814999</v>
      </c>
      <c r="F228" s="13" t="s">
        <v>722</v>
      </c>
      <c r="G228" s="13" t="s">
        <v>143</v>
      </c>
      <c r="H228" s="13" t="s">
        <v>29</v>
      </c>
      <c r="I228" s="13" t="s">
        <v>722</v>
      </c>
      <c r="J228" s="17" t="s">
        <v>29</v>
      </c>
      <c r="K228" s="13">
        <v>0</v>
      </c>
      <c r="L228" s="13">
        <v>0</v>
      </c>
      <c r="M228" s="13">
        <v>1</v>
      </c>
      <c r="N228" s="13">
        <v>1</v>
      </c>
      <c r="O228" s="13">
        <v>0</v>
      </c>
      <c r="P228" s="13">
        <v>0</v>
      </c>
      <c r="Q228" s="13">
        <v>0</v>
      </c>
      <c r="R2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8" s="13"/>
      <c r="T228" s="17"/>
    </row>
    <row r="229" spans="2:20" ht="17">
      <c r="B229" s="17" t="e">
        <f t="shared" si="4"/>
        <v>#REF!</v>
      </c>
      <c r="C229" s="13" t="s">
        <v>730</v>
      </c>
      <c r="D229" s="13" t="s">
        <v>731</v>
      </c>
      <c r="E229" s="13">
        <v>595077770</v>
      </c>
      <c r="F229" s="13" t="s">
        <v>164</v>
      </c>
      <c r="G229" s="13" t="s">
        <v>573</v>
      </c>
      <c r="H229" s="13" t="s">
        <v>77</v>
      </c>
      <c r="I229" s="13" t="s">
        <v>73</v>
      </c>
      <c r="J229" s="17" t="s">
        <v>73</v>
      </c>
      <c r="K229" s="13">
        <v>1</v>
      </c>
      <c r="L229" s="13">
        <v>1</v>
      </c>
      <c r="M229" s="13">
        <v>1</v>
      </c>
      <c r="N229" s="13">
        <v>1</v>
      </c>
      <c r="O229" s="13">
        <v>1</v>
      </c>
      <c r="P229" s="13">
        <v>1</v>
      </c>
      <c r="Q229" s="13">
        <v>1</v>
      </c>
      <c r="R2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9" s="13"/>
      <c r="T229" s="17"/>
    </row>
    <row r="230" spans="2:20" ht="17">
      <c r="B230" s="17" t="e">
        <f t="shared" si="4"/>
        <v>#REF!</v>
      </c>
      <c r="C230" s="13" t="s">
        <v>732</v>
      </c>
      <c r="D230" s="13" t="s">
        <v>733</v>
      </c>
      <c r="E230" s="13">
        <v>554496469</v>
      </c>
      <c r="F230" s="13" t="s">
        <v>164</v>
      </c>
      <c r="G230" s="13" t="s">
        <v>294</v>
      </c>
      <c r="H230" s="13" t="s">
        <v>77</v>
      </c>
      <c r="I230" s="13" t="s">
        <v>73</v>
      </c>
      <c r="J230" s="17" t="s">
        <v>73</v>
      </c>
      <c r="K230" s="13">
        <v>1</v>
      </c>
      <c r="L230" s="13">
        <v>1</v>
      </c>
      <c r="M230" s="13">
        <v>1</v>
      </c>
      <c r="N230" s="13">
        <v>1</v>
      </c>
      <c r="O230" s="13">
        <v>0</v>
      </c>
      <c r="P230" s="13">
        <v>0</v>
      </c>
      <c r="Q230" s="13">
        <v>0</v>
      </c>
      <c r="R2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0" s="13"/>
      <c r="T230" s="17" t="s">
        <v>1621</v>
      </c>
    </row>
    <row r="231" spans="2:20" ht="17">
      <c r="B231" s="17" t="e">
        <f>#REF!+1</f>
        <v>#REF!</v>
      </c>
      <c r="C231" s="13" t="s">
        <v>735</v>
      </c>
      <c r="D231" s="13" t="s">
        <v>736</v>
      </c>
      <c r="E231" s="13">
        <v>506665943</v>
      </c>
      <c r="F231" s="13" t="s">
        <v>164</v>
      </c>
      <c r="G231" s="13" t="s">
        <v>294</v>
      </c>
      <c r="H231" s="13" t="s">
        <v>37</v>
      </c>
      <c r="I231" s="13" t="s">
        <v>40</v>
      </c>
      <c r="J231" s="17" t="s">
        <v>37</v>
      </c>
      <c r="K231" s="13">
        <v>1</v>
      </c>
      <c r="L231" s="13">
        <v>1</v>
      </c>
      <c r="M231" s="13">
        <v>1</v>
      </c>
      <c r="N231" s="13">
        <v>1</v>
      </c>
      <c r="O231" s="13">
        <v>1</v>
      </c>
      <c r="P231" s="13">
        <v>1</v>
      </c>
      <c r="Q231" s="13">
        <v>1</v>
      </c>
      <c r="R2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1" s="13"/>
      <c r="T231" s="17" t="s">
        <v>1621</v>
      </c>
    </row>
    <row r="232" spans="2:20" ht="17">
      <c r="B232" s="17" t="e">
        <f>#REF!+1</f>
        <v>#REF!</v>
      </c>
      <c r="C232" s="13" t="s">
        <v>739</v>
      </c>
      <c r="D232" s="13" t="s">
        <v>740</v>
      </c>
      <c r="E232" s="13">
        <v>542289441</v>
      </c>
      <c r="F232" s="13" t="s">
        <v>164</v>
      </c>
      <c r="G232" s="13" t="s">
        <v>294</v>
      </c>
      <c r="H232" s="13" t="s">
        <v>77</v>
      </c>
      <c r="I232" s="13" t="s">
        <v>73</v>
      </c>
      <c r="J232" s="17" t="s">
        <v>73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0</v>
      </c>
      <c r="Q232" s="13">
        <v>0</v>
      </c>
      <c r="R2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2" s="13"/>
      <c r="T232" s="17" t="s">
        <v>1621</v>
      </c>
    </row>
    <row r="233" spans="2:20" ht="17">
      <c r="B233" s="17" t="e">
        <f t="shared" si="4"/>
        <v>#REF!</v>
      </c>
      <c r="C233" s="13" t="s">
        <v>741</v>
      </c>
      <c r="D233" s="13" t="s">
        <v>742</v>
      </c>
      <c r="E233" s="13">
        <v>544410105</v>
      </c>
      <c r="F233" s="13" t="s">
        <v>164</v>
      </c>
      <c r="G233" s="13" t="s">
        <v>294</v>
      </c>
      <c r="H233" s="13" t="s">
        <v>108</v>
      </c>
      <c r="I233" s="13" t="s">
        <v>48</v>
      </c>
      <c r="J233" s="17" t="s">
        <v>108</v>
      </c>
      <c r="K233" s="13">
        <v>1</v>
      </c>
      <c r="L233" s="13">
        <v>1</v>
      </c>
      <c r="M233" s="13">
        <v>1</v>
      </c>
      <c r="N233" s="13">
        <v>1</v>
      </c>
      <c r="O233" s="13">
        <v>0</v>
      </c>
      <c r="P233" s="13">
        <v>0</v>
      </c>
      <c r="Q233" s="13">
        <v>0</v>
      </c>
      <c r="R2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3" s="13"/>
      <c r="T233" s="17" t="s">
        <v>1621</v>
      </c>
    </row>
    <row r="234" spans="2:20" ht="17">
      <c r="B234" s="17" t="e">
        <f>#REF!+1</f>
        <v>#REF!</v>
      </c>
      <c r="C234" s="13" t="s">
        <v>1703</v>
      </c>
      <c r="D234" s="13" t="s">
        <v>745</v>
      </c>
      <c r="E234" s="13">
        <v>558706043</v>
      </c>
      <c r="F234" s="13" t="s">
        <v>164</v>
      </c>
      <c r="G234" s="13" t="s">
        <v>294</v>
      </c>
      <c r="H234" s="13" t="s">
        <v>24</v>
      </c>
      <c r="I234" s="13" t="s">
        <v>24</v>
      </c>
      <c r="J234" s="17" t="s">
        <v>24</v>
      </c>
      <c r="K234" s="13">
        <v>1</v>
      </c>
      <c r="L234" s="13">
        <v>1</v>
      </c>
      <c r="M234" s="13">
        <v>1</v>
      </c>
      <c r="N234" s="13">
        <v>1</v>
      </c>
      <c r="O234" s="13">
        <v>0</v>
      </c>
      <c r="P234" s="13">
        <v>0</v>
      </c>
      <c r="Q234" s="13">
        <v>0</v>
      </c>
      <c r="R2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4" s="13"/>
      <c r="T234" s="17" t="s">
        <v>1621</v>
      </c>
    </row>
    <row r="235" spans="2:20" ht="17">
      <c r="B235" s="17" t="e">
        <f t="shared" si="4"/>
        <v>#REF!</v>
      </c>
      <c r="C235" s="13" t="s">
        <v>746</v>
      </c>
      <c r="D235" s="13" t="s">
        <v>747</v>
      </c>
      <c r="E235" s="13">
        <v>564157026</v>
      </c>
      <c r="F235" s="13" t="s">
        <v>164</v>
      </c>
      <c r="G235" s="13" t="s">
        <v>294</v>
      </c>
      <c r="H235" s="13" t="s">
        <v>108</v>
      </c>
      <c r="I235" s="13" t="s">
        <v>108</v>
      </c>
      <c r="J235" s="17" t="s">
        <v>108</v>
      </c>
      <c r="K235" s="13">
        <v>1</v>
      </c>
      <c r="L235" s="13">
        <v>1</v>
      </c>
      <c r="M235" s="13">
        <v>1</v>
      </c>
      <c r="N235" s="13">
        <v>1</v>
      </c>
      <c r="O235" s="13">
        <v>0</v>
      </c>
      <c r="P235" s="13">
        <v>0</v>
      </c>
      <c r="Q235" s="13">
        <v>0</v>
      </c>
      <c r="R2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5" s="13"/>
      <c r="T235" s="17" t="s">
        <v>1621</v>
      </c>
    </row>
    <row r="236" spans="2:20" ht="17">
      <c r="B236" s="17" t="e">
        <f t="shared" si="4"/>
        <v>#REF!</v>
      </c>
      <c r="C236" s="13" t="s">
        <v>748</v>
      </c>
      <c r="D236" s="13" t="s">
        <v>749</v>
      </c>
      <c r="E236" s="13">
        <v>504668018</v>
      </c>
      <c r="F236" s="13" t="s">
        <v>164</v>
      </c>
      <c r="G236" s="13" t="s">
        <v>294</v>
      </c>
      <c r="H236" s="13" t="s">
        <v>108</v>
      </c>
      <c r="I236" s="13" t="s">
        <v>27</v>
      </c>
      <c r="J236" s="17" t="s">
        <v>27</v>
      </c>
      <c r="K236" s="13">
        <v>0</v>
      </c>
      <c r="L236" s="13">
        <v>0</v>
      </c>
      <c r="M236" s="13">
        <v>1</v>
      </c>
      <c r="N236" s="13">
        <v>1</v>
      </c>
      <c r="O236" s="13">
        <v>0</v>
      </c>
      <c r="P236" s="13">
        <v>0</v>
      </c>
      <c r="Q236" s="13">
        <v>0</v>
      </c>
      <c r="R2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6" s="13"/>
      <c r="T236" s="17" t="s">
        <v>1621</v>
      </c>
    </row>
    <row r="237" spans="2:20" ht="17">
      <c r="B237" s="17" t="e">
        <f t="shared" si="4"/>
        <v>#REF!</v>
      </c>
      <c r="C237" s="13" t="s">
        <v>750</v>
      </c>
      <c r="D237" s="13" t="s">
        <v>751</v>
      </c>
      <c r="E237" s="13">
        <v>563131420</v>
      </c>
      <c r="F237" s="13" t="s">
        <v>164</v>
      </c>
      <c r="G237" s="13" t="s">
        <v>294</v>
      </c>
      <c r="H237" s="13" t="s">
        <v>108</v>
      </c>
      <c r="I237" s="13" t="s">
        <v>27</v>
      </c>
      <c r="J237" s="17" t="s">
        <v>27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0</v>
      </c>
      <c r="Q237" s="13">
        <v>0</v>
      </c>
      <c r="R2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7" s="13"/>
      <c r="T237" s="17" t="s">
        <v>1621</v>
      </c>
    </row>
    <row r="238" spans="2:20" ht="17">
      <c r="B238" s="17" t="e">
        <f t="shared" si="4"/>
        <v>#REF!</v>
      </c>
      <c r="C238" s="13" t="s">
        <v>752</v>
      </c>
      <c r="D238" s="13" t="s">
        <v>753</v>
      </c>
      <c r="E238" s="13">
        <v>567101667</v>
      </c>
      <c r="F238" s="13" t="s">
        <v>164</v>
      </c>
      <c r="G238" s="13" t="s">
        <v>294</v>
      </c>
      <c r="H238" s="13" t="s">
        <v>108</v>
      </c>
      <c r="I238" s="13" t="s">
        <v>27</v>
      </c>
      <c r="J238" s="17" t="s">
        <v>27</v>
      </c>
      <c r="K238" s="13">
        <v>1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8" s="13"/>
      <c r="T238" s="17" t="s">
        <v>1621</v>
      </c>
    </row>
    <row r="239" spans="2:20" ht="17">
      <c r="B239" s="17" t="e">
        <f t="shared" si="4"/>
        <v>#REF!</v>
      </c>
      <c r="C239" s="13" t="s">
        <v>754</v>
      </c>
      <c r="D239" s="13" t="s">
        <v>749</v>
      </c>
      <c r="E239" s="13">
        <v>506779930</v>
      </c>
      <c r="F239" s="13" t="s">
        <v>164</v>
      </c>
      <c r="G239" s="13" t="s">
        <v>294</v>
      </c>
      <c r="H239" s="13" t="s">
        <v>108</v>
      </c>
      <c r="I239" s="13" t="s">
        <v>27</v>
      </c>
      <c r="J239" s="17" t="s">
        <v>27</v>
      </c>
      <c r="K239" s="13">
        <v>1</v>
      </c>
      <c r="L239" s="13">
        <v>0</v>
      </c>
      <c r="M239" s="13">
        <v>1</v>
      </c>
      <c r="N239" s="13">
        <v>0</v>
      </c>
      <c r="O239" s="13">
        <v>0</v>
      </c>
      <c r="P239" s="13">
        <v>0</v>
      </c>
      <c r="Q239" s="13">
        <v>0</v>
      </c>
      <c r="R2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9" s="13"/>
      <c r="T239" s="17" t="s">
        <v>1621</v>
      </c>
    </row>
    <row r="240" spans="2:20" ht="17">
      <c r="B240" s="17" t="e">
        <f t="shared" si="4"/>
        <v>#REF!</v>
      </c>
      <c r="C240" s="13" t="s">
        <v>755</v>
      </c>
      <c r="D240" s="13" t="s">
        <v>756</v>
      </c>
      <c r="E240" s="13">
        <v>503626256</v>
      </c>
      <c r="F240" s="13" t="s">
        <v>164</v>
      </c>
      <c r="G240" s="13" t="s">
        <v>294</v>
      </c>
      <c r="H240" s="13" t="s">
        <v>108</v>
      </c>
      <c r="I240" s="13" t="s">
        <v>27</v>
      </c>
      <c r="J240" s="17" t="s">
        <v>27</v>
      </c>
      <c r="K240" s="13">
        <v>1</v>
      </c>
      <c r="L240" s="13">
        <v>1</v>
      </c>
      <c r="M240" s="13">
        <v>1</v>
      </c>
      <c r="N240" s="13">
        <v>1</v>
      </c>
      <c r="O240" s="13">
        <v>1</v>
      </c>
      <c r="P240" s="13">
        <v>0</v>
      </c>
      <c r="Q240" s="13">
        <v>0</v>
      </c>
      <c r="R2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0" s="13"/>
      <c r="T240" s="17" t="s">
        <v>1621</v>
      </c>
    </row>
    <row r="241" spans="2:20" ht="17">
      <c r="B241" s="17" t="e">
        <f t="shared" si="4"/>
        <v>#REF!</v>
      </c>
      <c r="C241" s="13" t="s">
        <v>757</v>
      </c>
      <c r="D241" s="13" t="s">
        <v>758</v>
      </c>
      <c r="E241" s="13">
        <v>568996668</v>
      </c>
      <c r="F241" s="13" t="s">
        <v>164</v>
      </c>
      <c r="G241" s="13" t="s">
        <v>294</v>
      </c>
      <c r="H241" s="13" t="s">
        <v>108</v>
      </c>
      <c r="I241" s="13" t="s">
        <v>27</v>
      </c>
      <c r="J241" s="17" t="s">
        <v>27</v>
      </c>
      <c r="K241" s="13">
        <v>0</v>
      </c>
      <c r="L241" s="13">
        <v>0</v>
      </c>
      <c r="M241" s="13">
        <v>1</v>
      </c>
      <c r="N241" s="13">
        <v>0</v>
      </c>
      <c r="O241" s="13">
        <v>1</v>
      </c>
      <c r="P241" s="13">
        <v>0</v>
      </c>
      <c r="Q241" s="13">
        <v>0</v>
      </c>
      <c r="R2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1" s="13"/>
      <c r="T241" s="17" t="s">
        <v>1621</v>
      </c>
    </row>
    <row r="242" spans="2:20" ht="17">
      <c r="B242" s="17" t="e">
        <f>#REF!+1</f>
        <v>#REF!</v>
      </c>
      <c r="C242" s="13" t="s">
        <v>760</v>
      </c>
      <c r="D242" s="13" t="s">
        <v>761</v>
      </c>
      <c r="E242" s="13">
        <v>504546425</v>
      </c>
      <c r="F242" s="13" t="s">
        <v>164</v>
      </c>
      <c r="G242" s="13" t="s">
        <v>294</v>
      </c>
      <c r="H242" s="13" t="s">
        <v>108</v>
      </c>
      <c r="I242" s="13" t="s">
        <v>15</v>
      </c>
      <c r="J242" s="17" t="s">
        <v>15</v>
      </c>
      <c r="K242" s="13">
        <v>1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2" s="13" t="s">
        <v>1599</v>
      </c>
      <c r="T242" s="17" t="s">
        <v>1621</v>
      </c>
    </row>
    <row r="243" spans="2:20" ht="17">
      <c r="B243" s="17" t="e">
        <f t="shared" si="4"/>
        <v>#REF!</v>
      </c>
      <c r="C243" s="13" t="s">
        <v>762</v>
      </c>
      <c r="D243" s="13" t="s">
        <v>763</v>
      </c>
      <c r="E243" s="13">
        <v>566688090</v>
      </c>
      <c r="F243" s="13" t="s">
        <v>164</v>
      </c>
      <c r="G243" s="13" t="s">
        <v>294</v>
      </c>
      <c r="H243" s="13" t="s">
        <v>77</v>
      </c>
      <c r="I243" s="13" t="s">
        <v>98</v>
      </c>
      <c r="J243" s="17" t="s">
        <v>79</v>
      </c>
      <c r="K243" s="13">
        <v>1</v>
      </c>
      <c r="L243" s="13">
        <v>0</v>
      </c>
      <c r="M243" s="13">
        <v>1</v>
      </c>
      <c r="N243" s="13">
        <v>0</v>
      </c>
      <c r="O243" s="13">
        <v>0</v>
      </c>
      <c r="P243" s="13">
        <v>0</v>
      </c>
      <c r="Q243" s="13">
        <v>0</v>
      </c>
      <c r="R2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3" s="13" t="s">
        <v>1599</v>
      </c>
      <c r="T243" s="17" t="s">
        <v>1621</v>
      </c>
    </row>
    <row r="244" spans="2:20" ht="17">
      <c r="B244" s="17" t="e">
        <f>#REF!+1</f>
        <v>#REF!</v>
      </c>
      <c r="C244" s="13" t="s">
        <v>765</v>
      </c>
      <c r="D244" s="13" t="s">
        <v>766</v>
      </c>
      <c r="E244" s="13">
        <v>543722510</v>
      </c>
      <c r="F244" s="13" t="s">
        <v>164</v>
      </c>
      <c r="G244" s="13" t="s">
        <v>573</v>
      </c>
      <c r="H244" s="13" t="s">
        <v>35</v>
      </c>
      <c r="I244" s="13" t="s">
        <v>35</v>
      </c>
      <c r="J244" s="17" t="s">
        <v>35</v>
      </c>
      <c r="K244" s="13">
        <v>0</v>
      </c>
      <c r="L244" s="13">
        <v>0</v>
      </c>
      <c r="M244" s="13">
        <v>1</v>
      </c>
      <c r="N244" s="13">
        <v>0</v>
      </c>
      <c r="O244" s="13">
        <v>2</v>
      </c>
      <c r="P244" s="13">
        <v>0</v>
      </c>
      <c r="Q244" s="13">
        <v>0</v>
      </c>
      <c r="R2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4" s="13"/>
      <c r="T244" s="17"/>
    </row>
    <row r="245" spans="2:20" ht="17">
      <c r="B245" s="17" t="e">
        <f t="shared" si="4"/>
        <v>#REF!</v>
      </c>
      <c r="C245" s="13" t="s">
        <v>767</v>
      </c>
      <c r="D245" s="13" t="s">
        <v>768</v>
      </c>
      <c r="E245" s="13">
        <v>544221446</v>
      </c>
      <c r="F245" s="13" t="s">
        <v>225</v>
      </c>
      <c r="G245" s="13" t="s">
        <v>573</v>
      </c>
      <c r="H245" s="13" t="s">
        <v>77</v>
      </c>
      <c r="I245" s="13" t="s">
        <v>91</v>
      </c>
      <c r="J245" s="17" t="s">
        <v>77</v>
      </c>
      <c r="K245" s="13">
        <v>0</v>
      </c>
      <c r="L245" s="13">
        <v>1</v>
      </c>
      <c r="M245" s="13">
        <v>2</v>
      </c>
      <c r="N245" s="13">
        <v>2</v>
      </c>
      <c r="O245" s="13">
        <v>2</v>
      </c>
      <c r="P245" s="13">
        <v>1</v>
      </c>
      <c r="Q245" s="13">
        <v>1</v>
      </c>
      <c r="R2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5" s="13"/>
      <c r="T245" s="17"/>
    </row>
    <row r="246" spans="2:20" ht="17">
      <c r="B246" s="17" t="e">
        <f t="shared" si="4"/>
        <v>#REF!</v>
      </c>
      <c r="C246" s="19" t="s">
        <v>769</v>
      </c>
      <c r="D246" s="19" t="s">
        <v>770</v>
      </c>
      <c r="E246" s="19">
        <v>599060959</v>
      </c>
      <c r="F246" s="19" t="s">
        <v>164</v>
      </c>
      <c r="G246" s="19" t="s">
        <v>573</v>
      </c>
      <c r="H246" s="19" t="s">
        <v>77</v>
      </c>
      <c r="I246" s="19" t="s">
        <v>91</v>
      </c>
      <c r="J246" s="20" t="s">
        <v>77</v>
      </c>
      <c r="K246" s="19">
        <v>1</v>
      </c>
      <c r="L246" s="19">
        <v>0</v>
      </c>
      <c r="M246" s="19">
        <v>0</v>
      </c>
      <c r="N246" s="19">
        <v>1</v>
      </c>
      <c r="O246" s="19">
        <v>1</v>
      </c>
      <c r="P246" s="19">
        <v>0</v>
      </c>
      <c r="Q246" s="19">
        <v>0</v>
      </c>
      <c r="R2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6" s="13"/>
      <c r="T246" s="17"/>
    </row>
    <row r="247" spans="2:20" ht="17">
      <c r="B247" s="17" t="e">
        <f t="shared" si="4"/>
        <v>#REF!</v>
      </c>
      <c r="C247" s="13" t="s">
        <v>771</v>
      </c>
      <c r="D247" s="13" t="s">
        <v>772</v>
      </c>
      <c r="E247" s="13">
        <v>5663886663</v>
      </c>
      <c r="F247" s="13" t="s">
        <v>773</v>
      </c>
      <c r="G247" s="13" t="s">
        <v>573</v>
      </c>
      <c r="H247" s="13" t="s">
        <v>35</v>
      </c>
      <c r="I247" s="13" t="s">
        <v>35</v>
      </c>
      <c r="J247" s="17" t="s">
        <v>35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0</v>
      </c>
      <c r="Q247" s="13">
        <v>0</v>
      </c>
      <c r="R2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7" s="13"/>
      <c r="T247" s="17"/>
    </row>
    <row r="248" spans="2:20" ht="17">
      <c r="B248" s="17" t="e">
        <f t="shared" si="4"/>
        <v>#REF!</v>
      </c>
      <c r="C248" s="13" t="s">
        <v>774</v>
      </c>
      <c r="D248" s="13" t="s">
        <v>775</v>
      </c>
      <c r="E248" s="13">
        <v>555777170</v>
      </c>
      <c r="F248" s="13" t="s">
        <v>776</v>
      </c>
      <c r="G248" s="13" t="s">
        <v>573</v>
      </c>
      <c r="H248" s="13" t="s">
        <v>74</v>
      </c>
      <c r="I248" s="13" t="s">
        <v>74</v>
      </c>
      <c r="J248" s="17" t="s">
        <v>74</v>
      </c>
      <c r="K248" s="13">
        <v>1</v>
      </c>
      <c r="L248" s="13">
        <v>0</v>
      </c>
      <c r="M248" s="13">
        <v>1</v>
      </c>
      <c r="N248" s="13">
        <v>0</v>
      </c>
      <c r="O248" s="13">
        <v>0</v>
      </c>
      <c r="P248" s="13">
        <v>0</v>
      </c>
      <c r="Q248" s="13">
        <v>0</v>
      </c>
      <c r="R2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8" s="13"/>
      <c r="T248" s="17"/>
    </row>
    <row r="249" spans="2:20" ht="17">
      <c r="B249" s="17" t="e">
        <f t="shared" si="4"/>
        <v>#REF!</v>
      </c>
      <c r="C249" s="13" t="s">
        <v>777</v>
      </c>
      <c r="D249" s="13" t="s">
        <v>778</v>
      </c>
      <c r="E249" s="13">
        <v>577007066</v>
      </c>
      <c r="F249" s="13" t="s">
        <v>773</v>
      </c>
      <c r="G249" s="13" t="s">
        <v>573</v>
      </c>
      <c r="H249" s="13" t="s">
        <v>35</v>
      </c>
      <c r="I249" s="13" t="s">
        <v>35</v>
      </c>
      <c r="J249" s="17" t="s">
        <v>35</v>
      </c>
      <c r="K249" s="13">
        <v>1</v>
      </c>
      <c r="L249" s="13">
        <v>1</v>
      </c>
      <c r="M249" s="13">
        <v>1</v>
      </c>
      <c r="N249" s="13">
        <v>1</v>
      </c>
      <c r="O249" s="13">
        <v>1</v>
      </c>
      <c r="P249" s="13">
        <v>1</v>
      </c>
      <c r="Q249" s="13">
        <v>1</v>
      </c>
      <c r="R2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9" s="13"/>
      <c r="T249" s="17"/>
    </row>
    <row r="250" spans="2:20" ht="17">
      <c r="B250" s="17" t="e">
        <f t="shared" si="4"/>
        <v>#REF!</v>
      </c>
      <c r="C250" s="13" t="s">
        <v>779</v>
      </c>
      <c r="D250" s="13" t="s">
        <v>780</v>
      </c>
      <c r="E250" s="13">
        <v>546049630</v>
      </c>
      <c r="F250" s="13" t="s">
        <v>781</v>
      </c>
      <c r="G250" s="13" t="s">
        <v>573</v>
      </c>
      <c r="H250" s="13" t="s">
        <v>21</v>
      </c>
      <c r="I250" s="13" t="s">
        <v>21</v>
      </c>
      <c r="J250" s="17" t="s">
        <v>21</v>
      </c>
      <c r="K250" s="13">
        <v>0</v>
      </c>
      <c r="L250" s="13">
        <v>1</v>
      </c>
      <c r="M250" s="13">
        <v>1</v>
      </c>
      <c r="N250" s="13">
        <v>1</v>
      </c>
      <c r="O250" s="13">
        <v>0</v>
      </c>
      <c r="P250" s="13">
        <v>0</v>
      </c>
      <c r="Q250" s="13">
        <v>0</v>
      </c>
      <c r="R2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0" s="13"/>
      <c r="T250" s="17"/>
    </row>
    <row r="251" spans="2:20" ht="17">
      <c r="B251" s="17" t="e">
        <f t="shared" si="4"/>
        <v>#REF!</v>
      </c>
      <c r="C251" s="13" t="s">
        <v>782</v>
      </c>
      <c r="D251" s="13" t="s">
        <v>783</v>
      </c>
      <c r="E251" s="13">
        <v>568068933</v>
      </c>
      <c r="F251" s="13" t="s">
        <v>164</v>
      </c>
      <c r="G251" s="13" t="s">
        <v>573</v>
      </c>
      <c r="H251" s="13" t="s">
        <v>108</v>
      </c>
      <c r="I251" s="13" t="s">
        <v>27</v>
      </c>
      <c r="J251" s="17" t="s">
        <v>27</v>
      </c>
      <c r="K251" s="13">
        <v>1</v>
      </c>
      <c r="L251" s="13">
        <v>0</v>
      </c>
      <c r="M251" s="13">
        <v>1</v>
      </c>
      <c r="N251" s="13">
        <v>1</v>
      </c>
      <c r="O251" s="13">
        <v>1</v>
      </c>
      <c r="P251" s="13">
        <v>0</v>
      </c>
      <c r="Q251" s="13">
        <v>0</v>
      </c>
      <c r="R2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1" s="13"/>
      <c r="T251" s="17"/>
    </row>
    <row r="252" spans="2:20" ht="17">
      <c r="B252" s="17" t="e">
        <f t="shared" si="4"/>
        <v>#REF!</v>
      </c>
      <c r="C252" s="13" t="s">
        <v>784</v>
      </c>
      <c r="D252" s="13" t="s">
        <v>785</v>
      </c>
      <c r="E252" s="13">
        <v>538639998</v>
      </c>
      <c r="F252" s="13" t="s">
        <v>784</v>
      </c>
      <c r="G252" s="13" t="s">
        <v>573</v>
      </c>
      <c r="H252" s="13" t="s">
        <v>75</v>
      </c>
      <c r="I252" s="13" t="s">
        <v>85</v>
      </c>
      <c r="J252" s="17" t="s">
        <v>75</v>
      </c>
      <c r="K252" s="13">
        <v>0</v>
      </c>
      <c r="L252" s="13">
        <v>0</v>
      </c>
      <c r="M252" s="13">
        <v>0</v>
      </c>
      <c r="N252" s="13">
        <v>0</v>
      </c>
      <c r="O252" s="13">
        <v>1</v>
      </c>
      <c r="P252" s="13">
        <v>0</v>
      </c>
      <c r="Q252" s="13">
        <v>0</v>
      </c>
      <c r="R2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2" s="13"/>
      <c r="T252" s="17"/>
    </row>
    <row r="253" spans="2:20" ht="17">
      <c r="B253" s="17" t="e">
        <f t="shared" si="4"/>
        <v>#REF!</v>
      </c>
      <c r="C253" s="13" t="s">
        <v>786</v>
      </c>
      <c r="D253" s="13" t="s">
        <v>787</v>
      </c>
      <c r="E253" s="13">
        <v>555650943</v>
      </c>
      <c r="F253" s="13" t="s">
        <v>164</v>
      </c>
      <c r="G253" s="13" t="s">
        <v>573</v>
      </c>
      <c r="H253" s="13" t="s">
        <v>74</v>
      </c>
      <c r="I253" s="13" t="s">
        <v>74</v>
      </c>
      <c r="J253" s="17" t="s">
        <v>74</v>
      </c>
      <c r="K253" s="13">
        <v>1</v>
      </c>
      <c r="L253" s="13">
        <v>0</v>
      </c>
      <c r="M253" s="13">
        <v>1</v>
      </c>
      <c r="N253" s="13">
        <v>0</v>
      </c>
      <c r="O253" s="13">
        <v>1</v>
      </c>
      <c r="P253" s="13">
        <v>1</v>
      </c>
      <c r="Q253" s="13">
        <v>0</v>
      </c>
      <c r="R2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3" s="13"/>
      <c r="T253" s="17"/>
    </row>
    <row r="254" spans="2:20" ht="17">
      <c r="B254" s="17" t="e">
        <f t="shared" ref="B254:B307" si="5">B253+1</f>
        <v>#REF!</v>
      </c>
      <c r="C254" s="13" t="s">
        <v>665</v>
      </c>
      <c r="D254" s="13" t="s">
        <v>788</v>
      </c>
      <c r="E254" s="13">
        <v>594112494</v>
      </c>
      <c r="F254" s="13" t="s">
        <v>789</v>
      </c>
      <c r="G254" s="13" t="s">
        <v>573</v>
      </c>
      <c r="H254" s="13" t="s">
        <v>21</v>
      </c>
      <c r="I254" s="13" t="s">
        <v>21</v>
      </c>
      <c r="J254" s="17" t="s">
        <v>21</v>
      </c>
      <c r="K254" s="13">
        <v>1</v>
      </c>
      <c r="L254" s="13">
        <v>0</v>
      </c>
      <c r="M254" s="13">
        <v>1</v>
      </c>
      <c r="N254" s="13">
        <v>1</v>
      </c>
      <c r="O254" s="13">
        <v>1</v>
      </c>
      <c r="P254" s="13">
        <v>0</v>
      </c>
      <c r="Q254" s="13">
        <v>0</v>
      </c>
      <c r="R2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4" s="13"/>
      <c r="T254" s="17"/>
    </row>
    <row r="255" spans="2:20" ht="17">
      <c r="B255" s="17" t="e">
        <f t="shared" si="5"/>
        <v>#REF!</v>
      </c>
      <c r="C255" s="13" t="s">
        <v>790</v>
      </c>
      <c r="D255" s="13" t="s">
        <v>791</v>
      </c>
      <c r="E255" s="13">
        <v>535221109</v>
      </c>
      <c r="F255" s="13" t="s">
        <v>790</v>
      </c>
      <c r="G255" s="13" t="s">
        <v>143</v>
      </c>
      <c r="H255" s="13" t="s">
        <v>68</v>
      </c>
      <c r="I255" s="13" t="s">
        <v>61</v>
      </c>
      <c r="J255" s="17" t="s">
        <v>68</v>
      </c>
      <c r="K255" s="13">
        <v>0</v>
      </c>
      <c r="L255" s="13">
        <v>0</v>
      </c>
      <c r="M255" s="13">
        <v>0</v>
      </c>
      <c r="N255" s="13">
        <v>0</v>
      </c>
      <c r="O255" s="13">
        <v>1</v>
      </c>
      <c r="P255" s="13">
        <v>1</v>
      </c>
      <c r="Q255" s="13">
        <v>1</v>
      </c>
      <c r="R2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5" s="13"/>
      <c r="T255" s="17"/>
    </row>
    <row r="256" spans="2:20" ht="17">
      <c r="B256" s="17" t="e">
        <f t="shared" si="5"/>
        <v>#REF!</v>
      </c>
      <c r="C256" s="13" t="s">
        <v>792</v>
      </c>
      <c r="D256" s="13" t="s">
        <v>793</v>
      </c>
      <c r="E256" s="13">
        <v>53116128</v>
      </c>
      <c r="F256" s="13" t="s">
        <v>792</v>
      </c>
      <c r="G256" s="13" t="s">
        <v>573</v>
      </c>
      <c r="H256" s="13" t="s">
        <v>68</v>
      </c>
      <c r="I256" s="13" t="s">
        <v>61</v>
      </c>
      <c r="J256" s="17" t="s">
        <v>68</v>
      </c>
      <c r="K256" s="13">
        <v>0</v>
      </c>
      <c r="L256" s="13">
        <v>0</v>
      </c>
      <c r="M256" s="13">
        <v>0</v>
      </c>
      <c r="N256" s="13">
        <v>0</v>
      </c>
      <c r="O256" s="13">
        <v>3</v>
      </c>
      <c r="P256" s="13">
        <v>3</v>
      </c>
      <c r="Q256" s="13">
        <v>4</v>
      </c>
      <c r="R2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6" s="13"/>
      <c r="T256" s="17"/>
    </row>
    <row r="257" spans="2:20" ht="17">
      <c r="B257" s="17" t="e">
        <f t="shared" si="5"/>
        <v>#REF!</v>
      </c>
      <c r="C257" s="13" t="s">
        <v>794</v>
      </c>
      <c r="D257" s="13" t="s">
        <v>795</v>
      </c>
      <c r="E257" s="13">
        <v>597800909</v>
      </c>
      <c r="F257" s="13" t="s">
        <v>796</v>
      </c>
      <c r="G257" s="13" t="s">
        <v>573</v>
      </c>
      <c r="H257" s="13" t="s">
        <v>108</v>
      </c>
      <c r="I257" s="13" t="s">
        <v>15</v>
      </c>
      <c r="J257" s="17" t="s">
        <v>15</v>
      </c>
      <c r="K257" s="13">
        <v>1</v>
      </c>
      <c r="L257" s="13">
        <v>1</v>
      </c>
      <c r="M257" s="13">
        <v>1</v>
      </c>
      <c r="N257" s="13">
        <v>1</v>
      </c>
      <c r="O257" s="13">
        <v>1</v>
      </c>
      <c r="P257" s="13">
        <v>1</v>
      </c>
      <c r="Q257" s="13">
        <v>1</v>
      </c>
      <c r="R2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7" s="13"/>
      <c r="T257" s="17"/>
    </row>
    <row r="258" spans="2:20" ht="17">
      <c r="B258" s="17" t="e">
        <f t="shared" si="5"/>
        <v>#REF!</v>
      </c>
      <c r="C258" s="13" t="s">
        <v>797</v>
      </c>
      <c r="D258" s="13" t="s">
        <v>798</v>
      </c>
      <c r="E258" s="13">
        <v>561100625</v>
      </c>
      <c r="F258" s="13" t="s">
        <v>27</v>
      </c>
      <c r="G258" s="13" t="s">
        <v>143</v>
      </c>
      <c r="H258" s="13" t="s">
        <v>108</v>
      </c>
      <c r="I258" s="13" t="s">
        <v>27</v>
      </c>
      <c r="J258" s="17" t="s">
        <v>27</v>
      </c>
      <c r="K258" s="13">
        <v>1</v>
      </c>
      <c r="L258" s="13">
        <v>1</v>
      </c>
      <c r="M258" s="13">
        <v>1</v>
      </c>
      <c r="N258" s="13">
        <v>1</v>
      </c>
      <c r="O258" s="13">
        <v>0</v>
      </c>
      <c r="P258" s="13">
        <v>0</v>
      </c>
      <c r="Q258" s="13">
        <v>0</v>
      </c>
      <c r="R2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8" s="13"/>
      <c r="T258" s="17"/>
    </row>
    <row r="259" spans="2:20" ht="17">
      <c r="B259" s="17" t="e">
        <f>#REF!+1</f>
        <v>#REF!</v>
      </c>
      <c r="C259" s="13" t="s">
        <v>800</v>
      </c>
      <c r="D259" s="13" t="s">
        <v>801</v>
      </c>
      <c r="E259" s="13">
        <v>565508854</v>
      </c>
      <c r="F259" s="13" t="s">
        <v>164</v>
      </c>
      <c r="G259" s="13" t="s">
        <v>294</v>
      </c>
      <c r="H259" s="13" t="s">
        <v>108</v>
      </c>
      <c r="I259" s="13" t="s">
        <v>108</v>
      </c>
      <c r="J259" s="17" t="s">
        <v>108</v>
      </c>
      <c r="K259" s="13">
        <v>1</v>
      </c>
      <c r="L259" s="13">
        <v>1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9" s="13"/>
      <c r="T259" s="17" t="s">
        <v>1621</v>
      </c>
    </row>
    <row r="260" spans="2:20" ht="17">
      <c r="B260" s="17" t="e">
        <f t="shared" si="5"/>
        <v>#REF!</v>
      </c>
      <c r="C260" s="13" t="s">
        <v>802</v>
      </c>
      <c r="D260" s="13" t="s">
        <v>803</v>
      </c>
      <c r="E260" s="13">
        <v>566596503</v>
      </c>
      <c r="F260" s="13" t="s">
        <v>164</v>
      </c>
      <c r="G260" s="13" t="s">
        <v>294</v>
      </c>
      <c r="H260" s="13" t="s">
        <v>77</v>
      </c>
      <c r="I260" s="13" t="s">
        <v>73</v>
      </c>
      <c r="J260" s="17" t="s">
        <v>73</v>
      </c>
      <c r="K260" s="13">
        <v>0</v>
      </c>
      <c r="L260" s="13">
        <v>1</v>
      </c>
      <c r="M260" s="13">
        <v>0</v>
      </c>
      <c r="N260" s="13">
        <v>1</v>
      </c>
      <c r="O260" s="13">
        <v>0</v>
      </c>
      <c r="P260" s="13">
        <v>0</v>
      </c>
      <c r="Q260" s="13">
        <v>0</v>
      </c>
      <c r="R2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0" s="13"/>
      <c r="T260" s="17" t="s">
        <v>1621</v>
      </c>
    </row>
    <row r="261" spans="2:20" ht="17">
      <c r="B261" s="17" t="e">
        <f t="shared" si="5"/>
        <v>#REF!</v>
      </c>
      <c r="C261" s="13" t="s">
        <v>804</v>
      </c>
      <c r="D261" s="13" t="s">
        <v>805</v>
      </c>
      <c r="E261" s="13">
        <v>555606783</v>
      </c>
      <c r="F261" s="13" t="s">
        <v>164</v>
      </c>
      <c r="G261" s="13" t="s">
        <v>294</v>
      </c>
      <c r="H261" s="13" t="s">
        <v>108</v>
      </c>
      <c r="I261" s="13" t="s">
        <v>48</v>
      </c>
      <c r="J261" s="17" t="s">
        <v>108</v>
      </c>
      <c r="K261" s="13">
        <v>0</v>
      </c>
      <c r="L261" s="13">
        <v>1</v>
      </c>
      <c r="M261" s="13">
        <v>0</v>
      </c>
      <c r="N261" s="13">
        <v>1</v>
      </c>
      <c r="O261" s="13">
        <v>0</v>
      </c>
      <c r="P261" s="13">
        <v>0</v>
      </c>
      <c r="Q261" s="13">
        <v>0</v>
      </c>
      <c r="R2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1" s="13"/>
      <c r="T261" s="17" t="s">
        <v>1621</v>
      </c>
    </row>
    <row r="262" spans="2:20" ht="17">
      <c r="B262" s="17" t="e">
        <f t="shared" si="5"/>
        <v>#REF!</v>
      </c>
      <c r="C262" s="13" t="s">
        <v>806</v>
      </c>
      <c r="D262" s="13" t="s">
        <v>807</v>
      </c>
      <c r="E262" s="13">
        <v>556624077</v>
      </c>
      <c r="F262" s="13" t="s">
        <v>164</v>
      </c>
      <c r="G262" s="13" t="s">
        <v>294</v>
      </c>
      <c r="H262" s="13" t="s">
        <v>77</v>
      </c>
      <c r="I262" s="13" t="s">
        <v>73</v>
      </c>
      <c r="J262" s="17" t="s">
        <v>73</v>
      </c>
      <c r="K262" s="13">
        <v>1</v>
      </c>
      <c r="L262" s="13">
        <v>1</v>
      </c>
      <c r="M262" s="13">
        <v>1</v>
      </c>
      <c r="N262" s="13">
        <v>1</v>
      </c>
      <c r="O262" s="13">
        <v>1</v>
      </c>
      <c r="P262" s="13">
        <v>1</v>
      </c>
      <c r="Q262" s="13">
        <v>1</v>
      </c>
      <c r="R2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2" s="13"/>
      <c r="T262" s="17" t="s">
        <v>1621</v>
      </c>
    </row>
    <row r="263" spans="2:20" ht="17">
      <c r="B263" s="17" t="e">
        <f>#REF!+1</f>
        <v>#REF!</v>
      </c>
      <c r="C263" s="13" t="s">
        <v>808</v>
      </c>
      <c r="D263" s="13" t="s">
        <v>809</v>
      </c>
      <c r="E263" s="13">
        <v>503953922</v>
      </c>
      <c r="F263" s="13" t="s">
        <v>164</v>
      </c>
      <c r="G263" s="13" t="s">
        <v>294</v>
      </c>
      <c r="H263" s="13" t="s">
        <v>108</v>
      </c>
      <c r="I263" s="13" t="s">
        <v>48</v>
      </c>
      <c r="J263" s="17" t="s">
        <v>108</v>
      </c>
      <c r="K263" s="13">
        <v>1</v>
      </c>
      <c r="L263" s="13">
        <v>1</v>
      </c>
      <c r="M263" s="13">
        <v>1</v>
      </c>
      <c r="N263" s="13">
        <v>1</v>
      </c>
      <c r="O263" s="13">
        <v>0</v>
      </c>
      <c r="P263" s="13">
        <v>0</v>
      </c>
      <c r="Q263" s="13">
        <v>0</v>
      </c>
      <c r="R2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3" s="13" t="s">
        <v>1599</v>
      </c>
      <c r="T263" s="17" t="s">
        <v>1621</v>
      </c>
    </row>
    <row r="264" spans="2:20" ht="17">
      <c r="B264" s="17" t="e">
        <f t="shared" si="5"/>
        <v>#REF!</v>
      </c>
      <c r="C264" s="13" t="s">
        <v>810</v>
      </c>
      <c r="D264" s="13" t="s">
        <v>811</v>
      </c>
      <c r="E264" s="13">
        <v>504784874</v>
      </c>
      <c r="F264" s="13" t="s">
        <v>164</v>
      </c>
      <c r="G264" s="13" t="s">
        <v>294</v>
      </c>
      <c r="H264" s="13" t="s">
        <v>81</v>
      </c>
      <c r="I264" s="13" t="s">
        <v>72</v>
      </c>
      <c r="J264" s="17" t="s">
        <v>81</v>
      </c>
      <c r="K264" s="13">
        <v>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4" s="13" t="s">
        <v>1599</v>
      </c>
      <c r="T264" s="17" t="s">
        <v>1621</v>
      </c>
    </row>
    <row r="265" spans="2:20" ht="17">
      <c r="B265" s="17" t="e">
        <f t="shared" si="5"/>
        <v>#REF!</v>
      </c>
      <c r="C265" s="13" t="s">
        <v>812</v>
      </c>
      <c r="D265" s="13" t="s">
        <v>813</v>
      </c>
      <c r="E265" s="13">
        <v>538036567</v>
      </c>
      <c r="F265" s="13" t="s">
        <v>164</v>
      </c>
      <c r="G265" s="13" t="s">
        <v>294</v>
      </c>
      <c r="H265" s="13" t="s">
        <v>74</v>
      </c>
      <c r="I265" s="13" t="s">
        <v>74</v>
      </c>
      <c r="J265" s="17" t="s">
        <v>74</v>
      </c>
      <c r="K265" s="13">
        <v>1</v>
      </c>
      <c r="L265" s="13">
        <v>1</v>
      </c>
      <c r="M265" s="13">
        <v>1</v>
      </c>
      <c r="N265" s="13">
        <v>0</v>
      </c>
      <c r="O265" s="13">
        <v>1</v>
      </c>
      <c r="P265" s="13">
        <v>1</v>
      </c>
      <c r="Q265" s="13">
        <v>0</v>
      </c>
      <c r="R2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5" s="13"/>
      <c r="T265" s="17" t="s">
        <v>1621</v>
      </c>
    </row>
    <row r="266" spans="2:20" ht="17">
      <c r="B266" s="17" t="e">
        <f t="shared" si="5"/>
        <v>#REF!</v>
      </c>
      <c r="C266" s="13" t="s">
        <v>814</v>
      </c>
      <c r="D266" s="13" t="s">
        <v>815</v>
      </c>
      <c r="E266" s="13">
        <v>536013379</v>
      </c>
      <c r="F266" s="13" t="s">
        <v>164</v>
      </c>
      <c r="G266" s="13" t="s">
        <v>294</v>
      </c>
      <c r="H266" s="13" t="s">
        <v>108</v>
      </c>
      <c r="I266" s="13" t="s">
        <v>27</v>
      </c>
      <c r="J266" s="17" t="s">
        <v>27</v>
      </c>
      <c r="K266" s="13">
        <v>1</v>
      </c>
      <c r="L266" s="13">
        <v>0</v>
      </c>
      <c r="M266" s="13">
        <v>1</v>
      </c>
      <c r="N266" s="13">
        <v>1</v>
      </c>
      <c r="O266" s="13">
        <v>1</v>
      </c>
      <c r="P266" s="13">
        <v>0</v>
      </c>
      <c r="Q266" s="13">
        <v>0</v>
      </c>
      <c r="R2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6" s="13"/>
      <c r="T266" s="17" t="s">
        <v>1621</v>
      </c>
    </row>
    <row r="267" spans="2:20" ht="17">
      <c r="B267" s="17" t="e">
        <f t="shared" si="5"/>
        <v>#REF!</v>
      </c>
      <c r="C267" s="13" t="s">
        <v>816</v>
      </c>
      <c r="D267" s="13" t="s">
        <v>817</v>
      </c>
      <c r="E267" s="13">
        <v>567054833</v>
      </c>
      <c r="F267" s="13" t="s">
        <v>164</v>
      </c>
      <c r="G267" s="13" t="s">
        <v>294</v>
      </c>
      <c r="H267" s="13" t="s">
        <v>108</v>
      </c>
      <c r="I267" s="13" t="s">
        <v>27</v>
      </c>
      <c r="J267" s="17" t="s">
        <v>27</v>
      </c>
      <c r="K267" s="13">
        <v>1</v>
      </c>
      <c r="L267" s="13">
        <v>1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7" s="13"/>
      <c r="T267" s="17" t="s">
        <v>1621</v>
      </c>
    </row>
    <row r="268" spans="2:20" ht="17">
      <c r="B268" s="17" t="e">
        <f t="shared" si="5"/>
        <v>#REF!</v>
      </c>
      <c r="C268" s="13" t="s">
        <v>1279</v>
      </c>
      <c r="D268" s="13" t="s">
        <v>818</v>
      </c>
      <c r="E268" s="13">
        <v>554428181</v>
      </c>
      <c r="F268" s="13" t="s">
        <v>1282</v>
      </c>
      <c r="G268" s="13" t="s">
        <v>573</v>
      </c>
      <c r="H268" s="13" t="s">
        <v>35</v>
      </c>
      <c r="I268" s="13" t="s">
        <v>76</v>
      </c>
      <c r="J268" s="17" t="s">
        <v>76</v>
      </c>
      <c r="K268" s="13">
        <v>1</v>
      </c>
      <c r="L268" s="13">
        <v>1</v>
      </c>
      <c r="M268" s="13">
        <v>1</v>
      </c>
      <c r="N268" s="13">
        <v>1</v>
      </c>
      <c r="O268" s="13">
        <v>0</v>
      </c>
      <c r="P268" s="13">
        <v>0</v>
      </c>
      <c r="Q268" s="13">
        <v>0</v>
      </c>
      <c r="R2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8" s="13"/>
      <c r="T268" s="17" t="s">
        <v>1621</v>
      </c>
    </row>
    <row r="269" spans="2:20" ht="17">
      <c r="B269" s="17" t="e">
        <f t="shared" si="5"/>
        <v>#REF!</v>
      </c>
      <c r="C269" s="13" t="s">
        <v>819</v>
      </c>
      <c r="D269" s="13" t="s">
        <v>820</v>
      </c>
      <c r="E269" s="13">
        <v>565280804</v>
      </c>
      <c r="F269" s="13" t="s">
        <v>164</v>
      </c>
      <c r="G269" s="13" t="s">
        <v>294</v>
      </c>
      <c r="H269" s="13" t="s">
        <v>81</v>
      </c>
      <c r="I269" s="13" t="s">
        <v>72</v>
      </c>
      <c r="J269" s="17" t="s">
        <v>81</v>
      </c>
      <c r="K269" s="13">
        <v>1</v>
      </c>
      <c r="L269" s="13">
        <v>1</v>
      </c>
      <c r="M269" s="13">
        <v>1</v>
      </c>
      <c r="N269" s="13">
        <v>0</v>
      </c>
      <c r="O269" s="13">
        <v>0</v>
      </c>
      <c r="P269" s="13">
        <v>0</v>
      </c>
      <c r="Q269" s="13">
        <v>0</v>
      </c>
      <c r="R2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9" s="13"/>
      <c r="T269" s="17" t="s">
        <v>1621</v>
      </c>
    </row>
    <row r="270" spans="2:20" ht="17">
      <c r="B270" s="17" t="e">
        <f t="shared" si="5"/>
        <v>#REF!</v>
      </c>
      <c r="C270" s="13" t="s">
        <v>821</v>
      </c>
      <c r="D270" s="13" t="s">
        <v>822</v>
      </c>
      <c r="E270" s="13">
        <v>556569288</v>
      </c>
      <c r="F270" s="13" t="s">
        <v>823</v>
      </c>
      <c r="G270" s="13" t="s">
        <v>573</v>
      </c>
      <c r="H270" s="13" t="s">
        <v>77</v>
      </c>
      <c r="I270" s="13" t="s">
        <v>73</v>
      </c>
      <c r="J270" s="17" t="s">
        <v>73</v>
      </c>
      <c r="K270" s="13">
        <v>0</v>
      </c>
      <c r="L270" s="13">
        <v>0</v>
      </c>
      <c r="M270" s="13">
        <v>0</v>
      </c>
      <c r="N270" s="13">
        <v>1</v>
      </c>
      <c r="O270" s="13">
        <v>1</v>
      </c>
      <c r="P270" s="13">
        <v>1</v>
      </c>
      <c r="Q270" s="13">
        <v>1</v>
      </c>
      <c r="R2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0" s="13"/>
      <c r="T270" s="17"/>
    </row>
    <row r="271" spans="2:20" ht="17">
      <c r="B271" s="17" t="e">
        <f t="shared" si="5"/>
        <v>#REF!</v>
      </c>
      <c r="C271" s="13" t="s">
        <v>824</v>
      </c>
      <c r="D271" s="13" t="s">
        <v>825</v>
      </c>
      <c r="E271" s="13">
        <v>599535557</v>
      </c>
      <c r="F271" s="13" t="s">
        <v>164</v>
      </c>
      <c r="G271" s="13" t="s">
        <v>143</v>
      </c>
      <c r="H271" s="13" t="s">
        <v>77</v>
      </c>
      <c r="I271" s="13" t="s">
        <v>105</v>
      </c>
      <c r="J271" s="17" t="s">
        <v>105</v>
      </c>
      <c r="K271" s="13">
        <v>1</v>
      </c>
      <c r="L271" s="13">
        <v>1</v>
      </c>
      <c r="M271" s="13">
        <v>1</v>
      </c>
      <c r="N271" s="13">
        <v>1</v>
      </c>
      <c r="O271" s="13">
        <v>1</v>
      </c>
      <c r="P271" s="13">
        <v>1</v>
      </c>
      <c r="Q271" s="13">
        <v>1</v>
      </c>
      <c r="R2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1" s="13"/>
      <c r="T271" s="17"/>
    </row>
    <row r="272" spans="2:20" ht="17">
      <c r="B272" s="17" t="e">
        <f t="shared" si="5"/>
        <v>#REF!</v>
      </c>
      <c r="C272" s="13" t="s">
        <v>826</v>
      </c>
      <c r="D272" s="13" t="s">
        <v>827</v>
      </c>
      <c r="E272" s="13">
        <v>563466225</v>
      </c>
      <c r="F272" s="13" t="s">
        <v>164</v>
      </c>
      <c r="G272" s="13" t="s">
        <v>143</v>
      </c>
      <c r="H272" s="13" t="s">
        <v>21</v>
      </c>
      <c r="I272" s="13" t="s">
        <v>21</v>
      </c>
      <c r="J272" s="17" t="s">
        <v>21</v>
      </c>
      <c r="K272" s="13">
        <v>1</v>
      </c>
      <c r="L272" s="13">
        <v>1</v>
      </c>
      <c r="M272" s="13">
        <v>2</v>
      </c>
      <c r="N272" s="13">
        <v>2</v>
      </c>
      <c r="O272" s="13">
        <v>3</v>
      </c>
      <c r="P272" s="13">
        <v>3</v>
      </c>
      <c r="Q272" s="13">
        <v>0</v>
      </c>
      <c r="R2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2" s="13"/>
      <c r="T272" s="17"/>
    </row>
    <row r="273" spans="2:20" ht="17">
      <c r="B273" s="17" t="e">
        <f t="shared" si="5"/>
        <v>#REF!</v>
      </c>
      <c r="C273" s="13" t="s">
        <v>828</v>
      </c>
      <c r="D273" s="13" t="s">
        <v>829</v>
      </c>
      <c r="E273" s="13">
        <v>555885092</v>
      </c>
      <c r="F273" s="13" t="s">
        <v>164</v>
      </c>
      <c r="G273" s="13" t="s">
        <v>143</v>
      </c>
      <c r="H273" s="13" t="s">
        <v>29</v>
      </c>
      <c r="I273" s="13" t="s">
        <v>29</v>
      </c>
      <c r="J273" s="17" t="s">
        <v>29</v>
      </c>
      <c r="K273" s="13">
        <v>1</v>
      </c>
      <c r="L273" s="13">
        <v>1</v>
      </c>
      <c r="M273" s="13">
        <v>1</v>
      </c>
      <c r="N273" s="13">
        <v>1</v>
      </c>
      <c r="O273" s="13">
        <v>1</v>
      </c>
      <c r="P273" s="13">
        <v>1</v>
      </c>
      <c r="Q273" s="13">
        <v>1</v>
      </c>
      <c r="R2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3" s="13"/>
      <c r="T273" s="17"/>
    </row>
    <row r="274" spans="2:20" ht="17">
      <c r="B274" s="17" t="e">
        <f t="shared" si="5"/>
        <v>#REF!</v>
      </c>
      <c r="C274" s="13" t="s">
        <v>830</v>
      </c>
      <c r="D274" s="13" t="s">
        <v>831</v>
      </c>
      <c r="E274" s="13">
        <v>547022351</v>
      </c>
      <c r="F274" s="13" t="s">
        <v>164</v>
      </c>
      <c r="G274" s="13" t="s">
        <v>573</v>
      </c>
      <c r="H274" s="13" t="s">
        <v>77</v>
      </c>
      <c r="I274" s="13" t="s">
        <v>73</v>
      </c>
      <c r="J274" s="17" t="s">
        <v>73</v>
      </c>
      <c r="K274" s="13">
        <v>0</v>
      </c>
      <c r="L274" s="13">
        <v>1</v>
      </c>
      <c r="M274" s="13">
        <v>0</v>
      </c>
      <c r="N274" s="13">
        <v>1</v>
      </c>
      <c r="O274" s="13">
        <v>0</v>
      </c>
      <c r="P274" s="13">
        <v>0</v>
      </c>
      <c r="Q274" s="13">
        <v>0</v>
      </c>
      <c r="R2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4" s="13"/>
      <c r="T274" s="17"/>
    </row>
    <row r="275" spans="2:20" ht="17">
      <c r="B275" s="17" t="e">
        <f>#REF!+1</f>
        <v>#REF!</v>
      </c>
      <c r="C275" s="13" t="s">
        <v>834</v>
      </c>
      <c r="D275" s="13" t="s">
        <v>835</v>
      </c>
      <c r="E275" s="13">
        <v>583570124</v>
      </c>
      <c r="F275" s="13" t="s">
        <v>836</v>
      </c>
      <c r="G275" s="13" t="s">
        <v>573</v>
      </c>
      <c r="H275" s="13" t="s">
        <v>77</v>
      </c>
      <c r="I275" s="13" t="s">
        <v>91</v>
      </c>
      <c r="J275" s="17" t="s">
        <v>77</v>
      </c>
      <c r="K275" s="13">
        <v>0</v>
      </c>
      <c r="L275" s="13">
        <v>1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5" s="13"/>
      <c r="T275" s="17"/>
    </row>
    <row r="276" spans="2:20" ht="17">
      <c r="B276" s="17" t="e">
        <f t="shared" si="5"/>
        <v>#REF!</v>
      </c>
      <c r="C276" s="13" t="s">
        <v>838</v>
      </c>
      <c r="D276" s="13" t="s">
        <v>839</v>
      </c>
      <c r="E276" s="13">
        <v>550816188</v>
      </c>
      <c r="F276" s="13" t="s">
        <v>840</v>
      </c>
      <c r="G276" s="13" t="s">
        <v>573</v>
      </c>
      <c r="H276" s="13" t="s">
        <v>35</v>
      </c>
      <c r="I276" s="13" t="s">
        <v>35</v>
      </c>
      <c r="J276" s="17" t="s">
        <v>35</v>
      </c>
      <c r="K276" s="13">
        <v>0</v>
      </c>
      <c r="L276" s="13">
        <v>0</v>
      </c>
      <c r="M276" s="13">
        <v>0</v>
      </c>
      <c r="N276" s="13">
        <v>1</v>
      </c>
      <c r="O276" s="13">
        <v>0</v>
      </c>
      <c r="P276" s="13">
        <v>0</v>
      </c>
      <c r="Q276" s="13">
        <v>0</v>
      </c>
      <c r="R2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6" s="13"/>
      <c r="T276" s="17"/>
    </row>
    <row r="277" spans="2:20" ht="17">
      <c r="B277" s="17" t="e">
        <f t="shared" si="5"/>
        <v>#REF!</v>
      </c>
      <c r="C277" s="13" t="s">
        <v>841</v>
      </c>
      <c r="D277" s="13" t="s">
        <v>842</v>
      </c>
      <c r="E277" s="13">
        <v>544754090</v>
      </c>
      <c r="F277" s="13" t="s">
        <v>843</v>
      </c>
      <c r="G277" s="13" t="s">
        <v>143</v>
      </c>
      <c r="H277" s="13" t="s">
        <v>108</v>
      </c>
      <c r="I277" s="13" t="s">
        <v>27</v>
      </c>
      <c r="J277" s="17" t="s">
        <v>27</v>
      </c>
      <c r="K277" s="13">
        <v>1</v>
      </c>
      <c r="L277" s="13">
        <v>0</v>
      </c>
      <c r="M277" s="13">
        <v>1</v>
      </c>
      <c r="N277" s="13">
        <v>0</v>
      </c>
      <c r="O277" s="13">
        <v>0</v>
      </c>
      <c r="P277" s="13">
        <v>0</v>
      </c>
      <c r="Q277" s="13">
        <v>0</v>
      </c>
      <c r="R2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7" s="13"/>
      <c r="T277" s="17"/>
    </row>
    <row r="278" spans="2:20" ht="17">
      <c r="B278" s="17" t="e">
        <f t="shared" si="5"/>
        <v>#REF!</v>
      </c>
      <c r="C278" s="13" t="s">
        <v>844</v>
      </c>
      <c r="D278" s="13" t="s">
        <v>845</v>
      </c>
      <c r="E278" s="13">
        <v>532401741</v>
      </c>
      <c r="F278" s="13" t="s">
        <v>846</v>
      </c>
      <c r="G278" s="13" t="s">
        <v>143</v>
      </c>
      <c r="H278" s="13" t="s">
        <v>35</v>
      </c>
      <c r="I278" s="13" t="s">
        <v>35</v>
      </c>
      <c r="J278" s="17" t="s">
        <v>35</v>
      </c>
      <c r="K278" s="13">
        <v>1</v>
      </c>
      <c r="L278" s="13">
        <v>1</v>
      </c>
      <c r="M278" s="13">
        <v>2</v>
      </c>
      <c r="N278" s="13">
        <v>2</v>
      </c>
      <c r="O278" s="13">
        <v>2</v>
      </c>
      <c r="P278" s="13">
        <v>1</v>
      </c>
      <c r="Q278" s="13">
        <v>1</v>
      </c>
      <c r="R2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8" s="13"/>
      <c r="T278" s="17"/>
    </row>
    <row r="279" spans="2:20" ht="17">
      <c r="B279" s="17" t="e">
        <f t="shared" si="5"/>
        <v>#REF!</v>
      </c>
      <c r="C279" s="13" t="s">
        <v>847</v>
      </c>
      <c r="D279" s="13" t="s">
        <v>848</v>
      </c>
      <c r="E279" s="13">
        <v>542424232</v>
      </c>
      <c r="F279" s="13" t="s">
        <v>164</v>
      </c>
      <c r="G279" s="13" t="s">
        <v>573</v>
      </c>
      <c r="H279" s="13" t="s">
        <v>21</v>
      </c>
      <c r="I279" s="13" t="s">
        <v>21</v>
      </c>
      <c r="J279" s="17" t="s">
        <v>21</v>
      </c>
      <c r="K279" s="13">
        <v>1</v>
      </c>
      <c r="L279" s="13">
        <v>1</v>
      </c>
      <c r="M279" s="13">
        <v>1</v>
      </c>
      <c r="N279" s="13">
        <v>1</v>
      </c>
      <c r="O279" s="13">
        <v>1</v>
      </c>
      <c r="P279" s="13">
        <v>1</v>
      </c>
      <c r="Q279" s="13">
        <v>0</v>
      </c>
      <c r="R2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9" s="13"/>
      <c r="T279" s="17"/>
    </row>
    <row r="280" spans="2:20" ht="17">
      <c r="B280" s="17" t="e">
        <f t="shared" si="5"/>
        <v>#REF!</v>
      </c>
      <c r="C280" s="13" t="s">
        <v>194</v>
      </c>
      <c r="D280" s="13" t="s">
        <v>850</v>
      </c>
      <c r="E280" s="13">
        <v>568126667</v>
      </c>
      <c r="F280" s="13" t="s">
        <v>851</v>
      </c>
      <c r="G280" s="13" t="s">
        <v>573</v>
      </c>
      <c r="H280" s="13" t="s">
        <v>81</v>
      </c>
      <c r="I280" s="13" t="s">
        <v>72</v>
      </c>
      <c r="J280" s="17" t="s">
        <v>81</v>
      </c>
      <c r="K280" s="13">
        <v>0</v>
      </c>
      <c r="L280" s="13">
        <v>1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0" s="13"/>
      <c r="T280" s="17"/>
    </row>
    <row r="281" spans="2:20" ht="17">
      <c r="B281" s="17" t="e">
        <f t="shared" si="5"/>
        <v>#REF!</v>
      </c>
      <c r="C281" s="13" t="s">
        <v>852</v>
      </c>
      <c r="D281" s="13" t="s">
        <v>853</v>
      </c>
      <c r="E281" s="13">
        <v>531902966</v>
      </c>
      <c r="F281" s="13" t="s">
        <v>164</v>
      </c>
      <c r="G281" s="13" t="s">
        <v>573</v>
      </c>
      <c r="H281" s="13" t="s">
        <v>21</v>
      </c>
      <c r="I281" s="13" t="s">
        <v>21</v>
      </c>
      <c r="J281" s="17" t="s">
        <v>21</v>
      </c>
      <c r="K281" s="13">
        <v>1</v>
      </c>
      <c r="L281" s="13">
        <v>1</v>
      </c>
      <c r="M281" s="13">
        <v>1</v>
      </c>
      <c r="N281" s="13">
        <v>1</v>
      </c>
      <c r="O281" s="13">
        <v>1</v>
      </c>
      <c r="P281" s="13">
        <v>1</v>
      </c>
      <c r="Q281" s="13">
        <v>1</v>
      </c>
      <c r="R2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1" s="13"/>
      <c r="T281" s="17"/>
    </row>
    <row r="282" spans="2:20" ht="17">
      <c r="B282" s="17" t="e">
        <f t="shared" si="5"/>
        <v>#REF!</v>
      </c>
      <c r="C282" s="13" t="s">
        <v>854</v>
      </c>
      <c r="D282" s="13" t="s">
        <v>855</v>
      </c>
      <c r="E282" s="13">
        <v>550583221</v>
      </c>
      <c r="F282" s="13" t="s">
        <v>856</v>
      </c>
      <c r="G282" s="13" t="s">
        <v>573</v>
      </c>
      <c r="H282" s="13" t="s">
        <v>35</v>
      </c>
      <c r="I282" s="13" t="s">
        <v>35</v>
      </c>
      <c r="J282" s="17" t="s">
        <v>35</v>
      </c>
      <c r="K282" s="13">
        <v>1</v>
      </c>
      <c r="L282" s="13">
        <v>0</v>
      </c>
      <c r="M282" s="13">
        <v>1</v>
      </c>
      <c r="N282" s="13">
        <v>1</v>
      </c>
      <c r="O282" s="13">
        <v>0</v>
      </c>
      <c r="P282" s="13">
        <v>0</v>
      </c>
      <c r="Q282" s="13">
        <v>0</v>
      </c>
      <c r="R2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2" s="13"/>
      <c r="T282" s="17"/>
    </row>
    <row r="283" spans="2:20" ht="17">
      <c r="B283" s="17" t="e">
        <f t="shared" si="5"/>
        <v>#REF!</v>
      </c>
      <c r="C283" s="13" t="s">
        <v>857</v>
      </c>
      <c r="D283" s="13" t="s">
        <v>858</v>
      </c>
      <c r="E283" s="13">
        <v>558845514</v>
      </c>
      <c r="F283" s="13" t="s">
        <v>164</v>
      </c>
      <c r="G283" s="13" t="s">
        <v>143</v>
      </c>
      <c r="H283" s="13" t="s">
        <v>77</v>
      </c>
      <c r="I283" s="13" t="s">
        <v>105</v>
      </c>
      <c r="J283" s="17" t="s">
        <v>105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Q283" s="13">
        <v>1</v>
      </c>
      <c r="R2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3" s="13"/>
      <c r="T283" s="17"/>
    </row>
    <row r="284" spans="2:20" ht="17">
      <c r="B284" s="17" t="e">
        <f t="shared" si="5"/>
        <v>#REF!</v>
      </c>
      <c r="C284" s="13" t="s">
        <v>859</v>
      </c>
      <c r="D284" s="13" t="s">
        <v>860</v>
      </c>
      <c r="E284" s="13">
        <v>545557550</v>
      </c>
      <c r="F284" s="13" t="s">
        <v>168</v>
      </c>
      <c r="G284" s="13" t="s">
        <v>573</v>
      </c>
      <c r="H284" s="13" t="s">
        <v>77</v>
      </c>
      <c r="I284" s="13" t="s">
        <v>79</v>
      </c>
      <c r="J284" s="17" t="s">
        <v>79</v>
      </c>
      <c r="K284" s="13">
        <v>1</v>
      </c>
      <c r="L284" s="13">
        <v>1</v>
      </c>
      <c r="M284" s="13">
        <v>1</v>
      </c>
      <c r="N284" s="13">
        <v>2</v>
      </c>
      <c r="O284" s="13">
        <v>2</v>
      </c>
      <c r="P284" s="13">
        <v>1</v>
      </c>
      <c r="Q284" s="13">
        <v>1</v>
      </c>
      <c r="R2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4" s="13"/>
      <c r="T284" s="17"/>
    </row>
    <row r="285" spans="2:20" ht="17">
      <c r="B285" s="17" t="e">
        <f t="shared" si="5"/>
        <v>#REF!</v>
      </c>
      <c r="C285" s="13" t="s">
        <v>861</v>
      </c>
      <c r="D285" s="13" t="s">
        <v>862</v>
      </c>
      <c r="E285" s="13">
        <v>540734333</v>
      </c>
      <c r="F285" s="13" t="s">
        <v>863</v>
      </c>
      <c r="G285" s="13" t="s">
        <v>143</v>
      </c>
      <c r="H285" s="13" t="s">
        <v>75</v>
      </c>
      <c r="I285" s="13" t="s">
        <v>85</v>
      </c>
      <c r="J285" s="17" t="s">
        <v>75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Q285" s="13">
        <v>1</v>
      </c>
      <c r="R2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5" s="13"/>
      <c r="T285" s="17"/>
    </row>
    <row r="286" spans="2:20" ht="17">
      <c r="B286" s="17" t="e">
        <f t="shared" si="5"/>
        <v>#REF!</v>
      </c>
      <c r="C286" s="13" t="s">
        <v>864</v>
      </c>
      <c r="D286" s="13" t="s">
        <v>865</v>
      </c>
      <c r="E286" s="13">
        <v>532065924</v>
      </c>
      <c r="F286" s="13" t="s">
        <v>270</v>
      </c>
      <c r="G286" s="13" t="s">
        <v>573</v>
      </c>
      <c r="H286" s="13" t="s">
        <v>35</v>
      </c>
      <c r="I286" s="13" t="s">
        <v>35</v>
      </c>
      <c r="J286" s="17" t="s">
        <v>35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0</v>
      </c>
      <c r="R2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6" s="13"/>
      <c r="T286" s="17"/>
    </row>
    <row r="287" spans="2:20" ht="17">
      <c r="B287" s="17" t="e">
        <f t="shared" si="5"/>
        <v>#REF!</v>
      </c>
      <c r="C287" s="13" t="s">
        <v>416</v>
      </c>
      <c r="D287" s="13" t="s">
        <v>866</v>
      </c>
      <c r="E287" s="13">
        <v>5567033455</v>
      </c>
      <c r="F287" s="13" t="s">
        <v>867</v>
      </c>
      <c r="G287" s="13" t="s">
        <v>143</v>
      </c>
      <c r="H287" s="13" t="s">
        <v>75</v>
      </c>
      <c r="I287" s="13" t="s">
        <v>85</v>
      </c>
      <c r="J287" s="17" t="s">
        <v>75</v>
      </c>
      <c r="K287" s="13">
        <v>1</v>
      </c>
      <c r="L287" s="13">
        <v>1</v>
      </c>
      <c r="M287" s="13">
        <v>1</v>
      </c>
      <c r="N287" s="13">
        <v>1</v>
      </c>
      <c r="O287" s="13">
        <v>2</v>
      </c>
      <c r="P287" s="13">
        <v>2</v>
      </c>
      <c r="Q287" s="13">
        <v>2</v>
      </c>
      <c r="R2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7" s="13"/>
      <c r="T287" s="17"/>
    </row>
    <row r="288" spans="2:20" ht="17">
      <c r="B288" s="17" t="e">
        <f t="shared" si="5"/>
        <v>#REF!</v>
      </c>
      <c r="C288" s="13" t="s">
        <v>868</v>
      </c>
      <c r="D288" s="13" t="s">
        <v>869</v>
      </c>
      <c r="E288" s="13">
        <v>558082403</v>
      </c>
      <c r="F288" s="13" t="s">
        <v>164</v>
      </c>
      <c r="G288" s="13" t="s">
        <v>573</v>
      </c>
      <c r="H288" s="13" t="s">
        <v>35</v>
      </c>
      <c r="I288" s="13" t="s">
        <v>35</v>
      </c>
      <c r="J288" s="17" t="s">
        <v>35</v>
      </c>
      <c r="K288" s="13">
        <v>1</v>
      </c>
      <c r="L288" s="13">
        <v>0</v>
      </c>
      <c r="M288" s="13">
        <v>1</v>
      </c>
      <c r="N288" s="13">
        <v>0</v>
      </c>
      <c r="O288" s="13">
        <v>0</v>
      </c>
      <c r="P288" s="13">
        <v>0</v>
      </c>
      <c r="Q288" s="13">
        <v>0</v>
      </c>
      <c r="R2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8" s="13"/>
      <c r="T288" s="17"/>
    </row>
    <row r="289" spans="2:20" ht="17">
      <c r="B289" s="17" t="e">
        <f t="shared" si="5"/>
        <v>#REF!</v>
      </c>
      <c r="C289" s="13" t="s">
        <v>870</v>
      </c>
      <c r="D289" s="13" t="s">
        <v>871</v>
      </c>
      <c r="E289" s="13">
        <v>597997702</v>
      </c>
      <c r="F289" s="13" t="s">
        <v>872</v>
      </c>
      <c r="G289" s="13" t="s">
        <v>143</v>
      </c>
      <c r="H289" s="13" t="s">
        <v>81</v>
      </c>
      <c r="I289" s="13" t="s">
        <v>927</v>
      </c>
      <c r="J289" s="17" t="s">
        <v>81</v>
      </c>
      <c r="K289" s="13">
        <v>0</v>
      </c>
      <c r="L289" s="13">
        <v>1</v>
      </c>
      <c r="M289" s="13">
        <v>0</v>
      </c>
      <c r="N289" s="13">
        <v>0</v>
      </c>
      <c r="O289" s="13">
        <v>2</v>
      </c>
      <c r="P289" s="13">
        <v>2</v>
      </c>
      <c r="Q289" s="13">
        <v>0</v>
      </c>
      <c r="R2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9" s="13"/>
      <c r="T289" s="17"/>
    </row>
    <row r="290" spans="2:20" ht="17">
      <c r="B290" s="17" t="e">
        <f t="shared" si="5"/>
        <v>#REF!</v>
      </c>
      <c r="C290" s="13" t="s">
        <v>873</v>
      </c>
      <c r="D290" s="13" t="s">
        <v>874</v>
      </c>
      <c r="E290" s="13">
        <v>504949452</v>
      </c>
      <c r="F290" s="13" t="s">
        <v>875</v>
      </c>
      <c r="G290" s="13" t="s">
        <v>143</v>
      </c>
      <c r="H290" s="13" t="s">
        <v>77</v>
      </c>
      <c r="I290" s="13" t="s">
        <v>92</v>
      </c>
      <c r="J290" s="17" t="s">
        <v>77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Q290" s="13">
        <v>1</v>
      </c>
      <c r="R2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0" s="13"/>
      <c r="T290" s="17"/>
    </row>
    <row r="291" spans="2:20" ht="17">
      <c r="B291" s="17" t="e">
        <f t="shared" si="5"/>
        <v>#REF!</v>
      </c>
      <c r="C291" s="13" t="s">
        <v>876</v>
      </c>
      <c r="D291" s="13" t="s">
        <v>877</v>
      </c>
      <c r="E291" s="13">
        <v>555655130</v>
      </c>
      <c r="F291" s="13" t="s">
        <v>876</v>
      </c>
      <c r="G291" s="13" t="s">
        <v>573</v>
      </c>
      <c r="H291" s="13" t="s">
        <v>108</v>
      </c>
      <c r="I291" s="13" t="s">
        <v>108</v>
      </c>
      <c r="J291" s="17" t="s">
        <v>108</v>
      </c>
      <c r="K291" s="13">
        <v>0</v>
      </c>
      <c r="L291" s="13">
        <v>0</v>
      </c>
      <c r="M291" s="13">
        <v>1</v>
      </c>
      <c r="N291" s="13">
        <v>1</v>
      </c>
      <c r="O291" s="13">
        <v>1</v>
      </c>
      <c r="P291" s="13">
        <v>1</v>
      </c>
      <c r="Q291" s="13">
        <v>0</v>
      </c>
      <c r="R2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1" s="13"/>
      <c r="T291" s="17"/>
    </row>
    <row r="292" spans="2:20" ht="17">
      <c r="B292" s="17" t="e">
        <f t="shared" si="5"/>
        <v>#REF!</v>
      </c>
      <c r="C292" s="13" t="s">
        <v>878</v>
      </c>
      <c r="D292" s="13" t="s">
        <v>879</v>
      </c>
      <c r="E292" s="13">
        <v>507003881</v>
      </c>
      <c r="F292" s="13" t="s">
        <v>878</v>
      </c>
      <c r="G292" s="13" t="s">
        <v>573</v>
      </c>
      <c r="H292" s="13" t="s">
        <v>77</v>
      </c>
      <c r="I292" s="13" t="s">
        <v>90</v>
      </c>
      <c r="J292" s="17" t="s">
        <v>77</v>
      </c>
      <c r="K292" s="13">
        <v>1</v>
      </c>
      <c r="L292" s="13">
        <v>0</v>
      </c>
      <c r="M292" s="13">
        <v>1</v>
      </c>
      <c r="N292" s="13">
        <v>0</v>
      </c>
      <c r="O292" s="13">
        <v>1</v>
      </c>
      <c r="P292" s="13">
        <v>0</v>
      </c>
      <c r="Q292" s="13">
        <v>0</v>
      </c>
      <c r="R2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2" s="13"/>
      <c r="T292" s="17"/>
    </row>
    <row r="293" spans="2:20" ht="17">
      <c r="B293" s="17" t="e">
        <f t="shared" si="5"/>
        <v>#REF!</v>
      </c>
      <c r="C293" s="13" t="s">
        <v>880</v>
      </c>
      <c r="D293" s="13" t="s">
        <v>881</v>
      </c>
      <c r="E293" s="13">
        <v>507931484</v>
      </c>
      <c r="F293" s="13" t="s">
        <v>164</v>
      </c>
      <c r="G293" s="13" t="s">
        <v>294</v>
      </c>
      <c r="H293" s="13" t="s">
        <v>108</v>
      </c>
      <c r="I293" s="13" t="s">
        <v>48</v>
      </c>
      <c r="J293" s="17" t="s">
        <v>108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0</v>
      </c>
      <c r="Q293" s="13">
        <v>0</v>
      </c>
      <c r="R2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3" s="13"/>
      <c r="T293" s="17" t="s">
        <v>1621</v>
      </c>
    </row>
    <row r="294" spans="2:20" ht="17">
      <c r="B294" s="17" t="e">
        <f t="shared" si="5"/>
        <v>#REF!</v>
      </c>
      <c r="C294" s="13" t="s">
        <v>882</v>
      </c>
      <c r="D294" s="13" t="s">
        <v>883</v>
      </c>
      <c r="E294" s="13">
        <v>559655611</v>
      </c>
      <c r="F294" s="13" t="s">
        <v>164</v>
      </c>
      <c r="G294" s="13" t="s">
        <v>294</v>
      </c>
      <c r="H294" s="13" t="s">
        <v>108</v>
      </c>
      <c r="I294" s="13" t="s">
        <v>15</v>
      </c>
      <c r="J294" s="17" t="s">
        <v>15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Q294" s="13">
        <v>1</v>
      </c>
      <c r="R2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4" s="13"/>
      <c r="T294" s="17" t="s">
        <v>1621</v>
      </c>
    </row>
    <row r="295" spans="2:20" ht="17">
      <c r="B295" s="17" t="e">
        <f t="shared" si="5"/>
        <v>#REF!</v>
      </c>
      <c r="C295" s="13" t="s">
        <v>884</v>
      </c>
      <c r="D295" s="13" t="s">
        <v>885</v>
      </c>
      <c r="E295" s="13">
        <v>597384488</v>
      </c>
      <c r="F295" s="13" t="s">
        <v>164</v>
      </c>
      <c r="G295" s="13" t="s">
        <v>294</v>
      </c>
      <c r="H295" s="13" t="s">
        <v>77</v>
      </c>
      <c r="I295" s="13" t="s">
        <v>73</v>
      </c>
      <c r="J295" s="17" t="s">
        <v>73</v>
      </c>
      <c r="K295" s="13">
        <v>1</v>
      </c>
      <c r="L295" s="13">
        <v>1</v>
      </c>
      <c r="M295" s="13">
        <v>1</v>
      </c>
      <c r="N295" s="13">
        <v>1</v>
      </c>
      <c r="O295" s="13">
        <v>0</v>
      </c>
      <c r="P295" s="13">
        <v>0</v>
      </c>
      <c r="Q295" s="13">
        <v>0</v>
      </c>
      <c r="R2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5" s="13"/>
      <c r="T295" s="17" t="s">
        <v>1621</v>
      </c>
    </row>
    <row r="296" spans="2:20" ht="17">
      <c r="B296" s="17" t="e">
        <f t="shared" si="5"/>
        <v>#REF!</v>
      </c>
      <c r="C296" s="13" t="s">
        <v>632</v>
      </c>
      <c r="D296" s="13" t="s">
        <v>633</v>
      </c>
      <c r="E296" s="13">
        <v>500434447</v>
      </c>
      <c r="F296" s="13" t="s">
        <v>253</v>
      </c>
      <c r="G296" s="13" t="s">
        <v>294</v>
      </c>
      <c r="H296" s="13" t="s">
        <v>108</v>
      </c>
      <c r="I296" s="13" t="s">
        <v>27</v>
      </c>
      <c r="J296" s="17" t="s">
        <v>27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1</v>
      </c>
      <c r="Q296" s="13">
        <v>1</v>
      </c>
      <c r="R2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6" s="13"/>
      <c r="T296" s="17" t="s">
        <v>1621</v>
      </c>
    </row>
    <row r="297" spans="2:20" ht="17">
      <c r="B297" s="17" t="e">
        <f t="shared" si="5"/>
        <v>#REF!</v>
      </c>
      <c r="C297" s="13" t="s">
        <v>886</v>
      </c>
      <c r="D297" s="13" t="s">
        <v>887</v>
      </c>
      <c r="E297" s="13">
        <v>538211655</v>
      </c>
      <c r="F297" s="13" t="s">
        <v>164</v>
      </c>
      <c r="G297" s="13" t="s">
        <v>294</v>
      </c>
      <c r="H297" s="13" t="s">
        <v>108</v>
      </c>
      <c r="I297" s="13" t="s">
        <v>108</v>
      </c>
      <c r="J297" s="17" t="s">
        <v>108</v>
      </c>
      <c r="K297" s="13">
        <v>0</v>
      </c>
      <c r="L297" s="13">
        <v>1</v>
      </c>
      <c r="M297" s="13">
        <v>1</v>
      </c>
      <c r="N297" s="13">
        <v>1</v>
      </c>
      <c r="O297" s="13">
        <v>1</v>
      </c>
      <c r="P297" s="13">
        <v>0</v>
      </c>
      <c r="Q297" s="13">
        <v>0</v>
      </c>
      <c r="R2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7" s="13"/>
      <c r="T297" s="17" t="s">
        <v>1621</v>
      </c>
    </row>
    <row r="298" spans="2:20" ht="17">
      <c r="B298" s="17" t="e">
        <f t="shared" si="5"/>
        <v>#REF!</v>
      </c>
      <c r="C298" s="13" t="s">
        <v>888</v>
      </c>
      <c r="D298" s="13" t="s">
        <v>889</v>
      </c>
      <c r="E298" s="13">
        <v>564462167</v>
      </c>
      <c r="F298" s="13" t="s">
        <v>164</v>
      </c>
      <c r="G298" s="13" t="s">
        <v>294</v>
      </c>
      <c r="H298" s="13" t="s">
        <v>77</v>
      </c>
      <c r="I298" s="13" t="s">
        <v>73</v>
      </c>
      <c r="J298" s="17" t="s">
        <v>73</v>
      </c>
      <c r="K298" s="13">
        <v>1</v>
      </c>
      <c r="L298" s="13">
        <v>1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8" s="13"/>
      <c r="T298" s="17" t="s">
        <v>1621</v>
      </c>
    </row>
    <row r="299" spans="2:20" ht="17">
      <c r="B299" s="17" t="e">
        <f t="shared" si="5"/>
        <v>#REF!</v>
      </c>
      <c r="C299" s="13" t="s">
        <v>890</v>
      </c>
      <c r="D299" s="13" t="s">
        <v>891</v>
      </c>
      <c r="E299" s="13">
        <v>599290536</v>
      </c>
      <c r="F299" s="13" t="s">
        <v>164</v>
      </c>
      <c r="G299" s="13" t="s">
        <v>294</v>
      </c>
      <c r="H299" s="13" t="s">
        <v>108</v>
      </c>
      <c r="I299" s="13" t="s">
        <v>108</v>
      </c>
      <c r="J299" s="17" t="s">
        <v>108</v>
      </c>
      <c r="K299" s="13">
        <v>1</v>
      </c>
      <c r="L299" s="13">
        <v>1</v>
      </c>
      <c r="M299" s="13">
        <v>1</v>
      </c>
      <c r="N299" s="13">
        <v>1</v>
      </c>
      <c r="O299" s="13">
        <v>1</v>
      </c>
      <c r="P299" s="13">
        <v>1</v>
      </c>
      <c r="Q299" s="13">
        <v>1</v>
      </c>
      <c r="R2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9" s="13"/>
      <c r="T299" s="17" t="s">
        <v>1621</v>
      </c>
    </row>
    <row r="300" spans="2:20" ht="17">
      <c r="B300" s="17" t="e">
        <f t="shared" si="5"/>
        <v>#REF!</v>
      </c>
      <c r="C300" s="13" t="s">
        <v>892</v>
      </c>
      <c r="D300" s="13" t="s">
        <v>893</v>
      </c>
      <c r="E300" s="13">
        <v>506742965</v>
      </c>
      <c r="F300" s="13" t="s">
        <v>164</v>
      </c>
      <c r="G300" s="13" t="s">
        <v>294</v>
      </c>
      <c r="H300" s="13" t="s">
        <v>37</v>
      </c>
      <c r="I300" s="13" t="s">
        <v>40</v>
      </c>
      <c r="J300" s="17" t="s">
        <v>37</v>
      </c>
      <c r="K300" s="13">
        <v>1</v>
      </c>
      <c r="L300" s="13">
        <v>1</v>
      </c>
      <c r="M300" s="13">
        <v>1</v>
      </c>
      <c r="N300" s="13">
        <v>1</v>
      </c>
      <c r="O300" s="13">
        <v>1</v>
      </c>
      <c r="P300" s="13">
        <v>1</v>
      </c>
      <c r="Q300" s="13">
        <v>1</v>
      </c>
      <c r="R3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0" s="13"/>
      <c r="T300" s="17" t="s">
        <v>1621</v>
      </c>
    </row>
    <row r="301" spans="2:20" ht="17">
      <c r="B301" s="17" t="e">
        <f t="shared" si="5"/>
        <v>#REF!</v>
      </c>
      <c r="C301" s="13" t="s">
        <v>894</v>
      </c>
      <c r="D301" s="13" t="s">
        <v>895</v>
      </c>
      <c r="E301" s="13">
        <v>563835800</v>
      </c>
      <c r="F301" s="13" t="s">
        <v>164</v>
      </c>
      <c r="G301" s="13" t="s">
        <v>294</v>
      </c>
      <c r="H301" s="13" t="s">
        <v>108</v>
      </c>
      <c r="I301" s="13" t="s">
        <v>108</v>
      </c>
      <c r="J301" s="17" t="s">
        <v>108</v>
      </c>
      <c r="K301" s="13">
        <v>1</v>
      </c>
      <c r="L301" s="13">
        <v>1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1" s="13"/>
      <c r="T301" s="17" t="s">
        <v>1621</v>
      </c>
    </row>
    <row r="302" spans="2:20" ht="17">
      <c r="B302" s="17" t="e">
        <f t="shared" si="5"/>
        <v>#REF!</v>
      </c>
      <c r="C302" s="13" t="s">
        <v>896</v>
      </c>
      <c r="D302" s="13" t="s">
        <v>897</v>
      </c>
      <c r="E302" s="13">
        <v>590484805</v>
      </c>
      <c r="F302" s="13" t="s">
        <v>164</v>
      </c>
      <c r="G302" s="13" t="s">
        <v>294</v>
      </c>
      <c r="H302" s="13" t="s">
        <v>21</v>
      </c>
      <c r="I302" s="13" t="s">
        <v>21</v>
      </c>
      <c r="J302" s="17" t="s">
        <v>21</v>
      </c>
      <c r="K302" s="13">
        <v>1</v>
      </c>
      <c r="L302" s="13">
        <v>0</v>
      </c>
      <c r="M302" s="13">
        <v>1</v>
      </c>
      <c r="N302" s="13">
        <v>1</v>
      </c>
      <c r="O302" s="13">
        <v>1</v>
      </c>
      <c r="P302" s="13">
        <v>1</v>
      </c>
      <c r="Q302" s="13">
        <v>0</v>
      </c>
      <c r="R3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2" s="13"/>
      <c r="T302" s="17" t="s">
        <v>1621</v>
      </c>
    </row>
    <row r="303" spans="2:20" ht="17">
      <c r="B303" s="17" t="e">
        <f t="shared" si="5"/>
        <v>#REF!</v>
      </c>
      <c r="C303" s="13" t="s">
        <v>898</v>
      </c>
      <c r="D303" s="13" t="s">
        <v>899</v>
      </c>
      <c r="E303" s="13">
        <v>554744021</v>
      </c>
      <c r="F303" s="13" t="s">
        <v>164</v>
      </c>
      <c r="G303" s="13" t="s">
        <v>294</v>
      </c>
      <c r="H303" s="13" t="s">
        <v>37</v>
      </c>
      <c r="I303" s="13" t="s">
        <v>40</v>
      </c>
      <c r="J303" s="17" t="s">
        <v>37</v>
      </c>
      <c r="K303" s="13">
        <v>1</v>
      </c>
      <c r="L303" s="13">
        <v>1</v>
      </c>
      <c r="M303" s="13">
        <v>1</v>
      </c>
      <c r="N303" s="13">
        <v>1</v>
      </c>
      <c r="O303" s="13">
        <v>1</v>
      </c>
      <c r="P303" s="13">
        <v>1</v>
      </c>
      <c r="Q303" s="13">
        <v>1</v>
      </c>
      <c r="R3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3" s="13"/>
      <c r="T303" s="17" t="s">
        <v>1621</v>
      </c>
    </row>
    <row r="304" spans="2:20" ht="17">
      <c r="B304" s="17" t="e">
        <f>#REF!+1</f>
        <v>#REF!</v>
      </c>
      <c r="C304" s="13" t="s">
        <v>901</v>
      </c>
      <c r="D304" s="13" t="s">
        <v>902</v>
      </c>
      <c r="E304" s="13">
        <v>501876319</v>
      </c>
      <c r="F304" s="13" t="s">
        <v>164</v>
      </c>
      <c r="G304" s="13" t="s">
        <v>294</v>
      </c>
      <c r="H304" s="13" t="s">
        <v>21</v>
      </c>
      <c r="I304" s="13" t="s">
        <v>21</v>
      </c>
      <c r="J304" s="17" t="s">
        <v>21</v>
      </c>
      <c r="K304" s="13">
        <v>1</v>
      </c>
      <c r="L304" s="13">
        <v>1</v>
      </c>
      <c r="M304" s="13">
        <v>1</v>
      </c>
      <c r="N304" s="13">
        <v>1</v>
      </c>
      <c r="O304" s="13">
        <v>1</v>
      </c>
      <c r="P304" s="13">
        <v>1</v>
      </c>
      <c r="Q304" s="13">
        <v>1</v>
      </c>
      <c r="R3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4" s="13"/>
      <c r="T304" s="17" t="s">
        <v>1621</v>
      </c>
    </row>
    <row r="305" spans="2:20" ht="17">
      <c r="B305" s="17" t="e">
        <f>#REF!+1</f>
        <v>#REF!</v>
      </c>
      <c r="C305" s="13" t="s">
        <v>904</v>
      </c>
      <c r="D305" s="13" t="s">
        <v>905</v>
      </c>
      <c r="E305" s="13">
        <v>500644232</v>
      </c>
      <c r="F305" s="13" t="s">
        <v>164</v>
      </c>
      <c r="G305" s="13" t="s">
        <v>294</v>
      </c>
      <c r="H305" s="13" t="s">
        <v>81</v>
      </c>
      <c r="I305" s="13" t="s">
        <v>82</v>
      </c>
      <c r="J305" s="17" t="s">
        <v>81</v>
      </c>
      <c r="K305" s="13">
        <v>1</v>
      </c>
      <c r="L305" s="13">
        <v>1</v>
      </c>
      <c r="M305" s="13">
        <v>1</v>
      </c>
      <c r="N305" s="13">
        <v>1</v>
      </c>
      <c r="O305" s="13">
        <v>1</v>
      </c>
      <c r="P305" s="13">
        <v>0</v>
      </c>
      <c r="Q305" s="13">
        <v>0</v>
      </c>
      <c r="R3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5" s="13"/>
      <c r="T305" s="17" t="s">
        <v>1621</v>
      </c>
    </row>
    <row r="306" spans="2:20" ht="17">
      <c r="B306" s="17" t="e">
        <f>#REF!+1</f>
        <v>#REF!</v>
      </c>
      <c r="C306" s="13" t="s">
        <v>908</v>
      </c>
      <c r="D306" s="13" t="s">
        <v>909</v>
      </c>
      <c r="E306" s="13">
        <v>504310712</v>
      </c>
      <c r="F306" s="13" t="s">
        <v>164</v>
      </c>
      <c r="G306" s="13" t="s">
        <v>294</v>
      </c>
      <c r="H306" s="13" t="s">
        <v>81</v>
      </c>
      <c r="I306" s="13" t="s">
        <v>82</v>
      </c>
      <c r="J306" s="17" t="s">
        <v>81</v>
      </c>
      <c r="K306" s="13">
        <v>1</v>
      </c>
      <c r="L306" s="13">
        <v>0</v>
      </c>
      <c r="M306" s="13">
        <v>1</v>
      </c>
      <c r="N306" s="13">
        <v>0</v>
      </c>
      <c r="O306" s="13">
        <v>1</v>
      </c>
      <c r="P306" s="13">
        <v>1</v>
      </c>
      <c r="Q306" s="13">
        <v>0</v>
      </c>
      <c r="R3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6" s="13" t="s">
        <v>1599</v>
      </c>
      <c r="T306" s="17" t="s">
        <v>1621</v>
      </c>
    </row>
    <row r="307" spans="2:20" ht="17">
      <c r="B307" s="17" t="e">
        <f t="shared" si="5"/>
        <v>#REF!</v>
      </c>
      <c r="C307" s="13" t="s">
        <v>1716</v>
      </c>
      <c r="D307" s="13" t="s">
        <v>910</v>
      </c>
      <c r="E307" s="13">
        <v>551402129</v>
      </c>
      <c r="F307" s="13" t="s">
        <v>164</v>
      </c>
      <c r="G307" s="13" t="s">
        <v>294</v>
      </c>
      <c r="H307" s="13" t="s">
        <v>24</v>
      </c>
      <c r="I307" s="13" t="s">
        <v>24</v>
      </c>
      <c r="J307" s="17" t="s">
        <v>24</v>
      </c>
      <c r="K307" s="13">
        <v>1</v>
      </c>
      <c r="L307" s="13">
        <v>0</v>
      </c>
      <c r="M307" s="13">
        <v>1</v>
      </c>
      <c r="N307" s="13">
        <v>0</v>
      </c>
      <c r="O307" s="13">
        <v>0</v>
      </c>
      <c r="P307" s="13">
        <v>0</v>
      </c>
      <c r="Q307" s="13">
        <v>0</v>
      </c>
      <c r="R3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7" s="13" t="s">
        <v>1599</v>
      </c>
      <c r="T307" s="17" t="s">
        <v>1621</v>
      </c>
    </row>
    <row r="308" spans="2:20" ht="17">
      <c r="B308" s="17" t="e">
        <f>#REF!+1</f>
        <v>#REF!</v>
      </c>
      <c r="C308" s="13" t="s">
        <v>913</v>
      </c>
      <c r="D308" s="13" t="s">
        <v>914</v>
      </c>
      <c r="E308" s="13">
        <v>550337788</v>
      </c>
      <c r="F308" s="13" t="s">
        <v>915</v>
      </c>
      <c r="G308" s="13" t="s">
        <v>143</v>
      </c>
      <c r="H308" s="13" t="s">
        <v>35</v>
      </c>
      <c r="I308" s="13" t="s">
        <v>35</v>
      </c>
      <c r="J308" s="17" t="s">
        <v>35</v>
      </c>
      <c r="K308" s="13">
        <v>1</v>
      </c>
      <c r="L308" s="13">
        <v>1</v>
      </c>
      <c r="M308" s="13">
        <v>1</v>
      </c>
      <c r="N308" s="13">
        <v>1</v>
      </c>
      <c r="O308" s="13">
        <v>1</v>
      </c>
      <c r="P308" s="13">
        <v>1</v>
      </c>
      <c r="Q308" s="13">
        <v>1</v>
      </c>
      <c r="R3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8" s="13"/>
      <c r="T308" s="17"/>
    </row>
    <row r="309" spans="2:20" ht="17">
      <c r="B309" s="17" t="e">
        <f t="shared" ref="B309:B357" si="6">B308+1</f>
        <v>#REF!</v>
      </c>
      <c r="C309" s="13" t="s">
        <v>916</v>
      </c>
      <c r="D309" s="13" t="s">
        <v>917</v>
      </c>
      <c r="E309" s="13">
        <v>563914376</v>
      </c>
      <c r="F309" s="13" t="s">
        <v>918</v>
      </c>
      <c r="G309" s="13" t="s">
        <v>143</v>
      </c>
      <c r="H309" s="13" t="s">
        <v>35</v>
      </c>
      <c r="I309" s="13" t="s">
        <v>35</v>
      </c>
      <c r="J309" s="17" t="s">
        <v>35</v>
      </c>
      <c r="K309" s="13">
        <v>1</v>
      </c>
      <c r="L309" s="13">
        <v>1</v>
      </c>
      <c r="M309" s="13">
        <v>1</v>
      </c>
      <c r="N309" s="13">
        <v>1</v>
      </c>
      <c r="O309" s="13">
        <v>1</v>
      </c>
      <c r="P309" s="13">
        <v>1</v>
      </c>
      <c r="Q309" s="13">
        <v>1</v>
      </c>
      <c r="R3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9" s="13"/>
      <c r="T309" s="17"/>
    </row>
    <row r="310" spans="2:20" ht="17">
      <c r="B310" s="17" t="e">
        <f t="shared" si="6"/>
        <v>#REF!</v>
      </c>
      <c r="C310" s="13" t="s">
        <v>919</v>
      </c>
      <c r="D310" s="13" t="s">
        <v>920</v>
      </c>
      <c r="E310" s="13">
        <v>535193060</v>
      </c>
      <c r="F310" s="13" t="s">
        <v>919</v>
      </c>
      <c r="G310" s="13" t="s">
        <v>143</v>
      </c>
      <c r="H310" s="13" t="s">
        <v>77</v>
      </c>
      <c r="I310" s="13" t="s">
        <v>79</v>
      </c>
      <c r="J310" s="17" t="s">
        <v>79</v>
      </c>
      <c r="K310" s="13">
        <v>1</v>
      </c>
      <c r="L310" s="13">
        <v>1</v>
      </c>
      <c r="M310" s="13">
        <v>1</v>
      </c>
      <c r="N310" s="13">
        <v>1</v>
      </c>
      <c r="O310" s="13">
        <v>0</v>
      </c>
      <c r="P310" s="13">
        <v>0</v>
      </c>
      <c r="Q310" s="13">
        <v>0</v>
      </c>
      <c r="R3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0" s="13"/>
      <c r="T310" s="17"/>
    </row>
    <row r="311" spans="2:20" ht="17">
      <c r="B311" s="17" t="e">
        <f t="shared" si="6"/>
        <v>#REF!</v>
      </c>
      <c r="C311" s="19" t="s">
        <v>921</v>
      </c>
      <c r="D311" s="19" t="s">
        <v>922</v>
      </c>
      <c r="E311" s="19">
        <v>565496560</v>
      </c>
      <c r="F311" s="19" t="s">
        <v>923</v>
      </c>
      <c r="G311" s="19" t="s">
        <v>573</v>
      </c>
      <c r="H311" s="19" t="s">
        <v>108</v>
      </c>
      <c r="I311" s="19" t="s">
        <v>27</v>
      </c>
      <c r="J311" s="20" t="s">
        <v>27</v>
      </c>
      <c r="K311" s="19">
        <v>1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1" s="13"/>
      <c r="T311" s="17"/>
    </row>
    <row r="312" spans="2:20" ht="17">
      <c r="B312" s="17" t="e">
        <f t="shared" si="6"/>
        <v>#REF!</v>
      </c>
      <c r="C312" s="13" t="s">
        <v>928</v>
      </c>
      <c r="D312" s="13" t="s">
        <v>929</v>
      </c>
      <c r="E312" s="13">
        <v>565304647</v>
      </c>
      <c r="F312" s="13" t="s">
        <v>928</v>
      </c>
      <c r="G312" s="13" t="s">
        <v>573</v>
      </c>
      <c r="H312" s="13" t="s">
        <v>108</v>
      </c>
      <c r="I312" s="13" t="s">
        <v>27</v>
      </c>
      <c r="J312" s="17" t="s">
        <v>27</v>
      </c>
      <c r="K312" s="13">
        <v>0</v>
      </c>
      <c r="L312" s="13">
        <v>1</v>
      </c>
      <c r="M312" s="13">
        <v>1</v>
      </c>
      <c r="N312" s="13">
        <v>2</v>
      </c>
      <c r="O312" s="13">
        <v>2</v>
      </c>
      <c r="P312" s="13">
        <v>0</v>
      </c>
      <c r="Q312" s="13">
        <v>0</v>
      </c>
      <c r="R3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2" s="13"/>
      <c r="T312" s="17"/>
    </row>
    <row r="313" spans="2:20" ht="17">
      <c r="B313" s="17" t="e">
        <f t="shared" si="6"/>
        <v>#REF!</v>
      </c>
      <c r="C313" s="13" t="s">
        <v>267</v>
      </c>
      <c r="D313" s="13" t="s">
        <v>930</v>
      </c>
      <c r="E313" s="13">
        <v>542662114</v>
      </c>
      <c r="F313" s="13" t="s">
        <v>931</v>
      </c>
      <c r="G313" s="13" t="s">
        <v>573</v>
      </c>
      <c r="H313" s="13" t="s">
        <v>108</v>
      </c>
      <c r="I313" s="13" t="s">
        <v>27</v>
      </c>
      <c r="J313" s="17" t="s">
        <v>27</v>
      </c>
      <c r="K313" s="13">
        <v>0</v>
      </c>
      <c r="L313" s="13">
        <v>0</v>
      </c>
      <c r="M313" s="13">
        <v>1</v>
      </c>
      <c r="N313" s="13">
        <v>1</v>
      </c>
      <c r="O313" s="13">
        <v>1</v>
      </c>
      <c r="P313" s="13">
        <v>0</v>
      </c>
      <c r="Q313" s="13">
        <v>0</v>
      </c>
      <c r="R3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3" s="13"/>
      <c r="T313" s="17"/>
    </row>
    <row r="314" spans="2:20" ht="17">
      <c r="B314" s="17" t="e">
        <f>#REF!+1</f>
        <v>#REF!</v>
      </c>
      <c r="C314" s="13" t="s">
        <v>933</v>
      </c>
      <c r="D314" s="13" t="s">
        <v>934</v>
      </c>
      <c r="E314" s="13">
        <v>530009764</v>
      </c>
      <c r="F314" s="13" t="s">
        <v>164</v>
      </c>
      <c r="G314" s="13" t="s">
        <v>143</v>
      </c>
      <c r="H314" s="13" t="s">
        <v>35</v>
      </c>
      <c r="I314" s="13" t="s">
        <v>35</v>
      </c>
      <c r="J314" s="17" t="s">
        <v>35</v>
      </c>
      <c r="K314" s="13">
        <v>1</v>
      </c>
      <c r="L314" s="13">
        <v>1</v>
      </c>
      <c r="M314" s="13">
        <v>1</v>
      </c>
      <c r="N314" s="13">
        <v>1</v>
      </c>
      <c r="O314" s="13">
        <v>0</v>
      </c>
      <c r="P314" s="13">
        <v>0</v>
      </c>
      <c r="Q314" s="13">
        <v>0</v>
      </c>
      <c r="R3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4" s="13"/>
      <c r="T314" s="17"/>
    </row>
    <row r="315" spans="2:20" ht="17">
      <c r="B315" s="17" t="e">
        <f t="shared" si="6"/>
        <v>#REF!</v>
      </c>
      <c r="C315" s="13" t="s">
        <v>1099</v>
      </c>
      <c r="D315" s="13" t="s">
        <v>935</v>
      </c>
      <c r="E315" s="13">
        <v>552277531</v>
      </c>
      <c r="F315" s="13" t="s">
        <v>656</v>
      </c>
      <c r="G315" s="13" t="s">
        <v>573</v>
      </c>
      <c r="H315" s="13" t="s">
        <v>108</v>
      </c>
      <c r="I315" s="13" t="s">
        <v>108</v>
      </c>
      <c r="J315" s="17" t="s">
        <v>108</v>
      </c>
      <c r="K315" s="13">
        <v>1</v>
      </c>
      <c r="L315" s="13">
        <v>1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5" s="13"/>
      <c r="T315" s="17"/>
    </row>
    <row r="316" spans="2:20" ht="17">
      <c r="B316" s="17" t="e">
        <f t="shared" si="6"/>
        <v>#REF!</v>
      </c>
      <c r="C316" s="13" t="s">
        <v>936</v>
      </c>
      <c r="D316" s="13" t="s">
        <v>937</v>
      </c>
      <c r="E316" s="13">
        <v>54910039</v>
      </c>
      <c r="F316" s="13" t="s">
        <v>936</v>
      </c>
      <c r="G316" s="13" t="s">
        <v>573</v>
      </c>
      <c r="H316" s="13" t="s">
        <v>77</v>
      </c>
      <c r="I316" s="13" t="s">
        <v>79</v>
      </c>
      <c r="J316" s="17" t="s">
        <v>79</v>
      </c>
      <c r="K316" s="13">
        <v>0</v>
      </c>
      <c r="L316" s="13">
        <v>0</v>
      </c>
      <c r="M316" s="13">
        <v>1</v>
      </c>
      <c r="N316" s="13">
        <v>1</v>
      </c>
      <c r="O316" s="13">
        <v>1</v>
      </c>
      <c r="P316" s="13">
        <v>1</v>
      </c>
      <c r="Q316" s="13">
        <v>1</v>
      </c>
      <c r="R3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6" s="13"/>
      <c r="T316" s="17"/>
    </row>
    <row r="317" spans="2:20" ht="17">
      <c r="B317" s="17" t="e">
        <f t="shared" si="6"/>
        <v>#REF!</v>
      </c>
      <c r="C317" s="13" t="s">
        <v>938</v>
      </c>
      <c r="D317" s="13" t="s">
        <v>939</v>
      </c>
      <c r="E317" s="13">
        <v>552427851</v>
      </c>
      <c r="F317" s="13" t="s">
        <v>938</v>
      </c>
      <c r="G317" s="13" t="s">
        <v>573</v>
      </c>
      <c r="H317" s="13" t="s">
        <v>108</v>
      </c>
      <c r="I317" s="13" t="s">
        <v>15</v>
      </c>
      <c r="J317" s="17" t="s">
        <v>15</v>
      </c>
      <c r="K317" s="13">
        <v>1</v>
      </c>
      <c r="L317" s="13">
        <v>1</v>
      </c>
      <c r="M317" s="13">
        <v>1</v>
      </c>
      <c r="N317" s="13">
        <v>1</v>
      </c>
      <c r="O317" s="13">
        <v>1</v>
      </c>
      <c r="P317" s="13">
        <v>1</v>
      </c>
      <c r="Q317" s="13">
        <v>1</v>
      </c>
      <c r="R3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7" s="13"/>
      <c r="T317" s="17"/>
    </row>
    <row r="318" spans="2:20" ht="17">
      <c r="B318" s="17" t="e">
        <f t="shared" si="6"/>
        <v>#REF!</v>
      </c>
      <c r="C318" s="13" t="s">
        <v>940</v>
      </c>
      <c r="D318" s="13" t="s">
        <v>941</v>
      </c>
      <c r="E318" s="13">
        <v>540338999</v>
      </c>
      <c r="F318" s="13" t="s">
        <v>164</v>
      </c>
      <c r="G318" s="13" t="s">
        <v>573</v>
      </c>
      <c r="H318" s="13" t="s">
        <v>77</v>
      </c>
      <c r="I318" s="13" t="s">
        <v>79</v>
      </c>
      <c r="J318" s="17" t="s">
        <v>79</v>
      </c>
      <c r="K318" s="13">
        <v>0</v>
      </c>
      <c r="L318" s="13">
        <v>0</v>
      </c>
      <c r="M318" s="13">
        <v>1</v>
      </c>
      <c r="N318" s="13">
        <v>0</v>
      </c>
      <c r="O318" s="13">
        <v>1</v>
      </c>
      <c r="P318" s="13">
        <v>1</v>
      </c>
      <c r="Q318" s="13">
        <v>0</v>
      </c>
      <c r="R3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8" s="13"/>
      <c r="T318" s="17"/>
    </row>
    <row r="319" spans="2:20" ht="17">
      <c r="B319" s="17" t="e">
        <f t="shared" si="6"/>
        <v>#REF!</v>
      </c>
      <c r="C319" s="13" t="s">
        <v>942</v>
      </c>
      <c r="D319" s="13" t="s">
        <v>943</v>
      </c>
      <c r="E319" s="13">
        <v>558002770</v>
      </c>
      <c r="F319" s="13" t="s">
        <v>944</v>
      </c>
      <c r="G319" s="13" t="s">
        <v>143</v>
      </c>
      <c r="H319" s="13" t="s">
        <v>77</v>
      </c>
      <c r="I319" s="13" t="s">
        <v>90</v>
      </c>
      <c r="J319" s="17" t="s">
        <v>77</v>
      </c>
      <c r="K319" s="13">
        <v>1</v>
      </c>
      <c r="L319" s="13">
        <v>1</v>
      </c>
      <c r="M319" s="13">
        <v>2</v>
      </c>
      <c r="N319" s="13">
        <v>2</v>
      </c>
      <c r="O319" s="13">
        <v>1</v>
      </c>
      <c r="P319" s="13">
        <v>0</v>
      </c>
      <c r="Q319" s="13">
        <v>0</v>
      </c>
      <c r="R3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9" s="13"/>
      <c r="T319" s="17"/>
    </row>
    <row r="320" spans="2:20" ht="17">
      <c r="B320" s="17" t="e">
        <f t="shared" si="6"/>
        <v>#REF!</v>
      </c>
      <c r="C320" s="13" t="s">
        <v>945</v>
      </c>
      <c r="D320" s="13" t="s">
        <v>946</v>
      </c>
      <c r="E320" s="13">
        <v>504986716</v>
      </c>
      <c r="F320" s="13" t="s">
        <v>947</v>
      </c>
      <c r="G320" s="13" t="s">
        <v>143</v>
      </c>
      <c r="H320" s="13" t="s">
        <v>77</v>
      </c>
      <c r="I320" s="13" t="s">
        <v>79</v>
      </c>
      <c r="J320" s="17" t="s">
        <v>79</v>
      </c>
      <c r="K320" s="13">
        <v>0</v>
      </c>
      <c r="L320" s="13">
        <v>0</v>
      </c>
      <c r="M320" s="13">
        <v>1</v>
      </c>
      <c r="N320" s="13">
        <v>1</v>
      </c>
      <c r="O320" s="13">
        <v>0</v>
      </c>
      <c r="P320" s="13">
        <v>0</v>
      </c>
      <c r="Q320" s="13">
        <v>0</v>
      </c>
      <c r="R3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0" s="13"/>
      <c r="T320" s="17"/>
    </row>
    <row r="321" spans="2:20" ht="17">
      <c r="B321" s="17" t="e">
        <f t="shared" si="6"/>
        <v>#REF!</v>
      </c>
      <c r="C321" s="13" t="s">
        <v>948</v>
      </c>
      <c r="D321" s="13" t="s">
        <v>949</v>
      </c>
      <c r="E321" s="13">
        <v>505110198</v>
      </c>
      <c r="F321" s="13" t="s">
        <v>950</v>
      </c>
      <c r="G321" s="13" t="s">
        <v>143</v>
      </c>
      <c r="H321" s="13" t="s">
        <v>35</v>
      </c>
      <c r="I321" s="13" t="s">
        <v>35</v>
      </c>
      <c r="J321" s="17" t="s">
        <v>35</v>
      </c>
      <c r="K321" s="13">
        <v>1</v>
      </c>
      <c r="L321" s="13">
        <v>1</v>
      </c>
      <c r="M321" s="13">
        <v>2</v>
      </c>
      <c r="N321" s="13">
        <v>2</v>
      </c>
      <c r="O321" s="13">
        <v>2</v>
      </c>
      <c r="P321" s="13">
        <v>2</v>
      </c>
      <c r="Q321" s="13">
        <v>2</v>
      </c>
      <c r="R3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1" s="13"/>
      <c r="T321" s="17"/>
    </row>
    <row r="322" spans="2:20" ht="17">
      <c r="B322" s="17" t="e">
        <f t="shared" si="6"/>
        <v>#REF!</v>
      </c>
      <c r="C322" s="13" t="s">
        <v>375</v>
      </c>
      <c r="D322" s="13" t="s">
        <v>951</v>
      </c>
      <c r="E322" s="13">
        <v>501133576</v>
      </c>
      <c r="F322" s="13" t="s">
        <v>375</v>
      </c>
      <c r="G322" s="13" t="s">
        <v>143</v>
      </c>
      <c r="H322" s="13" t="s">
        <v>77</v>
      </c>
      <c r="I322" s="13" t="s">
        <v>79</v>
      </c>
      <c r="J322" s="17" t="s">
        <v>79</v>
      </c>
      <c r="K322" s="13">
        <v>1</v>
      </c>
      <c r="L322" s="13">
        <v>1</v>
      </c>
      <c r="M322" s="13">
        <v>1</v>
      </c>
      <c r="N322" s="13">
        <v>1</v>
      </c>
      <c r="O322" s="13">
        <v>1</v>
      </c>
      <c r="P322" s="13">
        <v>1</v>
      </c>
      <c r="Q322" s="13">
        <v>1</v>
      </c>
      <c r="R3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2" s="13"/>
      <c r="T322" s="17"/>
    </row>
    <row r="323" spans="2:20" ht="17">
      <c r="B323" s="17" t="e">
        <f t="shared" si="6"/>
        <v>#REF!</v>
      </c>
      <c r="C323" s="13" t="s">
        <v>952</v>
      </c>
      <c r="D323" s="13" t="s">
        <v>953</v>
      </c>
      <c r="E323" s="13">
        <v>5477055324</v>
      </c>
      <c r="F323" s="13" t="s">
        <v>181</v>
      </c>
      <c r="G323" s="13" t="s">
        <v>573</v>
      </c>
      <c r="H323" s="13" t="s">
        <v>75</v>
      </c>
      <c r="I323" s="13" t="s">
        <v>85</v>
      </c>
      <c r="J323" s="17" t="s">
        <v>75</v>
      </c>
      <c r="K323" s="13">
        <v>1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3" s="13"/>
      <c r="T323" s="17"/>
    </row>
    <row r="324" spans="2:20" ht="17">
      <c r="B324" s="17" t="e">
        <f t="shared" si="6"/>
        <v>#REF!</v>
      </c>
      <c r="C324" s="13" t="s">
        <v>222</v>
      </c>
      <c r="D324" s="13" t="s">
        <v>954</v>
      </c>
      <c r="E324" s="13">
        <v>554010215</v>
      </c>
      <c r="F324" s="13" t="s">
        <v>204</v>
      </c>
      <c r="G324" s="13" t="s">
        <v>143</v>
      </c>
      <c r="H324" s="13" t="s">
        <v>35</v>
      </c>
      <c r="I324" s="13" t="s">
        <v>35</v>
      </c>
      <c r="J324" s="17" t="s">
        <v>35</v>
      </c>
      <c r="K324" s="13">
        <v>0</v>
      </c>
      <c r="L324" s="13">
        <v>0</v>
      </c>
      <c r="M324" s="13">
        <v>1</v>
      </c>
      <c r="N324" s="13">
        <v>1</v>
      </c>
      <c r="O324" s="13">
        <v>1</v>
      </c>
      <c r="P324" s="13">
        <v>1</v>
      </c>
      <c r="Q324" s="13">
        <v>1</v>
      </c>
      <c r="R3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4" s="13"/>
      <c r="T324" s="17"/>
    </row>
    <row r="325" spans="2:20" ht="17">
      <c r="B325" s="17" t="e">
        <f t="shared" si="6"/>
        <v>#REF!</v>
      </c>
      <c r="C325" s="13" t="s">
        <v>955</v>
      </c>
      <c r="D325" s="13" t="s">
        <v>956</v>
      </c>
      <c r="E325" s="13">
        <v>543388053</v>
      </c>
      <c r="F325" s="13" t="s">
        <v>164</v>
      </c>
      <c r="G325" s="13" t="s">
        <v>573</v>
      </c>
      <c r="H325" s="13" t="s">
        <v>77</v>
      </c>
      <c r="I325" s="13" t="s">
        <v>91</v>
      </c>
      <c r="J325" s="17" t="s">
        <v>77</v>
      </c>
      <c r="K325" s="13">
        <v>0</v>
      </c>
      <c r="L325" s="13">
        <v>1</v>
      </c>
      <c r="M325" s="13">
        <v>1</v>
      </c>
      <c r="N325" s="13">
        <v>1</v>
      </c>
      <c r="O325" s="13">
        <v>1</v>
      </c>
      <c r="P325" s="13">
        <v>0</v>
      </c>
      <c r="Q325" s="13">
        <v>0</v>
      </c>
      <c r="R3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5" s="13"/>
      <c r="T325" s="17"/>
    </row>
    <row r="326" spans="2:20" ht="17">
      <c r="B326" s="17" t="e">
        <f t="shared" si="6"/>
        <v>#REF!</v>
      </c>
      <c r="C326" s="13" t="s">
        <v>957</v>
      </c>
      <c r="D326" s="13" t="s">
        <v>958</v>
      </c>
      <c r="E326" s="13">
        <v>545980220</v>
      </c>
      <c r="F326" s="13" t="s">
        <v>164</v>
      </c>
      <c r="G326" s="13" t="s">
        <v>143</v>
      </c>
      <c r="H326" s="13" t="s">
        <v>77</v>
      </c>
      <c r="I326" s="13" t="s">
        <v>90</v>
      </c>
      <c r="J326" s="17" t="s">
        <v>77</v>
      </c>
      <c r="K326" s="13">
        <v>1</v>
      </c>
      <c r="L326" s="13">
        <v>1</v>
      </c>
      <c r="M326" s="13">
        <v>1</v>
      </c>
      <c r="N326" s="13">
        <v>1</v>
      </c>
      <c r="O326" s="13">
        <v>1</v>
      </c>
      <c r="P326" s="13">
        <v>1</v>
      </c>
      <c r="Q326" s="13">
        <v>1</v>
      </c>
      <c r="R3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6" s="13"/>
      <c r="T326" s="17"/>
    </row>
    <row r="327" spans="2:20" ht="17">
      <c r="B327" s="17" t="e">
        <f t="shared" si="6"/>
        <v>#REF!</v>
      </c>
      <c r="C327" s="13" t="s">
        <v>959</v>
      </c>
      <c r="D327" s="13" t="s">
        <v>960</v>
      </c>
      <c r="E327" s="13">
        <v>567767171</v>
      </c>
      <c r="F327" s="13" t="s">
        <v>961</v>
      </c>
      <c r="G327" s="13" t="s">
        <v>573</v>
      </c>
      <c r="H327" s="13" t="s">
        <v>77</v>
      </c>
      <c r="I327" s="13" t="s">
        <v>73</v>
      </c>
      <c r="J327" s="17" t="s">
        <v>73</v>
      </c>
      <c r="K327" s="13">
        <v>1</v>
      </c>
      <c r="L327" s="13">
        <v>0</v>
      </c>
      <c r="M327" s="13">
        <v>1</v>
      </c>
      <c r="N327" s="13">
        <v>0</v>
      </c>
      <c r="O327" s="13">
        <v>1</v>
      </c>
      <c r="P327" s="13">
        <v>1</v>
      </c>
      <c r="Q327" s="13">
        <v>1</v>
      </c>
      <c r="R3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7" s="13"/>
      <c r="T327" s="17"/>
    </row>
    <row r="328" spans="2:20" ht="17">
      <c r="B328" s="17" t="e">
        <f t="shared" si="6"/>
        <v>#REF!</v>
      </c>
      <c r="C328" s="13" t="s">
        <v>640</v>
      </c>
      <c r="D328" s="13" t="s">
        <v>641</v>
      </c>
      <c r="E328" s="13">
        <v>599376684</v>
      </c>
      <c r="F328" s="13" t="s">
        <v>253</v>
      </c>
      <c r="G328" s="13" t="s">
        <v>294</v>
      </c>
      <c r="H328" s="13" t="s">
        <v>108</v>
      </c>
      <c r="I328" s="13" t="s">
        <v>27</v>
      </c>
      <c r="J328" s="17" t="s">
        <v>27</v>
      </c>
      <c r="K328" s="13">
        <v>0</v>
      </c>
      <c r="L328" s="13">
        <v>1</v>
      </c>
      <c r="M328" s="13">
        <v>1</v>
      </c>
      <c r="N328" s="13">
        <v>1</v>
      </c>
      <c r="O328" s="13">
        <v>1</v>
      </c>
      <c r="P328" s="13">
        <v>1</v>
      </c>
      <c r="Q328" s="13">
        <v>1</v>
      </c>
      <c r="R3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8" s="13"/>
      <c r="T328" s="17" t="s">
        <v>1621</v>
      </c>
    </row>
    <row r="329" spans="2:20" ht="17">
      <c r="B329" s="17" t="e">
        <f t="shared" si="6"/>
        <v>#REF!</v>
      </c>
      <c r="C329" s="13" t="s">
        <v>962</v>
      </c>
      <c r="D329" s="13" t="s">
        <v>422</v>
      </c>
      <c r="E329" s="13">
        <v>542704065</v>
      </c>
      <c r="F329" s="13" t="s">
        <v>164</v>
      </c>
      <c r="G329" s="13" t="s">
        <v>573</v>
      </c>
      <c r="H329" s="13" t="s">
        <v>108</v>
      </c>
      <c r="I329" s="13" t="s">
        <v>108</v>
      </c>
      <c r="J329" s="17" t="s">
        <v>108</v>
      </c>
      <c r="K329" s="13">
        <v>0</v>
      </c>
      <c r="L329" s="13">
        <v>1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9" s="13"/>
      <c r="T329" s="17"/>
    </row>
    <row r="330" spans="2:20" ht="17">
      <c r="B330" s="17" t="e">
        <f>#REF!+1</f>
        <v>#REF!</v>
      </c>
      <c r="C330" s="13" t="s">
        <v>964</v>
      </c>
      <c r="D330" s="13" t="s">
        <v>519</v>
      </c>
      <c r="E330" s="13">
        <v>550088733</v>
      </c>
      <c r="F330" s="13" t="s">
        <v>164</v>
      </c>
      <c r="G330" s="13" t="s">
        <v>294</v>
      </c>
      <c r="H330" s="13" t="s">
        <v>108</v>
      </c>
      <c r="I330" s="13" t="s">
        <v>15</v>
      </c>
      <c r="J330" s="17" t="s">
        <v>15</v>
      </c>
      <c r="K330" s="13">
        <v>1</v>
      </c>
      <c r="L330" s="13">
        <v>1</v>
      </c>
      <c r="M330" s="13">
        <v>0</v>
      </c>
      <c r="N330" s="13">
        <v>1</v>
      </c>
      <c r="O330" s="13">
        <v>0</v>
      </c>
      <c r="P330" s="13">
        <v>0</v>
      </c>
      <c r="Q330" s="13">
        <v>0</v>
      </c>
      <c r="R3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0" s="13"/>
      <c r="T330" s="17" t="s">
        <v>1621</v>
      </c>
    </row>
    <row r="331" spans="2:20" ht="17">
      <c r="B331" s="17" t="e">
        <f t="shared" si="6"/>
        <v>#REF!</v>
      </c>
      <c r="C331" s="13" t="s">
        <v>1558</v>
      </c>
      <c r="D331" s="13" t="s">
        <v>965</v>
      </c>
      <c r="E331" s="13">
        <v>503600005</v>
      </c>
      <c r="F331" s="13" t="s">
        <v>164</v>
      </c>
      <c r="G331" s="13" t="s">
        <v>294</v>
      </c>
      <c r="H331" s="13" t="s">
        <v>108</v>
      </c>
      <c r="I331" s="13" t="s">
        <v>27</v>
      </c>
      <c r="J331" s="17" t="s">
        <v>27</v>
      </c>
      <c r="K331" s="13">
        <v>1</v>
      </c>
      <c r="L331" s="13">
        <v>1</v>
      </c>
      <c r="M331" s="13">
        <v>1</v>
      </c>
      <c r="N331" s="13">
        <v>0</v>
      </c>
      <c r="O331" s="13">
        <v>0</v>
      </c>
      <c r="P331" s="13">
        <v>0</v>
      </c>
      <c r="Q331" s="13">
        <v>0</v>
      </c>
      <c r="R3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1" s="13"/>
      <c r="T331" s="17" t="s">
        <v>1621</v>
      </c>
    </row>
    <row r="332" spans="2:20" ht="17">
      <c r="B332" s="17" t="e">
        <f t="shared" si="6"/>
        <v>#REF!</v>
      </c>
      <c r="C332" s="13" t="s">
        <v>966</v>
      </c>
      <c r="D332" s="13" t="s">
        <v>930</v>
      </c>
      <c r="E332" s="13">
        <v>569003720</v>
      </c>
      <c r="F332" s="13" t="s">
        <v>164</v>
      </c>
      <c r="G332" s="13" t="s">
        <v>294</v>
      </c>
      <c r="H332" s="13" t="s">
        <v>108</v>
      </c>
      <c r="I332" s="13" t="s">
        <v>48</v>
      </c>
      <c r="J332" s="17" t="s">
        <v>108</v>
      </c>
      <c r="K332" s="13">
        <v>1</v>
      </c>
      <c r="L332" s="13">
        <v>1</v>
      </c>
      <c r="M332" s="13">
        <v>1</v>
      </c>
      <c r="N332" s="13">
        <v>1</v>
      </c>
      <c r="O332" s="13">
        <v>1</v>
      </c>
      <c r="P332" s="13">
        <v>0</v>
      </c>
      <c r="Q332" s="13">
        <v>0</v>
      </c>
      <c r="R3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2" s="13"/>
      <c r="T332" s="17" t="s">
        <v>1621</v>
      </c>
    </row>
    <row r="333" spans="2:20" ht="17">
      <c r="B333" s="17" t="e">
        <f>#REF!+1</f>
        <v>#REF!</v>
      </c>
      <c r="C333" s="13" t="s">
        <v>1704</v>
      </c>
      <c r="D333" s="13" t="s">
        <v>968</v>
      </c>
      <c r="E333" s="13">
        <v>544001660</v>
      </c>
      <c r="F333" s="13" t="s">
        <v>164</v>
      </c>
      <c r="G333" s="13" t="s">
        <v>294</v>
      </c>
      <c r="H333" s="13" t="s">
        <v>77</v>
      </c>
      <c r="I333" s="13" t="s">
        <v>43</v>
      </c>
      <c r="J333" s="17" t="s">
        <v>105</v>
      </c>
      <c r="K333" s="13">
        <v>1</v>
      </c>
      <c r="L333" s="13">
        <v>1</v>
      </c>
      <c r="M333" s="13">
        <v>1</v>
      </c>
      <c r="N333" s="13">
        <v>1</v>
      </c>
      <c r="O333" s="13">
        <v>1</v>
      </c>
      <c r="P333" s="13">
        <v>1</v>
      </c>
      <c r="Q333" s="13">
        <v>1</v>
      </c>
      <c r="R3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3" s="13" t="s">
        <v>1599</v>
      </c>
      <c r="T333" s="17" t="s">
        <v>1621</v>
      </c>
    </row>
    <row r="334" spans="2:20" ht="17">
      <c r="B334" s="17" t="e">
        <f t="shared" si="6"/>
        <v>#REF!</v>
      </c>
      <c r="C334" s="13" t="s">
        <v>969</v>
      </c>
      <c r="D334" s="13" t="s">
        <v>970</v>
      </c>
      <c r="E334" s="45">
        <v>966550168174</v>
      </c>
      <c r="F334" s="13" t="s">
        <v>164</v>
      </c>
      <c r="G334" s="13" t="s">
        <v>294</v>
      </c>
      <c r="H334" s="13" t="s">
        <v>77</v>
      </c>
      <c r="I334" s="13" t="s">
        <v>43</v>
      </c>
      <c r="J334" s="17" t="s">
        <v>105</v>
      </c>
      <c r="K334" s="13">
        <v>1</v>
      </c>
      <c r="L334" s="13">
        <v>1</v>
      </c>
      <c r="M334" s="13">
        <v>1</v>
      </c>
      <c r="N334" s="13">
        <v>1</v>
      </c>
      <c r="O334" s="13">
        <v>1</v>
      </c>
      <c r="P334" s="13">
        <v>1</v>
      </c>
      <c r="Q334" s="13">
        <v>1</v>
      </c>
      <c r="R3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4" s="13" t="s">
        <v>1599</v>
      </c>
      <c r="T334" s="17" t="s">
        <v>1621</v>
      </c>
    </row>
    <row r="335" spans="2:20" ht="17">
      <c r="B335" s="17" t="e">
        <f t="shared" si="6"/>
        <v>#REF!</v>
      </c>
      <c r="C335" s="13" t="s">
        <v>971</v>
      </c>
      <c r="D335" s="13" t="s">
        <v>972</v>
      </c>
      <c r="E335" s="13">
        <v>533978378</v>
      </c>
      <c r="F335" s="13" t="s">
        <v>164</v>
      </c>
      <c r="G335" s="13" t="s">
        <v>294</v>
      </c>
      <c r="H335" s="13" t="s">
        <v>77</v>
      </c>
      <c r="I335" s="13" t="s">
        <v>43</v>
      </c>
      <c r="J335" s="17" t="s">
        <v>105</v>
      </c>
      <c r="K335" s="13">
        <v>1</v>
      </c>
      <c r="L335" s="13">
        <v>1</v>
      </c>
      <c r="M335" s="13">
        <v>1</v>
      </c>
      <c r="N335" s="13">
        <v>1</v>
      </c>
      <c r="O335" s="13">
        <v>1</v>
      </c>
      <c r="P335" s="13">
        <v>1</v>
      </c>
      <c r="Q335" s="13">
        <v>1</v>
      </c>
      <c r="R3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5" s="13" t="s">
        <v>1599</v>
      </c>
      <c r="T335" s="17" t="s">
        <v>1621</v>
      </c>
    </row>
    <row r="336" spans="2:20" ht="17">
      <c r="B336" s="17" t="e">
        <f t="shared" si="6"/>
        <v>#REF!</v>
      </c>
      <c r="C336" s="13" t="s">
        <v>973</v>
      </c>
      <c r="D336" s="13" t="s">
        <v>974</v>
      </c>
      <c r="E336" s="13">
        <v>561143088</v>
      </c>
      <c r="F336" s="13" t="s">
        <v>164</v>
      </c>
      <c r="G336" s="13" t="s">
        <v>294</v>
      </c>
      <c r="H336" s="13" t="s">
        <v>81</v>
      </c>
      <c r="I336" s="13" t="s">
        <v>72</v>
      </c>
      <c r="J336" s="17" t="s">
        <v>81</v>
      </c>
      <c r="K336" s="13">
        <v>1</v>
      </c>
      <c r="L336" s="13">
        <v>1</v>
      </c>
      <c r="M336" s="13">
        <v>1</v>
      </c>
      <c r="N336" s="13">
        <v>1</v>
      </c>
      <c r="O336" s="13">
        <v>1</v>
      </c>
      <c r="P336" s="13">
        <v>1</v>
      </c>
      <c r="Q336" s="13">
        <v>0</v>
      </c>
      <c r="R3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6" s="13"/>
      <c r="T336" s="17" t="s">
        <v>1621</v>
      </c>
    </row>
    <row r="337" spans="2:20" ht="17">
      <c r="B337" s="17" t="e">
        <f>#REF!+1</f>
        <v>#REF!</v>
      </c>
      <c r="C337" s="13" t="s">
        <v>976</v>
      </c>
      <c r="D337" s="13" t="s">
        <v>977</v>
      </c>
      <c r="E337" s="13">
        <v>549138832</v>
      </c>
      <c r="F337" s="13" t="s">
        <v>164</v>
      </c>
      <c r="G337" s="13" t="s">
        <v>294</v>
      </c>
      <c r="H337" s="13" t="s">
        <v>77</v>
      </c>
      <c r="I337" s="13" t="s">
        <v>43</v>
      </c>
      <c r="J337" s="17" t="s">
        <v>105</v>
      </c>
      <c r="K337" s="13">
        <v>1</v>
      </c>
      <c r="L337" s="13">
        <v>1</v>
      </c>
      <c r="M337" s="13">
        <v>1</v>
      </c>
      <c r="N337" s="13">
        <v>1</v>
      </c>
      <c r="O337" s="13">
        <v>1</v>
      </c>
      <c r="P337" s="13">
        <v>1</v>
      </c>
      <c r="Q337" s="13">
        <v>1</v>
      </c>
      <c r="R3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7" s="13"/>
      <c r="T337" s="17" t="s">
        <v>1621</v>
      </c>
    </row>
    <row r="338" spans="2:20" ht="17">
      <c r="B338" s="17" t="e">
        <f t="shared" si="6"/>
        <v>#REF!</v>
      </c>
      <c r="C338" s="13" t="s">
        <v>978</v>
      </c>
      <c r="D338" s="13" t="s">
        <v>979</v>
      </c>
      <c r="E338" s="13">
        <v>582787375</v>
      </c>
      <c r="F338" s="13" t="s">
        <v>164</v>
      </c>
      <c r="G338" s="13" t="s">
        <v>294</v>
      </c>
      <c r="H338" s="13" t="s">
        <v>78</v>
      </c>
      <c r="I338" s="13" t="s">
        <v>93</v>
      </c>
      <c r="J338" s="17" t="s">
        <v>78</v>
      </c>
      <c r="K338" s="13">
        <v>1</v>
      </c>
      <c r="L338" s="13">
        <v>0</v>
      </c>
      <c r="M338" s="13">
        <v>1</v>
      </c>
      <c r="N338" s="13">
        <v>1</v>
      </c>
      <c r="O338" s="13">
        <v>1</v>
      </c>
      <c r="P338" s="13">
        <v>0</v>
      </c>
      <c r="Q338" s="13">
        <v>0</v>
      </c>
      <c r="R3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8" s="13"/>
      <c r="T338" s="17" t="s">
        <v>1621</v>
      </c>
    </row>
    <row r="339" spans="2:20" ht="17">
      <c r="B339" s="17" t="e">
        <f t="shared" si="6"/>
        <v>#REF!</v>
      </c>
      <c r="C339" s="13" t="s">
        <v>980</v>
      </c>
      <c r="D339" s="13" t="s">
        <v>981</v>
      </c>
      <c r="E339" s="13">
        <v>565137072</v>
      </c>
      <c r="F339" s="13" t="s">
        <v>164</v>
      </c>
      <c r="G339" s="13" t="s">
        <v>294</v>
      </c>
      <c r="H339" s="13" t="s">
        <v>24</v>
      </c>
      <c r="I339" s="13" t="s">
        <v>24</v>
      </c>
      <c r="J339" s="17" t="s">
        <v>24</v>
      </c>
      <c r="K339" s="13">
        <v>1</v>
      </c>
      <c r="L339" s="13">
        <v>1</v>
      </c>
      <c r="M339" s="13">
        <v>1</v>
      </c>
      <c r="N339" s="13">
        <v>1</v>
      </c>
      <c r="O339" s="13">
        <v>0</v>
      </c>
      <c r="P339" s="13">
        <v>0</v>
      </c>
      <c r="Q339" s="13">
        <v>0</v>
      </c>
      <c r="R3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9" s="13"/>
      <c r="T339" s="17" t="s">
        <v>1621</v>
      </c>
    </row>
    <row r="340" spans="2:20" ht="17">
      <c r="B340" s="17" t="e">
        <f t="shared" si="6"/>
        <v>#REF!</v>
      </c>
      <c r="C340" s="13" t="s">
        <v>982</v>
      </c>
      <c r="D340" s="13" t="s">
        <v>983</v>
      </c>
      <c r="E340" s="13">
        <v>555904024</v>
      </c>
      <c r="F340" s="13" t="s">
        <v>164</v>
      </c>
      <c r="G340" s="13" t="s">
        <v>294</v>
      </c>
      <c r="H340" s="13" t="s">
        <v>108</v>
      </c>
      <c r="I340" s="13" t="s">
        <v>108</v>
      </c>
      <c r="J340" s="17" t="s">
        <v>108</v>
      </c>
      <c r="K340" s="13">
        <v>0</v>
      </c>
      <c r="L340" s="13">
        <v>0</v>
      </c>
      <c r="M340" s="13">
        <v>1</v>
      </c>
      <c r="N340" s="13">
        <v>0</v>
      </c>
      <c r="O340" s="13">
        <v>1</v>
      </c>
      <c r="P340" s="13">
        <v>1</v>
      </c>
      <c r="Q340" s="13">
        <v>0</v>
      </c>
      <c r="R3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0" s="13"/>
      <c r="T340" s="17" t="s">
        <v>1621</v>
      </c>
    </row>
    <row r="341" spans="2:20" ht="17">
      <c r="B341" s="17" t="e">
        <f>#REF!+1</f>
        <v>#REF!</v>
      </c>
      <c r="C341" s="13" t="s">
        <v>986</v>
      </c>
      <c r="D341" s="13" t="s">
        <v>987</v>
      </c>
      <c r="E341" s="13">
        <v>547736671</v>
      </c>
      <c r="F341" s="13" t="s">
        <v>164</v>
      </c>
      <c r="G341" s="13" t="s">
        <v>294</v>
      </c>
      <c r="H341" s="13" t="s">
        <v>108</v>
      </c>
      <c r="I341" s="13" t="s">
        <v>27</v>
      </c>
      <c r="J341" s="17" t="s">
        <v>27</v>
      </c>
      <c r="K341" s="13">
        <v>0</v>
      </c>
      <c r="L341" s="13">
        <v>0</v>
      </c>
      <c r="M341" s="13">
        <v>0</v>
      </c>
      <c r="N341" s="13">
        <v>1</v>
      </c>
      <c r="O341" s="13">
        <v>0</v>
      </c>
      <c r="P341" s="13">
        <v>0</v>
      </c>
      <c r="Q341" s="13">
        <v>0</v>
      </c>
      <c r="R3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1" s="13"/>
      <c r="T341" s="17" t="s">
        <v>1621</v>
      </c>
    </row>
    <row r="342" spans="2:20" ht="17">
      <c r="B342" s="17" t="e">
        <f>#REF!+1</f>
        <v>#REF!</v>
      </c>
      <c r="C342" s="13" t="s">
        <v>990</v>
      </c>
      <c r="D342" s="13" t="s">
        <v>991</v>
      </c>
      <c r="E342" s="13">
        <v>507297758</v>
      </c>
      <c r="F342" s="13" t="s">
        <v>164</v>
      </c>
      <c r="G342" s="13" t="s">
        <v>294</v>
      </c>
      <c r="H342" s="13" t="s">
        <v>77</v>
      </c>
      <c r="I342" s="13" t="s">
        <v>1028</v>
      </c>
      <c r="J342" s="17" t="s">
        <v>105</v>
      </c>
      <c r="K342" s="13">
        <v>1</v>
      </c>
      <c r="L342" s="13">
        <v>1</v>
      </c>
      <c r="M342" s="13">
        <v>1</v>
      </c>
      <c r="N342" s="13">
        <v>1</v>
      </c>
      <c r="O342" s="13">
        <v>1</v>
      </c>
      <c r="P342" s="13">
        <v>1</v>
      </c>
      <c r="Q342" s="13">
        <v>1</v>
      </c>
      <c r="R3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2" s="13" t="s">
        <v>1599</v>
      </c>
      <c r="T342" s="17" t="s">
        <v>1621</v>
      </c>
    </row>
    <row r="343" spans="2:20" ht="17">
      <c r="B343" s="17" t="e">
        <f>#REF!+1</f>
        <v>#REF!</v>
      </c>
      <c r="C343" s="13" t="s">
        <v>993</v>
      </c>
      <c r="D343" s="13" t="s">
        <v>994</v>
      </c>
      <c r="E343" s="13">
        <v>537196952</v>
      </c>
      <c r="F343" s="13" t="s">
        <v>164</v>
      </c>
      <c r="G343" s="13" t="s">
        <v>294</v>
      </c>
      <c r="H343" s="13" t="s">
        <v>77</v>
      </c>
      <c r="I343" s="13" t="s">
        <v>1028</v>
      </c>
      <c r="J343" s="17" t="s">
        <v>105</v>
      </c>
      <c r="K343" s="13">
        <v>1</v>
      </c>
      <c r="L343" s="13">
        <v>1</v>
      </c>
      <c r="M343" s="13">
        <v>1</v>
      </c>
      <c r="N343" s="13">
        <v>1</v>
      </c>
      <c r="O343" s="13">
        <v>1</v>
      </c>
      <c r="P343" s="13">
        <v>1</v>
      </c>
      <c r="Q343" s="13">
        <v>1</v>
      </c>
      <c r="R3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3" s="13"/>
      <c r="T343" s="17" t="s">
        <v>1621</v>
      </c>
    </row>
    <row r="344" spans="2:20" ht="17">
      <c r="B344" s="17" t="e">
        <f t="shared" si="6"/>
        <v>#REF!</v>
      </c>
      <c r="C344" s="13" t="s">
        <v>1595</v>
      </c>
      <c r="D344" s="13" t="s">
        <v>995</v>
      </c>
      <c r="E344" s="13">
        <v>560821080</v>
      </c>
      <c r="F344" s="13" t="s">
        <v>164</v>
      </c>
      <c r="G344" s="13" t="s">
        <v>294</v>
      </c>
      <c r="H344" s="13" t="s">
        <v>108</v>
      </c>
      <c r="I344" s="13" t="s">
        <v>27</v>
      </c>
      <c r="J344" s="17" t="s">
        <v>27</v>
      </c>
      <c r="K344" s="13">
        <v>0</v>
      </c>
      <c r="L344" s="13">
        <v>1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4" s="13" t="s">
        <v>1599</v>
      </c>
      <c r="T344" s="17" t="s">
        <v>1621</v>
      </c>
    </row>
    <row r="345" spans="2:20" ht="17">
      <c r="B345" s="17" t="e">
        <f t="shared" si="6"/>
        <v>#REF!</v>
      </c>
      <c r="C345" s="13" t="s">
        <v>996</v>
      </c>
      <c r="D345" s="13" t="s">
        <v>997</v>
      </c>
      <c r="E345" s="13">
        <v>504394394</v>
      </c>
      <c r="F345" s="13" t="s">
        <v>164</v>
      </c>
      <c r="G345" s="13" t="s">
        <v>573</v>
      </c>
      <c r="H345" s="13" t="s">
        <v>35</v>
      </c>
      <c r="I345" s="13" t="s">
        <v>35</v>
      </c>
      <c r="J345" s="17" t="s">
        <v>35</v>
      </c>
      <c r="K345" s="13">
        <v>1</v>
      </c>
      <c r="L345" s="13">
        <v>1</v>
      </c>
      <c r="M345" s="13">
        <v>0</v>
      </c>
      <c r="N345" s="13">
        <v>1</v>
      </c>
      <c r="O345" s="13">
        <v>1</v>
      </c>
      <c r="P345" s="13">
        <v>1</v>
      </c>
      <c r="Q345" s="13">
        <v>0</v>
      </c>
      <c r="R3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5" s="13"/>
      <c r="T345" s="17"/>
    </row>
    <row r="346" spans="2:20" ht="17">
      <c r="B346" s="17" t="e">
        <f>#REF!+1</f>
        <v>#REF!</v>
      </c>
      <c r="C346" s="13" t="s">
        <v>1705</v>
      </c>
      <c r="D346" s="13" t="s">
        <v>1000</v>
      </c>
      <c r="E346" s="13">
        <v>568762556</v>
      </c>
      <c r="F346" s="13" t="s">
        <v>164</v>
      </c>
      <c r="G346" s="13" t="s">
        <v>294</v>
      </c>
      <c r="H346" s="13" t="s">
        <v>77</v>
      </c>
      <c r="I346" s="13" t="s">
        <v>1028</v>
      </c>
      <c r="J346" s="17" t="s">
        <v>105</v>
      </c>
      <c r="K346" s="13">
        <v>1</v>
      </c>
      <c r="L346" s="13">
        <v>1</v>
      </c>
      <c r="M346" s="13">
        <v>1</v>
      </c>
      <c r="N346" s="13">
        <v>1</v>
      </c>
      <c r="O346" s="13">
        <v>1</v>
      </c>
      <c r="P346" s="13">
        <v>1</v>
      </c>
      <c r="Q346" s="13">
        <v>1</v>
      </c>
      <c r="R3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6" s="13" t="s">
        <v>1599</v>
      </c>
      <c r="T346" s="17" t="s">
        <v>1621</v>
      </c>
    </row>
    <row r="347" spans="2:20" ht="17">
      <c r="B347" s="17" t="e">
        <f t="shared" si="6"/>
        <v>#REF!</v>
      </c>
      <c r="C347" s="13" t="s">
        <v>1001</v>
      </c>
      <c r="D347" s="13" t="s">
        <v>1002</v>
      </c>
      <c r="E347" s="13">
        <v>565424252</v>
      </c>
      <c r="F347" s="13" t="s">
        <v>164</v>
      </c>
      <c r="G347" s="13" t="s">
        <v>573</v>
      </c>
      <c r="H347" s="13" t="s">
        <v>108</v>
      </c>
      <c r="I347" s="13" t="s">
        <v>51</v>
      </c>
      <c r="J347" s="17" t="s">
        <v>108</v>
      </c>
      <c r="K347" s="13">
        <v>0</v>
      </c>
      <c r="L347" s="13">
        <v>0</v>
      </c>
      <c r="M347" s="13">
        <v>1</v>
      </c>
      <c r="N347" s="13">
        <v>1</v>
      </c>
      <c r="O347" s="13">
        <v>0</v>
      </c>
      <c r="P347" s="13">
        <v>0</v>
      </c>
      <c r="Q347" s="13">
        <v>0</v>
      </c>
      <c r="R3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7" s="13"/>
      <c r="T347" s="17"/>
    </row>
    <row r="348" spans="2:20" ht="17">
      <c r="B348" s="17" t="e">
        <f>#REF!+1</f>
        <v>#REF!</v>
      </c>
      <c r="C348" s="13" t="s">
        <v>1003</v>
      </c>
      <c r="D348" s="13" t="s">
        <v>1004</v>
      </c>
      <c r="E348" s="13">
        <v>547040000</v>
      </c>
      <c r="F348" s="13" t="s">
        <v>1005</v>
      </c>
      <c r="G348" s="13" t="s">
        <v>573</v>
      </c>
      <c r="H348" s="13" t="s">
        <v>77</v>
      </c>
      <c r="I348" s="13" t="s">
        <v>79</v>
      </c>
      <c r="J348" s="17" t="s">
        <v>79</v>
      </c>
      <c r="K348" s="13">
        <v>1</v>
      </c>
      <c r="L348" s="13">
        <v>0</v>
      </c>
      <c r="M348" s="13">
        <v>1</v>
      </c>
      <c r="N348" s="13">
        <v>0</v>
      </c>
      <c r="O348" s="13">
        <v>1</v>
      </c>
      <c r="P348" s="13">
        <v>0</v>
      </c>
      <c r="Q348" s="13">
        <v>0</v>
      </c>
      <c r="R3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8" s="13"/>
      <c r="T348" s="17"/>
    </row>
    <row r="349" spans="2:20" ht="17">
      <c r="B349" s="17" t="e">
        <f t="shared" si="6"/>
        <v>#REF!</v>
      </c>
      <c r="C349" s="13" t="s">
        <v>1006</v>
      </c>
      <c r="D349" s="13" t="s">
        <v>934</v>
      </c>
      <c r="E349" s="13">
        <v>597112333</v>
      </c>
      <c r="F349" s="13" t="s">
        <v>164</v>
      </c>
      <c r="G349" s="13" t="s">
        <v>143</v>
      </c>
      <c r="H349" s="13" t="s">
        <v>35</v>
      </c>
      <c r="I349" s="13" t="s">
        <v>35</v>
      </c>
      <c r="J349" s="17" t="s">
        <v>35</v>
      </c>
      <c r="K349" s="13">
        <v>1</v>
      </c>
      <c r="L349" s="13">
        <v>1</v>
      </c>
      <c r="M349" s="13">
        <v>1</v>
      </c>
      <c r="N349" s="13">
        <v>1</v>
      </c>
      <c r="O349" s="13">
        <v>0</v>
      </c>
      <c r="P349" s="13">
        <v>0</v>
      </c>
      <c r="Q349" s="13">
        <v>0</v>
      </c>
      <c r="R3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9" s="13"/>
      <c r="T349" s="17"/>
    </row>
    <row r="350" spans="2:20" ht="17">
      <c r="B350" s="17" t="e">
        <f t="shared" si="6"/>
        <v>#REF!</v>
      </c>
      <c r="C350" s="13" t="s">
        <v>106</v>
      </c>
      <c r="D350" s="13" t="s">
        <v>1007</v>
      </c>
      <c r="E350" s="13">
        <v>507471670</v>
      </c>
      <c r="F350" s="13" t="s">
        <v>1008</v>
      </c>
      <c r="G350" s="13" t="s">
        <v>143</v>
      </c>
      <c r="H350" s="13" t="s">
        <v>77</v>
      </c>
      <c r="I350" s="13" t="s">
        <v>105</v>
      </c>
      <c r="J350" s="17" t="s">
        <v>105</v>
      </c>
      <c r="K350" s="13">
        <v>1</v>
      </c>
      <c r="L350" s="13">
        <v>1</v>
      </c>
      <c r="M350" s="13">
        <v>1</v>
      </c>
      <c r="N350" s="13">
        <v>1</v>
      </c>
      <c r="O350" s="13">
        <v>1</v>
      </c>
      <c r="P350" s="13">
        <v>1</v>
      </c>
      <c r="Q350" s="13">
        <v>1</v>
      </c>
      <c r="R3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0" s="13"/>
      <c r="T350" s="17"/>
    </row>
    <row r="351" spans="2:20" ht="17">
      <c r="B351" s="17" t="e">
        <f t="shared" si="6"/>
        <v>#REF!</v>
      </c>
      <c r="C351" s="13" t="s">
        <v>1009</v>
      </c>
      <c r="D351" s="13" t="s">
        <v>1010</v>
      </c>
      <c r="E351" s="13" t="s">
        <v>253</v>
      </c>
      <c r="F351" s="13" t="s">
        <v>1011</v>
      </c>
      <c r="G351" s="13" t="s">
        <v>573</v>
      </c>
      <c r="H351" s="13" t="s">
        <v>77</v>
      </c>
      <c r="I351" s="13" t="s">
        <v>105</v>
      </c>
      <c r="J351" s="17" t="s">
        <v>105</v>
      </c>
      <c r="K351" s="13">
        <v>1</v>
      </c>
      <c r="L351" s="13">
        <v>1</v>
      </c>
      <c r="M351" s="13">
        <v>1</v>
      </c>
      <c r="N351" s="13">
        <v>2</v>
      </c>
      <c r="O351" s="13">
        <v>1</v>
      </c>
      <c r="P351" s="13">
        <v>1</v>
      </c>
      <c r="Q351" s="13">
        <v>1</v>
      </c>
      <c r="R3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1" s="13"/>
      <c r="T351" s="17"/>
    </row>
    <row r="352" spans="2:20" ht="17">
      <c r="B352" s="17" t="e">
        <f t="shared" si="6"/>
        <v>#REF!</v>
      </c>
      <c r="C352" s="13" t="s">
        <v>1012</v>
      </c>
      <c r="D352" s="13" t="s">
        <v>1013</v>
      </c>
      <c r="E352" s="13">
        <v>536889581</v>
      </c>
      <c r="F352" s="13" t="s">
        <v>1008</v>
      </c>
      <c r="G352" s="13" t="s">
        <v>573</v>
      </c>
      <c r="H352" s="13" t="s">
        <v>77</v>
      </c>
      <c r="I352" s="13" t="s">
        <v>105</v>
      </c>
      <c r="J352" s="17" t="s">
        <v>105</v>
      </c>
      <c r="K352" s="13">
        <v>1</v>
      </c>
      <c r="L352" s="13">
        <v>1</v>
      </c>
      <c r="M352" s="13">
        <v>1</v>
      </c>
      <c r="N352" s="13">
        <v>1</v>
      </c>
      <c r="O352" s="13">
        <v>1</v>
      </c>
      <c r="P352" s="13">
        <v>1</v>
      </c>
      <c r="Q352" s="13">
        <v>1</v>
      </c>
      <c r="R3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2" s="13"/>
      <c r="T352" s="17"/>
    </row>
    <row r="353" spans="2:20" ht="17">
      <c r="B353" s="17" t="e">
        <f t="shared" si="6"/>
        <v>#REF!</v>
      </c>
      <c r="C353" s="13" t="s">
        <v>1014</v>
      </c>
      <c r="D353" s="13" t="s">
        <v>1015</v>
      </c>
      <c r="E353" s="13">
        <v>556026669</v>
      </c>
      <c r="F353" s="13" t="s">
        <v>1014</v>
      </c>
      <c r="G353" s="13" t="s">
        <v>143</v>
      </c>
      <c r="H353" s="13" t="s">
        <v>77</v>
      </c>
      <c r="I353" s="13" t="s">
        <v>43</v>
      </c>
      <c r="J353" s="17" t="s">
        <v>105</v>
      </c>
      <c r="K353" s="13">
        <v>1</v>
      </c>
      <c r="L353" s="13">
        <v>1</v>
      </c>
      <c r="M353" s="13">
        <v>1</v>
      </c>
      <c r="N353" s="13">
        <v>1</v>
      </c>
      <c r="O353" s="13">
        <v>1</v>
      </c>
      <c r="P353" s="13">
        <v>1</v>
      </c>
      <c r="Q353" s="13">
        <v>1</v>
      </c>
      <c r="R3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3" s="13"/>
      <c r="T353" s="17"/>
    </row>
    <row r="354" spans="2:20" ht="17">
      <c r="B354" s="17" t="e">
        <f t="shared" si="6"/>
        <v>#REF!</v>
      </c>
      <c r="C354" s="13" t="s">
        <v>1016</v>
      </c>
      <c r="D354" s="13" t="s">
        <v>1017</v>
      </c>
      <c r="E354" s="13">
        <v>565307877</v>
      </c>
      <c r="F354" s="13" t="s">
        <v>164</v>
      </c>
      <c r="G354" s="13" t="s">
        <v>573</v>
      </c>
      <c r="H354" s="13" t="s">
        <v>77</v>
      </c>
      <c r="I354" s="13" t="s">
        <v>105</v>
      </c>
      <c r="J354" s="17" t="s">
        <v>105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Q354" s="13">
        <v>1</v>
      </c>
      <c r="R3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4" s="13"/>
      <c r="T354" s="17"/>
    </row>
    <row r="355" spans="2:20" ht="17">
      <c r="B355" s="17" t="e">
        <f t="shared" si="6"/>
        <v>#REF!</v>
      </c>
      <c r="C355" s="13" t="s">
        <v>1018</v>
      </c>
      <c r="D355" s="13" t="s">
        <v>1019</v>
      </c>
      <c r="E355" s="13">
        <v>506002551</v>
      </c>
      <c r="F355" s="13" t="s">
        <v>164</v>
      </c>
      <c r="G355" s="13" t="s">
        <v>573</v>
      </c>
      <c r="H355" s="13" t="s">
        <v>108</v>
      </c>
      <c r="I355" s="13" t="s">
        <v>27</v>
      </c>
      <c r="J355" s="17" t="s">
        <v>27</v>
      </c>
      <c r="K355" s="13">
        <v>1</v>
      </c>
      <c r="L355" s="13">
        <v>0</v>
      </c>
      <c r="M355" s="13">
        <v>1</v>
      </c>
      <c r="N355" s="13">
        <v>0</v>
      </c>
      <c r="O355" s="13">
        <v>0</v>
      </c>
      <c r="P355" s="13">
        <v>0</v>
      </c>
      <c r="Q355" s="13">
        <v>0</v>
      </c>
      <c r="R3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5" s="13"/>
      <c r="T355" s="17"/>
    </row>
    <row r="356" spans="2:20" ht="17">
      <c r="B356" s="17" t="e">
        <f t="shared" si="6"/>
        <v>#REF!</v>
      </c>
      <c r="C356" s="13" t="s">
        <v>684</v>
      </c>
      <c r="D356" s="13" t="s">
        <v>1020</v>
      </c>
      <c r="E356" s="13">
        <v>555903262</v>
      </c>
      <c r="F356" s="13" t="s">
        <v>684</v>
      </c>
      <c r="G356" s="13" t="s">
        <v>573</v>
      </c>
      <c r="H356" s="13" t="s">
        <v>37</v>
      </c>
      <c r="I356" s="13" t="s">
        <v>102</v>
      </c>
      <c r="J356" s="17" t="s">
        <v>37</v>
      </c>
      <c r="K356" s="13">
        <v>0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Q356" s="13">
        <v>0</v>
      </c>
      <c r="R3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6" s="13"/>
      <c r="T356" s="17"/>
    </row>
    <row r="357" spans="2:20" ht="17">
      <c r="B357" s="17" t="e">
        <f t="shared" si="6"/>
        <v>#REF!</v>
      </c>
      <c r="C357" s="13" t="s">
        <v>1138</v>
      </c>
      <c r="D357" s="13" t="s">
        <v>1021</v>
      </c>
      <c r="E357" s="13">
        <v>505444309</v>
      </c>
      <c r="F357" s="13" t="s">
        <v>164</v>
      </c>
      <c r="G357" s="13" t="s">
        <v>294</v>
      </c>
      <c r="H357" s="13" t="s">
        <v>77</v>
      </c>
      <c r="I357" s="13" t="s">
        <v>43</v>
      </c>
      <c r="J357" s="17" t="s">
        <v>105</v>
      </c>
      <c r="K357" s="13">
        <v>0</v>
      </c>
      <c r="L357" s="13">
        <v>1</v>
      </c>
      <c r="M357" s="13">
        <v>1</v>
      </c>
      <c r="N357" s="13">
        <v>1</v>
      </c>
      <c r="O357" s="13">
        <v>1</v>
      </c>
      <c r="P357" s="13">
        <v>0</v>
      </c>
      <c r="Q357" s="13">
        <v>0</v>
      </c>
      <c r="R3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7" s="13"/>
      <c r="T357" s="17" t="s">
        <v>1621</v>
      </c>
    </row>
    <row r="358" spans="2:20" ht="17">
      <c r="B358" s="17" t="e">
        <f>#REF!+1</f>
        <v>#REF!</v>
      </c>
      <c r="C358" s="13" t="s">
        <v>1023</v>
      </c>
      <c r="D358" s="13" t="s">
        <v>1024</v>
      </c>
      <c r="E358" s="13">
        <v>550488359</v>
      </c>
      <c r="F358" s="13" t="s">
        <v>164</v>
      </c>
      <c r="G358" s="13" t="s">
        <v>294</v>
      </c>
      <c r="H358" s="13" t="s">
        <v>77</v>
      </c>
      <c r="I358" s="13" t="s">
        <v>43</v>
      </c>
      <c r="J358" s="17" t="s">
        <v>105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8" s="13" t="s">
        <v>1599</v>
      </c>
      <c r="T358" s="17" t="s">
        <v>1621</v>
      </c>
    </row>
    <row r="359" spans="2:20" ht="17">
      <c r="B359" s="17" t="e">
        <f t="shared" ref="B359:B401" si="7">B358+1</f>
        <v>#REF!</v>
      </c>
      <c r="C359" s="13" t="s">
        <v>1025</v>
      </c>
      <c r="D359" s="13" t="s">
        <v>1026</v>
      </c>
      <c r="E359" s="13">
        <v>503966482</v>
      </c>
      <c r="F359" s="13" t="s">
        <v>164</v>
      </c>
      <c r="G359" s="13" t="s">
        <v>294</v>
      </c>
      <c r="H359" s="13" t="s">
        <v>77</v>
      </c>
      <c r="I359" s="13" t="s">
        <v>43</v>
      </c>
      <c r="J359" s="17" t="s">
        <v>105</v>
      </c>
      <c r="K359" s="13">
        <v>1</v>
      </c>
      <c r="L359" s="13">
        <v>1</v>
      </c>
      <c r="M359" s="13">
        <v>1</v>
      </c>
      <c r="N359" s="13">
        <v>1</v>
      </c>
      <c r="O359" s="13">
        <v>1</v>
      </c>
      <c r="P359" s="13">
        <v>1</v>
      </c>
      <c r="Q359" s="13">
        <v>1</v>
      </c>
      <c r="R3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9" s="13"/>
      <c r="T359" s="17" t="s">
        <v>1621</v>
      </c>
    </row>
    <row r="360" spans="2:20" ht="17">
      <c r="B360" s="17" t="e">
        <f t="shared" si="7"/>
        <v>#REF!</v>
      </c>
      <c r="C360" s="13" t="s">
        <v>1706</v>
      </c>
      <c r="D360" s="13" t="s">
        <v>1027</v>
      </c>
      <c r="E360" s="13">
        <v>550099994</v>
      </c>
      <c r="F360" s="13" t="s">
        <v>164</v>
      </c>
      <c r="G360" s="13" t="s">
        <v>294</v>
      </c>
      <c r="H360" s="13" t="s">
        <v>77</v>
      </c>
      <c r="I360" s="13" t="s">
        <v>1028</v>
      </c>
      <c r="J360" s="17" t="s">
        <v>105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Q360" s="13">
        <v>1</v>
      </c>
      <c r="R3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0" s="13" t="s">
        <v>1599</v>
      </c>
      <c r="T360" s="17" t="s">
        <v>1621</v>
      </c>
    </row>
    <row r="361" spans="2:20" ht="17">
      <c r="B361" s="17" t="e">
        <f>#REF!+1</f>
        <v>#REF!</v>
      </c>
      <c r="C361" s="13" t="s">
        <v>1032</v>
      </c>
      <c r="D361" s="13" t="s">
        <v>1033</v>
      </c>
      <c r="E361" s="13">
        <v>554207419</v>
      </c>
      <c r="F361" s="13" t="s">
        <v>164</v>
      </c>
      <c r="G361" s="13" t="s">
        <v>294</v>
      </c>
      <c r="H361" s="13" t="s">
        <v>35</v>
      </c>
      <c r="I361" s="13" t="s">
        <v>35</v>
      </c>
      <c r="J361" s="17" t="s">
        <v>35</v>
      </c>
      <c r="K361" s="13">
        <v>0</v>
      </c>
      <c r="L361" s="13">
        <v>1</v>
      </c>
      <c r="M361" s="13">
        <v>1</v>
      </c>
      <c r="N361" s="13">
        <v>1</v>
      </c>
      <c r="O361" s="13">
        <v>1</v>
      </c>
      <c r="P361" s="13">
        <v>1</v>
      </c>
      <c r="Q361" s="13">
        <v>1</v>
      </c>
      <c r="R3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1" s="13" t="s">
        <v>1599</v>
      </c>
      <c r="T361" s="17" t="s">
        <v>1621</v>
      </c>
    </row>
    <row r="362" spans="2:20" ht="17">
      <c r="B362" s="17" t="e">
        <f>#REF!+1</f>
        <v>#REF!</v>
      </c>
      <c r="C362" s="13" t="s">
        <v>1707</v>
      </c>
      <c r="D362" s="13" t="s">
        <v>1035</v>
      </c>
      <c r="E362" s="13">
        <v>537430892</v>
      </c>
      <c r="F362" s="13" t="s">
        <v>164</v>
      </c>
      <c r="G362" s="13" t="s">
        <v>294</v>
      </c>
      <c r="H362" s="13" t="s">
        <v>77</v>
      </c>
      <c r="I362" s="13" t="s">
        <v>1028</v>
      </c>
      <c r="J362" s="17" t="s">
        <v>105</v>
      </c>
      <c r="K362" s="13">
        <v>1</v>
      </c>
      <c r="L362" s="13">
        <v>1</v>
      </c>
      <c r="M362" s="13">
        <v>1</v>
      </c>
      <c r="N362" s="13">
        <v>1</v>
      </c>
      <c r="O362" s="13">
        <v>1</v>
      </c>
      <c r="P362" s="13">
        <v>1</v>
      </c>
      <c r="Q362" s="13">
        <v>1</v>
      </c>
      <c r="R3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2" s="13" t="s">
        <v>1599</v>
      </c>
      <c r="T362" s="17" t="s">
        <v>1621</v>
      </c>
    </row>
    <row r="363" spans="2:20" ht="17">
      <c r="B363" s="17" t="e">
        <f>#REF!+1</f>
        <v>#REF!</v>
      </c>
      <c r="C363" s="13" t="s">
        <v>1036</v>
      </c>
      <c r="D363" s="13" t="s">
        <v>1037</v>
      </c>
      <c r="E363" s="13">
        <v>555959521</v>
      </c>
      <c r="F363" s="13" t="s">
        <v>164</v>
      </c>
      <c r="G363" s="13" t="s">
        <v>294</v>
      </c>
      <c r="H363" s="13" t="s">
        <v>77</v>
      </c>
      <c r="I363" s="13" t="s">
        <v>1028</v>
      </c>
      <c r="J363" s="17" t="s">
        <v>105</v>
      </c>
      <c r="K363" s="13">
        <v>0</v>
      </c>
      <c r="L363" s="13">
        <v>0</v>
      </c>
      <c r="M363" s="13">
        <v>0</v>
      </c>
      <c r="N363" s="13">
        <v>1</v>
      </c>
      <c r="O363" s="13">
        <v>0</v>
      </c>
      <c r="P363" s="13">
        <v>0</v>
      </c>
      <c r="Q363" s="13">
        <v>0</v>
      </c>
      <c r="R3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3" s="13" t="s">
        <v>1599</v>
      </c>
      <c r="T363" s="17" t="s">
        <v>1621</v>
      </c>
    </row>
    <row r="364" spans="2:20" ht="17">
      <c r="B364" s="17" t="e">
        <f>#REF!+1</f>
        <v>#REF!</v>
      </c>
      <c r="C364" s="13" t="s">
        <v>1038</v>
      </c>
      <c r="D364" s="13" t="s">
        <v>1039</v>
      </c>
      <c r="E364" s="13">
        <v>505922615</v>
      </c>
      <c r="F364" s="13" t="s">
        <v>1040</v>
      </c>
      <c r="G364" s="13" t="s">
        <v>143</v>
      </c>
      <c r="H364" s="13" t="s">
        <v>77</v>
      </c>
      <c r="I364" s="13" t="s">
        <v>73</v>
      </c>
      <c r="J364" s="17" t="s">
        <v>73</v>
      </c>
      <c r="K364" s="13">
        <v>1</v>
      </c>
      <c r="L364" s="13">
        <v>1</v>
      </c>
      <c r="M364" s="13">
        <v>1</v>
      </c>
      <c r="N364" s="13">
        <v>1</v>
      </c>
      <c r="O364" s="13">
        <v>1</v>
      </c>
      <c r="P364" s="13">
        <v>1</v>
      </c>
      <c r="Q364" s="13">
        <v>1</v>
      </c>
      <c r="R3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4" s="13"/>
      <c r="T364" s="17"/>
    </row>
    <row r="365" spans="2:20" ht="17">
      <c r="B365" s="17" t="e">
        <f t="shared" si="7"/>
        <v>#REF!</v>
      </c>
      <c r="C365" s="13" t="s">
        <v>1041</v>
      </c>
      <c r="D365" s="13" t="s">
        <v>1042</v>
      </c>
      <c r="E365" s="13">
        <v>509296662</v>
      </c>
      <c r="F365" s="13" t="s">
        <v>164</v>
      </c>
      <c r="G365" s="13" t="s">
        <v>143</v>
      </c>
      <c r="H365" s="13" t="s">
        <v>29</v>
      </c>
      <c r="I365" s="13" t="s">
        <v>29</v>
      </c>
      <c r="J365" s="17" t="s">
        <v>29</v>
      </c>
      <c r="K365" s="13">
        <v>1</v>
      </c>
      <c r="L365" s="13">
        <v>1</v>
      </c>
      <c r="M365" s="13">
        <v>2</v>
      </c>
      <c r="N365" s="13">
        <v>2</v>
      </c>
      <c r="O365" s="13">
        <v>2</v>
      </c>
      <c r="P365" s="13">
        <v>1</v>
      </c>
      <c r="Q365" s="13">
        <v>1</v>
      </c>
      <c r="R3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5" s="13"/>
      <c r="T365" s="17"/>
    </row>
    <row r="366" spans="2:20" ht="17">
      <c r="B366" s="17" t="e">
        <f t="shared" si="7"/>
        <v>#REF!</v>
      </c>
      <c r="C366" s="13" t="s">
        <v>1043</v>
      </c>
      <c r="D366" s="13" t="s">
        <v>1044</v>
      </c>
      <c r="E366" s="13">
        <v>594888118</v>
      </c>
      <c r="F366" s="13" t="s">
        <v>1045</v>
      </c>
      <c r="G366" s="13" t="s">
        <v>573</v>
      </c>
      <c r="H366" s="13" t="s">
        <v>24</v>
      </c>
      <c r="I366" s="13" t="s">
        <v>24</v>
      </c>
      <c r="J366" s="17" t="s">
        <v>24</v>
      </c>
      <c r="K366" s="13">
        <v>1</v>
      </c>
      <c r="L366" s="13">
        <v>1</v>
      </c>
      <c r="M366" s="13">
        <v>1</v>
      </c>
      <c r="N366" s="13">
        <v>2</v>
      </c>
      <c r="O366" s="13">
        <v>0</v>
      </c>
      <c r="P366" s="13">
        <v>0</v>
      </c>
      <c r="Q366" s="13">
        <v>0</v>
      </c>
      <c r="R3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6" s="13"/>
      <c r="T366" s="17"/>
    </row>
    <row r="367" spans="2:20" ht="17">
      <c r="B367" s="17" t="e">
        <f t="shared" si="7"/>
        <v>#REF!</v>
      </c>
      <c r="C367" s="13" t="s">
        <v>1046</v>
      </c>
      <c r="D367" s="13" t="s">
        <v>1047</v>
      </c>
      <c r="E367" s="13">
        <v>530195258</v>
      </c>
      <c r="F367" s="13" t="s">
        <v>1046</v>
      </c>
      <c r="G367" s="13" t="s">
        <v>143</v>
      </c>
      <c r="H367" s="13" t="s">
        <v>77</v>
      </c>
      <c r="I367" s="13" t="s">
        <v>73</v>
      </c>
      <c r="J367" s="17" t="s">
        <v>73</v>
      </c>
      <c r="K367" s="13">
        <v>0</v>
      </c>
      <c r="L367" s="13">
        <v>1</v>
      </c>
      <c r="M367" s="13">
        <v>1</v>
      </c>
      <c r="N367" s="13">
        <v>1</v>
      </c>
      <c r="O367" s="13">
        <v>1</v>
      </c>
      <c r="P367" s="13">
        <v>1</v>
      </c>
      <c r="Q367" s="13">
        <v>1</v>
      </c>
      <c r="R3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7" s="13"/>
      <c r="T367" s="17"/>
    </row>
    <row r="368" spans="2:20" ht="17">
      <c r="B368" s="17" t="e">
        <f t="shared" si="7"/>
        <v>#REF!</v>
      </c>
      <c r="C368" s="13" t="s">
        <v>1048</v>
      </c>
      <c r="D368" s="13" t="s">
        <v>1049</v>
      </c>
      <c r="E368" s="13">
        <v>590598914</v>
      </c>
      <c r="F368" s="13" t="s">
        <v>164</v>
      </c>
      <c r="G368" s="13" t="s">
        <v>573</v>
      </c>
      <c r="H368" s="13" t="s">
        <v>21</v>
      </c>
      <c r="I368" s="13" t="s">
        <v>21</v>
      </c>
      <c r="J368" s="17" t="s">
        <v>21</v>
      </c>
      <c r="K368" s="13">
        <v>0</v>
      </c>
      <c r="L368" s="13">
        <v>0</v>
      </c>
      <c r="M368" s="13">
        <v>1</v>
      </c>
      <c r="N368" s="13">
        <v>0</v>
      </c>
      <c r="O368" s="13">
        <v>1</v>
      </c>
      <c r="P368" s="13">
        <v>0</v>
      </c>
      <c r="Q368" s="13">
        <v>0</v>
      </c>
      <c r="R3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8" s="13"/>
      <c r="T368" s="17"/>
    </row>
    <row r="369" spans="2:20" ht="17">
      <c r="B369" s="17" t="e">
        <f t="shared" si="7"/>
        <v>#REF!</v>
      </c>
      <c r="C369" s="13" t="s">
        <v>1050</v>
      </c>
      <c r="D369" s="13" t="s">
        <v>1051</v>
      </c>
      <c r="E369" s="13">
        <v>510277653</v>
      </c>
      <c r="F369" s="13" t="s">
        <v>164</v>
      </c>
      <c r="G369" s="13" t="s">
        <v>573</v>
      </c>
      <c r="H369" s="13" t="s">
        <v>21</v>
      </c>
      <c r="I369" s="13" t="s">
        <v>21</v>
      </c>
      <c r="J369" s="17" t="s">
        <v>21</v>
      </c>
      <c r="K369" s="13">
        <v>0</v>
      </c>
      <c r="L369" s="13">
        <v>1</v>
      </c>
      <c r="M369" s="13">
        <v>1</v>
      </c>
      <c r="N369" s="13">
        <v>0</v>
      </c>
      <c r="O369" s="13">
        <v>0</v>
      </c>
      <c r="P369" s="13">
        <v>0</v>
      </c>
      <c r="Q369" s="13">
        <v>0</v>
      </c>
      <c r="R3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9" s="13"/>
      <c r="T369" s="17"/>
    </row>
    <row r="370" spans="2:20" ht="17">
      <c r="B370" s="17" t="e">
        <f t="shared" si="7"/>
        <v>#REF!</v>
      </c>
      <c r="C370" s="19" t="s">
        <v>1052</v>
      </c>
      <c r="D370" s="19" t="s">
        <v>1053</v>
      </c>
      <c r="E370" s="19">
        <v>5000415106</v>
      </c>
      <c r="F370" s="19" t="s">
        <v>1054</v>
      </c>
      <c r="G370" s="19" t="s">
        <v>573</v>
      </c>
      <c r="H370" s="19" t="s">
        <v>68</v>
      </c>
      <c r="I370" s="19" t="s">
        <v>68</v>
      </c>
      <c r="J370" s="20" t="s">
        <v>68</v>
      </c>
      <c r="K370" s="19">
        <v>1</v>
      </c>
      <c r="L370" s="19">
        <v>1</v>
      </c>
      <c r="M370" s="19">
        <v>2</v>
      </c>
      <c r="N370" s="19">
        <v>0</v>
      </c>
      <c r="O370" s="19">
        <v>0</v>
      </c>
      <c r="P370" s="19">
        <v>0</v>
      </c>
      <c r="Q370" s="19">
        <v>0</v>
      </c>
      <c r="R3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0" s="13"/>
      <c r="T370" s="17"/>
    </row>
    <row r="371" spans="2:20" ht="17">
      <c r="B371" s="17" t="e">
        <f t="shared" si="7"/>
        <v>#REF!</v>
      </c>
      <c r="C371" s="13" t="s">
        <v>1545</v>
      </c>
      <c r="D371" s="13" t="s">
        <v>666</v>
      </c>
      <c r="E371" s="13">
        <v>552660308</v>
      </c>
      <c r="F371" s="13" t="s">
        <v>253</v>
      </c>
      <c r="G371" s="13" t="s">
        <v>294</v>
      </c>
      <c r="H371" s="13" t="s">
        <v>108</v>
      </c>
      <c r="I371" s="13" t="s">
        <v>27</v>
      </c>
      <c r="J371" s="17" t="s">
        <v>27</v>
      </c>
      <c r="K371" s="13">
        <v>1</v>
      </c>
      <c r="L371" s="13">
        <v>1</v>
      </c>
      <c r="M371" s="13">
        <v>1</v>
      </c>
      <c r="N371" s="13">
        <v>1</v>
      </c>
      <c r="O371" s="13">
        <v>1</v>
      </c>
      <c r="P371" s="13">
        <v>1</v>
      </c>
      <c r="Q371" s="13">
        <v>1</v>
      </c>
      <c r="R3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1" s="13"/>
      <c r="T371" s="17" t="s">
        <v>1621</v>
      </c>
    </row>
    <row r="372" spans="2:20" ht="17">
      <c r="B372" s="17" t="e">
        <f t="shared" si="7"/>
        <v>#REF!</v>
      </c>
      <c r="C372" s="13" t="s">
        <v>1064</v>
      </c>
      <c r="D372" s="13" t="s">
        <v>1065</v>
      </c>
      <c r="E372" s="13">
        <v>504762940</v>
      </c>
      <c r="F372" s="13" t="s">
        <v>164</v>
      </c>
      <c r="G372" s="13" t="s">
        <v>294</v>
      </c>
      <c r="H372" s="13" t="s">
        <v>74</v>
      </c>
      <c r="I372" s="13" t="s">
        <v>74</v>
      </c>
      <c r="J372" s="17" t="s">
        <v>74</v>
      </c>
      <c r="K372" s="13">
        <v>0</v>
      </c>
      <c r="L372" s="13">
        <v>1</v>
      </c>
      <c r="M372" s="13">
        <v>0</v>
      </c>
      <c r="N372" s="13">
        <v>0</v>
      </c>
      <c r="O372" s="13">
        <v>1</v>
      </c>
      <c r="P372" s="13">
        <v>0</v>
      </c>
      <c r="Q372" s="13">
        <v>0</v>
      </c>
      <c r="R3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2" s="13"/>
      <c r="T372" s="17" t="s">
        <v>1621</v>
      </c>
    </row>
    <row r="373" spans="2:20" ht="17">
      <c r="B373" s="17" t="e">
        <f t="shared" si="7"/>
        <v>#REF!</v>
      </c>
      <c r="C373" s="13" t="s">
        <v>1066</v>
      </c>
      <c r="D373" s="13" t="s">
        <v>1067</v>
      </c>
      <c r="E373" s="13">
        <v>556036072</v>
      </c>
      <c r="F373" s="13" t="s">
        <v>164</v>
      </c>
      <c r="G373" s="13" t="s">
        <v>294</v>
      </c>
      <c r="H373" s="13" t="s">
        <v>78</v>
      </c>
      <c r="I373" s="13" t="s">
        <v>93</v>
      </c>
      <c r="J373" s="17" t="s">
        <v>78</v>
      </c>
      <c r="K373" s="13">
        <v>1</v>
      </c>
      <c r="L373" s="13">
        <v>1</v>
      </c>
      <c r="M373" s="13">
        <v>1</v>
      </c>
      <c r="N373" s="13">
        <v>1</v>
      </c>
      <c r="O373" s="13">
        <v>1</v>
      </c>
      <c r="P373" s="13">
        <v>0</v>
      </c>
      <c r="Q373" s="13">
        <v>0</v>
      </c>
      <c r="R3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3" s="13"/>
      <c r="T373" s="17" t="s">
        <v>1621</v>
      </c>
    </row>
    <row r="374" spans="2:20" ht="17">
      <c r="B374" s="17" t="e">
        <f t="shared" si="7"/>
        <v>#REF!</v>
      </c>
      <c r="C374" s="13" t="s">
        <v>1068</v>
      </c>
      <c r="D374" s="13" t="s">
        <v>1069</v>
      </c>
      <c r="E374" s="13">
        <v>966553978161</v>
      </c>
      <c r="F374" s="13" t="s">
        <v>164</v>
      </c>
      <c r="G374" s="13" t="s">
        <v>294</v>
      </c>
      <c r="H374" s="13" t="s">
        <v>35</v>
      </c>
      <c r="I374" s="13" t="s">
        <v>76</v>
      </c>
      <c r="J374" s="17" t="s">
        <v>76</v>
      </c>
      <c r="K374" s="13">
        <v>0</v>
      </c>
      <c r="L374" s="13">
        <v>0</v>
      </c>
      <c r="M374" s="13">
        <v>1</v>
      </c>
      <c r="N374" s="13">
        <v>0</v>
      </c>
      <c r="O374" s="13">
        <v>1</v>
      </c>
      <c r="P374" s="13">
        <v>0</v>
      </c>
      <c r="Q374" s="13">
        <v>0</v>
      </c>
      <c r="R3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4" s="13" t="s">
        <v>1599</v>
      </c>
      <c r="T374" s="17" t="s">
        <v>1621</v>
      </c>
    </row>
    <row r="375" spans="2:20" ht="17">
      <c r="B375" s="17" t="e">
        <f t="shared" si="7"/>
        <v>#REF!</v>
      </c>
      <c r="C375" s="13" t="s">
        <v>1070</v>
      </c>
      <c r="D375" s="13" t="s">
        <v>1071</v>
      </c>
      <c r="E375" s="13">
        <v>559909929</v>
      </c>
      <c r="F375" s="13" t="s">
        <v>164</v>
      </c>
      <c r="G375" s="13" t="s">
        <v>294</v>
      </c>
      <c r="H375" s="13" t="s">
        <v>35</v>
      </c>
      <c r="I375" s="13" t="s">
        <v>76</v>
      </c>
      <c r="J375" s="17" t="s">
        <v>76</v>
      </c>
      <c r="K375" s="13">
        <v>0</v>
      </c>
      <c r="L375" s="13">
        <v>1</v>
      </c>
      <c r="M375" s="13">
        <v>1</v>
      </c>
      <c r="N375" s="13">
        <v>0</v>
      </c>
      <c r="O375" s="13">
        <v>0</v>
      </c>
      <c r="P375" s="13">
        <v>0</v>
      </c>
      <c r="Q375" s="13">
        <v>0</v>
      </c>
      <c r="R3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5" s="13" t="s">
        <v>1599</v>
      </c>
      <c r="T375" s="17" t="s">
        <v>1621</v>
      </c>
    </row>
    <row r="376" spans="2:20" ht="17">
      <c r="B376" s="17" t="e">
        <f>#REF!+1</f>
        <v>#REF!</v>
      </c>
      <c r="C376" s="13" t="s">
        <v>1076</v>
      </c>
      <c r="D376" s="13" t="s">
        <v>1077</v>
      </c>
      <c r="E376" s="13">
        <v>500934380</v>
      </c>
      <c r="F376" s="13" t="s">
        <v>164</v>
      </c>
      <c r="G376" s="13" t="s">
        <v>294</v>
      </c>
      <c r="H376" s="13" t="s">
        <v>35</v>
      </c>
      <c r="I376" s="13" t="s">
        <v>35</v>
      </c>
      <c r="J376" s="17" t="s">
        <v>35</v>
      </c>
      <c r="K376" s="13">
        <v>1</v>
      </c>
      <c r="L376" s="13">
        <v>1</v>
      </c>
      <c r="M376" s="13">
        <v>1</v>
      </c>
      <c r="N376" s="13">
        <v>1</v>
      </c>
      <c r="O376" s="13">
        <v>1</v>
      </c>
      <c r="P376" s="13">
        <v>0</v>
      </c>
      <c r="Q376" s="13">
        <v>0</v>
      </c>
      <c r="R3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6" s="13" t="s">
        <v>1599</v>
      </c>
      <c r="T376" s="17" t="s">
        <v>1621</v>
      </c>
    </row>
    <row r="377" spans="2:20" ht="17">
      <c r="B377" s="17" t="e">
        <f>#REF!+1</f>
        <v>#REF!</v>
      </c>
      <c r="C377" s="13" t="s">
        <v>1079</v>
      </c>
      <c r="D377" s="13" t="s">
        <v>1080</v>
      </c>
      <c r="E377" s="13">
        <v>533340460</v>
      </c>
      <c r="F377" s="13" t="s">
        <v>1081</v>
      </c>
      <c r="G377" s="13" t="s">
        <v>573</v>
      </c>
      <c r="H377" s="13" t="s">
        <v>29</v>
      </c>
      <c r="I377" s="13" t="s">
        <v>29</v>
      </c>
      <c r="J377" s="17" t="s">
        <v>29</v>
      </c>
      <c r="K377" s="13">
        <v>0</v>
      </c>
      <c r="L377" s="13">
        <v>1</v>
      </c>
      <c r="M377" s="13">
        <v>1</v>
      </c>
      <c r="N377" s="13">
        <v>1</v>
      </c>
      <c r="O377" s="13">
        <v>1</v>
      </c>
      <c r="P377" s="13">
        <v>1</v>
      </c>
      <c r="Q377" s="13">
        <v>0</v>
      </c>
      <c r="R3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7" s="13"/>
      <c r="T377" s="17"/>
    </row>
    <row r="378" spans="2:20" ht="17">
      <c r="B378" s="17" t="e">
        <f>#REF!+1</f>
        <v>#REF!</v>
      </c>
      <c r="C378" s="13" t="s">
        <v>1082</v>
      </c>
      <c r="D378" s="13" t="s">
        <v>1083</v>
      </c>
      <c r="E378" s="13">
        <v>508472424</v>
      </c>
      <c r="F378" s="13" t="s">
        <v>1084</v>
      </c>
      <c r="G378" s="13" t="s">
        <v>573</v>
      </c>
      <c r="H378" s="13" t="s">
        <v>108</v>
      </c>
      <c r="I378" s="13" t="s">
        <v>27</v>
      </c>
      <c r="J378" s="17" t="s">
        <v>27</v>
      </c>
      <c r="K378" s="13">
        <v>0</v>
      </c>
      <c r="L378" s="13">
        <v>0</v>
      </c>
      <c r="M378" s="13">
        <v>0</v>
      </c>
      <c r="N378" s="13">
        <v>1</v>
      </c>
      <c r="O378" s="13">
        <v>1</v>
      </c>
      <c r="P378" s="13">
        <v>1</v>
      </c>
      <c r="Q378" s="13">
        <v>1</v>
      </c>
      <c r="R3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8" s="13"/>
      <c r="T378" s="17"/>
    </row>
    <row r="379" spans="2:20" ht="17">
      <c r="B379" s="17" t="e">
        <f t="shared" si="7"/>
        <v>#REF!</v>
      </c>
      <c r="C379" s="13" t="s">
        <v>1088</v>
      </c>
      <c r="D379" s="13" t="s">
        <v>1089</v>
      </c>
      <c r="E379" s="13">
        <v>508111233</v>
      </c>
      <c r="F379" s="13" t="s">
        <v>164</v>
      </c>
      <c r="G379" s="13" t="s">
        <v>294</v>
      </c>
      <c r="H379" s="13" t="s">
        <v>108</v>
      </c>
      <c r="I379" s="13" t="s">
        <v>108</v>
      </c>
      <c r="J379" s="17" t="s">
        <v>108</v>
      </c>
      <c r="K379" s="13">
        <v>1</v>
      </c>
      <c r="L379" s="13">
        <v>1</v>
      </c>
      <c r="M379" s="13">
        <v>1</v>
      </c>
      <c r="N379" s="13">
        <v>1</v>
      </c>
      <c r="O379" s="13">
        <v>1</v>
      </c>
      <c r="P379" s="13">
        <v>1</v>
      </c>
      <c r="Q379" s="13">
        <v>1</v>
      </c>
      <c r="R3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9" s="13" t="s">
        <v>1599</v>
      </c>
      <c r="T379" s="17" t="s">
        <v>1621</v>
      </c>
    </row>
    <row r="380" spans="2:20" ht="17">
      <c r="B380" s="17" t="e">
        <f t="shared" si="7"/>
        <v>#REF!</v>
      </c>
      <c r="C380" s="13" t="s">
        <v>1090</v>
      </c>
      <c r="D380" s="13" t="s">
        <v>1091</v>
      </c>
      <c r="E380" s="13">
        <v>504999934</v>
      </c>
      <c r="F380" s="13" t="s">
        <v>1092</v>
      </c>
      <c r="G380" s="13" t="s">
        <v>573</v>
      </c>
      <c r="H380" s="13" t="s">
        <v>77</v>
      </c>
      <c r="I380" s="13" t="s">
        <v>89</v>
      </c>
      <c r="J380" s="17" t="s">
        <v>77</v>
      </c>
      <c r="K380" s="13">
        <v>1</v>
      </c>
      <c r="L380" s="13">
        <v>1</v>
      </c>
      <c r="M380" s="13">
        <v>2</v>
      </c>
      <c r="N380" s="13">
        <v>2</v>
      </c>
      <c r="O380" s="13">
        <v>2</v>
      </c>
      <c r="P380" s="13">
        <v>1</v>
      </c>
      <c r="Q380" s="13">
        <v>0</v>
      </c>
      <c r="R3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0" s="13"/>
      <c r="T380" s="17"/>
    </row>
    <row r="381" spans="2:20" ht="17">
      <c r="B381" s="17" t="e">
        <f t="shared" si="7"/>
        <v>#REF!</v>
      </c>
      <c r="C381" s="13" t="s">
        <v>1093</v>
      </c>
      <c r="D381" s="13" t="s">
        <v>1094</v>
      </c>
      <c r="E381" s="13">
        <v>500013431</v>
      </c>
      <c r="F381" s="13" t="s">
        <v>1095</v>
      </c>
      <c r="G381" s="13" t="s">
        <v>573</v>
      </c>
      <c r="H381" s="13" t="s">
        <v>77</v>
      </c>
      <c r="I381" s="13" t="s">
        <v>91</v>
      </c>
      <c r="J381" s="17" t="s">
        <v>77</v>
      </c>
      <c r="K381" s="13">
        <v>0</v>
      </c>
      <c r="L381" s="13">
        <v>0</v>
      </c>
      <c r="M381" s="13">
        <v>1</v>
      </c>
      <c r="N381" s="13">
        <v>1</v>
      </c>
      <c r="O381" s="13">
        <v>1</v>
      </c>
      <c r="P381" s="13">
        <v>0</v>
      </c>
      <c r="Q381" s="13">
        <v>0</v>
      </c>
      <c r="R3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1" s="13"/>
      <c r="T381" s="17"/>
    </row>
    <row r="382" spans="2:20" ht="17">
      <c r="B382" s="17" t="e">
        <f t="shared" si="7"/>
        <v>#REF!</v>
      </c>
      <c r="C382" s="19" t="s">
        <v>1096</v>
      </c>
      <c r="D382" s="19" t="s">
        <v>1097</v>
      </c>
      <c r="E382" s="19">
        <v>565808256</v>
      </c>
      <c r="F382" s="19" t="s">
        <v>164</v>
      </c>
      <c r="G382" s="19" t="s">
        <v>573</v>
      </c>
      <c r="H382" s="19" t="s">
        <v>77</v>
      </c>
      <c r="I382" s="19" t="s">
        <v>91</v>
      </c>
      <c r="J382" s="20" t="s">
        <v>77</v>
      </c>
      <c r="K382" s="19">
        <v>0</v>
      </c>
      <c r="L382" s="19">
        <v>1</v>
      </c>
      <c r="M382" s="19">
        <v>1</v>
      </c>
      <c r="N382" s="19">
        <v>2</v>
      </c>
      <c r="O382" s="19">
        <v>2</v>
      </c>
      <c r="P382" s="19">
        <v>1</v>
      </c>
      <c r="Q382" s="19">
        <v>0</v>
      </c>
      <c r="R3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2" s="13"/>
      <c r="T382" s="17"/>
    </row>
    <row r="383" spans="2:20" ht="17">
      <c r="B383" s="17" t="e">
        <f t="shared" si="7"/>
        <v>#REF!</v>
      </c>
      <c r="C383" s="19" t="s">
        <v>1102</v>
      </c>
      <c r="D383" s="19" t="s">
        <v>1103</v>
      </c>
      <c r="E383" s="19">
        <v>505211304</v>
      </c>
      <c r="F383" s="19" t="s">
        <v>1104</v>
      </c>
      <c r="G383" s="19" t="s">
        <v>143</v>
      </c>
      <c r="H383" s="19" t="s">
        <v>35</v>
      </c>
      <c r="I383" s="19" t="s">
        <v>35</v>
      </c>
      <c r="J383" s="20" t="s">
        <v>35</v>
      </c>
      <c r="K383" s="19">
        <v>1</v>
      </c>
      <c r="L383" s="19">
        <v>1</v>
      </c>
      <c r="M383" s="19">
        <v>1</v>
      </c>
      <c r="N383" s="19">
        <v>1</v>
      </c>
      <c r="O383" s="19">
        <v>1</v>
      </c>
      <c r="P383" s="19">
        <v>1</v>
      </c>
      <c r="Q383" s="19">
        <v>1</v>
      </c>
      <c r="R3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3" s="13"/>
      <c r="T383" s="17"/>
    </row>
    <row r="384" spans="2:20" ht="17">
      <c r="B384" s="17" t="e">
        <f t="shared" si="7"/>
        <v>#REF!</v>
      </c>
      <c r="C384" s="13" t="s">
        <v>1105</v>
      </c>
      <c r="D384" s="13" t="s">
        <v>758</v>
      </c>
      <c r="E384" s="13">
        <v>501837781</v>
      </c>
      <c r="F384" s="13" t="s">
        <v>164</v>
      </c>
      <c r="G384" s="13" t="s">
        <v>294</v>
      </c>
      <c r="H384" s="13" t="s">
        <v>37</v>
      </c>
      <c r="I384" s="13" t="s">
        <v>102</v>
      </c>
      <c r="J384" s="17" t="s">
        <v>37</v>
      </c>
      <c r="K384" s="13">
        <v>1</v>
      </c>
      <c r="L384" s="13">
        <v>1</v>
      </c>
      <c r="M384" s="13">
        <v>1</v>
      </c>
      <c r="N384" s="13">
        <v>1</v>
      </c>
      <c r="O384" s="13">
        <v>1</v>
      </c>
      <c r="P384" s="13">
        <v>1</v>
      </c>
      <c r="Q384" s="13">
        <v>1</v>
      </c>
      <c r="R3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4" s="13"/>
      <c r="T384" s="17" t="s">
        <v>1621</v>
      </c>
    </row>
    <row r="385" spans="2:20" ht="17">
      <c r="B385" s="17" t="e">
        <f t="shared" si="7"/>
        <v>#REF!</v>
      </c>
      <c r="C385" s="13" t="s">
        <v>1106</v>
      </c>
      <c r="D385" s="13" t="s">
        <v>1107</v>
      </c>
      <c r="E385" s="13">
        <v>500382553</v>
      </c>
      <c r="F385" s="13" t="s">
        <v>164</v>
      </c>
      <c r="G385" s="13" t="s">
        <v>294</v>
      </c>
      <c r="H385" s="13" t="s">
        <v>77</v>
      </c>
      <c r="I385" s="13" t="s">
        <v>105</v>
      </c>
      <c r="J385" s="17" t="s">
        <v>105</v>
      </c>
      <c r="K385" s="13">
        <v>1</v>
      </c>
      <c r="L385" s="13">
        <v>0</v>
      </c>
      <c r="M385" s="13">
        <v>1</v>
      </c>
      <c r="N385" s="13">
        <v>1</v>
      </c>
      <c r="O385" s="13">
        <v>1</v>
      </c>
      <c r="P385" s="13">
        <v>0</v>
      </c>
      <c r="Q385" s="13">
        <v>0</v>
      </c>
      <c r="R3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5" s="13"/>
      <c r="T385" s="17" t="s">
        <v>1621</v>
      </c>
    </row>
    <row r="386" spans="2:20" ht="17">
      <c r="B386" s="17" t="e">
        <f t="shared" si="7"/>
        <v>#REF!</v>
      </c>
      <c r="C386" s="13" t="s">
        <v>1108</v>
      </c>
      <c r="D386" s="13" t="s">
        <v>1109</v>
      </c>
      <c r="E386" s="45">
        <v>966559927397</v>
      </c>
      <c r="F386" s="13" t="s">
        <v>164</v>
      </c>
      <c r="G386" s="13" t="s">
        <v>294</v>
      </c>
      <c r="H386" s="13" t="s">
        <v>37</v>
      </c>
      <c r="I386" s="13" t="s">
        <v>102</v>
      </c>
      <c r="J386" s="17" t="s">
        <v>37</v>
      </c>
      <c r="K386" s="13">
        <v>1</v>
      </c>
      <c r="L386" s="13">
        <v>1</v>
      </c>
      <c r="M386" s="13">
        <v>1</v>
      </c>
      <c r="N386" s="13">
        <v>1</v>
      </c>
      <c r="O386" s="13">
        <v>1</v>
      </c>
      <c r="P386" s="13">
        <v>1</v>
      </c>
      <c r="Q386" s="13">
        <v>1</v>
      </c>
      <c r="R3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6" s="13"/>
      <c r="T386" s="17" t="s">
        <v>1621</v>
      </c>
    </row>
    <row r="387" spans="2:20" ht="17">
      <c r="B387" s="17" t="e">
        <f>#REF!+1</f>
        <v>#REF!</v>
      </c>
      <c r="C387" s="13" t="s">
        <v>1111</v>
      </c>
      <c r="D387" s="13" t="s">
        <v>1112</v>
      </c>
      <c r="E387" s="13">
        <v>500272712</v>
      </c>
      <c r="F387" s="13" t="s">
        <v>164</v>
      </c>
      <c r="G387" s="13" t="s">
        <v>294</v>
      </c>
      <c r="H387" s="13" t="s">
        <v>77</v>
      </c>
      <c r="I387" s="13" t="s">
        <v>1028</v>
      </c>
      <c r="J387" s="17" t="s">
        <v>105</v>
      </c>
      <c r="K387" s="13">
        <v>1</v>
      </c>
      <c r="L387" s="13">
        <v>1</v>
      </c>
      <c r="M387" s="13">
        <v>1</v>
      </c>
      <c r="N387" s="13">
        <v>1</v>
      </c>
      <c r="O387" s="13">
        <v>1</v>
      </c>
      <c r="P387" s="13">
        <v>1</v>
      </c>
      <c r="Q387" s="13">
        <v>1</v>
      </c>
      <c r="R3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7" s="13" t="s">
        <v>1599</v>
      </c>
      <c r="T387" s="17" t="s">
        <v>1621</v>
      </c>
    </row>
    <row r="388" spans="2:20" ht="17">
      <c r="B388" s="17" t="e">
        <f t="shared" si="7"/>
        <v>#REF!</v>
      </c>
      <c r="C388" s="13" t="s">
        <v>1113</v>
      </c>
      <c r="D388" s="13" t="s">
        <v>1114</v>
      </c>
      <c r="E388" s="13">
        <v>504914919</v>
      </c>
      <c r="F388" s="13" t="s">
        <v>1115</v>
      </c>
      <c r="G388" s="13" t="s">
        <v>573</v>
      </c>
      <c r="H388" s="13" t="s">
        <v>35</v>
      </c>
      <c r="I388" s="13" t="s">
        <v>35</v>
      </c>
      <c r="J388" s="17" t="s">
        <v>35</v>
      </c>
      <c r="K388" s="13">
        <v>0</v>
      </c>
      <c r="L388" s="13">
        <v>0</v>
      </c>
      <c r="M388" s="13">
        <v>1</v>
      </c>
      <c r="N388" s="13">
        <v>1</v>
      </c>
      <c r="O388" s="13">
        <v>1</v>
      </c>
      <c r="P388" s="13">
        <v>0</v>
      </c>
      <c r="Q388" s="13">
        <v>0</v>
      </c>
      <c r="R3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8" s="13"/>
      <c r="T388" s="17"/>
    </row>
    <row r="389" spans="2:20" ht="17">
      <c r="B389" s="17" t="e">
        <f t="shared" si="7"/>
        <v>#REF!</v>
      </c>
      <c r="C389" s="13" t="s">
        <v>1116</v>
      </c>
      <c r="D389" s="13" t="s">
        <v>1117</v>
      </c>
      <c r="E389" s="13">
        <v>543377678</v>
      </c>
      <c r="F389" s="13" t="s">
        <v>1115</v>
      </c>
      <c r="G389" s="13" t="s">
        <v>573</v>
      </c>
      <c r="H389" s="13" t="s">
        <v>35</v>
      </c>
      <c r="I389" s="13" t="s">
        <v>35</v>
      </c>
      <c r="J389" s="17" t="s">
        <v>35</v>
      </c>
      <c r="K389" s="13">
        <v>1</v>
      </c>
      <c r="L389" s="13">
        <v>0</v>
      </c>
      <c r="M389" s="13">
        <v>1</v>
      </c>
      <c r="N389" s="13">
        <v>1</v>
      </c>
      <c r="O389" s="13">
        <v>1</v>
      </c>
      <c r="P389" s="13">
        <v>0</v>
      </c>
      <c r="Q389" s="13">
        <v>0</v>
      </c>
      <c r="R3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9" s="13"/>
      <c r="T389" s="17"/>
    </row>
    <row r="390" spans="2:20" ht="17">
      <c r="B390" s="17" t="e">
        <f t="shared" si="7"/>
        <v>#REF!</v>
      </c>
      <c r="C390" s="13" t="s">
        <v>1118</v>
      </c>
      <c r="D390" s="13" t="s">
        <v>1119</v>
      </c>
      <c r="E390" s="13">
        <v>565235999</v>
      </c>
      <c r="F390" s="13" t="s">
        <v>164</v>
      </c>
      <c r="G390" s="13" t="s">
        <v>573</v>
      </c>
      <c r="H390" s="13" t="s">
        <v>35</v>
      </c>
      <c r="I390" s="13" t="s">
        <v>35</v>
      </c>
      <c r="J390" s="17" t="s">
        <v>35</v>
      </c>
      <c r="K390" s="13">
        <v>1</v>
      </c>
      <c r="L390" s="13">
        <v>1</v>
      </c>
      <c r="M390" s="13">
        <v>1</v>
      </c>
      <c r="N390" s="13">
        <v>1</v>
      </c>
      <c r="O390" s="13">
        <v>1</v>
      </c>
      <c r="P390" s="13">
        <v>1</v>
      </c>
      <c r="Q390" s="13">
        <v>1</v>
      </c>
      <c r="R3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0" s="13"/>
      <c r="T390" s="17"/>
    </row>
    <row r="391" spans="2:20" ht="17">
      <c r="B391" s="17" t="e">
        <f t="shared" si="7"/>
        <v>#REF!</v>
      </c>
      <c r="C391" s="13" t="s">
        <v>1120</v>
      </c>
      <c r="D391" s="13" t="s">
        <v>1121</v>
      </c>
      <c r="E391" s="13">
        <v>541238112</v>
      </c>
      <c r="F391" s="13" t="s">
        <v>1120</v>
      </c>
      <c r="G391" s="13" t="s">
        <v>573</v>
      </c>
      <c r="H391" s="13" t="s">
        <v>29</v>
      </c>
      <c r="I391" s="13" t="s">
        <v>29</v>
      </c>
      <c r="J391" s="17" t="s">
        <v>29</v>
      </c>
      <c r="K391" s="13">
        <v>1</v>
      </c>
      <c r="L391" s="13">
        <v>1</v>
      </c>
      <c r="M391" s="13">
        <v>1</v>
      </c>
      <c r="N391" s="13">
        <v>1</v>
      </c>
      <c r="O391" s="13">
        <v>1</v>
      </c>
      <c r="P391" s="13">
        <v>1</v>
      </c>
      <c r="Q391" s="13">
        <v>1</v>
      </c>
      <c r="R3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1" s="13"/>
      <c r="T391" s="17"/>
    </row>
    <row r="392" spans="2:20" ht="17">
      <c r="B392" s="17" t="e">
        <f t="shared" si="7"/>
        <v>#REF!</v>
      </c>
      <c r="C392" s="13" t="s">
        <v>1122</v>
      </c>
      <c r="D392" s="13" t="s">
        <v>1123</v>
      </c>
      <c r="E392" s="13">
        <v>567572313</v>
      </c>
      <c r="F392" s="13" t="s">
        <v>164</v>
      </c>
      <c r="G392" s="13" t="s">
        <v>573</v>
      </c>
      <c r="H392" s="13" t="s">
        <v>77</v>
      </c>
      <c r="I392" s="13" t="s">
        <v>73</v>
      </c>
      <c r="J392" s="17" t="s">
        <v>73</v>
      </c>
      <c r="K392" s="13">
        <v>0</v>
      </c>
      <c r="L392" s="13">
        <v>0</v>
      </c>
      <c r="M392" s="13">
        <v>1</v>
      </c>
      <c r="N392" s="13">
        <v>1</v>
      </c>
      <c r="O392" s="13">
        <v>0</v>
      </c>
      <c r="P392" s="13">
        <v>0</v>
      </c>
      <c r="Q392" s="13">
        <v>0</v>
      </c>
      <c r="R3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2" s="13"/>
      <c r="T392" s="17"/>
    </row>
    <row r="393" spans="2:20" ht="17">
      <c r="B393" s="17" t="e">
        <f t="shared" si="7"/>
        <v>#REF!</v>
      </c>
      <c r="C393" s="19" t="s">
        <v>1124</v>
      </c>
      <c r="D393" s="19" t="s">
        <v>1125</v>
      </c>
      <c r="E393" s="19">
        <v>555959435</v>
      </c>
      <c r="F393" s="19" t="s">
        <v>1126</v>
      </c>
      <c r="G393" s="19" t="s">
        <v>573</v>
      </c>
      <c r="H393" s="19" t="s">
        <v>78</v>
      </c>
      <c r="I393" s="19" t="s">
        <v>93</v>
      </c>
      <c r="J393" s="20" t="s">
        <v>78</v>
      </c>
      <c r="K393" s="19">
        <v>0</v>
      </c>
      <c r="L393" s="19">
        <v>0</v>
      </c>
      <c r="M393" s="19">
        <v>0</v>
      </c>
      <c r="N393" s="19">
        <v>1</v>
      </c>
      <c r="O393" s="19">
        <v>1</v>
      </c>
      <c r="P393" s="19">
        <v>0</v>
      </c>
      <c r="Q393" s="19">
        <v>0</v>
      </c>
      <c r="R3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3" s="13"/>
      <c r="T393" s="17"/>
    </row>
    <row r="394" spans="2:20" ht="17">
      <c r="B394" s="17" t="e">
        <f t="shared" si="7"/>
        <v>#REF!</v>
      </c>
      <c r="C394" s="13" t="s">
        <v>1127</v>
      </c>
      <c r="D394" s="13" t="s">
        <v>1128</v>
      </c>
      <c r="E394" s="13">
        <v>554010215</v>
      </c>
      <c r="F394" s="13" t="s">
        <v>204</v>
      </c>
      <c r="G394" s="13" t="s">
        <v>143</v>
      </c>
      <c r="H394" s="13" t="s">
        <v>35</v>
      </c>
      <c r="I394" s="13" t="s">
        <v>35</v>
      </c>
      <c r="J394" s="17" t="s">
        <v>35</v>
      </c>
      <c r="K394" s="13">
        <v>0</v>
      </c>
      <c r="L394" s="13">
        <v>0</v>
      </c>
      <c r="M394" s="13">
        <v>1</v>
      </c>
      <c r="N394" s="13">
        <v>1</v>
      </c>
      <c r="O394" s="13">
        <v>1</v>
      </c>
      <c r="P394" s="13">
        <v>1</v>
      </c>
      <c r="Q394" s="13">
        <v>1</v>
      </c>
      <c r="R3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4" s="13"/>
      <c r="T394" s="17"/>
    </row>
    <row r="395" spans="2:20" ht="17">
      <c r="B395" s="17" t="e">
        <f t="shared" si="7"/>
        <v>#REF!</v>
      </c>
      <c r="C395" s="13" t="s">
        <v>1129</v>
      </c>
      <c r="D395" s="13" t="s">
        <v>1130</v>
      </c>
      <c r="E395" s="13">
        <v>550201036</v>
      </c>
      <c r="F395" s="13" t="s">
        <v>1011</v>
      </c>
      <c r="G395" s="13" t="s">
        <v>573</v>
      </c>
      <c r="H395" s="13" t="s">
        <v>77</v>
      </c>
      <c r="I395" s="13" t="s">
        <v>105</v>
      </c>
      <c r="J395" s="17" t="s">
        <v>105</v>
      </c>
      <c r="K395" s="13">
        <v>0</v>
      </c>
      <c r="L395" s="13">
        <v>0</v>
      </c>
      <c r="M395" s="13">
        <v>1</v>
      </c>
      <c r="N395" s="13">
        <v>1</v>
      </c>
      <c r="O395" s="13">
        <v>1</v>
      </c>
      <c r="P395" s="13">
        <v>0</v>
      </c>
      <c r="Q395" s="13">
        <v>0</v>
      </c>
      <c r="R3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5" s="13"/>
      <c r="T395" s="17"/>
    </row>
    <row r="396" spans="2:20" ht="17">
      <c r="B396" s="17" t="e">
        <f t="shared" si="7"/>
        <v>#REF!</v>
      </c>
      <c r="C396" s="13" t="s">
        <v>1131</v>
      </c>
      <c r="D396" s="13" t="s">
        <v>1132</v>
      </c>
      <c r="E396" s="13">
        <v>56222705</v>
      </c>
      <c r="F396" s="13" t="s">
        <v>290</v>
      </c>
      <c r="G396" s="13" t="s">
        <v>573</v>
      </c>
      <c r="H396" s="13" t="s">
        <v>77</v>
      </c>
      <c r="I396" s="13" t="s">
        <v>105</v>
      </c>
      <c r="J396" s="17" t="s">
        <v>105</v>
      </c>
      <c r="K396" s="13">
        <v>1</v>
      </c>
      <c r="L396" s="13">
        <v>1</v>
      </c>
      <c r="M396" s="13">
        <v>1</v>
      </c>
      <c r="N396" s="13">
        <v>1</v>
      </c>
      <c r="O396" s="13">
        <v>1</v>
      </c>
      <c r="P396" s="13">
        <v>1</v>
      </c>
      <c r="Q396" s="13">
        <v>1</v>
      </c>
      <c r="R3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6" s="13"/>
      <c r="T396" s="17"/>
    </row>
    <row r="397" spans="2:20" ht="17">
      <c r="B397" s="17" t="e">
        <f t="shared" si="7"/>
        <v>#REF!</v>
      </c>
      <c r="C397" s="13" t="s">
        <v>1133</v>
      </c>
      <c r="D397" s="13" t="s">
        <v>1134</v>
      </c>
      <c r="E397" s="13">
        <v>546120662</v>
      </c>
      <c r="F397" s="13" t="s">
        <v>164</v>
      </c>
      <c r="G397" s="13" t="s">
        <v>294</v>
      </c>
      <c r="H397" s="13" t="s">
        <v>108</v>
      </c>
      <c r="I397" s="13" t="s">
        <v>27</v>
      </c>
      <c r="J397" s="17" t="s">
        <v>27</v>
      </c>
      <c r="K397" s="13">
        <v>0</v>
      </c>
      <c r="L397" s="13">
        <v>0</v>
      </c>
      <c r="M397" s="13">
        <v>1</v>
      </c>
      <c r="N397" s="13">
        <v>1</v>
      </c>
      <c r="O397" s="13">
        <v>1</v>
      </c>
      <c r="P397" s="13">
        <v>1</v>
      </c>
      <c r="Q397" s="13">
        <v>0</v>
      </c>
      <c r="R3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7" s="13"/>
      <c r="T397" s="17" t="s">
        <v>1621</v>
      </c>
    </row>
    <row r="398" spans="2:20" ht="17">
      <c r="B398" s="17" t="e">
        <f>#REF!+1</f>
        <v>#REF!</v>
      </c>
      <c r="C398" s="13" t="s">
        <v>1139</v>
      </c>
      <c r="D398" s="13" t="s">
        <v>1140</v>
      </c>
      <c r="E398" s="13">
        <v>505363243</v>
      </c>
      <c r="F398" s="13" t="s">
        <v>1139</v>
      </c>
      <c r="G398" s="13" t="s">
        <v>143</v>
      </c>
      <c r="H398" s="13" t="s">
        <v>21</v>
      </c>
      <c r="I398" s="13" t="s">
        <v>58</v>
      </c>
      <c r="J398" s="17" t="s">
        <v>21</v>
      </c>
      <c r="K398" s="13">
        <v>0</v>
      </c>
      <c r="L398" s="13">
        <v>0</v>
      </c>
      <c r="M398" s="13">
        <v>2</v>
      </c>
      <c r="N398" s="13">
        <v>0</v>
      </c>
      <c r="O398" s="13">
        <v>0</v>
      </c>
      <c r="P398" s="13">
        <v>0</v>
      </c>
      <c r="Q398" s="13">
        <v>0</v>
      </c>
      <c r="R3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8" s="13"/>
      <c r="T398" s="17"/>
    </row>
    <row r="399" spans="2:20" ht="17">
      <c r="B399" s="17" t="e">
        <f t="shared" si="7"/>
        <v>#REF!</v>
      </c>
      <c r="C399" s="13" t="s">
        <v>1141</v>
      </c>
      <c r="D399" s="13" t="s">
        <v>1142</v>
      </c>
      <c r="E399" s="13">
        <v>553645396</v>
      </c>
      <c r="F399" s="13" t="s">
        <v>164</v>
      </c>
      <c r="G399" s="13" t="s">
        <v>294</v>
      </c>
      <c r="H399" s="13" t="s">
        <v>108</v>
      </c>
      <c r="I399" s="13" t="s">
        <v>108</v>
      </c>
      <c r="J399" s="17" t="s">
        <v>108</v>
      </c>
      <c r="K399" s="13">
        <v>1</v>
      </c>
      <c r="L399" s="13">
        <v>1</v>
      </c>
      <c r="M399" s="13">
        <v>1</v>
      </c>
      <c r="N399" s="13">
        <v>1</v>
      </c>
      <c r="O399" s="13">
        <v>1</v>
      </c>
      <c r="P399" s="13">
        <v>1</v>
      </c>
      <c r="Q399" s="13">
        <v>1</v>
      </c>
      <c r="R3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9" s="13"/>
      <c r="T399" s="17" t="s">
        <v>1621</v>
      </c>
    </row>
    <row r="400" spans="2:20" ht="17">
      <c r="B400" s="17" t="e">
        <f t="shared" si="7"/>
        <v>#REF!</v>
      </c>
      <c r="C400" s="13" t="s">
        <v>1143</v>
      </c>
      <c r="D400" s="13" t="s">
        <v>1144</v>
      </c>
      <c r="E400" s="13">
        <v>599599549</v>
      </c>
      <c r="F400" s="13" t="s">
        <v>164</v>
      </c>
      <c r="G400" s="13" t="s">
        <v>294</v>
      </c>
      <c r="H400" s="13" t="s">
        <v>108</v>
      </c>
      <c r="I400" s="13" t="s">
        <v>15</v>
      </c>
      <c r="J400" s="17" t="s">
        <v>15</v>
      </c>
      <c r="K400" s="13">
        <v>1</v>
      </c>
      <c r="L400" s="13">
        <v>1</v>
      </c>
      <c r="M400" s="13">
        <v>1</v>
      </c>
      <c r="N400" s="13">
        <v>1</v>
      </c>
      <c r="O400" s="13">
        <v>1</v>
      </c>
      <c r="P400" s="13">
        <v>1</v>
      </c>
      <c r="Q400" s="13">
        <v>1</v>
      </c>
      <c r="R4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0" s="13"/>
      <c r="T400" s="17" t="s">
        <v>1621</v>
      </c>
    </row>
    <row r="401" spans="2:20" ht="17">
      <c r="B401" s="17" t="e">
        <f t="shared" si="7"/>
        <v>#REF!</v>
      </c>
      <c r="C401" s="13" t="s">
        <v>1145</v>
      </c>
      <c r="D401" s="13" t="s">
        <v>1146</v>
      </c>
      <c r="E401" s="13">
        <v>532492333</v>
      </c>
      <c r="F401" s="13" t="s">
        <v>164</v>
      </c>
      <c r="G401" s="13" t="s">
        <v>294</v>
      </c>
      <c r="H401" s="13" t="s">
        <v>21</v>
      </c>
      <c r="I401" s="13" t="s">
        <v>21</v>
      </c>
      <c r="J401" s="17" t="s">
        <v>21</v>
      </c>
      <c r="K401" s="13">
        <v>1</v>
      </c>
      <c r="L401" s="13">
        <v>0</v>
      </c>
      <c r="M401" s="13">
        <v>1</v>
      </c>
      <c r="N401" s="13">
        <v>1</v>
      </c>
      <c r="O401" s="13">
        <v>1</v>
      </c>
      <c r="P401" s="13">
        <v>0</v>
      </c>
      <c r="Q401" s="13">
        <v>0</v>
      </c>
      <c r="R4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1" s="13"/>
      <c r="T401" s="17" t="s">
        <v>1621</v>
      </c>
    </row>
    <row r="402" spans="2:20" ht="17">
      <c r="B402" s="17" t="e">
        <f>#REF!+1</f>
        <v>#REF!</v>
      </c>
      <c r="C402" s="13" t="s">
        <v>1155</v>
      </c>
      <c r="D402" s="13" t="s">
        <v>1156</v>
      </c>
      <c r="E402" s="13">
        <v>502812500</v>
      </c>
      <c r="F402" s="13" t="s">
        <v>164</v>
      </c>
      <c r="G402" s="13" t="s">
        <v>294</v>
      </c>
      <c r="H402" s="13" t="s">
        <v>77</v>
      </c>
      <c r="I402" s="13" t="s">
        <v>43</v>
      </c>
      <c r="J402" s="17" t="s">
        <v>105</v>
      </c>
      <c r="K402" s="13">
        <v>0</v>
      </c>
      <c r="L402" s="13">
        <v>1</v>
      </c>
      <c r="M402" s="13">
        <v>1</v>
      </c>
      <c r="N402" s="13">
        <v>1</v>
      </c>
      <c r="O402" s="13">
        <v>0</v>
      </c>
      <c r="P402" s="13">
        <v>0</v>
      </c>
      <c r="Q402" s="13">
        <v>0</v>
      </c>
      <c r="R4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2" s="13" t="s">
        <v>1599</v>
      </c>
      <c r="T402" s="17" t="s">
        <v>1621</v>
      </c>
    </row>
    <row r="403" spans="2:20" ht="17">
      <c r="B403" s="17" t="e">
        <f>#REF!+1</f>
        <v>#REF!</v>
      </c>
      <c r="C403" s="19" t="s">
        <v>1158</v>
      </c>
      <c r="D403" s="19" t="s">
        <v>1159</v>
      </c>
      <c r="E403" s="19">
        <v>558849399</v>
      </c>
      <c r="F403" s="19" t="s">
        <v>164</v>
      </c>
      <c r="G403" s="19" t="s">
        <v>294</v>
      </c>
      <c r="H403" s="19" t="s">
        <v>29</v>
      </c>
      <c r="I403" s="19" t="s">
        <v>29</v>
      </c>
      <c r="J403" s="20" t="s">
        <v>29</v>
      </c>
      <c r="K403" s="19">
        <v>0</v>
      </c>
      <c r="L403" s="19">
        <v>0</v>
      </c>
      <c r="M403" s="19">
        <v>1</v>
      </c>
      <c r="N403" s="19">
        <v>1</v>
      </c>
      <c r="O403" s="19">
        <v>1</v>
      </c>
      <c r="P403" s="19">
        <v>0</v>
      </c>
      <c r="Q403" s="19">
        <v>0</v>
      </c>
      <c r="R4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3" s="13"/>
      <c r="T403" s="17" t="s">
        <v>1621</v>
      </c>
    </row>
    <row r="404" spans="2:20" ht="17">
      <c r="B404" s="17" t="e">
        <f>#REF!+1</f>
        <v>#REF!</v>
      </c>
      <c r="C404" s="13" t="s">
        <v>1161</v>
      </c>
      <c r="D404" s="13" t="s">
        <v>1162</v>
      </c>
      <c r="E404" s="13">
        <v>566588539</v>
      </c>
      <c r="F404" s="13" t="s">
        <v>164</v>
      </c>
      <c r="G404" s="13" t="s">
        <v>294</v>
      </c>
      <c r="H404" s="13" t="s">
        <v>37</v>
      </c>
      <c r="I404" s="13" t="s">
        <v>40</v>
      </c>
      <c r="J404" s="17" t="s">
        <v>37</v>
      </c>
      <c r="K404" s="13">
        <v>1</v>
      </c>
      <c r="L404" s="13">
        <v>1</v>
      </c>
      <c r="M404" s="13">
        <v>1</v>
      </c>
      <c r="N404" s="13">
        <v>1</v>
      </c>
      <c r="O404" s="13">
        <v>1</v>
      </c>
      <c r="P404" s="13">
        <v>1</v>
      </c>
      <c r="Q404" s="13">
        <v>1</v>
      </c>
      <c r="R4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4" s="13"/>
      <c r="T404" s="17" t="s">
        <v>1621</v>
      </c>
    </row>
    <row r="405" spans="2:20" ht="17">
      <c r="B405" s="17" t="e">
        <f t="shared" ref="B405:B442" si="8">B404+1</f>
        <v>#REF!</v>
      </c>
      <c r="C405" s="13" t="s">
        <v>1163</v>
      </c>
      <c r="D405" s="13" t="s">
        <v>825</v>
      </c>
      <c r="E405" s="13">
        <v>538837440</v>
      </c>
      <c r="F405" s="13" t="s">
        <v>164</v>
      </c>
      <c r="G405" s="13" t="s">
        <v>294</v>
      </c>
      <c r="H405" s="13" t="s">
        <v>77</v>
      </c>
      <c r="I405" s="13" t="s">
        <v>105</v>
      </c>
      <c r="J405" s="17" t="s">
        <v>105</v>
      </c>
      <c r="K405" s="13">
        <v>0</v>
      </c>
      <c r="L405" s="13">
        <v>1</v>
      </c>
      <c r="M405" s="13">
        <v>1</v>
      </c>
      <c r="N405" s="13">
        <v>1</v>
      </c>
      <c r="O405" s="13">
        <v>1</v>
      </c>
      <c r="P405" s="13">
        <v>1</v>
      </c>
      <c r="Q405" s="13">
        <v>1</v>
      </c>
      <c r="R4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5" s="13"/>
      <c r="T405" s="17" t="s">
        <v>1621</v>
      </c>
    </row>
    <row r="406" spans="2:20" ht="17">
      <c r="B406" s="17" t="e">
        <f t="shared" si="8"/>
        <v>#REF!</v>
      </c>
      <c r="C406" s="13" t="s">
        <v>1164</v>
      </c>
      <c r="D406" s="13" t="s">
        <v>1165</v>
      </c>
      <c r="E406" s="13">
        <v>508600181</v>
      </c>
      <c r="F406" s="13" t="s">
        <v>164</v>
      </c>
      <c r="G406" s="13" t="s">
        <v>294</v>
      </c>
      <c r="H406" s="13" t="s">
        <v>77</v>
      </c>
      <c r="I406" s="13" t="s">
        <v>73</v>
      </c>
      <c r="J406" s="17" t="s">
        <v>73</v>
      </c>
      <c r="K406" s="13">
        <v>1</v>
      </c>
      <c r="L406" s="13">
        <v>1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6" s="13"/>
      <c r="T406" s="17" t="s">
        <v>1621</v>
      </c>
    </row>
    <row r="407" spans="2:20" ht="17">
      <c r="B407" s="17" t="e">
        <f t="shared" si="8"/>
        <v>#REF!</v>
      </c>
      <c r="C407" s="13" t="s">
        <v>1166</v>
      </c>
      <c r="D407" s="13" t="s">
        <v>1167</v>
      </c>
      <c r="E407" s="13">
        <v>555682395</v>
      </c>
      <c r="F407" s="13" t="s">
        <v>164</v>
      </c>
      <c r="G407" s="13" t="s">
        <v>294</v>
      </c>
      <c r="H407" s="13" t="s">
        <v>37</v>
      </c>
      <c r="I407" s="13" t="s">
        <v>101</v>
      </c>
      <c r="J407" s="17" t="s">
        <v>37</v>
      </c>
      <c r="K407" s="13">
        <v>1</v>
      </c>
      <c r="L407" s="13">
        <v>1</v>
      </c>
      <c r="M407" s="13">
        <v>1</v>
      </c>
      <c r="N407" s="13">
        <v>1</v>
      </c>
      <c r="O407" s="13">
        <v>1</v>
      </c>
      <c r="P407" s="13">
        <v>1</v>
      </c>
      <c r="Q407" s="13">
        <v>1</v>
      </c>
      <c r="R4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7" s="13"/>
      <c r="T407" s="17" t="s">
        <v>1621</v>
      </c>
    </row>
    <row r="408" spans="2:20" ht="17">
      <c r="B408" s="17" t="e">
        <f t="shared" si="8"/>
        <v>#REF!</v>
      </c>
      <c r="C408" s="13" t="s">
        <v>1168</v>
      </c>
      <c r="D408" s="13" t="s">
        <v>1169</v>
      </c>
      <c r="E408" s="13">
        <v>535352410</v>
      </c>
      <c r="F408" s="13" t="s">
        <v>164</v>
      </c>
      <c r="G408" s="13" t="s">
        <v>294</v>
      </c>
      <c r="H408" s="13" t="s">
        <v>21</v>
      </c>
      <c r="I408" s="13" t="s">
        <v>21</v>
      </c>
      <c r="J408" s="17" t="s">
        <v>21</v>
      </c>
      <c r="K408" s="13">
        <v>1</v>
      </c>
      <c r="L408" s="13">
        <v>0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8" s="13"/>
      <c r="T408" s="17" t="s">
        <v>1621</v>
      </c>
    </row>
    <row r="409" spans="2:20" ht="17">
      <c r="B409" s="17" t="e">
        <f>#REF!+1</f>
        <v>#REF!</v>
      </c>
      <c r="C409" s="13" t="s">
        <v>1172</v>
      </c>
      <c r="D409" s="13" t="s">
        <v>1173</v>
      </c>
      <c r="E409" s="13">
        <v>540200055</v>
      </c>
      <c r="F409" s="13" t="s">
        <v>164</v>
      </c>
      <c r="G409" s="13" t="s">
        <v>294</v>
      </c>
      <c r="H409" s="13" t="s">
        <v>77</v>
      </c>
      <c r="I409" s="13" t="s">
        <v>105</v>
      </c>
      <c r="J409" s="17" t="s">
        <v>105</v>
      </c>
      <c r="K409" s="13">
        <v>1</v>
      </c>
      <c r="L409" s="13">
        <v>1</v>
      </c>
      <c r="M409" s="13">
        <v>1</v>
      </c>
      <c r="N409" s="13">
        <v>1</v>
      </c>
      <c r="O409" s="13">
        <v>1</v>
      </c>
      <c r="P409" s="13">
        <v>1</v>
      </c>
      <c r="Q409" s="13">
        <v>1</v>
      </c>
      <c r="R4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9" s="13"/>
      <c r="T409" s="17" t="s">
        <v>1621</v>
      </c>
    </row>
    <row r="410" spans="2:20" ht="17">
      <c r="B410" s="17" t="e">
        <f t="shared" si="8"/>
        <v>#REF!</v>
      </c>
      <c r="C410" s="13" t="s">
        <v>1174</v>
      </c>
      <c r="D410" s="13" t="s">
        <v>1175</v>
      </c>
      <c r="E410" s="13">
        <v>508280880</v>
      </c>
      <c r="F410" s="13" t="s">
        <v>164</v>
      </c>
      <c r="G410" s="13" t="s">
        <v>294</v>
      </c>
      <c r="H410" s="13" t="s">
        <v>77</v>
      </c>
      <c r="I410" s="13" t="s">
        <v>105</v>
      </c>
      <c r="J410" s="17" t="s">
        <v>105</v>
      </c>
      <c r="K410" s="13">
        <v>1</v>
      </c>
      <c r="L410" s="13">
        <v>1</v>
      </c>
      <c r="M410" s="13">
        <v>1</v>
      </c>
      <c r="N410" s="13">
        <v>1</v>
      </c>
      <c r="O410" s="13">
        <v>1</v>
      </c>
      <c r="P410" s="13">
        <v>1</v>
      </c>
      <c r="Q410" s="13">
        <v>1</v>
      </c>
      <c r="R4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0" s="13"/>
      <c r="T410" s="17" t="s">
        <v>1621</v>
      </c>
    </row>
    <row r="411" spans="2:20" ht="17">
      <c r="B411" s="17" t="e">
        <f t="shared" si="8"/>
        <v>#REF!</v>
      </c>
      <c r="C411" s="13" t="s">
        <v>1176</v>
      </c>
      <c r="D411" s="13" t="s">
        <v>1177</v>
      </c>
      <c r="E411" s="45">
        <v>966504334945</v>
      </c>
      <c r="F411" s="13" t="s">
        <v>164</v>
      </c>
      <c r="G411" s="13" t="s">
        <v>294</v>
      </c>
      <c r="H411" s="13" t="s">
        <v>77</v>
      </c>
      <c r="I411" s="13" t="s">
        <v>105</v>
      </c>
      <c r="J411" s="17" t="s">
        <v>105</v>
      </c>
      <c r="K411" s="13">
        <v>1</v>
      </c>
      <c r="L411" s="13">
        <v>1</v>
      </c>
      <c r="M411" s="13">
        <v>1</v>
      </c>
      <c r="N411" s="13">
        <v>1</v>
      </c>
      <c r="O411" s="13">
        <v>1</v>
      </c>
      <c r="P411" s="13">
        <v>1</v>
      </c>
      <c r="Q411" s="13">
        <v>1</v>
      </c>
      <c r="R4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1" s="13"/>
      <c r="T411" s="17" t="s">
        <v>1621</v>
      </c>
    </row>
    <row r="412" spans="2:20" ht="17">
      <c r="B412" s="17" t="e">
        <f t="shared" si="8"/>
        <v>#REF!</v>
      </c>
      <c r="C412" s="13" t="s">
        <v>1178</v>
      </c>
      <c r="D412" s="13" t="s">
        <v>1179</v>
      </c>
      <c r="E412" s="13">
        <v>500656983</v>
      </c>
      <c r="F412" s="13" t="s">
        <v>164</v>
      </c>
      <c r="G412" s="13" t="s">
        <v>294</v>
      </c>
      <c r="H412" s="13" t="s">
        <v>37</v>
      </c>
      <c r="I412" s="13" t="s">
        <v>101</v>
      </c>
      <c r="J412" s="17" t="s">
        <v>37</v>
      </c>
      <c r="K412" s="13">
        <v>1</v>
      </c>
      <c r="L412" s="13">
        <v>1</v>
      </c>
      <c r="M412" s="13">
        <v>1</v>
      </c>
      <c r="N412" s="13">
        <v>1</v>
      </c>
      <c r="O412" s="13">
        <v>1</v>
      </c>
      <c r="P412" s="13">
        <v>1</v>
      </c>
      <c r="Q412" s="13">
        <v>1</v>
      </c>
      <c r="R4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2" s="13"/>
      <c r="T412" s="17" t="s">
        <v>1621</v>
      </c>
    </row>
    <row r="413" spans="2:20" ht="17">
      <c r="B413" s="17" t="e">
        <f t="shared" si="8"/>
        <v>#REF!</v>
      </c>
      <c r="C413" s="13" t="s">
        <v>1180</v>
      </c>
      <c r="D413" s="13" t="s">
        <v>1181</v>
      </c>
      <c r="E413" s="13">
        <v>562007170</v>
      </c>
      <c r="F413" s="13" t="s">
        <v>164</v>
      </c>
      <c r="G413" s="13" t="s">
        <v>294</v>
      </c>
      <c r="H413" s="13" t="s">
        <v>21</v>
      </c>
      <c r="I413" s="13" t="s">
        <v>21</v>
      </c>
      <c r="J413" s="17" t="s">
        <v>21</v>
      </c>
      <c r="K413" s="13">
        <v>1</v>
      </c>
      <c r="L413" s="13">
        <v>1</v>
      </c>
      <c r="M413" s="13">
        <v>1</v>
      </c>
      <c r="N413" s="13">
        <v>1</v>
      </c>
      <c r="O413" s="13">
        <v>1</v>
      </c>
      <c r="P413" s="13">
        <v>1</v>
      </c>
      <c r="Q413" s="13">
        <v>1</v>
      </c>
      <c r="R4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3" s="13"/>
      <c r="T413" s="17" t="s">
        <v>1621</v>
      </c>
    </row>
    <row r="414" spans="2:20" ht="17">
      <c r="B414" s="17" t="e">
        <f>#REF!+1</f>
        <v>#REF!</v>
      </c>
      <c r="C414" s="13" t="s">
        <v>1183</v>
      </c>
      <c r="D414" s="13" t="s">
        <v>1184</v>
      </c>
      <c r="E414" s="13">
        <v>532448481</v>
      </c>
      <c r="F414" s="13" t="s">
        <v>164</v>
      </c>
      <c r="G414" s="13" t="s">
        <v>294</v>
      </c>
      <c r="H414" s="13" t="s">
        <v>77</v>
      </c>
      <c r="I414" s="13" t="s">
        <v>1028</v>
      </c>
      <c r="J414" s="17" t="s">
        <v>105</v>
      </c>
      <c r="K414" s="13">
        <v>1</v>
      </c>
      <c r="L414" s="13">
        <v>1</v>
      </c>
      <c r="M414" s="13">
        <v>1</v>
      </c>
      <c r="N414" s="13">
        <v>1</v>
      </c>
      <c r="O414" s="13">
        <v>0</v>
      </c>
      <c r="P414" s="13">
        <v>0</v>
      </c>
      <c r="Q414" s="13">
        <v>0</v>
      </c>
      <c r="R4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4" s="13" t="s">
        <v>1599</v>
      </c>
      <c r="T414" s="17" t="s">
        <v>1621</v>
      </c>
    </row>
    <row r="415" spans="2:20" ht="17">
      <c r="B415" s="17" t="e">
        <f t="shared" si="8"/>
        <v>#REF!</v>
      </c>
      <c r="C415" s="13" t="s">
        <v>1185</v>
      </c>
      <c r="D415" s="13" t="s">
        <v>1186</v>
      </c>
      <c r="E415" s="13">
        <v>551194432</v>
      </c>
      <c r="F415" s="13" t="s">
        <v>164</v>
      </c>
      <c r="G415" s="13" t="s">
        <v>143</v>
      </c>
      <c r="H415" s="13" t="s">
        <v>35</v>
      </c>
      <c r="I415" s="13" t="s">
        <v>76</v>
      </c>
      <c r="J415" s="17" t="s">
        <v>76</v>
      </c>
      <c r="K415" s="13">
        <v>0</v>
      </c>
      <c r="L415" s="13">
        <v>0</v>
      </c>
      <c r="M415" s="13">
        <v>1</v>
      </c>
      <c r="N415" s="13">
        <v>0</v>
      </c>
      <c r="O415" s="13">
        <v>0</v>
      </c>
      <c r="P415" s="13">
        <v>0</v>
      </c>
      <c r="Q415" s="13">
        <v>0</v>
      </c>
      <c r="R4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5" s="13"/>
      <c r="T415" s="17"/>
    </row>
    <row r="416" spans="2:20" ht="17">
      <c r="B416" s="17" t="e">
        <f t="shared" si="8"/>
        <v>#REF!</v>
      </c>
      <c r="C416" s="13" t="s">
        <v>1187</v>
      </c>
      <c r="D416" s="13" t="s">
        <v>1188</v>
      </c>
      <c r="E416" s="13">
        <v>557139480</v>
      </c>
      <c r="F416" s="13" t="s">
        <v>164</v>
      </c>
      <c r="G416" s="13" t="s">
        <v>294</v>
      </c>
      <c r="H416" s="13" t="s">
        <v>108</v>
      </c>
      <c r="I416" s="13" t="s">
        <v>108</v>
      </c>
      <c r="J416" s="17" t="s">
        <v>108</v>
      </c>
      <c r="K416" s="13">
        <v>1</v>
      </c>
      <c r="L416" s="13">
        <v>1</v>
      </c>
      <c r="M416" s="13">
        <v>1</v>
      </c>
      <c r="N416" s="13">
        <v>1</v>
      </c>
      <c r="O416" s="13">
        <v>1</v>
      </c>
      <c r="P416" s="13">
        <v>1</v>
      </c>
      <c r="Q416" s="13">
        <v>1</v>
      </c>
      <c r="R4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6" s="13" t="s">
        <v>1599</v>
      </c>
      <c r="T416" s="17" t="s">
        <v>1621</v>
      </c>
    </row>
    <row r="417" spans="2:20" ht="17">
      <c r="B417" s="17" t="e">
        <f>#REF!+1</f>
        <v>#REF!</v>
      </c>
      <c r="C417" s="13" t="s">
        <v>1190</v>
      </c>
      <c r="D417" s="13" t="s">
        <v>1191</v>
      </c>
      <c r="E417" s="13">
        <v>505969269</v>
      </c>
      <c r="F417" s="13" t="s">
        <v>164</v>
      </c>
      <c r="G417" s="13" t="s">
        <v>294</v>
      </c>
      <c r="H417" s="13" t="s">
        <v>108</v>
      </c>
      <c r="I417" s="13" t="s">
        <v>48</v>
      </c>
      <c r="J417" s="17" t="s">
        <v>108</v>
      </c>
      <c r="K417" s="13">
        <v>1</v>
      </c>
      <c r="L417" s="13">
        <v>0</v>
      </c>
      <c r="M417" s="13">
        <v>0</v>
      </c>
      <c r="N417" s="13">
        <v>1</v>
      </c>
      <c r="O417" s="13">
        <v>0</v>
      </c>
      <c r="P417" s="13">
        <v>0</v>
      </c>
      <c r="Q417" s="13">
        <v>0</v>
      </c>
      <c r="R4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7" s="13"/>
      <c r="T417" s="17" t="s">
        <v>1621</v>
      </c>
    </row>
    <row r="418" spans="2:20" ht="17">
      <c r="B418" s="17" t="e">
        <f>#REF!+1</f>
        <v>#REF!</v>
      </c>
      <c r="C418" s="13" t="s">
        <v>1193</v>
      </c>
      <c r="D418" s="13" t="s">
        <v>1194</v>
      </c>
      <c r="E418" s="13">
        <v>551814665</v>
      </c>
      <c r="F418" s="13" t="s">
        <v>1193</v>
      </c>
      <c r="G418" s="13" t="s">
        <v>573</v>
      </c>
      <c r="H418" s="13" t="s">
        <v>75</v>
      </c>
      <c r="I418" s="13" t="s">
        <v>87</v>
      </c>
      <c r="J418" s="17" t="s">
        <v>75</v>
      </c>
      <c r="K418" s="13">
        <v>1</v>
      </c>
      <c r="L418" s="13">
        <v>0</v>
      </c>
      <c r="M418" s="13">
        <v>1</v>
      </c>
      <c r="N418" s="13">
        <v>0</v>
      </c>
      <c r="O418" s="13">
        <v>1</v>
      </c>
      <c r="P418" s="13">
        <v>1</v>
      </c>
      <c r="Q418" s="13">
        <v>1</v>
      </c>
      <c r="R4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8" s="13"/>
      <c r="T418" s="17"/>
    </row>
    <row r="419" spans="2:20" ht="17">
      <c r="B419" s="17" t="e">
        <f t="shared" si="8"/>
        <v>#REF!</v>
      </c>
      <c r="C419" s="13" t="s">
        <v>87</v>
      </c>
      <c r="D419" s="13" t="s">
        <v>1195</v>
      </c>
      <c r="E419" s="13">
        <v>502942088</v>
      </c>
      <c r="F419" s="13" t="s">
        <v>87</v>
      </c>
      <c r="G419" s="13" t="s">
        <v>143</v>
      </c>
      <c r="H419" s="13" t="s">
        <v>75</v>
      </c>
      <c r="I419" s="13" t="s">
        <v>87</v>
      </c>
      <c r="J419" s="17" t="s">
        <v>75</v>
      </c>
      <c r="K419" s="13">
        <v>1</v>
      </c>
      <c r="L419" s="13">
        <v>0</v>
      </c>
      <c r="M419" s="13">
        <v>1</v>
      </c>
      <c r="N419" s="13">
        <v>0</v>
      </c>
      <c r="O419" s="13">
        <v>1</v>
      </c>
      <c r="P419" s="13">
        <v>1</v>
      </c>
      <c r="Q419" s="13">
        <v>1</v>
      </c>
      <c r="R4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9" s="13"/>
      <c r="T419" s="17"/>
    </row>
    <row r="420" spans="2:20" ht="17">
      <c r="B420" s="17" t="e">
        <f t="shared" si="8"/>
        <v>#REF!</v>
      </c>
      <c r="C420" s="19" t="s">
        <v>1196</v>
      </c>
      <c r="D420" s="19" t="s">
        <v>1197</v>
      </c>
      <c r="E420" s="19">
        <v>510588304</v>
      </c>
      <c r="F420" s="19" t="s">
        <v>1198</v>
      </c>
      <c r="G420" s="19" t="s">
        <v>573</v>
      </c>
      <c r="H420" s="19" t="s">
        <v>108</v>
      </c>
      <c r="I420" s="19" t="s">
        <v>108</v>
      </c>
      <c r="J420" s="20" t="s">
        <v>108</v>
      </c>
      <c r="K420" s="19">
        <v>1</v>
      </c>
      <c r="L420" s="19">
        <v>0</v>
      </c>
      <c r="M420" s="19">
        <v>1</v>
      </c>
      <c r="N420" s="19">
        <v>1</v>
      </c>
      <c r="O420" s="19">
        <v>0</v>
      </c>
      <c r="P420" s="19">
        <v>0</v>
      </c>
      <c r="Q420" s="19">
        <v>0</v>
      </c>
      <c r="R4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0" s="13"/>
      <c r="T420" s="17"/>
    </row>
    <row r="421" spans="2:20" ht="17">
      <c r="B421" s="17" t="e">
        <f t="shared" si="8"/>
        <v>#REF!</v>
      </c>
      <c r="C421" s="13" t="s">
        <v>1205</v>
      </c>
      <c r="D421" s="13" t="s">
        <v>1206</v>
      </c>
      <c r="E421" s="13">
        <v>500050182</v>
      </c>
      <c r="F421" s="13" t="s">
        <v>164</v>
      </c>
      <c r="G421" s="13" t="s">
        <v>573</v>
      </c>
      <c r="H421" s="13" t="s">
        <v>75</v>
      </c>
      <c r="I421" s="13" t="s">
        <v>87</v>
      </c>
      <c r="J421" s="17" t="s">
        <v>75</v>
      </c>
      <c r="K421" s="13">
        <v>1</v>
      </c>
      <c r="L421" s="13">
        <v>0</v>
      </c>
      <c r="M421" s="13">
        <v>1</v>
      </c>
      <c r="N421" s="13">
        <v>0</v>
      </c>
      <c r="O421" s="13">
        <v>2</v>
      </c>
      <c r="P421" s="13">
        <v>2</v>
      </c>
      <c r="Q421" s="13">
        <v>2</v>
      </c>
      <c r="R4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1" s="13"/>
      <c r="T421" s="17"/>
    </row>
    <row r="422" spans="2:20" ht="17">
      <c r="B422" s="17" t="e">
        <f t="shared" si="8"/>
        <v>#REF!</v>
      </c>
      <c r="C422" s="13" t="s">
        <v>1207</v>
      </c>
      <c r="D422" s="13" t="s">
        <v>1208</v>
      </c>
      <c r="E422" s="13">
        <v>548118069</v>
      </c>
      <c r="F422" s="13" t="s">
        <v>1209</v>
      </c>
      <c r="G422" s="13" t="s">
        <v>573</v>
      </c>
      <c r="H422" s="13" t="s">
        <v>21</v>
      </c>
      <c r="I422" s="13" t="s">
        <v>58</v>
      </c>
      <c r="J422" s="17" t="s">
        <v>21</v>
      </c>
      <c r="K422" s="13">
        <v>0</v>
      </c>
      <c r="L422" s="13">
        <v>0</v>
      </c>
      <c r="M422" s="13">
        <v>2</v>
      </c>
      <c r="N422" s="13">
        <v>0</v>
      </c>
      <c r="O422" s="13">
        <v>0</v>
      </c>
      <c r="P422" s="13">
        <v>0</v>
      </c>
      <c r="Q422" s="13">
        <v>0</v>
      </c>
      <c r="R4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2" s="13"/>
      <c r="T422" s="17"/>
    </row>
    <row r="423" spans="2:20" ht="17">
      <c r="B423" s="17" t="e">
        <f t="shared" si="8"/>
        <v>#REF!</v>
      </c>
      <c r="C423" s="13" t="s">
        <v>1210</v>
      </c>
      <c r="D423" s="13" t="s">
        <v>1211</v>
      </c>
      <c r="E423" s="13">
        <v>595433336</v>
      </c>
      <c r="F423" s="13" t="s">
        <v>164</v>
      </c>
      <c r="G423" s="13" t="s">
        <v>294</v>
      </c>
      <c r="H423" s="13" t="s">
        <v>37</v>
      </c>
      <c r="I423" s="13" t="s">
        <v>103</v>
      </c>
      <c r="J423" s="17" t="s">
        <v>37</v>
      </c>
      <c r="K423" s="13">
        <v>0</v>
      </c>
      <c r="L423" s="13">
        <v>1</v>
      </c>
      <c r="M423" s="13">
        <v>1</v>
      </c>
      <c r="N423" s="13">
        <v>1</v>
      </c>
      <c r="O423" s="13">
        <v>1</v>
      </c>
      <c r="P423" s="13">
        <v>1</v>
      </c>
      <c r="Q423" s="13">
        <v>1</v>
      </c>
      <c r="R4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3" s="13"/>
      <c r="T423" s="17" t="s">
        <v>1621</v>
      </c>
    </row>
    <row r="424" spans="2:20" ht="17">
      <c r="B424" s="17" t="e">
        <f t="shared" si="8"/>
        <v>#REF!</v>
      </c>
      <c r="C424" s="13" t="s">
        <v>1212</v>
      </c>
      <c r="D424" s="13" t="s">
        <v>1213</v>
      </c>
      <c r="E424" s="13">
        <v>551139946</v>
      </c>
      <c r="F424" s="13" t="s">
        <v>164</v>
      </c>
      <c r="G424" s="13" t="s">
        <v>294</v>
      </c>
      <c r="H424" s="13" t="s">
        <v>77</v>
      </c>
      <c r="I424" s="13" t="s">
        <v>43</v>
      </c>
      <c r="J424" s="17" t="s">
        <v>105</v>
      </c>
      <c r="K424" s="13">
        <v>1</v>
      </c>
      <c r="L424" s="13">
        <v>1</v>
      </c>
      <c r="M424" s="13">
        <v>1</v>
      </c>
      <c r="N424" s="13">
        <v>1</v>
      </c>
      <c r="O424" s="13">
        <v>1</v>
      </c>
      <c r="P424" s="13">
        <v>1</v>
      </c>
      <c r="Q424" s="13">
        <v>0</v>
      </c>
      <c r="R4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4" s="13" t="s">
        <v>1599</v>
      </c>
      <c r="T424" s="17" t="s">
        <v>1621</v>
      </c>
    </row>
    <row r="425" spans="2:20" ht="17">
      <c r="B425" s="17" t="e">
        <f>#REF!+1</f>
        <v>#REF!</v>
      </c>
      <c r="C425" s="13" t="s">
        <v>1215</v>
      </c>
      <c r="D425" s="13" t="s">
        <v>1216</v>
      </c>
      <c r="E425" s="13">
        <v>556121614</v>
      </c>
      <c r="F425" s="13" t="s">
        <v>164</v>
      </c>
      <c r="G425" s="13" t="s">
        <v>294</v>
      </c>
      <c r="H425" s="13" t="s">
        <v>68</v>
      </c>
      <c r="I425" s="13" t="s">
        <v>61</v>
      </c>
      <c r="J425" s="17" t="s">
        <v>68</v>
      </c>
      <c r="K425" s="13">
        <v>0</v>
      </c>
      <c r="L425" s="13">
        <v>0</v>
      </c>
      <c r="M425" s="13">
        <v>0</v>
      </c>
      <c r="N425" s="13">
        <v>0</v>
      </c>
      <c r="O425" s="13">
        <v>1</v>
      </c>
      <c r="P425" s="13">
        <v>1</v>
      </c>
      <c r="Q425" s="13">
        <v>1</v>
      </c>
      <c r="R4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5" s="13" t="s">
        <v>1599</v>
      </c>
      <c r="T425" s="17" t="s">
        <v>1621</v>
      </c>
    </row>
    <row r="426" spans="2:20" ht="17">
      <c r="B426" s="17" t="e">
        <f>#REF!+1</f>
        <v>#REF!</v>
      </c>
      <c r="C426" s="13" t="s">
        <v>1218</v>
      </c>
      <c r="D426" s="13" t="s">
        <v>1219</v>
      </c>
      <c r="E426" s="13">
        <v>504693401</v>
      </c>
      <c r="F426" s="13" t="s">
        <v>164</v>
      </c>
      <c r="G426" s="13" t="s">
        <v>294</v>
      </c>
      <c r="H426" s="13" t="s">
        <v>77</v>
      </c>
      <c r="I426" s="13" t="s">
        <v>43</v>
      </c>
      <c r="J426" s="17" t="s">
        <v>105</v>
      </c>
      <c r="K426" s="13">
        <v>1</v>
      </c>
      <c r="L426" s="13">
        <v>1</v>
      </c>
      <c r="M426" s="13">
        <v>1</v>
      </c>
      <c r="N426" s="13">
        <v>1</v>
      </c>
      <c r="O426" s="13">
        <v>1</v>
      </c>
      <c r="P426" s="13">
        <v>1</v>
      </c>
      <c r="Q426" s="13">
        <v>1</v>
      </c>
      <c r="R4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6" s="13" t="s">
        <v>1599</v>
      </c>
      <c r="T426" s="17" t="s">
        <v>1621</v>
      </c>
    </row>
    <row r="427" spans="2:20" ht="17">
      <c r="B427" s="17" t="e">
        <f t="shared" si="8"/>
        <v>#REF!</v>
      </c>
      <c r="C427" s="13" t="s">
        <v>1220</v>
      </c>
      <c r="D427" s="13" t="s">
        <v>1221</v>
      </c>
      <c r="E427" s="13">
        <v>580808777</v>
      </c>
      <c r="F427" s="13" t="s">
        <v>164</v>
      </c>
      <c r="G427" s="13" t="s">
        <v>573</v>
      </c>
      <c r="H427" s="13" t="s">
        <v>108</v>
      </c>
      <c r="I427" s="13" t="s">
        <v>15</v>
      </c>
      <c r="J427" s="17" t="s">
        <v>15</v>
      </c>
      <c r="K427" s="13">
        <v>1</v>
      </c>
      <c r="L427" s="13">
        <v>0</v>
      </c>
      <c r="M427" s="13">
        <v>1</v>
      </c>
      <c r="N427" s="13">
        <v>0</v>
      </c>
      <c r="O427" s="13">
        <v>1</v>
      </c>
      <c r="P427" s="13">
        <v>1</v>
      </c>
      <c r="Q427" s="13">
        <v>1</v>
      </c>
      <c r="R4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7" s="13"/>
      <c r="T427" s="17"/>
    </row>
    <row r="428" spans="2:20" ht="17">
      <c r="B428" s="17" t="e">
        <f t="shared" si="8"/>
        <v>#REF!</v>
      </c>
      <c r="C428" s="13" t="s">
        <v>1222</v>
      </c>
      <c r="D428" s="13" t="s">
        <v>1223</v>
      </c>
      <c r="E428" s="13">
        <v>541640179</v>
      </c>
      <c r="F428" s="13" t="s">
        <v>164</v>
      </c>
      <c r="G428" s="13" t="s">
        <v>573</v>
      </c>
      <c r="H428" s="13" t="s">
        <v>77</v>
      </c>
      <c r="I428" s="13" t="s">
        <v>105</v>
      </c>
      <c r="J428" s="17" t="s">
        <v>105</v>
      </c>
      <c r="K428" s="13">
        <v>1</v>
      </c>
      <c r="L428" s="13">
        <v>1</v>
      </c>
      <c r="M428" s="13">
        <v>1</v>
      </c>
      <c r="N428" s="13">
        <v>1</v>
      </c>
      <c r="O428" s="13">
        <v>1</v>
      </c>
      <c r="P428" s="13">
        <v>1</v>
      </c>
      <c r="Q428" s="13">
        <v>1</v>
      </c>
      <c r="R4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8" s="13"/>
      <c r="T428" s="17"/>
    </row>
    <row r="429" spans="2:20" ht="17">
      <c r="B429" s="17" t="e">
        <f t="shared" si="8"/>
        <v>#REF!</v>
      </c>
      <c r="C429" s="19" t="s">
        <v>1224</v>
      </c>
      <c r="D429" s="19" t="s">
        <v>1225</v>
      </c>
      <c r="E429" s="19">
        <v>556744455</v>
      </c>
      <c r="F429" s="19" t="s">
        <v>164</v>
      </c>
      <c r="G429" s="19" t="s">
        <v>573</v>
      </c>
      <c r="H429" s="19" t="s">
        <v>77</v>
      </c>
      <c r="I429" s="19" t="s">
        <v>90</v>
      </c>
      <c r="J429" s="20" t="s">
        <v>77</v>
      </c>
      <c r="K429" s="19">
        <v>0</v>
      </c>
      <c r="L429" s="19">
        <v>0</v>
      </c>
      <c r="M429" s="19">
        <v>1</v>
      </c>
      <c r="N429" s="19">
        <v>1</v>
      </c>
      <c r="O429" s="19">
        <v>1</v>
      </c>
      <c r="P429" s="19">
        <v>1</v>
      </c>
      <c r="Q429" s="19">
        <v>0</v>
      </c>
      <c r="R4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9" s="13"/>
      <c r="T429" s="17"/>
    </row>
    <row r="430" spans="2:20" ht="17">
      <c r="B430" s="17" t="e">
        <f t="shared" si="8"/>
        <v>#REF!</v>
      </c>
      <c r="C430" s="13" t="s">
        <v>1226</v>
      </c>
      <c r="D430" s="13" t="s">
        <v>1227</v>
      </c>
      <c r="E430" s="13">
        <v>501762272</v>
      </c>
      <c r="F430" s="13" t="s">
        <v>1228</v>
      </c>
      <c r="G430" s="13" t="s">
        <v>573</v>
      </c>
      <c r="H430" s="13" t="s">
        <v>37</v>
      </c>
      <c r="I430" s="13" t="s">
        <v>415</v>
      </c>
      <c r="J430" s="17" t="s">
        <v>37</v>
      </c>
      <c r="K430" s="13">
        <v>1</v>
      </c>
      <c r="L430" s="13">
        <v>0</v>
      </c>
      <c r="M430" s="13">
        <v>1</v>
      </c>
      <c r="N430" s="13">
        <v>1</v>
      </c>
      <c r="O430" s="13">
        <v>1</v>
      </c>
      <c r="P430" s="13">
        <v>1</v>
      </c>
      <c r="Q430" s="13">
        <v>1</v>
      </c>
      <c r="R4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0" s="13"/>
      <c r="T430" s="17"/>
    </row>
    <row r="431" spans="2:20" ht="17">
      <c r="B431" s="17" t="e">
        <f t="shared" si="8"/>
        <v>#REF!</v>
      </c>
      <c r="C431" s="13" t="s">
        <v>650</v>
      </c>
      <c r="D431" s="13" t="s">
        <v>1229</v>
      </c>
      <c r="E431" s="13">
        <v>504970089</v>
      </c>
      <c r="F431" s="13" t="s">
        <v>1230</v>
      </c>
      <c r="G431" s="13" t="s">
        <v>143</v>
      </c>
      <c r="H431" s="13" t="s">
        <v>75</v>
      </c>
      <c r="I431" s="13" t="s">
        <v>650</v>
      </c>
      <c r="J431" s="17" t="s">
        <v>75</v>
      </c>
      <c r="K431" s="13">
        <v>1</v>
      </c>
      <c r="L431" s="13">
        <v>1</v>
      </c>
      <c r="M431" s="13">
        <v>1</v>
      </c>
      <c r="N431" s="13">
        <v>1</v>
      </c>
      <c r="O431" s="13">
        <v>2</v>
      </c>
      <c r="P431" s="13">
        <v>2</v>
      </c>
      <c r="Q431" s="13">
        <v>2</v>
      </c>
      <c r="R4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1" s="13"/>
      <c r="T431" s="17"/>
    </row>
    <row r="432" spans="2:20" ht="17">
      <c r="B432" s="17" t="e">
        <f>#REF!+1</f>
        <v>#REF!</v>
      </c>
      <c r="C432" s="13" t="s">
        <v>1606</v>
      </c>
      <c r="D432" s="13" t="s">
        <v>1233</v>
      </c>
      <c r="E432" s="13">
        <v>502802292</v>
      </c>
      <c r="F432" s="13" t="s">
        <v>164</v>
      </c>
      <c r="G432" s="13" t="s">
        <v>294</v>
      </c>
      <c r="H432" s="13" t="s">
        <v>108</v>
      </c>
      <c r="I432" s="13" t="s">
        <v>108</v>
      </c>
      <c r="J432" s="17" t="s">
        <v>108</v>
      </c>
      <c r="K432" s="13">
        <v>1</v>
      </c>
      <c r="L432" s="13">
        <v>1</v>
      </c>
      <c r="M432" s="13">
        <v>1</v>
      </c>
      <c r="N432" s="13">
        <v>1</v>
      </c>
      <c r="O432" s="13">
        <v>1</v>
      </c>
      <c r="P432" s="13">
        <v>1</v>
      </c>
      <c r="Q432" s="13">
        <v>0</v>
      </c>
      <c r="R4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2" s="13"/>
      <c r="T432" s="17" t="s">
        <v>1621</v>
      </c>
    </row>
    <row r="433" spans="2:20" ht="17">
      <c r="B433" s="17" t="e">
        <f t="shared" si="8"/>
        <v>#REF!</v>
      </c>
      <c r="C433" s="13" t="s">
        <v>1234</v>
      </c>
      <c r="D433" s="13" t="s">
        <v>1235</v>
      </c>
      <c r="E433" s="45">
        <v>966502788332</v>
      </c>
      <c r="F433" s="13" t="s">
        <v>164</v>
      </c>
      <c r="G433" s="13" t="s">
        <v>294</v>
      </c>
      <c r="H433" s="13" t="s">
        <v>29</v>
      </c>
      <c r="I433" s="13" t="s">
        <v>29</v>
      </c>
      <c r="J433" s="17" t="s">
        <v>29</v>
      </c>
      <c r="K433" s="13">
        <v>0</v>
      </c>
      <c r="L433" s="13">
        <v>0</v>
      </c>
      <c r="M433" s="13">
        <v>0</v>
      </c>
      <c r="N433" s="13">
        <v>1</v>
      </c>
      <c r="O433" s="13">
        <v>0</v>
      </c>
      <c r="P433" s="13">
        <v>0</v>
      </c>
      <c r="Q433" s="13">
        <v>0</v>
      </c>
      <c r="R4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3" s="13"/>
      <c r="T433" s="17" t="s">
        <v>1621</v>
      </c>
    </row>
    <row r="434" spans="2:20" ht="17">
      <c r="B434" s="17" t="e">
        <f t="shared" si="8"/>
        <v>#REF!</v>
      </c>
      <c r="C434" s="13" t="s">
        <v>1236</v>
      </c>
      <c r="D434" s="13" t="s">
        <v>1237</v>
      </c>
      <c r="E434" s="13">
        <v>559592858</v>
      </c>
      <c r="F434" s="13" t="s">
        <v>164</v>
      </c>
      <c r="G434" s="13" t="s">
        <v>294</v>
      </c>
      <c r="H434" s="13" t="s">
        <v>29</v>
      </c>
      <c r="I434" s="13" t="s">
        <v>29</v>
      </c>
      <c r="J434" s="17" t="s">
        <v>29</v>
      </c>
      <c r="K434" s="13">
        <v>0</v>
      </c>
      <c r="L434" s="13">
        <v>0</v>
      </c>
      <c r="M434" s="13">
        <v>1</v>
      </c>
      <c r="N434" s="13">
        <v>0</v>
      </c>
      <c r="O434" s="13">
        <v>1</v>
      </c>
      <c r="P434" s="13">
        <v>0</v>
      </c>
      <c r="Q434" s="13">
        <v>0</v>
      </c>
      <c r="R4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4" s="13"/>
      <c r="T434" s="17" t="s">
        <v>1621</v>
      </c>
    </row>
    <row r="435" spans="2:20" ht="17">
      <c r="B435" s="17" t="e">
        <f>#REF!+1</f>
        <v>#REF!</v>
      </c>
      <c r="C435" s="13" t="s">
        <v>1239</v>
      </c>
      <c r="D435" s="13" t="s">
        <v>1240</v>
      </c>
      <c r="E435" s="13">
        <v>552859619</v>
      </c>
      <c r="F435" s="13" t="s">
        <v>164</v>
      </c>
      <c r="G435" s="13" t="s">
        <v>294</v>
      </c>
      <c r="H435" s="13" t="s">
        <v>35</v>
      </c>
      <c r="I435" s="13" t="s">
        <v>35</v>
      </c>
      <c r="J435" s="17" t="s">
        <v>35</v>
      </c>
      <c r="K435" s="13">
        <v>1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5" s="13" t="s">
        <v>1599</v>
      </c>
      <c r="T435" s="17" t="s">
        <v>1621</v>
      </c>
    </row>
    <row r="436" spans="2:20" ht="17">
      <c r="B436" s="17" t="e">
        <f t="shared" si="8"/>
        <v>#REF!</v>
      </c>
      <c r="C436" s="13" t="s">
        <v>1241</v>
      </c>
      <c r="D436" s="13" t="s">
        <v>1242</v>
      </c>
      <c r="E436" s="13">
        <v>530222214</v>
      </c>
      <c r="F436" s="13" t="s">
        <v>164</v>
      </c>
      <c r="G436" s="13" t="s">
        <v>294</v>
      </c>
      <c r="H436" s="13" t="s">
        <v>77</v>
      </c>
      <c r="I436" s="13" t="s">
        <v>43</v>
      </c>
      <c r="J436" s="17" t="s">
        <v>105</v>
      </c>
      <c r="K436" s="13">
        <v>1</v>
      </c>
      <c r="L436" s="13">
        <v>1</v>
      </c>
      <c r="M436" s="13">
        <v>1</v>
      </c>
      <c r="N436" s="13">
        <v>1</v>
      </c>
      <c r="O436" s="13">
        <v>1</v>
      </c>
      <c r="P436" s="13">
        <v>1</v>
      </c>
      <c r="Q436" s="13">
        <v>1</v>
      </c>
      <c r="R4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6" s="13" t="s">
        <v>1599</v>
      </c>
      <c r="T436" s="17" t="s">
        <v>1621</v>
      </c>
    </row>
    <row r="437" spans="2:20" ht="17">
      <c r="B437" s="17" t="e">
        <f t="shared" si="8"/>
        <v>#REF!</v>
      </c>
      <c r="C437" s="13" t="s">
        <v>1243</v>
      </c>
      <c r="D437" s="13" t="s">
        <v>1244</v>
      </c>
      <c r="E437" s="13">
        <v>536954214</v>
      </c>
      <c r="F437" s="13" t="s">
        <v>164</v>
      </c>
      <c r="G437" s="13" t="s">
        <v>294</v>
      </c>
      <c r="H437" s="13" t="s">
        <v>78</v>
      </c>
      <c r="I437" s="13" t="s">
        <v>45</v>
      </c>
      <c r="J437" s="17" t="s">
        <v>45</v>
      </c>
      <c r="K437" s="13">
        <v>0</v>
      </c>
      <c r="L437" s="13">
        <v>0</v>
      </c>
      <c r="M437" s="13">
        <v>0</v>
      </c>
      <c r="N437" s="13">
        <v>1</v>
      </c>
      <c r="O437" s="13">
        <v>1</v>
      </c>
      <c r="P437" s="13">
        <v>0</v>
      </c>
      <c r="Q437" s="13">
        <v>0</v>
      </c>
      <c r="R4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7" s="13"/>
      <c r="T437" s="17" t="s">
        <v>1621</v>
      </c>
    </row>
    <row r="438" spans="2:20" ht="17">
      <c r="B438" s="17" t="e">
        <f t="shared" si="8"/>
        <v>#REF!</v>
      </c>
      <c r="C438" s="13" t="s">
        <v>1245</v>
      </c>
      <c r="D438" s="13" t="s">
        <v>1246</v>
      </c>
      <c r="E438" s="13">
        <v>503615994</v>
      </c>
      <c r="F438" s="13" t="s">
        <v>164</v>
      </c>
      <c r="G438" s="13" t="s">
        <v>294</v>
      </c>
      <c r="H438" s="13" t="s">
        <v>77</v>
      </c>
      <c r="I438" s="13" t="s">
        <v>43</v>
      </c>
      <c r="J438" s="17" t="s">
        <v>105</v>
      </c>
      <c r="K438" s="13">
        <v>1</v>
      </c>
      <c r="L438" s="13">
        <v>1</v>
      </c>
      <c r="M438" s="13">
        <v>1</v>
      </c>
      <c r="N438" s="13">
        <v>1</v>
      </c>
      <c r="O438" s="13">
        <v>1</v>
      </c>
      <c r="P438" s="13">
        <v>1</v>
      </c>
      <c r="Q438" s="13">
        <v>1</v>
      </c>
      <c r="R4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8" s="13" t="s">
        <v>1599</v>
      </c>
      <c r="T438" s="17" t="s">
        <v>1621</v>
      </c>
    </row>
    <row r="439" spans="2:20" ht="17">
      <c r="B439" s="17" t="e">
        <f>#REF!+1</f>
        <v>#REF!</v>
      </c>
      <c r="C439" s="13" t="s">
        <v>1248</v>
      </c>
      <c r="D439" s="13" t="s">
        <v>1249</v>
      </c>
      <c r="E439" s="13">
        <v>565272165</v>
      </c>
      <c r="F439" s="13" t="s">
        <v>164</v>
      </c>
      <c r="G439" s="13" t="s">
        <v>294</v>
      </c>
      <c r="H439" s="13" t="s">
        <v>81</v>
      </c>
      <c r="I439" s="13" t="s">
        <v>72</v>
      </c>
      <c r="J439" s="17" t="s">
        <v>81</v>
      </c>
      <c r="K439" s="13">
        <v>1</v>
      </c>
      <c r="L439" s="13">
        <v>0</v>
      </c>
      <c r="M439" s="13">
        <v>1</v>
      </c>
      <c r="N439" s="13">
        <v>1</v>
      </c>
      <c r="O439" s="13">
        <v>0</v>
      </c>
      <c r="P439" s="13">
        <v>0</v>
      </c>
      <c r="Q439" s="13">
        <v>0</v>
      </c>
      <c r="R4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9" s="13" t="s">
        <v>1599</v>
      </c>
      <c r="T439" s="17" t="s">
        <v>1621</v>
      </c>
    </row>
    <row r="440" spans="2:20" ht="17">
      <c r="B440" s="17" t="e">
        <f t="shared" si="8"/>
        <v>#REF!</v>
      </c>
      <c r="C440" s="13" t="s">
        <v>1250</v>
      </c>
      <c r="D440" s="13" t="s">
        <v>1251</v>
      </c>
      <c r="E440" s="13">
        <v>566303733</v>
      </c>
      <c r="F440" s="13" t="s">
        <v>164</v>
      </c>
      <c r="G440" s="13" t="s">
        <v>294</v>
      </c>
      <c r="H440" s="13" t="s">
        <v>108</v>
      </c>
      <c r="I440" s="13" t="s">
        <v>27</v>
      </c>
      <c r="J440" s="17" t="s">
        <v>27</v>
      </c>
      <c r="K440" s="13">
        <v>1</v>
      </c>
      <c r="L440" s="13">
        <v>1</v>
      </c>
      <c r="M440" s="13">
        <v>1</v>
      </c>
      <c r="N440" s="13">
        <v>1</v>
      </c>
      <c r="O440" s="13">
        <v>0</v>
      </c>
      <c r="P440" s="13">
        <v>0</v>
      </c>
      <c r="Q440" s="13">
        <v>0</v>
      </c>
      <c r="R4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0" s="13" t="s">
        <v>1599</v>
      </c>
      <c r="T440" s="17" t="s">
        <v>1621</v>
      </c>
    </row>
    <row r="441" spans="2:20" ht="17">
      <c r="B441" s="17" t="e">
        <f t="shared" si="8"/>
        <v>#REF!</v>
      </c>
      <c r="C441" s="13" t="s">
        <v>1252</v>
      </c>
      <c r="D441" s="13" t="s">
        <v>1253</v>
      </c>
      <c r="E441" s="13">
        <v>532803584</v>
      </c>
      <c r="F441" s="13" t="s">
        <v>164</v>
      </c>
      <c r="G441" s="13" t="s">
        <v>294</v>
      </c>
      <c r="H441" s="13" t="s">
        <v>108</v>
      </c>
      <c r="I441" s="13" t="s">
        <v>27</v>
      </c>
      <c r="J441" s="17" t="s">
        <v>27</v>
      </c>
      <c r="K441" s="13">
        <v>0</v>
      </c>
      <c r="L441" s="13">
        <v>0</v>
      </c>
      <c r="M441" s="13">
        <v>1</v>
      </c>
      <c r="N441" s="13">
        <v>1</v>
      </c>
      <c r="O441" s="13">
        <v>1</v>
      </c>
      <c r="P441" s="13">
        <v>1</v>
      </c>
      <c r="Q441" s="13">
        <v>0</v>
      </c>
      <c r="R4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1" s="13"/>
      <c r="T441" s="17" t="s">
        <v>1621</v>
      </c>
    </row>
    <row r="442" spans="2:20" ht="17">
      <c r="B442" s="17" t="e">
        <f t="shared" si="8"/>
        <v>#REF!</v>
      </c>
      <c r="C442" s="13" t="s">
        <v>1254</v>
      </c>
      <c r="D442" s="13" t="s">
        <v>1255</v>
      </c>
      <c r="E442" s="13">
        <v>537807689</v>
      </c>
      <c r="F442" s="13" t="s">
        <v>164</v>
      </c>
      <c r="G442" s="13" t="s">
        <v>294</v>
      </c>
      <c r="H442" s="13" t="s">
        <v>108</v>
      </c>
      <c r="I442" s="13" t="s">
        <v>27</v>
      </c>
      <c r="J442" s="17" t="s">
        <v>27</v>
      </c>
      <c r="K442" s="13">
        <v>1</v>
      </c>
      <c r="L442" s="13">
        <v>1</v>
      </c>
      <c r="M442" s="13">
        <v>1</v>
      </c>
      <c r="N442" s="13">
        <v>1</v>
      </c>
      <c r="O442" s="13">
        <v>1</v>
      </c>
      <c r="P442" s="13">
        <v>0</v>
      </c>
      <c r="Q442" s="13">
        <v>0</v>
      </c>
      <c r="R4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2" s="13" t="s">
        <v>1599</v>
      </c>
      <c r="T442" s="17" t="s">
        <v>1621</v>
      </c>
    </row>
    <row r="443" spans="2:20" ht="17">
      <c r="B443" s="17" t="e">
        <f>#REF!+1</f>
        <v>#REF!</v>
      </c>
      <c r="C443" s="13" t="s">
        <v>1260</v>
      </c>
      <c r="D443" s="13" t="s">
        <v>1261</v>
      </c>
      <c r="E443" s="13">
        <v>568868897</v>
      </c>
      <c r="F443" s="13" t="s">
        <v>164</v>
      </c>
      <c r="G443" s="13" t="s">
        <v>294</v>
      </c>
      <c r="H443" s="13" t="s">
        <v>21</v>
      </c>
      <c r="I443" s="13" t="s">
        <v>58</v>
      </c>
      <c r="J443" s="17" t="s">
        <v>21</v>
      </c>
      <c r="K443" s="13">
        <v>0</v>
      </c>
      <c r="L443" s="13">
        <v>0</v>
      </c>
      <c r="M443" s="13">
        <v>1</v>
      </c>
      <c r="N443" s="13">
        <v>0</v>
      </c>
      <c r="O443" s="13">
        <v>0</v>
      </c>
      <c r="P443" s="13">
        <v>0</v>
      </c>
      <c r="Q443" s="13">
        <v>0</v>
      </c>
      <c r="R4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3" s="13" t="s">
        <v>1599</v>
      </c>
      <c r="T443" s="17" t="s">
        <v>1621</v>
      </c>
    </row>
    <row r="444" spans="2:20" ht="17">
      <c r="B444" s="17" t="e">
        <f>#REF!+1</f>
        <v>#REF!</v>
      </c>
      <c r="C444" s="13" t="s">
        <v>1263</v>
      </c>
      <c r="D444" s="13" t="s">
        <v>1264</v>
      </c>
      <c r="E444" s="13">
        <v>540994265</v>
      </c>
      <c r="F444" s="13" t="s">
        <v>164</v>
      </c>
      <c r="G444" s="13" t="s">
        <v>294</v>
      </c>
      <c r="H444" s="13" t="s">
        <v>81</v>
      </c>
      <c r="I444" s="13" t="s">
        <v>72</v>
      </c>
      <c r="J444" s="17" t="s">
        <v>81</v>
      </c>
      <c r="K444" s="13">
        <v>1</v>
      </c>
      <c r="L444" s="13">
        <v>0</v>
      </c>
      <c r="M444" s="13">
        <v>1</v>
      </c>
      <c r="N444" s="13">
        <v>0</v>
      </c>
      <c r="O444" s="13">
        <v>0</v>
      </c>
      <c r="P444" s="13">
        <v>0</v>
      </c>
      <c r="Q444" s="13">
        <v>0</v>
      </c>
      <c r="R4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4" s="13"/>
      <c r="T444" s="17" t="s">
        <v>1621</v>
      </c>
    </row>
    <row r="445" spans="2:20" ht="17">
      <c r="B445" s="17" t="e">
        <f>#REF!+1</f>
        <v>#REF!</v>
      </c>
      <c r="C445" s="13" t="s">
        <v>1269</v>
      </c>
      <c r="D445" s="13" t="s">
        <v>1270</v>
      </c>
      <c r="E445" s="13">
        <v>508232025</v>
      </c>
      <c r="F445" s="13" t="s">
        <v>164</v>
      </c>
      <c r="G445" s="13" t="s">
        <v>294</v>
      </c>
      <c r="H445" s="13" t="s">
        <v>108</v>
      </c>
      <c r="I445" s="13" t="s">
        <v>27</v>
      </c>
      <c r="J445" s="17" t="s">
        <v>27</v>
      </c>
      <c r="K445" s="13">
        <v>1</v>
      </c>
      <c r="L445" s="13">
        <v>1</v>
      </c>
      <c r="M445" s="13">
        <v>1</v>
      </c>
      <c r="N445" s="13">
        <v>1</v>
      </c>
      <c r="O445" s="13">
        <v>1</v>
      </c>
      <c r="P445" s="13">
        <v>0</v>
      </c>
      <c r="Q445" s="13">
        <v>0</v>
      </c>
      <c r="R4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5" s="13" t="s">
        <v>1599</v>
      </c>
      <c r="T445" s="17" t="s">
        <v>1621</v>
      </c>
    </row>
    <row r="446" spans="2:20" ht="17">
      <c r="B446" s="17" t="e">
        <f t="shared" ref="B446:B478" si="9">B445+1</f>
        <v>#REF!</v>
      </c>
      <c r="C446" s="13" t="s">
        <v>1271</v>
      </c>
      <c r="D446" s="13" t="s">
        <v>1272</v>
      </c>
      <c r="E446" s="13">
        <v>536036668</v>
      </c>
      <c r="F446" s="13" t="s">
        <v>1271</v>
      </c>
      <c r="G446" s="13" t="s">
        <v>573</v>
      </c>
      <c r="H446" s="13" t="s">
        <v>35</v>
      </c>
      <c r="I446" s="13" t="s">
        <v>76</v>
      </c>
      <c r="J446" s="17" t="s">
        <v>76</v>
      </c>
      <c r="K446" s="13">
        <v>1</v>
      </c>
      <c r="L446" s="13">
        <v>0</v>
      </c>
      <c r="M446" s="13">
        <v>1</v>
      </c>
      <c r="N446" s="13">
        <v>1</v>
      </c>
      <c r="O446" s="13">
        <v>0</v>
      </c>
      <c r="P446" s="13">
        <v>0</v>
      </c>
      <c r="Q446" s="13">
        <v>0</v>
      </c>
      <c r="R4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6" s="13"/>
      <c r="T446" s="17"/>
    </row>
    <row r="447" spans="2:20" ht="17">
      <c r="B447" s="17" t="e">
        <f t="shared" si="9"/>
        <v>#REF!</v>
      </c>
      <c r="C447" s="13" t="s">
        <v>1273</v>
      </c>
      <c r="D447" s="13" t="s">
        <v>1274</v>
      </c>
      <c r="E447" s="13">
        <v>508166619</v>
      </c>
      <c r="F447" s="13" t="s">
        <v>1275</v>
      </c>
      <c r="G447" s="13" t="s">
        <v>143</v>
      </c>
      <c r="H447" s="13" t="s">
        <v>35</v>
      </c>
      <c r="I447" s="13" t="s">
        <v>88</v>
      </c>
      <c r="J447" s="17" t="s">
        <v>76</v>
      </c>
      <c r="K447" s="13">
        <v>1</v>
      </c>
      <c r="L447" s="13">
        <v>1</v>
      </c>
      <c r="M447" s="13">
        <v>1</v>
      </c>
      <c r="N447" s="13">
        <v>1</v>
      </c>
      <c r="O447" s="13">
        <v>0</v>
      </c>
      <c r="P447" s="13">
        <v>0</v>
      </c>
      <c r="Q447" s="13">
        <v>0</v>
      </c>
      <c r="R4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7" s="13"/>
      <c r="T447" s="17"/>
    </row>
    <row r="448" spans="2:20" ht="17">
      <c r="B448" s="17" t="e">
        <f>#REF!+1</f>
        <v>#REF!</v>
      </c>
      <c r="C448" s="13" t="s">
        <v>1286</v>
      </c>
      <c r="D448" s="13" t="s">
        <v>1287</v>
      </c>
      <c r="E448" s="13">
        <v>508226132</v>
      </c>
      <c r="F448" s="13" t="s">
        <v>164</v>
      </c>
      <c r="G448" s="13" t="s">
        <v>294</v>
      </c>
      <c r="H448" s="13" t="s">
        <v>78</v>
      </c>
      <c r="I448" s="13" t="s">
        <v>1288</v>
      </c>
      <c r="J448" s="17" t="s">
        <v>45</v>
      </c>
      <c r="K448" s="13">
        <v>1</v>
      </c>
      <c r="L448" s="13">
        <v>0</v>
      </c>
      <c r="M448" s="13">
        <v>1</v>
      </c>
      <c r="N448" s="13">
        <v>1</v>
      </c>
      <c r="O448" s="13">
        <v>1</v>
      </c>
      <c r="P448" s="13">
        <v>0</v>
      </c>
      <c r="Q448" s="13">
        <v>0</v>
      </c>
      <c r="R4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8" s="13"/>
      <c r="T448" s="17" t="s">
        <v>1621</v>
      </c>
    </row>
    <row r="449" spans="2:20" ht="17">
      <c r="B449" s="17" t="e">
        <f t="shared" si="9"/>
        <v>#REF!</v>
      </c>
      <c r="C449" s="13" t="s">
        <v>1289</v>
      </c>
      <c r="D449" s="13" t="s">
        <v>1290</v>
      </c>
      <c r="E449" s="13">
        <v>541492601</v>
      </c>
      <c r="F449" s="13" t="s">
        <v>164</v>
      </c>
      <c r="G449" s="13" t="s">
        <v>294</v>
      </c>
      <c r="H449" s="13" t="s">
        <v>35</v>
      </c>
      <c r="I449" s="13" t="s">
        <v>35</v>
      </c>
      <c r="J449" s="17" t="s">
        <v>35</v>
      </c>
      <c r="K449" s="13">
        <v>1</v>
      </c>
      <c r="L449" s="13">
        <v>0</v>
      </c>
      <c r="M449" s="13">
        <v>1</v>
      </c>
      <c r="N449" s="13">
        <v>0</v>
      </c>
      <c r="O449" s="13">
        <v>0</v>
      </c>
      <c r="P449" s="13">
        <v>0</v>
      </c>
      <c r="Q449" s="13">
        <v>0</v>
      </c>
      <c r="R4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9" s="13" t="s">
        <v>1599</v>
      </c>
      <c r="T449" s="17" t="s">
        <v>1621</v>
      </c>
    </row>
    <row r="450" spans="2:20" ht="17">
      <c r="B450" s="17" t="e">
        <f>#REF!+1</f>
        <v>#REF!</v>
      </c>
      <c r="C450" s="13" t="s">
        <v>1292</v>
      </c>
      <c r="D450" s="13" t="s">
        <v>1015</v>
      </c>
      <c r="E450" s="13">
        <v>547073054</v>
      </c>
      <c r="F450" s="13" t="s">
        <v>164</v>
      </c>
      <c r="G450" s="13" t="s">
        <v>294</v>
      </c>
      <c r="H450" s="13" t="s">
        <v>77</v>
      </c>
      <c r="I450" s="13" t="s">
        <v>43</v>
      </c>
      <c r="J450" s="17" t="s">
        <v>105</v>
      </c>
      <c r="K450" s="13">
        <v>1</v>
      </c>
      <c r="L450" s="13">
        <v>1</v>
      </c>
      <c r="M450" s="13">
        <v>1</v>
      </c>
      <c r="N450" s="13">
        <v>1</v>
      </c>
      <c r="O450" s="13">
        <v>1</v>
      </c>
      <c r="P450" s="13">
        <v>1</v>
      </c>
      <c r="Q450" s="13">
        <v>1</v>
      </c>
      <c r="R4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0" s="13" t="s">
        <v>1599</v>
      </c>
      <c r="T450" s="17" t="s">
        <v>1621</v>
      </c>
    </row>
    <row r="451" spans="2:20" ht="17">
      <c r="B451" s="17" t="e">
        <f t="shared" si="9"/>
        <v>#REF!</v>
      </c>
      <c r="C451" s="13" t="s">
        <v>1293</v>
      </c>
      <c r="D451" s="13" t="s">
        <v>1294</v>
      </c>
      <c r="E451" s="13">
        <v>552260069</v>
      </c>
      <c r="F451" s="13" t="s">
        <v>1041</v>
      </c>
      <c r="G451" s="13" t="s">
        <v>294</v>
      </c>
      <c r="H451" s="13" t="s">
        <v>108</v>
      </c>
      <c r="I451" s="13" t="s">
        <v>48</v>
      </c>
      <c r="J451" s="17" t="s">
        <v>108</v>
      </c>
      <c r="K451" s="13">
        <v>0</v>
      </c>
      <c r="L451" s="13">
        <v>1</v>
      </c>
      <c r="M451" s="13">
        <v>0</v>
      </c>
      <c r="N451" s="13">
        <v>1</v>
      </c>
      <c r="O451" s="13">
        <v>1</v>
      </c>
      <c r="P451" s="13">
        <v>0</v>
      </c>
      <c r="Q451" s="13">
        <v>0</v>
      </c>
      <c r="R4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1" s="13"/>
      <c r="T451" s="17" t="s">
        <v>1621</v>
      </c>
    </row>
    <row r="452" spans="2:20" ht="17">
      <c r="B452" s="17" t="e">
        <f t="shared" si="9"/>
        <v>#REF!</v>
      </c>
      <c r="C452" s="13" t="s">
        <v>1295</v>
      </c>
      <c r="D452" s="13" t="s">
        <v>1296</v>
      </c>
      <c r="E452" s="13">
        <v>541687679</v>
      </c>
      <c r="F452" s="13" t="s">
        <v>164</v>
      </c>
      <c r="G452" s="13" t="s">
        <v>294</v>
      </c>
      <c r="H452" s="13" t="s">
        <v>108</v>
      </c>
      <c r="I452" s="13" t="s">
        <v>27</v>
      </c>
      <c r="J452" s="17" t="s">
        <v>27</v>
      </c>
      <c r="K452" s="13">
        <v>0</v>
      </c>
      <c r="L452" s="13">
        <v>0</v>
      </c>
      <c r="M452" s="13">
        <v>0</v>
      </c>
      <c r="N452" s="13">
        <v>1</v>
      </c>
      <c r="O452" s="13">
        <v>0</v>
      </c>
      <c r="P452" s="13">
        <v>0</v>
      </c>
      <c r="Q452" s="13">
        <v>0</v>
      </c>
      <c r="R4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2" s="13" t="s">
        <v>1599</v>
      </c>
      <c r="T452" s="17" t="s">
        <v>1621</v>
      </c>
    </row>
    <row r="453" spans="2:20" ht="17">
      <c r="B453" s="17" t="e">
        <f t="shared" si="9"/>
        <v>#REF!</v>
      </c>
      <c r="C453" s="13" t="s">
        <v>1297</v>
      </c>
      <c r="D453" s="13" t="s">
        <v>1298</v>
      </c>
      <c r="E453" s="13">
        <v>544442203</v>
      </c>
      <c r="F453" s="13" t="s">
        <v>164</v>
      </c>
      <c r="G453" s="13" t="s">
        <v>294</v>
      </c>
      <c r="H453" s="13" t="s">
        <v>75</v>
      </c>
      <c r="I453" s="13" t="s">
        <v>650</v>
      </c>
      <c r="J453" s="17" t="s">
        <v>75</v>
      </c>
      <c r="K453" s="13">
        <v>0</v>
      </c>
      <c r="L453" s="13">
        <v>1</v>
      </c>
      <c r="M453" s="13">
        <v>0</v>
      </c>
      <c r="N453" s="13">
        <v>0</v>
      </c>
      <c r="O453" s="13">
        <v>0</v>
      </c>
      <c r="P453" s="13">
        <v>1</v>
      </c>
      <c r="Q453" s="13">
        <v>0</v>
      </c>
      <c r="R4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3" s="13" t="s">
        <v>1599</v>
      </c>
      <c r="T453" s="17" t="s">
        <v>1621</v>
      </c>
    </row>
    <row r="454" spans="2:20" ht="17">
      <c r="B454" s="17" t="e">
        <f>#REF!+1</f>
        <v>#REF!</v>
      </c>
      <c r="C454" s="13" t="s">
        <v>1303</v>
      </c>
      <c r="D454" s="13" t="s">
        <v>1304</v>
      </c>
      <c r="E454" s="13">
        <v>536021446</v>
      </c>
      <c r="F454" s="13" t="s">
        <v>164</v>
      </c>
      <c r="G454" s="13" t="s">
        <v>294</v>
      </c>
      <c r="H454" s="13" t="s">
        <v>108</v>
      </c>
      <c r="I454" s="13" t="s">
        <v>27</v>
      </c>
      <c r="J454" s="17" t="s">
        <v>27</v>
      </c>
      <c r="K454" s="13">
        <v>0</v>
      </c>
      <c r="L454" s="13">
        <v>1</v>
      </c>
      <c r="M454" s="13">
        <v>1</v>
      </c>
      <c r="N454" s="13">
        <v>1</v>
      </c>
      <c r="O454" s="13">
        <v>1</v>
      </c>
      <c r="P454" s="13">
        <v>0</v>
      </c>
      <c r="Q454" s="13">
        <v>0</v>
      </c>
      <c r="R4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4" s="13" t="s">
        <v>1599</v>
      </c>
      <c r="T454" s="17" t="s">
        <v>1621</v>
      </c>
    </row>
    <row r="455" spans="2:20" ht="17">
      <c r="B455" s="17" t="e">
        <f>#REF!+1</f>
        <v>#REF!</v>
      </c>
      <c r="C455" s="13" t="s">
        <v>1310</v>
      </c>
      <c r="D455" s="13" t="s">
        <v>1311</v>
      </c>
      <c r="E455" s="13">
        <v>533184248</v>
      </c>
      <c r="F455" s="13" t="s">
        <v>164</v>
      </c>
      <c r="G455" s="13" t="s">
        <v>294</v>
      </c>
      <c r="H455" s="13" t="s">
        <v>35</v>
      </c>
      <c r="I455" s="13" t="s">
        <v>35</v>
      </c>
      <c r="J455" s="17" t="s">
        <v>35</v>
      </c>
      <c r="K455" s="13">
        <v>0</v>
      </c>
      <c r="L455" s="13">
        <v>0</v>
      </c>
      <c r="M455" s="13">
        <v>0</v>
      </c>
      <c r="N455" s="13">
        <v>0</v>
      </c>
      <c r="O455" s="13">
        <v>1</v>
      </c>
      <c r="P455" s="13">
        <v>0</v>
      </c>
      <c r="Q455" s="13">
        <v>1</v>
      </c>
      <c r="R4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5" s="13" t="s">
        <v>1599</v>
      </c>
      <c r="T455" s="17" t="s">
        <v>1621</v>
      </c>
    </row>
    <row r="456" spans="2:20" ht="17">
      <c r="B456" s="17" t="e">
        <f>#REF!+1</f>
        <v>#REF!</v>
      </c>
      <c r="C456" s="13" t="s">
        <v>1313</v>
      </c>
      <c r="D456" s="13" t="s">
        <v>1314</v>
      </c>
      <c r="E456" s="13">
        <v>504889829</v>
      </c>
      <c r="F456" s="13" t="s">
        <v>1315</v>
      </c>
      <c r="G456" s="13" t="s">
        <v>143</v>
      </c>
      <c r="H456" s="13" t="s">
        <v>78</v>
      </c>
      <c r="I456" s="13" t="s">
        <v>45</v>
      </c>
      <c r="J456" s="17" t="s">
        <v>45</v>
      </c>
      <c r="K456" s="13">
        <v>1</v>
      </c>
      <c r="L456" s="13">
        <v>1</v>
      </c>
      <c r="M456" s="13">
        <v>1</v>
      </c>
      <c r="N456" s="13">
        <v>0</v>
      </c>
      <c r="O456" s="13">
        <v>0</v>
      </c>
      <c r="P456" s="13">
        <v>0</v>
      </c>
      <c r="Q456" s="13">
        <v>0</v>
      </c>
      <c r="R4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6" s="13"/>
      <c r="T456" s="17"/>
    </row>
    <row r="457" spans="2:20" ht="17">
      <c r="B457" s="17" t="e">
        <f t="shared" si="9"/>
        <v>#REF!</v>
      </c>
      <c r="C457" s="19" t="s">
        <v>1316</v>
      </c>
      <c r="D457" s="19" t="s">
        <v>1317</v>
      </c>
      <c r="E457" s="19">
        <v>533113487</v>
      </c>
      <c r="F457" s="19" t="s">
        <v>1316</v>
      </c>
      <c r="G457" s="19" t="s">
        <v>573</v>
      </c>
      <c r="H457" s="19" t="s">
        <v>75</v>
      </c>
      <c r="I457" s="19" t="s">
        <v>87</v>
      </c>
      <c r="J457" s="20" t="s">
        <v>75</v>
      </c>
      <c r="K457" s="19">
        <v>1</v>
      </c>
      <c r="L457" s="19">
        <v>0</v>
      </c>
      <c r="M457" s="19">
        <v>1</v>
      </c>
      <c r="N457" s="19">
        <v>0</v>
      </c>
      <c r="O457" s="19">
        <v>1</v>
      </c>
      <c r="P457" s="19">
        <v>1</v>
      </c>
      <c r="Q457" s="19">
        <v>1</v>
      </c>
      <c r="R4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7" s="13"/>
      <c r="T457" s="17"/>
    </row>
    <row r="458" spans="2:20" ht="17">
      <c r="B458" s="17" t="e">
        <f t="shared" si="9"/>
        <v>#REF!</v>
      </c>
      <c r="C458" s="13" t="s">
        <v>1319</v>
      </c>
      <c r="D458" s="13" t="s">
        <v>1320</v>
      </c>
      <c r="E458" s="13">
        <v>553620932</v>
      </c>
      <c r="F458" s="13" t="s">
        <v>1321</v>
      </c>
      <c r="G458" s="13" t="s">
        <v>143</v>
      </c>
      <c r="H458" s="13" t="s">
        <v>78</v>
      </c>
      <c r="I458" s="13" t="s">
        <v>94</v>
      </c>
      <c r="J458" s="17" t="s">
        <v>78</v>
      </c>
      <c r="K458" s="13">
        <v>1</v>
      </c>
      <c r="L458" s="13">
        <v>1</v>
      </c>
      <c r="M458" s="13">
        <v>1</v>
      </c>
      <c r="N458" s="13">
        <v>1</v>
      </c>
      <c r="O458" s="13">
        <v>1</v>
      </c>
      <c r="P458" s="13">
        <v>1</v>
      </c>
      <c r="Q458" s="13">
        <v>0</v>
      </c>
      <c r="R4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8" s="13"/>
      <c r="T458" s="17"/>
    </row>
    <row r="459" spans="2:20" ht="17">
      <c r="B459" s="17" t="e">
        <f t="shared" si="9"/>
        <v>#REF!</v>
      </c>
      <c r="C459" s="13" t="s">
        <v>1322</v>
      </c>
      <c r="D459" s="13" t="s">
        <v>1323</v>
      </c>
      <c r="E459" s="13">
        <v>504752740</v>
      </c>
      <c r="F459" s="13" t="s">
        <v>776</v>
      </c>
      <c r="G459" s="13" t="s">
        <v>573</v>
      </c>
      <c r="H459" s="13" t="s">
        <v>74</v>
      </c>
      <c r="I459" s="13" t="s">
        <v>74</v>
      </c>
      <c r="J459" s="17" t="s">
        <v>74</v>
      </c>
      <c r="K459" s="13">
        <v>0</v>
      </c>
      <c r="L459" s="13">
        <v>0</v>
      </c>
      <c r="M459" s="13">
        <v>1</v>
      </c>
      <c r="N459" s="13">
        <v>0</v>
      </c>
      <c r="O459" s="13">
        <v>0</v>
      </c>
      <c r="P459" s="13">
        <v>0</v>
      </c>
      <c r="Q459" s="13">
        <v>0</v>
      </c>
      <c r="R4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9" s="13"/>
      <c r="T459" s="17"/>
    </row>
    <row r="460" spans="2:20" ht="17">
      <c r="B460" s="17" t="e">
        <f t="shared" si="9"/>
        <v>#REF!</v>
      </c>
      <c r="C460" s="13" t="s">
        <v>1324</v>
      </c>
      <c r="D460" s="13" t="s">
        <v>1325</v>
      </c>
      <c r="E460" s="13">
        <v>504868820</v>
      </c>
      <c r="F460" s="13" t="s">
        <v>1326</v>
      </c>
      <c r="G460" s="13" t="s">
        <v>573</v>
      </c>
      <c r="H460" s="13" t="s">
        <v>75</v>
      </c>
      <c r="I460" s="13" t="s">
        <v>650</v>
      </c>
      <c r="J460" s="17" t="s">
        <v>75</v>
      </c>
      <c r="K460" s="13">
        <v>1</v>
      </c>
      <c r="L460" s="13">
        <v>1</v>
      </c>
      <c r="M460" s="13">
        <v>2</v>
      </c>
      <c r="N460" s="13">
        <v>2</v>
      </c>
      <c r="O460" s="13">
        <v>2</v>
      </c>
      <c r="P460" s="13">
        <v>2</v>
      </c>
      <c r="Q460" s="13">
        <v>2</v>
      </c>
      <c r="R4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0" s="13"/>
      <c r="T460" s="17"/>
    </row>
    <row r="461" spans="2:20" ht="17">
      <c r="B461" s="17" t="e">
        <f t="shared" si="9"/>
        <v>#REF!</v>
      </c>
      <c r="C461" s="13" t="s">
        <v>1543</v>
      </c>
      <c r="D461" s="13" t="s">
        <v>1327</v>
      </c>
      <c r="E461" s="13">
        <v>542405055</v>
      </c>
      <c r="F461" s="13" t="s">
        <v>164</v>
      </c>
      <c r="G461" s="13" t="s">
        <v>573</v>
      </c>
      <c r="H461" s="13" t="s">
        <v>35</v>
      </c>
      <c r="I461" s="13" t="s">
        <v>35</v>
      </c>
      <c r="J461" s="17" t="s">
        <v>35</v>
      </c>
      <c r="K461" s="13">
        <v>0</v>
      </c>
      <c r="L461" s="13">
        <v>0</v>
      </c>
      <c r="M461" s="13">
        <v>1</v>
      </c>
      <c r="N461" s="13">
        <v>1</v>
      </c>
      <c r="O461" s="13">
        <v>1</v>
      </c>
      <c r="P461" s="13">
        <v>1</v>
      </c>
      <c r="Q461" s="13">
        <v>1</v>
      </c>
      <c r="R4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1" s="13"/>
      <c r="T461" s="17"/>
    </row>
    <row r="462" spans="2:20" ht="17">
      <c r="B462" s="17" t="e">
        <f t="shared" si="9"/>
        <v>#REF!</v>
      </c>
      <c r="C462" s="13" t="s">
        <v>1328</v>
      </c>
      <c r="D462" s="13" t="s">
        <v>1329</v>
      </c>
      <c r="E462" s="13">
        <v>561282015</v>
      </c>
      <c r="F462" s="13" t="s">
        <v>1330</v>
      </c>
      <c r="G462" s="13" t="s">
        <v>573</v>
      </c>
      <c r="H462" s="13" t="s">
        <v>35</v>
      </c>
      <c r="I462" s="13" t="s">
        <v>35</v>
      </c>
      <c r="J462" s="17" t="s">
        <v>35</v>
      </c>
      <c r="K462" s="13">
        <v>1</v>
      </c>
      <c r="L462" s="13">
        <v>1</v>
      </c>
      <c r="M462" s="13">
        <v>1</v>
      </c>
      <c r="N462" s="13">
        <v>1</v>
      </c>
      <c r="O462" s="13">
        <v>0</v>
      </c>
      <c r="P462" s="13">
        <v>0</v>
      </c>
      <c r="Q462" s="13">
        <v>0</v>
      </c>
      <c r="R4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2" s="13"/>
      <c r="T462" s="17"/>
    </row>
    <row r="463" spans="2:20" ht="17">
      <c r="B463" s="17" t="e">
        <f t="shared" si="9"/>
        <v>#REF!</v>
      </c>
      <c r="C463" s="13" t="s">
        <v>1331</v>
      </c>
      <c r="D463" s="13" t="s">
        <v>837</v>
      </c>
      <c r="E463" s="13">
        <v>569598774</v>
      </c>
      <c r="F463" s="13" t="s">
        <v>337</v>
      </c>
      <c r="G463" s="13" t="s">
        <v>573</v>
      </c>
      <c r="H463" s="13" t="s">
        <v>68</v>
      </c>
      <c r="I463" s="13" t="s">
        <v>68</v>
      </c>
      <c r="J463" s="17" t="s">
        <v>68</v>
      </c>
      <c r="K463" s="13">
        <v>1</v>
      </c>
      <c r="L463" s="13">
        <v>1</v>
      </c>
      <c r="M463" s="13">
        <v>1</v>
      </c>
      <c r="N463" s="13">
        <v>0</v>
      </c>
      <c r="O463" s="13">
        <v>0</v>
      </c>
      <c r="P463" s="13">
        <v>0</v>
      </c>
      <c r="Q463" s="13">
        <v>0</v>
      </c>
      <c r="R4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3" s="13"/>
      <c r="T463" s="17"/>
    </row>
    <row r="464" spans="2:20" ht="17">
      <c r="B464" s="17" t="e">
        <f t="shared" si="9"/>
        <v>#REF!</v>
      </c>
      <c r="C464" s="13" t="s">
        <v>1488</v>
      </c>
      <c r="D464" s="13" t="s">
        <v>849</v>
      </c>
      <c r="E464" s="13">
        <v>555778937</v>
      </c>
      <c r="F464" s="13" t="s">
        <v>55</v>
      </c>
      <c r="G464" s="13" t="s">
        <v>573</v>
      </c>
      <c r="H464" s="13" t="s">
        <v>74</v>
      </c>
      <c r="I464" s="13" t="s">
        <v>74</v>
      </c>
      <c r="J464" s="17" t="s">
        <v>74</v>
      </c>
      <c r="K464" s="13">
        <v>1</v>
      </c>
      <c r="L464" s="13">
        <v>0</v>
      </c>
      <c r="M464" s="13">
        <v>0</v>
      </c>
      <c r="N464" s="13">
        <v>0</v>
      </c>
      <c r="O464" s="13">
        <v>0</v>
      </c>
      <c r="P464" s="13">
        <v>1</v>
      </c>
      <c r="Q464" s="13">
        <v>0</v>
      </c>
      <c r="R4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4" s="13"/>
      <c r="T464" s="17"/>
    </row>
    <row r="465" spans="2:20" ht="17">
      <c r="B465" s="17" t="e">
        <f t="shared" si="9"/>
        <v>#REF!</v>
      </c>
      <c r="C465" s="13" t="s">
        <v>1332</v>
      </c>
      <c r="D465" s="13" t="s">
        <v>1333</v>
      </c>
      <c r="E465" s="13">
        <v>505610842</v>
      </c>
      <c r="F465" s="13" t="s">
        <v>1334</v>
      </c>
      <c r="G465" s="13" t="s">
        <v>573</v>
      </c>
      <c r="H465" s="13" t="s">
        <v>108</v>
      </c>
      <c r="I465" s="13" t="s">
        <v>27</v>
      </c>
      <c r="J465" s="17" t="s">
        <v>27</v>
      </c>
      <c r="K465" s="13">
        <v>0</v>
      </c>
      <c r="L465" s="13">
        <v>0</v>
      </c>
      <c r="M465" s="13">
        <v>0</v>
      </c>
      <c r="N465" s="13">
        <v>1</v>
      </c>
      <c r="O465" s="13">
        <v>0</v>
      </c>
      <c r="P465" s="13">
        <v>0</v>
      </c>
      <c r="Q465" s="13">
        <v>0</v>
      </c>
      <c r="R4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5" s="13"/>
      <c r="T465" s="17"/>
    </row>
    <row r="466" spans="2:20" ht="17">
      <c r="B466" s="17" t="e">
        <f t="shared" si="9"/>
        <v>#REF!</v>
      </c>
      <c r="C466" s="13" t="s">
        <v>1335</v>
      </c>
      <c r="D466" s="13" t="s">
        <v>1336</v>
      </c>
      <c r="E466" s="13">
        <v>504579158</v>
      </c>
      <c r="F466" s="13" t="s">
        <v>1276</v>
      </c>
      <c r="G466" s="13" t="s">
        <v>573</v>
      </c>
      <c r="H466" s="13" t="s">
        <v>37</v>
      </c>
      <c r="I466" s="13" t="s">
        <v>415</v>
      </c>
      <c r="J466" s="17" t="s">
        <v>37</v>
      </c>
      <c r="K466" s="13">
        <v>1</v>
      </c>
      <c r="L466" s="13">
        <v>0</v>
      </c>
      <c r="M466" s="13">
        <v>1</v>
      </c>
      <c r="N466" s="13">
        <v>0</v>
      </c>
      <c r="O466" s="13">
        <v>1</v>
      </c>
      <c r="P466" s="13">
        <v>0</v>
      </c>
      <c r="Q466" s="13">
        <v>1</v>
      </c>
      <c r="R4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6" s="13"/>
      <c r="T466" s="17"/>
    </row>
    <row r="467" spans="2:20" ht="17">
      <c r="B467" s="17" t="e">
        <f t="shared" si="9"/>
        <v>#REF!</v>
      </c>
      <c r="C467" s="13" t="s">
        <v>1337</v>
      </c>
      <c r="D467" s="13" t="s">
        <v>1338</v>
      </c>
      <c r="E467" s="13">
        <v>555534971</v>
      </c>
      <c r="F467" s="13" t="s">
        <v>164</v>
      </c>
      <c r="G467" s="13" t="s">
        <v>573</v>
      </c>
      <c r="H467" s="13" t="s">
        <v>108</v>
      </c>
      <c r="I467" s="13" t="s">
        <v>108</v>
      </c>
      <c r="J467" s="17" t="s">
        <v>108</v>
      </c>
      <c r="K467" s="13">
        <v>1</v>
      </c>
      <c r="L467" s="13">
        <v>1</v>
      </c>
      <c r="M467" s="13">
        <v>2</v>
      </c>
      <c r="N467" s="13">
        <v>2</v>
      </c>
      <c r="O467" s="13">
        <v>3</v>
      </c>
      <c r="P467" s="13">
        <v>1</v>
      </c>
      <c r="Q467" s="13">
        <v>0</v>
      </c>
      <c r="R4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7" s="13"/>
      <c r="T467" s="17"/>
    </row>
    <row r="468" spans="2:20" ht="17">
      <c r="B468" s="17" t="e">
        <f t="shared" si="9"/>
        <v>#REF!</v>
      </c>
      <c r="C468" s="13" t="s">
        <v>1339</v>
      </c>
      <c r="D468" s="13" t="s">
        <v>1340</v>
      </c>
      <c r="E468" s="13" t="s">
        <v>164</v>
      </c>
      <c r="F468" s="13" t="s">
        <v>164</v>
      </c>
      <c r="G468" s="13" t="s">
        <v>573</v>
      </c>
      <c r="H468" s="13" t="s">
        <v>77</v>
      </c>
      <c r="I468" s="13" t="s">
        <v>90</v>
      </c>
      <c r="J468" s="17" t="s">
        <v>77</v>
      </c>
      <c r="K468" s="13">
        <v>1</v>
      </c>
      <c r="L468" s="13">
        <v>0</v>
      </c>
      <c r="M468" s="13">
        <v>0</v>
      </c>
      <c r="N468" s="13">
        <v>0</v>
      </c>
      <c r="O468" s="13">
        <v>1</v>
      </c>
      <c r="P468" s="13">
        <v>1</v>
      </c>
      <c r="Q468" s="13">
        <v>0</v>
      </c>
      <c r="R4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8" s="13"/>
      <c r="T468" s="17"/>
    </row>
    <row r="469" spans="2:20" ht="17">
      <c r="B469" s="17" t="e">
        <f t="shared" si="9"/>
        <v>#REF!</v>
      </c>
      <c r="C469" s="13" t="s">
        <v>1341</v>
      </c>
      <c r="D469" s="13" t="s">
        <v>1342</v>
      </c>
      <c r="E469" s="13">
        <v>591329999</v>
      </c>
      <c r="F469" s="13" t="s">
        <v>164</v>
      </c>
      <c r="G469" s="13" t="s">
        <v>573</v>
      </c>
      <c r="H469" s="13" t="s">
        <v>81</v>
      </c>
      <c r="I469" s="13" t="s">
        <v>72</v>
      </c>
      <c r="J469" s="17" t="s">
        <v>81</v>
      </c>
      <c r="K469" s="13">
        <v>1</v>
      </c>
      <c r="L469" s="13">
        <v>1</v>
      </c>
      <c r="M469" s="13">
        <v>1</v>
      </c>
      <c r="N469" s="13">
        <v>1</v>
      </c>
      <c r="O469" s="13">
        <v>1</v>
      </c>
      <c r="P469" s="13">
        <v>1</v>
      </c>
      <c r="Q469" s="13">
        <v>0</v>
      </c>
      <c r="R4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9" s="13"/>
      <c r="T469" s="17"/>
    </row>
    <row r="470" spans="2:20" ht="17">
      <c r="B470" s="17" t="e">
        <f t="shared" si="9"/>
        <v>#REF!</v>
      </c>
      <c r="C470" s="13" t="s">
        <v>1343</v>
      </c>
      <c r="D470" s="13" t="s">
        <v>1344</v>
      </c>
      <c r="E470" s="13">
        <v>501124060</v>
      </c>
      <c r="F470" s="13" t="s">
        <v>164</v>
      </c>
      <c r="G470" s="13" t="s">
        <v>294</v>
      </c>
      <c r="H470" s="13" t="s">
        <v>108</v>
      </c>
      <c r="I470" s="13" t="s">
        <v>15</v>
      </c>
      <c r="J470" s="17" t="s">
        <v>15</v>
      </c>
      <c r="K470" s="13">
        <v>1</v>
      </c>
      <c r="L470" s="13">
        <v>1</v>
      </c>
      <c r="M470" s="13">
        <v>1</v>
      </c>
      <c r="N470" s="13">
        <v>1</v>
      </c>
      <c r="O470" s="13">
        <v>0</v>
      </c>
      <c r="P470" s="13">
        <v>0</v>
      </c>
      <c r="Q470" s="13">
        <v>0</v>
      </c>
      <c r="R4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0" s="13"/>
      <c r="T470" s="17" t="s">
        <v>1621</v>
      </c>
    </row>
    <row r="471" spans="2:20" ht="17">
      <c r="B471" s="17" t="e">
        <f t="shared" si="9"/>
        <v>#REF!</v>
      </c>
      <c r="C471" s="13" t="s">
        <v>1345</v>
      </c>
      <c r="D471" s="13" t="s">
        <v>1346</v>
      </c>
      <c r="E471" s="13">
        <v>555522569</v>
      </c>
      <c r="F471" s="13" t="s">
        <v>164</v>
      </c>
      <c r="G471" s="13" t="s">
        <v>294</v>
      </c>
      <c r="H471" s="13" t="s">
        <v>108</v>
      </c>
      <c r="I471" s="13" t="s">
        <v>108</v>
      </c>
      <c r="J471" s="17" t="s">
        <v>108</v>
      </c>
      <c r="K471" s="13">
        <v>0</v>
      </c>
      <c r="L471" s="13">
        <v>1</v>
      </c>
      <c r="M471" s="13">
        <v>1</v>
      </c>
      <c r="N471" s="13">
        <v>1</v>
      </c>
      <c r="O471" s="13">
        <v>1</v>
      </c>
      <c r="P471" s="13">
        <v>0</v>
      </c>
      <c r="Q471" s="13">
        <v>0</v>
      </c>
      <c r="R4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1" s="13"/>
      <c r="T471" s="17" t="s">
        <v>1621</v>
      </c>
    </row>
    <row r="472" spans="2:20" ht="17">
      <c r="B472" s="17" t="e">
        <f>#REF!+1</f>
        <v>#REF!</v>
      </c>
      <c r="C472" s="13" t="s">
        <v>1348</v>
      </c>
      <c r="D472" s="13" t="s">
        <v>1349</v>
      </c>
      <c r="E472" s="13">
        <v>549768166</v>
      </c>
      <c r="F472" s="13" t="s">
        <v>164</v>
      </c>
      <c r="G472" s="13" t="s">
        <v>294</v>
      </c>
      <c r="H472" s="13" t="s">
        <v>108</v>
      </c>
      <c r="I472" s="13" t="s">
        <v>27</v>
      </c>
      <c r="J472" s="17" t="s">
        <v>27</v>
      </c>
      <c r="K472" s="13">
        <v>1</v>
      </c>
      <c r="L472" s="13">
        <v>0</v>
      </c>
      <c r="M472" s="13">
        <v>1</v>
      </c>
      <c r="N472" s="13">
        <v>0</v>
      </c>
      <c r="O472" s="13">
        <v>0</v>
      </c>
      <c r="P472" s="13">
        <v>0</v>
      </c>
      <c r="Q472" s="13">
        <v>0</v>
      </c>
      <c r="R4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2" s="13"/>
      <c r="T472" s="17" t="s">
        <v>1621</v>
      </c>
    </row>
    <row r="473" spans="2:20" ht="17">
      <c r="B473" s="17" t="e">
        <f>#REF!+1</f>
        <v>#REF!</v>
      </c>
      <c r="C473" s="13" t="s">
        <v>1355</v>
      </c>
      <c r="D473" s="13" t="s">
        <v>1356</v>
      </c>
      <c r="E473" s="13">
        <v>538522959</v>
      </c>
      <c r="F473" s="13" t="s">
        <v>164</v>
      </c>
      <c r="G473" s="13" t="s">
        <v>294</v>
      </c>
      <c r="H473" s="13" t="s">
        <v>75</v>
      </c>
      <c r="I473" s="13" t="s">
        <v>85</v>
      </c>
      <c r="J473" s="17" t="s">
        <v>75</v>
      </c>
      <c r="K473" s="13">
        <v>1</v>
      </c>
      <c r="L473" s="13">
        <v>1</v>
      </c>
      <c r="M473" s="13">
        <v>1</v>
      </c>
      <c r="N473" s="13">
        <v>1</v>
      </c>
      <c r="O473" s="13">
        <v>1</v>
      </c>
      <c r="P473" s="13">
        <v>1</v>
      </c>
      <c r="Q473" s="13">
        <v>1</v>
      </c>
      <c r="R4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3" s="13"/>
      <c r="T473" s="17" t="s">
        <v>1621</v>
      </c>
    </row>
    <row r="474" spans="2:20" ht="17">
      <c r="B474" s="17" t="e">
        <f>#REF!+1</f>
        <v>#REF!</v>
      </c>
      <c r="C474" s="13" t="s">
        <v>1358</v>
      </c>
      <c r="D474" s="13" t="s">
        <v>1359</v>
      </c>
      <c r="E474" s="13">
        <v>544424648</v>
      </c>
      <c r="F474" s="13" t="s">
        <v>164</v>
      </c>
      <c r="G474" s="13" t="s">
        <v>294</v>
      </c>
      <c r="H474" s="13" t="s">
        <v>108</v>
      </c>
      <c r="I474" s="13" t="s">
        <v>108</v>
      </c>
      <c r="J474" s="17" t="s">
        <v>108</v>
      </c>
      <c r="K474" s="13">
        <v>1</v>
      </c>
      <c r="L474" s="13">
        <v>1</v>
      </c>
      <c r="M474" s="13">
        <v>1</v>
      </c>
      <c r="N474" s="13">
        <v>1</v>
      </c>
      <c r="O474" s="13">
        <v>1</v>
      </c>
      <c r="P474" s="13">
        <v>1</v>
      </c>
      <c r="Q474" s="13">
        <v>0</v>
      </c>
      <c r="R4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4" s="13"/>
      <c r="T474" s="17" t="s">
        <v>1621</v>
      </c>
    </row>
    <row r="475" spans="2:20" ht="17">
      <c r="B475" s="17" t="e">
        <f t="shared" si="9"/>
        <v>#REF!</v>
      </c>
      <c r="C475" s="13" t="s">
        <v>1360</v>
      </c>
      <c r="D475" s="13" t="s">
        <v>1361</v>
      </c>
      <c r="E475" s="13">
        <v>532879553</v>
      </c>
      <c r="F475" s="13" t="s">
        <v>164</v>
      </c>
      <c r="G475" s="13" t="s">
        <v>294</v>
      </c>
      <c r="H475" s="13" t="s">
        <v>35</v>
      </c>
      <c r="I475" s="13" t="s">
        <v>76</v>
      </c>
      <c r="J475" s="17" t="s">
        <v>76</v>
      </c>
      <c r="K475" s="13">
        <v>0</v>
      </c>
      <c r="L475" s="13">
        <v>0</v>
      </c>
      <c r="M475" s="13">
        <v>1</v>
      </c>
      <c r="N475" s="13">
        <v>1</v>
      </c>
      <c r="O475" s="13">
        <v>0</v>
      </c>
      <c r="P475" s="13">
        <v>0</v>
      </c>
      <c r="Q475" s="13">
        <v>0</v>
      </c>
      <c r="R4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5" s="13" t="s">
        <v>1599</v>
      </c>
      <c r="T475" s="17" t="s">
        <v>1621</v>
      </c>
    </row>
    <row r="476" spans="2:20" ht="17">
      <c r="B476" s="17" t="e">
        <f t="shared" si="9"/>
        <v>#REF!</v>
      </c>
      <c r="C476" s="13" t="s">
        <v>1362</v>
      </c>
      <c r="D476" s="13" t="s">
        <v>1363</v>
      </c>
      <c r="E476" s="13">
        <v>562741666</v>
      </c>
      <c r="F476" s="13" t="s">
        <v>164</v>
      </c>
      <c r="G476" s="13" t="s">
        <v>294</v>
      </c>
      <c r="H476" s="13" t="s">
        <v>108</v>
      </c>
      <c r="I476" s="13" t="s">
        <v>108</v>
      </c>
      <c r="J476" s="17" t="s">
        <v>108</v>
      </c>
      <c r="K476" s="13">
        <v>0</v>
      </c>
      <c r="L476" s="13">
        <v>0</v>
      </c>
      <c r="M476" s="13">
        <v>0</v>
      </c>
      <c r="N476" s="13">
        <v>0</v>
      </c>
      <c r="O476" s="13">
        <v>1</v>
      </c>
      <c r="P476" s="13">
        <v>1</v>
      </c>
      <c r="Q476" s="13">
        <v>1</v>
      </c>
      <c r="R4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6" s="13" t="s">
        <v>1599</v>
      </c>
      <c r="T476" s="17" t="s">
        <v>1621</v>
      </c>
    </row>
    <row r="477" spans="2:20" ht="17">
      <c r="B477" s="17" t="e">
        <f t="shared" si="9"/>
        <v>#REF!</v>
      </c>
      <c r="C477" s="13" t="s">
        <v>1364</v>
      </c>
      <c r="D477" s="13" t="s">
        <v>1365</v>
      </c>
      <c r="E477" s="13">
        <v>546008890</v>
      </c>
      <c r="F477" s="13" t="s">
        <v>164</v>
      </c>
      <c r="G477" s="13" t="s">
        <v>294</v>
      </c>
      <c r="H477" s="13" t="s">
        <v>35</v>
      </c>
      <c r="I477" s="13" t="s">
        <v>35</v>
      </c>
      <c r="J477" s="17" t="s">
        <v>35</v>
      </c>
      <c r="K477" s="13">
        <v>1</v>
      </c>
      <c r="L477" s="13">
        <v>0</v>
      </c>
      <c r="M477" s="13">
        <v>1</v>
      </c>
      <c r="N477" s="13">
        <v>1</v>
      </c>
      <c r="O477" s="13">
        <v>1</v>
      </c>
      <c r="P477" s="13">
        <v>1</v>
      </c>
      <c r="Q477" s="13">
        <v>0</v>
      </c>
      <c r="R4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7" s="13" t="s">
        <v>1599</v>
      </c>
      <c r="T477" s="17" t="s">
        <v>1621</v>
      </c>
    </row>
    <row r="478" spans="2:20" ht="17">
      <c r="B478" s="17" t="e">
        <f t="shared" si="9"/>
        <v>#REF!</v>
      </c>
      <c r="C478" s="13" t="s">
        <v>1366</v>
      </c>
      <c r="D478" s="13" t="s">
        <v>1367</v>
      </c>
      <c r="E478" s="13">
        <v>550968877</v>
      </c>
      <c r="F478" s="13" t="s">
        <v>164</v>
      </c>
      <c r="G478" s="13" t="s">
        <v>294</v>
      </c>
      <c r="H478" s="13" t="s">
        <v>78</v>
      </c>
      <c r="I478" s="13" t="s">
        <v>95</v>
      </c>
      <c r="J478" s="17" t="s">
        <v>45</v>
      </c>
      <c r="K478" s="13">
        <v>0</v>
      </c>
      <c r="L478" s="13">
        <v>0</v>
      </c>
      <c r="M478" s="13">
        <v>0</v>
      </c>
      <c r="N478" s="13">
        <v>1</v>
      </c>
      <c r="O478" s="13">
        <v>1</v>
      </c>
      <c r="P478" s="13">
        <v>0</v>
      </c>
      <c r="Q478" s="13">
        <v>0</v>
      </c>
      <c r="R4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8" s="13"/>
      <c r="T478" s="17" t="s">
        <v>1621</v>
      </c>
    </row>
    <row r="479" spans="2:20" ht="17">
      <c r="B479" s="17" t="e">
        <f>#REF!+1</f>
        <v>#REF!</v>
      </c>
      <c r="C479" s="13" t="s">
        <v>1369</v>
      </c>
      <c r="D479" s="13" t="s">
        <v>1370</v>
      </c>
      <c r="E479" s="13">
        <v>502858386</v>
      </c>
      <c r="F479" s="13" t="s">
        <v>164</v>
      </c>
      <c r="G479" s="13" t="s">
        <v>294</v>
      </c>
      <c r="H479" s="13" t="s">
        <v>35</v>
      </c>
      <c r="I479" s="13" t="s">
        <v>35</v>
      </c>
      <c r="J479" s="17" t="s">
        <v>35</v>
      </c>
      <c r="K479" s="13">
        <v>1</v>
      </c>
      <c r="L479" s="13">
        <v>0</v>
      </c>
      <c r="M479" s="13">
        <v>1</v>
      </c>
      <c r="N479" s="13">
        <v>0</v>
      </c>
      <c r="O479" s="13">
        <v>0</v>
      </c>
      <c r="P479" s="13">
        <v>0</v>
      </c>
      <c r="Q479" s="13">
        <v>0</v>
      </c>
      <c r="R4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9" s="13"/>
      <c r="T479" s="17" t="s">
        <v>1621</v>
      </c>
    </row>
    <row r="480" spans="2:20" ht="17">
      <c r="B480" s="17" t="e">
        <f>#REF!+1</f>
        <v>#REF!</v>
      </c>
      <c r="C480" s="13" t="s">
        <v>1086</v>
      </c>
      <c r="D480" s="13" t="s">
        <v>1087</v>
      </c>
      <c r="E480" s="13">
        <v>501288843</v>
      </c>
      <c r="F480" s="13" t="s">
        <v>164</v>
      </c>
      <c r="G480" s="13" t="s">
        <v>294</v>
      </c>
      <c r="H480" s="13" t="s">
        <v>108</v>
      </c>
      <c r="I480" s="13" t="s">
        <v>27</v>
      </c>
      <c r="J480" s="17" t="s">
        <v>27</v>
      </c>
      <c r="K480" s="13">
        <v>1</v>
      </c>
      <c r="L480" s="13">
        <v>1</v>
      </c>
      <c r="M480" s="13">
        <v>1</v>
      </c>
      <c r="N480" s="13">
        <v>1</v>
      </c>
      <c r="O480" s="13">
        <v>1</v>
      </c>
      <c r="P480" s="13">
        <v>1</v>
      </c>
      <c r="Q480" s="13">
        <v>1</v>
      </c>
      <c r="R4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0" s="13"/>
      <c r="T480" s="17" t="s">
        <v>1621</v>
      </c>
    </row>
    <row r="481" spans="2:20" ht="17">
      <c r="B481" s="17" t="e">
        <f>#REF!+1</f>
        <v>#REF!</v>
      </c>
      <c r="C481" s="13" t="s">
        <v>1374</v>
      </c>
      <c r="D481" s="13" t="s">
        <v>1375</v>
      </c>
      <c r="E481" s="13">
        <v>559985767</v>
      </c>
      <c r="F481" s="13" t="s">
        <v>164</v>
      </c>
      <c r="G481" s="13" t="s">
        <v>573</v>
      </c>
      <c r="H481" s="13" t="s">
        <v>75</v>
      </c>
      <c r="I481" s="13" t="s">
        <v>87</v>
      </c>
      <c r="J481" s="17" t="s">
        <v>75</v>
      </c>
      <c r="K481" s="13">
        <v>1</v>
      </c>
      <c r="L481" s="13">
        <v>0</v>
      </c>
      <c r="M481" s="13">
        <v>1</v>
      </c>
      <c r="N481" s="13">
        <v>0</v>
      </c>
      <c r="O481" s="13">
        <v>1</v>
      </c>
      <c r="P481" s="13">
        <v>0</v>
      </c>
      <c r="Q481" s="13">
        <v>0</v>
      </c>
      <c r="R4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1" s="13"/>
      <c r="T481" s="17"/>
    </row>
    <row r="482" spans="2:20" ht="17">
      <c r="B482" s="17" t="e">
        <f t="shared" ref="B482:B527" si="10">B481+1</f>
        <v>#REF!</v>
      </c>
      <c r="C482" s="13" t="s">
        <v>1376</v>
      </c>
      <c r="D482" s="13" t="s">
        <v>1377</v>
      </c>
      <c r="E482" s="13">
        <v>564239612</v>
      </c>
      <c r="F482" s="13" t="s">
        <v>164</v>
      </c>
      <c r="G482" s="13" t="s">
        <v>294</v>
      </c>
      <c r="H482" s="13" t="s">
        <v>77</v>
      </c>
      <c r="I482" s="13" t="s">
        <v>43</v>
      </c>
      <c r="J482" s="17" t="s">
        <v>105</v>
      </c>
      <c r="K482" s="13">
        <v>1</v>
      </c>
      <c r="L482" s="13">
        <v>1</v>
      </c>
      <c r="M482" s="13">
        <v>1</v>
      </c>
      <c r="N482" s="13">
        <v>1</v>
      </c>
      <c r="O482" s="13">
        <v>1</v>
      </c>
      <c r="P482" s="13">
        <v>1</v>
      </c>
      <c r="Q482" s="13">
        <v>1</v>
      </c>
      <c r="R4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2" s="13" t="s">
        <v>1599</v>
      </c>
      <c r="T482" s="17" t="s">
        <v>1621</v>
      </c>
    </row>
    <row r="483" spans="2:20" ht="17">
      <c r="B483" s="17" t="e">
        <f t="shared" si="10"/>
        <v>#REF!</v>
      </c>
      <c r="C483" s="13" t="s">
        <v>1378</v>
      </c>
      <c r="D483" s="13" t="s">
        <v>1379</v>
      </c>
      <c r="E483" s="13">
        <v>581528784</v>
      </c>
      <c r="F483" s="13" t="s">
        <v>164</v>
      </c>
      <c r="G483" s="13" t="s">
        <v>294</v>
      </c>
      <c r="H483" s="13" t="s">
        <v>35</v>
      </c>
      <c r="I483" s="13" t="s">
        <v>49</v>
      </c>
      <c r="J483" s="17" t="s">
        <v>49</v>
      </c>
      <c r="K483" s="13">
        <v>0</v>
      </c>
      <c r="L483" s="13">
        <v>0</v>
      </c>
      <c r="M483" s="13">
        <v>0</v>
      </c>
      <c r="N483" s="13">
        <v>0</v>
      </c>
      <c r="O483" s="13">
        <v>1</v>
      </c>
      <c r="P483" s="13">
        <v>0</v>
      </c>
      <c r="Q483" s="13">
        <v>0</v>
      </c>
      <c r="R4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83" s="13" t="s">
        <v>1599</v>
      </c>
      <c r="T483" s="17" t="s">
        <v>1621</v>
      </c>
    </row>
    <row r="484" spans="2:20" ht="17">
      <c r="B484" s="17" t="e">
        <f>#REF!+1</f>
        <v>#REF!</v>
      </c>
      <c r="C484" s="13" t="s">
        <v>1381</v>
      </c>
      <c r="D484" s="13" t="s">
        <v>1381</v>
      </c>
      <c r="E484" s="13">
        <v>503484081</v>
      </c>
      <c r="F484" s="13" t="s">
        <v>164</v>
      </c>
      <c r="G484" s="13" t="s">
        <v>294</v>
      </c>
      <c r="H484" s="13" t="s">
        <v>35</v>
      </c>
      <c r="I484" s="13" t="s">
        <v>49</v>
      </c>
      <c r="J484" s="17" t="s">
        <v>49</v>
      </c>
      <c r="K484" s="13">
        <v>0</v>
      </c>
      <c r="L484" s="13">
        <v>0</v>
      </c>
      <c r="M484" s="13">
        <v>0</v>
      </c>
      <c r="N484" s="13">
        <v>0</v>
      </c>
      <c r="O484" s="13">
        <v>1</v>
      </c>
      <c r="P484" s="13">
        <v>0</v>
      </c>
      <c r="Q484" s="13">
        <v>0</v>
      </c>
      <c r="R4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84" s="13" t="s">
        <v>1599</v>
      </c>
      <c r="T484" s="17" t="s">
        <v>1621</v>
      </c>
    </row>
    <row r="485" spans="2:20" ht="17">
      <c r="B485" s="17" t="e">
        <f t="shared" si="10"/>
        <v>#REF!</v>
      </c>
      <c r="C485" s="13" t="s">
        <v>1382</v>
      </c>
      <c r="D485" s="13" t="s">
        <v>1383</v>
      </c>
      <c r="E485" s="13">
        <v>533551753</v>
      </c>
      <c r="F485" s="13" t="s">
        <v>164</v>
      </c>
      <c r="G485" s="13" t="s">
        <v>573</v>
      </c>
      <c r="H485" s="13" t="s">
        <v>21</v>
      </c>
      <c r="I485" s="13" t="s">
        <v>58</v>
      </c>
      <c r="J485" s="17" t="s">
        <v>21</v>
      </c>
      <c r="K485" s="13">
        <v>0</v>
      </c>
      <c r="L485" s="13">
        <v>0</v>
      </c>
      <c r="M485" s="13">
        <v>1</v>
      </c>
      <c r="N485" s="13">
        <v>0</v>
      </c>
      <c r="O485" s="13">
        <v>0</v>
      </c>
      <c r="P485" s="13">
        <v>0</v>
      </c>
      <c r="Q485" s="13">
        <v>0</v>
      </c>
      <c r="R4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5" s="13"/>
      <c r="T485" s="17"/>
    </row>
    <row r="486" spans="2:20" ht="17">
      <c r="B486" s="17" t="e">
        <f>#REF!+1</f>
        <v>#REF!</v>
      </c>
      <c r="C486" s="13" t="s">
        <v>1386</v>
      </c>
      <c r="D486" s="13" t="s">
        <v>1387</v>
      </c>
      <c r="E486" s="13">
        <v>568141561</v>
      </c>
      <c r="F486" s="13" t="s">
        <v>164</v>
      </c>
      <c r="G486" s="13" t="s">
        <v>294</v>
      </c>
      <c r="H486" s="13" t="s">
        <v>108</v>
      </c>
      <c r="I486" s="13" t="s">
        <v>27</v>
      </c>
      <c r="J486" s="17" t="s">
        <v>27</v>
      </c>
      <c r="K486" s="13">
        <v>0</v>
      </c>
      <c r="L486" s="13">
        <v>1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6" s="13" t="s">
        <v>1599</v>
      </c>
      <c r="T486" s="17" t="s">
        <v>1621</v>
      </c>
    </row>
    <row r="487" spans="2:20" ht="17">
      <c r="B487" s="17" t="e">
        <f t="shared" si="10"/>
        <v>#REF!</v>
      </c>
      <c r="C487" s="13" t="s">
        <v>1388</v>
      </c>
      <c r="D487" s="13" t="s">
        <v>1389</v>
      </c>
      <c r="E487" s="13">
        <v>558559145</v>
      </c>
      <c r="F487" s="13" t="s">
        <v>164</v>
      </c>
      <c r="G487" s="13" t="s">
        <v>573</v>
      </c>
      <c r="H487" s="13" t="s">
        <v>75</v>
      </c>
      <c r="I487" s="13" t="s">
        <v>650</v>
      </c>
      <c r="J487" s="17" t="s">
        <v>75</v>
      </c>
      <c r="K487" s="13">
        <v>1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87" s="13"/>
      <c r="T487" s="17"/>
    </row>
    <row r="488" spans="2:20" ht="17">
      <c r="B488" s="17" t="e">
        <f>#REF!+1</f>
        <v>#REF!</v>
      </c>
      <c r="C488" s="13" t="s">
        <v>1391</v>
      </c>
      <c r="D488" s="13" t="s">
        <v>1392</v>
      </c>
      <c r="E488" s="13">
        <v>544117724</v>
      </c>
      <c r="F488" s="13" t="s">
        <v>164</v>
      </c>
      <c r="G488" s="13" t="s">
        <v>294</v>
      </c>
      <c r="H488" s="13" t="s">
        <v>108</v>
      </c>
      <c r="I488" s="13" t="s">
        <v>27</v>
      </c>
      <c r="J488" s="17" t="s">
        <v>27</v>
      </c>
      <c r="K488" s="13">
        <v>1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8" s="13" t="s">
        <v>1599</v>
      </c>
      <c r="T488" s="17" t="s">
        <v>1621</v>
      </c>
    </row>
    <row r="489" spans="2:20" ht="17">
      <c r="B489" s="17" t="e">
        <f t="shared" si="10"/>
        <v>#REF!</v>
      </c>
      <c r="C489" s="13" t="s">
        <v>1393</v>
      </c>
      <c r="D489" s="13" t="s">
        <v>1394</v>
      </c>
      <c r="E489" s="13">
        <v>555158059</v>
      </c>
      <c r="F489" s="13" t="s">
        <v>1393</v>
      </c>
      <c r="G489" s="13" t="s">
        <v>573</v>
      </c>
      <c r="H489" s="13" t="s">
        <v>35</v>
      </c>
      <c r="I489" s="13" t="s">
        <v>76</v>
      </c>
      <c r="J489" s="17" t="s">
        <v>76</v>
      </c>
      <c r="K489" s="13">
        <v>1</v>
      </c>
      <c r="L489" s="13">
        <v>1</v>
      </c>
      <c r="M489" s="13">
        <v>2</v>
      </c>
      <c r="N489" s="13">
        <v>2</v>
      </c>
      <c r="O489" s="13">
        <v>3</v>
      </c>
      <c r="P489" s="13">
        <v>0</v>
      </c>
      <c r="Q489" s="13">
        <v>0</v>
      </c>
      <c r="R4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9" s="13"/>
      <c r="T489" s="17"/>
    </row>
    <row r="490" spans="2:20" ht="17">
      <c r="B490" s="17" t="e">
        <f t="shared" si="10"/>
        <v>#REF!</v>
      </c>
      <c r="C490" s="13" t="s">
        <v>1395</v>
      </c>
      <c r="D490" s="13" t="s">
        <v>1396</v>
      </c>
      <c r="E490" s="13">
        <v>562221401</v>
      </c>
      <c r="F490" s="13" t="s">
        <v>1397</v>
      </c>
      <c r="G490" s="13" t="s">
        <v>573</v>
      </c>
      <c r="H490" s="13" t="s">
        <v>81</v>
      </c>
      <c r="I490" s="13" t="s">
        <v>72</v>
      </c>
      <c r="J490" s="17" t="s">
        <v>81</v>
      </c>
      <c r="K490" s="13">
        <v>0</v>
      </c>
      <c r="L490" s="13">
        <v>0</v>
      </c>
      <c r="M490" s="13">
        <v>2</v>
      </c>
      <c r="N490" s="13">
        <v>0</v>
      </c>
      <c r="O490" s="13">
        <v>2</v>
      </c>
      <c r="P490" s="13">
        <v>0</v>
      </c>
      <c r="Q490" s="13">
        <v>0</v>
      </c>
      <c r="R4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0" s="13"/>
      <c r="T490" s="17"/>
    </row>
    <row r="491" spans="2:20" ht="17">
      <c r="B491" s="17" t="e">
        <f t="shared" si="10"/>
        <v>#REF!</v>
      </c>
      <c r="C491" s="13" t="s">
        <v>1398</v>
      </c>
      <c r="D491" s="13" t="s">
        <v>1399</v>
      </c>
      <c r="E491" s="13">
        <v>531406987</v>
      </c>
      <c r="F491" s="13" t="s">
        <v>1008</v>
      </c>
      <c r="G491" s="13" t="s">
        <v>573</v>
      </c>
      <c r="H491" s="13" t="s">
        <v>77</v>
      </c>
      <c r="I491" s="13" t="s">
        <v>105</v>
      </c>
      <c r="J491" s="17" t="s">
        <v>105</v>
      </c>
      <c r="K491" s="13">
        <v>1</v>
      </c>
      <c r="L491" s="13">
        <v>0</v>
      </c>
      <c r="M491" s="13">
        <v>1</v>
      </c>
      <c r="N491" s="13">
        <v>0</v>
      </c>
      <c r="O491" s="13">
        <v>1</v>
      </c>
      <c r="P491" s="13">
        <v>1</v>
      </c>
      <c r="Q491" s="13">
        <v>0</v>
      </c>
      <c r="R4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1" s="13"/>
      <c r="T491" s="17"/>
    </row>
    <row r="492" spans="2:20" ht="17">
      <c r="B492" s="17" t="e">
        <f t="shared" si="10"/>
        <v>#REF!</v>
      </c>
      <c r="C492" s="13" t="s">
        <v>1400</v>
      </c>
      <c r="D492" s="13" t="s">
        <v>1401</v>
      </c>
      <c r="E492" s="13">
        <v>552084652</v>
      </c>
      <c r="F492" s="13" t="s">
        <v>1008</v>
      </c>
      <c r="G492" s="13" t="s">
        <v>573</v>
      </c>
      <c r="H492" s="13" t="s">
        <v>77</v>
      </c>
      <c r="I492" s="13" t="s">
        <v>105</v>
      </c>
      <c r="J492" s="17" t="s">
        <v>105</v>
      </c>
      <c r="K492" s="13">
        <v>1</v>
      </c>
      <c r="L492" s="13">
        <v>1</v>
      </c>
      <c r="M492" s="13">
        <v>1</v>
      </c>
      <c r="N492" s="13">
        <v>1</v>
      </c>
      <c r="O492" s="13">
        <v>0</v>
      </c>
      <c r="P492" s="13">
        <v>0</v>
      </c>
      <c r="Q492" s="13">
        <v>0</v>
      </c>
      <c r="R4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2" s="13"/>
      <c r="T492" s="17"/>
    </row>
    <row r="493" spans="2:20" ht="17">
      <c r="B493" s="17" t="e">
        <f t="shared" si="10"/>
        <v>#REF!</v>
      </c>
      <c r="C493" s="13" t="s">
        <v>1402</v>
      </c>
      <c r="D493" s="13" t="s">
        <v>1403</v>
      </c>
      <c r="E493" s="13">
        <v>555940906</v>
      </c>
      <c r="F493" s="13" t="s">
        <v>1008</v>
      </c>
      <c r="G493" s="13" t="s">
        <v>573</v>
      </c>
      <c r="H493" s="13" t="s">
        <v>77</v>
      </c>
      <c r="I493" s="13" t="s">
        <v>105</v>
      </c>
      <c r="J493" s="17" t="s">
        <v>105</v>
      </c>
      <c r="K493" s="13">
        <v>1</v>
      </c>
      <c r="L493" s="13">
        <v>1</v>
      </c>
      <c r="M493" s="13">
        <v>1</v>
      </c>
      <c r="N493" s="13">
        <v>1</v>
      </c>
      <c r="O493" s="13">
        <v>1</v>
      </c>
      <c r="P493" s="13">
        <v>1</v>
      </c>
      <c r="Q493" s="13">
        <v>1</v>
      </c>
      <c r="R4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3" s="13"/>
      <c r="T493" s="17"/>
    </row>
    <row r="494" spans="2:20" ht="17">
      <c r="B494" s="17" t="e">
        <f t="shared" si="10"/>
        <v>#REF!</v>
      </c>
      <c r="C494" s="13" t="s">
        <v>1404</v>
      </c>
      <c r="D494" s="13" t="s">
        <v>1405</v>
      </c>
      <c r="E494" s="13">
        <v>568663336</v>
      </c>
      <c r="F494" s="13" t="s">
        <v>164</v>
      </c>
      <c r="G494" s="13" t="s">
        <v>573</v>
      </c>
      <c r="H494" s="13" t="s">
        <v>29</v>
      </c>
      <c r="I494" s="13" t="s">
        <v>29</v>
      </c>
      <c r="J494" s="17" t="s">
        <v>29</v>
      </c>
      <c r="K494" s="13">
        <v>0</v>
      </c>
      <c r="L494" s="13">
        <v>1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4" s="13"/>
      <c r="T494" s="17"/>
    </row>
    <row r="495" spans="2:20" ht="17">
      <c r="B495" s="17" t="e">
        <f t="shared" si="10"/>
        <v>#REF!</v>
      </c>
      <c r="C495" s="13" t="s">
        <v>1406</v>
      </c>
      <c r="D495" s="13" t="s">
        <v>1407</v>
      </c>
      <c r="E495" s="13">
        <v>554721854</v>
      </c>
      <c r="F495" s="13" t="s">
        <v>1406</v>
      </c>
      <c r="G495" s="13" t="s">
        <v>143</v>
      </c>
      <c r="H495" s="13" t="s">
        <v>35</v>
      </c>
      <c r="I495" s="13" t="s">
        <v>49</v>
      </c>
      <c r="J495" s="17" t="s">
        <v>49</v>
      </c>
      <c r="K495" s="13">
        <v>0</v>
      </c>
      <c r="L495" s="13">
        <v>0</v>
      </c>
      <c r="M495" s="13">
        <v>0</v>
      </c>
      <c r="N495" s="13">
        <v>0</v>
      </c>
      <c r="O495" s="13">
        <v>3</v>
      </c>
      <c r="P495" s="13">
        <v>0</v>
      </c>
      <c r="Q495" s="13">
        <v>0</v>
      </c>
      <c r="R4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95" s="13"/>
      <c r="T495" s="17"/>
    </row>
    <row r="496" spans="2:20" ht="17">
      <c r="B496" s="17" t="e">
        <f t="shared" si="10"/>
        <v>#REF!</v>
      </c>
      <c r="C496" s="13" t="s">
        <v>1408</v>
      </c>
      <c r="D496" s="13" t="s">
        <v>1409</v>
      </c>
      <c r="E496" s="13">
        <v>555179600</v>
      </c>
      <c r="F496" s="13" t="s">
        <v>1410</v>
      </c>
      <c r="G496" s="13" t="s">
        <v>143</v>
      </c>
      <c r="H496" s="13" t="s">
        <v>78</v>
      </c>
      <c r="I496" s="13" t="s">
        <v>93</v>
      </c>
      <c r="J496" s="17" t="s">
        <v>78</v>
      </c>
      <c r="K496" s="13">
        <v>1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6" s="13"/>
      <c r="T496" s="17"/>
    </row>
    <row r="497" spans="2:20" ht="17">
      <c r="B497" s="17" t="e">
        <f>#REF!+1</f>
        <v>#REF!</v>
      </c>
      <c r="C497" s="13" t="s">
        <v>1414</v>
      </c>
      <c r="D497" s="13" t="s">
        <v>1415</v>
      </c>
      <c r="E497" s="13">
        <v>542989356</v>
      </c>
      <c r="F497" s="13" t="s">
        <v>164</v>
      </c>
      <c r="G497" s="13" t="s">
        <v>294</v>
      </c>
      <c r="H497" s="13" t="s">
        <v>108</v>
      </c>
      <c r="I497" s="13" t="s">
        <v>27</v>
      </c>
      <c r="J497" s="17" t="s">
        <v>27</v>
      </c>
      <c r="K497" s="13">
        <v>1</v>
      </c>
      <c r="L497" s="13">
        <v>0</v>
      </c>
      <c r="M497" s="13">
        <v>1</v>
      </c>
      <c r="N497" s="13">
        <v>0</v>
      </c>
      <c r="O497" s="13">
        <v>0</v>
      </c>
      <c r="P497" s="13">
        <v>0</v>
      </c>
      <c r="Q497" s="13">
        <v>0</v>
      </c>
      <c r="R4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7" s="13" t="s">
        <v>1599</v>
      </c>
      <c r="T497" s="17" t="s">
        <v>1621</v>
      </c>
    </row>
    <row r="498" spans="2:20" ht="17">
      <c r="B498" s="17" t="e">
        <f>#REF!+1</f>
        <v>#REF!</v>
      </c>
      <c r="C498" s="13" t="s">
        <v>1416</v>
      </c>
      <c r="D498" s="13" t="s">
        <v>1417</v>
      </c>
      <c r="E498" s="13">
        <v>557622333</v>
      </c>
      <c r="F498" s="13" t="s">
        <v>164</v>
      </c>
      <c r="G498" s="13" t="s">
        <v>294</v>
      </c>
      <c r="H498" s="13" t="s">
        <v>108</v>
      </c>
      <c r="I498" s="13" t="s">
        <v>27</v>
      </c>
      <c r="J498" s="17" t="s">
        <v>27</v>
      </c>
      <c r="K498" s="13">
        <v>1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8" s="13" t="s">
        <v>1599</v>
      </c>
      <c r="T498" s="17" t="s">
        <v>1621</v>
      </c>
    </row>
    <row r="499" spans="2:20" ht="17">
      <c r="B499" s="17" t="e">
        <f t="shared" si="10"/>
        <v>#REF!</v>
      </c>
      <c r="C499" s="13" t="s">
        <v>1418</v>
      </c>
      <c r="D499" s="13" t="s">
        <v>1419</v>
      </c>
      <c r="E499" s="13">
        <v>566255337</v>
      </c>
      <c r="F499" s="13" t="s">
        <v>164</v>
      </c>
      <c r="G499" s="13" t="s">
        <v>294</v>
      </c>
      <c r="H499" s="13" t="s">
        <v>108</v>
      </c>
      <c r="I499" s="13" t="s">
        <v>27</v>
      </c>
      <c r="J499" s="17" t="s">
        <v>27</v>
      </c>
      <c r="K499" s="13">
        <v>1</v>
      </c>
      <c r="L499" s="13">
        <v>1</v>
      </c>
      <c r="M499" s="13">
        <v>1</v>
      </c>
      <c r="N499" s="13">
        <v>0</v>
      </c>
      <c r="O499" s="13">
        <v>0</v>
      </c>
      <c r="P499" s="13">
        <v>0</v>
      </c>
      <c r="Q499" s="13">
        <v>0</v>
      </c>
      <c r="R4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9" s="13" t="s">
        <v>1599</v>
      </c>
      <c r="T499" s="17" t="s">
        <v>1621</v>
      </c>
    </row>
    <row r="500" spans="2:20" ht="17">
      <c r="B500" s="17" t="e">
        <f t="shared" si="10"/>
        <v>#REF!</v>
      </c>
      <c r="C500" s="13" t="s">
        <v>1420</v>
      </c>
      <c r="D500" s="13" t="s">
        <v>1421</v>
      </c>
      <c r="E500" s="13">
        <v>597245895</v>
      </c>
      <c r="F500" s="13" t="s">
        <v>164</v>
      </c>
      <c r="G500" s="13" t="s">
        <v>294</v>
      </c>
      <c r="H500" s="13" t="s">
        <v>108</v>
      </c>
      <c r="I500" s="13" t="s">
        <v>27</v>
      </c>
      <c r="J500" s="17" t="s">
        <v>27</v>
      </c>
      <c r="K500" s="13">
        <v>0</v>
      </c>
      <c r="L500" s="13">
        <v>0</v>
      </c>
      <c r="M500" s="13">
        <v>1</v>
      </c>
      <c r="N500" s="13">
        <v>1</v>
      </c>
      <c r="O500" s="13">
        <v>1</v>
      </c>
      <c r="P500" s="13">
        <v>1</v>
      </c>
      <c r="Q500" s="13">
        <v>1</v>
      </c>
      <c r="R5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0" s="13"/>
      <c r="T500" s="17" t="s">
        <v>1621</v>
      </c>
    </row>
    <row r="501" spans="2:20" ht="17">
      <c r="B501" s="17" t="e">
        <f t="shared" si="10"/>
        <v>#REF!</v>
      </c>
      <c r="C501" s="13" t="s">
        <v>1422</v>
      </c>
      <c r="D501" s="13" t="s">
        <v>1423</v>
      </c>
      <c r="E501" s="13">
        <v>538099970</v>
      </c>
      <c r="F501" s="13" t="s">
        <v>1422</v>
      </c>
      <c r="G501" s="13" t="s">
        <v>143</v>
      </c>
      <c r="H501" s="13" t="s">
        <v>77</v>
      </c>
      <c r="I501" s="13" t="s">
        <v>92</v>
      </c>
      <c r="J501" s="17" t="s">
        <v>77</v>
      </c>
      <c r="K501" s="13">
        <v>1</v>
      </c>
      <c r="L501" s="13">
        <v>0</v>
      </c>
      <c r="M501" s="13">
        <v>0</v>
      </c>
      <c r="N501" s="13">
        <v>0</v>
      </c>
      <c r="O501" s="13">
        <v>1</v>
      </c>
      <c r="P501" s="13">
        <v>0</v>
      </c>
      <c r="Q501" s="13">
        <v>0</v>
      </c>
      <c r="R5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1" s="13"/>
      <c r="T501" s="17"/>
    </row>
    <row r="502" spans="2:20" ht="17">
      <c r="B502" s="17" t="e">
        <f t="shared" si="10"/>
        <v>#REF!</v>
      </c>
      <c r="C502" s="19" t="s">
        <v>1424</v>
      </c>
      <c r="D502" s="19" t="s">
        <v>1425</v>
      </c>
      <c r="E502" s="19">
        <v>5541051717</v>
      </c>
      <c r="F502" s="19" t="s">
        <v>1424</v>
      </c>
      <c r="G502" s="19" t="s">
        <v>143</v>
      </c>
      <c r="H502" s="19" t="s">
        <v>78</v>
      </c>
      <c r="I502" s="19" t="s">
        <v>97</v>
      </c>
      <c r="J502" s="20" t="s">
        <v>78</v>
      </c>
      <c r="K502" s="19">
        <v>1</v>
      </c>
      <c r="L502" s="19">
        <v>1</v>
      </c>
      <c r="M502" s="19">
        <v>1</v>
      </c>
      <c r="N502" s="19">
        <v>1</v>
      </c>
      <c r="O502" s="19">
        <v>1</v>
      </c>
      <c r="P502" s="19">
        <v>1</v>
      </c>
      <c r="Q502" s="19">
        <v>0</v>
      </c>
      <c r="R5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2" s="13"/>
      <c r="T502" s="17"/>
    </row>
    <row r="503" spans="2:20" ht="17">
      <c r="B503" s="17" t="e">
        <f t="shared" si="10"/>
        <v>#REF!</v>
      </c>
      <c r="C503" s="13" t="s">
        <v>1431</v>
      </c>
      <c r="D503" s="13" t="s">
        <v>1432</v>
      </c>
      <c r="E503" s="13">
        <v>568666872</v>
      </c>
      <c r="F503" s="13" t="s">
        <v>1433</v>
      </c>
      <c r="G503" s="13" t="s">
        <v>573</v>
      </c>
      <c r="H503" s="13" t="s">
        <v>81</v>
      </c>
      <c r="I503" s="13" t="s">
        <v>72</v>
      </c>
      <c r="J503" s="17" t="s">
        <v>81</v>
      </c>
      <c r="K503" s="13">
        <v>1</v>
      </c>
      <c r="L503" s="13">
        <v>0</v>
      </c>
      <c r="M503" s="13">
        <v>1</v>
      </c>
      <c r="N503" s="13">
        <v>1</v>
      </c>
      <c r="O503" s="13">
        <v>1</v>
      </c>
      <c r="P503" s="13">
        <v>1</v>
      </c>
      <c r="Q503" s="13">
        <v>0</v>
      </c>
      <c r="R5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3" s="13"/>
      <c r="T503" s="17"/>
    </row>
    <row r="504" spans="2:20" ht="17">
      <c r="B504" s="17" t="e">
        <f t="shared" si="10"/>
        <v>#REF!</v>
      </c>
      <c r="C504" s="13" t="s">
        <v>1434</v>
      </c>
      <c r="D504" s="13" t="s">
        <v>1435</v>
      </c>
      <c r="E504" s="13">
        <v>556677569</v>
      </c>
      <c r="F504" s="13" t="s">
        <v>164</v>
      </c>
      <c r="G504" s="13" t="s">
        <v>573</v>
      </c>
      <c r="H504" s="13" t="s">
        <v>108</v>
      </c>
      <c r="I504" s="13" t="s">
        <v>27</v>
      </c>
      <c r="J504" s="17" t="s">
        <v>27</v>
      </c>
      <c r="K504" s="13">
        <v>1</v>
      </c>
      <c r="L504" s="13">
        <v>0</v>
      </c>
      <c r="M504" s="13">
        <v>1</v>
      </c>
      <c r="N504" s="13">
        <v>1</v>
      </c>
      <c r="O504" s="13">
        <v>1</v>
      </c>
      <c r="P504" s="13">
        <v>0</v>
      </c>
      <c r="Q504" s="13">
        <v>0</v>
      </c>
      <c r="R5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4" s="13"/>
      <c r="T504" s="17"/>
    </row>
    <row r="505" spans="2:20" ht="17">
      <c r="B505" s="17" t="e">
        <f t="shared" si="10"/>
        <v>#REF!</v>
      </c>
      <c r="C505" s="13" t="s">
        <v>48</v>
      </c>
      <c r="D505" s="13" t="s">
        <v>1436</v>
      </c>
      <c r="E505" s="13">
        <v>569631916</v>
      </c>
      <c r="F505" s="13" t="s">
        <v>164</v>
      </c>
      <c r="G505" s="13" t="s">
        <v>143</v>
      </c>
      <c r="H505" s="13" t="s">
        <v>108</v>
      </c>
      <c r="I505" s="13" t="s">
        <v>48</v>
      </c>
      <c r="J505" s="17" t="s">
        <v>108</v>
      </c>
      <c r="K505" s="13">
        <v>1</v>
      </c>
      <c r="L505" s="13">
        <v>1</v>
      </c>
      <c r="M505" s="13">
        <v>1</v>
      </c>
      <c r="N505" s="13">
        <v>1</v>
      </c>
      <c r="O505" s="13">
        <v>1</v>
      </c>
      <c r="P505" s="13">
        <v>0</v>
      </c>
      <c r="Q505" s="13">
        <v>0</v>
      </c>
      <c r="R5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5" s="13"/>
      <c r="T505" s="17"/>
    </row>
    <row r="506" spans="2:20" ht="17">
      <c r="B506" s="17" t="e">
        <f t="shared" si="10"/>
        <v>#REF!</v>
      </c>
      <c r="C506" s="13" t="s">
        <v>259</v>
      </c>
      <c r="D506" s="13" t="s">
        <v>1437</v>
      </c>
      <c r="E506" s="13">
        <v>565448323</v>
      </c>
      <c r="F506" s="13" t="s">
        <v>164</v>
      </c>
      <c r="G506" s="13" t="s">
        <v>143</v>
      </c>
      <c r="H506" s="13" t="s">
        <v>108</v>
      </c>
      <c r="I506" s="13" t="s">
        <v>108</v>
      </c>
      <c r="J506" s="17" t="s">
        <v>108</v>
      </c>
      <c r="K506" s="13">
        <v>1</v>
      </c>
      <c r="L506" s="13">
        <v>1</v>
      </c>
      <c r="M506" s="13">
        <v>1</v>
      </c>
      <c r="N506" s="13">
        <v>1</v>
      </c>
      <c r="O506" s="13">
        <v>1</v>
      </c>
      <c r="P506" s="13">
        <v>1</v>
      </c>
      <c r="Q506" s="13">
        <v>1</v>
      </c>
      <c r="R5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6" s="13"/>
      <c r="T506" s="17"/>
    </row>
    <row r="507" spans="2:20" ht="17">
      <c r="B507" s="17" t="e">
        <f t="shared" si="10"/>
        <v>#REF!</v>
      </c>
      <c r="C507" s="13" t="s">
        <v>1438</v>
      </c>
      <c r="D507" s="13" t="s">
        <v>1439</v>
      </c>
      <c r="E507" s="13">
        <v>561661355</v>
      </c>
      <c r="F507" s="13" t="s">
        <v>164</v>
      </c>
      <c r="G507" s="13" t="s">
        <v>573</v>
      </c>
      <c r="H507" s="13" t="s">
        <v>21</v>
      </c>
      <c r="I507" s="13" t="s">
        <v>21</v>
      </c>
      <c r="J507" s="17" t="s">
        <v>21</v>
      </c>
      <c r="K507" s="13">
        <v>0</v>
      </c>
      <c r="L507" s="13">
        <v>0</v>
      </c>
      <c r="M507" s="13">
        <v>1</v>
      </c>
      <c r="N507" s="13">
        <v>0</v>
      </c>
      <c r="O507" s="13">
        <v>2</v>
      </c>
      <c r="P507" s="13">
        <v>0</v>
      </c>
      <c r="Q507" s="13">
        <v>0</v>
      </c>
      <c r="R5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7" s="13"/>
      <c r="T507" s="17"/>
    </row>
    <row r="508" spans="2:20" ht="17">
      <c r="B508" s="17" t="e">
        <f t="shared" si="10"/>
        <v>#REF!</v>
      </c>
      <c r="C508" s="13" t="s">
        <v>1440</v>
      </c>
      <c r="D508" s="13" t="s">
        <v>1441</v>
      </c>
      <c r="E508" s="13">
        <v>557392775</v>
      </c>
      <c r="F508" s="13" t="s">
        <v>1442</v>
      </c>
      <c r="G508" s="13" t="s">
        <v>573</v>
      </c>
      <c r="H508" s="13" t="s">
        <v>29</v>
      </c>
      <c r="I508" s="13" t="s">
        <v>29</v>
      </c>
      <c r="J508" s="17" t="s">
        <v>29</v>
      </c>
      <c r="K508" s="13">
        <v>1</v>
      </c>
      <c r="L508" s="13">
        <v>0</v>
      </c>
      <c r="M508" s="13">
        <v>0</v>
      </c>
      <c r="N508" s="13">
        <v>1</v>
      </c>
      <c r="O508" s="13">
        <v>1</v>
      </c>
      <c r="P508" s="13">
        <v>0</v>
      </c>
      <c r="Q508" s="13">
        <v>0</v>
      </c>
      <c r="R5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8" s="13"/>
      <c r="T508" s="17"/>
    </row>
    <row r="509" spans="2:20" ht="17">
      <c r="B509" s="17" t="e">
        <f t="shared" si="10"/>
        <v>#REF!</v>
      </c>
      <c r="C509" s="13" t="s">
        <v>1443</v>
      </c>
      <c r="D509" s="13" t="s">
        <v>1444</v>
      </c>
      <c r="E509" s="13">
        <v>592659249</v>
      </c>
      <c r="F509" s="13" t="s">
        <v>1445</v>
      </c>
      <c r="G509" s="13" t="s">
        <v>573</v>
      </c>
      <c r="H509" s="13" t="s">
        <v>108</v>
      </c>
      <c r="I509" s="13" t="s">
        <v>108</v>
      </c>
      <c r="J509" s="17" t="s">
        <v>108</v>
      </c>
      <c r="K509" s="13">
        <v>0</v>
      </c>
      <c r="L509" s="13">
        <v>1</v>
      </c>
      <c r="M509" s="13">
        <v>0</v>
      </c>
      <c r="N509" s="13">
        <v>1</v>
      </c>
      <c r="O509" s="13">
        <v>1</v>
      </c>
      <c r="P509" s="13">
        <v>0</v>
      </c>
      <c r="Q509" s="13">
        <v>0</v>
      </c>
      <c r="R5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9" s="13"/>
      <c r="T509" s="17"/>
    </row>
    <row r="510" spans="2:20" ht="17">
      <c r="B510" s="17" t="e">
        <f t="shared" si="10"/>
        <v>#REF!</v>
      </c>
      <c r="C510" s="13" t="s">
        <v>1446</v>
      </c>
      <c r="D510" s="13" t="s">
        <v>1447</v>
      </c>
      <c r="E510" s="13">
        <v>533981792</v>
      </c>
      <c r="F510" s="13" t="s">
        <v>1448</v>
      </c>
      <c r="G510" s="13" t="s">
        <v>573</v>
      </c>
      <c r="H510" s="13" t="s">
        <v>81</v>
      </c>
      <c r="I510" s="13" t="s">
        <v>72</v>
      </c>
      <c r="J510" s="17" t="s">
        <v>81</v>
      </c>
      <c r="K510" s="13">
        <v>1</v>
      </c>
      <c r="L510" s="13">
        <v>0</v>
      </c>
      <c r="M510" s="13">
        <v>1</v>
      </c>
      <c r="N510" s="13">
        <v>0</v>
      </c>
      <c r="O510" s="13">
        <v>1</v>
      </c>
      <c r="P510" s="13">
        <v>1</v>
      </c>
      <c r="Q510" s="13">
        <v>0</v>
      </c>
      <c r="R5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0" s="13"/>
      <c r="T510" s="17"/>
    </row>
    <row r="511" spans="2:20" ht="17">
      <c r="B511" s="17" t="e">
        <f t="shared" si="10"/>
        <v>#REF!</v>
      </c>
      <c r="C511" s="13" t="s">
        <v>1449</v>
      </c>
      <c r="D511" s="13" t="s">
        <v>1450</v>
      </c>
      <c r="E511" s="13">
        <v>501792948</v>
      </c>
      <c r="F511" s="13" t="s">
        <v>1451</v>
      </c>
      <c r="G511" s="13" t="s">
        <v>143</v>
      </c>
      <c r="H511" s="13" t="s">
        <v>77</v>
      </c>
      <c r="I511" s="13" t="s">
        <v>73</v>
      </c>
      <c r="J511" s="17" t="s">
        <v>73</v>
      </c>
      <c r="K511" s="13">
        <v>1</v>
      </c>
      <c r="L511" s="13">
        <v>1</v>
      </c>
      <c r="M511" s="13">
        <v>1</v>
      </c>
      <c r="N511" s="13">
        <v>1</v>
      </c>
      <c r="O511" s="13">
        <v>1</v>
      </c>
      <c r="P511" s="13">
        <v>1</v>
      </c>
      <c r="Q511" s="13">
        <v>1</v>
      </c>
      <c r="R5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1" s="13"/>
      <c r="T511" s="17"/>
    </row>
    <row r="512" spans="2:20" ht="17">
      <c r="B512" s="17" t="e">
        <f t="shared" si="10"/>
        <v>#REF!</v>
      </c>
      <c r="C512" s="13" t="s">
        <v>1452</v>
      </c>
      <c r="D512" s="13" t="s">
        <v>1453</v>
      </c>
      <c r="E512" s="13">
        <v>530747557</v>
      </c>
      <c r="F512" s="13" t="s">
        <v>776</v>
      </c>
      <c r="G512" s="13" t="s">
        <v>143</v>
      </c>
      <c r="H512" s="13" t="s">
        <v>74</v>
      </c>
      <c r="I512" s="13" t="s">
        <v>74</v>
      </c>
      <c r="J512" s="17" t="s">
        <v>74</v>
      </c>
      <c r="K512" s="13">
        <v>1</v>
      </c>
      <c r="L512" s="13">
        <v>1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2" s="13"/>
      <c r="T512" s="17"/>
    </row>
    <row r="513" spans="2:20" ht="17">
      <c r="B513" s="17" t="e">
        <f>#REF!+1</f>
        <v>#REF!</v>
      </c>
      <c r="C513" s="13" t="s">
        <v>1455</v>
      </c>
      <c r="D513" s="13" t="s">
        <v>1709</v>
      </c>
      <c r="E513" s="13">
        <v>500221665</v>
      </c>
      <c r="F513" s="13" t="s">
        <v>164</v>
      </c>
      <c r="G513" s="13" t="s">
        <v>294</v>
      </c>
      <c r="H513" s="13" t="s">
        <v>37</v>
      </c>
      <c r="I513" s="13" t="s">
        <v>40</v>
      </c>
      <c r="J513" s="17" t="s">
        <v>37</v>
      </c>
      <c r="K513" s="13">
        <v>1</v>
      </c>
      <c r="L513" s="13">
        <v>1</v>
      </c>
      <c r="M513" s="13">
        <v>1</v>
      </c>
      <c r="N513" s="13">
        <v>1</v>
      </c>
      <c r="O513" s="13">
        <v>1</v>
      </c>
      <c r="P513" s="13">
        <v>1</v>
      </c>
      <c r="Q513" s="13">
        <v>0</v>
      </c>
      <c r="R5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3" s="13"/>
      <c r="T513" s="17" t="s">
        <v>1621</v>
      </c>
    </row>
    <row r="514" spans="2:20" ht="17">
      <c r="B514" s="17" t="e">
        <f>#REF!+1</f>
        <v>#REF!</v>
      </c>
      <c r="C514" s="13" t="s">
        <v>1457</v>
      </c>
      <c r="D514" s="13" t="s">
        <v>1458</v>
      </c>
      <c r="E514" s="13">
        <v>508035154</v>
      </c>
      <c r="F514" s="13" t="s">
        <v>164</v>
      </c>
      <c r="G514" s="13" t="s">
        <v>294</v>
      </c>
      <c r="H514" s="13" t="s">
        <v>75</v>
      </c>
      <c r="I514" s="13" t="s">
        <v>85</v>
      </c>
      <c r="J514" s="17" t="s">
        <v>75</v>
      </c>
      <c r="K514" s="13">
        <v>1</v>
      </c>
      <c r="L514" s="13">
        <v>1</v>
      </c>
      <c r="M514" s="13">
        <v>1</v>
      </c>
      <c r="N514" s="13">
        <v>1</v>
      </c>
      <c r="O514" s="13">
        <v>1</v>
      </c>
      <c r="P514" s="13">
        <v>1</v>
      </c>
      <c r="Q514" s="13">
        <v>1</v>
      </c>
      <c r="R5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4" s="13"/>
      <c r="T514" s="17" t="s">
        <v>1621</v>
      </c>
    </row>
    <row r="515" spans="2:20" ht="17">
      <c r="B515" s="17" t="e">
        <f>#REF!+1</f>
        <v>#REF!</v>
      </c>
      <c r="C515" s="13" t="s">
        <v>1460</v>
      </c>
      <c r="D515" s="13" t="s">
        <v>1461</v>
      </c>
      <c r="E515" s="13">
        <v>533292767</v>
      </c>
      <c r="F515" s="13" t="s">
        <v>164</v>
      </c>
      <c r="G515" s="13" t="s">
        <v>294</v>
      </c>
      <c r="H515" s="13" t="s">
        <v>75</v>
      </c>
      <c r="I515" s="13" t="s">
        <v>650</v>
      </c>
      <c r="J515" s="17" t="s">
        <v>75</v>
      </c>
      <c r="K515" s="13">
        <v>1</v>
      </c>
      <c r="L515" s="13">
        <v>1</v>
      </c>
      <c r="M515" s="13">
        <v>1</v>
      </c>
      <c r="N515" s="13">
        <v>1</v>
      </c>
      <c r="O515" s="13">
        <v>1</v>
      </c>
      <c r="P515" s="13">
        <v>1</v>
      </c>
      <c r="Q515" s="13">
        <v>1</v>
      </c>
      <c r="R5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5" s="13"/>
      <c r="T515" s="17" t="s">
        <v>1621</v>
      </c>
    </row>
    <row r="516" spans="2:20" ht="17">
      <c r="B516" s="17" t="e">
        <f t="shared" si="10"/>
        <v>#REF!</v>
      </c>
      <c r="C516" s="13" t="s">
        <v>1462</v>
      </c>
      <c r="D516" s="13" t="s">
        <v>1463</v>
      </c>
      <c r="E516" s="13">
        <v>597244931</v>
      </c>
      <c r="F516" s="13" t="s">
        <v>164</v>
      </c>
      <c r="G516" s="13" t="s">
        <v>294</v>
      </c>
      <c r="H516" s="13" t="s">
        <v>108</v>
      </c>
      <c r="I516" s="13" t="s">
        <v>27</v>
      </c>
      <c r="J516" s="17" t="s">
        <v>27</v>
      </c>
      <c r="K516" s="13">
        <v>0</v>
      </c>
      <c r="L516" s="13">
        <v>0</v>
      </c>
      <c r="M516" s="13">
        <v>1</v>
      </c>
      <c r="N516" s="13">
        <v>1</v>
      </c>
      <c r="O516" s="13">
        <v>1</v>
      </c>
      <c r="P516" s="13">
        <v>1</v>
      </c>
      <c r="Q516" s="13">
        <v>0</v>
      </c>
      <c r="R5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6" s="13"/>
      <c r="T516" s="17" t="s">
        <v>1621</v>
      </c>
    </row>
    <row r="517" spans="2:20" ht="17">
      <c r="B517" s="17" t="e">
        <f t="shared" si="10"/>
        <v>#REF!</v>
      </c>
      <c r="C517" s="13" t="s">
        <v>1464</v>
      </c>
      <c r="D517" s="13" t="s">
        <v>1465</v>
      </c>
      <c r="E517" s="13">
        <v>599934734</v>
      </c>
      <c r="F517" s="13" t="s">
        <v>164</v>
      </c>
      <c r="G517" s="13" t="s">
        <v>294</v>
      </c>
      <c r="H517" s="13" t="s">
        <v>74</v>
      </c>
      <c r="I517" s="13" t="s">
        <v>74</v>
      </c>
      <c r="J517" s="17" t="s">
        <v>74</v>
      </c>
      <c r="K517" s="13">
        <v>0</v>
      </c>
      <c r="L517" s="13">
        <v>0</v>
      </c>
      <c r="M517" s="13">
        <v>1</v>
      </c>
      <c r="N517" s="13">
        <v>0</v>
      </c>
      <c r="O517" s="13">
        <v>0</v>
      </c>
      <c r="P517" s="13">
        <v>0</v>
      </c>
      <c r="Q517" s="13">
        <v>0</v>
      </c>
      <c r="R5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7" s="13"/>
      <c r="T517" s="17" t="s">
        <v>1621</v>
      </c>
    </row>
    <row r="518" spans="2:20" ht="17">
      <c r="B518" s="17" t="e">
        <f t="shared" si="10"/>
        <v>#REF!</v>
      </c>
      <c r="C518" s="13" t="s">
        <v>1466</v>
      </c>
      <c r="D518" s="13" t="s">
        <v>1467</v>
      </c>
      <c r="E518" s="13">
        <v>565600045</v>
      </c>
      <c r="F518" s="13" t="s">
        <v>164</v>
      </c>
      <c r="G518" s="13" t="s">
        <v>294</v>
      </c>
      <c r="H518" s="13" t="s">
        <v>108</v>
      </c>
      <c r="I518" s="13" t="s">
        <v>27</v>
      </c>
      <c r="J518" s="17" t="s">
        <v>27</v>
      </c>
      <c r="K518" s="13">
        <v>1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8" s="13"/>
      <c r="T518" s="17" t="s">
        <v>1621</v>
      </c>
    </row>
    <row r="519" spans="2:20" ht="17">
      <c r="B519" s="17" t="e">
        <f t="shared" si="10"/>
        <v>#REF!</v>
      </c>
      <c r="C519" s="13" t="s">
        <v>1468</v>
      </c>
      <c r="D519" s="13" t="s">
        <v>1320</v>
      </c>
      <c r="E519" s="13">
        <v>593113366</v>
      </c>
      <c r="F519" s="13" t="s">
        <v>164</v>
      </c>
      <c r="G519" s="13" t="s">
        <v>294</v>
      </c>
      <c r="H519" s="13" t="s">
        <v>77</v>
      </c>
      <c r="I519" s="13" t="s">
        <v>43</v>
      </c>
      <c r="J519" s="17" t="s">
        <v>105</v>
      </c>
      <c r="K519" s="13">
        <v>1</v>
      </c>
      <c r="L519" s="13">
        <v>1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9" s="13" t="s">
        <v>1599</v>
      </c>
      <c r="T519" s="17" t="s">
        <v>1621</v>
      </c>
    </row>
    <row r="520" spans="2:20" ht="17">
      <c r="B520" s="17" t="e">
        <f t="shared" si="10"/>
        <v>#REF!</v>
      </c>
      <c r="C520" s="13" t="s">
        <v>1469</v>
      </c>
      <c r="D520" s="13" t="s">
        <v>1470</v>
      </c>
      <c r="E520" s="13">
        <v>599751431</v>
      </c>
      <c r="F520" s="13" t="s">
        <v>164</v>
      </c>
      <c r="G520" s="13" t="s">
        <v>294</v>
      </c>
      <c r="H520" s="13" t="s">
        <v>74</v>
      </c>
      <c r="I520" s="13" t="s">
        <v>74</v>
      </c>
      <c r="J520" s="17" t="s">
        <v>74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1</v>
      </c>
      <c r="Q520" s="13">
        <v>0</v>
      </c>
      <c r="R5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0" s="13" t="s">
        <v>1599</v>
      </c>
      <c r="T520" s="17" t="s">
        <v>1621</v>
      </c>
    </row>
    <row r="521" spans="2:20" ht="17">
      <c r="B521" s="17" t="e">
        <f>#REF!+1</f>
        <v>#REF!</v>
      </c>
      <c r="C521" s="13" t="s">
        <v>1708</v>
      </c>
      <c r="D521" s="13" t="s">
        <v>1475</v>
      </c>
      <c r="E521" s="13">
        <v>509494619</v>
      </c>
      <c r="F521" s="13" t="s">
        <v>164</v>
      </c>
      <c r="G521" s="13" t="s">
        <v>294</v>
      </c>
      <c r="H521" s="13" t="s">
        <v>75</v>
      </c>
      <c r="I521" s="13" t="s">
        <v>85</v>
      </c>
      <c r="J521" s="17" t="s">
        <v>75</v>
      </c>
      <c r="K521" s="13">
        <v>0</v>
      </c>
      <c r="L521" s="13">
        <v>0</v>
      </c>
      <c r="M521" s="13">
        <v>0</v>
      </c>
      <c r="N521" s="13">
        <v>0</v>
      </c>
      <c r="O521" s="13">
        <v>1</v>
      </c>
      <c r="P521" s="13">
        <v>0</v>
      </c>
      <c r="Q521" s="13">
        <v>0</v>
      </c>
      <c r="R5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1" s="13" t="s">
        <v>1599</v>
      </c>
      <c r="T521" s="17" t="s">
        <v>1621</v>
      </c>
    </row>
    <row r="522" spans="2:20" ht="17">
      <c r="B522" s="17" t="e">
        <f t="shared" si="10"/>
        <v>#REF!</v>
      </c>
      <c r="C522" s="13" t="s">
        <v>1476</v>
      </c>
      <c r="D522" s="13" t="s">
        <v>1477</v>
      </c>
      <c r="E522" s="13">
        <v>565543847</v>
      </c>
      <c r="F522" s="13" t="s">
        <v>1478</v>
      </c>
      <c r="G522" s="13" t="s">
        <v>573</v>
      </c>
      <c r="H522" s="13" t="s">
        <v>37</v>
      </c>
      <c r="I522" s="13" t="s">
        <v>101</v>
      </c>
      <c r="J522" s="17" t="s">
        <v>37</v>
      </c>
      <c r="K522" s="13">
        <v>1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2" s="13"/>
      <c r="T522" s="17"/>
    </row>
    <row r="523" spans="2:20" ht="17">
      <c r="B523" s="17" t="e">
        <f t="shared" si="10"/>
        <v>#REF!</v>
      </c>
      <c r="C523" s="13" t="s">
        <v>1479</v>
      </c>
      <c r="D523" s="13" t="s">
        <v>1480</v>
      </c>
      <c r="E523" s="13">
        <v>505908348</v>
      </c>
      <c r="F523" s="13" t="s">
        <v>1481</v>
      </c>
      <c r="G523" s="13" t="s">
        <v>573</v>
      </c>
      <c r="H523" s="13" t="s">
        <v>77</v>
      </c>
      <c r="I523" s="13" t="s">
        <v>1028</v>
      </c>
      <c r="J523" s="17" t="s">
        <v>105</v>
      </c>
      <c r="K523" s="13">
        <v>1</v>
      </c>
      <c r="L523" s="13">
        <v>1</v>
      </c>
      <c r="M523" s="13">
        <v>1</v>
      </c>
      <c r="N523" s="13">
        <v>1</v>
      </c>
      <c r="O523" s="13">
        <v>1</v>
      </c>
      <c r="P523" s="13">
        <v>1</v>
      </c>
      <c r="Q523" s="13">
        <v>1</v>
      </c>
      <c r="R5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3" s="13"/>
      <c r="T523" s="17"/>
    </row>
    <row r="524" spans="2:20" ht="17">
      <c r="B524" s="17" t="e">
        <f t="shared" si="10"/>
        <v>#REF!</v>
      </c>
      <c r="C524" s="13" t="s">
        <v>1483</v>
      </c>
      <c r="D524" s="13" t="s">
        <v>1484</v>
      </c>
      <c r="E524" s="13">
        <v>53288872</v>
      </c>
      <c r="F524" s="13" t="s">
        <v>1485</v>
      </c>
      <c r="G524" s="13" t="s">
        <v>143</v>
      </c>
      <c r="H524" s="13" t="s">
        <v>108</v>
      </c>
      <c r="I524" s="13" t="s">
        <v>27</v>
      </c>
      <c r="J524" s="17" t="s">
        <v>27</v>
      </c>
      <c r="K524" s="13">
        <v>1</v>
      </c>
      <c r="L524" s="13">
        <v>1</v>
      </c>
      <c r="M524" s="13">
        <v>2</v>
      </c>
      <c r="N524" s="13">
        <v>1</v>
      </c>
      <c r="O524" s="13">
        <v>1</v>
      </c>
      <c r="P524" s="13">
        <v>1</v>
      </c>
      <c r="Q524" s="13">
        <v>0</v>
      </c>
      <c r="R5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4" s="13"/>
      <c r="T524" s="17"/>
    </row>
    <row r="525" spans="2:20" ht="17">
      <c r="B525" s="17" t="e">
        <f t="shared" si="10"/>
        <v>#REF!</v>
      </c>
      <c r="C525" s="19" t="s">
        <v>1486</v>
      </c>
      <c r="D525" s="19" t="s">
        <v>1487</v>
      </c>
      <c r="E525" s="19">
        <v>590552023</v>
      </c>
      <c r="F525" s="19" t="s">
        <v>164</v>
      </c>
      <c r="G525" s="19" t="s">
        <v>573</v>
      </c>
      <c r="H525" s="19" t="s">
        <v>77</v>
      </c>
      <c r="I525" s="19" t="s">
        <v>98</v>
      </c>
      <c r="J525" s="20" t="s">
        <v>79</v>
      </c>
      <c r="K525" s="19">
        <v>0</v>
      </c>
      <c r="L525" s="19">
        <v>0</v>
      </c>
      <c r="M525" s="19">
        <v>0</v>
      </c>
      <c r="N525" s="19">
        <v>1</v>
      </c>
      <c r="O525" s="19">
        <v>1</v>
      </c>
      <c r="P525" s="19">
        <v>0</v>
      </c>
      <c r="Q525" s="19">
        <v>0</v>
      </c>
      <c r="R5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5" s="13"/>
      <c r="T525" s="17"/>
    </row>
    <row r="526" spans="2:20" ht="17">
      <c r="B526" s="17" t="e">
        <f t="shared" si="10"/>
        <v>#REF!</v>
      </c>
      <c r="C526" s="13" t="s">
        <v>1519</v>
      </c>
      <c r="D526" s="13" t="s">
        <v>1520</v>
      </c>
      <c r="E526" s="13">
        <v>583815162</v>
      </c>
      <c r="F526" s="13" t="s">
        <v>164</v>
      </c>
      <c r="G526" s="13" t="s">
        <v>573</v>
      </c>
      <c r="H526" s="13" t="s">
        <v>21</v>
      </c>
      <c r="I526" s="13" t="s">
        <v>21</v>
      </c>
      <c r="J526" s="17" t="s">
        <v>21</v>
      </c>
      <c r="K526" s="13">
        <v>0</v>
      </c>
      <c r="L526" s="13">
        <v>0</v>
      </c>
      <c r="M526" s="13">
        <v>0</v>
      </c>
      <c r="N526" s="13">
        <v>1</v>
      </c>
      <c r="O526" s="13">
        <v>1</v>
      </c>
      <c r="P526" s="13">
        <v>1</v>
      </c>
      <c r="Q526" s="13">
        <v>0</v>
      </c>
      <c r="R5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6" s="13"/>
      <c r="T526" s="17"/>
    </row>
    <row r="527" spans="2:20" ht="17">
      <c r="B527" s="17" t="e">
        <f t="shared" si="10"/>
        <v>#REF!</v>
      </c>
      <c r="C527" s="13" t="s">
        <v>1521</v>
      </c>
      <c r="D527" s="13" t="s">
        <v>1522</v>
      </c>
      <c r="E527" s="13">
        <v>548559478</v>
      </c>
      <c r="F527" s="13" t="s">
        <v>164</v>
      </c>
      <c r="G527" s="13" t="s">
        <v>573</v>
      </c>
      <c r="H527" s="13" t="s">
        <v>35</v>
      </c>
      <c r="I527" s="13" t="s">
        <v>35</v>
      </c>
      <c r="J527" s="17" t="s">
        <v>35</v>
      </c>
      <c r="K527" s="13">
        <v>0</v>
      </c>
      <c r="L527" s="13">
        <v>1</v>
      </c>
      <c r="M527" s="13">
        <v>1</v>
      </c>
      <c r="N527" s="13">
        <v>2</v>
      </c>
      <c r="O527" s="13">
        <v>1</v>
      </c>
      <c r="P527" s="13">
        <v>1</v>
      </c>
      <c r="Q527" s="13">
        <v>0</v>
      </c>
      <c r="R5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7" s="13"/>
      <c r="T527" s="17"/>
    </row>
    <row r="528" spans="2:20" ht="17">
      <c r="B528" s="17" t="e">
        <f t="shared" ref="B528:B560" si="11">B527+1</f>
        <v>#REF!</v>
      </c>
      <c r="C528" s="13" t="s">
        <v>1523</v>
      </c>
      <c r="D528" s="13" t="s">
        <v>1524</v>
      </c>
      <c r="E528" s="13">
        <v>570754589</v>
      </c>
      <c r="F528" s="13" t="s">
        <v>1525</v>
      </c>
      <c r="G528" s="13" t="s">
        <v>573</v>
      </c>
      <c r="H528" s="13" t="s">
        <v>77</v>
      </c>
      <c r="I528" s="13" t="s">
        <v>73</v>
      </c>
      <c r="J528" s="17" t="s">
        <v>73</v>
      </c>
      <c r="K528" s="13">
        <v>0</v>
      </c>
      <c r="L528" s="13">
        <v>1</v>
      </c>
      <c r="M528" s="13">
        <v>1</v>
      </c>
      <c r="N528" s="13">
        <v>1</v>
      </c>
      <c r="O528" s="13">
        <v>0</v>
      </c>
      <c r="P528" s="13">
        <v>0</v>
      </c>
      <c r="Q528" s="13">
        <v>0</v>
      </c>
      <c r="R5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8" s="13"/>
      <c r="T528" s="17"/>
    </row>
    <row r="529" spans="2:20" ht="17">
      <c r="B529" s="17" t="e">
        <f t="shared" si="11"/>
        <v>#REF!</v>
      </c>
      <c r="C529" s="13" t="s">
        <v>1526</v>
      </c>
      <c r="D529" s="13" t="s">
        <v>1527</v>
      </c>
      <c r="E529" s="13">
        <v>540225494</v>
      </c>
      <c r="F529" s="13" t="s">
        <v>1526</v>
      </c>
      <c r="G529" s="13" t="s">
        <v>573</v>
      </c>
      <c r="H529" s="13" t="s">
        <v>108</v>
      </c>
      <c r="I529" s="13" t="s">
        <v>27</v>
      </c>
      <c r="J529" s="17" t="s">
        <v>27</v>
      </c>
      <c r="K529" s="13">
        <v>1</v>
      </c>
      <c r="L529" s="13">
        <v>1</v>
      </c>
      <c r="M529" s="13">
        <v>1</v>
      </c>
      <c r="N529" s="13">
        <v>2</v>
      </c>
      <c r="O529" s="13">
        <v>1</v>
      </c>
      <c r="P529" s="13">
        <v>2</v>
      </c>
      <c r="Q529" s="13">
        <v>1</v>
      </c>
      <c r="R5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9" s="13"/>
      <c r="T529" s="17"/>
    </row>
    <row r="530" spans="2:20" ht="17">
      <c r="B530" s="17" t="e">
        <f t="shared" si="11"/>
        <v>#REF!</v>
      </c>
      <c r="C530" s="13" t="s">
        <v>1528</v>
      </c>
      <c r="D530" s="13" t="s">
        <v>1529</v>
      </c>
      <c r="E530" s="13">
        <v>571105755</v>
      </c>
      <c r="F530" s="13" t="s">
        <v>104</v>
      </c>
      <c r="G530" s="13" t="s">
        <v>573</v>
      </c>
      <c r="H530" s="13" t="s">
        <v>37</v>
      </c>
      <c r="I530" s="13" t="s">
        <v>104</v>
      </c>
      <c r="J530" s="17" t="s">
        <v>37</v>
      </c>
      <c r="K530" s="13">
        <v>1</v>
      </c>
      <c r="L530" s="13">
        <v>1</v>
      </c>
      <c r="M530" s="13">
        <v>1</v>
      </c>
      <c r="N530" s="13">
        <v>2</v>
      </c>
      <c r="O530" s="13">
        <v>2</v>
      </c>
      <c r="P530" s="13">
        <v>2</v>
      </c>
      <c r="Q530" s="13">
        <v>1</v>
      </c>
      <c r="R5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0" s="13"/>
      <c r="T530" s="17"/>
    </row>
    <row r="531" spans="2:20" ht="17">
      <c r="B531" s="17" t="e">
        <f t="shared" si="11"/>
        <v>#REF!</v>
      </c>
      <c r="C531" s="13" t="s">
        <v>1530</v>
      </c>
      <c r="D531" s="13" t="s">
        <v>1531</v>
      </c>
      <c r="E531" s="13">
        <v>569590541</v>
      </c>
      <c r="F531" s="13" t="s">
        <v>1532</v>
      </c>
      <c r="G531" s="13" t="s">
        <v>573</v>
      </c>
      <c r="H531" s="13" t="s">
        <v>77</v>
      </c>
      <c r="I531" s="13" t="s">
        <v>91</v>
      </c>
      <c r="J531" s="17" t="s">
        <v>77</v>
      </c>
      <c r="K531" s="13">
        <v>0</v>
      </c>
      <c r="L531" s="13">
        <v>0</v>
      </c>
      <c r="M531" s="13">
        <v>1</v>
      </c>
      <c r="N531" s="13">
        <v>1</v>
      </c>
      <c r="O531" s="13">
        <v>2</v>
      </c>
      <c r="P531" s="13">
        <v>2</v>
      </c>
      <c r="Q531" s="13">
        <v>2</v>
      </c>
      <c r="R5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1" s="13"/>
      <c r="T531" s="17"/>
    </row>
    <row r="532" spans="2:20" ht="17">
      <c r="B532" s="17" t="e">
        <f t="shared" si="11"/>
        <v>#REF!</v>
      </c>
      <c r="C532" s="13" t="s">
        <v>1533</v>
      </c>
      <c r="D532" s="13" t="s">
        <v>1534</v>
      </c>
      <c r="E532" s="13">
        <v>503648889</v>
      </c>
      <c r="F532" s="13" t="s">
        <v>96</v>
      </c>
      <c r="G532" s="13" t="s">
        <v>143</v>
      </c>
      <c r="H532" s="13" t="s">
        <v>78</v>
      </c>
      <c r="I532" s="13" t="s">
        <v>96</v>
      </c>
      <c r="J532" s="17" t="s">
        <v>45</v>
      </c>
      <c r="K532" s="13">
        <v>1</v>
      </c>
      <c r="L532" s="13">
        <v>1</v>
      </c>
      <c r="M532" s="13">
        <v>1</v>
      </c>
      <c r="N532" s="13">
        <v>1</v>
      </c>
      <c r="O532" s="13">
        <v>1</v>
      </c>
      <c r="P532" s="13">
        <v>0</v>
      </c>
      <c r="Q532" s="13">
        <v>0</v>
      </c>
      <c r="R5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2" s="13"/>
      <c r="T532" s="17"/>
    </row>
    <row r="533" spans="2:20" ht="17">
      <c r="B533" s="17" t="e">
        <f t="shared" si="11"/>
        <v>#REF!</v>
      </c>
      <c r="C533" s="19" t="s">
        <v>1535</v>
      </c>
      <c r="D533" s="19" t="s">
        <v>1536</v>
      </c>
      <c r="E533" s="19">
        <v>538369326</v>
      </c>
      <c r="F533" s="19" t="s">
        <v>1537</v>
      </c>
      <c r="G533" s="19" t="s">
        <v>573</v>
      </c>
      <c r="H533" s="19" t="s">
        <v>77</v>
      </c>
      <c r="I533" s="19" t="s">
        <v>73</v>
      </c>
      <c r="J533" s="20" t="s">
        <v>73</v>
      </c>
      <c r="K533" s="19">
        <v>0</v>
      </c>
      <c r="L533" s="19">
        <v>0</v>
      </c>
      <c r="M533" s="19">
        <v>0</v>
      </c>
      <c r="N533" s="19">
        <v>1</v>
      </c>
      <c r="O533" s="19">
        <v>1</v>
      </c>
      <c r="P533" s="19">
        <v>1</v>
      </c>
      <c r="Q533" s="19">
        <v>1</v>
      </c>
      <c r="R5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3" s="13"/>
      <c r="T533" s="17"/>
    </row>
    <row r="534" spans="2:20" ht="17">
      <c r="B534" s="17" t="e">
        <f t="shared" si="11"/>
        <v>#REF!</v>
      </c>
      <c r="C534" s="13" t="s">
        <v>48</v>
      </c>
      <c r="D534" s="13" t="s">
        <v>1436</v>
      </c>
      <c r="E534" s="13">
        <v>569631916</v>
      </c>
      <c r="F534" s="13" t="s">
        <v>164</v>
      </c>
      <c r="G534" s="13" t="s">
        <v>143</v>
      </c>
      <c r="H534" s="13" t="s">
        <v>108</v>
      </c>
      <c r="I534" s="13" t="s">
        <v>108</v>
      </c>
      <c r="J534" s="17" t="s">
        <v>108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1</v>
      </c>
      <c r="Q534" s="13">
        <v>1</v>
      </c>
      <c r="R5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4" s="13"/>
      <c r="T534" s="17"/>
    </row>
    <row r="535" spans="2:20" ht="17">
      <c r="B535" s="17" t="e">
        <f t="shared" si="11"/>
        <v>#REF!</v>
      </c>
      <c r="C535" s="13" t="s">
        <v>1538</v>
      </c>
      <c r="D535" s="13" t="s">
        <v>1539</v>
      </c>
      <c r="E535" s="13">
        <v>550931464</v>
      </c>
      <c r="F535" s="13" t="s">
        <v>337</v>
      </c>
      <c r="G535" s="13" t="s">
        <v>573</v>
      </c>
      <c r="H535" s="13" t="s">
        <v>68</v>
      </c>
      <c r="I535" s="13" t="s">
        <v>68</v>
      </c>
      <c r="J535" s="17" t="s">
        <v>68</v>
      </c>
      <c r="K535" s="13">
        <v>0</v>
      </c>
      <c r="L535" s="13">
        <v>1</v>
      </c>
      <c r="M535" s="13">
        <v>1</v>
      </c>
      <c r="N535" s="13">
        <v>0</v>
      </c>
      <c r="O535" s="13">
        <v>0</v>
      </c>
      <c r="P535" s="13">
        <v>0</v>
      </c>
      <c r="Q535" s="13">
        <v>0</v>
      </c>
      <c r="R5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5" s="13"/>
      <c r="T535" s="17"/>
    </row>
    <row r="536" spans="2:20" ht="17">
      <c r="B536" s="17" t="e">
        <f t="shared" si="11"/>
        <v>#REF!</v>
      </c>
      <c r="C536" s="13" t="s">
        <v>1540</v>
      </c>
      <c r="D536" s="13" t="s">
        <v>1539</v>
      </c>
      <c r="E536" s="13">
        <v>550931464</v>
      </c>
      <c r="F536" s="13" t="s">
        <v>337</v>
      </c>
      <c r="G536" s="13" t="s">
        <v>573</v>
      </c>
      <c r="H536" s="13" t="s">
        <v>68</v>
      </c>
      <c r="I536" s="13" t="s">
        <v>68</v>
      </c>
      <c r="J536" s="17" t="s">
        <v>68</v>
      </c>
      <c r="K536" s="13">
        <v>0</v>
      </c>
      <c r="L536" s="13">
        <v>1</v>
      </c>
      <c r="M536" s="13">
        <v>1</v>
      </c>
      <c r="N536" s="13">
        <v>0</v>
      </c>
      <c r="O536" s="13">
        <v>0</v>
      </c>
      <c r="P536" s="13">
        <v>0</v>
      </c>
      <c r="Q536" s="13">
        <v>0</v>
      </c>
      <c r="R5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6" s="13"/>
      <c r="T536" s="17"/>
    </row>
    <row r="537" spans="2:20" ht="17">
      <c r="B537" s="17" t="e">
        <f t="shared" si="11"/>
        <v>#REF!</v>
      </c>
      <c r="C537" s="19" t="s">
        <v>1541</v>
      </c>
      <c r="D537" s="19" t="s">
        <v>1542</v>
      </c>
      <c r="E537" s="19">
        <v>503655134</v>
      </c>
      <c r="F537" s="19" t="s">
        <v>337</v>
      </c>
      <c r="G537" s="19" t="s">
        <v>573</v>
      </c>
      <c r="H537" s="19" t="s">
        <v>68</v>
      </c>
      <c r="I537" s="19" t="s">
        <v>68</v>
      </c>
      <c r="J537" s="20" t="s">
        <v>68</v>
      </c>
      <c r="K537" s="19">
        <v>0</v>
      </c>
      <c r="L537" s="19">
        <v>1</v>
      </c>
      <c r="M537" s="19">
        <v>1</v>
      </c>
      <c r="N537" s="19">
        <v>0</v>
      </c>
      <c r="O537" s="19">
        <v>0</v>
      </c>
      <c r="P537" s="19">
        <v>0</v>
      </c>
      <c r="Q537" s="19">
        <v>0</v>
      </c>
      <c r="R5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7" s="13"/>
      <c r="T537" s="17"/>
    </row>
    <row r="538" spans="2:20" ht="17">
      <c r="B538" s="17" t="e">
        <f t="shared" si="11"/>
        <v>#REF!</v>
      </c>
      <c r="C538" s="19" t="s">
        <v>285</v>
      </c>
      <c r="D538" s="19" t="s">
        <v>286</v>
      </c>
      <c r="E538" s="19">
        <v>531246862</v>
      </c>
      <c r="F538" s="19" t="s">
        <v>287</v>
      </c>
      <c r="G538" s="19" t="s">
        <v>573</v>
      </c>
      <c r="H538" s="19" t="s">
        <v>78</v>
      </c>
      <c r="I538" s="19" t="s">
        <v>93</v>
      </c>
      <c r="J538" s="20" t="s">
        <v>78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9">
        <v>1</v>
      </c>
      <c r="Q538" s="19">
        <v>0</v>
      </c>
      <c r="R5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8" s="13"/>
      <c r="T538" s="17"/>
    </row>
    <row r="539" spans="2:20" ht="17">
      <c r="B539" s="17" t="e">
        <f t="shared" si="11"/>
        <v>#REF!</v>
      </c>
      <c r="C539" s="19" t="s">
        <v>1364</v>
      </c>
      <c r="D539" s="19" t="s">
        <v>1562</v>
      </c>
      <c r="E539" s="19">
        <v>546008890</v>
      </c>
      <c r="F539" s="19" t="s">
        <v>164</v>
      </c>
      <c r="G539" s="19" t="s">
        <v>294</v>
      </c>
      <c r="H539" s="19" t="s">
        <v>108</v>
      </c>
      <c r="I539" s="19" t="s">
        <v>27</v>
      </c>
      <c r="J539" s="20" t="s">
        <v>27</v>
      </c>
      <c r="K539" s="19">
        <v>0</v>
      </c>
      <c r="L539" s="19">
        <v>0</v>
      </c>
      <c r="M539" s="19">
        <v>0</v>
      </c>
      <c r="N539" s="19">
        <v>1</v>
      </c>
      <c r="O539" s="19">
        <v>1</v>
      </c>
      <c r="P539" s="19">
        <v>1</v>
      </c>
      <c r="Q539" s="19">
        <v>1</v>
      </c>
      <c r="R5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9" s="19" t="s">
        <v>1599</v>
      </c>
      <c r="T539" s="17" t="s">
        <v>1621</v>
      </c>
    </row>
    <row r="540" spans="2:20" ht="17">
      <c r="B540" s="17" t="e">
        <f t="shared" si="11"/>
        <v>#REF!</v>
      </c>
      <c r="C540" s="13" t="s">
        <v>1564</v>
      </c>
      <c r="D540" s="13" t="s">
        <v>1565</v>
      </c>
      <c r="E540" s="13">
        <v>567864155</v>
      </c>
      <c r="F540" s="13" t="s">
        <v>1566</v>
      </c>
      <c r="G540" s="13" t="s">
        <v>143</v>
      </c>
      <c r="H540" s="13" t="s">
        <v>77</v>
      </c>
      <c r="I540" s="13" t="s">
        <v>73</v>
      </c>
      <c r="J540" s="17" t="s">
        <v>73</v>
      </c>
      <c r="K540" s="13">
        <v>1</v>
      </c>
      <c r="L540" s="13">
        <v>1</v>
      </c>
      <c r="M540" s="13">
        <v>1</v>
      </c>
      <c r="N540" s="13">
        <v>1</v>
      </c>
      <c r="O540" s="13">
        <v>1</v>
      </c>
      <c r="P540" s="13">
        <v>0</v>
      </c>
      <c r="Q540" s="13">
        <v>0</v>
      </c>
      <c r="R5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0" s="13"/>
      <c r="T540" s="17"/>
    </row>
    <row r="541" spans="2:20" ht="17">
      <c r="B541" s="17" t="e">
        <f t="shared" si="11"/>
        <v>#REF!</v>
      </c>
      <c r="C541" s="13" t="s">
        <v>1567</v>
      </c>
      <c r="D541" s="13" t="s">
        <v>1568</v>
      </c>
      <c r="E541" s="13">
        <v>543353363</v>
      </c>
      <c r="F541" s="13" t="s">
        <v>164</v>
      </c>
      <c r="G541" s="13" t="s">
        <v>294</v>
      </c>
      <c r="H541" s="13" t="s">
        <v>35</v>
      </c>
      <c r="I541" s="13" t="s">
        <v>76</v>
      </c>
      <c r="J541" s="17" t="s">
        <v>76</v>
      </c>
      <c r="K541" s="13">
        <v>1</v>
      </c>
      <c r="L541" s="13">
        <v>1</v>
      </c>
      <c r="M541" s="13">
        <v>1</v>
      </c>
      <c r="N541" s="13">
        <v>1</v>
      </c>
      <c r="O541" s="13">
        <v>0</v>
      </c>
      <c r="P541" s="13">
        <v>0</v>
      </c>
      <c r="Q541" s="13">
        <v>0</v>
      </c>
      <c r="R5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1" s="13"/>
      <c r="T541" s="17" t="s">
        <v>1621</v>
      </c>
    </row>
    <row r="542" spans="2:20" ht="17">
      <c r="B542" s="17" t="e">
        <f t="shared" si="11"/>
        <v>#REF!</v>
      </c>
      <c r="C542" s="13" t="s">
        <v>1569</v>
      </c>
      <c r="D542" s="13" t="s">
        <v>1570</v>
      </c>
      <c r="E542" s="13">
        <v>556164446</v>
      </c>
      <c r="F542" s="13" t="s">
        <v>164</v>
      </c>
      <c r="G542" s="13" t="s">
        <v>294</v>
      </c>
      <c r="H542" s="13" t="s">
        <v>78</v>
      </c>
      <c r="I542" s="13" t="s">
        <v>93</v>
      </c>
      <c r="J542" s="17" t="s">
        <v>78</v>
      </c>
      <c r="K542" s="13">
        <v>1</v>
      </c>
      <c r="L542" s="13">
        <v>1</v>
      </c>
      <c r="M542" s="13">
        <v>0</v>
      </c>
      <c r="N542" s="13">
        <v>1</v>
      </c>
      <c r="O542" s="13">
        <v>0</v>
      </c>
      <c r="P542" s="13">
        <v>0</v>
      </c>
      <c r="Q542" s="13">
        <v>0</v>
      </c>
      <c r="R5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2" s="13"/>
      <c r="T542" s="17" t="s">
        <v>1621</v>
      </c>
    </row>
    <row r="543" spans="2:20" ht="17">
      <c r="B543" s="17" t="e">
        <f t="shared" si="11"/>
        <v>#REF!</v>
      </c>
      <c r="C543" s="19" t="s">
        <v>1571</v>
      </c>
      <c r="D543" s="19" t="s">
        <v>1572</v>
      </c>
      <c r="E543" s="19">
        <v>581397864</v>
      </c>
      <c r="F543" s="19" t="s">
        <v>164</v>
      </c>
      <c r="G543" s="19" t="s">
        <v>294</v>
      </c>
      <c r="H543" s="19" t="s">
        <v>108</v>
      </c>
      <c r="I543" s="19" t="s">
        <v>27</v>
      </c>
      <c r="J543" s="20" t="s">
        <v>27</v>
      </c>
      <c r="K543" s="19">
        <v>0</v>
      </c>
      <c r="L543" s="19">
        <v>0</v>
      </c>
      <c r="M543" s="19">
        <v>1</v>
      </c>
      <c r="N543" s="19">
        <v>0</v>
      </c>
      <c r="O543" s="19">
        <v>0</v>
      </c>
      <c r="P543" s="19">
        <v>0</v>
      </c>
      <c r="Q543" s="19">
        <v>0</v>
      </c>
      <c r="R5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3" s="19"/>
      <c r="T543" s="17" t="s">
        <v>1621</v>
      </c>
    </row>
    <row r="544" spans="2:20" ht="17">
      <c r="B544" s="17" t="e">
        <f t="shared" si="11"/>
        <v>#REF!</v>
      </c>
      <c r="C544" s="13" t="s">
        <v>1580</v>
      </c>
      <c r="D544" s="13" t="s">
        <v>1575</v>
      </c>
      <c r="E544" s="13">
        <v>544108885</v>
      </c>
      <c r="F544" s="13" t="s">
        <v>1576</v>
      </c>
      <c r="G544" s="13" t="s">
        <v>573</v>
      </c>
      <c r="H544" s="13" t="s">
        <v>77</v>
      </c>
      <c r="I544" s="13" t="s">
        <v>91</v>
      </c>
      <c r="J544" s="17" t="s">
        <v>77</v>
      </c>
      <c r="K544" s="13">
        <v>0</v>
      </c>
      <c r="L544" s="13">
        <v>0</v>
      </c>
      <c r="M544" s="13">
        <v>1</v>
      </c>
      <c r="N544" s="13">
        <v>0</v>
      </c>
      <c r="O544" s="13">
        <v>1</v>
      </c>
      <c r="P544" s="13">
        <v>0</v>
      </c>
      <c r="Q544" s="13">
        <v>0</v>
      </c>
      <c r="R5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4" s="13"/>
      <c r="T544" s="17"/>
    </row>
    <row r="545" spans="2:20" ht="17">
      <c r="B545" s="17" t="e">
        <f t="shared" si="11"/>
        <v>#REF!</v>
      </c>
      <c r="C545" s="19" t="s">
        <v>1577</v>
      </c>
      <c r="D545" s="19" t="s">
        <v>1578</v>
      </c>
      <c r="E545" s="19">
        <v>58000226</v>
      </c>
      <c r="F545" s="19" t="s">
        <v>1579</v>
      </c>
      <c r="G545" s="19" t="s">
        <v>143</v>
      </c>
      <c r="H545" s="19" t="s">
        <v>108</v>
      </c>
      <c r="I545" s="19" t="s">
        <v>27</v>
      </c>
      <c r="J545" s="20" t="s">
        <v>27</v>
      </c>
      <c r="K545" s="19">
        <v>1</v>
      </c>
      <c r="L545" s="19">
        <v>1</v>
      </c>
      <c r="M545" s="19">
        <v>2</v>
      </c>
      <c r="N545" s="19">
        <v>2</v>
      </c>
      <c r="O545" s="19">
        <v>2</v>
      </c>
      <c r="P545" s="19">
        <v>2</v>
      </c>
      <c r="Q545" s="19">
        <v>1</v>
      </c>
      <c r="R5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5" s="19"/>
      <c r="T545" s="17"/>
    </row>
    <row r="546" spans="2:20" ht="17">
      <c r="B546" s="17" t="e">
        <f t="shared" si="11"/>
        <v>#REF!</v>
      </c>
      <c r="C546" s="13" t="s">
        <v>1581</v>
      </c>
      <c r="D546" s="13" t="s">
        <v>1582</v>
      </c>
      <c r="E546" s="13">
        <v>598072282</v>
      </c>
      <c r="F546" s="13" t="s">
        <v>1583</v>
      </c>
      <c r="G546" s="13" t="s">
        <v>573</v>
      </c>
      <c r="H546" s="13" t="s">
        <v>108</v>
      </c>
      <c r="I546" s="13" t="s">
        <v>27</v>
      </c>
      <c r="J546" s="17" t="s">
        <v>27</v>
      </c>
      <c r="K546" s="13">
        <v>0</v>
      </c>
      <c r="L546" s="13">
        <v>0</v>
      </c>
      <c r="M546" s="13">
        <v>2</v>
      </c>
      <c r="N546" s="13">
        <v>2</v>
      </c>
      <c r="O546" s="13">
        <v>2</v>
      </c>
      <c r="P546" s="13">
        <v>1</v>
      </c>
      <c r="Q546" s="13">
        <v>0</v>
      </c>
      <c r="R5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6" s="13"/>
      <c r="T546" s="17"/>
    </row>
    <row r="547" spans="2:20" ht="17">
      <c r="B547" s="17" t="e">
        <f t="shared" si="11"/>
        <v>#REF!</v>
      </c>
      <c r="C547" s="13" t="s">
        <v>1584</v>
      </c>
      <c r="D547" s="13" t="s">
        <v>1585</v>
      </c>
      <c r="E547" s="13">
        <v>562726442</v>
      </c>
      <c r="F547" s="13" t="s">
        <v>164</v>
      </c>
      <c r="G547" s="13" t="s">
        <v>294</v>
      </c>
      <c r="H547" s="13" t="s">
        <v>108</v>
      </c>
      <c r="I547" s="13" t="s">
        <v>27</v>
      </c>
      <c r="J547" s="17" t="s">
        <v>27</v>
      </c>
      <c r="K547" s="13">
        <v>0</v>
      </c>
      <c r="L547" s="13">
        <v>0</v>
      </c>
      <c r="M547" s="13">
        <v>1</v>
      </c>
      <c r="N547" s="13">
        <v>0</v>
      </c>
      <c r="O547" s="13">
        <v>0</v>
      </c>
      <c r="P547" s="13">
        <v>0</v>
      </c>
      <c r="Q547" s="13">
        <v>0</v>
      </c>
      <c r="R5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7" s="13"/>
      <c r="T547" s="17" t="s">
        <v>1621</v>
      </c>
    </row>
    <row r="548" spans="2:20" ht="17">
      <c r="B548" s="17" t="e">
        <f t="shared" si="11"/>
        <v>#REF!</v>
      </c>
      <c r="C548" s="13" t="s">
        <v>1586</v>
      </c>
      <c r="D548" s="13" t="s">
        <v>1587</v>
      </c>
      <c r="E548" s="13">
        <v>558444547</v>
      </c>
      <c r="F548" s="13" t="s">
        <v>164</v>
      </c>
      <c r="G548" s="13" t="s">
        <v>294</v>
      </c>
      <c r="H548" s="13" t="s">
        <v>77</v>
      </c>
      <c r="I548" s="13" t="s">
        <v>73</v>
      </c>
      <c r="J548" s="17" t="s">
        <v>73</v>
      </c>
      <c r="K548" s="13">
        <v>1</v>
      </c>
      <c r="L548" s="13">
        <v>1</v>
      </c>
      <c r="M548" s="13">
        <v>1</v>
      </c>
      <c r="N548" s="13">
        <v>1</v>
      </c>
      <c r="O548" s="13">
        <v>1</v>
      </c>
      <c r="P548" s="13">
        <v>1</v>
      </c>
      <c r="Q548" s="13">
        <v>1</v>
      </c>
      <c r="R5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8" s="13"/>
      <c r="T548" s="17" t="s">
        <v>1621</v>
      </c>
    </row>
    <row r="549" spans="2:20" ht="17">
      <c r="B549" s="17" t="e">
        <f t="shared" si="11"/>
        <v>#REF!</v>
      </c>
      <c r="C549" s="13" t="s">
        <v>1588</v>
      </c>
      <c r="D549" s="13" t="s">
        <v>1589</v>
      </c>
      <c r="E549" s="13">
        <v>539471161</v>
      </c>
      <c r="F549" s="13" t="s">
        <v>164</v>
      </c>
      <c r="G549" s="13" t="s">
        <v>294</v>
      </c>
      <c r="H549" s="13" t="s">
        <v>37</v>
      </c>
      <c r="I549" s="13" t="s">
        <v>102</v>
      </c>
      <c r="J549" s="17" t="s">
        <v>37</v>
      </c>
      <c r="K549" s="13">
        <v>1</v>
      </c>
      <c r="L549" s="13">
        <v>1</v>
      </c>
      <c r="M549" s="13">
        <v>1</v>
      </c>
      <c r="N549" s="13">
        <v>1</v>
      </c>
      <c r="O549" s="13">
        <v>1</v>
      </c>
      <c r="P549" s="13">
        <v>1</v>
      </c>
      <c r="Q549" s="13">
        <v>1</v>
      </c>
      <c r="R5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9" s="13"/>
      <c r="T549" s="17" t="s">
        <v>1621</v>
      </c>
    </row>
    <row r="550" spans="2:20" ht="17">
      <c r="B550" s="17" t="e">
        <f t="shared" si="11"/>
        <v>#REF!</v>
      </c>
      <c r="C550" s="19" t="s">
        <v>1590</v>
      </c>
      <c r="D550" s="19" t="s">
        <v>1591</v>
      </c>
      <c r="E550" s="19">
        <v>554896564</v>
      </c>
      <c r="F550" s="19" t="s">
        <v>164</v>
      </c>
      <c r="G550" s="19" t="s">
        <v>294</v>
      </c>
      <c r="H550" s="19" t="s">
        <v>108</v>
      </c>
      <c r="I550" s="19" t="s">
        <v>27</v>
      </c>
      <c r="J550" s="20" t="s">
        <v>27</v>
      </c>
      <c r="K550" s="19">
        <v>0</v>
      </c>
      <c r="L550" s="19">
        <v>1</v>
      </c>
      <c r="M550" s="19">
        <v>1</v>
      </c>
      <c r="N550" s="19">
        <v>0</v>
      </c>
      <c r="O550" s="19">
        <v>0</v>
      </c>
      <c r="P550" s="19">
        <v>0</v>
      </c>
      <c r="Q550" s="19">
        <v>0</v>
      </c>
      <c r="R5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0" s="19"/>
      <c r="T550" s="17" t="s">
        <v>1621</v>
      </c>
    </row>
    <row r="551" spans="2:20" ht="17">
      <c r="B551" s="17" t="e">
        <f t="shared" si="11"/>
        <v>#REF!</v>
      </c>
      <c r="C551" s="19" t="s">
        <v>1592</v>
      </c>
      <c r="D551" s="19" t="s">
        <v>1593</v>
      </c>
      <c r="E551" s="19">
        <v>556059588</v>
      </c>
      <c r="F551" s="19" t="s">
        <v>1592</v>
      </c>
      <c r="G551" s="19" t="s">
        <v>143</v>
      </c>
      <c r="H551" s="19" t="s">
        <v>81</v>
      </c>
      <c r="I551" s="19" t="s">
        <v>72</v>
      </c>
      <c r="J551" s="20" t="s">
        <v>81</v>
      </c>
      <c r="K551" s="19">
        <v>1</v>
      </c>
      <c r="L551" s="19">
        <v>1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1" s="19"/>
      <c r="T551" s="17"/>
    </row>
    <row r="552" spans="2:20" ht="17">
      <c r="B552" s="17" t="e">
        <f t="shared" si="11"/>
        <v>#REF!</v>
      </c>
      <c r="C552" s="13" t="s">
        <v>1607</v>
      </c>
      <c r="D552" s="13" t="s">
        <v>1608</v>
      </c>
      <c r="E552" s="13">
        <v>547972702</v>
      </c>
      <c r="F552" s="13" t="s">
        <v>164</v>
      </c>
      <c r="G552" s="13" t="s">
        <v>294</v>
      </c>
      <c r="H552" s="13" t="s">
        <v>78</v>
      </c>
      <c r="I552" s="13" t="s">
        <v>93</v>
      </c>
      <c r="J552" s="17" t="s">
        <v>78</v>
      </c>
      <c r="K552" s="13">
        <v>1</v>
      </c>
      <c r="L552" s="13">
        <v>1</v>
      </c>
      <c r="M552" s="13">
        <v>2</v>
      </c>
      <c r="N552" s="13">
        <v>2</v>
      </c>
      <c r="O552" s="13">
        <v>2</v>
      </c>
      <c r="P552" s="13">
        <v>2</v>
      </c>
      <c r="Q552" s="13">
        <v>0</v>
      </c>
      <c r="R5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2" s="19"/>
      <c r="T552" s="17" t="s">
        <v>1621</v>
      </c>
    </row>
    <row r="553" spans="2:20" ht="17">
      <c r="B553" s="17" t="e">
        <f t="shared" si="11"/>
        <v>#REF!</v>
      </c>
      <c r="C553" s="19" t="s">
        <v>1406</v>
      </c>
      <c r="D553" s="19" t="s">
        <v>1407</v>
      </c>
      <c r="E553" s="19">
        <v>554721854</v>
      </c>
      <c r="F553" s="19" t="s">
        <v>1406</v>
      </c>
      <c r="G553" s="19" t="s">
        <v>143</v>
      </c>
      <c r="H553" s="19" t="s">
        <v>35</v>
      </c>
      <c r="I553" s="19" t="s">
        <v>35</v>
      </c>
      <c r="J553" s="20" t="s">
        <v>35</v>
      </c>
      <c r="K553" s="19">
        <v>1</v>
      </c>
      <c r="L553" s="19">
        <v>1</v>
      </c>
      <c r="M553" s="19">
        <v>1</v>
      </c>
      <c r="N553" s="19">
        <v>1</v>
      </c>
      <c r="O553" s="19">
        <v>0</v>
      </c>
      <c r="P553" s="19">
        <v>1</v>
      </c>
      <c r="Q553" s="19">
        <v>0</v>
      </c>
      <c r="R5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3" s="65"/>
      <c r="T553" s="17"/>
    </row>
    <row r="554" spans="2:20" ht="17">
      <c r="B554" s="17" t="e">
        <f>#REF!+1</f>
        <v>#REF!</v>
      </c>
      <c r="C554" s="13" t="s">
        <v>1609</v>
      </c>
      <c r="D554" s="13" t="s">
        <v>1610</v>
      </c>
      <c r="E554" s="13">
        <v>550193726</v>
      </c>
      <c r="F554" s="13" t="s">
        <v>1611</v>
      </c>
      <c r="G554" s="13" t="s">
        <v>573</v>
      </c>
      <c r="H554" s="13" t="s">
        <v>77</v>
      </c>
      <c r="I554" s="13" t="s">
        <v>73</v>
      </c>
      <c r="J554" s="17" t="s">
        <v>73</v>
      </c>
      <c r="K554" s="13">
        <v>0</v>
      </c>
      <c r="L554" s="13">
        <v>0</v>
      </c>
      <c r="M554" s="13">
        <v>1</v>
      </c>
      <c r="N554" s="13">
        <v>0</v>
      </c>
      <c r="O554" s="13">
        <v>1</v>
      </c>
      <c r="P554" s="13">
        <v>0</v>
      </c>
      <c r="Q554" s="13">
        <v>0</v>
      </c>
      <c r="R5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4" s="65"/>
      <c r="T554" s="17"/>
    </row>
    <row r="555" spans="2:20" ht="17">
      <c r="B555" s="17" t="e">
        <f t="shared" si="11"/>
        <v>#REF!</v>
      </c>
      <c r="C555" s="19" t="s">
        <v>1612</v>
      </c>
      <c r="D555" s="19" t="s">
        <v>1613</v>
      </c>
      <c r="E555" s="19">
        <v>599811747</v>
      </c>
      <c r="F555" s="19" t="s">
        <v>164</v>
      </c>
      <c r="G555" s="19" t="s">
        <v>573</v>
      </c>
      <c r="H555" s="19" t="s">
        <v>24</v>
      </c>
      <c r="I555" s="19" t="s">
        <v>24</v>
      </c>
      <c r="J555" s="20" t="s">
        <v>24</v>
      </c>
      <c r="K555" s="19">
        <v>0</v>
      </c>
      <c r="L555" s="19">
        <v>1</v>
      </c>
      <c r="M555" s="19">
        <v>2</v>
      </c>
      <c r="N555" s="19">
        <v>2</v>
      </c>
      <c r="O555" s="19">
        <v>0</v>
      </c>
      <c r="P555" s="19">
        <v>0</v>
      </c>
      <c r="Q555" s="19">
        <v>0</v>
      </c>
      <c r="R5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5" s="65"/>
      <c r="T555" s="17"/>
    </row>
    <row r="556" spans="2:20" ht="17">
      <c r="B556" s="17" t="e">
        <f t="shared" si="11"/>
        <v>#REF!</v>
      </c>
      <c r="C556" s="13" t="s">
        <v>1616</v>
      </c>
      <c r="D556" s="13" t="s">
        <v>1617</v>
      </c>
      <c r="E556" s="13">
        <v>500001601</v>
      </c>
      <c r="F556" s="19" t="s">
        <v>164</v>
      </c>
      <c r="G556" s="19" t="s">
        <v>573</v>
      </c>
      <c r="H556" s="19" t="s">
        <v>108</v>
      </c>
      <c r="I556" s="19" t="s">
        <v>27</v>
      </c>
      <c r="J556" s="20" t="s">
        <v>27</v>
      </c>
      <c r="K556" s="19">
        <v>0</v>
      </c>
      <c r="L556" s="19">
        <v>1</v>
      </c>
      <c r="M556" s="19">
        <v>0</v>
      </c>
      <c r="N556" s="19">
        <v>1</v>
      </c>
      <c r="O556" s="19">
        <v>1</v>
      </c>
      <c r="P556" s="19">
        <v>0</v>
      </c>
      <c r="Q556" s="19">
        <v>0</v>
      </c>
      <c r="R556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6" s="65"/>
      <c r="T556" s="17"/>
    </row>
    <row r="557" spans="2:20" ht="17">
      <c r="B557" s="17" t="e">
        <f t="shared" si="11"/>
        <v>#REF!</v>
      </c>
      <c r="C557" s="19" t="s">
        <v>1618</v>
      </c>
      <c r="D557" s="19" t="s">
        <v>1619</v>
      </c>
      <c r="E557" s="19">
        <v>538245442</v>
      </c>
      <c r="F557" s="19" t="s">
        <v>47</v>
      </c>
      <c r="G557" s="19" t="s">
        <v>143</v>
      </c>
      <c r="H557" s="19" t="s">
        <v>78</v>
      </c>
      <c r="I557" s="19" t="s">
        <v>93</v>
      </c>
      <c r="J557" s="20" t="s">
        <v>78</v>
      </c>
      <c r="K557" s="19">
        <v>0</v>
      </c>
      <c r="L557" s="19">
        <v>0</v>
      </c>
      <c r="M557" s="19">
        <v>0</v>
      </c>
      <c r="N557" s="19">
        <v>1</v>
      </c>
      <c r="O557" s="19">
        <v>1</v>
      </c>
      <c r="P557" s="19">
        <v>0</v>
      </c>
      <c r="Q557" s="19">
        <v>0</v>
      </c>
      <c r="R557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7" s="65"/>
      <c r="T557" s="17"/>
    </row>
    <row r="558" spans="2:20" ht="17">
      <c r="B558" s="17" t="e">
        <f t="shared" si="11"/>
        <v>#REF!</v>
      </c>
      <c r="C558" s="19" t="s">
        <v>1696</v>
      </c>
      <c r="D558" s="19" t="s">
        <v>1697</v>
      </c>
      <c r="E558" s="19">
        <v>562676205</v>
      </c>
      <c r="F558" s="19" t="s">
        <v>1698</v>
      </c>
      <c r="G558" s="19" t="s">
        <v>573</v>
      </c>
      <c r="H558" s="19" t="s">
        <v>108</v>
      </c>
      <c r="I558" s="19" t="s">
        <v>27</v>
      </c>
      <c r="J558" s="20" t="s">
        <v>27</v>
      </c>
      <c r="K558" s="19">
        <v>0</v>
      </c>
      <c r="L558" s="19">
        <v>1</v>
      </c>
      <c r="M558" s="19">
        <v>1</v>
      </c>
      <c r="N558" s="19">
        <v>1</v>
      </c>
      <c r="O558" s="19">
        <v>0</v>
      </c>
      <c r="P558" s="19">
        <v>0</v>
      </c>
      <c r="Q558" s="19">
        <v>0</v>
      </c>
      <c r="R558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8" s="19"/>
      <c r="T558" s="17"/>
    </row>
    <row r="559" spans="2:20" ht="17">
      <c r="B559" s="17" t="e">
        <f t="shared" si="11"/>
        <v>#REF!</v>
      </c>
      <c r="C559" s="13" t="s">
        <v>1710</v>
      </c>
      <c r="D559" s="13" t="s">
        <v>1711</v>
      </c>
      <c r="E559" s="13" t="s">
        <v>1712</v>
      </c>
      <c r="F559" s="13" t="s">
        <v>164</v>
      </c>
      <c r="G559" s="13" t="s">
        <v>294</v>
      </c>
      <c r="H559" s="13" t="s">
        <v>37</v>
      </c>
      <c r="I559" s="13" t="s">
        <v>101</v>
      </c>
      <c r="J559" s="17" t="s">
        <v>37</v>
      </c>
      <c r="K559" s="13">
        <v>0</v>
      </c>
      <c r="L559" s="13">
        <v>0</v>
      </c>
      <c r="M559" s="13">
        <v>1</v>
      </c>
      <c r="N559" s="13">
        <v>0</v>
      </c>
      <c r="O559" s="13">
        <v>1</v>
      </c>
      <c r="P559" s="13">
        <v>0</v>
      </c>
      <c r="Q559" s="13">
        <v>0</v>
      </c>
      <c r="R559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9" s="65"/>
      <c r="T559" s="17" t="s">
        <v>1621</v>
      </c>
    </row>
    <row r="560" spans="2:20" ht="17">
      <c r="B560" s="17" t="e">
        <f t="shared" si="11"/>
        <v>#REF!</v>
      </c>
      <c r="C560" s="13" t="s">
        <v>1713</v>
      </c>
      <c r="D560" s="13" t="s">
        <v>1520</v>
      </c>
      <c r="E560" s="13">
        <v>583815162</v>
      </c>
      <c r="F560" s="13" t="s">
        <v>164</v>
      </c>
      <c r="G560" s="13" t="s">
        <v>1714</v>
      </c>
      <c r="H560" s="13" t="s">
        <v>21</v>
      </c>
      <c r="I560" s="13" t="s">
        <v>21</v>
      </c>
      <c r="J560" s="17" t="s">
        <v>21</v>
      </c>
      <c r="K560" s="13">
        <v>0</v>
      </c>
      <c r="L560" s="13">
        <v>0</v>
      </c>
      <c r="M560" s="13">
        <v>1</v>
      </c>
      <c r="N560" s="13">
        <v>1</v>
      </c>
      <c r="O560" s="13">
        <v>1</v>
      </c>
      <c r="P560" s="13">
        <v>0</v>
      </c>
      <c r="Q560" s="13">
        <v>0</v>
      </c>
      <c r="R560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0" s="65"/>
      <c r="T560" s="83"/>
    </row>
  </sheetData>
  <phoneticPr fontId="7" type="noConversion"/>
  <dataValidations count="2">
    <dataValidation type="list" errorStyle="warning" allowBlank="1" showErrorMessage="1" errorTitle="مدينة جديدة" error="هذه المدينة غير موجودة في القائمة. اختر (نعم) لإضافتها، وستظهر تلقائياً في القائمة." sqref="I3:I10 I540:I552 I560:I4780 I554:I558 I12:I189 I191:I382" xr:uid="{F42A3B4B-BDC7-4815-985E-CB541FF96730}">
      <formula1>قائمة_المدن</formula1>
    </dataValidation>
    <dataValidation type="list" allowBlank="1" showInputMessage="1" showErrorMessage="1" sqref="G3:G560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J561:J1048576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H561:H1048576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AJ207"/>
  <sheetViews>
    <sheetView rightToLeft="1" topLeftCell="AA1" zoomScale="71" workbookViewId="0">
      <selection activeCell="AH12" sqref="AH12"/>
    </sheetView>
  </sheetViews>
  <sheetFormatPr defaultRowHeight="14.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32.3632812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9" width="3.08984375" style="5" customWidth="1"/>
    <col min="20" max="20" width="46.7265625" style="5" bestFit="1" customWidth="1"/>
    <col min="21" max="21" width="3.08984375" style="5" customWidth="1"/>
    <col min="22" max="22" width="43.1796875" style="5" bestFit="1" customWidth="1"/>
    <col min="23" max="23" width="3.08984375" style="5" customWidth="1"/>
    <col min="24" max="24" width="6.36328125" style="5" bestFit="1" customWidth="1"/>
    <col min="25" max="25" width="20.90625" style="5" bestFit="1" customWidth="1"/>
    <col min="26" max="26" width="8.7265625" style="5"/>
    <col min="27" max="27" width="14.08984375" style="5" bestFit="1" customWidth="1"/>
    <col min="28" max="28" width="8.7265625" style="5"/>
    <col min="29" max="29" width="33.6328125" style="5" customWidth="1"/>
    <col min="30" max="30" width="17.26953125" style="5" customWidth="1"/>
    <col min="31" max="31" width="25.453125" style="5" customWidth="1"/>
    <col min="32" max="33" width="20.90625" style="5" customWidth="1"/>
    <col min="34" max="35" width="21.81640625" style="5" customWidth="1"/>
    <col min="36" max="36" width="22.7265625" style="5" customWidth="1"/>
    <col min="37" max="16384" width="8.7265625" style="5"/>
  </cols>
  <sheetData>
    <row r="2" spans="1:36" s="2" customFormat="1" ht="16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129</v>
      </c>
      <c r="I2" s="8" t="s">
        <v>611</v>
      </c>
      <c r="J2" s="3"/>
      <c r="K2" s="3" t="s">
        <v>116</v>
      </c>
      <c r="L2" s="3" t="s">
        <v>122</v>
      </c>
      <c r="N2" s="6" t="s">
        <v>121</v>
      </c>
      <c r="P2" t="s">
        <v>612</v>
      </c>
      <c r="R2" t="s">
        <v>613</v>
      </c>
      <c r="T2" s="6" t="s">
        <v>1056</v>
      </c>
      <c r="V2" s="6" t="s">
        <v>1057</v>
      </c>
      <c r="X2" s="10" t="s">
        <v>116</v>
      </c>
      <c r="Y2" s="10" t="s">
        <v>1060</v>
      </c>
      <c r="AA2" s="12" t="s">
        <v>1101</v>
      </c>
      <c r="AC2" s="86" t="s">
        <v>1508</v>
      </c>
      <c r="AD2" s="87"/>
      <c r="AE2" s="28"/>
      <c r="AF2" s="28"/>
      <c r="AG2" s="28"/>
      <c r="AH2" s="28"/>
      <c r="AI2" s="28"/>
    </row>
    <row r="3" spans="1:36">
      <c r="B3" s="5" t="s">
        <v>34</v>
      </c>
      <c r="C3" s="5" t="s">
        <v>13</v>
      </c>
      <c r="D3" s="5" t="s">
        <v>35</v>
      </c>
      <c r="F3" t="s">
        <v>34</v>
      </c>
      <c r="G3" t="s">
        <v>13</v>
      </c>
      <c r="H3" t="s">
        <v>35</v>
      </c>
      <c r="I3" t="s">
        <v>35</v>
      </c>
      <c r="K3" s="5" t="s">
        <v>4</v>
      </c>
      <c r="L3" s="5" t="s">
        <v>34</v>
      </c>
      <c r="N3" s="7">
        <v>6</v>
      </c>
      <c r="P3" t="s">
        <v>182</v>
      </c>
      <c r="R3" t="s">
        <v>73</v>
      </c>
      <c r="T3" s="2">
        <v>28</v>
      </c>
      <c r="V3" s="2">
        <v>20</v>
      </c>
      <c r="X3" s="2" t="s">
        <v>4</v>
      </c>
      <c r="Y3" s="11">
        <v>8</v>
      </c>
      <c r="AA3" s="5" t="str" cm="1">
        <f t="array" ref="AA3:AA74">_xlfn.LET(_xlpm.x,_xlfn.VSTACK(المدن_المصدر[المدينة/المحافظة],التسجيل[المدينة]),IFERROR(_xlfn._xlws.SORT(_xlfn.UNIQUE(_xlfn._xlws.FILTER(_xlpm.x,_xlpm.x&lt;&gt;""))),""))</f>
        <v>أبها</v>
      </c>
      <c r="AC3" s="5" t="s">
        <v>1491</v>
      </c>
      <c r="AD3" s="29">
        <v>2</v>
      </c>
    </row>
    <row r="4" spans="1:36">
      <c r="B4" s="5" t="s">
        <v>34</v>
      </c>
      <c r="C4" s="5" t="s">
        <v>22</v>
      </c>
      <c r="D4" s="5" t="s">
        <v>36</v>
      </c>
      <c r="F4" t="s">
        <v>34</v>
      </c>
      <c r="G4" t="s">
        <v>22</v>
      </c>
      <c r="H4" t="s">
        <v>37</v>
      </c>
      <c r="I4" t="s">
        <v>37</v>
      </c>
      <c r="K4" s="5" t="s">
        <v>112</v>
      </c>
      <c r="L4" s="5" t="s">
        <v>34</v>
      </c>
      <c r="P4" t="s">
        <v>77</v>
      </c>
      <c r="R4" t="s">
        <v>74</v>
      </c>
      <c r="X4" s="2" t="s">
        <v>112</v>
      </c>
      <c r="Y4" s="11">
        <v>11</v>
      </c>
      <c r="AA4" s="5" t="str">
        <v>أبو عريش</v>
      </c>
    </row>
    <row r="5" spans="1:36" ht="45" customHeight="1">
      <c r="B5" s="5" t="s">
        <v>34</v>
      </c>
      <c r="C5" s="5" t="s">
        <v>25</v>
      </c>
      <c r="D5" s="5" t="s">
        <v>415</v>
      </c>
      <c r="F5" t="s">
        <v>34</v>
      </c>
      <c r="G5" t="s">
        <v>25</v>
      </c>
      <c r="H5" t="s">
        <v>37</v>
      </c>
      <c r="I5" t="s">
        <v>37</v>
      </c>
      <c r="K5" s="5" t="s">
        <v>113</v>
      </c>
      <c r="L5" s="5" t="s">
        <v>34</v>
      </c>
      <c r="P5" t="s">
        <v>29</v>
      </c>
      <c r="R5" t="s">
        <v>75</v>
      </c>
      <c r="X5" s="2" t="s">
        <v>113</v>
      </c>
      <c r="Y5" s="11">
        <v>11</v>
      </c>
      <c r="AA5" s="5" t="str">
        <v>أحد المسارحة</v>
      </c>
      <c r="AC5" s="30" t="s">
        <v>116</v>
      </c>
      <c r="AD5" s="31" t="s">
        <v>1492</v>
      </c>
      <c r="AE5" s="31" t="s">
        <v>1499</v>
      </c>
      <c r="AF5" s="31" t="s">
        <v>1500</v>
      </c>
      <c r="AG5" s="31" t="s">
        <v>1509</v>
      </c>
      <c r="AH5" s="31" t="s">
        <v>1510</v>
      </c>
      <c r="AI5" s="31" t="s">
        <v>1511</v>
      </c>
      <c r="AJ5" s="32" t="s">
        <v>1512</v>
      </c>
    </row>
    <row r="6" spans="1:36">
      <c r="B6" s="5" t="s">
        <v>34</v>
      </c>
      <c r="C6" s="5" t="s">
        <v>31</v>
      </c>
      <c r="D6" s="5" t="s">
        <v>38</v>
      </c>
      <c r="F6" t="s">
        <v>34</v>
      </c>
      <c r="G6" t="s">
        <v>31</v>
      </c>
      <c r="H6" t="s">
        <v>81</v>
      </c>
      <c r="I6" t="s">
        <v>81</v>
      </c>
      <c r="K6" s="5" t="s">
        <v>114</v>
      </c>
      <c r="L6" s="5" t="s">
        <v>1560</v>
      </c>
      <c r="P6" t="s">
        <v>24</v>
      </c>
      <c r="R6" t="s">
        <v>182</v>
      </c>
      <c r="X6" s="2" t="s">
        <v>114</v>
      </c>
      <c r="Y6" s="11">
        <v>11</v>
      </c>
      <c r="AA6" s="5" t="str">
        <v>أضم</v>
      </c>
      <c r="AC6" s="33" t="s">
        <v>4</v>
      </c>
      <c r="AD6" s="34" t="s">
        <v>1498</v>
      </c>
      <c r="AE6" s="34" t="s">
        <v>1513</v>
      </c>
      <c r="AF6" s="34">
        <v>4</v>
      </c>
      <c r="AG6" s="34">
        <v>3</v>
      </c>
      <c r="AH6" s="35">
        <f t="shared" ref="AH6:AH12" si="0">$AF6*$AG6</f>
        <v>12</v>
      </c>
      <c r="AI6" s="35">
        <f t="shared" ref="AI6:AI12" si="1">$AH6*$AD$3</f>
        <v>24</v>
      </c>
      <c r="AJ6" s="36">
        <f t="shared" ref="AJ6:AJ12" si="2">IF($AF6&gt;1,$AG6,$AH6)</f>
        <v>3</v>
      </c>
    </row>
    <row r="7" spans="1:36">
      <c r="B7" s="5" t="s">
        <v>34</v>
      </c>
      <c r="C7" s="5" t="s">
        <v>7</v>
      </c>
      <c r="D7" s="5" t="s">
        <v>72</v>
      </c>
      <c r="F7" t="s">
        <v>34</v>
      </c>
      <c r="G7" t="s">
        <v>7</v>
      </c>
      <c r="H7" t="s">
        <v>81</v>
      </c>
      <c r="I7" t="s">
        <v>81</v>
      </c>
      <c r="K7" s="5" t="s">
        <v>117</v>
      </c>
      <c r="L7" s="5" t="s">
        <v>1560</v>
      </c>
      <c r="P7" t="s">
        <v>75</v>
      </c>
      <c r="R7" t="s">
        <v>45</v>
      </c>
      <c r="X7" s="2" t="s">
        <v>117</v>
      </c>
      <c r="Y7" s="11">
        <v>11</v>
      </c>
      <c r="AA7" s="5" t="str">
        <v>الأحساء</v>
      </c>
      <c r="AC7" s="33" t="s">
        <v>112</v>
      </c>
      <c r="AD7" s="34" t="s">
        <v>1498</v>
      </c>
      <c r="AE7" s="34" t="s">
        <v>1501</v>
      </c>
      <c r="AF7" s="34">
        <v>2</v>
      </c>
      <c r="AG7" s="34">
        <v>3</v>
      </c>
      <c r="AH7" s="35">
        <f t="shared" si="0"/>
        <v>6</v>
      </c>
      <c r="AI7" s="35">
        <f t="shared" si="1"/>
        <v>12</v>
      </c>
      <c r="AJ7" s="36">
        <f t="shared" si="2"/>
        <v>3</v>
      </c>
    </row>
    <row r="8" spans="1:36">
      <c r="B8" s="5" t="s">
        <v>34</v>
      </c>
      <c r="C8" s="5" t="s">
        <v>7</v>
      </c>
      <c r="D8" s="5" t="s">
        <v>82</v>
      </c>
      <c r="F8" t="s">
        <v>34</v>
      </c>
      <c r="G8" t="s">
        <v>39</v>
      </c>
      <c r="H8" t="s">
        <v>37</v>
      </c>
      <c r="I8" t="s">
        <v>37</v>
      </c>
      <c r="K8" s="5" t="s">
        <v>118</v>
      </c>
      <c r="L8" s="5" t="s">
        <v>1561</v>
      </c>
      <c r="P8" t="s">
        <v>35</v>
      </c>
      <c r="R8" t="s">
        <v>35</v>
      </c>
      <c r="X8" s="2" t="s">
        <v>118</v>
      </c>
      <c r="Y8" s="11">
        <v>20</v>
      </c>
      <c r="AA8" s="5" t="str">
        <v>الباحة</v>
      </c>
      <c r="AC8" s="33" t="s">
        <v>113</v>
      </c>
      <c r="AD8" s="34" t="s">
        <v>1498</v>
      </c>
      <c r="AE8" s="34" t="s">
        <v>1501</v>
      </c>
      <c r="AF8" s="34">
        <v>2</v>
      </c>
      <c r="AG8" s="34">
        <v>3</v>
      </c>
      <c r="AH8" s="35">
        <f t="shared" si="0"/>
        <v>6</v>
      </c>
      <c r="AI8" s="35">
        <f t="shared" si="1"/>
        <v>12</v>
      </c>
      <c r="AJ8" s="36">
        <f t="shared" si="2"/>
        <v>3</v>
      </c>
    </row>
    <row r="9" spans="1:36">
      <c r="B9" s="5" t="s">
        <v>34</v>
      </c>
      <c r="C9" s="5" t="s">
        <v>39</v>
      </c>
      <c r="D9" s="5" t="s">
        <v>40</v>
      </c>
      <c r="F9" t="s">
        <v>34</v>
      </c>
      <c r="G9" t="s">
        <v>8</v>
      </c>
      <c r="H9" t="s">
        <v>77</v>
      </c>
      <c r="I9" t="s">
        <v>73</v>
      </c>
      <c r="K9" s="5" t="s">
        <v>115</v>
      </c>
      <c r="L9" s="5" t="s">
        <v>1561</v>
      </c>
      <c r="P9" t="s">
        <v>78</v>
      </c>
      <c r="R9" t="s">
        <v>47</v>
      </c>
      <c r="X9" s="2" t="s">
        <v>115</v>
      </c>
      <c r="Y9" s="11">
        <v>20</v>
      </c>
      <c r="AA9" s="5" t="str">
        <v>البدائع</v>
      </c>
      <c r="AC9" s="33" t="s">
        <v>114</v>
      </c>
      <c r="AD9" s="34" t="s">
        <v>1493</v>
      </c>
      <c r="AE9" s="34" t="s">
        <v>1501</v>
      </c>
      <c r="AF9" s="34">
        <v>2</v>
      </c>
      <c r="AG9" s="34">
        <v>4</v>
      </c>
      <c r="AH9" s="35">
        <f t="shared" si="0"/>
        <v>8</v>
      </c>
      <c r="AI9" s="35">
        <f t="shared" si="1"/>
        <v>16</v>
      </c>
      <c r="AJ9" s="36">
        <f t="shared" si="2"/>
        <v>4</v>
      </c>
    </row>
    <row r="10" spans="1:36">
      <c r="B10" s="5" t="s">
        <v>34</v>
      </c>
      <c r="C10" s="5" t="s">
        <v>8</v>
      </c>
      <c r="D10" s="5" t="s">
        <v>73</v>
      </c>
      <c r="F10" t="s">
        <v>34</v>
      </c>
      <c r="G10" t="s">
        <v>9</v>
      </c>
      <c r="H10" t="s">
        <v>74</v>
      </c>
      <c r="I10" t="s">
        <v>74</v>
      </c>
      <c r="P10" t="s">
        <v>21</v>
      </c>
      <c r="R10" t="s">
        <v>77</v>
      </c>
      <c r="AA10" s="5" t="str">
        <v>البكيرية</v>
      </c>
      <c r="AC10" s="33" t="s">
        <v>117</v>
      </c>
      <c r="AD10" s="34" t="s">
        <v>1494</v>
      </c>
      <c r="AE10" s="34" t="s">
        <v>1501</v>
      </c>
      <c r="AF10" s="34">
        <v>2</v>
      </c>
      <c r="AG10" s="34">
        <v>4</v>
      </c>
      <c r="AH10" s="35">
        <f t="shared" si="0"/>
        <v>8</v>
      </c>
      <c r="AI10" s="35">
        <f t="shared" si="1"/>
        <v>16</v>
      </c>
      <c r="AJ10" s="36">
        <f t="shared" si="2"/>
        <v>4</v>
      </c>
    </row>
    <row r="11" spans="1:36">
      <c r="B11" s="5" t="s">
        <v>34</v>
      </c>
      <c r="C11" s="5" t="s">
        <v>9</v>
      </c>
      <c r="D11" s="5" t="s">
        <v>74</v>
      </c>
      <c r="F11" t="s">
        <v>34</v>
      </c>
      <c r="G11" t="s">
        <v>1283</v>
      </c>
      <c r="H11" t="s">
        <v>75</v>
      </c>
      <c r="I11" t="s">
        <v>75</v>
      </c>
      <c r="P11" t="s">
        <v>108</v>
      </c>
      <c r="R11" t="s">
        <v>15</v>
      </c>
      <c r="AA11" s="5" t="str">
        <v>الجبيل</v>
      </c>
      <c r="AC11" s="33" t="s">
        <v>118</v>
      </c>
      <c r="AD11" s="34" t="s">
        <v>1574</v>
      </c>
      <c r="AE11" s="34" t="s">
        <v>1502</v>
      </c>
      <c r="AF11" s="34">
        <v>1</v>
      </c>
      <c r="AG11" s="34">
        <v>3</v>
      </c>
      <c r="AH11" s="35">
        <f t="shared" si="0"/>
        <v>3</v>
      </c>
      <c r="AI11" s="35">
        <f t="shared" si="1"/>
        <v>6</v>
      </c>
      <c r="AJ11" s="36">
        <f t="shared" si="2"/>
        <v>3</v>
      </c>
    </row>
    <row r="12" spans="1:36">
      <c r="B12" s="5" t="s">
        <v>34</v>
      </c>
      <c r="C12" s="5" t="s">
        <v>9</v>
      </c>
      <c r="D12" s="5" t="s">
        <v>84</v>
      </c>
      <c r="F12" t="s">
        <v>34</v>
      </c>
      <c r="G12" t="s">
        <v>10</v>
      </c>
      <c r="H12" t="s">
        <v>182</v>
      </c>
      <c r="I12" t="s">
        <v>182</v>
      </c>
      <c r="P12" t="s">
        <v>37</v>
      </c>
      <c r="R12" t="s">
        <v>78</v>
      </c>
      <c r="AA12" s="5" t="str">
        <v>الجموم</v>
      </c>
      <c r="AC12" s="37" t="s">
        <v>115</v>
      </c>
      <c r="AD12" s="38" t="s">
        <v>1495</v>
      </c>
      <c r="AE12" s="38" t="s">
        <v>1502</v>
      </c>
      <c r="AF12" s="38">
        <v>1</v>
      </c>
      <c r="AG12" s="38">
        <v>3</v>
      </c>
      <c r="AH12" s="39">
        <f t="shared" si="0"/>
        <v>3</v>
      </c>
      <c r="AI12" s="39">
        <f t="shared" si="1"/>
        <v>6</v>
      </c>
      <c r="AJ12" s="40">
        <f t="shared" si="2"/>
        <v>3</v>
      </c>
    </row>
    <row r="13" spans="1:36">
      <c r="B13" s="5" t="s">
        <v>34</v>
      </c>
      <c r="C13" s="5" t="s">
        <v>9</v>
      </c>
      <c r="D13" s="5" t="s">
        <v>927</v>
      </c>
      <c r="F13" t="s">
        <v>34</v>
      </c>
      <c r="G13" t="s">
        <v>11</v>
      </c>
      <c r="H13" t="s">
        <v>35</v>
      </c>
      <c r="I13" t="s">
        <v>76</v>
      </c>
      <c r="P13" t="s">
        <v>74</v>
      </c>
      <c r="R13" t="s">
        <v>79</v>
      </c>
      <c r="AA13" s="5" t="str">
        <v>الخبر</v>
      </c>
    </row>
    <row r="14" spans="1:36">
      <c r="B14" s="5" t="s">
        <v>34</v>
      </c>
      <c r="C14" s="5" t="s">
        <v>44</v>
      </c>
      <c r="D14" s="5" t="s">
        <v>95</v>
      </c>
      <c r="F14" t="s">
        <v>34</v>
      </c>
      <c r="G14" t="s">
        <v>42</v>
      </c>
      <c r="H14" t="s">
        <v>77</v>
      </c>
      <c r="I14" t="s">
        <v>77</v>
      </c>
      <c r="P14" t="s">
        <v>68</v>
      </c>
      <c r="R14" t="s">
        <v>21</v>
      </c>
      <c r="AA14" s="5" t="str">
        <v>الخرج</v>
      </c>
    </row>
    <row r="15" spans="1:36">
      <c r="B15" s="5" t="s">
        <v>34</v>
      </c>
      <c r="C15" s="5" t="s">
        <v>1283</v>
      </c>
      <c r="D15" s="5" t="s">
        <v>85</v>
      </c>
      <c r="F15" t="s">
        <v>34</v>
      </c>
      <c r="G15" t="s">
        <v>44</v>
      </c>
      <c r="H15" t="s">
        <v>78</v>
      </c>
      <c r="I15" t="s">
        <v>45</v>
      </c>
      <c r="P15" t="s">
        <v>81</v>
      </c>
      <c r="R15" t="s">
        <v>24</v>
      </c>
      <c r="AA15" s="5" t="str">
        <v>الخفجي</v>
      </c>
    </row>
    <row r="16" spans="1:36">
      <c r="B16" s="5" t="s">
        <v>34</v>
      </c>
      <c r="C16" s="5" t="s">
        <v>1283</v>
      </c>
      <c r="D16" s="5" t="s">
        <v>86</v>
      </c>
      <c r="F16" t="s">
        <v>34</v>
      </c>
      <c r="G16" t="s">
        <v>46</v>
      </c>
      <c r="H16" t="s">
        <v>35</v>
      </c>
      <c r="I16" t="s">
        <v>47</v>
      </c>
      <c r="P16"/>
      <c r="R16" t="s">
        <v>37</v>
      </c>
      <c r="AA16" s="5" t="str">
        <v>الدرب</v>
      </c>
    </row>
    <row r="17" spans="2:27">
      <c r="B17" s="5" t="s">
        <v>34</v>
      </c>
      <c r="C17" s="5" t="s">
        <v>10</v>
      </c>
      <c r="D17" s="5" t="s">
        <v>41</v>
      </c>
      <c r="F17" t="s">
        <v>34</v>
      </c>
      <c r="G17" t="s">
        <v>1489</v>
      </c>
      <c r="H17" t="s">
        <v>77</v>
      </c>
      <c r="I17" t="s">
        <v>77</v>
      </c>
      <c r="P17"/>
      <c r="R17" t="s">
        <v>27</v>
      </c>
      <c r="AA17" s="5" t="str">
        <v>الدلم</v>
      </c>
    </row>
    <row r="18" spans="2:27">
      <c r="B18" s="5" t="s">
        <v>34</v>
      </c>
      <c r="C18" s="5" t="s">
        <v>11</v>
      </c>
      <c r="D18" s="5" t="s">
        <v>76</v>
      </c>
      <c r="F18" t="s">
        <v>34</v>
      </c>
      <c r="G18" t="s">
        <v>1489</v>
      </c>
      <c r="H18" t="s">
        <v>77</v>
      </c>
      <c r="I18" t="s">
        <v>79</v>
      </c>
      <c r="P18"/>
      <c r="R18" t="s">
        <v>29</v>
      </c>
      <c r="AA18" s="5" t="str">
        <v>الدمام</v>
      </c>
    </row>
    <row r="19" spans="2:27">
      <c r="B19" s="5" t="s">
        <v>34</v>
      </c>
      <c r="C19" s="5" t="s">
        <v>42</v>
      </c>
      <c r="D19" s="5" t="s">
        <v>43</v>
      </c>
      <c r="F19" t="s">
        <v>34</v>
      </c>
      <c r="G19" t="s">
        <v>14</v>
      </c>
      <c r="H19" t="s">
        <v>108</v>
      </c>
      <c r="I19" t="s">
        <v>15</v>
      </c>
      <c r="P19"/>
      <c r="R19" t="s">
        <v>105</v>
      </c>
      <c r="AA19" s="5" t="str">
        <v>الدوادمي</v>
      </c>
    </row>
    <row r="20" spans="2:27">
      <c r="B20" s="5" t="s">
        <v>34</v>
      </c>
      <c r="C20" s="5" t="s">
        <v>44</v>
      </c>
      <c r="D20" s="5" t="s">
        <v>45</v>
      </c>
      <c r="F20" t="s">
        <v>34</v>
      </c>
      <c r="G20" t="s">
        <v>16</v>
      </c>
      <c r="H20" t="s">
        <v>78</v>
      </c>
      <c r="I20" t="s">
        <v>78</v>
      </c>
      <c r="P20"/>
      <c r="R20" t="s">
        <v>81</v>
      </c>
      <c r="AA20" s="5" t="str">
        <v>الرس</v>
      </c>
    </row>
    <row r="21" spans="2:27">
      <c r="B21" s="5" t="s">
        <v>34</v>
      </c>
      <c r="C21" s="5" t="s">
        <v>46</v>
      </c>
      <c r="D21" s="5" t="s">
        <v>47</v>
      </c>
      <c r="F21" t="s">
        <v>34</v>
      </c>
      <c r="G21" t="s">
        <v>16</v>
      </c>
      <c r="H21" t="s">
        <v>78</v>
      </c>
      <c r="I21" t="s">
        <v>45</v>
      </c>
      <c r="P21"/>
      <c r="R21" t="s">
        <v>108</v>
      </c>
      <c r="AA21" s="5" t="str">
        <v>الرياض</v>
      </c>
    </row>
    <row r="22" spans="2:27">
      <c r="B22" s="5" t="s">
        <v>34</v>
      </c>
      <c r="C22" s="5" t="s">
        <v>1489</v>
      </c>
      <c r="D22" s="5" t="s">
        <v>89</v>
      </c>
      <c r="F22" t="s">
        <v>34</v>
      </c>
      <c r="G22" t="s">
        <v>17</v>
      </c>
      <c r="H22" t="s">
        <v>77</v>
      </c>
      <c r="I22" t="s">
        <v>79</v>
      </c>
      <c r="P22"/>
      <c r="R22" t="s">
        <v>68</v>
      </c>
      <c r="AA22" s="5" t="str">
        <v>الزلفي</v>
      </c>
    </row>
    <row r="23" spans="2:27">
      <c r="B23" s="5" t="s">
        <v>34</v>
      </c>
      <c r="C23" s="5" t="s">
        <v>1489</v>
      </c>
      <c r="D23" s="5" t="s">
        <v>90</v>
      </c>
      <c r="F23" t="s">
        <v>34</v>
      </c>
      <c r="G23" t="s">
        <v>17</v>
      </c>
      <c r="H23" t="s">
        <v>77</v>
      </c>
      <c r="I23" t="s">
        <v>77</v>
      </c>
      <c r="P23"/>
      <c r="R23" t="s">
        <v>70</v>
      </c>
      <c r="AA23" s="5" t="str">
        <v>الشنان</v>
      </c>
    </row>
    <row r="24" spans="2:27">
      <c r="B24" s="5" t="s">
        <v>34</v>
      </c>
      <c r="C24" s="5" t="s">
        <v>1489</v>
      </c>
      <c r="D24" s="5" t="s">
        <v>91</v>
      </c>
      <c r="F24" t="s">
        <v>34</v>
      </c>
      <c r="G24" t="s">
        <v>18</v>
      </c>
      <c r="H24" t="s">
        <v>108</v>
      </c>
      <c r="I24" t="s">
        <v>108</v>
      </c>
      <c r="P24"/>
      <c r="R24" t="s">
        <v>76</v>
      </c>
      <c r="AA24" s="5" t="str">
        <v>الطائف</v>
      </c>
    </row>
    <row r="25" spans="2:27">
      <c r="B25" s="5" t="s">
        <v>34</v>
      </c>
      <c r="C25" s="5" t="s">
        <v>1489</v>
      </c>
      <c r="D25" s="5" t="s">
        <v>92</v>
      </c>
      <c r="F25" t="s">
        <v>34</v>
      </c>
      <c r="G25" t="s">
        <v>12</v>
      </c>
      <c r="H25" t="s">
        <v>35</v>
      </c>
      <c r="I25" t="s">
        <v>49</v>
      </c>
      <c r="P25"/>
      <c r="R25" t="s">
        <v>49</v>
      </c>
      <c r="AA25" s="5" t="str">
        <v>الظهران</v>
      </c>
    </row>
    <row r="26" spans="2:27">
      <c r="B26" s="5" t="s">
        <v>34</v>
      </c>
      <c r="C26" s="5" t="s">
        <v>14</v>
      </c>
      <c r="D26" s="5" t="s">
        <v>15</v>
      </c>
      <c r="F26" t="s">
        <v>34</v>
      </c>
      <c r="G26" t="s">
        <v>50</v>
      </c>
      <c r="H26" t="s">
        <v>108</v>
      </c>
      <c r="I26" t="s">
        <v>108</v>
      </c>
      <c r="P26"/>
      <c r="R26" t="s">
        <v>62</v>
      </c>
      <c r="AA26" s="5" t="str">
        <v>العقيق</v>
      </c>
    </row>
    <row r="27" spans="2:27">
      <c r="B27" s="5" t="s">
        <v>34</v>
      </c>
      <c r="C27" s="5" t="s">
        <v>16</v>
      </c>
      <c r="D27" s="5" t="s">
        <v>93</v>
      </c>
      <c r="F27" t="s">
        <v>34</v>
      </c>
      <c r="G27" t="s">
        <v>19</v>
      </c>
      <c r="H27" t="s">
        <v>35</v>
      </c>
      <c r="I27" t="s">
        <v>80</v>
      </c>
      <c r="P27"/>
      <c r="R27" t="s">
        <v>80</v>
      </c>
      <c r="AA27" s="5" t="str">
        <v>الغاط</v>
      </c>
    </row>
    <row r="28" spans="2:27">
      <c r="B28" s="5" t="s">
        <v>34</v>
      </c>
      <c r="C28" s="5" t="s">
        <v>16</v>
      </c>
      <c r="D28" s="5" t="s">
        <v>111</v>
      </c>
      <c r="F28" t="s">
        <v>34</v>
      </c>
      <c r="G28" t="s">
        <v>19</v>
      </c>
      <c r="H28" t="s">
        <v>35</v>
      </c>
      <c r="I28" t="s">
        <v>47</v>
      </c>
      <c r="P28"/>
      <c r="R28"/>
      <c r="AA28" s="5" t="str">
        <v>القريات</v>
      </c>
    </row>
    <row r="29" spans="2:27">
      <c r="B29" s="5" t="s">
        <v>34</v>
      </c>
      <c r="C29" s="5" t="s">
        <v>17</v>
      </c>
      <c r="D29" s="5" t="s">
        <v>79</v>
      </c>
      <c r="F29" t="s">
        <v>34</v>
      </c>
      <c r="G29" t="s">
        <v>20</v>
      </c>
      <c r="H29" t="s">
        <v>21</v>
      </c>
      <c r="I29" t="s">
        <v>21</v>
      </c>
      <c r="P29"/>
      <c r="R29"/>
      <c r="AA29" s="5" t="str">
        <v>القطيف</v>
      </c>
    </row>
    <row r="30" spans="2:27">
      <c r="B30" s="5" t="s">
        <v>34</v>
      </c>
      <c r="C30" s="5" t="s">
        <v>18</v>
      </c>
      <c r="D30" s="5" t="s">
        <v>48</v>
      </c>
      <c r="F30" t="s">
        <v>34</v>
      </c>
      <c r="G30" t="s">
        <v>57</v>
      </c>
      <c r="H30" t="s">
        <v>21</v>
      </c>
      <c r="I30" t="s">
        <v>21</v>
      </c>
      <c r="P30"/>
      <c r="R30"/>
      <c r="AA30" s="5" t="str">
        <v>القنفذة</v>
      </c>
    </row>
    <row r="31" spans="2:27">
      <c r="B31" s="5" t="s">
        <v>34</v>
      </c>
      <c r="C31" s="5" t="s">
        <v>12</v>
      </c>
      <c r="D31" s="5" t="s">
        <v>49</v>
      </c>
      <c r="F31" t="s">
        <v>34</v>
      </c>
      <c r="G31" t="s">
        <v>52</v>
      </c>
      <c r="H31" t="s">
        <v>81</v>
      </c>
      <c r="I31" t="s">
        <v>81</v>
      </c>
      <c r="P31"/>
      <c r="R31"/>
      <c r="AA31" s="5" t="str">
        <v>الليث</v>
      </c>
    </row>
    <row r="32" spans="2:27">
      <c r="B32" s="5" t="s">
        <v>34</v>
      </c>
      <c r="C32" s="5" t="s">
        <v>50</v>
      </c>
      <c r="D32" s="5" t="s">
        <v>51</v>
      </c>
      <c r="F32" t="s">
        <v>34</v>
      </c>
      <c r="G32" t="s">
        <v>53</v>
      </c>
      <c r="H32" t="s">
        <v>37</v>
      </c>
      <c r="I32" t="s">
        <v>37</v>
      </c>
      <c r="P32"/>
      <c r="R32"/>
      <c r="AA32" s="5" t="str">
        <v>المجمعة</v>
      </c>
    </row>
    <row r="33" spans="2:27">
      <c r="B33" s="5" t="s">
        <v>34</v>
      </c>
      <c r="C33" s="5" t="s">
        <v>50</v>
      </c>
      <c r="D33" s="5" t="s">
        <v>924</v>
      </c>
      <c r="F33" t="s">
        <v>34</v>
      </c>
      <c r="G33" t="s">
        <v>23</v>
      </c>
      <c r="H33" t="s">
        <v>24</v>
      </c>
      <c r="I33" t="s">
        <v>24</v>
      </c>
      <c r="P33"/>
      <c r="R33"/>
      <c r="AA33" s="5" t="str">
        <v>المدينة المنورة</v>
      </c>
    </row>
    <row r="34" spans="2:27">
      <c r="B34" s="5" t="s">
        <v>34</v>
      </c>
      <c r="C34" s="5" t="s">
        <v>19</v>
      </c>
      <c r="D34" s="5" t="s">
        <v>80</v>
      </c>
      <c r="F34" t="s">
        <v>34</v>
      </c>
      <c r="G34" t="s">
        <v>56</v>
      </c>
      <c r="H34" t="s">
        <v>37</v>
      </c>
      <c r="I34" t="s">
        <v>37</v>
      </c>
      <c r="P34"/>
      <c r="R34"/>
      <c r="AA34" s="5" t="str">
        <v>المذنب</v>
      </c>
    </row>
    <row r="35" spans="2:27">
      <c r="B35" s="5" t="s">
        <v>34</v>
      </c>
      <c r="C35" s="5" t="s">
        <v>20</v>
      </c>
      <c r="D35" s="5" t="s">
        <v>21</v>
      </c>
      <c r="F35" t="s">
        <v>34</v>
      </c>
      <c r="G35" t="s">
        <v>26</v>
      </c>
      <c r="H35" t="s">
        <v>108</v>
      </c>
      <c r="I35" t="s">
        <v>27</v>
      </c>
      <c r="P35"/>
      <c r="R35"/>
      <c r="AA35" s="5" t="str">
        <v>النماص</v>
      </c>
    </row>
    <row r="36" spans="2:27">
      <c r="B36" s="5" t="s">
        <v>34</v>
      </c>
      <c r="C36" s="5" t="s">
        <v>57</v>
      </c>
      <c r="D36" s="5" t="s">
        <v>58</v>
      </c>
      <c r="F36" t="s">
        <v>34</v>
      </c>
      <c r="G36" t="s">
        <v>28</v>
      </c>
      <c r="H36" t="s">
        <v>29</v>
      </c>
      <c r="I36" t="s">
        <v>29</v>
      </c>
      <c r="P36"/>
      <c r="R36"/>
      <c r="AA36" s="5" t="str">
        <v>الوجه</v>
      </c>
    </row>
    <row r="37" spans="2:27">
      <c r="B37" s="5" t="s">
        <v>34</v>
      </c>
      <c r="C37" s="5" t="s">
        <v>52</v>
      </c>
      <c r="D37" s="5" t="s">
        <v>107</v>
      </c>
      <c r="F37" t="s">
        <v>34</v>
      </c>
      <c r="G37" t="s">
        <v>30</v>
      </c>
      <c r="H37" t="s">
        <v>77</v>
      </c>
      <c r="I37" t="s">
        <v>105</v>
      </c>
      <c r="P37"/>
      <c r="R37"/>
      <c r="AA37" s="5" t="str">
        <v>أملج</v>
      </c>
    </row>
    <row r="38" spans="2:27">
      <c r="B38" s="5" t="s">
        <v>34</v>
      </c>
      <c r="C38" s="5" t="s">
        <v>53</v>
      </c>
      <c r="D38" s="5" t="s">
        <v>100</v>
      </c>
      <c r="F38" t="s">
        <v>34</v>
      </c>
      <c r="G38" t="s">
        <v>60</v>
      </c>
      <c r="H38" t="s">
        <v>68</v>
      </c>
      <c r="I38" t="s">
        <v>68</v>
      </c>
      <c r="P38"/>
      <c r="R38"/>
      <c r="AA38" s="5" t="str">
        <v>بريدة</v>
      </c>
    </row>
    <row r="39" spans="2:27">
      <c r="B39" s="5" t="s">
        <v>34</v>
      </c>
      <c r="C39" s="5" t="s">
        <v>23</v>
      </c>
      <c r="D39" s="5" t="s">
        <v>24</v>
      </c>
      <c r="F39" t="s">
        <v>34</v>
      </c>
      <c r="G39" t="s">
        <v>63</v>
      </c>
      <c r="H39" t="s">
        <v>37</v>
      </c>
      <c r="I39" t="s">
        <v>37</v>
      </c>
      <c r="P39"/>
      <c r="R39"/>
      <c r="AA39" s="5" t="str">
        <v>بلجرشي</v>
      </c>
    </row>
    <row r="40" spans="2:27">
      <c r="B40" s="5" t="s">
        <v>34</v>
      </c>
      <c r="C40" s="5" t="s">
        <v>56</v>
      </c>
      <c r="D40" s="5" t="s">
        <v>101</v>
      </c>
      <c r="F40" t="s">
        <v>34</v>
      </c>
      <c r="G40" t="s">
        <v>66</v>
      </c>
      <c r="H40" t="s">
        <v>37</v>
      </c>
      <c r="I40" t="s">
        <v>37</v>
      </c>
      <c r="P40"/>
      <c r="R40"/>
      <c r="AA40" s="5" t="str">
        <v>بلقرن</v>
      </c>
    </row>
    <row r="41" spans="2:27">
      <c r="B41" s="5" t="s">
        <v>34</v>
      </c>
      <c r="C41" s="5" t="s">
        <v>56</v>
      </c>
      <c r="D41" s="5" t="s">
        <v>104</v>
      </c>
      <c r="F41" t="s">
        <v>34</v>
      </c>
      <c r="G41" t="s">
        <v>32</v>
      </c>
      <c r="H41" t="s">
        <v>108</v>
      </c>
      <c r="I41" t="s">
        <v>108</v>
      </c>
      <c r="AA41" s="5" t="str">
        <v>بيش</v>
      </c>
    </row>
    <row r="42" spans="2:27">
      <c r="B42" s="5" t="s">
        <v>34</v>
      </c>
      <c r="C42" s="5" t="s">
        <v>26</v>
      </c>
      <c r="D42" s="5" t="s">
        <v>27</v>
      </c>
      <c r="F42" t="s">
        <v>34</v>
      </c>
      <c r="G42" t="s">
        <v>577</v>
      </c>
      <c r="H42" t="s">
        <v>24</v>
      </c>
      <c r="I42" t="s">
        <v>24</v>
      </c>
      <c r="AA42" s="5" t="str">
        <v>بيشة</v>
      </c>
    </row>
    <row r="43" spans="2:27">
      <c r="B43" s="5" t="s">
        <v>34</v>
      </c>
      <c r="C43" s="5" t="s">
        <v>28</v>
      </c>
      <c r="D43" s="5" t="s">
        <v>29</v>
      </c>
      <c r="F43" t="s">
        <v>34</v>
      </c>
      <c r="G43" t="s">
        <v>69</v>
      </c>
      <c r="H43" t="s">
        <v>35</v>
      </c>
      <c r="I43" t="s">
        <v>70</v>
      </c>
      <c r="AA43" s="5" t="str">
        <v>تبوك</v>
      </c>
    </row>
    <row r="44" spans="2:27">
      <c r="B44" s="5" t="s">
        <v>34</v>
      </c>
      <c r="C44" s="5" t="s">
        <v>30</v>
      </c>
      <c r="D44" s="5" t="s">
        <v>105</v>
      </c>
      <c r="F44" t="s">
        <v>34</v>
      </c>
      <c r="G44" t="s">
        <v>1055</v>
      </c>
      <c r="H44" t="s">
        <v>77</v>
      </c>
      <c r="I44" t="s">
        <v>105</v>
      </c>
      <c r="AA44" s="5" t="str">
        <v>جدة</v>
      </c>
    </row>
    <row r="45" spans="2:27">
      <c r="B45" s="5" t="s">
        <v>34</v>
      </c>
      <c r="C45" s="5" t="s">
        <v>60</v>
      </c>
      <c r="D45" s="5" t="s">
        <v>61</v>
      </c>
      <c r="F45" t="s">
        <v>34</v>
      </c>
      <c r="G45" t="s">
        <v>1204</v>
      </c>
      <c r="H45" t="s">
        <v>29</v>
      </c>
      <c r="I45" t="s">
        <v>29</v>
      </c>
      <c r="AA45" s="5" t="str">
        <v>جيزان</v>
      </c>
    </row>
    <row r="46" spans="2:27">
      <c r="B46" s="5" t="s">
        <v>34</v>
      </c>
      <c r="C46" s="5" t="s">
        <v>63</v>
      </c>
      <c r="D46" s="5" t="s">
        <v>102</v>
      </c>
      <c r="F46" t="s">
        <v>34</v>
      </c>
      <c r="G46" t="s">
        <v>1284</v>
      </c>
      <c r="H46" t="s">
        <v>75</v>
      </c>
      <c r="I46" t="s">
        <v>75</v>
      </c>
      <c r="AA46" s="5" t="str">
        <v>حائل</v>
      </c>
    </row>
    <row r="47" spans="2:27">
      <c r="B47" s="5" t="s">
        <v>34</v>
      </c>
      <c r="C47" s="5" t="s">
        <v>1285</v>
      </c>
      <c r="D47" s="5" t="s">
        <v>103</v>
      </c>
      <c r="F47" t="s">
        <v>34</v>
      </c>
      <c r="G47" t="s">
        <v>1285</v>
      </c>
      <c r="H47" t="s">
        <v>37</v>
      </c>
      <c r="I47" t="s">
        <v>37</v>
      </c>
      <c r="AA47" s="5" t="str">
        <v>حبونا</v>
      </c>
    </row>
    <row r="48" spans="2:27">
      <c r="B48" s="5" t="s">
        <v>34</v>
      </c>
      <c r="C48" s="5" t="s">
        <v>16</v>
      </c>
      <c r="D48" s="5" t="s">
        <v>97</v>
      </c>
      <c r="F48" t="s">
        <v>34</v>
      </c>
      <c r="G48" t="s">
        <v>1490</v>
      </c>
      <c r="H48" t="s">
        <v>75</v>
      </c>
      <c r="I48" t="s">
        <v>75</v>
      </c>
      <c r="AA48" s="5" t="str">
        <v>حفر الباطن</v>
      </c>
    </row>
    <row r="49" spans="2:27">
      <c r="B49" s="5" t="s">
        <v>34</v>
      </c>
      <c r="C49" s="5" t="s">
        <v>16</v>
      </c>
      <c r="D49" s="5" t="s">
        <v>94</v>
      </c>
      <c r="F49" t="s">
        <v>1560</v>
      </c>
      <c r="G49" t="s">
        <v>7</v>
      </c>
      <c r="H49" t="s">
        <v>81</v>
      </c>
      <c r="I49" t="s">
        <v>81</v>
      </c>
      <c r="AA49" s="5" t="str">
        <v>خميس مشيط</v>
      </c>
    </row>
    <row r="50" spans="2:27">
      <c r="B50" s="5" t="s">
        <v>34</v>
      </c>
      <c r="C50" s="5" t="s">
        <v>66</v>
      </c>
      <c r="D50" s="5" t="s">
        <v>67</v>
      </c>
      <c r="F50" t="s">
        <v>1560</v>
      </c>
      <c r="G50" t="s">
        <v>8</v>
      </c>
      <c r="H50" t="s">
        <v>77</v>
      </c>
      <c r="I50" t="s">
        <v>73</v>
      </c>
      <c r="AA50" s="5" t="str">
        <v>دومة الجندل</v>
      </c>
    </row>
    <row r="51" spans="2:27">
      <c r="B51" s="5" t="s">
        <v>34</v>
      </c>
      <c r="C51" s="5" t="s">
        <v>32</v>
      </c>
      <c r="D51" s="5" t="s">
        <v>108</v>
      </c>
      <c r="F51" t="s">
        <v>1560</v>
      </c>
      <c r="G51" t="s">
        <v>9</v>
      </c>
      <c r="H51" t="s">
        <v>74</v>
      </c>
      <c r="I51" t="s">
        <v>74</v>
      </c>
      <c r="AA51" s="5" t="str">
        <v>رفحاء</v>
      </c>
    </row>
    <row r="52" spans="2:27">
      <c r="B52" s="5" t="s">
        <v>34</v>
      </c>
      <c r="C52" s="5" t="s">
        <v>32</v>
      </c>
      <c r="D52" s="5" t="s">
        <v>109</v>
      </c>
      <c r="F52" t="s">
        <v>1560</v>
      </c>
      <c r="G52" t="s">
        <v>1283</v>
      </c>
      <c r="H52" t="s">
        <v>75</v>
      </c>
      <c r="I52" t="s">
        <v>75</v>
      </c>
      <c r="AA52" s="5" t="str">
        <v>رياض الخبراء</v>
      </c>
    </row>
    <row r="53" spans="2:27">
      <c r="B53" s="5" t="s">
        <v>34</v>
      </c>
      <c r="C53" s="5" t="s">
        <v>69</v>
      </c>
      <c r="D53" s="5" t="s">
        <v>70</v>
      </c>
      <c r="F53" t="s">
        <v>1560</v>
      </c>
      <c r="G53" t="s">
        <v>10</v>
      </c>
      <c r="H53" t="s">
        <v>182</v>
      </c>
      <c r="I53" t="s">
        <v>182</v>
      </c>
      <c r="AA53" s="5" t="str">
        <v>سكاكا</v>
      </c>
    </row>
    <row r="54" spans="2:27">
      <c r="B54" s="5" t="s">
        <v>34</v>
      </c>
      <c r="C54" s="5" t="s">
        <v>577</v>
      </c>
      <c r="D54" s="5" t="s">
        <v>503</v>
      </c>
      <c r="F54" t="s">
        <v>1560</v>
      </c>
      <c r="G54" t="s">
        <v>11</v>
      </c>
      <c r="H54" t="s">
        <v>35</v>
      </c>
      <c r="I54" t="s">
        <v>76</v>
      </c>
      <c r="AA54" s="5" t="str">
        <v>سميراء</v>
      </c>
    </row>
    <row r="55" spans="2:27">
      <c r="B55" s="5" t="s">
        <v>34</v>
      </c>
      <c r="C55" s="5" t="s">
        <v>9</v>
      </c>
      <c r="D55" s="5" t="s">
        <v>83</v>
      </c>
      <c r="F55" t="s">
        <v>1560</v>
      </c>
      <c r="G55" t="s">
        <v>12</v>
      </c>
      <c r="H55" t="s">
        <v>35</v>
      </c>
      <c r="I55" t="s">
        <v>49</v>
      </c>
      <c r="AA55" s="5" t="str">
        <v>سيهات</v>
      </c>
    </row>
    <row r="56" spans="2:27">
      <c r="B56" s="5" t="s">
        <v>34</v>
      </c>
      <c r="C56" s="5" t="s">
        <v>1055</v>
      </c>
      <c r="D56" s="5" t="s">
        <v>1028</v>
      </c>
      <c r="F56" t="s">
        <v>1560</v>
      </c>
      <c r="G56" t="s">
        <v>12</v>
      </c>
      <c r="H56" t="s">
        <v>35</v>
      </c>
      <c r="I56" t="s">
        <v>70</v>
      </c>
      <c r="AA56" s="5" t="str">
        <v>شرورة</v>
      </c>
    </row>
    <row r="57" spans="2:27">
      <c r="B57" s="5" t="s">
        <v>34</v>
      </c>
      <c r="C57" s="5" t="s">
        <v>1204</v>
      </c>
      <c r="D57" s="5" t="s">
        <v>1098</v>
      </c>
      <c r="F57" t="s">
        <v>1560</v>
      </c>
      <c r="G57" t="s">
        <v>13</v>
      </c>
      <c r="H57" t="s">
        <v>35</v>
      </c>
      <c r="I57" t="s">
        <v>35</v>
      </c>
      <c r="AA57" s="5" t="str">
        <v>صامطة</v>
      </c>
    </row>
    <row r="58" spans="2:27">
      <c r="B58" s="5" t="s">
        <v>34</v>
      </c>
      <c r="C58" s="5" t="s">
        <v>1204</v>
      </c>
      <c r="D58" s="5" t="s">
        <v>1041</v>
      </c>
      <c r="F58" t="s">
        <v>1560</v>
      </c>
      <c r="G58" t="s">
        <v>1489</v>
      </c>
      <c r="H58" t="s">
        <v>77</v>
      </c>
      <c r="I58" t="s">
        <v>77</v>
      </c>
      <c r="AA58" s="5" t="str">
        <v>صبيا</v>
      </c>
    </row>
    <row r="59" spans="2:27">
      <c r="B59" s="5" t="s">
        <v>34</v>
      </c>
      <c r="C59" s="5" t="s">
        <v>1284</v>
      </c>
      <c r="D59" s="5" t="s">
        <v>87</v>
      </c>
      <c r="F59" t="s">
        <v>1560</v>
      </c>
      <c r="G59" t="s">
        <v>1489</v>
      </c>
      <c r="H59" t="s">
        <v>77</v>
      </c>
      <c r="I59" t="s">
        <v>79</v>
      </c>
      <c r="AA59" s="5" t="str">
        <v>ضباء</v>
      </c>
    </row>
    <row r="60" spans="2:27">
      <c r="B60" s="5" t="s">
        <v>34</v>
      </c>
      <c r="C60" s="5" t="s">
        <v>44</v>
      </c>
      <c r="D60" s="5" t="s">
        <v>1288</v>
      </c>
      <c r="F60" t="s">
        <v>1560</v>
      </c>
      <c r="G60" t="s">
        <v>14</v>
      </c>
      <c r="H60" t="s">
        <v>108</v>
      </c>
      <c r="I60" t="s">
        <v>15</v>
      </c>
      <c r="AA60" s="5" t="str">
        <v>ضمد</v>
      </c>
    </row>
    <row r="61" spans="2:27">
      <c r="B61" s="5" t="s">
        <v>34</v>
      </c>
      <c r="C61" s="5" t="s">
        <v>17</v>
      </c>
      <c r="D61" s="5" t="s">
        <v>98</v>
      </c>
      <c r="F61" t="s">
        <v>1560</v>
      </c>
      <c r="G61" t="s">
        <v>16</v>
      </c>
      <c r="H61" t="s">
        <v>78</v>
      </c>
      <c r="I61" t="s">
        <v>78</v>
      </c>
      <c r="AA61" s="5" t="str">
        <v>طبرجل</v>
      </c>
    </row>
    <row r="62" spans="2:27">
      <c r="B62" s="5" t="s">
        <v>34</v>
      </c>
      <c r="C62" s="5" t="s">
        <v>1490</v>
      </c>
      <c r="D62" s="5" t="s">
        <v>650</v>
      </c>
      <c r="F62" t="s">
        <v>1560</v>
      </c>
      <c r="G62" t="s">
        <v>16</v>
      </c>
      <c r="H62" t="s">
        <v>78</v>
      </c>
      <c r="I62" t="s">
        <v>45</v>
      </c>
      <c r="AA62" s="5" t="str">
        <v>عرعر</v>
      </c>
    </row>
    <row r="63" spans="2:27">
      <c r="B63" s="5" t="s">
        <v>34</v>
      </c>
      <c r="C63" s="5" t="s">
        <v>44</v>
      </c>
      <c r="D63" s="5" t="s">
        <v>96</v>
      </c>
      <c r="F63" t="s">
        <v>1560</v>
      </c>
      <c r="G63" t="s">
        <v>17</v>
      </c>
      <c r="H63" t="s">
        <v>77</v>
      </c>
      <c r="I63" t="s">
        <v>79</v>
      </c>
      <c r="AA63" s="5" t="str">
        <v>عفيف</v>
      </c>
    </row>
    <row r="64" spans="2:27">
      <c r="B64" s="5" t="s">
        <v>1560</v>
      </c>
      <c r="C64" s="5" t="s">
        <v>7</v>
      </c>
      <c r="D64" s="5" t="s">
        <v>72</v>
      </c>
      <c r="F64" t="s">
        <v>1560</v>
      </c>
      <c r="G64" t="s">
        <v>17</v>
      </c>
      <c r="H64" t="s">
        <v>77</v>
      </c>
      <c r="I64" t="s">
        <v>77</v>
      </c>
      <c r="AA64" s="5" t="str">
        <v>عنيزة</v>
      </c>
    </row>
    <row r="65" spans="2:27">
      <c r="B65" s="5" t="s">
        <v>1560</v>
      </c>
      <c r="C65" s="5" t="s">
        <v>7</v>
      </c>
      <c r="D65" s="5" t="s">
        <v>82</v>
      </c>
      <c r="F65" t="s">
        <v>1560</v>
      </c>
      <c r="G65" t="s">
        <v>18</v>
      </c>
      <c r="H65" t="s">
        <v>108</v>
      </c>
      <c r="I65" t="s">
        <v>108</v>
      </c>
      <c r="AA65" s="5" t="str">
        <v>عيون الجواء</v>
      </c>
    </row>
    <row r="66" spans="2:27">
      <c r="B66" s="5" t="s">
        <v>1560</v>
      </c>
      <c r="C66" s="5" t="s">
        <v>8</v>
      </c>
      <c r="D66" s="5" t="s">
        <v>73</v>
      </c>
      <c r="F66" t="s">
        <v>1560</v>
      </c>
      <c r="G66" t="s">
        <v>46</v>
      </c>
      <c r="H66" t="s">
        <v>35</v>
      </c>
      <c r="I66" t="s">
        <v>80</v>
      </c>
      <c r="AA66" s="5" t="str">
        <v>فرسان</v>
      </c>
    </row>
    <row r="67" spans="2:27">
      <c r="B67" s="5" t="s">
        <v>1560</v>
      </c>
      <c r="C67" s="5" t="s">
        <v>9</v>
      </c>
      <c r="D67" s="5" t="s">
        <v>74</v>
      </c>
      <c r="F67" t="s">
        <v>1560</v>
      </c>
      <c r="G67" t="s">
        <v>46</v>
      </c>
      <c r="H67" t="s">
        <v>35</v>
      </c>
      <c r="I67" t="s">
        <v>47</v>
      </c>
      <c r="AA67" s="5" t="str">
        <v>فيد</v>
      </c>
    </row>
    <row r="68" spans="2:27">
      <c r="B68" s="5" t="s">
        <v>1560</v>
      </c>
      <c r="C68" s="5" t="s">
        <v>9</v>
      </c>
      <c r="D68" s="5" t="s">
        <v>83</v>
      </c>
      <c r="F68" t="s">
        <v>1560</v>
      </c>
      <c r="G68" t="s">
        <v>46</v>
      </c>
      <c r="H68" t="s">
        <v>35</v>
      </c>
      <c r="I68" t="s">
        <v>62</v>
      </c>
      <c r="AA68" s="5" t="str">
        <v>محايل عسير</v>
      </c>
    </row>
    <row r="69" spans="2:27">
      <c r="B69" s="5" t="s">
        <v>1560</v>
      </c>
      <c r="C69" s="5" t="s">
        <v>9</v>
      </c>
      <c r="D69" s="5" t="s">
        <v>84</v>
      </c>
      <c r="F69" t="s">
        <v>1560</v>
      </c>
      <c r="G69" t="s">
        <v>20</v>
      </c>
      <c r="H69" t="s">
        <v>21</v>
      </c>
      <c r="I69" t="s">
        <v>21</v>
      </c>
      <c r="AA69" s="5" t="str">
        <v>مركز الرفيعة</v>
      </c>
    </row>
    <row r="70" spans="2:27">
      <c r="B70" s="5" t="s">
        <v>1560</v>
      </c>
      <c r="C70" s="5" t="s">
        <v>9</v>
      </c>
      <c r="D70" s="5" t="s">
        <v>927</v>
      </c>
      <c r="F70" t="s">
        <v>1560</v>
      </c>
      <c r="G70" t="s">
        <v>22</v>
      </c>
      <c r="H70" t="s">
        <v>37</v>
      </c>
      <c r="I70" t="s">
        <v>37</v>
      </c>
      <c r="AA70" s="5" t="str">
        <v>مكة المكرمة</v>
      </c>
    </row>
    <row r="71" spans="2:27">
      <c r="B71" s="5" t="s">
        <v>1560</v>
      </c>
      <c r="C71" s="5" t="s">
        <v>1283</v>
      </c>
      <c r="D71" s="5" t="s">
        <v>85</v>
      </c>
      <c r="F71" t="s">
        <v>1560</v>
      </c>
      <c r="G71" t="s">
        <v>23</v>
      </c>
      <c r="H71" t="s">
        <v>24</v>
      </c>
      <c r="I71" t="s">
        <v>24</v>
      </c>
      <c r="AA71" s="5" t="str">
        <v>مهد الذهب</v>
      </c>
    </row>
    <row r="72" spans="2:27">
      <c r="B72" s="5" t="s">
        <v>1560</v>
      </c>
      <c r="C72" s="5" t="s">
        <v>1283</v>
      </c>
      <c r="D72" s="5" t="s">
        <v>86</v>
      </c>
      <c r="F72" t="s">
        <v>1560</v>
      </c>
      <c r="G72" t="s">
        <v>25</v>
      </c>
      <c r="H72" t="s">
        <v>37</v>
      </c>
      <c r="I72" t="s">
        <v>37</v>
      </c>
      <c r="AA72" s="5" t="str">
        <v>نجران</v>
      </c>
    </row>
    <row r="73" spans="2:27">
      <c r="B73" s="5" t="s">
        <v>1560</v>
      </c>
      <c r="C73" s="5" t="s">
        <v>1284</v>
      </c>
      <c r="D73" s="5" t="s">
        <v>87</v>
      </c>
      <c r="F73" t="s">
        <v>1560</v>
      </c>
      <c r="G73" t="s">
        <v>26</v>
      </c>
      <c r="H73" t="s">
        <v>108</v>
      </c>
      <c r="I73" t="s">
        <v>27</v>
      </c>
      <c r="AA73" s="5" t="str">
        <v>وادي الدواسر</v>
      </c>
    </row>
    <row r="74" spans="2:27">
      <c r="B74" s="5" t="s">
        <v>1560</v>
      </c>
      <c r="C74" s="5" t="s">
        <v>10</v>
      </c>
      <c r="D74" s="5" t="s">
        <v>41</v>
      </c>
      <c r="F74" t="s">
        <v>1560</v>
      </c>
      <c r="G74" t="s">
        <v>28</v>
      </c>
      <c r="H74" t="s">
        <v>29</v>
      </c>
      <c r="I74" t="s">
        <v>29</v>
      </c>
      <c r="AA74" s="5" t="str">
        <v>ينبع</v>
      </c>
    </row>
    <row r="75" spans="2:27">
      <c r="B75" s="5" t="s">
        <v>1560</v>
      </c>
      <c r="C75" s="5" t="s">
        <v>10</v>
      </c>
      <c r="D75" s="5" t="s">
        <v>59</v>
      </c>
      <c r="F75" t="s">
        <v>1560</v>
      </c>
      <c r="G75" t="s">
        <v>30</v>
      </c>
      <c r="H75" t="s">
        <v>77</v>
      </c>
      <c r="I75" t="s">
        <v>105</v>
      </c>
    </row>
    <row r="76" spans="2:27">
      <c r="B76" s="5" t="s">
        <v>1560</v>
      </c>
      <c r="C76" s="5" t="s">
        <v>11</v>
      </c>
      <c r="D76" s="5" t="s">
        <v>76</v>
      </c>
      <c r="F76" t="s">
        <v>1560</v>
      </c>
      <c r="G76" t="s">
        <v>31</v>
      </c>
      <c r="H76" t="s">
        <v>81</v>
      </c>
      <c r="I76" t="s">
        <v>81</v>
      </c>
    </row>
    <row r="77" spans="2:27">
      <c r="B77" s="5" t="s">
        <v>1560</v>
      </c>
      <c r="C77" s="5" t="s">
        <v>11</v>
      </c>
      <c r="D77" s="5" t="s">
        <v>88</v>
      </c>
      <c r="F77" t="s">
        <v>1560</v>
      </c>
      <c r="G77" t="s">
        <v>32</v>
      </c>
      <c r="H77" t="s">
        <v>108</v>
      </c>
      <c r="I77" t="s">
        <v>108</v>
      </c>
    </row>
    <row r="78" spans="2:27">
      <c r="B78" s="5" t="s">
        <v>1560</v>
      </c>
      <c r="C78" s="5" t="s">
        <v>64</v>
      </c>
      <c r="D78" s="5" t="s">
        <v>65</v>
      </c>
      <c r="F78" t="s">
        <v>1560</v>
      </c>
      <c r="G78" t="s">
        <v>33</v>
      </c>
      <c r="H78" t="s">
        <v>68</v>
      </c>
      <c r="I78" t="s">
        <v>68</v>
      </c>
    </row>
    <row r="79" spans="2:27">
      <c r="B79" s="5" t="s">
        <v>1560</v>
      </c>
      <c r="C79" s="5" t="s">
        <v>12</v>
      </c>
      <c r="D79" s="5" t="s">
        <v>49</v>
      </c>
      <c r="F79" t="s">
        <v>1560</v>
      </c>
      <c r="G79" t="s">
        <v>577</v>
      </c>
      <c r="H79" t="s">
        <v>24</v>
      </c>
      <c r="I79" t="s">
        <v>24</v>
      </c>
    </row>
    <row r="80" spans="2:27">
      <c r="B80" s="5" t="s">
        <v>1560</v>
      </c>
      <c r="C80" s="5" t="s">
        <v>69</v>
      </c>
      <c r="D80" s="5" t="s">
        <v>70</v>
      </c>
      <c r="F80" t="s">
        <v>1560</v>
      </c>
      <c r="G80" t="s">
        <v>575</v>
      </c>
      <c r="H80" t="s">
        <v>24</v>
      </c>
      <c r="I80" t="s">
        <v>24</v>
      </c>
    </row>
    <row r="81" spans="2:9">
      <c r="B81" s="5" t="s">
        <v>1560</v>
      </c>
      <c r="C81" s="5" t="s">
        <v>13</v>
      </c>
      <c r="D81" s="5" t="s">
        <v>35</v>
      </c>
      <c r="F81" t="s">
        <v>1560</v>
      </c>
      <c r="G81" t="s">
        <v>576</v>
      </c>
      <c r="H81" t="s">
        <v>24</v>
      </c>
      <c r="I81" t="s">
        <v>24</v>
      </c>
    </row>
    <row r="82" spans="2:9">
      <c r="B82" s="5" t="s">
        <v>1560</v>
      </c>
      <c r="C82" s="5" t="s">
        <v>1559</v>
      </c>
      <c r="D82" s="5" t="s">
        <v>89</v>
      </c>
      <c r="F82" t="s">
        <v>1560</v>
      </c>
      <c r="G82" t="s">
        <v>578</v>
      </c>
      <c r="H82" t="s">
        <v>21</v>
      </c>
      <c r="I82" t="s">
        <v>21</v>
      </c>
    </row>
    <row r="83" spans="2:9">
      <c r="B83" s="5" t="s">
        <v>1560</v>
      </c>
      <c r="C83" s="5" t="s">
        <v>1559</v>
      </c>
      <c r="D83" s="5" t="s">
        <v>90</v>
      </c>
      <c r="F83" t="s">
        <v>1560</v>
      </c>
      <c r="G83" t="s">
        <v>54</v>
      </c>
      <c r="H83" t="s">
        <v>81</v>
      </c>
      <c r="I83" t="s">
        <v>81</v>
      </c>
    </row>
    <row r="84" spans="2:9">
      <c r="B84" s="5" t="s">
        <v>1560</v>
      </c>
      <c r="C84" s="5" t="s">
        <v>1489</v>
      </c>
      <c r="D84" s="5" t="s">
        <v>91</v>
      </c>
      <c r="F84" t="s">
        <v>1560</v>
      </c>
      <c r="G84" t="s">
        <v>42</v>
      </c>
      <c r="H84" t="s">
        <v>77</v>
      </c>
      <c r="I84" t="s">
        <v>105</v>
      </c>
    </row>
    <row r="85" spans="2:9">
      <c r="B85" s="5" t="s">
        <v>1560</v>
      </c>
      <c r="C85" s="5" t="s">
        <v>1489</v>
      </c>
      <c r="D85" s="5" t="s">
        <v>92</v>
      </c>
      <c r="F85" t="s">
        <v>1560</v>
      </c>
      <c r="G85" t="s">
        <v>1055</v>
      </c>
      <c r="H85" t="s">
        <v>77</v>
      </c>
      <c r="I85" t="s">
        <v>105</v>
      </c>
    </row>
    <row r="86" spans="2:9">
      <c r="B86" s="5" t="s">
        <v>1560</v>
      </c>
      <c r="C86" s="5" t="s">
        <v>14</v>
      </c>
      <c r="D86" s="5" t="s">
        <v>15</v>
      </c>
      <c r="F86" t="s">
        <v>1560</v>
      </c>
      <c r="G86" t="s">
        <v>1204</v>
      </c>
      <c r="H86" t="s">
        <v>29</v>
      </c>
      <c r="I86" t="s">
        <v>29</v>
      </c>
    </row>
    <row r="87" spans="2:9">
      <c r="B87" s="5" t="s">
        <v>1560</v>
      </c>
      <c r="C87" s="5" t="s">
        <v>16</v>
      </c>
      <c r="D87" s="5" t="s">
        <v>93</v>
      </c>
      <c r="F87" t="s">
        <v>1560</v>
      </c>
      <c r="G87" t="s">
        <v>1284</v>
      </c>
      <c r="H87" t="s">
        <v>75</v>
      </c>
      <c r="I87" t="s">
        <v>75</v>
      </c>
    </row>
    <row r="88" spans="2:9">
      <c r="B88" s="5" t="s">
        <v>1560</v>
      </c>
      <c r="C88" s="5" t="s">
        <v>16</v>
      </c>
      <c r="D88" s="5" t="s">
        <v>94</v>
      </c>
      <c r="F88" t="s">
        <v>1560</v>
      </c>
      <c r="G88" t="s">
        <v>39</v>
      </c>
      <c r="H88" t="s">
        <v>37</v>
      </c>
      <c r="I88" t="s">
        <v>37</v>
      </c>
    </row>
    <row r="89" spans="2:9">
      <c r="B89" s="5" t="s">
        <v>1560</v>
      </c>
      <c r="C89" s="5" t="s">
        <v>44</v>
      </c>
      <c r="D89" s="5" t="s">
        <v>95</v>
      </c>
      <c r="F89" t="s">
        <v>1560</v>
      </c>
      <c r="G89" t="s">
        <v>56</v>
      </c>
      <c r="H89" t="s">
        <v>37</v>
      </c>
      <c r="I89" t="s">
        <v>37</v>
      </c>
    </row>
    <row r="90" spans="2:9">
      <c r="B90" s="5" t="s">
        <v>1560</v>
      </c>
      <c r="C90" s="5" t="s">
        <v>44</v>
      </c>
      <c r="D90" s="5" t="s">
        <v>45</v>
      </c>
      <c r="F90" t="s">
        <v>1560</v>
      </c>
      <c r="G90" t="s">
        <v>63</v>
      </c>
      <c r="H90" t="s">
        <v>37</v>
      </c>
      <c r="I90" t="s">
        <v>37</v>
      </c>
    </row>
    <row r="91" spans="2:9">
      <c r="B91" s="5" t="s">
        <v>1560</v>
      </c>
      <c r="C91" s="5" t="s">
        <v>16</v>
      </c>
      <c r="D91" s="5" t="s">
        <v>97</v>
      </c>
      <c r="F91" t="s">
        <v>1560</v>
      </c>
      <c r="G91" t="s">
        <v>1285</v>
      </c>
      <c r="H91" t="s">
        <v>37</v>
      </c>
      <c r="I91" t="s">
        <v>37</v>
      </c>
    </row>
    <row r="92" spans="2:9">
      <c r="B92" s="5" t="s">
        <v>1560</v>
      </c>
      <c r="C92" s="5" t="s">
        <v>16</v>
      </c>
      <c r="D92" s="5" t="s">
        <v>111</v>
      </c>
      <c r="F92" t="s">
        <v>1560</v>
      </c>
      <c r="G92" t="s">
        <v>64</v>
      </c>
      <c r="H92" t="s">
        <v>35</v>
      </c>
      <c r="I92" t="s">
        <v>49</v>
      </c>
    </row>
    <row r="93" spans="2:9">
      <c r="B93" s="5" t="s">
        <v>1560</v>
      </c>
      <c r="C93" s="5" t="s">
        <v>17</v>
      </c>
      <c r="D93" s="5" t="s">
        <v>79</v>
      </c>
      <c r="F93" t="s">
        <v>1560</v>
      </c>
      <c r="G93" t="s">
        <v>69</v>
      </c>
      <c r="H93" t="s">
        <v>35</v>
      </c>
      <c r="I93" t="s">
        <v>70</v>
      </c>
    </row>
    <row r="94" spans="2:9">
      <c r="B94" s="5" t="s">
        <v>1560</v>
      </c>
      <c r="C94" s="5" t="s">
        <v>17</v>
      </c>
      <c r="D94" s="5" t="s">
        <v>98</v>
      </c>
      <c r="F94" t="s">
        <v>1560</v>
      </c>
      <c r="G94" t="s">
        <v>1490</v>
      </c>
      <c r="H94" t="s">
        <v>75</v>
      </c>
      <c r="I94" t="s">
        <v>75</v>
      </c>
    </row>
    <row r="95" spans="2:9">
      <c r="B95" s="5" t="s">
        <v>1560</v>
      </c>
      <c r="C95" s="5" t="s">
        <v>18</v>
      </c>
      <c r="D95" s="5" t="s">
        <v>48</v>
      </c>
      <c r="F95" s="5" t="s">
        <v>1560</v>
      </c>
      <c r="G95" s="5" t="s">
        <v>60</v>
      </c>
      <c r="H95" s="5" t="s">
        <v>68</v>
      </c>
      <c r="I95" s="5" t="s">
        <v>68</v>
      </c>
    </row>
    <row r="96" spans="2:9">
      <c r="B96" s="5" t="s">
        <v>1560</v>
      </c>
      <c r="C96" s="5" t="s">
        <v>18</v>
      </c>
      <c r="D96" s="5" t="s">
        <v>51</v>
      </c>
      <c r="F96" s="5" t="s">
        <v>1560</v>
      </c>
      <c r="G96" s="5" t="s">
        <v>1559</v>
      </c>
      <c r="H96" s="5" t="s">
        <v>77</v>
      </c>
      <c r="I96" s="5" t="s">
        <v>77</v>
      </c>
    </row>
    <row r="97" spans="2:9">
      <c r="B97" s="5" t="s">
        <v>1560</v>
      </c>
      <c r="C97" s="5" t="s">
        <v>18</v>
      </c>
      <c r="D97" s="5" t="s">
        <v>924</v>
      </c>
      <c r="F97" s="5" t="s">
        <v>1560</v>
      </c>
      <c r="G97" s="5" t="s">
        <v>1559</v>
      </c>
      <c r="H97" s="5" t="s">
        <v>77</v>
      </c>
      <c r="I97" s="5" t="s">
        <v>79</v>
      </c>
    </row>
    <row r="98" spans="2:9">
      <c r="B98" s="5" t="s">
        <v>1560</v>
      </c>
      <c r="C98" s="5" t="s">
        <v>46</v>
      </c>
      <c r="D98" s="5" t="s">
        <v>80</v>
      </c>
      <c r="F98" s="5" t="s">
        <v>1561</v>
      </c>
      <c r="G98" s="5" t="s">
        <v>7</v>
      </c>
      <c r="H98" s="5" t="s">
        <v>81</v>
      </c>
      <c r="I98" s="5" t="s">
        <v>81</v>
      </c>
    </row>
    <row r="99" spans="2:9">
      <c r="B99" s="5" t="s">
        <v>1560</v>
      </c>
      <c r="C99" s="5" t="s">
        <v>46</v>
      </c>
      <c r="D99" s="5" t="s">
        <v>99</v>
      </c>
      <c r="F99" t="s">
        <v>1561</v>
      </c>
      <c r="G99" t="s">
        <v>8</v>
      </c>
      <c r="H99" t="s">
        <v>77</v>
      </c>
      <c r="I99" t="s">
        <v>73</v>
      </c>
    </row>
    <row r="100" spans="2:9">
      <c r="B100" s="5" t="s">
        <v>1560</v>
      </c>
      <c r="C100" s="5" t="s">
        <v>46</v>
      </c>
      <c r="D100" s="5" t="s">
        <v>47</v>
      </c>
      <c r="F100" t="s">
        <v>1561</v>
      </c>
      <c r="G100" t="s">
        <v>9</v>
      </c>
      <c r="H100" t="s">
        <v>74</v>
      </c>
      <c r="I100" t="s">
        <v>74</v>
      </c>
    </row>
    <row r="101" spans="2:9">
      <c r="B101" s="5" t="s">
        <v>1560</v>
      </c>
      <c r="C101" s="5" t="s">
        <v>20</v>
      </c>
      <c r="D101" s="5" t="s">
        <v>21</v>
      </c>
      <c r="F101" t="s">
        <v>1561</v>
      </c>
      <c r="G101" t="s">
        <v>1283</v>
      </c>
      <c r="H101" t="s">
        <v>75</v>
      </c>
      <c r="I101" t="s">
        <v>75</v>
      </c>
    </row>
    <row r="102" spans="2:9">
      <c r="B102" s="5" t="s">
        <v>1560</v>
      </c>
      <c r="C102" s="5" t="s">
        <v>22</v>
      </c>
      <c r="D102" s="5" t="s">
        <v>100</v>
      </c>
      <c r="F102" t="s">
        <v>1561</v>
      </c>
      <c r="G102" t="s">
        <v>10</v>
      </c>
      <c r="H102" t="s">
        <v>182</v>
      </c>
      <c r="I102" t="s">
        <v>182</v>
      </c>
    </row>
    <row r="103" spans="2:9">
      <c r="B103" s="5" t="s">
        <v>1560</v>
      </c>
      <c r="C103" s="5" t="s">
        <v>22</v>
      </c>
      <c r="D103" s="5" t="s">
        <v>36</v>
      </c>
      <c r="F103" t="s">
        <v>1561</v>
      </c>
      <c r="G103" t="s">
        <v>11</v>
      </c>
      <c r="H103" t="s">
        <v>35</v>
      </c>
      <c r="I103" t="s">
        <v>76</v>
      </c>
    </row>
    <row r="104" spans="2:9">
      <c r="B104" s="5" t="s">
        <v>1560</v>
      </c>
      <c r="C104" s="5" t="s">
        <v>23</v>
      </c>
      <c r="D104" s="5" t="s">
        <v>24</v>
      </c>
      <c r="F104" t="s">
        <v>1561</v>
      </c>
      <c r="G104" t="s">
        <v>12</v>
      </c>
      <c r="H104" t="s">
        <v>35</v>
      </c>
      <c r="I104" t="s">
        <v>49</v>
      </c>
    </row>
    <row r="105" spans="2:9">
      <c r="B105" s="5" t="s">
        <v>1560</v>
      </c>
      <c r="C105" s="5" t="s">
        <v>25</v>
      </c>
      <c r="D105" s="5" t="s">
        <v>415</v>
      </c>
      <c r="F105" t="s">
        <v>1561</v>
      </c>
      <c r="G105" t="s">
        <v>12</v>
      </c>
      <c r="H105" t="s">
        <v>35</v>
      </c>
      <c r="I105" t="s">
        <v>70</v>
      </c>
    </row>
    <row r="106" spans="2:9">
      <c r="B106" s="5" t="s">
        <v>1560</v>
      </c>
      <c r="C106" s="5" t="s">
        <v>39</v>
      </c>
      <c r="D106" s="5" t="s">
        <v>40</v>
      </c>
      <c r="F106" t="s">
        <v>1561</v>
      </c>
      <c r="G106" t="s">
        <v>13</v>
      </c>
      <c r="H106" t="s">
        <v>35</v>
      </c>
      <c r="I106" t="s">
        <v>35</v>
      </c>
    </row>
    <row r="107" spans="2:9">
      <c r="B107" s="5" t="s">
        <v>1560</v>
      </c>
      <c r="C107" s="5" t="s">
        <v>56</v>
      </c>
      <c r="D107" s="5" t="s">
        <v>101</v>
      </c>
      <c r="F107" t="s">
        <v>1561</v>
      </c>
      <c r="G107" t="s">
        <v>1489</v>
      </c>
      <c r="H107" t="s">
        <v>77</v>
      </c>
      <c r="I107" t="s">
        <v>77</v>
      </c>
    </row>
    <row r="108" spans="2:9">
      <c r="B108" s="5" t="s">
        <v>1560</v>
      </c>
      <c r="C108" s="5" t="s">
        <v>63</v>
      </c>
      <c r="D108" s="5" t="s">
        <v>102</v>
      </c>
      <c r="F108" t="s">
        <v>1561</v>
      </c>
      <c r="G108" t="s">
        <v>1489</v>
      </c>
      <c r="H108" t="s">
        <v>77</v>
      </c>
      <c r="I108" t="s">
        <v>79</v>
      </c>
    </row>
    <row r="109" spans="2:9">
      <c r="B109" s="5" t="s">
        <v>1560</v>
      </c>
      <c r="C109" s="5" t="s">
        <v>1285</v>
      </c>
      <c r="D109" s="5" t="s">
        <v>103</v>
      </c>
      <c r="F109" t="s">
        <v>1561</v>
      </c>
      <c r="G109" t="s">
        <v>14</v>
      </c>
      <c r="H109" t="s">
        <v>108</v>
      </c>
      <c r="I109" t="s">
        <v>15</v>
      </c>
    </row>
    <row r="110" spans="2:9">
      <c r="B110" s="5" t="s">
        <v>1560</v>
      </c>
      <c r="C110" s="5" t="s">
        <v>56</v>
      </c>
      <c r="D110" s="5" t="s">
        <v>104</v>
      </c>
      <c r="F110" t="s">
        <v>1561</v>
      </c>
      <c r="G110" t="s">
        <v>16</v>
      </c>
      <c r="H110" t="s">
        <v>78</v>
      </c>
      <c r="I110" t="s">
        <v>78</v>
      </c>
    </row>
    <row r="111" spans="2:9">
      <c r="B111" s="5" t="s">
        <v>1560</v>
      </c>
      <c r="C111" s="5" t="s">
        <v>26</v>
      </c>
      <c r="D111" s="5" t="s">
        <v>27</v>
      </c>
      <c r="F111" t="s">
        <v>1561</v>
      </c>
      <c r="G111" t="s">
        <v>16</v>
      </c>
      <c r="H111" t="s">
        <v>78</v>
      </c>
      <c r="I111" t="s">
        <v>45</v>
      </c>
    </row>
    <row r="112" spans="2:9">
      <c r="B112" s="5" t="s">
        <v>1560</v>
      </c>
      <c r="C112" s="5" t="s">
        <v>28</v>
      </c>
      <c r="D112" s="5" t="s">
        <v>29</v>
      </c>
      <c r="F112" t="s">
        <v>1561</v>
      </c>
      <c r="G112" t="s">
        <v>17</v>
      </c>
      <c r="H112" t="s">
        <v>77</v>
      </c>
      <c r="I112" t="s">
        <v>79</v>
      </c>
    </row>
    <row r="113" spans="2:9">
      <c r="B113" s="5" t="s">
        <v>1560</v>
      </c>
      <c r="C113" s="5" t="s">
        <v>30</v>
      </c>
      <c r="D113" s="5" t="s">
        <v>105</v>
      </c>
      <c r="F113" t="s">
        <v>1561</v>
      </c>
      <c r="G113" t="s">
        <v>17</v>
      </c>
      <c r="H113" t="s">
        <v>77</v>
      </c>
      <c r="I113" t="s">
        <v>77</v>
      </c>
    </row>
    <row r="114" spans="2:9">
      <c r="B114" s="5" t="s">
        <v>1560</v>
      </c>
      <c r="C114" s="5" t="s">
        <v>31</v>
      </c>
      <c r="D114" s="5" t="s">
        <v>38</v>
      </c>
      <c r="F114" t="s">
        <v>1561</v>
      </c>
      <c r="G114" t="s">
        <v>18</v>
      </c>
      <c r="H114" t="s">
        <v>108</v>
      </c>
      <c r="I114" t="s">
        <v>108</v>
      </c>
    </row>
    <row r="115" spans="2:9">
      <c r="B115" s="5" t="s">
        <v>1560</v>
      </c>
      <c r="C115" s="5" t="s">
        <v>31</v>
      </c>
      <c r="D115" s="5" t="s">
        <v>107</v>
      </c>
      <c r="F115" t="s">
        <v>1561</v>
      </c>
      <c r="G115" t="s">
        <v>46</v>
      </c>
      <c r="H115" t="s">
        <v>35</v>
      </c>
      <c r="I115" t="s">
        <v>80</v>
      </c>
    </row>
    <row r="116" spans="2:9">
      <c r="B116" s="5" t="s">
        <v>1560</v>
      </c>
      <c r="C116" s="5" t="s">
        <v>32</v>
      </c>
      <c r="D116" s="5" t="s">
        <v>108</v>
      </c>
      <c r="F116" t="s">
        <v>1561</v>
      </c>
      <c r="G116" t="s">
        <v>46</v>
      </c>
      <c r="H116" t="s">
        <v>35</v>
      </c>
      <c r="I116" t="s">
        <v>47</v>
      </c>
    </row>
    <row r="117" spans="2:9">
      <c r="B117" s="5" t="s">
        <v>1560</v>
      </c>
      <c r="C117" s="5" t="s">
        <v>32</v>
      </c>
      <c r="D117" s="5" t="s">
        <v>109</v>
      </c>
      <c r="F117" t="s">
        <v>1561</v>
      </c>
      <c r="G117" t="s">
        <v>46</v>
      </c>
      <c r="H117" t="s">
        <v>35</v>
      </c>
      <c r="I117" t="s">
        <v>62</v>
      </c>
    </row>
    <row r="118" spans="2:9">
      <c r="B118" s="5" t="s">
        <v>1560</v>
      </c>
      <c r="C118" s="5" t="s">
        <v>33</v>
      </c>
      <c r="D118" s="5" t="s">
        <v>68</v>
      </c>
      <c r="F118" t="s">
        <v>1561</v>
      </c>
      <c r="G118" t="s">
        <v>20</v>
      </c>
      <c r="H118" t="s">
        <v>21</v>
      </c>
      <c r="I118" t="s">
        <v>21</v>
      </c>
    </row>
    <row r="119" spans="2:9">
      <c r="B119" s="5" t="s">
        <v>1560</v>
      </c>
      <c r="C119" s="5" t="s">
        <v>33</v>
      </c>
      <c r="D119" s="5" t="s">
        <v>110</v>
      </c>
      <c r="F119" t="s">
        <v>1561</v>
      </c>
      <c r="G119" t="s">
        <v>22</v>
      </c>
      <c r="H119" t="s">
        <v>37</v>
      </c>
      <c r="I119" t="s">
        <v>37</v>
      </c>
    </row>
    <row r="120" spans="2:9">
      <c r="B120" s="5" t="s">
        <v>1560</v>
      </c>
      <c r="C120" s="5" t="s">
        <v>60</v>
      </c>
      <c r="D120" s="5" t="s">
        <v>61</v>
      </c>
      <c r="F120" t="s">
        <v>1561</v>
      </c>
      <c r="G120" t="s">
        <v>23</v>
      </c>
      <c r="H120" t="s">
        <v>24</v>
      </c>
      <c r="I120" t="s">
        <v>24</v>
      </c>
    </row>
    <row r="121" spans="2:9">
      <c r="B121" s="5" t="s">
        <v>1560</v>
      </c>
      <c r="C121" s="5" t="s">
        <v>42</v>
      </c>
      <c r="D121" s="5" t="s">
        <v>43</v>
      </c>
      <c r="F121" t="s">
        <v>1561</v>
      </c>
      <c r="G121" t="s">
        <v>25</v>
      </c>
      <c r="H121" t="s">
        <v>37</v>
      </c>
      <c r="I121" t="s">
        <v>37</v>
      </c>
    </row>
    <row r="122" spans="2:9">
      <c r="B122" s="5" t="s">
        <v>1560</v>
      </c>
      <c r="C122" s="5" t="s">
        <v>577</v>
      </c>
      <c r="D122" s="5" t="s">
        <v>503</v>
      </c>
      <c r="F122" t="s">
        <v>1561</v>
      </c>
      <c r="G122" t="s">
        <v>26</v>
      </c>
      <c r="H122" t="s">
        <v>108</v>
      </c>
      <c r="I122" t="s">
        <v>27</v>
      </c>
    </row>
    <row r="123" spans="2:9">
      <c r="B123" s="5" t="s">
        <v>1560</v>
      </c>
      <c r="C123" s="5" t="s">
        <v>577</v>
      </c>
      <c r="D123" s="5" t="s">
        <v>58</v>
      </c>
      <c r="F123" t="s">
        <v>1561</v>
      </c>
      <c r="G123" t="s">
        <v>28</v>
      </c>
      <c r="H123" t="s">
        <v>29</v>
      </c>
      <c r="I123" t="s">
        <v>29</v>
      </c>
    </row>
    <row r="124" spans="2:9">
      <c r="B124" s="5" t="s">
        <v>1560</v>
      </c>
      <c r="C124" s="5" t="s">
        <v>575</v>
      </c>
      <c r="D124" s="5" t="s">
        <v>574</v>
      </c>
      <c r="F124" t="s">
        <v>1561</v>
      </c>
      <c r="G124" t="s">
        <v>30</v>
      </c>
      <c r="H124" t="s">
        <v>77</v>
      </c>
      <c r="I124" t="s">
        <v>105</v>
      </c>
    </row>
    <row r="125" spans="2:9">
      <c r="B125" s="5" t="s">
        <v>1560</v>
      </c>
      <c r="C125" s="5" t="s">
        <v>576</v>
      </c>
      <c r="D125" s="5" t="s">
        <v>306</v>
      </c>
      <c r="F125" t="s">
        <v>1561</v>
      </c>
      <c r="G125" t="s">
        <v>31</v>
      </c>
      <c r="H125" t="s">
        <v>81</v>
      </c>
      <c r="I125" t="s">
        <v>81</v>
      </c>
    </row>
    <row r="126" spans="2:9">
      <c r="B126" s="5" t="s">
        <v>1560</v>
      </c>
      <c r="C126" s="5" t="s">
        <v>578</v>
      </c>
      <c r="D126" s="5" t="s">
        <v>215</v>
      </c>
      <c r="F126" s="5" t="s">
        <v>1561</v>
      </c>
      <c r="G126" s="5" t="s">
        <v>32</v>
      </c>
      <c r="H126" s="5" t="s">
        <v>108</v>
      </c>
      <c r="I126" s="5" t="s">
        <v>108</v>
      </c>
    </row>
    <row r="127" spans="2:9">
      <c r="B127" s="5" t="s">
        <v>1560</v>
      </c>
      <c r="C127" s="5" t="s">
        <v>54</v>
      </c>
      <c r="D127" s="5" t="s">
        <v>55</v>
      </c>
      <c r="F127" s="5" t="s">
        <v>1561</v>
      </c>
      <c r="G127" s="5" t="s">
        <v>33</v>
      </c>
      <c r="H127" s="5" t="s">
        <v>68</v>
      </c>
      <c r="I127" s="5" t="s">
        <v>68</v>
      </c>
    </row>
    <row r="128" spans="2:9">
      <c r="B128" s="5" t="s">
        <v>1560</v>
      </c>
      <c r="C128" s="5" t="s">
        <v>28</v>
      </c>
      <c r="D128" s="5" t="s">
        <v>722</v>
      </c>
      <c r="F128" s="5" t="s">
        <v>1561</v>
      </c>
      <c r="G128" s="5" t="s">
        <v>577</v>
      </c>
      <c r="H128" s="5" t="s">
        <v>24</v>
      </c>
      <c r="I128" s="5" t="s">
        <v>24</v>
      </c>
    </row>
    <row r="129" spans="2:9">
      <c r="B129" s="5" t="s">
        <v>1560</v>
      </c>
      <c r="C129" s="5" t="s">
        <v>1055</v>
      </c>
      <c r="D129" s="5" t="s">
        <v>1028</v>
      </c>
      <c r="F129" s="5" t="s">
        <v>1561</v>
      </c>
      <c r="G129" s="5" t="s">
        <v>575</v>
      </c>
      <c r="H129" s="5" t="s">
        <v>24</v>
      </c>
      <c r="I129" s="5" t="s">
        <v>24</v>
      </c>
    </row>
    <row r="130" spans="2:9">
      <c r="B130" s="5" t="s">
        <v>1560</v>
      </c>
      <c r="C130" s="5" t="s">
        <v>1204</v>
      </c>
      <c r="D130" s="5" t="s">
        <v>1098</v>
      </c>
      <c r="F130" s="5" t="s">
        <v>1561</v>
      </c>
      <c r="G130" s="5" t="s">
        <v>576</v>
      </c>
      <c r="H130" s="5" t="s">
        <v>24</v>
      </c>
      <c r="I130" s="5" t="s">
        <v>24</v>
      </c>
    </row>
    <row r="131" spans="2:9">
      <c r="B131" s="5" t="s">
        <v>1560</v>
      </c>
      <c r="C131" s="5" t="s">
        <v>1204</v>
      </c>
      <c r="D131" s="5" t="s">
        <v>1041</v>
      </c>
      <c r="F131" s="5" t="s">
        <v>1561</v>
      </c>
      <c r="G131" s="5" t="s">
        <v>578</v>
      </c>
      <c r="H131" s="5" t="s">
        <v>21</v>
      </c>
      <c r="I131" s="5" t="s">
        <v>21</v>
      </c>
    </row>
    <row r="132" spans="2:9">
      <c r="B132" s="5" t="s">
        <v>1560</v>
      </c>
      <c r="C132" s="5" t="s">
        <v>44</v>
      </c>
      <c r="D132" s="5" t="s">
        <v>1288</v>
      </c>
      <c r="F132" s="5" t="s">
        <v>1561</v>
      </c>
      <c r="G132" s="5" t="s">
        <v>54</v>
      </c>
      <c r="H132" s="5" t="s">
        <v>81</v>
      </c>
      <c r="I132" s="5" t="s">
        <v>81</v>
      </c>
    </row>
    <row r="133" spans="2:9">
      <c r="B133" s="5" t="s">
        <v>1560</v>
      </c>
      <c r="C133" s="5" t="s">
        <v>66</v>
      </c>
      <c r="D133" s="5" t="s">
        <v>67</v>
      </c>
      <c r="F133" s="5" t="s">
        <v>1561</v>
      </c>
      <c r="G133" s="5" t="s">
        <v>42</v>
      </c>
      <c r="H133" s="5" t="s">
        <v>77</v>
      </c>
      <c r="I133" s="5" t="s">
        <v>105</v>
      </c>
    </row>
    <row r="134" spans="2:9">
      <c r="B134" s="5" t="s">
        <v>1560</v>
      </c>
      <c r="C134" s="5" t="s">
        <v>1490</v>
      </c>
      <c r="D134" s="5" t="s">
        <v>650</v>
      </c>
      <c r="F134" s="5" t="s">
        <v>1561</v>
      </c>
      <c r="G134" s="5" t="s">
        <v>1055</v>
      </c>
      <c r="H134" s="5" t="s">
        <v>77</v>
      </c>
      <c r="I134" s="5" t="s">
        <v>105</v>
      </c>
    </row>
    <row r="135" spans="2:9">
      <c r="B135" s="5" t="s">
        <v>1560</v>
      </c>
      <c r="C135" s="5" t="s">
        <v>44</v>
      </c>
      <c r="D135" s="5" t="s">
        <v>96</v>
      </c>
      <c r="F135" s="5" t="s">
        <v>1561</v>
      </c>
      <c r="G135" s="5" t="s">
        <v>1204</v>
      </c>
      <c r="H135" s="5" t="s">
        <v>29</v>
      </c>
      <c r="I135" s="5" t="s">
        <v>29</v>
      </c>
    </row>
    <row r="136" spans="2:9">
      <c r="B136" s="5" t="s">
        <v>1561</v>
      </c>
      <c r="C136" s="5" t="s">
        <v>7</v>
      </c>
      <c r="D136" s="5" t="s">
        <v>72</v>
      </c>
      <c r="F136" s="5" t="s">
        <v>1561</v>
      </c>
      <c r="G136" s="5" t="s">
        <v>1284</v>
      </c>
      <c r="H136" s="5" t="s">
        <v>75</v>
      </c>
      <c r="I136" s="5" t="s">
        <v>75</v>
      </c>
    </row>
    <row r="137" spans="2:9">
      <c r="B137" s="5" t="s">
        <v>1561</v>
      </c>
      <c r="C137" s="5" t="s">
        <v>7</v>
      </c>
      <c r="D137" s="5" t="s">
        <v>82</v>
      </c>
      <c r="F137" s="5" t="s">
        <v>1561</v>
      </c>
      <c r="G137" s="5" t="s">
        <v>39</v>
      </c>
      <c r="H137" s="5" t="s">
        <v>37</v>
      </c>
      <c r="I137" s="5" t="s">
        <v>37</v>
      </c>
    </row>
    <row r="138" spans="2:9">
      <c r="B138" s="5" t="s">
        <v>1561</v>
      </c>
      <c r="C138" s="5" t="s">
        <v>8</v>
      </c>
      <c r="D138" s="5" t="s">
        <v>73</v>
      </c>
      <c r="F138" s="5" t="s">
        <v>1561</v>
      </c>
      <c r="G138" s="5" t="s">
        <v>56</v>
      </c>
      <c r="H138" s="5" t="s">
        <v>37</v>
      </c>
      <c r="I138" s="5" t="s">
        <v>37</v>
      </c>
    </row>
    <row r="139" spans="2:9">
      <c r="B139" s="5" t="s">
        <v>1561</v>
      </c>
      <c r="C139" s="5" t="s">
        <v>9</v>
      </c>
      <c r="D139" s="5" t="s">
        <v>74</v>
      </c>
      <c r="F139" s="5" t="s">
        <v>1561</v>
      </c>
      <c r="G139" s="5" t="s">
        <v>63</v>
      </c>
      <c r="H139" s="5" t="s">
        <v>37</v>
      </c>
      <c r="I139" s="5" t="s">
        <v>37</v>
      </c>
    </row>
    <row r="140" spans="2:9">
      <c r="B140" s="5" t="s">
        <v>1561</v>
      </c>
      <c r="C140" s="5" t="s">
        <v>9</v>
      </c>
      <c r="D140" s="5" t="s">
        <v>83</v>
      </c>
      <c r="F140" s="5" t="s">
        <v>1561</v>
      </c>
      <c r="G140" s="5" t="s">
        <v>1285</v>
      </c>
      <c r="H140" s="5" t="s">
        <v>37</v>
      </c>
      <c r="I140" s="5" t="s">
        <v>37</v>
      </c>
    </row>
    <row r="141" spans="2:9">
      <c r="B141" s="5" t="s">
        <v>1561</v>
      </c>
      <c r="C141" s="5" t="s">
        <v>9</v>
      </c>
      <c r="D141" s="5" t="s">
        <v>84</v>
      </c>
      <c r="F141" s="5" t="s">
        <v>1561</v>
      </c>
      <c r="G141" s="5" t="s">
        <v>64</v>
      </c>
      <c r="H141" s="5" t="s">
        <v>35</v>
      </c>
      <c r="I141" s="5" t="s">
        <v>49</v>
      </c>
    </row>
    <row r="142" spans="2:9">
      <c r="B142" s="5" t="s">
        <v>1561</v>
      </c>
      <c r="C142" s="5" t="s">
        <v>9</v>
      </c>
      <c r="D142" s="5" t="s">
        <v>927</v>
      </c>
      <c r="F142" s="5" t="s">
        <v>1561</v>
      </c>
      <c r="G142" s="5" t="s">
        <v>69</v>
      </c>
      <c r="H142" s="5" t="s">
        <v>35</v>
      </c>
      <c r="I142" s="5" t="s">
        <v>70</v>
      </c>
    </row>
    <row r="143" spans="2:9">
      <c r="B143" s="5" t="s">
        <v>1561</v>
      </c>
      <c r="C143" s="5" t="s">
        <v>1283</v>
      </c>
      <c r="D143" s="5" t="s">
        <v>85</v>
      </c>
      <c r="F143" s="5" t="s">
        <v>1561</v>
      </c>
      <c r="G143" s="5" t="s">
        <v>1490</v>
      </c>
      <c r="H143" s="5" t="s">
        <v>75</v>
      </c>
      <c r="I143" s="5" t="s">
        <v>75</v>
      </c>
    </row>
    <row r="144" spans="2:9">
      <c r="B144" s="5" t="s">
        <v>1561</v>
      </c>
      <c r="C144" s="5" t="s">
        <v>1283</v>
      </c>
      <c r="D144" s="5" t="s">
        <v>86</v>
      </c>
      <c r="F144" s="5" t="s">
        <v>1561</v>
      </c>
      <c r="G144" s="5" t="s">
        <v>60</v>
      </c>
      <c r="H144" s="5" t="s">
        <v>68</v>
      </c>
      <c r="I144" s="5" t="s">
        <v>68</v>
      </c>
    </row>
    <row r="145" spans="2:4">
      <c r="B145" s="5" t="s">
        <v>1561</v>
      </c>
      <c r="C145" s="5" t="s">
        <v>1284</v>
      </c>
      <c r="D145" s="5" t="s">
        <v>87</v>
      </c>
    </row>
    <row r="146" spans="2:4">
      <c r="B146" s="5" t="s">
        <v>1561</v>
      </c>
      <c r="C146" s="5" t="s">
        <v>10</v>
      </c>
      <c r="D146" s="5" t="s">
        <v>41</v>
      </c>
    </row>
    <row r="147" spans="2:4">
      <c r="B147" s="5" t="s">
        <v>1561</v>
      </c>
      <c r="C147" s="5" t="s">
        <v>10</v>
      </c>
      <c r="D147" s="5" t="s">
        <v>59</v>
      </c>
    </row>
    <row r="148" spans="2:4">
      <c r="B148" s="5" t="s">
        <v>1561</v>
      </c>
      <c r="C148" s="5" t="s">
        <v>11</v>
      </c>
      <c r="D148" s="5" t="s">
        <v>76</v>
      </c>
    </row>
    <row r="149" spans="2:4">
      <c r="B149" s="5" t="s">
        <v>1561</v>
      </c>
      <c r="C149" s="5" t="s">
        <v>11</v>
      </c>
      <c r="D149" s="5" t="s">
        <v>88</v>
      </c>
    </row>
    <row r="150" spans="2:4">
      <c r="B150" s="5" t="s">
        <v>1561</v>
      </c>
      <c r="C150" s="5" t="s">
        <v>64</v>
      </c>
      <c r="D150" s="5" t="s">
        <v>65</v>
      </c>
    </row>
    <row r="151" spans="2:4">
      <c r="B151" s="5" t="s">
        <v>1561</v>
      </c>
      <c r="C151" s="5" t="s">
        <v>12</v>
      </c>
      <c r="D151" s="5" t="s">
        <v>49</v>
      </c>
    </row>
    <row r="152" spans="2:4">
      <c r="B152" s="5" t="s">
        <v>1561</v>
      </c>
      <c r="C152" s="5" t="s">
        <v>69</v>
      </c>
      <c r="D152" s="5" t="s">
        <v>70</v>
      </c>
    </row>
    <row r="153" spans="2:4">
      <c r="B153" s="5" t="s">
        <v>1561</v>
      </c>
      <c r="C153" s="5" t="s">
        <v>13</v>
      </c>
      <c r="D153" s="5" t="s">
        <v>35</v>
      </c>
    </row>
    <row r="154" spans="2:4">
      <c r="B154" s="5" t="s">
        <v>1561</v>
      </c>
      <c r="C154" s="5" t="s">
        <v>1489</v>
      </c>
      <c r="D154" s="5" t="s">
        <v>89</v>
      </c>
    </row>
    <row r="155" spans="2:4">
      <c r="B155" s="5" t="s">
        <v>1561</v>
      </c>
      <c r="C155" s="5" t="s">
        <v>1489</v>
      </c>
      <c r="D155" s="5" t="s">
        <v>90</v>
      </c>
    </row>
    <row r="156" spans="2:4">
      <c r="B156" s="5" t="s">
        <v>1561</v>
      </c>
      <c r="C156" s="5" t="s">
        <v>1489</v>
      </c>
      <c r="D156" s="5" t="s">
        <v>91</v>
      </c>
    </row>
    <row r="157" spans="2:4">
      <c r="B157" s="5" t="s">
        <v>1561</v>
      </c>
      <c r="C157" s="5" t="s">
        <v>1489</v>
      </c>
      <c r="D157" s="5" t="s">
        <v>92</v>
      </c>
    </row>
    <row r="158" spans="2:4">
      <c r="B158" s="5" t="s">
        <v>1561</v>
      </c>
      <c r="C158" s="5" t="s">
        <v>14</v>
      </c>
      <c r="D158" s="5" t="s">
        <v>15</v>
      </c>
    </row>
    <row r="159" spans="2:4">
      <c r="B159" s="5" t="s">
        <v>1561</v>
      </c>
      <c r="C159" s="5" t="s">
        <v>16</v>
      </c>
      <c r="D159" s="5" t="s">
        <v>93</v>
      </c>
    </row>
    <row r="160" spans="2:4">
      <c r="B160" s="5" t="s">
        <v>1561</v>
      </c>
      <c r="C160" s="5" t="s">
        <v>16</v>
      </c>
      <c r="D160" s="5" t="s">
        <v>94</v>
      </c>
    </row>
    <row r="161" spans="2:4">
      <c r="B161" s="5" t="s">
        <v>1561</v>
      </c>
      <c r="C161" s="5" t="s">
        <v>44</v>
      </c>
      <c r="D161" s="5" t="s">
        <v>95</v>
      </c>
    </row>
    <row r="162" spans="2:4">
      <c r="B162" s="5" t="s">
        <v>1561</v>
      </c>
      <c r="C162" s="5" t="s">
        <v>44</v>
      </c>
      <c r="D162" s="5" t="s">
        <v>45</v>
      </c>
    </row>
    <row r="163" spans="2:4">
      <c r="B163" s="5" t="s">
        <v>1561</v>
      </c>
      <c r="C163" s="5" t="s">
        <v>16</v>
      </c>
      <c r="D163" s="5" t="s">
        <v>97</v>
      </c>
    </row>
    <row r="164" spans="2:4">
      <c r="B164" s="5" t="s">
        <v>1561</v>
      </c>
      <c r="C164" s="5" t="s">
        <v>16</v>
      </c>
      <c r="D164" s="5" t="s">
        <v>111</v>
      </c>
    </row>
    <row r="165" spans="2:4">
      <c r="B165" s="5" t="s">
        <v>1561</v>
      </c>
      <c r="C165" s="5" t="s">
        <v>17</v>
      </c>
      <c r="D165" s="5" t="s">
        <v>79</v>
      </c>
    </row>
    <row r="166" spans="2:4">
      <c r="B166" s="5" t="s">
        <v>1561</v>
      </c>
      <c r="C166" s="5" t="s">
        <v>17</v>
      </c>
      <c r="D166" s="5" t="s">
        <v>98</v>
      </c>
    </row>
    <row r="167" spans="2:4">
      <c r="B167" s="5" t="s">
        <v>1561</v>
      </c>
      <c r="C167" s="5" t="s">
        <v>18</v>
      </c>
      <c r="D167" s="5" t="s">
        <v>48</v>
      </c>
    </row>
    <row r="168" spans="2:4">
      <c r="B168" s="5" t="s">
        <v>1561</v>
      </c>
      <c r="C168" s="5" t="s">
        <v>18</v>
      </c>
      <c r="D168" s="5" t="s">
        <v>51</v>
      </c>
    </row>
    <row r="169" spans="2:4">
      <c r="B169" s="5" t="s">
        <v>1561</v>
      </c>
      <c r="C169" s="5" t="s">
        <v>18</v>
      </c>
      <c r="D169" s="5" t="s">
        <v>924</v>
      </c>
    </row>
    <row r="170" spans="2:4">
      <c r="B170" s="5" t="s">
        <v>1561</v>
      </c>
      <c r="C170" s="5" t="s">
        <v>46</v>
      </c>
      <c r="D170" s="5" t="s">
        <v>80</v>
      </c>
    </row>
    <row r="171" spans="2:4">
      <c r="B171" s="5" t="s">
        <v>1561</v>
      </c>
      <c r="C171" s="5" t="s">
        <v>46</v>
      </c>
      <c r="D171" s="5" t="s">
        <v>99</v>
      </c>
    </row>
    <row r="172" spans="2:4">
      <c r="B172" s="5" t="s">
        <v>1561</v>
      </c>
      <c r="C172" s="5" t="s">
        <v>46</v>
      </c>
      <c r="D172" s="5" t="s">
        <v>47</v>
      </c>
    </row>
    <row r="173" spans="2:4">
      <c r="B173" s="5" t="s">
        <v>1561</v>
      </c>
      <c r="C173" s="5" t="s">
        <v>20</v>
      </c>
      <c r="D173" s="5" t="s">
        <v>21</v>
      </c>
    </row>
    <row r="174" spans="2:4">
      <c r="B174" s="5" t="s">
        <v>1561</v>
      </c>
      <c r="C174" s="5" t="s">
        <v>22</v>
      </c>
      <c r="D174" s="5" t="s">
        <v>100</v>
      </c>
    </row>
    <row r="175" spans="2:4">
      <c r="B175" s="5" t="s">
        <v>1561</v>
      </c>
      <c r="C175" s="5" t="s">
        <v>22</v>
      </c>
      <c r="D175" s="5" t="s">
        <v>36</v>
      </c>
    </row>
    <row r="176" spans="2:4">
      <c r="B176" s="5" t="s">
        <v>1561</v>
      </c>
      <c r="C176" s="5" t="s">
        <v>23</v>
      </c>
      <c r="D176" s="5" t="s">
        <v>24</v>
      </c>
    </row>
    <row r="177" spans="2:4">
      <c r="B177" s="5" t="s">
        <v>1561</v>
      </c>
      <c r="C177" s="5" t="s">
        <v>25</v>
      </c>
      <c r="D177" s="5" t="s">
        <v>415</v>
      </c>
    </row>
    <row r="178" spans="2:4">
      <c r="B178" s="5" t="s">
        <v>1561</v>
      </c>
      <c r="C178" s="5" t="s">
        <v>39</v>
      </c>
      <c r="D178" s="5" t="s">
        <v>40</v>
      </c>
    </row>
    <row r="179" spans="2:4">
      <c r="B179" s="5" t="s">
        <v>1561</v>
      </c>
      <c r="C179" s="5" t="s">
        <v>56</v>
      </c>
      <c r="D179" s="5" t="s">
        <v>101</v>
      </c>
    </row>
    <row r="180" spans="2:4">
      <c r="B180" s="5" t="s">
        <v>1561</v>
      </c>
      <c r="C180" s="5" t="s">
        <v>63</v>
      </c>
      <c r="D180" s="5" t="s">
        <v>102</v>
      </c>
    </row>
    <row r="181" spans="2:4">
      <c r="B181" s="5" t="s">
        <v>1561</v>
      </c>
      <c r="C181" s="5" t="s">
        <v>1285</v>
      </c>
      <c r="D181" s="5" t="s">
        <v>103</v>
      </c>
    </row>
    <row r="182" spans="2:4">
      <c r="B182" s="5" t="s">
        <v>1561</v>
      </c>
      <c r="C182" s="5" t="s">
        <v>56</v>
      </c>
      <c r="D182" s="5" t="s">
        <v>104</v>
      </c>
    </row>
    <row r="183" spans="2:4">
      <c r="B183" s="5" t="s">
        <v>1561</v>
      </c>
      <c r="C183" s="5" t="s">
        <v>26</v>
      </c>
      <c r="D183" s="5" t="s">
        <v>27</v>
      </c>
    </row>
    <row r="184" spans="2:4">
      <c r="B184" s="5" t="s">
        <v>1561</v>
      </c>
      <c r="C184" s="5" t="s">
        <v>28</v>
      </c>
      <c r="D184" s="5" t="s">
        <v>29</v>
      </c>
    </row>
    <row r="185" spans="2:4">
      <c r="B185" s="5" t="s">
        <v>1561</v>
      </c>
      <c r="C185" s="5" t="s">
        <v>30</v>
      </c>
      <c r="D185" s="5" t="s">
        <v>105</v>
      </c>
    </row>
    <row r="186" spans="2:4">
      <c r="B186" s="5" t="s">
        <v>1561</v>
      </c>
      <c r="C186" s="5" t="s">
        <v>31</v>
      </c>
      <c r="D186" s="5" t="s">
        <v>38</v>
      </c>
    </row>
    <row r="187" spans="2:4">
      <c r="B187" s="5" t="s">
        <v>1561</v>
      </c>
      <c r="C187" s="5" t="s">
        <v>31</v>
      </c>
      <c r="D187" s="5" t="s">
        <v>107</v>
      </c>
    </row>
    <row r="188" spans="2:4">
      <c r="B188" s="5" t="s">
        <v>1561</v>
      </c>
      <c r="C188" s="5" t="s">
        <v>32</v>
      </c>
      <c r="D188" s="5" t="s">
        <v>108</v>
      </c>
    </row>
    <row r="189" spans="2:4">
      <c r="B189" s="5" t="s">
        <v>1561</v>
      </c>
      <c r="C189" s="5" t="s">
        <v>32</v>
      </c>
      <c r="D189" s="5" t="s">
        <v>109</v>
      </c>
    </row>
    <row r="190" spans="2:4">
      <c r="B190" s="5" t="s">
        <v>1561</v>
      </c>
      <c r="C190" s="5" t="s">
        <v>33</v>
      </c>
      <c r="D190" s="5" t="s">
        <v>68</v>
      </c>
    </row>
    <row r="191" spans="2:4">
      <c r="B191" s="5" t="s">
        <v>1561</v>
      </c>
      <c r="C191" s="5" t="s">
        <v>33</v>
      </c>
      <c r="D191" s="5" t="s">
        <v>110</v>
      </c>
    </row>
    <row r="192" spans="2:4">
      <c r="B192" s="5" t="s">
        <v>1561</v>
      </c>
      <c r="C192" s="5" t="s">
        <v>60</v>
      </c>
      <c r="D192" s="5" t="s">
        <v>61</v>
      </c>
    </row>
    <row r="193" spans="2:4">
      <c r="B193" s="5" t="s">
        <v>1561</v>
      </c>
      <c r="C193" s="5" t="s">
        <v>42</v>
      </c>
      <c r="D193" s="5" t="s">
        <v>43</v>
      </c>
    </row>
    <row r="194" spans="2:4">
      <c r="B194" s="5" t="s">
        <v>1561</v>
      </c>
      <c r="C194" s="5" t="s">
        <v>577</v>
      </c>
      <c r="D194" s="5" t="s">
        <v>503</v>
      </c>
    </row>
    <row r="195" spans="2:4">
      <c r="B195" s="5" t="s">
        <v>1561</v>
      </c>
      <c r="C195" s="5" t="s">
        <v>577</v>
      </c>
      <c r="D195" s="5" t="s">
        <v>58</v>
      </c>
    </row>
    <row r="196" spans="2:4">
      <c r="B196" s="5" t="s">
        <v>1561</v>
      </c>
      <c r="C196" s="5" t="s">
        <v>575</v>
      </c>
      <c r="D196" s="5" t="s">
        <v>574</v>
      </c>
    </row>
    <row r="197" spans="2:4">
      <c r="B197" s="5" t="s">
        <v>1561</v>
      </c>
      <c r="C197" s="5" t="s">
        <v>576</v>
      </c>
      <c r="D197" s="5" t="s">
        <v>306</v>
      </c>
    </row>
    <row r="198" spans="2:4">
      <c r="B198" s="5" t="s">
        <v>1561</v>
      </c>
      <c r="C198" s="5" t="s">
        <v>578</v>
      </c>
      <c r="D198" s="5" t="s">
        <v>215</v>
      </c>
    </row>
    <row r="199" spans="2:4">
      <c r="B199" s="5" t="s">
        <v>1561</v>
      </c>
      <c r="C199" s="5" t="s">
        <v>54</v>
      </c>
      <c r="D199" s="5" t="s">
        <v>55</v>
      </c>
    </row>
    <row r="200" spans="2:4">
      <c r="B200" s="5" t="s">
        <v>1561</v>
      </c>
      <c r="C200" s="5" t="s">
        <v>28</v>
      </c>
      <c r="D200" s="5" t="s">
        <v>722</v>
      </c>
    </row>
    <row r="201" spans="2:4">
      <c r="B201" s="5" t="s">
        <v>1561</v>
      </c>
      <c r="C201" s="5" t="s">
        <v>1055</v>
      </c>
      <c r="D201" s="5" t="s">
        <v>1028</v>
      </c>
    </row>
    <row r="202" spans="2:4">
      <c r="B202" s="5" t="s">
        <v>1561</v>
      </c>
      <c r="C202" s="5" t="s">
        <v>1204</v>
      </c>
      <c r="D202" s="5" t="s">
        <v>1098</v>
      </c>
    </row>
    <row r="203" spans="2:4">
      <c r="B203" s="5" t="s">
        <v>1561</v>
      </c>
      <c r="C203" s="5" t="s">
        <v>1204</v>
      </c>
      <c r="D203" s="5" t="s">
        <v>1041</v>
      </c>
    </row>
    <row r="204" spans="2:4">
      <c r="B204" s="5" t="s">
        <v>1561</v>
      </c>
      <c r="C204" s="5" t="s">
        <v>44</v>
      </c>
      <c r="D204" s="5" t="s">
        <v>1288</v>
      </c>
    </row>
    <row r="205" spans="2:4">
      <c r="B205" s="5" t="s">
        <v>1561</v>
      </c>
      <c r="C205" s="5" t="s">
        <v>66</v>
      </c>
      <c r="D205" s="5" t="s">
        <v>67</v>
      </c>
    </row>
    <row r="206" spans="2:4">
      <c r="B206" s="5" t="s">
        <v>1561</v>
      </c>
      <c r="C206" s="5" t="s">
        <v>1490</v>
      </c>
      <c r="D206" s="5" t="s">
        <v>650</v>
      </c>
    </row>
    <row r="207" spans="2:4">
      <c r="B207" s="5" t="s">
        <v>1561</v>
      </c>
      <c r="C207" s="5" t="s">
        <v>44</v>
      </c>
      <c r="D207" s="5" t="s">
        <v>96</v>
      </c>
    </row>
  </sheetData>
  <mergeCells count="1">
    <mergeCell ref="AC2:AD2"/>
  </mergeCells>
  <dataValidations disablePrompts="1" count="2">
    <dataValidation type="list" allowBlank="1" showInputMessage="1" showErrorMessage="1" sqref="H111:H1048576 H3:H94" xr:uid="{3ECD1BE1-38FC-4A3F-91A9-489588F672FA}">
      <formula1>$P$3:$P$15</formula1>
    </dataValidation>
    <dataValidation type="list" allowBlank="1" showInputMessage="1" showErrorMessage="1" sqref="I111:I1048576 I3:I94" xr:uid="{1F42DFBF-CF30-4721-99AB-158691B04579}">
      <formula1>$R$3:$R$27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CBD6-4BCA-4EF9-BF6D-E8A4993286B1}">
  <dimension ref="B2:G473"/>
  <sheetViews>
    <sheetView rightToLeft="1" workbookViewId="0">
      <pane ySplit="2" topLeftCell="A3" activePane="bottomLeft" state="frozen"/>
      <selection pane="bottomLeft" activeCell="B2" sqref="B2:G473"/>
    </sheetView>
  </sheetViews>
  <sheetFormatPr defaultRowHeight="14.5"/>
  <cols>
    <col min="2" max="2" width="13.54296875" bestFit="1" customWidth="1"/>
    <col min="3" max="3" width="16.26953125" bestFit="1" customWidth="1"/>
    <col min="4" max="4" width="16.54296875" bestFit="1" customWidth="1"/>
    <col min="5" max="5" width="12.08984375" bestFit="1" customWidth="1"/>
    <col min="6" max="6" width="13.26953125" bestFit="1" customWidth="1"/>
    <col min="7" max="7" width="15.6328125" bestFit="1" customWidth="1"/>
  </cols>
  <sheetData>
    <row r="2" spans="2:7">
      <c r="B2" s="2" t="s">
        <v>1</v>
      </c>
      <c r="C2" s="2" t="s">
        <v>2</v>
      </c>
      <c r="D2" s="2" t="s">
        <v>0</v>
      </c>
      <c r="E2" s="2" t="s">
        <v>3</v>
      </c>
      <c r="F2" s="2" t="s">
        <v>1600</v>
      </c>
      <c r="G2" s="2" t="s">
        <v>1601</v>
      </c>
    </row>
    <row r="3" spans="2:7">
      <c r="B3" s="2" t="s">
        <v>4</v>
      </c>
      <c r="C3" s="2" t="s">
        <v>35</v>
      </c>
      <c r="D3" s="2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" s="2" t="str">
        <f>TRIM(تفاصيل_الفرق[[#This Row],[المدينة/المحافظة]])</f>
        <v>الرياض</v>
      </c>
      <c r="G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" spans="2:7">
      <c r="B4" s="2" t="s">
        <v>112</v>
      </c>
      <c r="C4" s="2" t="s">
        <v>35</v>
      </c>
      <c r="D4" s="2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30</v>
      </c>
      <c r="F4" s="2" t="str">
        <f>TRIM(تفاصيل_الفرق[[#This Row],[المدينة/المحافظة]])</f>
        <v>الرياض</v>
      </c>
      <c r="G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" spans="2:7">
      <c r="B5" s="2" t="s">
        <v>113</v>
      </c>
      <c r="C5" s="2" t="s">
        <v>35</v>
      </c>
      <c r="D5" s="2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40</v>
      </c>
      <c r="F5" s="2" t="str">
        <f>TRIM(تفاصيل_الفرق[[#This Row],[المدينة/المحافظة]])</f>
        <v>الرياض</v>
      </c>
      <c r="G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" spans="2:7">
      <c r="B6" s="2" t="s">
        <v>114</v>
      </c>
      <c r="C6" s="2" t="s">
        <v>35</v>
      </c>
      <c r="D6" s="2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6" s="2" t="str">
        <f>TRIM(تفاصيل_الفرق[[#This Row],[المدينة/المحافظة]])</f>
        <v>الرياض</v>
      </c>
      <c r="G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" spans="2:7">
      <c r="B7" s="2" t="s">
        <v>117</v>
      </c>
      <c r="C7" s="2" t="s">
        <v>35</v>
      </c>
      <c r="D7" s="2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49</v>
      </c>
      <c r="F7" s="2" t="str">
        <f>TRIM(تفاصيل_الفرق[[#This Row],[المدينة/المحافظة]])</f>
        <v>الرياض</v>
      </c>
      <c r="G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" spans="2:7">
      <c r="B8" s="2" t="s">
        <v>118</v>
      </c>
      <c r="C8" s="2" t="s">
        <v>35</v>
      </c>
      <c r="D8" s="2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8" s="2" t="str">
        <f>TRIM(تفاصيل_الفرق[[#This Row],[المدينة/المحافظة]])</f>
        <v>الرياض</v>
      </c>
      <c r="G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" spans="2:7">
      <c r="B9" s="2" t="s">
        <v>115</v>
      </c>
      <c r="C9" s="2" t="s">
        <v>35</v>
      </c>
      <c r="D9" s="2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38</v>
      </c>
      <c r="F9" s="2" t="str">
        <f>TRIM(تفاصيل_الفرق[[#This Row],[المدينة/المحافظة]])</f>
        <v>الرياض</v>
      </c>
      <c r="G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" spans="2:7">
      <c r="B10" s="2" t="s">
        <v>4</v>
      </c>
      <c r="C10" s="2" t="s">
        <v>36</v>
      </c>
      <c r="D10" s="2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" s="2" t="str">
        <f>TRIM(تفاصيل_الفرق[[#This Row],[المدينة/المحافظة]])</f>
        <v>بيش</v>
      </c>
      <c r="G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" spans="2:7">
      <c r="B11" s="2" t="s">
        <v>112</v>
      </c>
      <c r="C11" s="2" t="s">
        <v>36</v>
      </c>
      <c r="D11" s="2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1" s="2" t="str">
        <f>TRIM(تفاصيل_الفرق[[#This Row],[المدينة/المحافظة]])</f>
        <v>بيش</v>
      </c>
      <c r="G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" spans="2:7">
      <c r="B12" s="2" t="s">
        <v>113</v>
      </c>
      <c r="C12" s="2" t="s">
        <v>36</v>
      </c>
      <c r="D12" s="2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" s="2" t="str">
        <f>TRIM(تفاصيل_الفرق[[#This Row],[المدينة/المحافظة]])</f>
        <v>بيش</v>
      </c>
      <c r="G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" spans="2:7">
      <c r="B13" s="2" t="s">
        <v>114</v>
      </c>
      <c r="C13" s="2" t="s">
        <v>36</v>
      </c>
      <c r="D13" s="2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" s="2" t="str">
        <f>TRIM(تفاصيل_الفرق[[#This Row],[المدينة/المحافظة]])</f>
        <v>بيش</v>
      </c>
      <c r="G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4" spans="2:7">
      <c r="B14" s="2" t="s">
        <v>117</v>
      </c>
      <c r="C14" s="2" t="s">
        <v>36</v>
      </c>
      <c r="D14" s="2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" s="2" t="str">
        <f>TRIM(تفاصيل_الفرق[[#This Row],[المدينة/المحافظة]])</f>
        <v>بيش</v>
      </c>
      <c r="G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5" spans="2:7">
      <c r="B15" s="2" t="s">
        <v>118</v>
      </c>
      <c r="C15" s="2" t="s">
        <v>36</v>
      </c>
      <c r="D15" s="2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" s="2" t="str">
        <f>TRIM(تفاصيل_الفرق[[#This Row],[المدينة/المحافظة]])</f>
        <v>بيش</v>
      </c>
      <c r="G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6" spans="2:7">
      <c r="B16" s="2" t="s">
        <v>115</v>
      </c>
      <c r="C16" s="2" t="s">
        <v>36</v>
      </c>
      <c r="D16" s="2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6" s="2" t="str">
        <f>TRIM(تفاصيل_الفرق[[#This Row],[المدينة/المحافظة]])</f>
        <v>بيش</v>
      </c>
      <c r="G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" spans="2:7">
      <c r="B17" s="2" t="s">
        <v>4</v>
      </c>
      <c r="C17" s="2" t="s">
        <v>415</v>
      </c>
      <c r="D17" s="2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7" s="2" t="str">
        <f>TRIM(تفاصيل_الفرق[[#This Row],[المدينة/المحافظة]])</f>
        <v>جيزان</v>
      </c>
      <c r="G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" spans="2:7">
      <c r="B18" s="2" t="s">
        <v>112</v>
      </c>
      <c r="C18" s="2" t="s">
        <v>415</v>
      </c>
      <c r="D18" s="2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8" s="2" t="str">
        <f>TRIM(تفاصيل_الفرق[[#This Row],[المدينة/المحافظة]])</f>
        <v>جيزان</v>
      </c>
      <c r="G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" spans="2:7">
      <c r="B19" s="2" t="s">
        <v>113</v>
      </c>
      <c r="C19" s="2" t="s">
        <v>415</v>
      </c>
      <c r="D19" s="2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" s="2" t="str">
        <f>TRIM(تفاصيل_الفرق[[#This Row],[المدينة/المحافظة]])</f>
        <v>جيزان</v>
      </c>
      <c r="G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" spans="2:7">
      <c r="B20" s="2" t="s">
        <v>114</v>
      </c>
      <c r="C20" s="2" t="s">
        <v>415</v>
      </c>
      <c r="D20" s="2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0" s="2" t="str">
        <f>TRIM(تفاصيل_الفرق[[#This Row],[المدينة/المحافظة]])</f>
        <v>جيزان</v>
      </c>
      <c r="G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" spans="2:7">
      <c r="B21" s="2" t="s">
        <v>117</v>
      </c>
      <c r="C21" s="2" t="s">
        <v>415</v>
      </c>
      <c r="D21" s="2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1" s="2" t="str">
        <f>TRIM(تفاصيل_الفرق[[#This Row],[المدينة/المحافظة]])</f>
        <v>جيزان</v>
      </c>
      <c r="G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" spans="2:7">
      <c r="B22" s="2" t="s">
        <v>118</v>
      </c>
      <c r="C22" s="2" t="s">
        <v>415</v>
      </c>
      <c r="D22" s="2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2" s="2" t="str">
        <f>TRIM(تفاصيل_الفرق[[#This Row],[المدينة/المحافظة]])</f>
        <v>جيزان</v>
      </c>
      <c r="G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" spans="2:7">
      <c r="B23" s="2" t="s">
        <v>115</v>
      </c>
      <c r="C23" s="2" t="s">
        <v>415</v>
      </c>
      <c r="D23" s="2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3" s="2" t="str">
        <f>TRIM(تفاصيل_الفرق[[#This Row],[المدينة/المحافظة]])</f>
        <v>جيزان</v>
      </c>
      <c r="G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4" spans="2:7">
      <c r="B24" s="2" t="s">
        <v>4</v>
      </c>
      <c r="C24" s="2" t="s">
        <v>38</v>
      </c>
      <c r="D24" s="2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" s="2" t="str">
        <f>TRIM(تفاصيل_الفرق[[#This Row],[المدينة/المحافظة]])</f>
        <v>محايل عسير</v>
      </c>
      <c r="G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" spans="2:7">
      <c r="B25" s="2" t="s">
        <v>112</v>
      </c>
      <c r="C25" s="2" t="s">
        <v>38</v>
      </c>
      <c r="D25" s="2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" s="2" t="str">
        <f>TRIM(تفاصيل_الفرق[[#This Row],[المدينة/المحافظة]])</f>
        <v>محايل عسير</v>
      </c>
      <c r="G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6" spans="2:7">
      <c r="B26" s="2" t="s">
        <v>113</v>
      </c>
      <c r="C26" s="2" t="s">
        <v>38</v>
      </c>
      <c r="D26" s="2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6" s="2" t="str">
        <f>TRIM(تفاصيل_الفرق[[#This Row],[المدينة/المحافظة]])</f>
        <v>محايل عسير</v>
      </c>
      <c r="G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7" spans="2:7">
      <c r="B27" s="2" t="s">
        <v>114</v>
      </c>
      <c r="C27" s="2" t="s">
        <v>38</v>
      </c>
      <c r="D27" s="2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7" s="2" t="str">
        <f>TRIM(تفاصيل_الفرق[[#This Row],[المدينة/المحافظة]])</f>
        <v>محايل عسير</v>
      </c>
      <c r="G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8" spans="2:7">
      <c r="B28" s="2" t="s">
        <v>117</v>
      </c>
      <c r="C28" s="2" t="s">
        <v>38</v>
      </c>
      <c r="D28" s="2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" s="2" t="str">
        <f>TRIM(تفاصيل_الفرق[[#This Row],[المدينة/المحافظة]])</f>
        <v>محايل عسير</v>
      </c>
      <c r="G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" spans="2:7">
      <c r="B29" s="2" t="s">
        <v>118</v>
      </c>
      <c r="C29" s="2" t="s">
        <v>38</v>
      </c>
      <c r="D29" s="2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9" s="2" t="str">
        <f>TRIM(تفاصيل_الفرق[[#This Row],[المدينة/المحافظة]])</f>
        <v>محايل عسير</v>
      </c>
      <c r="G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" spans="2:7">
      <c r="B30" s="2" t="s">
        <v>115</v>
      </c>
      <c r="C30" s="2" t="s">
        <v>38</v>
      </c>
      <c r="D30" s="2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" s="2" t="str">
        <f>TRIM(تفاصيل_الفرق[[#This Row],[المدينة/المحافظة]])</f>
        <v>محايل عسير</v>
      </c>
      <c r="G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" spans="2:7">
      <c r="B31" s="2" t="s">
        <v>4</v>
      </c>
      <c r="C31" s="2" t="s">
        <v>72</v>
      </c>
      <c r="D31" s="2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" s="2" t="str">
        <f>TRIM(تفاصيل_الفرق[[#This Row],[المدينة/المحافظة]])</f>
        <v>أبها</v>
      </c>
      <c r="G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" spans="2:7">
      <c r="B32" s="2" t="s">
        <v>112</v>
      </c>
      <c r="C32" s="2" t="s">
        <v>72</v>
      </c>
      <c r="D32" s="2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32" s="2" t="str">
        <f>TRIM(تفاصيل_الفرق[[#This Row],[المدينة/المحافظة]])</f>
        <v>أبها</v>
      </c>
      <c r="G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" spans="2:7">
      <c r="B33" s="2" t="s">
        <v>113</v>
      </c>
      <c r="C33" s="2" t="s">
        <v>72</v>
      </c>
      <c r="D33" s="2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3" s="2" t="str">
        <f>TRIM(تفاصيل_الفرق[[#This Row],[المدينة/المحافظة]])</f>
        <v>أبها</v>
      </c>
      <c r="G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" spans="2:7">
      <c r="B34" s="2" t="s">
        <v>114</v>
      </c>
      <c r="C34" s="2" t="s">
        <v>72</v>
      </c>
      <c r="D34" s="2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4" s="2" t="str">
        <f>TRIM(تفاصيل_الفرق[[#This Row],[المدينة/المحافظة]])</f>
        <v>أبها</v>
      </c>
      <c r="G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" spans="2:7">
      <c r="B35" s="2" t="s">
        <v>117</v>
      </c>
      <c r="C35" s="2" t="s">
        <v>72</v>
      </c>
      <c r="D35" s="2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5" s="2" t="str">
        <f>TRIM(تفاصيل_الفرق[[#This Row],[المدينة/المحافظة]])</f>
        <v>أبها</v>
      </c>
      <c r="G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" spans="2:7">
      <c r="B36" s="2" t="s">
        <v>118</v>
      </c>
      <c r="C36" s="2" t="s">
        <v>72</v>
      </c>
      <c r="D36" s="2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6" s="2" t="str">
        <f>TRIM(تفاصيل_الفرق[[#This Row],[المدينة/المحافظة]])</f>
        <v>أبها</v>
      </c>
      <c r="G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" spans="2:7">
      <c r="B37" s="2" t="s">
        <v>115</v>
      </c>
      <c r="C37" s="2" t="s">
        <v>72</v>
      </c>
      <c r="D37" s="2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7" s="2" t="str">
        <f>TRIM(تفاصيل_الفرق[[#This Row],[المدينة/المحافظة]])</f>
        <v>أبها</v>
      </c>
      <c r="G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" spans="2:7">
      <c r="B38" s="2" t="s">
        <v>4</v>
      </c>
      <c r="C38" s="2" t="s">
        <v>82</v>
      </c>
      <c r="D38" s="2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" s="2" t="str">
        <f>TRIM(تفاصيل_الفرق[[#This Row],[المدينة/المحافظة]])</f>
        <v>خميس مشيط</v>
      </c>
      <c r="G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" spans="2:7">
      <c r="B39" s="2" t="s">
        <v>112</v>
      </c>
      <c r="C39" s="2" t="s">
        <v>82</v>
      </c>
      <c r="D39" s="2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9" s="2" t="str">
        <f>TRIM(تفاصيل_الفرق[[#This Row],[المدينة/المحافظة]])</f>
        <v>خميس مشيط</v>
      </c>
      <c r="G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" spans="2:7">
      <c r="B40" s="2" t="s">
        <v>113</v>
      </c>
      <c r="C40" s="2" t="s">
        <v>82</v>
      </c>
      <c r="D40" s="2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0" s="2" t="str">
        <f>TRIM(تفاصيل_الفرق[[#This Row],[المدينة/المحافظة]])</f>
        <v>خميس مشيط</v>
      </c>
      <c r="G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" spans="2:7">
      <c r="B41" s="2" t="s">
        <v>114</v>
      </c>
      <c r="C41" s="2" t="s">
        <v>82</v>
      </c>
      <c r="D41" s="2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1" s="2" t="str">
        <f>TRIM(تفاصيل_الفرق[[#This Row],[المدينة/المحافظة]])</f>
        <v>خميس مشيط</v>
      </c>
      <c r="G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" spans="2:7">
      <c r="B42" s="2" t="s">
        <v>117</v>
      </c>
      <c r="C42" s="2" t="s">
        <v>82</v>
      </c>
      <c r="D42" s="2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" s="2" t="str">
        <f>TRIM(تفاصيل_الفرق[[#This Row],[المدينة/المحافظة]])</f>
        <v>خميس مشيط</v>
      </c>
      <c r="G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" spans="2:7">
      <c r="B43" s="2" t="s">
        <v>118</v>
      </c>
      <c r="C43" s="2" t="s">
        <v>82</v>
      </c>
      <c r="D43" s="2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43" s="2" t="str">
        <f>TRIM(تفاصيل_الفرق[[#This Row],[المدينة/المحافظة]])</f>
        <v>خميس مشيط</v>
      </c>
      <c r="G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" spans="2:7">
      <c r="B44" s="2" t="s">
        <v>115</v>
      </c>
      <c r="C44" s="2" t="s">
        <v>82</v>
      </c>
      <c r="D44" s="2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" s="2" t="str">
        <f>TRIM(تفاصيل_الفرق[[#This Row],[المدينة/المحافظة]])</f>
        <v>خميس مشيط</v>
      </c>
      <c r="G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" spans="2:7">
      <c r="B45" s="2" t="s">
        <v>4</v>
      </c>
      <c r="C45" s="2" t="s">
        <v>40</v>
      </c>
      <c r="D45" s="2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5" s="2" t="str">
        <f>TRIM(تفاصيل_الفرق[[#This Row],[المدينة/المحافظة]])</f>
        <v>أبو عريش</v>
      </c>
      <c r="G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6" spans="2:7">
      <c r="B46" s="2" t="s">
        <v>112</v>
      </c>
      <c r="C46" s="2" t="s">
        <v>40</v>
      </c>
      <c r="D46" s="2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6" s="2" t="str">
        <f>TRIM(تفاصيل_الفرق[[#This Row],[المدينة/المحافظة]])</f>
        <v>أبو عريش</v>
      </c>
      <c r="G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" spans="2:7">
      <c r="B47" s="2" t="s">
        <v>113</v>
      </c>
      <c r="C47" s="2" t="s">
        <v>40</v>
      </c>
      <c r="D47" s="2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7" s="2" t="str">
        <f>TRIM(تفاصيل_الفرق[[#This Row],[المدينة/المحافظة]])</f>
        <v>أبو عريش</v>
      </c>
      <c r="G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8" spans="2:7">
      <c r="B48" s="2" t="s">
        <v>114</v>
      </c>
      <c r="C48" s="2" t="s">
        <v>40</v>
      </c>
      <c r="D48" s="2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8" s="2" t="str">
        <f>TRIM(تفاصيل_الفرق[[#This Row],[المدينة/المحافظة]])</f>
        <v>أبو عريش</v>
      </c>
      <c r="G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9" spans="2:7">
      <c r="B49" s="2" t="s">
        <v>117</v>
      </c>
      <c r="C49" s="2" t="s">
        <v>40</v>
      </c>
      <c r="D49" s="2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9" s="2" t="str">
        <f>TRIM(تفاصيل_الفرق[[#This Row],[المدينة/المحافظة]])</f>
        <v>أبو عريش</v>
      </c>
      <c r="G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0" spans="2:7">
      <c r="B50" s="2" t="s">
        <v>118</v>
      </c>
      <c r="C50" s="2" t="s">
        <v>40</v>
      </c>
      <c r="D50" s="2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50" s="2" t="str">
        <f>TRIM(تفاصيل_الفرق[[#This Row],[المدينة/المحافظة]])</f>
        <v>أبو عريش</v>
      </c>
      <c r="G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1" spans="2:7">
      <c r="B51" s="2" t="s">
        <v>115</v>
      </c>
      <c r="C51" s="2" t="s">
        <v>40</v>
      </c>
      <c r="D51" s="2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51" s="2" t="str">
        <f>TRIM(تفاصيل_الفرق[[#This Row],[المدينة/المحافظة]])</f>
        <v>أبو عريش</v>
      </c>
      <c r="G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2" spans="2:7">
      <c r="B52" s="2" t="s">
        <v>4</v>
      </c>
      <c r="C52" s="2" t="s">
        <v>73</v>
      </c>
      <c r="D52" s="2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52" s="2" t="str">
        <f>TRIM(تفاصيل_الفرق[[#This Row],[المدينة/المحافظة]])</f>
        <v>الأحساء</v>
      </c>
      <c r="G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3" spans="2:7">
      <c r="B53" s="2" t="s">
        <v>112</v>
      </c>
      <c r="C53" s="2" t="s">
        <v>73</v>
      </c>
      <c r="D53" s="2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53" s="2" t="str">
        <f>TRIM(تفاصيل_الفرق[[#This Row],[المدينة/المحافظة]])</f>
        <v>الأحساء</v>
      </c>
      <c r="G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4" spans="2:7">
      <c r="B54" s="2" t="s">
        <v>113</v>
      </c>
      <c r="C54" s="2" t="s">
        <v>73</v>
      </c>
      <c r="D54" s="2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54" s="2" t="str">
        <f>TRIM(تفاصيل_الفرق[[#This Row],[المدينة/المحافظة]])</f>
        <v>الأحساء</v>
      </c>
      <c r="G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5" spans="2:7">
      <c r="B55" s="2" t="s">
        <v>114</v>
      </c>
      <c r="C55" s="2" t="s">
        <v>73</v>
      </c>
      <c r="D55" s="2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35</v>
      </c>
      <c r="F55" s="2" t="str">
        <f>TRIM(تفاصيل_الفرق[[#This Row],[المدينة/المحافظة]])</f>
        <v>الأحساء</v>
      </c>
      <c r="G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6" spans="2:7">
      <c r="B56" s="2" t="s">
        <v>117</v>
      </c>
      <c r="C56" s="2" t="s">
        <v>73</v>
      </c>
      <c r="D56" s="2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56" s="2" t="str">
        <f>TRIM(تفاصيل_الفرق[[#This Row],[المدينة/المحافظة]])</f>
        <v>الأحساء</v>
      </c>
      <c r="G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7" spans="2:7">
      <c r="B57" s="2" t="s">
        <v>118</v>
      </c>
      <c r="C57" s="2" t="s">
        <v>73</v>
      </c>
      <c r="D57" s="2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57" s="2" t="str">
        <f>TRIM(تفاصيل_الفرق[[#This Row],[المدينة/المحافظة]])</f>
        <v>الأحساء</v>
      </c>
      <c r="G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8" spans="2:7">
      <c r="B58" s="2" t="s">
        <v>115</v>
      </c>
      <c r="C58" s="2" t="s">
        <v>73</v>
      </c>
      <c r="D58" s="2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58" s="2" t="str">
        <f>TRIM(تفاصيل_الفرق[[#This Row],[المدينة/المحافظة]])</f>
        <v>الأحساء</v>
      </c>
      <c r="G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9" spans="2:7">
      <c r="B59" s="2" t="s">
        <v>4</v>
      </c>
      <c r="C59" s="2" t="s">
        <v>74</v>
      </c>
      <c r="D59" s="2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9" s="2" t="str">
        <f>TRIM(تفاصيل_الفرق[[#This Row],[المدينة/المحافظة]])</f>
        <v>الباحة</v>
      </c>
      <c r="G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0" spans="2:7">
      <c r="B60" s="2" t="s">
        <v>112</v>
      </c>
      <c r="C60" s="2" t="s">
        <v>74</v>
      </c>
      <c r="D60" s="2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0" s="2" t="str">
        <f>TRIM(تفاصيل_الفرق[[#This Row],[المدينة/المحافظة]])</f>
        <v>الباحة</v>
      </c>
      <c r="G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1" spans="2:7">
      <c r="B61" s="2" t="s">
        <v>113</v>
      </c>
      <c r="C61" s="2" t="s">
        <v>74</v>
      </c>
      <c r="D61" s="2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1" s="2" t="str">
        <f>TRIM(تفاصيل_الفرق[[#This Row],[المدينة/المحافظة]])</f>
        <v>الباحة</v>
      </c>
      <c r="G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2" spans="2:7">
      <c r="B62" s="2" t="s">
        <v>114</v>
      </c>
      <c r="C62" s="2" t="s">
        <v>74</v>
      </c>
      <c r="D62" s="2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2" s="2" t="str">
        <f>TRIM(تفاصيل_الفرق[[#This Row],[المدينة/المحافظة]])</f>
        <v>الباحة</v>
      </c>
      <c r="G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3" spans="2:7">
      <c r="B63" s="2" t="s">
        <v>117</v>
      </c>
      <c r="C63" s="2" t="s">
        <v>74</v>
      </c>
      <c r="D63" s="2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3" s="2" t="str">
        <f>TRIM(تفاصيل_الفرق[[#This Row],[المدينة/المحافظة]])</f>
        <v>الباحة</v>
      </c>
      <c r="G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4" spans="2:7">
      <c r="B64" s="2" t="s">
        <v>118</v>
      </c>
      <c r="C64" s="2" t="s">
        <v>74</v>
      </c>
      <c r="D64" s="2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4" s="2" t="str">
        <f>TRIM(تفاصيل_الفرق[[#This Row],[المدينة/المحافظة]])</f>
        <v>الباحة</v>
      </c>
      <c r="G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5" spans="2:7">
      <c r="B65" s="2" t="s">
        <v>115</v>
      </c>
      <c r="C65" s="2" t="s">
        <v>74</v>
      </c>
      <c r="D65" s="2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65" s="2" t="str">
        <f>TRIM(تفاصيل_الفرق[[#This Row],[المدينة/المحافظة]])</f>
        <v>الباحة</v>
      </c>
      <c r="G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6" spans="2:7">
      <c r="B66" s="2" t="s">
        <v>4</v>
      </c>
      <c r="C66" s="2" t="s">
        <v>84</v>
      </c>
      <c r="D66" s="2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6" s="2" t="str">
        <f>TRIM(تفاصيل_الفرق[[#This Row],[المدينة/المحافظة]])</f>
        <v>بلجرشي</v>
      </c>
      <c r="G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7" spans="2:7">
      <c r="B67" s="2" t="s">
        <v>112</v>
      </c>
      <c r="C67" s="2" t="s">
        <v>84</v>
      </c>
      <c r="D67" s="2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7" s="2" t="str">
        <f>TRIM(تفاصيل_الفرق[[#This Row],[المدينة/المحافظة]])</f>
        <v>بلجرشي</v>
      </c>
      <c r="G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8" spans="2:7">
      <c r="B68" s="2" t="s">
        <v>113</v>
      </c>
      <c r="C68" s="2" t="s">
        <v>84</v>
      </c>
      <c r="D68" s="2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8" s="2" t="str">
        <f>TRIM(تفاصيل_الفرق[[#This Row],[المدينة/المحافظة]])</f>
        <v>بلجرشي</v>
      </c>
      <c r="G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9" spans="2:7">
      <c r="B69" s="2" t="s">
        <v>114</v>
      </c>
      <c r="C69" s="2" t="s">
        <v>84</v>
      </c>
      <c r="D69" s="2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9" s="2" t="str">
        <f>TRIM(تفاصيل_الفرق[[#This Row],[المدينة/المحافظة]])</f>
        <v>بلجرشي</v>
      </c>
      <c r="G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0" spans="2:7">
      <c r="B70" s="2" t="s">
        <v>117</v>
      </c>
      <c r="C70" s="2" t="s">
        <v>84</v>
      </c>
      <c r="D70" s="2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0" s="2" t="str">
        <f>TRIM(تفاصيل_الفرق[[#This Row],[المدينة/المحافظة]])</f>
        <v>بلجرشي</v>
      </c>
      <c r="G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1" spans="2:7">
      <c r="B71" s="2" t="s">
        <v>118</v>
      </c>
      <c r="C71" s="2" t="s">
        <v>84</v>
      </c>
      <c r="D71" s="2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1" s="2" t="str">
        <f>TRIM(تفاصيل_الفرق[[#This Row],[المدينة/المحافظة]])</f>
        <v>بلجرشي</v>
      </c>
      <c r="G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2" spans="2:7">
      <c r="B72" s="2" t="s">
        <v>115</v>
      </c>
      <c r="C72" s="2" t="s">
        <v>84</v>
      </c>
      <c r="D72" s="2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2" s="2" t="str">
        <f>TRIM(تفاصيل_الفرق[[#This Row],[المدينة/المحافظة]])</f>
        <v>بلجرشي</v>
      </c>
      <c r="G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3" spans="2:7">
      <c r="B73" s="2" t="s">
        <v>4</v>
      </c>
      <c r="C73" s="2" t="s">
        <v>927</v>
      </c>
      <c r="D73" s="2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3" s="2" t="str">
        <f>TRIM(تفاصيل_الفرق[[#This Row],[المدينة/المحافظة]])</f>
        <v>بلقرن</v>
      </c>
      <c r="G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4" spans="2:7">
      <c r="B74" s="2" t="s">
        <v>112</v>
      </c>
      <c r="C74" s="2" t="s">
        <v>927</v>
      </c>
      <c r="D74" s="2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4" s="2" t="str">
        <f>TRIM(تفاصيل_الفرق[[#This Row],[المدينة/المحافظة]])</f>
        <v>بلقرن</v>
      </c>
      <c r="G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5" spans="2:7">
      <c r="B75" s="2" t="s">
        <v>113</v>
      </c>
      <c r="C75" s="2" t="s">
        <v>927</v>
      </c>
      <c r="D75" s="2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5" s="2" t="str">
        <f>TRIM(تفاصيل_الفرق[[#This Row],[المدينة/المحافظة]])</f>
        <v>بلقرن</v>
      </c>
      <c r="G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6" spans="2:7">
      <c r="B76" s="2" t="s">
        <v>114</v>
      </c>
      <c r="C76" s="2" t="s">
        <v>927</v>
      </c>
      <c r="D76" s="2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6" s="2" t="str">
        <f>TRIM(تفاصيل_الفرق[[#This Row],[المدينة/المحافظة]])</f>
        <v>بلقرن</v>
      </c>
      <c r="G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7" spans="2:7">
      <c r="B77" s="2" t="s">
        <v>117</v>
      </c>
      <c r="C77" s="2" t="s">
        <v>927</v>
      </c>
      <c r="D77" s="2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7" s="2" t="str">
        <f>TRIM(تفاصيل_الفرق[[#This Row],[المدينة/المحافظة]])</f>
        <v>بلقرن</v>
      </c>
      <c r="G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8" spans="2:7">
      <c r="B78" s="2" t="s">
        <v>118</v>
      </c>
      <c r="C78" s="2" t="s">
        <v>927</v>
      </c>
      <c r="D78" s="2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8" s="2" t="str">
        <f>TRIM(تفاصيل_الفرق[[#This Row],[المدينة/المحافظة]])</f>
        <v>بلقرن</v>
      </c>
      <c r="G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9" spans="2:7">
      <c r="B79" s="2" t="s">
        <v>115</v>
      </c>
      <c r="C79" s="2" t="s">
        <v>927</v>
      </c>
      <c r="D79" s="2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9" s="2" t="str">
        <f>TRIM(تفاصيل_الفرق[[#This Row],[المدينة/المحافظة]])</f>
        <v>بلقرن</v>
      </c>
      <c r="G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0" spans="2:7">
      <c r="B80" s="2" t="s">
        <v>4</v>
      </c>
      <c r="C80" s="2" t="s">
        <v>95</v>
      </c>
      <c r="D80" s="2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0" s="2" t="str">
        <f>TRIM(تفاصيل_الفرق[[#This Row],[المدينة/المحافظة]])</f>
        <v>البكيرية</v>
      </c>
      <c r="G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1" spans="2:7">
      <c r="B81" s="2" t="s">
        <v>112</v>
      </c>
      <c r="C81" s="2" t="s">
        <v>95</v>
      </c>
      <c r="D81" s="2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1" s="2" t="str">
        <f>TRIM(تفاصيل_الفرق[[#This Row],[المدينة/المحافظة]])</f>
        <v>البكيرية</v>
      </c>
      <c r="G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2" spans="2:7">
      <c r="B82" s="2" t="s">
        <v>113</v>
      </c>
      <c r="C82" s="2" t="s">
        <v>95</v>
      </c>
      <c r="D82" s="2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2" s="2" t="str">
        <f>TRIM(تفاصيل_الفرق[[#This Row],[المدينة/المحافظة]])</f>
        <v>البكيرية</v>
      </c>
      <c r="G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3" spans="2:7">
      <c r="B83" s="2" t="s">
        <v>114</v>
      </c>
      <c r="C83" s="2" t="s">
        <v>95</v>
      </c>
      <c r="D83" s="2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3" s="2" t="str">
        <f>TRIM(تفاصيل_الفرق[[#This Row],[المدينة/المحافظة]])</f>
        <v>البكيرية</v>
      </c>
      <c r="G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4" spans="2:7">
      <c r="B84" s="2" t="s">
        <v>117</v>
      </c>
      <c r="C84" s="2" t="s">
        <v>95</v>
      </c>
      <c r="D84" s="2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4" s="2" t="str">
        <f>TRIM(تفاصيل_الفرق[[#This Row],[المدينة/المحافظة]])</f>
        <v>البكيرية</v>
      </c>
      <c r="G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5" spans="2:7">
      <c r="B85" s="2" t="s">
        <v>118</v>
      </c>
      <c r="C85" s="2" t="s">
        <v>95</v>
      </c>
      <c r="D85" s="2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5" s="2" t="str">
        <f>TRIM(تفاصيل_الفرق[[#This Row],[المدينة/المحافظة]])</f>
        <v>البكيرية</v>
      </c>
      <c r="G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6" spans="2:7">
      <c r="B86" s="2" t="s">
        <v>115</v>
      </c>
      <c r="C86" s="2" t="s">
        <v>95</v>
      </c>
      <c r="D86" s="2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6" s="2" t="str">
        <f>TRIM(تفاصيل_الفرق[[#This Row],[المدينة/المحافظة]])</f>
        <v>البكيرية</v>
      </c>
      <c r="G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7" spans="2:7">
      <c r="B87" s="2" t="s">
        <v>4</v>
      </c>
      <c r="C87" s="2" t="s">
        <v>85</v>
      </c>
      <c r="D87" s="2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87" s="2" t="str">
        <f>TRIM(تفاصيل_الفرق[[#This Row],[المدينة/المحافظة]])</f>
        <v>سكاكا</v>
      </c>
      <c r="G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8" spans="2:7">
      <c r="B88" s="2" t="s">
        <v>112</v>
      </c>
      <c r="C88" s="2" t="s">
        <v>85</v>
      </c>
      <c r="D88" s="2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88" s="2" t="str">
        <f>TRIM(تفاصيل_الفرق[[#This Row],[المدينة/المحافظة]])</f>
        <v>سكاكا</v>
      </c>
      <c r="G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9" spans="2:7">
      <c r="B89" s="2" t="s">
        <v>113</v>
      </c>
      <c r="C89" s="2" t="s">
        <v>85</v>
      </c>
      <c r="D89" s="2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89" s="2" t="str">
        <f>TRIM(تفاصيل_الفرق[[#This Row],[المدينة/المحافظة]])</f>
        <v>سكاكا</v>
      </c>
      <c r="G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0" spans="2:7">
      <c r="B90" s="2" t="s">
        <v>114</v>
      </c>
      <c r="C90" s="2" t="s">
        <v>85</v>
      </c>
      <c r="D90" s="2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90" s="2" t="str">
        <f>TRIM(تفاصيل_الفرق[[#This Row],[المدينة/المحافظة]])</f>
        <v>سكاكا</v>
      </c>
      <c r="G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1" spans="2:7">
      <c r="B91" s="2" t="s">
        <v>117</v>
      </c>
      <c r="C91" s="2" t="s">
        <v>85</v>
      </c>
      <c r="D91" s="2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91" s="2" t="str">
        <f>TRIM(تفاصيل_الفرق[[#This Row],[المدينة/المحافظة]])</f>
        <v>سكاكا</v>
      </c>
      <c r="G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2" spans="2:7">
      <c r="B92" s="2" t="s">
        <v>118</v>
      </c>
      <c r="C92" s="2" t="s">
        <v>85</v>
      </c>
      <c r="D92" s="2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92" s="2" t="str">
        <f>TRIM(تفاصيل_الفرق[[#This Row],[المدينة/المحافظة]])</f>
        <v>سكاكا</v>
      </c>
      <c r="G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3" spans="2:7">
      <c r="B93" s="2" t="s">
        <v>115</v>
      </c>
      <c r="C93" s="2" t="s">
        <v>85</v>
      </c>
      <c r="D93" s="2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93" s="2" t="str">
        <f>TRIM(تفاصيل_الفرق[[#This Row],[المدينة/المحافظة]])</f>
        <v>سكاكا</v>
      </c>
      <c r="G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4" spans="2:7">
      <c r="B94" s="2" t="s">
        <v>4</v>
      </c>
      <c r="C94" s="2" t="s">
        <v>86</v>
      </c>
      <c r="D94" s="2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4" s="2" t="str">
        <f>TRIM(تفاصيل_الفرق[[#This Row],[المدينة/المحافظة]])</f>
        <v>دومة الجندل</v>
      </c>
      <c r="G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5" spans="2:7">
      <c r="B95" s="2" t="s">
        <v>112</v>
      </c>
      <c r="C95" s="2" t="s">
        <v>86</v>
      </c>
      <c r="D95" s="2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5" s="2" t="str">
        <f>TRIM(تفاصيل_الفرق[[#This Row],[المدينة/المحافظة]])</f>
        <v>دومة الجندل</v>
      </c>
      <c r="G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6" spans="2:7">
      <c r="B96" s="2" t="s">
        <v>113</v>
      </c>
      <c r="C96" s="2" t="s">
        <v>86</v>
      </c>
      <c r="D96" s="2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6" s="2" t="str">
        <f>TRIM(تفاصيل_الفرق[[#This Row],[المدينة/المحافظة]])</f>
        <v>دومة الجندل</v>
      </c>
      <c r="G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7" spans="2:7">
      <c r="B97" s="2" t="s">
        <v>114</v>
      </c>
      <c r="C97" s="2" t="s">
        <v>86</v>
      </c>
      <c r="D97" s="2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7" s="2" t="str">
        <f>TRIM(تفاصيل_الفرق[[#This Row],[المدينة/المحافظة]])</f>
        <v>دومة الجندل</v>
      </c>
      <c r="G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8" spans="2:7">
      <c r="B98" s="2" t="s">
        <v>117</v>
      </c>
      <c r="C98" s="2" t="s">
        <v>86</v>
      </c>
      <c r="D98" s="2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8" s="2" t="str">
        <f>TRIM(تفاصيل_الفرق[[#This Row],[المدينة/المحافظة]])</f>
        <v>دومة الجندل</v>
      </c>
      <c r="G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9" spans="2:7">
      <c r="B99" s="2" t="s">
        <v>118</v>
      </c>
      <c r="C99" s="2" t="s">
        <v>86</v>
      </c>
      <c r="D99" s="2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9" s="2" t="str">
        <f>TRIM(تفاصيل_الفرق[[#This Row],[المدينة/المحافظة]])</f>
        <v>دومة الجندل</v>
      </c>
      <c r="G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0" spans="2:7">
      <c r="B100" s="2" t="s">
        <v>115</v>
      </c>
      <c r="C100" s="2" t="s">
        <v>86</v>
      </c>
      <c r="D100" s="2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00" s="2" t="str">
        <f>TRIM(تفاصيل_الفرق[[#This Row],[المدينة/المحافظة]])</f>
        <v>دومة الجندل</v>
      </c>
      <c r="G1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1" spans="2:7">
      <c r="B101" s="2" t="s">
        <v>4</v>
      </c>
      <c r="C101" s="2" t="s">
        <v>41</v>
      </c>
      <c r="D101" s="2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1" s="2" t="str">
        <f>TRIM(تفاصيل_الفرق[[#This Row],[المدينة/المحافظة]])</f>
        <v>عرعر</v>
      </c>
      <c r="G1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2" spans="2:7">
      <c r="B102" s="2" t="s">
        <v>112</v>
      </c>
      <c r="C102" s="2" t="s">
        <v>41</v>
      </c>
      <c r="D102" s="2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2" s="2" t="str">
        <f>TRIM(تفاصيل_الفرق[[#This Row],[المدينة/المحافظة]])</f>
        <v>عرعر</v>
      </c>
      <c r="G1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3" spans="2:7">
      <c r="B103" s="2" t="s">
        <v>113</v>
      </c>
      <c r="C103" s="2" t="s">
        <v>41</v>
      </c>
      <c r="D103" s="2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3" s="2" t="str">
        <f>TRIM(تفاصيل_الفرق[[#This Row],[المدينة/المحافظة]])</f>
        <v>عرعر</v>
      </c>
      <c r="G1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4" spans="2:7">
      <c r="B104" s="2" t="s">
        <v>114</v>
      </c>
      <c r="C104" s="2" t="s">
        <v>41</v>
      </c>
      <c r="D104" s="2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4" s="2" t="str">
        <f>TRIM(تفاصيل_الفرق[[#This Row],[المدينة/المحافظة]])</f>
        <v>عرعر</v>
      </c>
      <c r="G1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5" spans="2:7">
      <c r="B105" s="2" t="s">
        <v>117</v>
      </c>
      <c r="C105" s="2" t="s">
        <v>41</v>
      </c>
      <c r="D105" s="2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5" s="2" t="str">
        <f>TRIM(تفاصيل_الفرق[[#This Row],[المدينة/المحافظة]])</f>
        <v>عرعر</v>
      </c>
      <c r="G1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6" spans="2:7">
      <c r="B106" s="2" t="s">
        <v>118</v>
      </c>
      <c r="C106" s="2" t="s">
        <v>41</v>
      </c>
      <c r="D106" s="2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6" s="2" t="str">
        <f>TRIM(تفاصيل_الفرق[[#This Row],[المدينة/المحافظة]])</f>
        <v>عرعر</v>
      </c>
      <c r="G1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7" spans="2:7">
      <c r="B107" s="2" t="s">
        <v>115</v>
      </c>
      <c r="C107" s="2" t="s">
        <v>41</v>
      </c>
      <c r="D107" s="2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7" s="2" t="str">
        <f>TRIM(تفاصيل_الفرق[[#This Row],[المدينة/المحافظة]])</f>
        <v>عرعر</v>
      </c>
      <c r="G1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8" spans="2:7">
      <c r="B108" s="2" t="s">
        <v>4</v>
      </c>
      <c r="C108" s="2" t="s">
        <v>76</v>
      </c>
      <c r="D108" s="2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8" s="2" t="str">
        <f>TRIM(تفاصيل_الفرق[[#This Row],[المدينة/المحافظة]])</f>
        <v>الخرج</v>
      </c>
      <c r="G1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9" spans="2:7">
      <c r="B109" s="2" t="s">
        <v>112</v>
      </c>
      <c r="C109" s="2" t="s">
        <v>76</v>
      </c>
      <c r="D109" s="2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9" s="2" t="str">
        <f>TRIM(تفاصيل_الفرق[[#This Row],[المدينة/المحافظة]])</f>
        <v>الخرج</v>
      </c>
      <c r="G1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0" spans="2:7">
      <c r="B110" s="2" t="s">
        <v>113</v>
      </c>
      <c r="C110" s="2" t="s">
        <v>76</v>
      </c>
      <c r="D110" s="2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10" s="2" t="str">
        <f>TRIM(تفاصيل_الفرق[[#This Row],[المدينة/المحافظة]])</f>
        <v>الخرج</v>
      </c>
      <c r="G1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1" spans="2:7">
      <c r="B111" s="2" t="s">
        <v>114</v>
      </c>
      <c r="C111" s="2" t="s">
        <v>76</v>
      </c>
      <c r="D111" s="2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11" s="2" t="str">
        <f>TRIM(تفاصيل_الفرق[[#This Row],[المدينة/المحافظة]])</f>
        <v>الخرج</v>
      </c>
      <c r="G1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2" spans="2:7">
      <c r="B112" s="2" t="s">
        <v>117</v>
      </c>
      <c r="C112" s="2" t="s">
        <v>76</v>
      </c>
      <c r="D112" s="2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2" s="2" t="str">
        <f>TRIM(تفاصيل_الفرق[[#This Row],[المدينة/المحافظة]])</f>
        <v>الخرج</v>
      </c>
      <c r="G1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3" spans="2:7">
      <c r="B113" s="2" t="s">
        <v>118</v>
      </c>
      <c r="C113" s="2" t="s">
        <v>76</v>
      </c>
      <c r="D113" s="2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3" s="2" t="str">
        <f>TRIM(تفاصيل_الفرق[[#This Row],[المدينة/المحافظة]])</f>
        <v>الخرج</v>
      </c>
      <c r="G1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4" spans="2:7">
      <c r="B114" s="2" t="s">
        <v>115</v>
      </c>
      <c r="C114" s="2" t="s">
        <v>76</v>
      </c>
      <c r="D114" s="2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4" s="2" t="str">
        <f>TRIM(تفاصيل_الفرق[[#This Row],[المدينة/المحافظة]])</f>
        <v>الخرج</v>
      </c>
      <c r="G1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5" spans="2:7">
      <c r="B115" s="2" t="s">
        <v>4</v>
      </c>
      <c r="C115" s="2" t="s">
        <v>43</v>
      </c>
      <c r="D115" s="2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5" s="2" t="str">
        <f>TRIM(تفاصيل_الفرق[[#This Row],[المدينة/المحافظة]])</f>
        <v>الخفجي</v>
      </c>
      <c r="G1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6" spans="2:7">
      <c r="B116" s="2" t="s">
        <v>112</v>
      </c>
      <c r="C116" s="2" t="s">
        <v>43</v>
      </c>
      <c r="D116" s="2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6" s="2" t="str">
        <f>TRIM(تفاصيل_الفرق[[#This Row],[المدينة/المحافظة]])</f>
        <v>الخفجي</v>
      </c>
      <c r="G1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7" spans="2:7">
      <c r="B117" s="2" t="s">
        <v>113</v>
      </c>
      <c r="C117" s="2" t="s">
        <v>43</v>
      </c>
      <c r="D117" s="2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17" s="2" t="str">
        <f>TRIM(تفاصيل_الفرق[[#This Row],[المدينة/المحافظة]])</f>
        <v>الخفجي</v>
      </c>
      <c r="G1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8" spans="2:7">
      <c r="B118" s="2" t="s">
        <v>114</v>
      </c>
      <c r="C118" s="2" t="s">
        <v>43</v>
      </c>
      <c r="D118" s="2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8" s="2" t="str">
        <f>TRIM(تفاصيل_الفرق[[#This Row],[المدينة/المحافظة]])</f>
        <v>الخفجي</v>
      </c>
      <c r="G1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9" spans="2:7">
      <c r="B119" s="2" t="s">
        <v>117</v>
      </c>
      <c r="C119" s="2" t="s">
        <v>43</v>
      </c>
      <c r="D119" s="2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9" s="2" t="str">
        <f>TRIM(تفاصيل_الفرق[[#This Row],[المدينة/المحافظة]])</f>
        <v>الخفجي</v>
      </c>
      <c r="G1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0" spans="2:7">
      <c r="B120" s="2" t="s">
        <v>118</v>
      </c>
      <c r="C120" s="2" t="s">
        <v>43</v>
      </c>
      <c r="D120" s="2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20" s="2" t="str">
        <f>TRIM(تفاصيل_الفرق[[#This Row],[المدينة/المحافظة]])</f>
        <v>الخفجي</v>
      </c>
      <c r="G1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1" spans="2:7">
      <c r="B121" s="2" t="s">
        <v>115</v>
      </c>
      <c r="C121" s="2" t="s">
        <v>43</v>
      </c>
      <c r="D121" s="2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21" s="2" t="str">
        <f>TRIM(تفاصيل_الفرق[[#This Row],[المدينة/المحافظة]])</f>
        <v>الخفجي</v>
      </c>
      <c r="G1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2" spans="2:7">
      <c r="B122" s="2" t="s">
        <v>4</v>
      </c>
      <c r="C122" s="2" t="s">
        <v>45</v>
      </c>
      <c r="D122" s="2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2" s="2" t="str">
        <f>TRIM(تفاصيل_الفرق[[#This Row],[المدينة/المحافظة]])</f>
        <v>الرس</v>
      </c>
      <c r="G1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3" spans="2:7">
      <c r="B123" s="2" t="s">
        <v>112</v>
      </c>
      <c r="C123" s="2" t="s">
        <v>45</v>
      </c>
      <c r="D123" s="2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3" s="2" t="str">
        <f>TRIM(تفاصيل_الفرق[[#This Row],[المدينة/المحافظة]])</f>
        <v>الرس</v>
      </c>
      <c r="G1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4" spans="2:7">
      <c r="B124" s="2" t="s">
        <v>113</v>
      </c>
      <c r="C124" s="2" t="s">
        <v>45</v>
      </c>
      <c r="D124" s="2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4" s="2" t="str">
        <f>TRIM(تفاصيل_الفرق[[#This Row],[المدينة/المحافظة]])</f>
        <v>الرس</v>
      </c>
      <c r="G1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5" spans="2:7">
      <c r="B125" s="2" t="s">
        <v>114</v>
      </c>
      <c r="C125" s="2" t="s">
        <v>45</v>
      </c>
      <c r="D125" s="2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5" s="2" t="str">
        <f>TRIM(تفاصيل_الفرق[[#This Row],[المدينة/المحافظة]])</f>
        <v>الرس</v>
      </c>
      <c r="G1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6" spans="2:7">
      <c r="B126" s="2" t="s">
        <v>117</v>
      </c>
      <c r="C126" s="2" t="s">
        <v>45</v>
      </c>
      <c r="D126" s="2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6" s="2" t="str">
        <f>TRIM(تفاصيل_الفرق[[#This Row],[المدينة/المحافظة]])</f>
        <v>الرس</v>
      </c>
      <c r="G1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7" spans="2:7">
      <c r="B127" s="2" t="s">
        <v>118</v>
      </c>
      <c r="C127" s="2" t="s">
        <v>45</v>
      </c>
      <c r="D127" s="2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27" s="2" t="str">
        <f>TRIM(تفاصيل_الفرق[[#This Row],[المدينة/المحافظة]])</f>
        <v>الرس</v>
      </c>
      <c r="G1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8" spans="2:7">
      <c r="B128" s="2" t="s">
        <v>115</v>
      </c>
      <c r="C128" s="2" t="s">
        <v>45</v>
      </c>
      <c r="D128" s="2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8" s="2" t="str">
        <f>TRIM(تفاصيل_الفرق[[#This Row],[المدينة/المحافظة]])</f>
        <v>الرس</v>
      </c>
      <c r="G1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9" spans="2:7">
      <c r="B129" s="2" t="s">
        <v>4</v>
      </c>
      <c r="C129" s="2" t="s">
        <v>47</v>
      </c>
      <c r="D129" s="2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9" s="2" t="str">
        <f>TRIM(تفاصيل_الفرق[[#This Row],[المدينة/المحافظة]])</f>
        <v>الزلفي</v>
      </c>
      <c r="G1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0" spans="2:7">
      <c r="B130" s="2" t="s">
        <v>112</v>
      </c>
      <c r="C130" s="2" t="s">
        <v>47</v>
      </c>
      <c r="D130" s="2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0" s="2" t="str">
        <f>TRIM(تفاصيل_الفرق[[#This Row],[المدينة/المحافظة]])</f>
        <v>الزلفي</v>
      </c>
      <c r="G1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1" spans="2:7">
      <c r="B131" s="2" t="s">
        <v>113</v>
      </c>
      <c r="C131" s="2" t="s">
        <v>47</v>
      </c>
      <c r="D131" s="2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1" s="2" t="str">
        <f>TRIM(تفاصيل_الفرق[[#This Row],[المدينة/المحافظة]])</f>
        <v>الزلفي</v>
      </c>
      <c r="G1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2" spans="2:7">
      <c r="B132" s="2" t="s">
        <v>114</v>
      </c>
      <c r="C132" s="2" t="s">
        <v>47</v>
      </c>
      <c r="D132" s="2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2" s="2" t="str">
        <f>TRIM(تفاصيل_الفرق[[#This Row],[المدينة/المحافظة]])</f>
        <v>الزلفي</v>
      </c>
      <c r="G1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3" spans="2:7">
      <c r="B133" s="2" t="s">
        <v>117</v>
      </c>
      <c r="C133" s="2" t="s">
        <v>47</v>
      </c>
      <c r="D133" s="2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3" s="2" t="str">
        <f>TRIM(تفاصيل_الفرق[[#This Row],[المدينة/المحافظة]])</f>
        <v>الزلفي</v>
      </c>
      <c r="G1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4" spans="2:7">
      <c r="B134" s="2" t="s">
        <v>118</v>
      </c>
      <c r="C134" s="2" t="s">
        <v>47</v>
      </c>
      <c r="D134" s="2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4" s="2" t="str">
        <f>TRIM(تفاصيل_الفرق[[#This Row],[المدينة/المحافظة]])</f>
        <v>الزلفي</v>
      </c>
      <c r="G1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5" spans="2:7">
      <c r="B135" s="2" t="s">
        <v>115</v>
      </c>
      <c r="C135" s="2" t="s">
        <v>47</v>
      </c>
      <c r="D135" s="2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5" s="2" t="str">
        <f>TRIM(تفاصيل_الفرق[[#This Row],[المدينة/المحافظة]])</f>
        <v>الزلفي</v>
      </c>
      <c r="G1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6" spans="2:7">
      <c r="B136" s="2" t="s">
        <v>4</v>
      </c>
      <c r="C136" s="2" t="s">
        <v>89</v>
      </c>
      <c r="D136" s="2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6" s="2" t="str">
        <f>TRIM(تفاصيل_الفرق[[#This Row],[المدينة/المحافظة]])</f>
        <v>الظهران</v>
      </c>
      <c r="G1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7" spans="2:7">
      <c r="B137" s="2" t="s">
        <v>112</v>
      </c>
      <c r="C137" s="2" t="s">
        <v>89</v>
      </c>
      <c r="D137" s="2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37" s="2" t="str">
        <f>TRIM(تفاصيل_الفرق[[#This Row],[المدينة/المحافظة]])</f>
        <v>الظهران</v>
      </c>
      <c r="G1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8" spans="2:7">
      <c r="B138" s="2" t="s">
        <v>113</v>
      </c>
      <c r="C138" s="2" t="s">
        <v>89</v>
      </c>
      <c r="D138" s="2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8" s="2" t="str">
        <f>TRIM(تفاصيل_الفرق[[#This Row],[المدينة/المحافظة]])</f>
        <v>الظهران</v>
      </c>
      <c r="G1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9" spans="2:7">
      <c r="B139" s="2" t="s">
        <v>114</v>
      </c>
      <c r="C139" s="2" t="s">
        <v>89</v>
      </c>
      <c r="D139" s="2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9" s="2" t="str">
        <f>TRIM(تفاصيل_الفرق[[#This Row],[المدينة/المحافظة]])</f>
        <v>الظهران</v>
      </c>
      <c r="G1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0" spans="2:7">
      <c r="B140" s="2" t="s">
        <v>117</v>
      </c>
      <c r="C140" s="2" t="s">
        <v>89</v>
      </c>
      <c r="D140" s="2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0" s="2" t="str">
        <f>TRIM(تفاصيل_الفرق[[#This Row],[المدينة/المحافظة]])</f>
        <v>الظهران</v>
      </c>
      <c r="G1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1" spans="2:7">
      <c r="B141" s="2" t="s">
        <v>118</v>
      </c>
      <c r="C141" s="2" t="s">
        <v>89</v>
      </c>
      <c r="D141" s="2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1" s="2" t="str">
        <f>TRIM(تفاصيل_الفرق[[#This Row],[المدينة/المحافظة]])</f>
        <v>الظهران</v>
      </c>
      <c r="G1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2" spans="2:7">
      <c r="B142" s="2" t="s">
        <v>115</v>
      </c>
      <c r="C142" s="2" t="s">
        <v>89</v>
      </c>
      <c r="D142" s="2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2" s="2" t="str">
        <f>TRIM(تفاصيل_الفرق[[#This Row],[المدينة/المحافظة]])</f>
        <v>الظهران</v>
      </c>
      <c r="G1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3" spans="2:7">
      <c r="B143" s="2" t="s">
        <v>4</v>
      </c>
      <c r="C143" s="2" t="s">
        <v>90</v>
      </c>
      <c r="D143" s="2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3" s="2" t="str">
        <f>TRIM(تفاصيل_الفرق[[#This Row],[المدينة/المحافظة]])</f>
        <v>الخبر</v>
      </c>
      <c r="G1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4" spans="2:7">
      <c r="B144" s="2" t="s">
        <v>112</v>
      </c>
      <c r="C144" s="2" t="s">
        <v>90</v>
      </c>
      <c r="D144" s="2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44" s="2" t="str">
        <f>TRIM(تفاصيل_الفرق[[#This Row],[المدينة/المحافظة]])</f>
        <v>الخبر</v>
      </c>
      <c r="G1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5" spans="2:7">
      <c r="B145" s="2" t="s">
        <v>113</v>
      </c>
      <c r="C145" s="2" t="s">
        <v>90</v>
      </c>
      <c r="D145" s="2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45" s="2" t="str">
        <f>TRIM(تفاصيل_الفرق[[#This Row],[المدينة/المحافظة]])</f>
        <v>الخبر</v>
      </c>
      <c r="G1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6" spans="2:7">
      <c r="B146" s="2" t="s">
        <v>114</v>
      </c>
      <c r="C146" s="2" t="s">
        <v>90</v>
      </c>
      <c r="D146" s="2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46" s="2" t="str">
        <f>TRIM(تفاصيل_الفرق[[#This Row],[المدينة/المحافظة]])</f>
        <v>الخبر</v>
      </c>
      <c r="G1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7" spans="2:7">
      <c r="B147" s="2" t="s">
        <v>117</v>
      </c>
      <c r="C147" s="2" t="s">
        <v>90</v>
      </c>
      <c r="D147" s="2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47" s="2" t="str">
        <f>TRIM(تفاصيل_الفرق[[#This Row],[المدينة/المحافظة]])</f>
        <v>الخبر</v>
      </c>
      <c r="G1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8" spans="2:7">
      <c r="B148" s="2" t="s">
        <v>118</v>
      </c>
      <c r="C148" s="2" t="s">
        <v>90</v>
      </c>
      <c r="D148" s="2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48" s="2" t="str">
        <f>TRIM(تفاصيل_الفرق[[#This Row],[المدينة/المحافظة]])</f>
        <v>الخبر</v>
      </c>
      <c r="G1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9" spans="2:7">
      <c r="B149" s="2" t="s">
        <v>115</v>
      </c>
      <c r="C149" s="2" t="s">
        <v>90</v>
      </c>
      <c r="D149" s="2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49" s="2" t="str">
        <f>TRIM(تفاصيل_الفرق[[#This Row],[المدينة/المحافظة]])</f>
        <v>الخبر</v>
      </c>
      <c r="G1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0" spans="2:7">
      <c r="B150" s="2" t="s">
        <v>4</v>
      </c>
      <c r="C150" s="2" t="s">
        <v>91</v>
      </c>
      <c r="D150" s="2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50" s="2" t="str">
        <f>TRIM(تفاصيل_الفرق[[#This Row],[المدينة/المحافظة]])</f>
        <v>الدمام</v>
      </c>
      <c r="G1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1" spans="2:7">
      <c r="B151" s="2" t="s">
        <v>112</v>
      </c>
      <c r="C151" s="2" t="s">
        <v>91</v>
      </c>
      <c r="D151" s="2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51" s="2" t="str">
        <f>TRIM(تفاصيل_الفرق[[#This Row],[المدينة/المحافظة]])</f>
        <v>الدمام</v>
      </c>
      <c r="G1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2" spans="2:7">
      <c r="B152" s="2" t="s">
        <v>113</v>
      </c>
      <c r="C152" s="2" t="s">
        <v>91</v>
      </c>
      <c r="D152" s="2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52" s="2" t="str">
        <f>TRIM(تفاصيل_الفرق[[#This Row],[المدينة/المحافظة]])</f>
        <v>الدمام</v>
      </c>
      <c r="G1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3" spans="2:7">
      <c r="B153" s="2" t="s">
        <v>114</v>
      </c>
      <c r="C153" s="2" t="s">
        <v>91</v>
      </c>
      <c r="D153" s="2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3" s="2" t="str">
        <f>TRIM(تفاصيل_الفرق[[#This Row],[المدينة/المحافظة]])</f>
        <v>الدمام</v>
      </c>
      <c r="G1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4" spans="2:7">
      <c r="B154" s="2" t="s">
        <v>117</v>
      </c>
      <c r="C154" s="2" t="s">
        <v>91</v>
      </c>
      <c r="D154" s="2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4" s="2" t="str">
        <f>TRIM(تفاصيل_الفرق[[#This Row],[المدينة/المحافظة]])</f>
        <v>الدمام</v>
      </c>
      <c r="G1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5" spans="2:7">
      <c r="B155" s="2" t="s">
        <v>118</v>
      </c>
      <c r="C155" s="2" t="s">
        <v>91</v>
      </c>
      <c r="D155" s="2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55" s="2" t="str">
        <f>TRIM(تفاصيل_الفرق[[#This Row],[المدينة/المحافظة]])</f>
        <v>الدمام</v>
      </c>
      <c r="G1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6" spans="2:7">
      <c r="B156" s="2" t="s">
        <v>115</v>
      </c>
      <c r="C156" s="2" t="s">
        <v>91</v>
      </c>
      <c r="D156" s="2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56" s="2" t="str">
        <f>TRIM(تفاصيل_الفرق[[#This Row],[المدينة/المحافظة]])</f>
        <v>الدمام</v>
      </c>
      <c r="G1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7" spans="2:7">
      <c r="B157" s="2" t="s">
        <v>4</v>
      </c>
      <c r="C157" s="2" t="s">
        <v>92</v>
      </c>
      <c r="D157" s="2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7" s="2" t="str">
        <f>TRIM(تفاصيل_الفرق[[#This Row],[المدينة/المحافظة]])</f>
        <v>سيهات</v>
      </c>
      <c r="G1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8" spans="2:7">
      <c r="B158" s="2" t="s">
        <v>112</v>
      </c>
      <c r="C158" s="2" t="s">
        <v>92</v>
      </c>
      <c r="D158" s="2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8" s="2" t="str">
        <f>TRIM(تفاصيل_الفرق[[#This Row],[المدينة/المحافظة]])</f>
        <v>سيهات</v>
      </c>
      <c r="G1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9" spans="2:7">
      <c r="B159" s="2" t="s">
        <v>113</v>
      </c>
      <c r="C159" s="2" t="s">
        <v>92</v>
      </c>
      <c r="D159" s="2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59" s="2" t="str">
        <f>TRIM(تفاصيل_الفرق[[#This Row],[المدينة/المحافظة]])</f>
        <v>سيهات</v>
      </c>
      <c r="G1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0" spans="2:7">
      <c r="B160" s="2" t="s">
        <v>114</v>
      </c>
      <c r="C160" s="2" t="s">
        <v>92</v>
      </c>
      <c r="D160" s="2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0" s="2" t="str">
        <f>TRIM(تفاصيل_الفرق[[#This Row],[المدينة/المحافظة]])</f>
        <v>سيهات</v>
      </c>
      <c r="G1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1" spans="2:7">
      <c r="B161" s="2" t="s">
        <v>117</v>
      </c>
      <c r="C161" s="2" t="s">
        <v>92</v>
      </c>
      <c r="D161" s="2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1" s="2" t="str">
        <f>TRIM(تفاصيل_الفرق[[#This Row],[المدينة/المحافظة]])</f>
        <v>سيهات</v>
      </c>
      <c r="G1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2" spans="2:7">
      <c r="B162" s="2" t="s">
        <v>118</v>
      </c>
      <c r="C162" s="2" t="s">
        <v>92</v>
      </c>
      <c r="D162" s="2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2" s="2" t="str">
        <f>TRIM(تفاصيل_الفرق[[#This Row],[المدينة/المحافظة]])</f>
        <v>سيهات</v>
      </c>
      <c r="G1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3" spans="2:7">
      <c r="B163" s="2" t="s">
        <v>115</v>
      </c>
      <c r="C163" s="2" t="s">
        <v>92</v>
      </c>
      <c r="D163" s="2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63" s="2" t="str">
        <f>TRIM(تفاصيل_الفرق[[#This Row],[المدينة/المحافظة]])</f>
        <v>سيهات</v>
      </c>
      <c r="G1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4" spans="2:7">
      <c r="B164" s="2" t="s">
        <v>4</v>
      </c>
      <c r="C164" s="2" t="s">
        <v>15</v>
      </c>
      <c r="D164" s="2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64" s="2" t="str">
        <f>TRIM(تفاصيل_الفرق[[#This Row],[المدينة/المحافظة]])</f>
        <v>الطائف</v>
      </c>
      <c r="G1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5" spans="2:7">
      <c r="B165" s="2" t="s">
        <v>112</v>
      </c>
      <c r="C165" s="2" t="s">
        <v>15</v>
      </c>
      <c r="D165" s="2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65" s="2" t="str">
        <f>TRIM(تفاصيل_الفرق[[#This Row],[المدينة/المحافظة]])</f>
        <v>الطائف</v>
      </c>
      <c r="G1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6" spans="2:7">
      <c r="B166" s="2" t="s">
        <v>113</v>
      </c>
      <c r="C166" s="2" t="s">
        <v>15</v>
      </c>
      <c r="D166" s="2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6" s="2" t="str">
        <f>TRIM(تفاصيل_الفرق[[#This Row],[المدينة/المحافظة]])</f>
        <v>الطائف</v>
      </c>
      <c r="G1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7" spans="2:7">
      <c r="B167" s="2" t="s">
        <v>114</v>
      </c>
      <c r="C167" s="2" t="s">
        <v>15</v>
      </c>
      <c r="D167" s="2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7" s="2" t="str">
        <f>TRIM(تفاصيل_الفرق[[#This Row],[المدينة/المحافظة]])</f>
        <v>الطائف</v>
      </c>
      <c r="G1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8" spans="2:7">
      <c r="B168" s="2" t="s">
        <v>117</v>
      </c>
      <c r="C168" s="2" t="s">
        <v>15</v>
      </c>
      <c r="D168" s="2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68" s="2" t="str">
        <f>TRIM(تفاصيل_الفرق[[#This Row],[المدينة/المحافظة]])</f>
        <v>الطائف</v>
      </c>
      <c r="G1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9" spans="2:7">
      <c r="B169" s="2" t="s">
        <v>118</v>
      </c>
      <c r="C169" s="2" t="s">
        <v>15</v>
      </c>
      <c r="D169" s="2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69" s="2" t="str">
        <f>TRIM(تفاصيل_الفرق[[#This Row],[المدينة/المحافظة]])</f>
        <v>الطائف</v>
      </c>
      <c r="G1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0" spans="2:7">
      <c r="B170" s="2" t="s">
        <v>115</v>
      </c>
      <c r="C170" s="2" t="s">
        <v>15</v>
      </c>
      <c r="D170" s="2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70" s="2" t="str">
        <f>TRIM(تفاصيل_الفرق[[#This Row],[المدينة/المحافظة]])</f>
        <v>الطائف</v>
      </c>
      <c r="G1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1" spans="2:7">
      <c r="B171" s="2" t="s">
        <v>4</v>
      </c>
      <c r="C171" s="2" t="s">
        <v>93</v>
      </c>
      <c r="D171" s="2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1" s="2" t="str">
        <f>TRIM(تفاصيل_الفرق[[#This Row],[المدينة/المحافظة]])</f>
        <v>بريدة</v>
      </c>
      <c r="G1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2" spans="2:7">
      <c r="B172" s="2" t="s">
        <v>112</v>
      </c>
      <c r="C172" s="2" t="s">
        <v>93</v>
      </c>
      <c r="D172" s="2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72" s="2" t="str">
        <f>TRIM(تفاصيل_الفرق[[#This Row],[المدينة/المحافظة]])</f>
        <v>بريدة</v>
      </c>
      <c r="G1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3" spans="2:7">
      <c r="B173" s="2" t="s">
        <v>113</v>
      </c>
      <c r="C173" s="2" t="s">
        <v>93</v>
      </c>
      <c r="D173" s="2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73" s="2" t="str">
        <f>TRIM(تفاصيل_الفرق[[#This Row],[المدينة/المحافظة]])</f>
        <v>بريدة</v>
      </c>
      <c r="G1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4" spans="2:7">
      <c r="B174" s="2" t="s">
        <v>114</v>
      </c>
      <c r="C174" s="2" t="s">
        <v>93</v>
      </c>
      <c r="D174" s="2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74" s="2" t="str">
        <f>TRIM(تفاصيل_الفرق[[#This Row],[المدينة/المحافظة]])</f>
        <v>بريدة</v>
      </c>
      <c r="G1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5" spans="2:7">
      <c r="B175" s="2" t="s">
        <v>117</v>
      </c>
      <c r="C175" s="2" t="s">
        <v>93</v>
      </c>
      <c r="D175" s="2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75" s="2" t="str">
        <f>TRIM(تفاصيل_الفرق[[#This Row],[المدينة/المحافظة]])</f>
        <v>بريدة</v>
      </c>
      <c r="G1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6" spans="2:7">
      <c r="B176" s="2" t="s">
        <v>118</v>
      </c>
      <c r="C176" s="2" t="s">
        <v>93</v>
      </c>
      <c r="D176" s="2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76" s="2" t="str">
        <f>TRIM(تفاصيل_الفرق[[#This Row],[المدينة/المحافظة]])</f>
        <v>بريدة</v>
      </c>
      <c r="G1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7" spans="2:7">
      <c r="B177" s="2" t="s">
        <v>115</v>
      </c>
      <c r="C177" s="2" t="s">
        <v>93</v>
      </c>
      <c r="D177" s="2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77" s="2" t="str">
        <f>TRIM(تفاصيل_الفرق[[#This Row],[المدينة/المحافظة]])</f>
        <v>بريدة</v>
      </c>
      <c r="G1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8" spans="2:7">
      <c r="B178" s="2" t="s">
        <v>4</v>
      </c>
      <c r="C178" s="2" t="s">
        <v>111</v>
      </c>
      <c r="D178" s="2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8" s="2" t="str">
        <f>TRIM(تفاصيل_الفرق[[#This Row],[المدينة/المحافظة]])</f>
        <v>عيون الجواء</v>
      </c>
      <c r="G1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9" spans="2:7">
      <c r="B179" s="2" t="s">
        <v>112</v>
      </c>
      <c r="C179" s="2" t="s">
        <v>111</v>
      </c>
      <c r="D179" s="2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9" s="2" t="str">
        <f>TRIM(تفاصيل_الفرق[[#This Row],[المدينة/المحافظة]])</f>
        <v>عيون الجواء</v>
      </c>
      <c r="G1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0" spans="2:7">
      <c r="B180" s="2" t="s">
        <v>113</v>
      </c>
      <c r="C180" s="2" t="s">
        <v>111</v>
      </c>
      <c r="D180" s="2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0" s="2" t="str">
        <f>TRIM(تفاصيل_الفرق[[#This Row],[المدينة/المحافظة]])</f>
        <v>عيون الجواء</v>
      </c>
      <c r="G1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1" spans="2:7">
      <c r="B181" s="2" t="s">
        <v>114</v>
      </c>
      <c r="C181" s="2" t="s">
        <v>111</v>
      </c>
      <c r="D181" s="2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1" s="2" t="str">
        <f>TRIM(تفاصيل_الفرق[[#This Row],[المدينة/المحافظة]])</f>
        <v>عيون الجواء</v>
      </c>
      <c r="G1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2" spans="2:7">
      <c r="B182" s="2" t="s">
        <v>117</v>
      </c>
      <c r="C182" s="2" t="s">
        <v>111</v>
      </c>
      <c r="D182" s="2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2" s="2" t="str">
        <f>TRIM(تفاصيل_الفرق[[#This Row],[المدينة/المحافظة]])</f>
        <v>عيون الجواء</v>
      </c>
      <c r="G1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3" spans="2:7">
      <c r="B183" s="2" t="s">
        <v>118</v>
      </c>
      <c r="C183" s="2" t="s">
        <v>111</v>
      </c>
      <c r="D183" s="2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3" s="2" t="str">
        <f>TRIM(تفاصيل_الفرق[[#This Row],[المدينة/المحافظة]])</f>
        <v>عيون الجواء</v>
      </c>
      <c r="G1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4" spans="2:7">
      <c r="B184" s="2" t="s">
        <v>115</v>
      </c>
      <c r="C184" s="2" t="s">
        <v>111</v>
      </c>
      <c r="D184" s="2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4" s="2" t="str">
        <f>TRIM(تفاصيل_الفرق[[#This Row],[المدينة/المحافظة]])</f>
        <v>عيون الجواء</v>
      </c>
      <c r="G1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5" spans="2:7">
      <c r="B185" s="2" t="s">
        <v>4</v>
      </c>
      <c r="C185" s="2" t="s">
        <v>79</v>
      </c>
      <c r="D185" s="2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85" s="2" t="str">
        <f>TRIM(تفاصيل_الفرق[[#This Row],[المدينة/المحافظة]])</f>
        <v>القطيف</v>
      </c>
      <c r="G1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6" spans="2:7">
      <c r="B186" s="2" t="s">
        <v>112</v>
      </c>
      <c r="C186" s="2" t="s">
        <v>79</v>
      </c>
      <c r="D186" s="2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86" s="2" t="str">
        <f>TRIM(تفاصيل_الفرق[[#This Row],[المدينة/المحافظة]])</f>
        <v>القطيف</v>
      </c>
      <c r="G1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7" spans="2:7">
      <c r="B187" s="2" t="s">
        <v>113</v>
      </c>
      <c r="C187" s="2" t="s">
        <v>79</v>
      </c>
      <c r="D187" s="2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87" s="2" t="str">
        <f>TRIM(تفاصيل_الفرق[[#This Row],[المدينة/المحافظة]])</f>
        <v>القطيف</v>
      </c>
      <c r="G1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8" spans="2:7">
      <c r="B188" s="2" t="s">
        <v>114</v>
      </c>
      <c r="C188" s="2" t="s">
        <v>79</v>
      </c>
      <c r="D188" s="2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88" s="2" t="str">
        <f>TRIM(تفاصيل_الفرق[[#This Row],[المدينة/المحافظة]])</f>
        <v>القطيف</v>
      </c>
      <c r="G1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9" spans="2:7">
      <c r="B189" s="2" t="s">
        <v>117</v>
      </c>
      <c r="C189" s="2" t="s">
        <v>79</v>
      </c>
      <c r="D189" s="2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9" s="2" t="str">
        <f>TRIM(تفاصيل_الفرق[[#This Row],[المدينة/المحافظة]])</f>
        <v>القطيف</v>
      </c>
      <c r="G1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0" spans="2:7">
      <c r="B190" s="2" t="s">
        <v>118</v>
      </c>
      <c r="C190" s="2" t="s">
        <v>79</v>
      </c>
      <c r="D190" s="2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90" s="2" t="str">
        <f>TRIM(تفاصيل_الفرق[[#This Row],[المدينة/المحافظة]])</f>
        <v>القطيف</v>
      </c>
      <c r="G1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1" spans="2:7">
      <c r="B191" s="2" t="s">
        <v>115</v>
      </c>
      <c r="C191" s="2" t="s">
        <v>79</v>
      </c>
      <c r="D191" s="2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1" s="2" t="str">
        <f>TRIM(تفاصيل_الفرق[[#This Row],[المدينة/المحافظة]])</f>
        <v>القطيف</v>
      </c>
      <c r="G1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2" spans="2:7">
      <c r="B192" s="2" t="s">
        <v>4</v>
      </c>
      <c r="C192" s="2" t="s">
        <v>48</v>
      </c>
      <c r="D192" s="2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2" s="2" t="str">
        <f>TRIM(تفاصيل_الفرق[[#This Row],[المدينة/المحافظة]])</f>
        <v>القنفذة</v>
      </c>
      <c r="G1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3" spans="2:7">
      <c r="B193" s="2" t="s">
        <v>112</v>
      </c>
      <c r="C193" s="2" t="s">
        <v>48</v>
      </c>
      <c r="D193" s="2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3" s="2" t="str">
        <f>TRIM(تفاصيل_الفرق[[#This Row],[المدينة/المحافظة]])</f>
        <v>القنفذة</v>
      </c>
      <c r="G1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4" spans="2:7">
      <c r="B194" s="2" t="s">
        <v>113</v>
      </c>
      <c r="C194" s="2" t="s">
        <v>48</v>
      </c>
      <c r="D194" s="2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94" s="2" t="str">
        <f>TRIM(تفاصيل_الفرق[[#This Row],[المدينة/المحافظة]])</f>
        <v>القنفذة</v>
      </c>
      <c r="G1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5" spans="2:7">
      <c r="B195" s="2" t="s">
        <v>114</v>
      </c>
      <c r="C195" s="2" t="s">
        <v>48</v>
      </c>
      <c r="D195" s="2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5" s="2" t="str">
        <f>TRIM(تفاصيل_الفرق[[#This Row],[المدينة/المحافظة]])</f>
        <v>القنفذة</v>
      </c>
      <c r="G1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6" spans="2:7">
      <c r="B196" s="2" t="s">
        <v>117</v>
      </c>
      <c r="C196" s="2" t="s">
        <v>48</v>
      </c>
      <c r="D196" s="2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6" s="2" t="str">
        <f>TRIM(تفاصيل_الفرق[[#This Row],[المدينة/المحافظة]])</f>
        <v>القنفذة</v>
      </c>
      <c r="G1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7" spans="2:7">
      <c r="B197" s="2" t="s">
        <v>118</v>
      </c>
      <c r="C197" s="2" t="s">
        <v>48</v>
      </c>
      <c r="D197" s="2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7" s="2" t="str">
        <f>TRIM(تفاصيل_الفرق[[#This Row],[المدينة/المحافظة]])</f>
        <v>القنفذة</v>
      </c>
      <c r="G1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8" spans="2:7">
      <c r="B198" s="2" t="s">
        <v>115</v>
      </c>
      <c r="C198" s="2" t="s">
        <v>48</v>
      </c>
      <c r="D198" s="2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8" s="2" t="str">
        <f>TRIM(تفاصيل_الفرق[[#This Row],[المدينة/المحافظة]])</f>
        <v>القنفذة</v>
      </c>
      <c r="G1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9" spans="2:7">
      <c r="B199" s="2" t="s">
        <v>4</v>
      </c>
      <c r="C199" s="2" t="s">
        <v>49</v>
      </c>
      <c r="D199" s="2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9" s="2" t="str">
        <f>TRIM(تفاصيل_الفرق[[#This Row],[المدينة/المحافظة]])</f>
        <v>الدوادمي</v>
      </c>
      <c r="G1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0" spans="2:7">
      <c r="B200" s="2" t="s">
        <v>112</v>
      </c>
      <c r="C200" s="2" t="s">
        <v>49</v>
      </c>
      <c r="D200" s="2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0" s="2" t="str">
        <f>TRIM(تفاصيل_الفرق[[#This Row],[المدينة/المحافظة]])</f>
        <v>الدوادمي</v>
      </c>
      <c r="G2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1" spans="2:7">
      <c r="B201" s="2" t="s">
        <v>113</v>
      </c>
      <c r="C201" s="2" t="s">
        <v>49</v>
      </c>
      <c r="D201" s="2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01" s="2" t="str">
        <f>TRIM(تفاصيل_الفرق[[#This Row],[المدينة/المحافظة]])</f>
        <v>الدوادمي</v>
      </c>
      <c r="G2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2" spans="2:7">
      <c r="B202" s="2" t="s">
        <v>114</v>
      </c>
      <c r="C202" s="2" t="s">
        <v>49</v>
      </c>
      <c r="D202" s="2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2" s="2" t="str">
        <f>TRIM(تفاصيل_الفرق[[#This Row],[المدينة/المحافظة]])</f>
        <v>الدوادمي</v>
      </c>
      <c r="G2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3" spans="2:7">
      <c r="B203" s="2" t="s">
        <v>117</v>
      </c>
      <c r="C203" s="2" t="s">
        <v>49</v>
      </c>
      <c r="D203" s="2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3" s="2" t="str">
        <f>TRIM(تفاصيل_الفرق[[#This Row],[المدينة/المحافظة]])</f>
        <v>الدوادمي</v>
      </c>
      <c r="G2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4" spans="2:7">
      <c r="B204" s="2" t="s">
        <v>118</v>
      </c>
      <c r="C204" s="2" t="s">
        <v>49</v>
      </c>
      <c r="D204" s="2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4" s="2" t="str">
        <f>TRIM(تفاصيل_الفرق[[#This Row],[المدينة/المحافظة]])</f>
        <v>الدوادمي</v>
      </c>
      <c r="G2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5" spans="2:7">
      <c r="B205" s="2" t="s">
        <v>115</v>
      </c>
      <c r="C205" s="2" t="s">
        <v>49</v>
      </c>
      <c r="D205" s="2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5" s="2" t="str">
        <f>TRIM(تفاصيل_الفرق[[#This Row],[المدينة/المحافظة]])</f>
        <v>الدوادمي</v>
      </c>
      <c r="G2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6" spans="2:7">
      <c r="B206" s="2" t="s">
        <v>4</v>
      </c>
      <c r="C206" s="2" t="s">
        <v>51</v>
      </c>
      <c r="D206" s="2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6" s="2" t="str">
        <f>TRIM(تفاصيل_الفرق[[#This Row],[المدينة/المحافظة]])</f>
        <v>الليث</v>
      </c>
      <c r="G2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7" spans="2:7">
      <c r="B207" s="2" t="s">
        <v>112</v>
      </c>
      <c r="C207" s="2" t="s">
        <v>51</v>
      </c>
      <c r="D207" s="2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7" s="2" t="str">
        <f>TRIM(تفاصيل_الفرق[[#This Row],[المدينة/المحافظة]])</f>
        <v>الليث</v>
      </c>
      <c r="G2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8" spans="2:7">
      <c r="B208" s="2" t="s">
        <v>113</v>
      </c>
      <c r="C208" s="2" t="s">
        <v>51</v>
      </c>
      <c r="D208" s="2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8" s="2" t="str">
        <f>TRIM(تفاصيل_الفرق[[#This Row],[المدينة/المحافظة]])</f>
        <v>الليث</v>
      </c>
      <c r="G2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9" spans="2:7">
      <c r="B209" s="2" t="s">
        <v>114</v>
      </c>
      <c r="C209" s="2" t="s">
        <v>51</v>
      </c>
      <c r="D209" s="2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9" s="2" t="str">
        <f>TRIM(تفاصيل_الفرق[[#This Row],[المدينة/المحافظة]])</f>
        <v>الليث</v>
      </c>
      <c r="G2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0" spans="2:7">
      <c r="B210" s="2" t="s">
        <v>117</v>
      </c>
      <c r="C210" s="2" t="s">
        <v>51</v>
      </c>
      <c r="D210" s="2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0" s="2" t="str">
        <f>TRIM(تفاصيل_الفرق[[#This Row],[المدينة/المحافظة]])</f>
        <v>الليث</v>
      </c>
      <c r="G2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1" spans="2:7">
      <c r="B211" s="2" t="s">
        <v>118</v>
      </c>
      <c r="C211" s="2" t="s">
        <v>51</v>
      </c>
      <c r="D211" s="2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1" s="2" t="str">
        <f>TRIM(تفاصيل_الفرق[[#This Row],[المدينة/المحافظة]])</f>
        <v>الليث</v>
      </c>
      <c r="G2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2" spans="2:7">
      <c r="B212" s="2" t="s">
        <v>115</v>
      </c>
      <c r="C212" s="2" t="s">
        <v>51</v>
      </c>
      <c r="D212" s="2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2" s="2" t="str">
        <f>TRIM(تفاصيل_الفرق[[#This Row],[المدينة/المحافظة]])</f>
        <v>الليث</v>
      </c>
      <c r="G2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3" spans="2:7">
      <c r="B213" s="2" t="s">
        <v>4</v>
      </c>
      <c r="C213" s="2" t="s">
        <v>924</v>
      </c>
      <c r="D213" s="2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3" s="2" t="str">
        <f>TRIM(تفاصيل_الفرق[[#This Row],[المدينة/المحافظة]])</f>
        <v>أضم</v>
      </c>
      <c r="G2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4" spans="2:7">
      <c r="B214" s="2" t="s">
        <v>112</v>
      </c>
      <c r="C214" s="2" t="s">
        <v>924</v>
      </c>
      <c r="D214" s="2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4" s="2" t="str">
        <f>TRIM(تفاصيل_الفرق[[#This Row],[المدينة/المحافظة]])</f>
        <v>أضم</v>
      </c>
      <c r="G2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5" spans="2:7">
      <c r="B215" s="2" t="s">
        <v>113</v>
      </c>
      <c r="C215" s="2" t="s">
        <v>924</v>
      </c>
      <c r="D215" s="2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5" s="2" t="str">
        <f>TRIM(تفاصيل_الفرق[[#This Row],[المدينة/المحافظة]])</f>
        <v>أضم</v>
      </c>
      <c r="G2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6" spans="2:7">
      <c r="B216" s="2" t="s">
        <v>114</v>
      </c>
      <c r="C216" s="2" t="s">
        <v>924</v>
      </c>
      <c r="D216" s="2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6" s="2" t="str">
        <f>TRIM(تفاصيل_الفرق[[#This Row],[المدينة/المحافظة]])</f>
        <v>أضم</v>
      </c>
      <c r="G2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7" spans="2:7">
      <c r="B217" s="2" t="s">
        <v>117</v>
      </c>
      <c r="C217" s="2" t="s">
        <v>924</v>
      </c>
      <c r="D217" s="2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7" s="2" t="str">
        <f>TRIM(تفاصيل_الفرق[[#This Row],[المدينة/المحافظة]])</f>
        <v>أضم</v>
      </c>
      <c r="G2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8" spans="2:7">
      <c r="B218" s="2" t="s">
        <v>118</v>
      </c>
      <c r="C218" s="2" t="s">
        <v>924</v>
      </c>
      <c r="D218" s="2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8" s="2" t="str">
        <f>TRIM(تفاصيل_الفرق[[#This Row],[المدينة/المحافظة]])</f>
        <v>أضم</v>
      </c>
      <c r="G2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9" spans="2:7">
      <c r="B219" s="2" t="s">
        <v>115</v>
      </c>
      <c r="C219" s="2" t="s">
        <v>924</v>
      </c>
      <c r="D219" s="2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9" s="2" t="str">
        <f>TRIM(تفاصيل_الفرق[[#This Row],[المدينة/المحافظة]])</f>
        <v>أضم</v>
      </c>
      <c r="G2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0" spans="2:7">
      <c r="B220" s="2" t="s">
        <v>4</v>
      </c>
      <c r="C220" s="2" t="s">
        <v>80</v>
      </c>
      <c r="D220" s="2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0" s="2" t="str">
        <f>TRIM(تفاصيل_الفرق[[#This Row],[المدينة/المحافظة]])</f>
        <v>المجمعة</v>
      </c>
      <c r="G2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1" spans="2:7">
      <c r="B221" s="2" t="s">
        <v>112</v>
      </c>
      <c r="C221" s="2" t="s">
        <v>80</v>
      </c>
      <c r="D221" s="2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1" s="2" t="str">
        <f>TRIM(تفاصيل_الفرق[[#This Row],[المدينة/المحافظة]])</f>
        <v>المجمعة</v>
      </c>
      <c r="G2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2" spans="2:7">
      <c r="B222" s="2" t="s">
        <v>113</v>
      </c>
      <c r="C222" s="2" t="s">
        <v>80</v>
      </c>
      <c r="D222" s="2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2" s="2" t="str">
        <f>TRIM(تفاصيل_الفرق[[#This Row],[المدينة/المحافظة]])</f>
        <v>المجمعة</v>
      </c>
      <c r="G2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3" spans="2:7">
      <c r="B223" s="2" t="s">
        <v>114</v>
      </c>
      <c r="C223" s="2" t="s">
        <v>80</v>
      </c>
      <c r="D223" s="2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3" s="2" t="str">
        <f>TRIM(تفاصيل_الفرق[[#This Row],[المدينة/المحافظة]])</f>
        <v>المجمعة</v>
      </c>
      <c r="G2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4" spans="2:7">
      <c r="B224" s="2" t="s">
        <v>117</v>
      </c>
      <c r="C224" s="2" t="s">
        <v>80</v>
      </c>
      <c r="D224" s="2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4" s="2" t="str">
        <f>TRIM(تفاصيل_الفرق[[#This Row],[المدينة/المحافظة]])</f>
        <v>المجمعة</v>
      </c>
      <c r="G2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5" spans="2:7">
      <c r="B225" s="2" t="s">
        <v>118</v>
      </c>
      <c r="C225" s="2" t="s">
        <v>80</v>
      </c>
      <c r="D225" s="2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5" s="2" t="str">
        <f>TRIM(تفاصيل_الفرق[[#This Row],[المدينة/المحافظة]])</f>
        <v>المجمعة</v>
      </c>
      <c r="G2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6" spans="2:7">
      <c r="B226" s="2" t="s">
        <v>115</v>
      </c>
      <c r="C226" s="2" t="s">
        <v>80</v>
      </c>
      <c r="D226" s="2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6" s="2" t="str">
        <f>TRIM(تفاصيل_الفرق[[#This Row],[المدينة/المحافظة]])</f>
        <v>المجمعة</v>
      </c>
      <c r="G2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7" spans="2:7">
      <c r="B227" s="2" t="s">
        <v>4</v>
      </c>
      <c r="C227" s="2" t="s">
        <v>21</v>
      </c>
      <c r="D227" s="2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27" s="2" t="str">
        <f>TRIM(تفاصيل_الفرق[[#This Row],[المدينة/المحافظة]])</f>
        <v>المدينة المنورة</v>
      </c>
      <c r="G2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8" spans="2:7">
      <c r="B228" s="2" t="s">
        <v>112</v>
      </c>
      <c r="C228" s="2" t="s">
        <v>21</v>
      </c>
      <c r="D228" s="2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28" s="2" t="str">
        <f>TRIM(تفاصيل_الفرق[[#This Row],[المدينة/المحافظة]])</f>
        <v>المدينة المنورة</v>
      </c>
      <c r="G2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9" spans="2:7">
      <c r="B229" s="2" t="s">
        <v>113</v>
      </c>
      <c r="C229" s="2" t="s">
        <v>21</v>
      </c>
      <c r="D229" s="2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229" s="2" t="str">
        <f>TRIM(تفاصيل_الفرق[[#This Row],[المدينة/المحافظة]])</f>
        <v>المدينة المنورة</v>
      </c>
      <c r="G2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0" spans="2:7">
      <c r="B230" s="2" t="s">
        <v>114</v>
      </c>
      <c r="C230" s="2" t="s">
        <v>21</v>
      </c>
      <c r="D230" s="2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30" s="2" t="str">
        <f>TRIM(تفاصيل_الفرق[[#This Row],[المدينة/المحافظة]])</f>
        <v>المدينة المنورة</v>
      </c>
      <c r="G2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1" spans="2:7">
      <c r="B231" s="2" t="s">
        <v>117</v>
      </c>
      <c r="C231" s="2" t="s">
        <v>21</v>
      </c>
      <c r="D231" s="2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231" s="2" t="str">
        <f>TRIM(تفاصيل_الفرق[[#This Row],[المدينة/المحافظة]])</f>
        <v>المدينة المنورة</v>
      </c>
      <c r="G2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2" spans="2:7">
      <c r="B232" s="2" t="s">
        <v>118</v>
      </c>
      <c r="C232" s="2" t="s">
        <v>21</v>
      </c>
      <c r="D232" s="2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32" s="2" t="str">
        <f>TRIM(تفاصيل_الفرق[[#This Row],[المدينة/المحافظة]])</f>
        <v>المدينة المنورة</v>
      </c>
      <c r="G2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3" spans="2:7">
      <c r="B233" s="2" t="s">
        <v>115</v>
      </c>
      <c r="C233" s="2" t="s">
        <v>21</v>
      </c>
      <c r="D233" s="2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33" s="2" t="str">
        <f>TRIM(تفاصيل_الفرق[[#This Row],[المدينة/المحافظة]])</f>
        <v>المدينة المنورة</v>
      </c>
      <c r="G2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4" spans="2:7">
      <c r="B234" s="2" t="s">
        <v>4</v>
      </c>
      <c r="C234" s="2" t="s">
        <v>58</v>
      </c>
      <c r="D234" s="2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4" s="2" t="str">
        <f>TRIM(تفاصيل_الفرق[[#This Row],[المدينة/المحافظة]])</f>
        <v>ينبع</v>
      </c>
      <c r="G2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5" spans="2:7">
      <c r="B235" s="2" t="s">
        <v>112</v>
      </c>
      <c r="C235" s="2" t="s">
        <v>58</v>
      </c>
      <c r="D235" s="2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5" s="2" t="str">
        <f>TRIM(تفاصيل_الفرق[[#This Row],[المدينة/المحافظة]])</f>
        <v>ينبع</v>
      </c>
      <c r="G2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6" spans="2:7">
      <c r="B236" s="2" t="s">
        <v>113</v>
      </c>
      <c r="C236" s="2" t="s">
        <v>58</v>
      </c>
      <c r="D236" s="2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6" s="2" t="str">
        <f>TRIM(تفاصيل_الفرق[[#This Row],[المدينة/المحافظة]])</f>
        <v>ينبع</v>
      </c>
      <c r="G2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7" spans="2:7">
      <c r="B237" s="2" t="s">
        <v>114</v>
      </c>
      <c r="C237" s="2" t="s">
        <v>58</v>
      </c>
      <c r="D237" s="2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7" s="2" t="str">
        <f>TRIM(تفاصيل_الفرق[[#This Row],[المدينة/المحافظة]])</f>
        <v>ينبع</v>
      </c>
      <c r="G2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8" spans="2:7">
      <c r="B238" s="2" t="s">
        <v>117</v>
      </c>
      <c r="C238" s="2" t="s">
        <v>58</v>
      </c>
      <c r="D238" s="2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8" s="2" t="str">
        <f>TRIM(تفاصيل_الفرق[[#This Row],[المدينة/المحافظة]])</f>
        <v>ينبع</v>
      </c>
      <c r="G2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9" spans="2:7">
      <c r="B239" s="2" t="s">
        <v>118</v>
      </c>
      <c r="C239" s="2" t="s">
        <v>58</v>
      </c>
      <c r="D239" s="2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9" s="2" t="str">
        <f>TRIM(تفاصيل_الفرق[[#This Row],[المدينة/المحافظة]])</f>
        <v>ينبع</v>
      </c>
      <c r="G2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0" spans="2:7">
      <c r="B240" s="2" t="s">
        <v>115</v>
      </c>
      <c r="C240" s="2" t="s">
        <v>58</v>
      </c>
      <c r="D240" s="2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0" s="2" t="str">
        <f>TRIM(تفاصيل_الفرق[[#This Row],[المدينة/المحافظة]])</f>
        <v>ينبع</v>
      </c>
      <c r="G2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1" spans="2:7">
      <c r="B241" s="2" t="s">
        <v>4</v>
      </c>
      <c r="C241" s="2" t="s">
        <v>107</v>
      </c>
      <c r="D241" s="2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1" s="2" t="str">
        <f>TRIM(تفاصيل_الفرق[[#This Row],[المدينة/المحافظة]])</f>
        <v>النماص</v>
      </c>
      <c r="G2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2" spans="2:7">
      <c r="B242" s="2" t="s">
        <v>112</v>
      </c>
      <c r="C242" s="2" t="s">
        <v>107</v>
      </c>
      <c r="D242" s="2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2" s="2" t="str">
        <f>TRIM(تفاصيل_الفرق[[#This Row],[المدينة/المحافظة]])</f>
        <v>النماص</v>
      </c>
      <c r="G2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3" spans="2:7">
      <c r="B243" s="2" t="s">
        <v>113</v>
      </c>
      <c r="C243" s="2" t="s">
        <v>107</v>
      </c>
      <c r="D243" s="2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3" s="2" t="str">
        <f>TRIM(تفاصيل_الفرق[[#This Row],[المدينة/المحافظة]])</f>
        <v>النماص</v>
      </c>
      <c r="G2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4" spans="2:7">
      <c r="B244" s="2" t="s">
        <v>114</v>
      </c>
      <c r="C244" s="2" t="s">
        <v>107</v>
      </c>
      <c r="D244" s="2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4" s="2" t="str">
        <f>TRIM(تفاصيل_الفرق[[#This Row],[المدينة/المحافظة]])</f>
        <v>النماص</v>
      </c>
      <c r="G2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5" spans="2:7">
      <c r="B245" s="2" t="s">
        <v>117</v>
      </c>
      <c r="C245" s="2" t="s">
        <v>107</v>
      </c>
      <c r="D245" s="2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5" s="2" t="str">
        <f>TRIM(تفاصيل_الفرق[[#This Row],[المدينة/المحافظة]])</f>
        <v>النماص</v>
      </c>
      <c r="G2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6" spans="2:7">
      <c r="B246" s="2" t="s">
        <v>118</v>
      </c>
      <c r="C246" s="2" t="s">
        <v>107</v>
      </c>
      <c r="D246" s="2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6" s="2" t="str">
        <f>TRIM(تفاصيل_الفرق[[#This Row],[المدينة/المحافظة]])</f>
        <v>النماص</v>
      </c>
      <c r="G2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7" spans="2:7">
      <c r="B247" s="2" t="s">
        <v>115</v>
      </c>
      <c r="C247" s="2" t="s">
        <v>107</v>
      </c>
      <c r="D247" s="2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7" s="2" t="str">
        <f>TRIM(تفاصيل_الفرق[[#This Row],[المدينة/المحافظة]])</f>
        <v>النماص</v>
      </c>
      <c r="G2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8" spans="2:7">
      <c r="B248" s="2" t="s">
        <v>4</v>
      </c>
      <c r="C248" s="2" t="s">
        <v>100</v>
      </c>
      <c r="D248" s="2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8" s="2" t="str">
        <f>TRIM(تفاصيل_الفرق[[#This Row],[المدينة/المحافظة]])</f>
        <v>الدرب</v>
      </c>
      <c r="G2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9" spans="2:7">
      <c r="B249" s="2" t="s">
        <v>112</v>
      </c>
      <c r="C249" s="2" t="s">
        <v>100</v>
      </c>
      <c r="D249" s="2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9" s="2" t="str">
        <f>TRIM(تفاصيل_الفرق[[#This Row],[المدينة/المحافظة]])</f>
        <v>الدرب</v>
      </c>
      <c r="G2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0" spans="2:7">
      <c r="B250" s="2" t="s">
        <v>113</v>
      </c>
      <c r="C250" s="2" t="s">
        <v>100</v>
      </c>
      <c r="D250" s="2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0" s="2" t="str">
        <f>TRIM(تفاصيل_الفرق[[#This Row],[المدينة/المحافظة]])</f>
        <v>الدرب</v>
      </c>
      <c r="G2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1" spans="2:7">
      <c r="B251" s="2" t="s">
        <v>114</v>
      </c>
      <c r="C251" s="2" t="s">
        <v>100</v>
      </c>
      <c r="D251" s="2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1" s="2" t="str">
        <f>TRIM(تفاصيل_الفرق[[#This Row],[المدينة/المحافظة]])</f>
        <v>الدرب</v>
      </c>
      <c r="G2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2" spans="2:7">
      <c r="B252" s="2" t="s">
        <v>117</v>
      </c>
      <c r="C252" s="2" t="s">
        <v>100</v>
      </c>
      <c r="D252" s="2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2" s="2" t="str">
        <f>TRIM(تفاصيل_الفرق[[#This Row],[المدينة/المحافظة]])</f>
        <v>الدرب</v>
      </c>
      <c r="G2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3" spans="2:7">
      <c r="B253" s="2" t="s">
        <v>118</v>
      </c>
      <c r="C253" s="2" t="s">
        <v>100</v>
      </c>
      <c r="D253" s="2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3" s="2" t="str">
        <f>TRIM(تفاصيل_الفرق[[#This Row],[المدينة/المحافظة]])</f>
        <v>الدرب</v>
      </c>
      <c r="G2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4" spans="2:7">
      <c r="B254" s="2" t="s">
        <v>115</v>
      </c>
      <c r="C254" s="2" t="s">
        <v>100</v>
      </c>
      <c r="D254" s="2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4" s="2" t="str">
        <f>TRIM(تفاصيل_الفرق[[#This Row],[المدينة/المحافظة]])</f>
        <v>الدرب</v>
      </c>
      <c r="G2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5" spans="2:7">
      <c r="B255" s="2" t="s">
        <v>4</v>
      </c>
      <c r="C255" s="2" t="s">
        <v>24</v>
      </c>
      <c r="D255" s="2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5" s="2" t="str">
        <f>TRIM(تفاصيل_الفرق[[#This Row],[المدينة/المحافظة]])</f>
        <v>تبوك</v>
      </c>
      <c r="G2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6" spans="2:7">
      <c r="B256" s="2" t="s">
        <v>112</v>
      </c>
      <c r="C256" s="2" t="s">
        <v>24</v>
      </c>
      <c r="D256" s="2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6" s="2" t="str">
        <f>TRIM(تفاصيل_الفرق[[#This Row],[المدينة/المحافظة]])</f>
        <v>تبوك</v>
      </c>
      <c r="G2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7" spans="2:7">
      <c r="B257" s="2" t="s">
        <v>113</v>
      </c>
      <c r="C257" s="2" t="s">
        <v>24</v>
      </c>
      <c r="D257" s="2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7" s="2" t="str">
        <f>TRIM(تفاصيل_الفرق[[#This Row],[المدينة/المحافظة]])</f>
        <v>تبوك</v>
      </c>
      <c r="G2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8" spans="2:7">
      <c r="B258" s="2" t="s">
        <v>114</v>
      </c>
      <c r="C258" s="2" t="s">
        <v>24</v>
      </c>
      <c r="D258" s="2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8" s="2" t="str">
        <f>TRIM(تفاصيل_الفرق[[#This Row],[المدينة/المحافظة]])</f>
        <v>تبوك</v>
      </c>
      <c r="G2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59" spans="2:7">
      <c r="B259" s="2" t="s">
        <v>117</v>
      </c>
      <c r="C259" s="2" t="s">
        <v>24</v>
      </c>
      <c r="D259" s="2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9" s="2" t="str">
        <f>TRIM(تفاصيل_الفرق[[#This Row],[المدينة/المحافظة]])</f>
        <v>تبوك</v>
      </c>
      <c r="G2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0" spans="2:7">
      <c r="B260" s="2" t="s">
        <v>118</v>
      </c>
      <c r="C260" s="2" t="s">
        <v>24</v>
      </c>
      <c r="D260" s="2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60" s="2" t="str">
        <f>TRIM(تفاصيل_الفرق[[#This Row],[المدينة/المحافظة]])</f>
        <v>تبوك</v>
      </c>
      <c r="G2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1" spans="2:7">
      <c r="B261" s="2" t="s">
        <v>115</v>
      </c>
      <c r="C261" s="2" t="s">
        <v>24</v>
      </c>
      <c r="D261" s="2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61" s="2" t="str">
        <f>TRIM(تفاصيل_الفرق[[#This Row],[المدينة/المحافظة]])</f>
        <v>تبوك</v>
      </c>
      <c r="G2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2" spans="2:7">
      <c r="B262" s="2" t="s">
        <v>4</v>
      </c>
      <c r="C262" s="2" t="s">
        <v>101</v>
      </c>
      <c r="D262" s="2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2" s="2" t="str">
        <f>TRIM(تفاصيل_الفرق[[#This Row],[المدينة/المحافظة]])</f>
        <v>صبيا</v>
      </c>
      <c r="G2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3" spans="2:7">
      <c r="B263" s="2" t="s">
        <v>112</v>
      </c>
      <c r="C263" s="2" t="s">
        <v>101</v>
      </c>
      <c r="D263" s="2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3" s="2" t="str">
        <f>TRIM(تفاصيل_الفرق[[#This Row],[المدينة/المحافظة]])</f>
        <v>صبيا</v>
      </c>
      <c r="G2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4" spans="2:7">
      <c r="B264" s="2" t="s">
        <v>113</v>
      </c>
      <c r="C264" s="2" t="s">
        <v>101</v>
      </c>
      <c r="D264" s="2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64" s="2" t="str">
        <f>TRIM(تفاصيل_الفرق[[#This Row],[المدينة/المحافظة]])</f>
        <v>صبيا</v>
      </c>
      <c r="G2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5" spans="2:7">
      <c r="B265" s="2" t="s">
        <v>114</v>
      </c>
      <c r="C265" s="2" t="s">
        <v>101</v>
      </c>
      <c r="D265" s="2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65" s="2" t="str">
        <f>TRIM(تفاصيل_الفرق[[#This Row],[المدينة/المحافظة]])</f>
        <v>صبيا</v>
      </c>
      <c r="G2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6" spans="2:7">
      <c r="B266" s="2" t="s">
        <v>117</v>
      </c>
      <c r="C266" s="2" t="s">
        <v>101</v>
      </c>
      <c r="D266" s="2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66" s="2" t="str">
        <f>TRIM(تفاصيل_الفرق[[#This Row],[المدينة/المحافظة]])</f>
        <v>صبيا</v>
      </c>
      <c r="G2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7" spans="2:7">
      <c r="B267" s="2" t="s">
        <v>118</v>
      </c>
      <c r="C267" s="2" t="s">
        <v>101</v>
      </c>
      <c r="D267" s="2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7" s="2" t="str">
        <f>TRIM(تفاصيل_الفرق[[#This Row],[المدينة/المحافظة]])</f>
        <v>صبيا</v>
      </c>
      <c r="G2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8" spans="2:7">
      <c r="B268" s="2" t="s">
        <v>115</v>
      </c>
      <c r="C268" s="2" t="s">
        <v>101</v>
      </c>
      <c r="D268" s="2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8" s="2" t="str">
        <f>TRIM(تفاصيل_الفرق[[#This Row],[المدينة/المحافظة]])</f>
        <v>صبيا</v>
      </c>
      <c r="G2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9" spans="2:7">
      <c r="B269" s="2" t="s">
        <v>4</v>
      </c>
      <c r="C269" s="2" t="s">
        <v>104</v>
      </c>
      <c r="D269" s="2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69" s="2" t="str">
        <f>TRIM(تفاصيل_الفرق[[#This Row],[المدينة/المحافظة]])</f>
        <v>ضمد</v>
      </c>
      <c r="G2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0" spans="2:7">
      <c r="B270" s="2" t="s">
        <v>112</v>
      </c>
      <c r="C270" s="2" t="s">
        <v>104</v>
      </c>
      <c r="D270" s="2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0" s="2" t="str">
        <f>TRIM(تفاصيل_الفرق[[#This Row],[المدينة/المحافظة]])</f>
        <v>ضمد</v>
      </c>
      <c r="G2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1" spans="2:7">
      <c r="B271" s="2" t="s">
        <v>113</v>
      </c>
      <c r="C271" s="2" t="s">
        <v>104</v>
      </c>
      <c r="D271" s="2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1" s="2" t="str">
        <f>TRIM(تفاصيل_الفرق[[#This Row],[المدينة/المحافظة]])</f>
        <v>ضمد</v>
      </c>
      <c r="G2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2" spans="2:7">
      <c r="B272" s="2" t="s">
        <v>114</v>
      </c>
      <c r="C272" s="2" t="s">
        <v>104</v>
      </c>
      <c r="D272" s="2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2" s="2" t="str">
        <f>TRIM(تفاصيل_الفرق[[#This Row],[المدينة/المحافظة]])</f>
        <v>ضمد</v>
      </c>
      <c r="G2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3" spans="2:7">
      <c r="B273" s="2" t="s">
        <v>117</v>
      </c>
      <c r="C273" s="2" t="s">
        <v>104</v>
      </c>
      <c r="D273" s="2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3" s="2" t="str">
        <f>TRIM(تفاصيل_الفرق[[#This Row],[المدينة/المحافظة]])</f>
        <v>ضمد</v>
      </c>
      <c r="G2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4" spans="2:7">
      <c r="B274" s="2" t="s">
        <v>118</v>
      </c>
      <c r="C274" s="2" t="s">
        <v>104</v>
      </c>
      <c r="D274" s="2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4" s="2" t="str">
        <f>TRIM(تفاصيل_الفرق[[#This Row],[المدينة/المحافظة]])</f>
        <v>ضمد</v>
      </c>
      <c r="G2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5" spans="2:7">
      <c r="B275" s="2" t="s">
        <v>115</v>
      </c>
      <c r="C275" s="2" t="s">
        <v>104</v>
      </c>
      <c r="D275" s="2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5" s="2" t="str">
        <f>TRIM(تفاصيل_الفرق[[#This Row],[المدينة/المحافظة]])</f>
        <v>ضمد</v>
      </c>
      <c r="G2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6" spans="2:7">
      <c r="B276" s="2" t="s">
        <v>4</v>
      </c>
      <c r="C276" s="2" t="s">
        <v>27</v>
      </c>
      <c r="D276" s="2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76" s="2" t="str">
        <f>TRIM(تفاصيل_الفرق[[#This Row],[المدينة/المحافظة]])</f>
        <v>جدة</v>
      </c>
      <c r="G2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7" spans="2:7">
      <c r="B277" s="2" t="s">
        <v>112</v>
      </c>
      <c r="C277" s="2" t="s">
        <v>27</v>
      </c>
      <c r="D277" s="2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31</v>
      </c>
      <c r="F277" s="2" t="str">
        <f>TRIM(تفاصيل_الفرق[[#This Row],[المدينة/المحافظة]])</f>
        <v>جدة</v>
      </c>
      <c r="G2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8" spans="2:7">
      <c r="B278" s="2" t="s">
        <v>113</v>
      </c>
      <c r="C278" s="2" t="s">
        <v>27</v>
      </c>
      <c r="D278" s="2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49</v>
      </c>
      <c r="F278" s="2" t="str">
        <f>TRIM(تفاصيل_الفرق[[#This Row],[المدينة/المحافظة]])</f>
        <v>جدة</v>
      </c>
      <c r="G2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9" spans="2:7">
      <c r="B279" s="2" t="s">
        <v>114</v>
      </c>
      <c r="C279" s="2" t="s">
        <v>27</v>
      </c>
      <c r="D279" s="2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52</v>
      </c>
      <c r="F279" s="2" t="str">
        <f>TRIM(تفاصيل_الفرق[[#This Row],[المدينة/المحافظة]])</f>
        <v>جدة</v>
      </c>
      <c r="G2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0" spans="2:7">
      <c r="B280" s="2" t="s">
        <v>117</v>
      </c>
      <c r="C280" s="2" t="s">
        <v>27</v>
      </c>
      <c r="D280" s="2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56</v>
      </c>
      <c r="F280" s="2" t="str">
        <f>TRIM(تفاصيل_الفرق[[#This Row],[المدينة/المحافظة]])</f>
        <v>جدة</v>
      </c>
      <c r="G2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1" spans="2:7">
      <c r="B281" s="2" t="s">
        <v>118</v>
      </c>
      <c r="C281" s="2" t="s">
        <v>27</v>
      </c>
      <c r="D281" s="2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281" s="2" t="str">
        <f>TRIM(تفاصيل_الفرق[[#This Row],[المدينة/المحافظة]])</f>
        <v>جدة</v>
      </c>
      <c r="G2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2" spans="2:7">
      <c r="B282" s="2" t="s">
        <v>115</v>
      </c>
      <c r="C282" s="2" t="s">
        <v>27</v>
      </c>
      <c r="D282" s="2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39</v>
      </c>
      <c r="F282" s="2" t="str">
        <f>TRIM(تفاصيل_الفرق[[#This Row],[المدينة/المحافظة]])</f>
        <v>جدة</v>
      </c>
      <c r="G2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3" spans="2:7">
      <c r="B283" s="2" t="s">
        <v>4</v>
      </c>
      <c r="C283" s="2" t="s">
        <v>29</v>
      </c>
      <c r="D283" s="2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83" s="2" t="str">
        <f>TRIM(تفاصيل_الفرق[[#This Row],[المدينة/المحافظة]])</f>
        <v>حائل</v>
      </c>
      <c r="G2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4" spans="2:7">
      <c r="B284" s="2" t="s">
        <v>112</v>
      </c>
      <c r="C284" s="2" t="s">
        <v>29</v>
      </c>
      <c r="D284" s="2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4" s="2" t="str">
        <f>TRIM(تفاصيل_الفرق[[#This Row],[المدينة/المحافظة]])</f>
        <v>حائل</v>
      </c>
      <c r="G2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5" spans="2:7">
      <c r="B285" s="2" t="s">
        <v>113</v>
      </c>
      <c r="C285" s="2" t="s">
        <v>29</v>
      </c>
      <c r="D285" s="2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5" s="2" t="str">
        <f>TRIM(تفاصيل_الفرق[[#This Row],[المدينة/المحافظة]])</f>
        <v>حائل</v>
      </c>
      <c r="G2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6" spans="2:7">
      <c r="B286" s="2" t="s">
        <v>114</v>
      </c>
      <c r="C286" s="2" t="s">
        <v>29</v>
      </c>
      <c r="D286" s="2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6" s="2" t="str">
        <f>TRIM(تفاصيل_الفرق[[#This Row],[المدينة/المحافظة]])</f>
        <v>حائل</v>
      </c>
      <c r="G2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7" spans="2:7">
      <c r="B287" s="2" t="s">
        <v>117</v>
      </c>
      <c r="C287" s="2" t="s">
        <v>29</v>
      </c>
      <c r="D287" s="2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7" s="2" t="str">
        <f>TRIM(تفاصيل_الفرق[[#This Row],[المدينة/المحافظة]])</f>
        <v>حائل</v>
      </c>
      <c r="G2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8" spans="2:7">
      <c r="B288" s="2" t="s">
        <v>118</v>
      </c>
      <c r="C288" s="2" t="s">
        <v>29</v>
      </c>
      <c r="D288" s="2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8" s="2" t="str">
        <f>TRIM(تفاصيل_الفرق[[#This Row],[المدينة/المحافظة]])</f>
        <v>حائل</v>
      </c>
      <c r="G2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9" spans="2:7">
      <c r="B289" s="2" t="s">
        <v>115</v>
      </c>
      <c r="C289" s="2" t="s">
        <v>29</v>
      </c>
      <c r="D289" s="2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9" s="2" t="str">
        <f>TRIM(تفاصيل_الفرق[[#This Row],[المدينة/المحافظة]])</f>
        <v>حائل</v>
      </c>
      <c r="G2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0" spans="2:7">
      <c r="B290" s="2" t="s">
        <v>4</v>
      </c>
      <c r="C290" s="2" t="s">
        <v>105</v>
      </c>
      <c r="D290" s="2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90" s="2" t="str">
        <f>TRIM(تفاصيل_الفرق[[#This Row],[المدينة/المحافظة]])</f>
        <v>حفر الباطن</v>
      </c>
      <c r="G2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1" spans="2:7">
      <c r="B291" s="2" t="s">
        <v>112</v>
      </c>
      <c r="C291" s="2" t="s">
        <v>105</v>
      </c>
      <c r="D291" s="2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1" s="2" t="str">
        <f>TRIM(تفاصيل_الفرق[[#This Row],[المدينة/المحافظة]])</f>
        <v>حفر الباطن</v>
      </c>
      <c r="G2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2" spans="2:7">
      <c r="B292" s="2" t="s">
        <v>113</v>
      </c>
      <c r="C292" s="2" t="s">
        <v>105</v>
      </c>
      <c r="D292" s="2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92" s="2" t="str">
        <f>TRIM(تفاصيل_الفرق[[#This Row],[المدينة/المحافظة]])</f>
        <v>حفر الباطن</v>
      </c>
      <c r="G2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3" spans="2:7">
      <c r="B293" s="2" t="s">
        <v>114</v>
      </c>
      <c r="C293" s="2" t="s">
        <v>105</v>
      </c>
      <c r="D293" s="2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93" s="2" t="str">
        <f>TRIM(تفاصيل_الفرق[[#This Row],[المدينة/المحافظة]])</f>
        <v>حفر الباطن</v>
      </c>
      <c r="G2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4" spans="2:7">
      <c r="B294" s="2" t="s">
        <v>117</v>
      </c>
      <c r="C294" s="2" t="s">
        <v>105</v>
      </c>
      <c r="D294" s="2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94" s="2" t="str">
        <f>TRIM(تفاصيل_الفرق[[#This Row],[المدينة/المحافظة]])</f>
        <v>حفر الباطن</v>
      </c>
      <c r="G2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5" spans="2:7">
      <c r="B295" s="2" t="s">
        <v>118</v>
      </c>
      <c r="C295" s="2" t="s">
        <v>105</v>
      </c>
      <c r="D295" s="2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5" s="2" t="str">
        <f>TRIM(تفاصيل_الفرق[[#This Row],[المدينة/المحافظة]])</f>
        <v>حفر الباطن</v>
      </c>
      <c r="G2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6" spans="2:7">
      <c r="B296" s="2" t="s">
        <v>115</v>
      </c>
      <c r="C296" s="2" t="s">
        <v>105</v>
      </c>
      <c r="D296" s="2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96" s="2" t="str">
        <f>TRIM(تفاصيل_الفرق[[#This Row],[المدينة/المحافظة]])</f>
        <v>حفر الباطن</v>
      </c>
      <c r="G2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7" spans="2:7">
      <c r="B297" s="2" t="s">
        <v>4</v>
      </c>
      <c r="C297" s="2" t="s">
        <v>61</v>
      </c>
      <c r="D297" s="2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97" s="2" t="str">
        <f>TRIM(تفاصيل_الفرق[[#This Row],[المدينة/المحافظة]])</f>
        <v>شرورة</v>
      </c>
      <c r="G2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8" spans="2:7">
      <c r="B298" s="2" t="s">
        <v>112</v>
      </c>
      <c r="C298" s="2" t="s">
        <v>61</v>
      </c>
      <c r="D298" s="2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98" s="2" t="str">
        <f>TRIM(تفاصيل_الفرق[[#This Row],[المدينة/المحافظة]])</f>
        <v>شرورة</v>
      </c>
      <c r="G2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9" spans="2:7">
      <c r="B299" s="2" t="s">
        <v>113</v>
      </c>
      <c r="C299" s="2" t="s">
        <v>61</v>
      </c>
      <c r="D299" s="2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99" s="2" t="str">
        <f>TRIM(تفاصيل_الفرق[[#This Row],[المدينة/المحافظة]])</f>
        <v>شرورة</v>
      </c>
      <c r="G2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0" spans="2:7">
      <c r="B300" s="2" t="s">
        <v>114</v>
      </c>
      <c r="C300" s="2" t="s">
        <v>61</v>
      </c>
      <c r="D300" s="2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0" s="2" t="str">
        <f>TRIM(تفاصيل_الفرق[[#This Row],[المدينة/المحافظة]])</f>
        <v>شرورة</v>
      </c>
      <c r="G3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1" spans="2:7">
      <c r="B301" s="2" t="s">
        <v>117</v>
      </c>
      <c r="C301" s="2" t="s">
        <v>61</v>
      </c>
      <c r="D301" s="2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1" s="2" t="str">
        <f>TRIM(تفاصيل_الفرق[[#This Row],[المدينة/المحافظة]])</f>
        <v>شرورة</v>
      </c>
      <c r="G3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2" spans="2:7">
      <c r="B302" s="2" t="s">
        <v>118</v>
      </c>
      <c r="C302" s="2" t="s">
        <v>61</v>
      </c>
      <c r="D302" s="2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2" s="2" t="str">
        <f>TRIM(تفاصيل_الفرق[[#This Row],[المدينة/المحافظة]])</f>
        <v>شرورة</v>
      </c>
      <c r="G3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3" spans="2:7">
      <c r="B303" s="2" t="s">
        <v>115</v>
      </c>
      <c r="C303" s="2" t="s">
        <v>61</v>
      </c>
      <c r="D303" s="2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3" s="2" t="str">
        <f>TRIM(تفاصيل_الفرق[[#This Row],[المدينة/المحافظة]])</f>
        <v>شرورة</v>
      </c>
      <c r="G3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4" spans="2:7">
      <c r="B304" s="2" t="s">
        <v>4</v>
      </c>
      <c r="C304" s="2" t="s">
        <v>102</v>
      </c>
      <c r="D304" s="2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04" s="2" t="str">
        <f>TRIM(تفاصيل_الفرق[[#This Row],[المدينة/المحافظة]])</f>
        <v>صامطة</v>
      </c>
      <c r="G3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5" spans="2:7">
      <c r="B305" s="2" t="s">
        <v>112</v>
      </c>
      <c r="C305" s="2" t="s">
        <v>102</v>
      </c>
      <c r="D305" s="2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05" s="2" t="str">
        <f>TRIM(تفاصيل_الفرق[[#This Row],[المدينة/المحافظة]])</f>
        <v>صامطة</v>
      </c>
      <c r="G3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6" spans="2:7">
      <c r="B306" s="2" t="s">
        <v>113</v>
      </c>
      <c r="C306" s="2" t="s">
        <v>102</v>
      </c>
      <c r="D306" s="2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06" s="2" t="str">
        <f>TRIM(تفاصيل_الفرق[[#This Row],[المدينة/المحافظة]])</f>
        <v>صامطة</v>
      </c>
      <c r="G3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7" spans="2:7">
      <c r="B307" s="2" t="s">
        <v>114</v>
      </c>
      <c r="C307" s="2" t="s">
        <v>102</v>
      </c>
      <c r="D307" s="2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7" s="2" t="str">
        <f>TRIM(تفاصيل_الفرق[[#This Row],[المدينة/المحافظة]])</f>
        <v>صامطة</v>
      </c>
      <c r="G3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8" spans="2:7">
      <c r="B308" s="2" t="s">
        <v>117</v>
      </c>
      <c r="C308" s="2" t="s">
        <v>102</v>
      </c>
      <c r="D308" s="2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8" s="2" t="str">
        <f>TRIM(تفاصيل_الفرق[[#This Row],[المدينة/المحافظة]])</f>
        <v>صامطة</v>
      </c>
      <c r="G3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9" spans="2:7">
      <c r="B309" s="2" t="s">
        <v>118</v>
      </c>
      <c r="C309" s="2" t="s">
        <v>102</v>
      </c>
      <c r="D309" s="2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9" s="2" t="str">
        <f>TRIM(تفاصيل_الفرق[[#This Row],[المدينة/المحافظة]])</f>
        <v>صامطة</v>
      </c>
      <c r="G3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0" spans="2:7">
      <c r="B310" s="2" t="s">
        <v>115</v>
      </c>
      <c r="C310" s="2" t="s">
        <v>102</v>
      </c>
      <c r="D310" s="2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10" s="2" t="str">
        <f>TRIM(تفاصيل_الفرق[[#This Row],[المدينة/المحافظة]])</f>
        <v>صامطة</v>
      </c>
      <c r="G3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1" spans="2:7">
      <c r="B311" s="2" t="s">
        <v>4</v>
      </c>
      <c r="C311" s="2" t="s">
        <v>103</v>
      </c>
      <c r="D311" s="2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1" s="2" t="str">
        <f>TRIM(تفاصيل_الفرق[[#This Row],[المدينة/المحافظة]])</f>
        <v>أحد المسارحة</v>
      </c>
      <c r="G3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2" spans="2:7">
      <c r="B312" s="2" t="s">
        <v>112</v>
      </c>
      <c r="C312" s="2" t="s">
        <v>103</v>
      </c>
      <c r="D312" s="2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2" s="2" t="str">
        <f>TRIM(تفاصيل_الفرق[[#This Row],[المدينة/المحافظة]])</f>
        <v>أحد المسارحة</v>
      </c>
      <c r="G3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3" spans="2:7">
      <c r="B313" s="2" t="s">
        <v>113</v>
      </c>
      <c r="C313" s="2" t="s">
        <v>103</v>
      </c>
      <c r="D313" s="2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3" s="2" t="str">
        <f>TRIM(تفاصيل_الفرق[[#This Row],[المدينة/المحافظة]])</f>
        <v>أحد المسارحة</v>
      </c>
      <c r="G3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4" spans="2:7">
      <c r="B314" s="2" t="s">
        <v>114</v>
      </c>
      <c r="C314" s="2" t="s">
        <v>103</v>
      </c>
      <c r="D314" s="2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4" s="2" t="str">
        <f>TRIM(تفاصيل_الفرق[[#This Row],[المدينة/المحافظة]])</f>
        <v>أحد المسارحة</v>
      </c>
      <c r="G3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5" spans="2:7">
      <c r="B315" s="2" t="s">
        <v>117</v>
      </c>
      <c r="C315" s="2" t="s">
        <v>103</v>
      </c>
      <c r="D315" s="2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5" s="2" t="str">
        <f>TRIM(تفاصيل_الفرق[[#This Row],[المدينة/المحافظة]])</f>
        <v>أحد المسارحة</v>
      </c>
      <c r="G3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6" spans="2:7">
      <c r="B316" s="2" t="s">
        <v>118</v>
      </c>
      <c r="C316" s="2" t="s">
        <v>103</v>
      </c>
      <c r="D316" s="2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6" s="2" t="str">
        <f>TRIM(تفاصيل_الفرق[[#This Row],[المدينة/المحافظة]])</f>
        <v>أحد المسارحة</v>
      </c>
      <c r="G3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7" spans="2:7">
      <c r="B317" s="2" t="s">
        <v>115</v>
      </c>
      <c r="C317" s="2" t="s">
        <v>103</v>
      </c>
      <c r="D317" s="2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7" s="2" t="str">
        <f>TRIM(تفاصيل_الفرق[[#This Row],[المدينة/المحافظة]])</f>
        <v>أحد المسارحة</v>
      </c>
      <c r="G3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8" spans="2:7">
      <c r="B318" s="2" t="s">
        <v>4</v>
      </c>
      <c r="C318" s="2" t="s">
        <v>97</v>
      </c>
      <c r="D318" s="2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8" s="2" t="str">
        <f>TRIM(تفاصيل_الفرق[[#This Row],[المدينة/المحافظة]])</f>
        <v>المذنب</v>
      </c>
      <c r="G3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9" spans="2:7">
      <c r="B319" s="2" t="s">
        <v>112</v>
      </c>
      <c r="C319" s="2" t="s">
        <v>97</v>
      </c>
      <c r="D319" s="2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19" s="2" t="str">
        <f>TRIM(تفاصيل_الفرق[[#This Row],[المدينة/المحافظة]])</f>
        <v>المذنب</v>
      </c>
      <c r="G3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0" spans="2:7">
      <c r="B320" s="2" t="s">
        <v>113</v>
      </c>
      <c r="C320" s="2" t="s">
        <v>97</v>
      </c>
      <c r="D320" s="2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0" s="2" t="str">
        <f>TRIM(تفاصيل_الفرق[[#This Row],[المدينة/المحافظة]])</f>
        <v>المذنب</v>
      </c>
      <c r="G3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1" spans="2:7">
      <c r="B321" s="2" t="s">
        <v>114</v>
      </c>
      <c r="C321" s="2" t="s">
        <v>97</v>
      </c>
      <c r="D321" s="2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1" s="2" t="str">
        <f>TRIM(تفاصيل_الفرق[[#This Row],[المدينة/المحافظة]])</f>
        <v>المذنب</v>
      </c>
      <c r="G3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2" spans="2:7">
      <c r="B322" s="2" t="s">
        <v>117</v>
      </c>
      <c r="C322" s="2" t="s">
        <v>97</v>
      </c>
      <c r="D322" s="2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2" s="2" t="str">
        <f>TRIM(تفاصيل_الفرق[[#This Row],[المدينة/المحافظة]])</f>
        <v>المذنب</v>
      </c>
      <c r="G3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3" spans="2:7">
      <c r="B323" s="2" t="s">
        <v>118</v>
      </c>
      <c r="C323" s="2" t="s">
        <v>97</v>
      </c>
      <c r="D323" s="2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3" s="2" t="str">
        <f>TRIM(تفاصيل_الفرق[[#This Row],[المدينة/المحافظة]])</f>
        <v>المذنب</v>
      </c>
      <c r="G3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4" spans="2:7">
      <c r="B324" s="2" t="s">
        <v>115</v>
      </c>
      <c r="C324" s="2" t="s">
        <v>97</v>
      </c>
      <c r="D324" s="2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4" s="2" t="str">
        <f>TRIM(تفاصيل_الفرق[[#This Row],[المدينة/المحافظة]])</f>
        <v>المذنب</v>
      </c>
      <c r="G3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5" spans="2:7">
      <c r="B325" s="2" t="s">
        <v>4</v>
      </c>
      <c r="C325" s="2" t="s">
        <v>94</v>
      </c>
      <c r="D325" s="2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25" s="2" t="str">
        <f>TRIM(تفاصيل_الفرق[[#This Row],[المدينة/المحافظة]])</f>
        <v>عنيزة</v>
      </c>
      <c r="G3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6" spans="2:7">
      <c r="B326" s="2" t="s">
        <v>112</v>
      </c>
      <c r="C326" s="2" t="s">
        <v>94</v>
      </c>
      <c r="D326" s="2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6" s="2" t="str">
        <f>TRIM(تفاصيل_الفرق[[#This Row],[المدينة/المحافظة]])</f>
        <v>عنيزة</v>
      </c>
      <c r="G3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7" spans="2:7">
      <c r="B327" s="2" t="s">
        <v>113</v>
      </c>
      <c r="C327" s="2" t="s">
        <v>94</v>
      </c>
      <c r="D327" s="2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7" s="2" t="str">
        <f>TRIM(تفاصيل_الفرق[[#This Row],[المدينة/المحافظة]])</f>
        <v>عنيزة</v>
      </c>
      <c r="G3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8" spans="2:7">
      <c r="B328" s="2" t="s">
        <v>114</v>
      </c>
      <c r="C328" s="2" t="s">
        <v>94</v>
      </c>
      <c r="D328" s="2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8" s="2" t="str">
        <f>TRIM(تفاصيل_الفرق[[#This Row],[المدينة/المحافظة]])</f>
        <v>عنيزة</v>
      </c>
      <c r="G3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9" spans="2:7">
      <c r="B329" s="2" t="s">
        <v>117</v>
      </c>
      <c r="C329" s="2" t="s">
        <v>94</v>
      </c>
      <c r="D329" s="2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9" s="2" t="str">
        <f>TRIM(تفاصيل_الفرق[[#This Row],[المدينة/المحافظة]])</f>
        <v>عنيزة</v>
      </c>
      <c r="G3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0" spans="2:7">
      <c r="B330" s="2" t="s">
        <v>118</v>
      </c>
      <c r="C330" s="2" t="s">
        <v>94</v>
      </c>
      <c r="D330" s="2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0" s="2" t="str">
        <f>TRIM(تفاصيل_الفرق[[#This Row],[المدينة/المحافظة]])</f>
        <v>عنيزة</v>
      </c>
      <c r="G3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1" spans="2:7">
      <c r="B331" s="2" t="s">
        <v>115</v>
      </c>
      <c r="C331" s="2" t="s">
        <v>94</v>
      </c>
      <c r="D331" s="2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1" s="2" t="str">
        <f>TRIM(تفاصيل_الفرق[[#This Row],[المدينة/المحافظة]])</f>
        <v>عنيزة</v>
      </c>
      <c r="G3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2" spans="2:7">
      <c r="B332" s="2" t="s">
        <v>4</v>
      </c>
      <c r="C332" s="2" t="s">
        <v>67</v>
      </c>
      <c r="D332" s="2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2" s="2" t="str">
        <f>TRIM(تفاصيل_الفرق[[#This Row],[المدينة/المحافظة]])</f>
        <v>فرسان</v>
      </c>
      <c r="G3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3" spans="2:7">
      <c r="B333" s="2" t="s">
        <v>112</v>
      </c>
      <c r="C333" s="2" t="s">
        <v>67</v>
      </c>
      <c r="D333" s="2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3" s="2" t="str">
        <f>TRIM(تفاصيل_الفرق[[#This Row],[المدينة/المحافظة]])</f>
        <v>فرسان</v>
      </c>
      <c r="G3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4" spans="2:7">
      <c r="B334" s="2" t="s">
        <v>113</v>
      </c>
      <c r="C334" s="2" t="s">
        <v>67</v>
      </c>
      <c r="D334" s="2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4" s="2" t="str">
        <f>TRIM(تفاصيل_الفرق[[#This Row],[المدينة/المحافظة]])</f>
        <v>فرسان</v>
      </c>
      <c r="G3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5" spans="2:7">
      <c r="B335" s="2" t="s">
        <v>114</v>
      </c>
      <c r="C335" s="2" t="s">
        <v>67</v>
      </c>
      <c r="D335" s="2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5" s="2" t="str">
        <f>TRIM(تفاصيل_الفرق[[#This Row],[المدينة/المحافظة]])</f>
        <v>فرسان</v>
      </c>
      <c r="G3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6" spans="2:7">
      <c r="B336" s="2" t="s">
        <v>117</v>
      </c>
      <c r="C336" s="2" t="s">
        <v>67</v>
      </c>
      <c r="D336" s="2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6" s="2" t="str">
        <f>TRIM(تفاصيل_الفرق[[#This Row],[المدينة/المحافظة]])</f>
        <v>فرسان</v>
      </c>
      <c r="G3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7" spans="2:7">
      <c r="B337" s="2" t="s">
        <v>118</v>
      </c>
      <c r="C337" s="2" t="s">
        <v>67</v>
      </c>
      <c r="D337" s="2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7" s="2" t="str">
        <f>TRIM(تفاصيل_الفرق[[#This Row],[المدينة/المحافظة]])</f>
        <v>فرسان</v>
      </c>
      <c r="G3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8" spans="2:7">
      <c r="B338" s="2" t="s">
        <v>115</v>
      </c>
      <c r="C338" s="2" t="s">
        <v>67</v>
      </c>
      <c r="D338" s="2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8" s="2" t="str">
        <f>TRIM(تفاصيل_الفرق[[#This Row],[المدينة/المحافظة]])</f>
        <v>فرسان</v>
      </c>
      <c r="G3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9" spans="2:7">
      <c r="B339" s="2" t="s">
        <v>4</v>
      </c>
      <c r="C339" s="2" t="s">
        <v>108</v>
      </c>
      <c r="D339" s="2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339" s="2" t="str">
        <f>TRIM(تفاصيل_الفرق[[#This Row],[المدينة/المحافظة]])</f>
        <v>مكة المكرمة</v>
      </c>
      <c r="G3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0" spans="2:7">
      <c r="B340" s="2" t="s">
        <v>112</v>
      </c>
      <c r="C340" s="2" t="s">
        <v>108</v>
      </c>
      <c r="D340" s="2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40" s="2" t="str">
        <f>TRIM(تفاصيل_الفرق[[#This Row],[المدينة/المحافظة]])</f>
        <v>مكة المكرمة</v>
      </c>
      <c r="G3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1" spans="2:7">
      <c r="B341" s="2" t="s">
        <v>113</v>
      </c>
      <c r="C341" s="2" t="s">
        <v>108</v>
      </c>
      <c r="D341" s="2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1" s="2" t="str">
        <f>TRIM(تفاصيل_الفرق[[#This Row],[المدينة/المحافظة]])</f>
        <v>مكة المكرمة</v>
      </c>
      <c r="G3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2" spans="2:7">
      <c r="B342" s="2" t="s">
        <v>114</v>
      </c>
      <c r="C342" s="2" t="s">
        <v>108</v>
      </c>
      <c r="D342" s="2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42" s="2" t="str">
        <f>TRIM(تفاصيل_الفرق[[#This Row],[المدينة/المحافظة]])</f>
        <v>مكة المكرمة</v>
      </c>
      <c r="G3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3" spans="2:7">
      <c r="B343" s="2" t="s">
        <v>117</v>
      </c>
      <c r="C343" s="2" t="s">
        <v>108</v>
      </c>
      <c r="D343" s="2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43" s="2" t="str">
        <f>TRIM(تفاصيل_الفرق[[#This Row],[المدينة/المحافظة]])</f>
        <v>مكة المكرمة</v>
      </c>
      <c r="G3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4" spans="2:7">
      <c r="B344" s="2" t="s">
        <v>118</v>
      </c>
      <c r="C344" s="2" t="s">
        <v>108</v>
      </c>
      <c r="D344" s="2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344" s="2" t="str">
        <f>TRIM(تفاصيل_الفرق[[#This Row],[المدينة/المحافظة]])</f>
        <v>مكة المكرمة</v>
      </c>
      <c r="G3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5" spans="2:7">
      <c r="B345" s="2" t="s">
        <v>115</v>
      </c>
      <c r="C345" s="2" t="s">
        <v>108</v>
      </c>
      <c r="D345" s="2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345" s="2" t="str">
        <f>TRIM(تفاصيل_الفرق[[#This Row],[المدينة/المحافظة]])</f>
        <v>مكة المكرمة</v>
      </c>
      <c r="G3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6" spans="2:7">
      <c r="B346" s="2" t="s">
        <v>4</v>
      </c>
      <c r="C346" s="2" t="s">
        <v>109</v>
      </c>
      <c r="D346" s="2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6" s="2" t="str">
        <f>TRIM(تفاصيل_الفرق[[#This Row],[المدينة/المحافظة]])</f>
        <v>الجموم</v>
      </c>
      <c r="G3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7" spans="2:7">
      <c r="B347" s="2" t="s">
        <v>112</v>
      </c>
      <c r="C347" s="2" t="s">
        <v>109</v>
      </c>
      <c r="D347" s="2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7" s="2" t="str">
        <f>TRIM(تفاصيل_الفرق[[#This Row],[المدينة/المحافظة]])</f>
        <v>الجموم</v>
      </c>
      <c r="G3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8" spans="2:7">
      <c r="B348" s="2" t="s">
        <v>113</v>
      </c>
      <c r="C348" s="2" t="s">
        <v>109</v>
      </c>
      <c r="D348" s="2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8" s="2" t="str">
        <f>TRIM(تفاصيل_الفرق[[#This Row],[المدينة/المحافظة]])</f>
        <v>الجموم</v>
      </c>
      <c r="G3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9" spans="2:7">
      <c r="B349" s="2" t="s">
        <v>114</v>
      </c>
      <c r="C349" s="2" t="s">
        <v>109</v>
      </c>
      <c r="D349" s="2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9" s="2" t="str">
        <f>TRIM(تفاصيل_الفرق[[#This Row],[المدينة/المحافظة]])</f>
        <v>الجموم</v>
      </c>
      <c r="G3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0" spans="2:7">
      <c r="B350" s="2" t="s">
        <v>117</v>
      </c>
      <c r="C350" s="2" t="s">
        <v>109</v>
      </c>
      <c r="D350" s="2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0" s="2" t="str">
        <f>TRIM(تفاصيل_الفرق[[#This Row],[المدينة/المحافظة]])</f>
        <v>الجموم</v>
      </c>
      <c r="G3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1" spans="2:7">
      <c r="B351" s="2" t="s">
        <v>118</v>
      </c>
      <c r="C351" s="2" t="s">
        <v>109</v>
      </c>
      <c r="D351" s="2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1" s="2" t="str">
        <f>TRIM(تفاصيل_الفرق[[#This Row],[المدينة/المحافظة]])</f>
        <v>الجموم</v>
      </c>
      <c r="G3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2" spans="2:7">
      <c r="B352" s="2" t="s">
        <v>115</v>
      </c>
      <c r="C352" s="2" t="s">
        <v>109</v>
      </c>
      <c r="D352" s="2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2" s="2" t="str">
        <f>TRIM(تفاصيل_الفرق[[#This Row],[المدينة/المحافظة]])</f>
        <v>الجموم</v>
      </c>
      <c r="G3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3" spans="2:7">
      <c r="B353" s="2" t="s">
        <v>4</v>
      </c>
      <c r="C353" s="2" t="s">
        <v>70</v>
      </c>
      <c r="D353" s="2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3" s="2" t="str">
        <f>TRIM(تفاصيل_الفرق[[#This Row],[المدينة/المحافظة]])</f>
        <v>وادي الدواسر</v>
      </c>
      <c r="G3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4" spans="2:7">
      <c r="B354" s="2" t="s">
        <v>112</v>
      </c>
      <c r="C354" s="2" t="s">
        <v>70</v>
      </c>
      <c r="D354" s="2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4" s="2" t="str">
        <f>TRIM(تفاصيل_الفرق[[#This Row],[المدينة/المحافظة]])</f>
        <v>وادي الدواسر</v>
      </c>
      <c r="G3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5" spans="2:7">
      <c r="B355" s="2" t="s">
        <v>113</v>
      </c>
      <c r="C355" s="2" t="s">
        <v>70</v>
      </c>
      <c r="D355" s="2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5" s="2" t="str">
        <f>TRIM(تفاصيل_الفرق[[#This Row],[المدينة/المحافظة]])</f>
        <v>وادي الدواسر</v>
      </c>
      <c r="G3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6" spans="2:7">
      <c r="B356" s="2" t="s">
        <v>114</v>
      </c>
      <c r="C356" s="2" t="s">
        <v>70</v>
      </c>
      <c r="D356" s="2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6" s="2" t="str">
        <f>TRIM(تفاصيل_الفرق[[#This Row],[المدينة/المحافظة]])</f>
        <v>وادي الدواسر</v>
      </c>
      <c r="G3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7" spans="2:7">
      <c r="B357" s="2" t="s">
        <v>117</v>
      </c>
      <c r="C357" s="2" t="s">
        <v>70</v>
      </c>
      <c r="D357" s="2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7" s="2" t="str">
        <f>TRIM(تفاصيل_الفرق[[#This Row],[المدينة/المحافظة]])</f>
        <v>وادي الدواسر</v>
      </c>
      <c r="G3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8" spans="2:7">
      <c r="B358" s="2" t="s">
        <v>118</v>
      </c>
      <c r="C358" s="2" t="s">
        <v>70</v>
      </c>
      <c r="D358" s="2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8" s="2" t="str">
        <f>TRIM(تفاصيل_الفرق[[#This Row],[المدينة/المحافظة]])</f>
        <v>وادي الدواسر</v>
      </c>
      <c r="G3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9" spans="2:7">
      <c r="B359" s="2" t="s">
        <v>115</v>
      </c>
      <c r="C359" s="2" t="s">
        <v>70</v>
      </c>
      <c r="D359" s="2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9" s="2" t="str">
        <f>TRIM(تفاصيل_الفرق[[#This Row],[المدينة/المحافظة]])</f>
        <v>وادي الدواسر</v>
      </c>
      <c r="G3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0" spans="2:7">
      <c r="B360" s="2" t="s">
        <v>4</v>
      </c>
      <c r="C360" s="2" t="s">
        <v>503</v>
      </c>
      <c r="D360" s="2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0" s="2" t="str">
        <f>TRIM(تفاصيل_الفرق[[#This Row],[المدينة/المحافظة]])</f>
        <v>أملج</v>
      </c>
      <c r="G3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1" spans="2:7">
      <c r="B361" s="2" t="s">
        <v>112</v>
      </c>
      <c r="C361" s="2" t="s">
        <v>503</v>
      </c>
      <c r="D361" s="2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1" s="2" t="str">
        <f>TRIM(تفاصيل_الفرق[[#This Row],[المدينة/المحافظة]])</f>
        <v>أملج</v>
      </c>
      <c r="G3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2" spans="2:7">
      <c r="B362" s="2" t="s">
        <v>113</v>
      </c>
      <c r="C362" s="2" t="s">
        <v>503</v>
      </c>
      <c r="D362" s="2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2" s="2" t="str">
        <f>TRIM(تفاصيل_الفرق[[#This Row],[المدينة/المحافظة]])</f>
        <v>أملج</v>
      </c>
      <c r="G3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3" spans="2:7">
      <c r="B363" s="2" t="s">
        <v>114</v>
      </c>
      <c r="C363" s="2" t="s">
        <v>503</v>
      </c>
      <c r="D363" s="2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3" s="2" t="str">
        <f>TRIM(تفاصيل_الفرق[[#This Row],[المدينة/المحافظة]])</f>
        <v>أملج</v>
      </c>
      <c r="G3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4" spans="2:7">
      <c r="B364" s="2" t="s">
        <v>117</v>
      </c>
      <c r="C364" s="2" t="s">
        <v>503</v>
      </c>
      <c r="D364" s="2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4" s="2" t="str">
        <f>TRIM(تفاصيل_الفرق[[#This Row],[المدينة/المحافظة]])</f>
        <v>أملج</v>
      </c>
      <c r="G3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5" spans="2:7">
      <c r="B365" s="2" t="s">
        <v>118</v>
      </c>
      <c r="C365" s="2" t="s">
        <v>503</v>
      </c>
      <c r="D365" s="2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5" s="2" t="str">
        <f>TRIM(تفاصيل_الفرق[[#This Row],[المدينة/المحافظة]])</f>
        <v>أملج</v>
      </c>
      <c r="G3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6" spans="2:7">
      <c r="B366" s="2" t="s">
        <v>115</v>
      </c>
      <c r="C366" s="2" t="s">
        <v>503</v>
      </c>
      <c r="D366" s="2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6" s="2" t="str">
        <f>TRIM(تفاصيل_الفرق[[#This Row],[المدينة/المحافظة]])</f>
        <v>أملج</v>
      </c>
      <c r="G3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7" spans="2:7">
      <c r="B367" s="2" t="s">
        <v>4</v>
      </c>
      <c r="C367" s="2" t="s">
        <v>83</v>
      </c>
      <c r="D367" s="2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7" s="2" t="str">
        <f>TRIM(تفاصيل_الفرق[[#This Row],[المدينة/المحافظة]])</f>
        <v>العقيق</v>
      </c>
      <c r="G3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8" spans="2:7">
      <c r="B368" s="2" t="s">
        <v>112</v>
      </c>
      <c r="C368" s="2" t="s">
        <v>83</v>
      </c>
      <c r="D368" s="2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8" s="2" t="str">
        <f>TRIM(تفاصيل_الفرق[[#This Row],[المدينة/المحافظة]])</f>
        <v>العقيق</v>
      </c>
      <c r="G3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9" spans="2:7">
      <c r="B369" s="2" t="s">
        <v>113</v>
      </c>
      <c r="C369" s="2" t="s">
        <v>83</v>
      </c>
      <c r="D369" s="2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9" s="2" t="str">
        <f>TRIM(تفاصيل_الفرق[[#This Row],[المدينة/المحافظة]])</f>
        <v>العقيق</v>
      </c>
      <c r="G3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0" spans="2:7">
      <c r="B370" s="2" t="s">
        <v>114</v>
      </c>
      <c r="C370" s="2" t="s">
        <v>83</v>
      </c>
      <c r="D370" s="2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0" s="2" t="str">
        <f>TRIM(تفاصيل_الفرق[[#This Row],[المدينة/المحافظة]])</f>
        <v>العقيق</v>
      </c>
      <c r="G3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71" spans="2:7">
      <c r="B371" s="2" t="s">
        <v>117</v>
      </c>
      <c r="C371" s="2" t="s">
        <v>83</v>
      </c>
      <c r="D371" s="2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1" s="2" t="str">
        <f>TRIM(تفاصيل_الفرق[[#This Row],[المدينة/المحافظة]])</f>
        <v>العقيق</v>
      </c>
      <c r="G3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2" spans="2:7">
      <c r="B372" s="2" t="s">
        <v>118</v>
      </c>
      <c r="C372" s="2" t="s">
        <v>83</v>
      </c>
      <c r="D372" s="2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2" s="2" t="str">
        <f>TRIM(تفاصيل_الفرق[[#This Row],[المدينة/المحافظة]])</f>
        <v>العقيق</v>
      </c>
      <c r="G3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3" spans="2:7">
      <c r="B373" s="2" t="s">
        <v>115</v>
      </c>
      <c r="C373" s="2" t="s">
        <v>83</v>
      </c>
      <c r="D373" s="2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3" s="2" t="str">
        <f>TRIM(تفاصيل_الفرق[[#This Row],[المدينة/المحافظة]])</f>
        <v>العقيق</v>
      </c>
      <c r="G3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4" spans="2:7">
      <c r="B374" s="2" t="s">
        <v>4</v>
      </c>
      <c r="C374" s="2" t="s">
        <v>1028</v>
      </c>
      <c r="D374" s="2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4" s="2" t="str">
        <f>TRIM(تفاصيل_الفرق[[#This Row],[المدينة/المحافظة]])</f>
        <v>مركز الرفيعة</v>
      </c>
      <c r="G3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5" spans="2:7">
      <c r="B375" s="2" t="s">
        <v>112</v>
      </c>
      <c r="C375" s="2" t="s">
        <v>1028</v>
      </c>
      <c r="D375" s="2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5" s="2" t="str">
        <f>TRIM(تفاصيل_الفرق[[#This Row],[المدينة/المحافظة]])</f>
        <v>مركز الرفيعة</v>
      </c>
      <c r="G3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6" spans="2:7">
      <c r="B376" s="2" t="s">
        <v>113</v>
      </c>
      <c r="C376" s="2" t="s">
        <v>1028</v>
      </c>
      <c r="D376" s="2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6" s="2" t="str">
        <f>TRIM(تفاصيل_الفرق[[#This Row],[المدينة/المحافظة]])</f>
        <v>مركز الرفيعة</v>
      </c>
      <c r="G3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7" spans="2:7">
      <c r="B377" s="2" t="s">
        <v>114</v>
      </c>
      <c r="C377" s="2" t="s">
        <v>1028</v>
      </c>
      <c r="D377" s="2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77" s="2" t="str">
        <f>TRIM(تفاصيل_الفرق[[#This Row],[المدينة/المحافظة]])</f>
        <v>مركز الرفيعة</v>
      </c>
      <c r="G3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8" spans="2:7">
      <c r="B378" s="2" t="s">
        <v>117</v>
      </c>
      <c r="C378" s="2" t="s">
        <v>1028</v>
      </c>
      <c r="D378" s="2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8" s="2" t="str">
        <f>TRIM(تفاصيل_الفرق[[#This Row],[المدينة/المحافظة]])</f>
        <v>مركز الرفيعة</v>
      </c>
      <c r="G3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9" spans="2:7">
      <c r="B379" s="2" t="s">
        <v>118</v>
      </c>
      <c r="C379" s="2" t="s">
        <v>1028</v>
      </c>
      <c r="D379" s="2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9" s="2" t="str">
        <f>TRIM(تفاصيل_الفرق[[#This Row],[المدينة/المحافظة]])</f>
        <v>مركز الرفيعة</v>
      </c>
      <c r="G3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0" spans="2:7">
      <c r="B380" s="2" t="s">
        <v>115</v>
      </c>
      <c r="C380" s="2" t="s">
        <v>1028</v>
      </c>
      <c r="D380" s="2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80" s="2" t="str">
        <f>TRIM(تفاصيل_الفرق[[#This Row],[المدينة/المحافظة]])</f>
        <v>مركز الرفيعة</v>
      </c>
      <c r="G3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1" spans="2:7">
      <c r="B381" s="2" t="s">
        <v>4</v>
      </c>
      <c r="C381" s="2" t="s">
        <v>1098</v>
      </c>
      <c r="D381" s="2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1" s="2" t="str">
        <f>TRIM(تفاصيل_الفرق[[#This Row],[المدينة/المحافظة]])</f>
        <v>الشنان</v>
      </c>
      <c r="G3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2" spans="2:7">
      <c r="B382" s="2" t="s">
        <v>112</v>
      </c>
      <c r="C382" s="2" t="s">
        <v>1098</v>
      </c>
      <c r="D382" s="2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2" s="2" t="str">
        <f>TRIM(تفاصيل_الفرق[[#This Row],[المدينة/المحافظة]])</f>
        <v>الشنان</v>
      </c>
      <c r="G3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3" spans="2:7">
      <c r="B383" s="2" t="s">
        <v>113</v>
      </c>
      <c r="C383" s="2" t="s">
        <v>1098</v>
      </c>
      <c r="D383" s="2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3" s="2" t="str">
        <f>TRIM(تفاصيل_الفرق[[#This Row],[المدينة/المحافظة]])</f>
        <v>الشنان</v>
      </c>
      <c r="G3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4" spans="2:7">
      <c r="B384" s="2" t="s">
        <v>114</v>
      </c>
      <c r="C384" s="2" t="s">
        <v>1098</v>
      </c>
      <c r="D384" s="2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4" s="2" t="str">
        <f>TRIM(تفاصيل_الفرق[[#This Row],[المدينة/المحافظة]])</f>
        <v>الشنان</v>
      </c>
      <c r="G3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5" spans="2:7">
      <c r="B385" s="2" t="s">
        <v>117</v>
      </c>
      <c r="C385" s="2" t="s">
        <v>1098</v>
      </c>
      <c r="D385" s="2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5" s="2" t="str">
        <f>TRIM(تفاصيل_الفرق[[#This Row],[المدينة/المحافظة]])</f>
        <v>الشنان</v>
      </c>
      <c r="G3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6" spans="2:7">
      <c r="B386" s="2" t="s">
        <v>118</v>
      </c>
      <c r="C386" s="2" t="s">
        <v>1098</v>
      </c>
      <c r="D386" s="2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6" s="2" t="str">
        <f>TRIM(تفاصيل_الفرق[[#This Row],[المدينة/المحافظة]])</f>
        <v>الشنان</v>
      </c>
      <c r="G3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7" spans="2:7">
      <c r="B387" s="2" t="s">
        <v>115</v>
      </c>
      <c r="C387" s="2" t="s">
        <v>1098</v>
      </c>
      <c r="D387" s="2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7" s="2" t="str">
        <f>TRIM(تفاصيل_الفرق[[#This Row],[المدينة/المحافظة]])</f>
        <v>الشنان</v>
      </c>
      <c r="G3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8" spans="2:7">
      <c r="B388" s="2" t="s">
        <v>4</v>
      </c>
      <c r="C388" s="2" t="s">
        <v>1041</v>
      </c>
      <c r="D388" s="2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8" s="2" t="str">
        <f>TRIM(تفاصيل_الفرق[[#This Row],[المدينة/المحافظة]])</f>
        <v>فيد</v>
      </c>
      <c r="G3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9" spans="2:7">
      <c r="B389" s="2" t="s">
        <v>112</v>
      </c>
      <c r="C389" s="2" t="s">
        <v>1041</v>
      </c>
      <c r="D389" s="2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9" s="2" t="str">
        <f>TRIM(تفاصيل_الفرق[[#This Row],[المدينة/المحافظة]])</f>
        <v>فيد</v>
      </c>
      <c r="G3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0" spans="2:7">
      <c r="B390" s="2" t="s">
        <v>113</v>
      </c>
      <c r="C390" s="2" t="s">
        <v>1041</v>
      </c>
      <c r="D390" s="2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0" s="2" t="str">
        <f>TRIM(تفاصيل_الفرق[[#This Row],[المدينة/المحافظة]])</f>
        <v>فيد</v>
      </c>
      <c r="G3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1" spans="2:7">
      <c r="B391" s="2" t="s">
        <v>114</v>
      </c>
      <c r="C391" s="2" t="s">
        <v>1041</v>
      </c>
      <c r="D391" s="2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1" s="2" t="str">
        <f>TRIM(تفاصيل_الفرق[[#This Row],[المدينة/المحافظة]])</f>
        <v>فيد</v>
      </c>
      <c r="G3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2" spans="2:7">
      <c r="B392" s="2" t="s">
        <v>117</v>
      </c>
      <c r="C392" s="2" t="s">
        <v>1041</v>
      </c>
      <c r="D392" s="2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2" s="2" t="str">
        <f>TRIM(تفاصيل_الفرق[[#This Row],[المدينة/المحافظة]])</f>
        <v>فيد</v>
      </c>
      <c r="G3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3" spans="2:7">
      <c r="B393" s="2" t="s">
        <v>118</v>
      </c>
      <c r="C393" s="2" t="s">
        <v>1041</v>
      </c>
      <c r="D393" s="2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3" s="2" t="str">
        <f>TRIM(تفاصيل_الفرق[[#This Row],[المدينة/المحافظة]])</f>
        <v>فيد</v>
      </c>
      <c r="G3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4" spans="2:7">
      <c r="B394" s="2" t="s">
        <v>115</v>
      </c>
      <c r="C394" s="2" t="s">
        <v>1041</v>
      </c>
      <c r="D394" s="2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4" s="2" t="str">
        <f>TRIM(تفاصيل_الفرق[[#This Row],[المدينة/المحافظة]])</f>
        <v>فيد</v>
      </c>
      <c r="G3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5" spans="2:7">
      <c r="B395" s="2" t="s">
        <v>4</v>
      </c>
      <c r="C395" s="2" t="s">
        <v>87</v>
      </c>
      <c r="D395" s="2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5" s="2" t="str">
        <f>TRIM(تفاصيل_الفرق[[#This Row],[المدينة/المحافظة]])</f>
        <v>طبرجل</v>
      </c>
      <c r="G3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6" spans="2:7">
      <c r="B396" s="2" t="s">
        <v>112</v>
      </c>
      <c r="C396" s="2" t="s">
        <v>87</v>
      </c>
      <c r="D396" s="2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6" s="2" t="str">
        <f>TRIM(تفاصيل_الفرق[[#This Row],[المدينة/المحافظة]])</f>
        <v>طبرجل</v>
      </c>
      <c r="G3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7" spans="2:7">
      <c r="B397" s="2" t="s">
        <v>113</v>
      </c>
      <c r="C397" s="2" t="s">
        <v>87</v>
      </c>
      <c r="D397" s="2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7" s="2" t="str">
        <f>TRIM(تفاصيل_الفرق[[#This Row],[المدينة/المحافظة]])</f>
        <v>طبرجل</v>
      </c>
      <c r="G3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8" spans="2:7">
      <c r="B398" s="2" t="s">
        <v>114</v>
      </c>
      <c r="C398" s="2" t="s">
        <v>87</v>
      </c>
      <c r="D398" s="2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8" s="2" t="str">
        <f>TRIM(تفاصيل_الفرق[[#This Row],[المدينة/المحافظة]])</f>
        <v>طبرجل</v>
      </c>
      <c r="G3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9" spans="2:7">
      <c r="B399" s="2" t="s">
        <v>117</v>
      </c>
      <c r="C399" s="2" t="s">
        <v>87</v>
      </c>
      <c r="D399" s="2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9" s="2" t="str">
        <f>TRIM(تفاصيل_الفرق[[#This Row],[المدينة/المحافظة]])</f>
        <v>طبرجل</v>
      </c>
      <c r="G3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0" spans="2:7">
      <c r="B400" s="2" t="s">
        <v>118</v>
      </c>
      <c r="C400" s="2" t="s">
        <v>87</v>
      </c>
      <c r="D400" s="2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0" s="2" t="str">
        <f>TRIM(تفاصيل_الفرق[[#This Row],[المدينة/المحافظة]])</f>
        <v>طبرجل</v>
      </c>
      <c r="G4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1" spans="2:7">
      <c r="B401" s="2" t="s">
        <v>115</v>
      </c>
      <c r="C401" s="2" t="s">
        <v>87</v>
      </c>
      <c r="D401" s="2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01" s="2" t="str">
        <f>TRIM(تفاصيل_الفرق[[#This Row],[المدينة/المحافظة]])</f>
        <v>طبرجل</v>
      </c>
      <c r="G4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2" spans="2:7">
      <c r="B402" s="2" t="s">
        <v>4</v>
      </c>
      <c r="C402" s="2" t="s">
        <v>1288</v>
      </c>
      <c r="D402" s="2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2" s="2" t="str">
        <f>TRIM(تفاصيل_الفرق[[#This Row],[المدينة/المحافظة]])</f>
        <v>رياض الخبراء</v>
      </c>
      <c r="G4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3" spans="2:7">
      <c r="B403" s="2" t="s">
        <v>112</v>
      </c>
      <c r="C403" s="2" t="s">
        <v>1288</v>
      </c>
      <c r="D403" s="2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3" s="2" t="str">
        <f>TRIM(تفاصيل_الفرق[[#This Row],[المدينة/المحافظة]])</f>
        <v>رياض الخبراء</v>
      </c>
      <c r="G4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4" spans="2:7">
      <c r="B404" s="2" t="s">
        <v>113</v>
      </c>
      <c r="C404" s="2" t="s">
        <v>1288</v>
      </c>
      <c r="D404" s="2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4" s="2" t="str">
        <f>TRIM(تفاصيل_الفرق[[#This Row],[المدينة/المحافظة]])</f>
        <v>رياض الخبراء</v>
      </c>
      <c r="G4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5" spans="2:7">
      <c r="B405" s="2" t="s">
        <v>114</v>
      </c>
      <c r="C405" s="2" t="s">
        <v>1288</v>
      </c>
      <c r="D405" s="2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5" s="2" t="str">
        <f>TRIM(تفاصيل_الفرق[[#This Row],[المدينة/المحافظة]])</f>
        <v>رياض الخبراء</v>
      </c>
      <c r="G4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6" spans="2:7">
      <c r="B406" s="2" t="s">
        <v>117</v>
      </c>
      <c r="C406" s="2" t="s">
        <v>1288</v>
      </c>
      <c r="D406" s="2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6" s="2" t="str">
        <f>TRIM(تفاصيل_الفرق[[#This Row],[المدينة/المحافظة]])</f>
        <v>رياض الخبراء</v>
      </c>
      <c r="G4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7" spans="2:7">
      <c r="B407" s="2" t="s">
        <v>118</v>
      </c>
      <c r="C407" s="2" t="s">
        <v>1288</v>
      </c>
      <c r="D407" s="2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7" s="2" t="str">
        <f>TRIM(تفاصيل_الفرق[[#This Row],[المدينة/المحافظة]])</f>
        <v>رياض الخبراء</v>
      </c>
      <c r="G4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8" spans="2:7">
      <c r="B408" s="2" t="s">
        <v>115</v>
      </c>
      <c r="C408" s="2" t="s">
        <v>1288</v>
      </c>
      <c r="D408" s="2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8" s="2" t="str">
        <f>TRIM(تفاصيل_الفرق[[#This Row],[المدينة/المحافظة]])</f>
        <v>رياض الخبراء</v>
      </c>
      <c r="G4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9" spans="2:7">
      <c r="B409" s="2" t="s">
        <v>4</v>
      </c>
      <c r="C409" s="2" t="s">
        <v>98</v>
      </c>
      <c r="D409" s="2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9" s="2" t="str">
        <f>TRIM(تفاصيل_الفرق[[#This Row],[المدينة/المحافظة]])</f>
        <v>الجبيل</v>
      </c>
      <c r="G4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0" spans="2:7">
      <c r="B410" s="2" t="s">
        <v>112</v>
      </c>
      <c r="C410" s="2" t="s">
        <v>98</v>
      </c>
      <c r="D410" s="2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0" s="2" t="str">
        <f>TRIM(تفاصيل_الفرق[[#This Row],[المدينة/المحافظة]])</f>
        <v>الجبيل</v>
      </c>
      <c r="G4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1" spans="2:7">
      <c r="B411" s="2" t="s">
        <v>113</v>
      </c>
      <c r="C411" s="2" t="s">
        <v>98</v>
      </c>
      <c r="D411" s="2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1" s="2" t="str">
        <f>TRIM(تفاصيل_الفرق[[#This Row],[المدينة/المحافظة]])</f>
        <v>الجبيل</v>
      </c>
      <c r="G4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2" spans="2:7">
      <c r="B412" s="2" t="s">
        <v>114</v>
      </c>
      <c r="C412" s="2" t="s">
        <v>98</v>
      </c>
      <c r="D412" s="2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2" s="2" t="str">
        <f>TRIM(تفاصيل_الفرق[[#This Row],[المدينة/المحافظة]])</f>
        <v>الجبيل</v>
      </c>
      <c r="G4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3" spans="2:7">
      <c r="B413" s="2" t="s">
        <v>117</v>
      </c>
      <c r="C413" s="2" t="s">
        <v>98</v>
      </c>
      <c r="D413" s="2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3" s="2" t="str">
        <f>TRIM(تفاصيل_الفرق[[#This Row],[المدينة/المحافظة]])</f>
        <v>الجبيل</v>
      </c>
      <c r="G4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4" spans="2:7">
      <c r="B414" s="2" t="s">
        <v>118</v>
      </c>
      <c r="C414" s="2" t="s">
        <v>98</v>
      </c>
      <c r="D414" s="2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4" s="2" t="str">
        <f>TRIM(تفاصيل_الفرق[[#This Row],[المدينة/المحافظة]])</f>
        <v>الجبيل</v>
      </c>
      <c r="G4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5" spans="2:7">
      <c r="B415" s="2" t="s">
        <v>115</v>
      </c>
      <c r="C415" s="2" t="s">
        <v>98</v>
      </c>
      <c r="D415" s="2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5" s="2" t="str">
        <f>TRIM(تفاصيل_الفرق[[#This Row],[المدينة/المحافظة]])</f>
        <v>الجبيل</v>
      </c>
      <c r="G4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6" spans="2:7">
      <c r="B416" s="2" t="s">
        <v>4</v>
      </c>
      <c r="C416" s="2" t="s">
        <v>650</v>
      </c>
      <c r="D416" s="2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6" s="2" t="str">
        <f>TRIM(تفاصيل_الفرق[[#This Row],[المدينة/المحافظة]])</f>
        <v>القريات</v>
      </c>
      <c r="G4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7" spans="2:7">
      <c r="B417" s="2" t="s">
        <v>112</v>
      </c>
      <c r="C417" s="2" t="s">
        <v>650</v>
      </c>
      <c r="D417" s="2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17" s="2" t="str">
        <f>TRIM(تفاصيل_الفرق[[#This Row],[المدينة/المحافظة]])</f>
        <v>القريات</v>
      </c>
      <c r="G4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8" spans="2:7">
      <c r="B418" s="2" t="s">
        <v>113</v>
      </c>
      <c r="C418" s="2" t="s">
        <v>650</v>
      </c>
      <c r="D418" s="2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8" s="2" t="str">
        <f>TRIM(تفاصيل_الفرق[[#This Row],[المدينة/المحافظة]])</f>
        <v>القريات</v>
      </c>
      <c r="G4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9" spans="2:7">
      <c r="B419" s="2" t="s">
        <v>114</v>
      </c>
      <c r="C419" s="2" t="s">
        <v>650</v>
      </c>
      <c r="D419" s="2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19" s="2" t="str">
        <f>TRIM(تفاصيل_الفرق[[#This Row],[المدينة/المحافظة]])</f>
        <v>القريات</v>
      </c>
      <c r="G4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0" spans="2:7">
      <c r="B420" s="2" t="s">
        <v>117</v>
      </c>
      <c r="C420" s="2" t="s">
        <v>650</v>
      </c>
      <c r="D420" s="2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0" s="2" t="str">
        <f>TRIM(تفاصيل_الفرق[[#This Row],[المدينة/المحافظة]])</f>
        <v>القريات</v>
      </c>
      <c r="G4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1" spans="2:7">
      <c r="B421" s="2" t="s">
        <v>118</v>
      </c>
      <c r="C421" s="2" t="s">
        <v>650</v>
      </c>
      <c r="D421" s="2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1" s="2" t="str">
        <f>TRIM(تفاصيل_الفرق[[#This Row],[المدينة/المحافظة]])</f>
        <v>القريات</v>
      </c>
      <c r="G4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2" spans="2:7">
      <c r="B422" s="2" t="s">
        <v>115</v>
      </c>
      <c r="C422" s="2" t="s">
        <v>650</v>
      </c>
      <c r="D422" s="2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2" s="2" t="str">
        <f>TRIM(تفاصيل_الفرق[[#This Row],[المدينة/المحافظة]])</f>
        <v>القريات</v>
      </c>
      <c r="G4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3" spans="2:7">
      <c r="B423" s="2" t="s">
        <v>4</v>
      </c>
      <c r="C423" s="2" t="s">
        <v>96</v>
      </c>
      <c r="D423" s="2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3" s="2" t="str">
        <f>TRIM(تفاصيل_الفرق[[#This Row],[المدينة/المحافظة]])</f>
        <v>البدائع</v>
      </c>
      <c r="G4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4" spans="2:7">
      <c r="B424" s="2" t="s">
        <v>112</v>
      </c>
      <c r="C424" s="2" t="s">
        <v>96</v>
      </c>
      <c r="D424" s="2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4" s="2" t="str">
        <f>TRIM(تفاصيل_الفرق[[#This Row],[المدينة/المحافظة]])</f>
        <v>البدائع</v>
      </c>
      <c r="G4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5" spans="2:7">
      <c r="B425" s="2" t="s">
        <v>113</v>
      </c>
      <c r="C425" s="2" t="s">
        <v>96</v>
      </c>
      <c r="D425" s="2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5" s="2" t="str">
        <f>TRIM(تفاصيل_الفرق[[#This Row],[المدينة/المحافظة]])</f>
        <v>البدائع</v>
      </c>
      <c r="G4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6" spans="2:7">
      <c r="B426" s="2" t="s">
        <v>114</v>
      </c>
      <c r="C426" s="2" t="s">
        <v>96</v>
      </c>
      <c r="D426" s="2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6" s="2" t="str">
        <f>TRIM(تفاصيل_الفرق[[#This Row],[المدينة/المحافظة]])</f>
        <v>البدائع</v>
      </c>
      <c r="G4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7" spans="2:7">
      <c r="B427" s="2" t="s">
        <v>117</v>
      </c>
      <c r="C427" s="2" t="s">
        <v>96</v>
      </c>
      <c r="D427" s="2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7" s="2" t="str">
        <f>TRIM(تفاصيل_الفرق[[#This Row],[المدينة/المحافظة]])</f>
        <v>البدائع</v>
      </c>
      <c r="G4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8" spans="2:7">
      <c r="B428" s="2" t="s">
        <v>118</v>
      </c>
      <c r="C428" s="2" t="s">
        <v>96</v>
      </c>
      <c r="D428" s="2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8" s="2" t="str">
        <f>TRIM(تفاصيل_الفرق[[#This Row],[المدينة/المحافظة]])</f>
        <v>البدائع</v>
      </c>
      <c r="G4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9" spans="2:7">
      <c r="B429" s="2" t="s">
        <v>115</v>
      </c>
      <c r="C429" s="2" t="s">
        <v>96</v>
      </c>
      <c r="D429" s="2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9" s="2" t="str">
        <f>TRIM(تفاصيل_الفرق[[#This Row],[المدينة/المحافظة]])</f>
        <v>البدائع</v>
      </c>
      <c r="G4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0" spans="2:7">
      <c r="B430" s="2" t="s">
        <v>114</v>
      </c>
      <c r="C430" s="2" t="s">
        <v>59</v>
      </c>
      <c r="D430" s="2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0" s="2" t="str">
        <f>TRIM(تفاصيل_الفرق[[#This Row],[المدينة/المحافظة]])</f>
        <v>رفحاء</v>
      </c>
      <c r="G4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1" spans="2:7">
      <c r="B431" s="2" t="s">
        <v>117</v>
      </c>
      <c r="C431" s="2" t="s">
        <v>59</v>
      </c>
      <c r="D431" s="2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1" s="2" t="str">
        <f>TRIM(تفاصيل_الفرق[[#This Row],[المدينة/المحافظة]])</f>
        <v>رفحاء</v>
      </c>
      <c r="G4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2" spans="2:7">
      <c r="B432" s="2" t="s">
        <v>118</v>
      </c>
      <c r="C432" s="2" t="s">
        <v>59</v>
      </c>
      <c r="D432" s="2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2" s="2" t="str">
        <f>TRIM(تفاصيل_الفرق[[#This Row],[المدينة/المحافظة]])</f>
        <v>رفحاء</v>
      </c>
      <c r="G4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3" spans="2:7">
      <c r="B433" s="2" t="s">
        <v>115</v>
      </c>
      <c r="C433" s="2" t="s">
        <v>59</v>
      </c>
      <c r="D433" s="2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3" s="2" t="str">
        <f>TRIM(تفاصيل_الفرق[[#This Row],[المدينة/المحافظة]])</f>
        <v>رفحاء</v>
      </c>
      <c r="G4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4" spans="2:7">
      <c r="B434" s="2" t="s">
        <v>114</v>
      </c>
      <c r="C434" s="2" t="s">
        <v>88</v>
      </c>
      <c r="D434" s="2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4" s="2" t="str">
        <f>TRIM(تفاصيل_الفرق[[#This Row],[المدينة/المحافظة]])</f>
        <v>الدلم</v>
      </c>
      <c r="G4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5" spans="2:7">
      <c r="B435" s="2" t="s">
        <v>117</v>
      </c>
      <c r="C435" s="2" t="s">
        <v>88</v>
      </c>
      <c r="D435" s="2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5" s="2" t="str">
        <f>TRIM(تفاصيل_الفرق[[#This Row],[المدينة/المحافظة]])</f>
        <v>الدلم</v>
      </c>
      <c r="G4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6" spans="2:7">
      <c r="B436" s="2" t="s">
        <v>118</v>
      </c>
      <c r="C436" s="2" t="s">
        <v>88</v>
      </c>
      <c r="D436" s="2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6" s="2" t="str">
        <f>TRIM(تفاصيل_الفرق[[#This Row],[المدينة/المحافظة]])</f>
        <v>الدلم</v>
      </c>
      <c r="G4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7" spans="2:7">
      <c r="B437" s="2" t="s">
        <v>115</v>
      </c>
      <c r="C437" s="2" t="s">
        <v>88</v>
      </c>
      <c r="D437" s="2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7" s="2" t="str">
        <f>TRIM(تفاصيل_الفرق[[#This Row],[المدينة/المحافظة]])</f>
        <v>الدلم</v>
      </c>
      <c r="G4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8" spans="2:7">
      <c r="B438" s="2" t="s">
        <v>114</v>
      </c>
      <c r="C438" s="2" t="s">
        <v>65</v>
      </c>
      <c r="D438" s="2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8" s="2" t="str">
        <f>TRIM(تفاصيل_الفرق[[#This Row],[المدينة/المحافظة]])</f>
        <v>عفيف</v>
      </c>
      <c r="G4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9" spans="2:7">
      <c r="B439" s="2" t="s">
        <v>117</v>
      </c>
      <c r="C439" s="2" t="s">
        <v>65</v>
      </c>
      <c r="D439" s="2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9" s="2" t="str">
        <f>TRIM(تفاصيل_الفرق[[#This Row],[المدينة/المحافظة]])</f>
        <v>عفيف</v>
      </c>
      <c r="G4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0" spans="2:7">
      <c r="B440" s="2" t="s">
        <v>118</v>
      </c>
      <c r="C440" s="2" t="s">
        <v>65</v>
      </c>
      <c r="D440" s="2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0" s="2" t="str">
        <f>TRIM(تفاصيل_الفرق[[#This Row],[المدينة/المحافظة]])</f>
        <v>عفيف</v>
      </c>
      <c r="G4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1" spans="2:7">
      <c r="B441" s="2" t="s">
        <v>115</v>
      </c>
      <c r="C441" s="2" t="s">
        <v>65</v>
      </c>
      <c r="D441" s="2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1" s="2" t="str">
        <f>TRIM(تفاصيل_الفرق[[#This Row],[المدينة/المحافظة]])</f>
        <v>عفيف</v>
      </c>
      <c r="G4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2" spans="2:7">
      <c r="B442" s="2" t="s">
        <v>114</v>
      </c>
      <c r="C442" s="2" t="s">
        <v>99</v>
      </c>
      <c r="D442" s="2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2" s="2" t="str">
        <f>TRIM(تفاصيل_الفرق[[#This Row],[المدينة/المحافظة]])</f>
        <v>الغاط</v>
      </c>
      <c r="G4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3" spans="2:7">
      <c r="B443" s="2" t="s">
        <v>117</v>
      </c>
      <c r="C443" s="2" t="s">
        <v>99</v>
      </c>
      <c r="D443" s="2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3" s="2" t="str">
        <f>TRIM(تفاصيل_الفرق[[#This Row],[المدينة/المحافظة]])</f>
        <v>الغاط</v>
      </c>
      <c r="G4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4" spans="2:7">
      <c r="B444" s="2" t="s">
        <v>118</v>
      </c>
      <c r="C444" s="2" t="s">
        <v>99</v>
      </c>
      <c r="D444" s="2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4" s="2" t="str">
        <f>TRIM(تفاصيل_الفرق[[#This Row],[المدينة/المحافظة]])</f>
        <v>الغاط</v>
      </c>
      <c r="G4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5" spans="2:7">
      <c r="B445" s="2" t="s">
        <v>115</v>
      </c>
      <c r="C445" s="2" t="s">
        <v>99</v>
      </c>
      <c r="D445" s="2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5" s="2" t="str">
        <f>TRIM(تفاصيل_الفرق[[#This Row],[المدينة/المحافظة]])</f>
        <v>الغاط</v>
      </c>
      <c r="G4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6" spans="2:7">
      <c r="B446" s="2" t="s">
        <v>114</v>
      </c>
      <c r="C446" s="2" t="s">
        <v>68</v>
      </c>
      <c r="D446" s="2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6" s="2" t="str">
        <f>TRIM(تفاصيل_الفرق[[#This Row],[المدينة/المحافظة]])</f>
        <v>نجران</v>
      </c>
      <c r="G4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7" spans="2:7">
      <c r="B447" s="2" t="s">
        <v>117</v>
      </c>
      <c r="C447" s="2" t="s">
        <v>68</v>
      </c>
      <c r="D447" s="2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7" s="2" t="str">
        <f>TRIM(تفاصيل_الفرق[[#This Row],[المدينة/المحافظة]])</f>
        <v>نجران</v>
      </c>
      <c r="G4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8" spans="2:7">
      <c r="B448" s="2" t="s">
        <v>118</v>
      </c>
      <c r="C448" s="2" t="s">
        <v>68</v>
      </c>
      <c r="D448" s="2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48" s="2" t="str">
        <f>TRIM(تفاصيل_الفرق[[#This Row],[المدينة/المحافظة]])</f>
        <v>نجران</v>
      </c>
      <c r="G4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9" spans="2:7">
      <c r="B449" s="2" t="s">
        <v>115</v>
      </c>
      <c r="C449" s="2" t="s">
        <v>68</v>
      </c>
      <c r="D449" s="2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9" s="2" t="str">
        <f>TRIM(تفاصيل_الفرق[[#This Row],[المدينة/المحافظة]])</f>
        <v>نجران</v>
      </c>
      <c r="G4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0" spans="2:7">
      <c r="B450" s="2" t="s">
        <v>114</v>
      </c>
      <c r="C450" s="2" t="s">
        <v>110</v>
      </c>
      <c r="D450" s="2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0" s="2" t="str">
        <f>TRIM(تفاصيل_الفرق[[#This Row],[المدينة/المحافظة]])</f>
        <v>حبونا</v>
      </c>
      <c r="G4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1" spans="2:7">
      <c r="B451" s="2" t="s">
        <v>117</v>
      </c>
      <c r="C451" s="2" t="s">
        <v>110</v>
      </c>
      <c r="D451" s="2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1" s="2" t="str">
        <f>TRIM(تفاصيل_الفرق[[#This Row],[المدينة/المحافظة]])</f>
        <v>حبونا</v>
      </c>
      <c r="G4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2" spans="2:7">
      <c r="B452" s="2" t="s">
        <v>118</v>
      </c>
      <c r="C452" s="2" t="s">
        <v>110</v>
      </c>
      <c r="D452" s="2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2" s="2" t="str">
        <f>TRIM(تفاصيل_الفرق[[#This Row],[المدينة/المحافظة]])</f>
        <v>حبونا</v>
      </c>
      <c r="G4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3" spans="2:7">
      <c r="B453" s="2" t="s">
        <v>115</v>
      </c>
      <c r="C453" s="2" t="s">
        <v>110</v>
      </c>
      <c r="D453" s="2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3" s="2" t="str">
        <f>TRIM(تفاصيل_الفرق[[#This Row],[المدينة/المحافظة]])</f>
        <v>حبونا</v>
      </c>
      <c r="G4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4" spans="2:7">
      <c r="B454" s="2" t="s">
        <v>114</v>
      </c>
      <c r="C454" s="2" t="s">
        <v>574</v>
      </c>
      <c r="D454" s="2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4" s="2" t="str">
        <f>TRIM(تفاصيل_الفرق[[#This Row],[المدينة/المحافظة]])</f>
        <v>الوجه</v>
      </c>
      <c r="G4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5" spans="2:7">
      <c r="B455" s="2" t="s">
        <v>117</v>
      </c>
      <c r="C455" s="2" t="s">
        <v>574</v>
      </c>
      <c r="D455" s="2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5" s="2" t="str">
        <f>TRIM(تفاصيل_الفرق[[#This Row],[المدينة/المحافظة]])</f>
        <v>الوجه</v>
      </c>
      <c r="G4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6" spans="2:7">
      <c r="B456" s="2" t="s">
        <v>118</v>
      </c>
      <c r="C456" s="2" t="s">
        <v>574</v>
      </c>
      <c r="D456" s="2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6" s="2" t="str">
        <f>TRIM(تفاصيل_الفرق[[#This Row],[المدينة/المحافظة]])</f>
        <v>الوجه</v>
      </c>
      <c r="G4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7" spans="2:7">
      <c r="B457" s="2" t="s">
        <v>115</v>
      </c>
      <c r="C457" s="2" t="s">
        <v>574</v>
      </c>
      <c r="D457" s="2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7" s="2" t="str">
        <f>TRIM(تفاصيل_الفرق[[#This Row],[المدينة/المحافظة]])</f>
        <v>الوجه</v>
      </c>
      <c r="G4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8" spans="2:7">
      <c r="B458" s="2" t="s">
        <v>114</v>
      </c>
      <c r="C458" s="2" t="s">
        <v>306</v>
      </c>
      <c r="D458" s="2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8" s="2" t="str">
        <f>TRIM(تفاصيل_الفرق[[#This Row],[المدينة/المحافظة]])</f>
        <v>ضباء</v>
      </c>
      <c r="G4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9" spans="2:7">
      <c r="B459" s="2" t="s">
        <v>117</v>
      </c>
      <c r="C459" s="2" t="s">
        <v>306</v>
      </c>
      <c r="D459" s="2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9" s="2" t="str">
        <f>TRIM(تفاصيل_الفرق[[#This Row],[المدينة/المحافظة]])</f>
        <v>ضباء</v>
      </c>
      <c r="G4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0" spans="2:7">
      <c r="B460" s="2" t="s">
        <v>118</v>
      </c>
      <c r="C460" s="2" t="s">
        <v>306</v>
      </c>
      <c r="D460" s="2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0" s="2" t="str">
        <f>TRIM(تفاصيل_الفرق[[#This Row],[المدينة/المحافظة]])</f>
        <v>ضباء</v>
      </c>
      <c r="G4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1" spans="2:7">
      <c r="B461" s="2" t="s">
        <v>115</v>
      </c>
      <c r="C461" s="2" t="s">
        <v>306</v>
      </c>
      <c r="D461" s="2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1" s="2" t="str">
        <f>TRIM(تفاصيل_الفرق[[#This Row],[المدينة/المحافظة]])</f>
        <v>ضباء</v>
      </c>
      <c r="G4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2" spans="2:7">
      <c r="B462" s="2" t="s">
        <v>114</v>
      </c>
      <c r="C462" s="2" t="s">
        <v>215</v>
      </c>
      <c r="D462" s="2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2" s="2" t="str">
        <f>TRIM(تفاصيل_الفرق[[#This Row],[المدينة/المحافظة]])</f>
        <v>مهد الذهب</v>
      </c>
      <c r="G4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3" spans="2:7">
      <c r="B463" s="2" t="s">
        <v>117</v>
      </c>
      <c r="C463" s="2" t="s">
        <v>215</v>
      </c>
      <c r="D463" s="2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3" s="2" t="str">
        <f>TRIM(تفاصيل_الفرق[[#This Row],[المدينة/المحافظة]])</f>
        <v>مهد الذهب</v>
      </c>
      <c r="G4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4" spans="2:7">
      <c r="B464" s="2" t="s">
        <v>118</v>
      </c>
      <c r="C464" s="2" t="s">
        <v>215</v>
      </c>
      <c r="D464" s="2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4" s="2" t="str">
        <f>TRIM(تفاصيل_الفرق[[#This Row],[المدينة/المحافظة]])</f>
        <v>مهد الذهب</v>
      </c>
      <c r="G4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5" spans="2:7">
      <c r="B465" s="2" t="s">
        <v>115</v>
      </c>
      <c r="C465" s="2" t="s">
        <v>215</v>
      </c>
      <c r="D465" s="2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5" s="2" t="str">
        <f>TRIM(تفاصيل_الفرق[[#This Row],[المدينة/المحافظة]])</f>
        <v>مهد الذهب</v>
      </c>
      <c r="G4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6" spans="2:7">
      <c r="B466" s="2" t="s">
        <v>114</v>
      </c>
      <c r="C466" s="2" t="s">
        <v>55</v>
      </c>
      <c r="D466" s="2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6" s="2" t="str">
        <f>TRIM(تفاصيل_الفرق[[#This Row],[المدينة/المحافظة]])</f>
        <v>بيشة</v>
      </c>
      <c r="G4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7" spans="2:7">
      <c r="B467" s="2" t="s">
        <v>117</v>
      </c>
      <c r="C467" s="2" t="s">
        <v>55</v>
      </c>
      <c r="D467" s="2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7" s="2" t="str">
        <f>TRIM(تفاصيل_الفرق[[#This Row],[المدينة/المحافظة]])</f>
        <v>بيشة</v>
      </c>
      <c r="G4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8" spans="2:7">
      <c r="B468" s="2" t="s">
        <v>118</v>
      </c>
      <c r="C468" s="2" t="s">
        <v>55</v>
      </c>
      <c r="D468" s="2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8" s="2" t="str">
        <f>TRIM(تفاصيل_الفرق[[#This Row],[المدينة/المحافظة]])</f>
        <v>بيشة</v>
      </c>
      <c r="G4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9" spans="2:7">
      <c r="B469" s="2" t="s">
        <v>115</v>
      </c>
      <c r="C469" s="2" t="s">
        <v>55</v>
      </c>
      <c r="D469" s="2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9" s="2" t="str">
        <f>TRIM(تفاصيل_الفرق[[#This Row],[المدينة/المحافظة]])</f>
        <v>بيشة</v>
      </c>
      <c r="G4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70" spans="2:7">
      <c r="B470" s="2" t="s">
        <v>114</v>
      </c>
      <c r="C470" s="2" t="s">
        <v>722</v>
      </c>
      <c r="D470" s="2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0" s="2" t="str">
        <f>TRIM(تفاصيل_الفرق[[#This Row],[المدينة/المحافظة]])</f>
        <v>سميراء</v>
      </c>
      <c r="G4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1" spans="2:7">
      <c r="B471" s="2" t="s">
        <v>117</v>
      </c>
      <c r="C471" s="2" t="s">
        <v>722</v>
      </c>
      <c r="D471" s="2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1" s="2" t="str">
        <f>TRIM(تفاصيل_الفرق[[#This Row],[المدينة/المحافظة]])</f>
        <v>سميراء</v>
      </c>
      <c r="G4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2" spans="2:7">
      <c r="B472" s="2" t="s">
        <v>118</v>
      </c>
      <c r="C472" s="2" t="s">
        <v>722</v>
      </c>
      <c r="D472" s="2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2" s="2" t="str">
        <f>TRIM(تفاصيل_الفرق[[#This Row],[المدينة/المحافظة]])</f>
        <v>سميراء</v>
      </c>
      <c r="G4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3" spans="2:7">
      <c r="B473" s="2" t="s">
        <v>115</v>
      </c>
      <c r="C473" s="2" t="s">
        <v>722</v>
      </c>
      <c r="D473" s="2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3" s="2" t="str">
        <f>TRIM(تفاصيل_الفرق[[#This Row],[المدينة/المحافظة]])</f>
        <v>سميراء</v>
      </c>
      <c r="G4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E59-3CF6-408D-B703-1A8DCA1846C0}">
  <dimension ref="A2:Z800"/>
  <sheetViews>
    <sheetView rightToLeft="1" workbookViewId="0">
      <pane ySplit="2" topLeftCell="A618" activePane="bottomLeft" state="frozen"/>
      <selection pane="bottomLeft" activeCell="H1" sqref="H1:H1048576"/>
    </sheetView>
  </sheetViews>
  <sheetFormatPr defaultRowHeight="14.5"/>
  <cols>
    <col min="1" max="1" width="8.7265625" style="5"/>
    <col min="2" max="2" width="5.26953125" style="5" bestFit="1" customWidth="1"/>
    <col min="3" max="3" width="7.453125" style="5" bestFit="1" customWidth="1"/>
    <col min="4" max="4" width="20.1796875" style="5" bestFit="1" customWidth="1"/>
    <col min="5" max="5" width="10" style="5" bestFit="1" customWidth="1"/>
    <col min="6" max="6" width="9.08984375" style="5" bestFit="1" customWidth="1"/>
    <col min="7" max="7" width="6.36328125" style="5" bestFit="1" customWidth="1"/>
    <col min="8" max="8" width="9.90625" style="5" bestFit="1" customWidth="1"/>
    <col min="9" max="26" width="8.7265625" style="5"/>
  </cols>
  <sheetData>
    <row r="2" spans="2:8">
      <c r="B2" s="80" t="s">
        <v>1623</v>
      </c>
      <c r="C2" s="80" t="s">
        <v>123</v>
      </c>
      <c r="D2" s="80" t="s">
        <v>124</v>
      </c>
      <c r="E2" s="80" t="s">
        <v>129</v>
      </c>
      <c r="F2" s="80" t="s">
        <v>71</v>
      </c>
      <c r="G2" s="80" t="s">
        <v>116</v>
      </c>
      <c r="H2" s="80" t="s">
        <v>1624</v>
      </c>
    </row>
    <row r="3" spans="2:8">
      <c r="B3" s="81" t="s">
        <v>1625</v>
      </c>
      <c r="C3" s="81">
        <v>5</v>
      </c>
      <c r="D3" s="81" t="s">
        <v>111</v>
      </c>
      <c r="E3" s="81" t="s">
        <v>78</v>
      </c>
      <c r="F3" s="81" t="s">
        <v>111</v>
      </c>
      <c r="G3" s="81" t="s">
        <v>4</v>
      </c>
      <c r="H3" s="81">
        <v>1</v>
      </c>
    </row>
    <row r="4" spans="2:8">
      <c r="B4" s="81" t="s">
        <v>1626</v>
      </c>
      <c r="C4" s="81">
        <v>11</v>
      </c>
      <c r="D4" s="81" t="s">
        <v>162</v>
      </c>
      <c r="E4" s="81" t="s">
        <v>68</v>
      </c>
      <c r="F4" s="81" t="s">
        <v>68</v>
      </c>
      <c r="G4" s="81" t="s">
        <v>114</v>
      </c>
      <c r="H4" s="81">
        <v>1</v>
      </c>
    </row>
    <row r="5" spans="2:8">
      <c r="B5" s="81" t="s">
        <v>1627</v>
      </c>
      <c r="C5" s="81">
        <v>59</v>
      </c>
      <c r="D5" s="81" t="s">
        <v>285</v>
      </c>
      <c r="E5" s="81" t="s">
        <v>78</v>
      </c>
      <c r="F5" s="81" t="s">
        <v>45</v>
      </c>
      <c r="G5" s="81" t="s">
        <v>4</v>
      </c>
      <c r="H5" s="81">
        <v>1</v>
      </c>
    </row>
    <row r="6" spans="2:8">
      <c r="B6" s="81" t="s">
        <v>1628</v>
      </c>
      <c r="C6" s="81">
        <v>163</v>
      </c>
      <c r="D6" s="81" t="s">
        <v>78</v>
      </c>
      <c r="E6" s="81" t="s">
        <v>78</v>
      </c>
      <c r="F6" s="81" t="s">
        <v>45</v>
      </c>
      <c r="G6" s="81" t="s">
        <v>112</v>
      </c>
      <c r="H6" s="81">
        <v>1</v>
      </c>
    </row>
    <row r="7" spans="2:8">
      <c r="B7" s="81" t="s">
        <v>1629</v>
      </c>
      <c r="C7" s="81">
        <v>163</v>
      </c>
      <c r="D7" s="81" t="s">
        <v>78</v>
      </c>
      <c r="E7" s="81" t="s">
        <v>78</v>
      </c>
      <c r="F7" s="81" t="s">
        <v>45</v>
      </c>
      <c r="G7" s="81" t="s">
        <v>4</v>
      </c>
      <c r="H7" s="81">
        <v>1</v>
      </c>
    </row>
    <row r="8" spans="2:8">
      <c r="B8" s="81" t="s">
        <v>1630</v>
      </c>
      <c r="C8" s="81">
        <v>164</v>
      </c>
      <c r="D8" s="81" t="s">
        <v>485</v>
      </c>
      <c r="E8" s="81" t="s">
        <v>78</v>
      </c>
      <c r="F8" s="81" t="s">
        <v>45</v>
      </c>
      <c r="G8" s="81" t="s">
        <v>112</v>
      </c>
      <c r="H8" s="81">
        <v>1</v>
      </c>
    </row>
    <row r="9" spans="2:8">
      <c r="B9" s="81" t="s">
        <v>1631</v>
      </c>
      <c r="C9" s="81">
        <v>164</v>
      </c>
      <c r="D9" s="81" t="s">
        <v>485</v>
      </c>
      <c r="E9" s="81" t="s">
        <v>78</v>
      </c>
      <c r="F9" s="81" t="s">
        <v>45</v>
      </c>
      <c r="G9" s="81" t="s">
        <v>4</v>
      </c>
      <c r="H9" s="81">
        <v>1</v>
      </c>
    </row>
    <row r="10" spans="2:8">
      <c r="B10" s="81" t="s">
        <v>1632</v>
      </c>
      <c r="C10" s="81">
        <v>216</v>
      </c>
      <c r="D10" s="81" t="s">
        <v>593</v>
      </c>
      <c r="E10" s="81" t="s">
        <v>108</v>
      </c>
      <c r="F10" s="81" t="s">
        <v>48</v>
      </c>
      <c r="G10" s="81" t="s">
        <v>112</v>
      </c>
      <c r="H10" s="81">
        <v>1</v>
      </c>
    </row>
    <row r="11" spans="2:8">
      <c r="B11" s="81" t="s">
        <v>1633</v>
      </c>
      <c r="C11" s="81">
        <v>216</v>
      </c>
      <c r="D11" s="81" t="s">
        <v>593</v>
      </c>
      <c r="E11" s="81" t="s">
        <v>108</v>
      </c>
      <c r="F11" s="81" t="s">
        <v>48</v>
      </c>
      <c r="G11" s="81" t="s">
        <v>4</v>
      </c>
      <c r="H11" s="81">
        <v>1</v>
      </c>
    </row>
    <row r="12" spans="2:8">
      <c r="B12" s="81" t="s">
        <v>1634</v>
      </c>
      <c r="C12" s="81">
        <v>221</v>
      </c>
      <c r="D12" s="81" t="s">
        <v>601</v>
      </c>
      <c r="E12" s="81" t="s">
        <v>108</v>
      </c>
      <c r="F12" s="81" t="s">
        <v>48</v>
      </c>
      <c r="G12" s="81" t="s">
        <v>112</v>
      </c>
      <c r="H12" s="81">
        <v>1</v>
      </c>
    </row>
    <row r="13" spans="2:8">
      <c r="B13" s="81" t="s">
        <v>1635</v>
      </c>
      <c r="C13" s="81">
        <v>222</v>
      </c>
      <c r="D13" s="81" t="s">
        <v>603</v>
      </c>
      <c r="E13" s="81" t="s">
        <v>24</v>
      </c>
      <c r="F13" s="81" t="s">
        <v>24</v>
      </c>
      <c r="G13" s="81" t="s">
        <v>113</v>
      </c>
      <c r="H13" s="81">
        <v>1</v>
      </c>
    </row>
    <row r="14" spans="2:8">
      <c r="B14" s="81" t="s">
        <v>1636</v>
      </c>
      <c r="C14" s="81">
        <v>222</v>
      </c>
      <c r="D14" s="81" t="s">
        <v>603</v>
      </c>
      <c r="E14" s="81" t="s">
        <v>24</v>
      </c>
      <c r="F14" s="81" t="s">
        <v>24</v>
      </c>
      <c r="G14" s="81" t="s">
        <v>112</v>
      </c>
      <c r="H14" s="81">
        <v>1</v>
      </c>
    </row>
    <row r="15" spans="2:8">
      <c r="B15" s="81" t="s">
        <v>1637</v>
      </c>
      <c r="C15" s="81">
        <v>245</v>
      </c>
      <c r="D15" s="81" t="s">
        <v>642</v>
      </c>
      <c r="E15" s="81" t="s">
        <v>35</v>
      </c>
      <c r="F15" s="81" t="s">
        <v>76</v>
      </c>
      <c r="G15" s="81" t="s">
        <v>112</v>
      </c>
      <c r="H15" s="81">
        <v>1</v>
      </c>
    </row>
    <row r="16" spans="2:8">
      <c r="B16" s="81" t="s">
        <v>1638</v>
      </c>
      <c r="C16" s="81">
        <v>247</v>
      </c>
      <c r="D16" s="81" t="s">
        <v>644</v>
      </c>
      <c r="E16" s="81" t="s">
        <v>21</v>
      </c>
      <c r="F16" s="81" t="s">
        <v>58</v>
      </c>
      <c r="G16" s="81" t="s">
        <v>115</v>
      </c>
      <c r="H16" s="81">
        <v>1</v>
      </c>
    </row>
    <row r="17" spans="2:8">
      <c r="B17" s="81" t="s">
        <v>1639</v>
      </c>
      <c r="C17" s="81">
        <v>254</v>
      </c>
      <c r="D17" s="81" t="s">
        <v>658</v>
      </c>
      <c r="E17" s="81" t="s">
        <v>78</v>
      </c>
      <c r="F17" s="81" t="s">
        <v>93</v>
      </c>
      <c r="G17" s="81" t="s">
        <v>4</v>
      </c>
      <c r="H17" s="81">
        <v>1</v>
      </c>
    </row>
    <row r="18" spans="2:8">
      <c r="B18" s="81" t="s">
        <v>1640</v>
      </c>
      <c r="C18" s="81">
        <v>286</v>
      </c>
      <c r="D18" s="81" t="s">
        <v>718</v>
      </c>
      <c r="E18" s="81" t="s">
        <v>24</v>
      </c>
      <c r="F18" s="81" t="s">
        <v>24</v>
      </c>
      <c r="G18" s="81" t="s">
        <v>113</v>
      </c>
      <c r="H18" s="81">
        <v>1</v>
      </c>
    </row>
    <row r="19" spans="2:8">
      <c r="B19" s="81" t="s">
        <v>1641</v>
      </c>
      <c r="C19" s="81">
        <v>301</v>
      </c>
      <c r="D19" s="81" t="s">
        <v>744</v>
      </c>
      <c r="E19" s="81" t="s">
        <v>24</v>
      </c>
      <c r="F19" s="81" t="s">
        <v>24</v>
      </c>
      <c r="G19" s="81" t="s">
        <v>113</v>
      </c>
      <c r="H19" s="81">
        <v>1</v>
      </c>
    </row>
    <row r="20" spans="2:8">
      <c r="B20" s="81" t="s">
        <v>1642</v>
      </c>
      <c r="C20" s="81">
        <v>301</v>
      </c>
      <c r="D20" s="81" t="s">
        <v>744</v>
      </c>
      <c r="E20" s="81" t="s">
        <v>24</v>
      </c>
      <c r="F20" s="81" t="s">
        <v>24</v>
      </c>
      <c r="G20" s="81" t="s">
        <v>112</v>
      </c>
      <c r="H20" s="81">
        <v>1</v>
      </c>
    </row>
    <row r="21" spans="2:8">
      <c r="B21" s="81" t="s">
        <v>1643</v>
      </c>
      <c r="C21" s="81">
        <v>324</v>
      </c>
      <c r="D21" s="81" t="s">
        <v>790</v>
      </c>
      <c r="E21" s="81" t="s">
        <v>68</v>
      </c>
      <c r="F21" s="81" t="s">
        <v>61</v>
      </c>
      <c r="G21" s="81" t="s">
        <v>118</v>
      </c>
      <c r="H21" s="81">
        <v>1</v>
      </c>
    </row>
    <row r="22" spans="2:8">
      <c r="B22" s="81" t="s">
        <v>1644</v>
      </c>
      <c r="C22" s="81">
        <v>325</v>
      </c>
      <c r="D22" s="81" t="s">
        <v>792</v>
      </c>
      <c r="E22" s="81" t="s">
        <v>68</v>
      </c>
      <c r="F22" s="81" t="s">
        <v>61</v>
      </c>
      <c r="G22" s="81" t="s">
        <v>118</v>
      </c>
      <c r="H22" s="81">
        <v>1</v>
      </c>
    </row>
    <row r="23" spans="2:8">
      <c r="B23" s="81" t="s">
        <v>1645</v>
      </c>
      <c r="C23" s="81">
        <v>333</v>
      </c>
      <c r="D23" s="81" t="s">
        <v>1199</v>
      </c>
      <c r="E23" s="81" t="s">
        <v>74</v>
      </c>
      <c r="F23" s="81" t="s">
        <v>74</v>
      </c>
      <c r="G23" s="81" t="s">
        <v>114</v>
      </c>
      <c r="H23" s="81">
        <v>1</v>
      </c>
    </row>
    <row r="24" spans="2:8">
      <c r="B24" s="81" t="s">
        <v>1646</v>
      </c>
      <c r="C24" s="81">
        <v>333</v>
      </c>
      <c r="D24" s="81" t="s">
        <v>1199</v>
      </c>
      <c r="E24" s="81" t="s">
        <v>74</v>
      </c>
      <c r="F24" s="81" t="s">
        <v>74</v>
      </c>
      <c r="G24" s="81" t="s">
        <v>4</v>
      </c>
      <c r="H24" s="81">
        <v>1</v>
      </c>
    </row>
    <row r="25" spans="2:8">
      <c r="B25" s="81" t="s">
        <v>1647</v>
      </c>
      <c r="C25" s="81">
        <v>336</v>
      </c>
      <c r="D25" s="81" t="s">
        <v>812</v>
      </c>
      <c r="E25" s="81" t="s">
        <v>74</v>
      </c>
      <c r="F25" s="81" t="s">
        <v>74</v>
      </c>
      <c r="G25" s="81" t="s">
        <v>114</v>
      </c>
      <c r="H25" s="81">
        <v>1</v>
      </c>
    </row>
    <row r="26" spans="2:8">
      <c r="B26" s="81" t="s">
        <v>1648</v>
      </c>
      <c r="C26" s="81">
        <v>336</v>
      </c>
      <c r="D26" s="81" t="s">
        <v>812</v>
      </c>
      <c r="E26" s="81" t="s">
        <v>74</v>
      </c>
      <c r="F26" s="81" t="s">
        <v>74</v>
      </c>
      <c r="G26" s="81" t="s">
        <v>4</v>
      </c>
      <c r="H26" s="81">
        <v>1</v>
      </c>
    </row>
    <row r="27" spans="2:8">
      <c r="B27" s="81" t="s">
        <v>1649</v>
      </c>
      <c r="C27" s="81">
        <v>362</v>
      </c>
      <c r="D27" s="81" t="s">
        <v>870</v>
      </c>
      <c r="E27" s="81" t="s">
        <v>81</v>
      </c>
      <c r="F27" s="81" t="s">
        <v>927</v>
      </c>
      <c r="G27" s="81" t="s">
        <v>4</v>
      </c>
      <c r="H27" s="81">
        <v>2</v>
      </c>
    </row>
    <row r="28" spans="2:8">
      <c r="B28" s="81" t="s">
        <v>1650</v>
      </c>
      <c r="C28" s="81">
        <v>393</v>
      </c>
      <c r="D28" s="81" t="s">
        <v>932</v>
      </c>
      <c r="E28" s="81" t="s">
        <v>35</v>
      </c>
      <c r="F28" s="81" t="s">
        <v>80</v>
      </c>
      <c r="G28" s="81" t="s">
        <v>118</v>
      </c>
      <c r="H28" s="81">
        <v>1</v>
      </c>
    </row>
    <row r="29" spans="2:8">
      <c r="B29" s="81" t="s">
        <v>1651</v>
      </c>
      <c r="C29" s="81">
        <v>393</v>
      </c>
      <c r="D29" s="81" t="s">
        <v>932</v>
      </c>
      <c r="E29" s="81" t="s">
        <v>35</v>
      </c>
      <c r="F29" s="81" t="s">
        <v>80</v>
      </c>
      <c r="G29" s="81" t="s">
        <v>114</v>
      </c>
      <c r="H29" s="81">
        <v>1</v>
      </c>
    </row>
    <row r="30" spans="2:8">
      <c r="B30" s="81" t="s">
        <v>1652</v>
      </c>
      <c r="C30" s="81">
        <v>393</v>
      </c>
      <c r="D30" s="81" t="s">
        <v>932</v>
      </c>
      <c r="E30" s="81" t="s">
        <v>35</v>
      </c>
      <c r="F30" s="81" t="s">
        <v>80</v>
      </c>
      <c r="G30" s="81" t="s">
        <v>113</v>
      </c>
      <c r="H30" s="81">
        <v>1</v>
      </c>
    </row>
    <row r="31" spans="2:8">
      <c r="B31" s="81" t="s">
        <v>1653</v>
      </c>
      <c r="C31" s="81">
        <v>393</v>
      </c>
      <c r="D31" s="81" t="s">
        <v>932</v>
      </c>
      <c r="E31" s="81" t="s">
        <v>35</v>
      </c>
      <c r="F31" s="81" t="s">
        <v>80</v>
      </c>
      <c r="G31" s="81" t="s">
        <v>112</v>
      </c>
      <c r="H31" s="81">
        <v>1</v>
      </c>
    </row>
    <row r="32" spans="2:8">
      <c r="B32" s="81" t="s">
        <v>1654</v>
      </c>
      <c r="C32" s="81">
        <v>393</v>
      </c>
      <c r="D32" s="81" t="s">
        <v>932</v>
      </c>
      <c r="E32" s="81" t="s">
        <v>35</v>
      </c>
      <c r="F32" s="81" t="s">
        <v>80</v>
      </c>
      <c r="G32" s="81" t="s">
        <v>4</v>
      </c>
      <c r="H32" s="81">
        <v>1</v>
      </c>
    </row>
    <row r="33" spans="2:8">
      <c r="B33" s="81" t="s">
        <v>1655</v>
      </c>
      <c r="C33" s="81">
        <v>413</v>
      </c>
      <c r="D33" s="81" t="s">
        <v>966</v>
      </c>
      <c r="E33" s="81" t="s">
        <v>108</v>
      </c>
      <c r="F33" s="81" t="s">
        <v>48</v>
      </c>
      <c r="G33" s="81" t="s">
        <v>112</v>
      </c>
      <c r="H33" s="81">
        <v>1</v>
      </c>
    </row>
    <row r="34" spans="2:8">
      <c r="B34" s="81" t="s">
        <v>1656</v>
      </c>
      <c r="C34" s="81">
        <v>413</v>
      </c>
      <c r="D34" s="81" t="s">
        <v>966</v>
      </c>
      <c r="E34" s="81" t="s">
        <v>108</v>
      </c>
      <c r="F34" s="81" t="s">
        <v>48</v>
      </c>
      <c r="G34" s="81" t="s">
        <v>4</v>
      </c>
      <c r="H34" s="81">
        <v>1</v>
      </c>
    </row>
    <row r="35" spans="2:8">
      <c r="B35" s="81" t="s">
        <v>1657</v>
      </c>
      <c r="C35" s="81">
        <v>418</v>
      </c>
      <c r="D35" s="81" t="s">
        <v>973</v>
      </c>
      <c r="E35" s="81" t="s">
        <v>81</v>
      </c>
      <c r="F35" s="81" t="s">
        <v>72</v>
      </c>
      <c r="G35" s="81" t="s">
        <v>4</v>
      </c>
      <c r="H35" s="81">
        <v>1</v>
      </c>
    </row>
    <row r="36" spans="2:8">
      <c r="B36" s="81" t="s">
        <v>1658</v>
      </c>
      <c r="C36" s="81">
        <v>422</v>
      </c>
      <c r="D36" s="81" t="s">
        <v>980</v>
      </c>
      <c r="E36" s="81" t="s">
        <v>24</v>
      </c>
      <c r="F36" s="81" t="s">
        <v>24</v>
      </c>
      <c r="G36" s="81" t="s">
        <v>112</v>
      </c>
      <c r="H36" s="81">
        <v>1</v>
      </c>
    </row>
    <row r="37" spans="2:8">
      <c r="B37" s="81" t="s">
        <v>1659</v>
      </c>
      <c r="C37" s="81">
        <v>435</v>
      </c>
      <c r="D37" s="81" t="s">
        <v>999</v>
      </c>
      <c r="E37" s="81" t="s">
        <v>74</v>
      </c>
      <c r="F37" s="81" t="s">
        <v>84</v>
      </c>
      <c r="G37" s="81" t="s">
        <v>4</v>
      </c>
      <c r="H37" s="81">
        <v>1</v>
      </c>
    </row>
    <row r="38" spans="2:8">
      <c r="B38" s="81" t="s">
        <v>1660</v>
      </c>
      <c r="C38" s="81">
        <v>437</v>
      </c>
      <c r="D38" s="81" t="s">
        <v>1001</v>
      </c>
      <c r="E38" s="81" t="s">
        <v>108</v>
      </c>
      <c r="F38" s="81" t="s">
        <v>51</v>
      </c>
      <c r="G38" s="81" t="s">
        <v>113</v>
      </c>
      <c r="H38" s="81">
        <v>1</v>
      </c>
    </row>
    <row r="39" spans="2:8">
      <c r="B39" s="81" t="s">
        <v>1661</v>
      </c>
      <c r="C39" s="81">
        <v>437</v>
      </c>
      <c r="D39" s="81" t="s">
        <v>1001</v>
      </c>
      <c r="E39" s="81" t="s">
        <v>108</v>
      </c>
      <c r="F39" s="81" t="s">
        <v>51</v>
      </c>
      <c r="G39" s="81" t="s">
        <v>112</v>
      </c>
      <c r="H39" s="81">
        <v>1</v>
      </c>
    </row>
    <row r="40" spans="2:8">
      <c r="B40" s="81" t="s">
        <v>1662</v>
      </c>
      <c r="C40" s="81">
        <v>437</v>
      </c>
      <c r="D40" s="81" t="s">
        <v>1001</v>
      </c>
      <c r="E40" s="81" t="s">
        <v>108</v>
      </c>
      <c r="F40" s="81" t="s">
        <v>51</v>
      </c>
      <c r="G40" s="81" t="s">
        <v>4</v>
      </c>
      <c r="H40" s="81">
        <v>1</v>
      </c>
    </row>
    <row r="41" spans="2:8">
      <c r="B41" s="81" t="s">
        <v>1663</v>
      </c>
      <c r="C41" s="81">
        <v>438</v>
      </c>
      <c r="D41" s="81" t="s">
        <v>1100</v>
      </c>
      <c r="E41" s="81" t="s">
        <v>68</v>
      </c>
      <c r="F41" s="81" t="s">
        <v>61</v>
      </c>
      <c r="G41" s="81" t="s">
        <v>118</v>
      </c>
      <c r="H41" s="81">
        <v>1</v>
      </c>
    </row>
    <row r="42" spans="2:8">
      <c r="B42" s="81" t="s">
        <v>1664</v>
      </c>
      <c r="C42" s="81">
        <v>464</v>
      </c>
      <c r="D42" s="81" t="s">
        <v>1043</v>
      </c>
      <c r="E42" s="81" t="s">
        <v>24</v>
      </c>
      <c r="F42" s="81" t="s">
        <v>24</v>
      </c>
      <c r="G42" s="81" t="s">
        <v>113</v>
      </c>
      <c r="H42" s="81">
        <v>1</v>
      </c>
    </row>
    <row r="43" spans="2:8">
      <c r="B43" s="81" t="s">
        <v>1665</v>
      </c>
      <c r="C43" s="81">
        <v>464</v>
      </c>
      <c r="D43" s="81" t="s">
        <v>1043</v>
      </c>
      <c r="E43" s="81" t="s">
        <v>24</v>
      </c>
      <c r="F43" s="81" t="s">
        <v>24</v>
      </c>
      <c r="G43" s="81" t="s">
        <v>112</v>
      </c>
      <c r="H43" s="81">
        <v>1</v>
      </c>
    </row>
    <row r="44" spans="2:8">
      <c r="B44" s="81" t="s">
        <v>1666</v>
      </c>
      <c r="C44" s="81">
        <v>464</v>
      </c>
      <c r="D44" s="81" t="s">
        <v>1043</v>
      </c>
      <c r="E44" s="81" t="s">
        <v>24</v>
      </c>
      <c r="F44" s="81" t="s">
        <v>24</v>
      </c>
      <c r="G44" s="81" t="s">
        <v>4</v>
      </c>
      <c r="H44" s="81">
        <v>1</v>
      </c>
    </row>
    <row r="45" spans="2:8">
      <c r="B45" s="81" t="s">
        <v>1667</v>
      </c>
      <c r="C45" s="81">
        <v>470</v>
      </c>
      <c r="D45" s="81" t="s">
        <v>1064</v>
      </c>
      <c r="E45" s="81" t="s">
        <v>74</v>
      </c>
      <c r="F45" s="81" t="s">
        <v>74</v>
      </c>
      <c r="G45" s="81" t="s">
        <v>114</v>
      </c>
      <c r="H45" s="81">
        <v>1</v>
      </c>
    </row>
    <row r="46" spans="2:8">
      <c r="B46" s="81" t="s">
        <v>1668</v>
      </c>
      <c r="C46" s="81">
        <v>477</v>
      </c>
      <c r="D46" s="81" t="s">
        <v>1075</v>
      </c>
      <c r="E46" s="81" t="s">
        <v>81</v>
      </c>
      <c r="F46" s="81" t="s">
        <v>72</v>
      </c>
      <c r="G46" s="81" t="s">
        <v>4</v>
      </c>
      <c r="H46" s="81">
        <v>1</v>
      </c>
    </row>
    <row r="47" spans="2:8">
      <c r="B47" s="81" t="s">
        <v>1669</v>
      </c>
      <c r="C47" s="81">
        <v>482</v>
      </c>
      <c r="D47" s="81" t="s">
        <v>1085</v>
      </c>
      <c r="E47" s="81" t="s">
        <v>68</v>
      </c>
      <c r="F47" s="81" t="s">
        <v>61</v>
      </c>
      <c r="G47" s="81" t="s">
        <v>118</v>
      </c>
      <c r="H47" s="81">
        <v>1</v>
      </c>
    </row>
    <row r="48" spans="2:8">
      <c r="B48" s="81" t="s">
        <v>1670</v>
      </c>
      <c r="C48" s="81">
        <v>521</v>
      </c>
      <c r="D48" s="81" t="s">
        <v>1154</v>
      </c>
      <c r="E48" s="81" t="s">
        <v>35</v>
      </c>
      <c r="F48" s="81" t="s">
        <v>47</v>
      </c>
      <c r="G48" s="81" t="s">
        <v>118</v>
      </c>
      <c r="H48" s="81">
        <v>1</v>
      </c>
    </row>
    <row r="49" spans="2:8">
      <c r="B49" s="81" t="s">
        <v>1671</v>
      </c>
      <c r="C49" s="81">
        <v>521</v>
      </c>
      <c r="D49" s="81" t="s">
        <v>1154</v>
      </c>
      <c r="E49" s="81" t="s">
        <v>35</v>
      </c>
      <c r="F49" s="81" t="s">
        <v>47</v>
      </c>
      <c r="G49" s="81" t="s">
        <v>114</v>
      </c>
      <c r="H49" s="81">
        <v>1</v>
      </c>
    </row>
    <row r="50" spans="2:8">
      <c r="B50" s="81" t="s">
        <v>1672</v>
      </c>
      <c r="C50" s="81">
        <v>523</v>
      </c>
      <c r="D50" s="81" t="s">
        <v>1157</v>
      </c>
      <c r="E50" s="81" t="s">
        <v>35</v>
      </c>
      <c r="F50" s="81" t="s">
        <v>47</v>
      </c>
      <c r="G50" s="81" t="s">
        <v>118</v>
      </c>
      <c r="H50" s="81">
        <v>1</v>
      </c>
    </row>
    <row r="51" spans="2:8">
      <c r="B51" s="81" t="s">
        <v>1673</v>
      </c>
      <c r="C51" s="81">
        <v>549</v>
      </c>
      <c r="D51" s="81" t="s">
        <v>1207</v>
      </c>
      <c r="E51" s="81" t="s">
        <v>21</v>
      </c>
      <c r="F51" s="81" t="s">
        <v>58</v>
      </c>
      <c r="G51" s="81" t="s">
        <v>113</v>
      </c>
      <c r="H51" s="81">
        <v>2</v>
      </c>
    </row>
    <row r="52" spans="2:8">
      <c r="B52" s="81" t="s">
        <v>1674</v>
      </c>
      <c r="C52" s="81">
        <v>553</v>
      </c>
      <c r="D52" s="81" t="s">
        <v>1215</v>
      </c>
      <c r="E52" s="81" t="s">
        <v>68</v>
      </c>
      <c r="F52" s="81" t="s">
        <v>61</v>
      </c>
      <c r="G52" s="81" t="s">
        <v>118</v>
      </c>
      <c r="H52" s="81">
        <v>1</v>
      </c>
    </row>
    <row r="53" spans="2:8">
      <c r="B53" s="81" t="s">
        <v>1675</v>
      </c>
      <c r="C53" s="81">
        <v>581</v>
      </c>
      <c r="D53" s="81" t="s">
        <v>1260</v>
      </c>
      <c r="E53" s="81" t="s">
        <v>21</v>
      </c>
      <c r="F53" s="81" t="s">
        <v>58</v>
      </c>
      <c r="G53" s="81" t="s">
        <v>115</v>
      </c>
      <c r="H53" s="81">
        <v>1</v>
      </c>
    </row>
    <row r="54" spans="2:8">
      <c r="B54" s="81" t="s">
        <v>1676</v>
      </c>
      <c r="C54" s="81">
        <v>619</v>
      </c>
      <c r="D54" s="81" t="s">
        <v>1331</v>
      </c>
      <c r="E54" s="81" t="s">
        <v>68</v>
      </c>
      <c r="F54" s="81" t="s">
        <v>68</v>
      </c>
      <c r="G54" s="81" t="s">
        <v>114</v>
      </c>
      <c r="H54" s="81">
        <v>1</v>
      </c>
    </row>
    <row r="55" spans="2:8">
      <c r="B55" s="81" t="s">
        <v>1677</v>
      </c>
      <c r="C55" s="81">
        <v>620</v>
      </c>
      <c r="D55" s="81" t="s">
        <v>1488</v>
      </c>
      <c r="E55" s="81" t="s">
        <v>74</v>
      </c>
      <c r="F55" s="81" t="s">
        <v>74</v>
      </c>
      <c r="G55" s="81" t="s">
        <v>114</v>
      </c>
      <c r="H55" s="81">
        <v>1</v>
      </c>
    </row>
    <row r="56" spans="2:8">
      <c r="B56" s="81" t="s">
        <v>1678</v>
      </c>
      <c r="C56" s="81">
        <v>625</v>
      </c>
      <c r="D56" s="81" t="s">
        <v>1341</v>
      </c>
      <c r="E56" s="81" t="s">
        <v>81</v>
      </c>
      <c r="F56" s="81" t="s">
        <v>72</v>
      </c>
      <c r="G56" s="81" t="s">
        <v>4</v>
      </c>
      <c r="H56" s="81">
        <v>2</v>
      </c>
    </row>
    <row r="57" spans="2:8">
      <c r="B57" s="81" t="s">
        <v>1679</v>
      </c>
      <c r="C57" s="81">
        <v>650</v>
      </c>
      <c r="D57" s="81" t="s">
        <v>1380</v>
      </c>
      <c r="E57" s="81" t="s">
        <v>35</v>
      </c>
      <c r="F57" s="81" t="s">
        <v>49</v>
      </c>
      <c r="G57" s="81" t="s">
        <v>115</v>
      </c>
      <c r="H57" s="81">
        <v>1</v>
      </c>
    </row>
    <row r="58" spans="2:8">
      <c r="B58" s="81" t="s">
        <v>1680</v>
      </c>
      <c r="C58" s="81">
        <v>650</v>
      </c>
      <c r="D58" s="81" t="s">
        <v>1380</v>
      </c>
      <c r="E58" s="81" t="s">
        <v>35</v>
      </c>
      <c r="F58" s="81" t="s">
        <v>49</v>
      </c>
      <c r="G58" s="81" t="s">
        <v>118</v>
      </c>
      <c r="H58" s="81">
        <v>1</v>
      </c>
    </row>
    <row r="59" spans="2:8">
      <c r="B59" s="81" t="s">
        <v>1681</v>
      </c>
      <c r="C59" s="81">
        <v>650</v>
      </c>
      <c r="D59" s="81" t="s">
        <v>1380</v>
      </c>
      <c r="E59" s="81" t="s">
        <v>35</v>
      </c>
      <c r="F59" s="81" t="s">
        <v>49</v>
      </c>
      <c r="G59" s="81" t="s">
        <v>117</v>
      </c>
      <c r="H59" s="81">
        <v>1</v>
      </c>
    </row>
    <row r="60" spans="2:8">
      <c r="B60" s="81" t="s">
        <v>1682</v>
      </c>
      <c r="C60" s="81">
        <v>650</v>
      </c>
      <c r="D60" s="81" t="s">
        <v>1380</v>
      </c>
      <c r="E60" s="81" t="s">
        <v>35</v>
      </c>
      <c r="F60" s="81" t="s">
        <v>49</v>
      </c>
      <c r="G60" s="81" t="s">
        <v>114</v>
      </c>
      <c r="H60" s="81">
        <v>1</v>
      </c>
    </row>
    <row r="61" spans="2:8">
      <c r="B61" s="81" t="s">
        <v>1683</v>
      </c>
      <c r="C61" s="81">
        <v>652</v>
      </c>
      <c r="D61" s="81" t="s">
        <v>1382</v>
      </c>
      <c r="E61" s="81" t="s">
        <v>21</v>
      </c>
      <c r="F61" s="81" t="s">
        <v>58</v>
      </c>
      <c r="G61" s="81" t="s">
        <v>115</v>
      </c>
      <c r="H61" s="81">
        <v>1</v>
      </c>
    </row>
    <row r="62" spans="2:8">
      <c r="B62" s="81" t="s">
        <v>1684</v>
      </c>
      <c r="C62" s="81">
        <v>659</v>
      </c>
      <c r="D62" s="81" t="s">
        <v>1393</v>
      </c>
      <c r="E62" s="81" t="s">
        <v>35</v>
      </c>
      <c r="F62" s="81" t="s">
        <v>76</v>
      </c>
      <c r="G62" s="81" t="s">
        <v>112</v>
      </c>
      <c r="H62" s="81">
        <v>3</v>
      </c>
    </row>
    <row r="63" spans="2:8">
      <c r="B63" s="81" t="s">
        <v>1685</v>
      </c>
      <c r="C63" s="81">
        <v>659</v>
      </c>
      <c r="D63" s="81" t="s">
        <v>1393</v>
      </c>
      <c r="E63" s="81" t="s">
        <v>35</v>
      </c>
      <c r="F63" s="81" t="s">
        <v>76</v>
      </c>
      <c r="G63" s="81" t="s">
        <v>4</v>
      </c>
      <c r="H63" s="81">
        <v>4</v>
      </c>
    </row>
    <row r="64" spans="2:8">
      <c r="B64" s="81" t="s">
        <v>1686</v>
      </c>
      <c r="C64" s="81">
        <v>675</v>
      </c>
      <c r="D64" s="81" t="s">
        <v>1424</v>
      </c>
      <c r="E64" s="81" t="s">
        <v>78</v>
      </c>
      <c r="F64" s="81" t="s">
        <v>97</v>
      </c>
      <c r="G64" s="81" t="s">
        <v>4</v>
      </c>
      <c r="H64" s="81">
        <v>1</v>
      </c>
    </row>
    <row r="65" spans="2:8">
      <c r="B65" s="81" t="s">
        <v>1687</v>
      </c>
      <c r="C65" s="81">
        <v>696</v>
      </c>
      <c r="D65" s="81" t="s">
        <v>1469</v>
      </c>
      <c r="E65" s="81" t="s">
        <v>74</v>
      </c>
      <c r="F65" s="81" t="s">
        <v>74</v>
      </c>
      <c r="G65" s="81" t="s">
        <v>114</v>
      </c>
      <c r="H65" s="81">
        <v>1</v>
      </c>
    </row>
    <row r="66" spans="2:8">
      <c r="B66" s="81" t="s">
        <v>1688</v>
      </c>
      <c r="C66" s="81">
        <v>704</v>
      </c>
      <c r="D66" s="81" t="s">
        <v>1482</v>
      </c>
      <c r="E66" s="81" t="s">
        <v>35</v>
      </c>
      <c r="F66" s="81" t="s">
        <v>80</v>
      </c>
      <c r="G66" s="81" t="s">
        <v>114</v>
      </c>
      <c r="H66" s="81">
        <v>1</v>
      </c>
    </row>
    <row r="67" spans="2:8">
      <c r="B67" s="81" t="s">
        <v>1689</v>
      </c>
      <c r="C67" s="81">
        <v>713</v>
      </c>
      <c r="D67" s="81" t="s">
        <v>1533</v>
      </c>
      <c r="E67" s="81" t="s">
        <v>78</v>
      </c>
      <c r="F67" s="81" t="s">
        <v>96</v>
      </c>
      <c r="G67" s="81" t="s">
        <v>112</v>
      </c>
      <c r="H67" s="81">
        <v>1</v>
      </c>
    </row>
    <row r="68" spans="2:8">
      <c r="B68" s="81" t="s">
        <v>1690</v>
      </c>
      <c r="C68" s="81">
        <v>713</v>
      </c>
      <c r="D68" s="81" t="s">
        <v>1533</v>
      </c>
      <c r="E68" s="81" t="s">
        <v>78</v>
      </c>
      <c r="F68" s="81" t="s">
        <v>96</v>
      </c>
      <c r="G68" s="81" t="s">
        <v>4</v>
      </c>
      <c r="H68" s="81">
        <v>1</v>
      </c>
    </row>
    <row r="69" spans="2:8">
      <c r="B69" s="81" t="s">
        <v>1691</v>
      </c>
      <c r="C69" s="81">
        <v>733</v>
      </c>
      <c r="D69" s="81" t="s">
        <v>1607</v>
      </c>
      <c r="E69" s="81" t="s">
        <v>78</v>
      </c>
      <c r="F69" s="81" t="s">
        <v>93</v>
      </c>
      <c r="G69" s="81" t="s">
        <v>4</v>
      </c>
      <c r="H69" s="81">
        <v>2</v>
      </c>
    </row>
    <row r="70" spans="2:8">
      <c r="B70" s="81" t="s">
        <v>1692</v>
      </c>
      <c r="C70" s="81">
        <v>738</v>
      </c>
      <c r="D70" s="81" t="s">
        <v>1615</v>
      </c>
      <c r="E70" s="81" t="s">
        <v>81</v>
      </c>
      <c r="F70" s="81" t="s">
        <v>55</v>
      </c>
      <c r="G70" s="81" t="s">
        <v>115</v>
      </c>
      <c r="H70" s="81">
        <v>1</v>
      </c>
    </row>
    <row r="71" spans="2:8">
      <c r="B71" s="81" t="s">
        <v>1693</v>
      </c>
      <c r="C71" s="81">
        <v>738</v>
      </c>
      <c r="D71" s="81" t="s">
        <v>1615</v>
      </c>
      <c r="E71" s="81" t="s">
        <v>81</v>
      </c>
      <c r="F71" s="81" t="s">
        <v>55</v>
      </c>
      <c r="G71" s="81" t="s">
        <v>118</v>
      </c>
      <c r="H71" s="81">
        <v>1</v>
      </c>
    </row>
    <row r="72" spans="2:8">
      <c r="B72" s="81" t="s">
        <v>1694</v>
      </c>
      <c r="C72" s="81">
        <v>738</v>
      </c>
      <c r="D72" s="81" t="s">
        <v>1615</v>
      </c>
      <c r="E72" s="81" t="s">
        <v>81</v>
      </c>
      <c r="F72" s="81" t="s">
        <v>55</v>
      </c>
      <c r="G72" s="81" t="s">
        <v>117</v>
      </c>
      <c r="H72" s="81">
        <v>1</v>
      </c>
    </row>
    <row r="73" spans="2:8">
      <c r="B73" s="81" t="s">
        <v>1695</v>
      </c>
      <c r="C73" s="81">
        <v>738</v>
      </c>
      <c r="D73" s="81" t="s">
        <v>1615</v>
      </c>
      <c r="E73" s="81" t="s">
        <v>81</v>
      </c>
      <c r="F73" s="81" t="s">
        <v>55</v>
      </c>
      <c r="G73" s="81" t="s">
        <v>114</v>
      </c>
      <c r="H73" s="81">
        <v>1</v>
      </c>
    </row>
    <row r="74" spans="2:8">
      <c r="B74" s="81" t="s">
        <v>1812</v>
      </c>
      <c r="C74" s="81">
        <v>82</v>
      </c>
      <c r="D74" s="81" t="s">
        <v>344</v>
      </c>
      <c r="E74" s="81" t="s">
        <v>77</v>
      </c>
      <c r="F74" s="81" t="s">
        <v>73</v>
      </c>
      <c r="G74" s="81" t="s">
        <v>115</v>
      </c>
      <c r="H74" s="81">
        <v>1</v>
      </c>
    </row>
    <row r="75" spans="2:8">
      <c r="B75" s="81" t="s">
        <v>1813</v>
      </c>
      <c r="C75" s="81">
        <v>103</v>
      </c>
      <c r="D75" s="81" t="s">
        <v>1203</v>
      </c>
      <c r="E75" s="81" t="s">
        <v>77</v>
      </c>
      <c r="F75" s="81" t="s">
        <v>73</v>
      </c>
      <c r="G75" s="81" t="s">
        <v>115</v>
      </c>
      <c r="H75" s="81">
        <v>1</v>
      </c>
    </row>
    <row r="76" spans="2:8">
      <c r="B76" s="81" t="s">
        <v>1814</v>
      </c>
      <c r="C76" s="81">
        <v>104</v>
      </c>
      <c r="D76" s="81" t="s">
        <v>377</v>
      </c>
      <c r="E76" s="81" t="s">
        <v>77</v>
      </c>
      <c r="F76" s="81" t="s">
        <v>73</v>
      </c>
      <c r="G76" s="81" t="s">
        <v>115</v>
      </c>
      <c r="H76" s="81">
        <v>1</v>
      </c>
    </row>
    <row r="77" spans="2:8">
      <c r="B77" s="81" t="s">
        <v>1817</v>
      </c>
      <c r="C77" s="81">
        <v>140</v>
      </c>
      <c r="D77" s="81" t="s">
        <v>451</v>
      </c>
      <c r="E77" s="81" t="s">
        <v>77</v>
      </c>
      <c r="F77" s="81" t="s">
        <v>73</v>
      </c>
      <c r="G77" s="81" t="s">
        <v>115</v>
      </c>
      <c r="H77" s="81">
        <v>1</v>
      </c>
    </row>
    <row r="78" spans="2:8">
      <c r="B78" s="81" t="s">
        <v>1815</v>
      </c>
      <c r="C78" s="81">
        <v>154</v>
      </c>
      <c r="D78" s="81" t="s">
        <v>473</v>
      </c>
      <c r="E78" s="81" t="s">
        <v>77</v>
      </c>
      <c r="F78" s="81" t="s">
        <v>73</v>
      </c>
      <c r="G78" s="81" t="s">
        <v>115</v>
      </c>
      <c r="H78" s="81">
        <v>1</v>
      </c>
    </row>
    <row r="79" spans="2:8">
      <c r="B79" s="81" t="s">
        <v>1816</v>
      </c>
      <c r="C79" s="81">
        <v>233</v>
      </c>
      <c r="D79" s="81" t="s">
        <v>626</v>
      </c>
      <c r="E79" s="81" t="s">
        <v>77</v>
      </c>
      <c r="F79" s="81" t="s">
        <v>73</v>
      </c>
      <c r="G79" s="81" t="s">
        <v>115</v>
      </c>
      <c r="H79" s="81">
        <v>1</v>
      </c>
    </row>
    <row r="80" spans="2:8">
      <c r="B80" s="81" t="s">
        <v>1818</v>
      </c>
      <c r="C80" s="81">
        <v>296</v>
      </c>
      <c r="D80" s="81" t="s">
        <v>738</v>
      </c>
      <c r="E80" s="81" t="s">
        <v>77</v>
      </c>
      <c r="F80" s="81" t="s">
        <v>73</v>
      </c>
      <c r="G80" s="81" t="s">
        <v>115</v>
      </c>
      <c r="H80" s="81">
        <v>1</v>
      </c>
    </row>
    <row r="81" spans="2:8">
      <c r="B81" s="81" t="s">
        <v>1882</v>
      </c>
      <c r="C81" s="81">
        <v>82</v>
      </c>
      <c r="D81" s="81" t="s">
        <v>344</v>
      </c>
      <c r="E81" s="81" t="s">
        <v>77</v>
      </c>
      <c r="F81" s="81" t="s">
        <v>73</v>
      </c>
      <c r="G81" s="81" t="s">
        <v>118</v>
      </c>
      <c r="H81" s="81">
        <v>1</v>
      </c>
    </row>
    <row r="82" spans="2:8">
      <c r="B82" s="81" t="s">
        <v>1883</v>
      </c>
      <c r="C82" s="81">
        <v>92</v>
      </c>
      <c r="D82" s="81" t="s">
        <v>362</v>
      </c>
      <c r="E82" s="81" t="s">
        <v>77</v>
      </c>
      <c r="F82" s="81" t="s">
        <v>73</v>
      </c>
      <c r="G82" s="81" t="s">
        <v>118</v>
      </c>
      <c r="H82" s="81">
        <v>1</v>
      </c>
    </row>
    <row r="83" spans="2:8">
      <c r="B83" s="81" t="s">
        <v>1884</v>
      </c>
      <c r="C83" s="81">
        <v>103</v>
      </c>
      <c r="D83" s="81" t="s">
        <v>1203</v>
      </c>
      <c r="E83" s="81" t="s">
        <v>77</v>
      </c>
      <c r="F83" s="81" t="s">
        <v>73</v>
      </c>
      <c r="G83" s="81" t="s">
        <v>118</v>
      </c>
      <c r="H83" s="81">
        <v>1</v>
      </c>
    </row>
    <row r="84" spans="2:8">
      <c r="B84" s="81" t="s">
        <v>1885</v>
      </c>
      <c r="C84" s="81">
        <v>104</v>
      </c>
      <c r="D84" s="81" t="s">
        <v>377</v>
      </c>
      <c r="E84" s="81" t="s">
        <v>77</v>
      </c>
      <c r="F84" s="81" t="s">
        <v>73</v>
      </c>
      <c r="G84" s="81" t="s">
        <v>118</v>
      </c>
      <c r="H84" s="81">
        <v>1</v>
      </c>
    </row>
    <row r="85" spans="2:8">
      <c r="B85" s="81" t="s">
        <v>1886</v>
      </c>
      <c r="C85" s="81">
        <v>152</v>
      </c>
      <c r="D85" s="81" t="s">
        <v>471</v>
      </c>
      <c r="E85" s="81" t="s">
        <v>77</v>
      </c>
      <c r="F85" s="81" t="s">
        <v>73</v>
      </c>
      <c r="G85" s="81" t="s">
        <v>118</v>
      </c>
      <c r="H85" s="81">
        <v>1</v>
      </c>
    </row>
    <row r="86" spans="2:8">
      <c r="B86" s="81" t="s">
        <v>1887</v>
      </c>
      <c r="C86" s="81">
        <v>154</v>
      </c>
      <c r="D86" s="81" t="s">
        <v>473</v>
      </c>
      <c r="E86" s="81" t="s">
        <v>77</v>
      </c>
      <c r="F86" s="81" t="s">
        <v>73</v>
      </c>
      <c r="G86" s="81" t="s">
        <v>118</v>
      </c>
      <c r="H86" s="81">
        <v>1</v>
      </c>
    </row>
    <row r="87" spans="2:8">
      <c r="B87" s="81" t="s">
        <v>1888</v>
      </c>
      <c r="C87" s="81">
        <v>233</v>
      </c>
      <c r="D87" s="81" t="s">
        <v>626</v>
      </c>
      <c r="E87" s="81" t="s">
        <v>77</v>
      </c>
      <c r="F87" s="81" t="s">
        <v>73</v>
      </c>
      <c r="G87" s="81" t="s">
        <v>118</v>
      </c>
      <c r="H87" s="81">
        <v>1</v>
      </c>
    </row>
    <row r="88" spans="2:8">
      <c r="B88" s="81" t="s">
        <v>1889</v>
      </c>
      <c r="C88" s="81">
        <v>277</v>
      </c>
      <c r="D88" s="81" t="s">
        <v>709</v>
      </c>
      <c r="E88" s="81" t="s">
        <v>77</v>
      </c>
      <c r="F88" s="81" t="s">
        <v>73</v>
      </c>
      <c r="G88" s="81" t="s">
        <v>118</v>
      </c>
      <c r="H88" s="81">
        <v>1</v>
      </c>
    </row>
    <row r="89" spans="2:8">
      <c r="B89" s="81" t="s">
        <v>1892</v>
      </c>
      <c r="C89" s="81">
        <v>296</v>
      </c>
      <c r="D89" s="81" t="s">
        <v>738</v>
      </c>
      <c r="E89" s="81" t="s">
        <v>77</v>
      </c>
      <c r="F89" s="81" t="s">
        <v>73</v>
      </c>
      <c r="G89" s="81" t="s">
        <v>118</v>
      </c>
      <c r="H89" s="81">
        <v>1</v>
      </c>
    </row>
    <row r="90" spans="2:8">
      <c r="B90" s="81" t="s">
        <v>1890</v>
      </c>
      <c r="C90" s="81">
        <v>413</v>
      </c>
      <c r="D90" s="81" t="s">
        <v>967</v>
      </c>
      <c r="E90" s="81" t="s">
        <v>77</v>
      </c>
      <c r="F90" s="81" t="s">
        <v>73</v>
      </c>
      <c r="G90" s="81" t="s">
        <v>118</v>
      </c>
      <c r="H90" s="81">
        <v>1</v>
      </c>
    </row>
    <row r="91" spans="2:8">
      <c r="B91" s="81" t="s">
        <v>1891</v>
      </c>
      <c r="C91" s="81">
        <v>448</v>
      </c>
      <c r="D91" s="81" t="s">
        <v>1022</v>
      </c>
      <c r="E91" s="81" t="s">
        <v>77</v>
      </c>
      <c r="F91" s="81" t="s">
        <v>73</v>
      </c>
      <c r="G91" s="81" t="s">
        <v>118</v>
      </c>
      <c r="H91" s="81">
        <v>1</v>
      </c>
    </row>
    <row r="92" spans="2:8">
      <c r="B92" s="81" t="s">
        <v>1980</v>
      </c>
      <c r="C92" s="81">
        <v>82</v>
      </c>
      <c r="D92" s="81" t="s">
        <v>344</v>
      </c>
      <c r="E92" s="81" t="s">
        <v>77</v>
      </c>
      <c r="F92" s="81" t="s">
        <v>73</v>
      </c>
      <c r="G92" s="81" t="s">
        <v>114</v>
      </c>
      <c r="H92" s="81">
        <v>1</v>
      </c>
    </row>
    <row r="93" spans="2:8">
      <c r="B93" s="81" t="s">
        <v>1981</v>
      </c>
      <c r="C93" s="81">
        <v>92</v>
      </c>
      <c r="D93" s="81" t="s">
        <v>362</v>
      </c>
      <c r="E93" s="81" t="s">
        <v>77</v>
      </c>
      <c r="F93" s="81" t="s">
        <v>73</v>
      </c>
      <c r="G93" s="81" t="s">
        <v>114</v>
      </c>
      <c r="H93" s="81">
        <v>1</v>
      </c>
    </row>
    <row r="94" spans="2:8">
      <c r="B94" s="81" t="s">
        <v>1982</v>
      </c>
      <c r="C94" s="81">
        <v>103</v>
      </c>
      <c r="D94" s="81" t="s">
        <v>1203</v>
      </c>
      <c r="E94" s="81" t="s">
        <v>77</v>
      </c>
      <c r="F94" s="81" t="s">
        <v>73</v>
      </c>
      <c r="G94" s="81" t="s">
        <v>114</v>
      </c>
      <c r="H94" s="81">
        <v>1</v>
      </c>
    </row>
    <row r="95" spans="2:8">
      <c r="B95" s="81" t="s">
        <v>1983</v>
      </c>
      <c r="C95" s="81">
        <v>104</v>
      </c>
      <c r="D95" s="81" t="s">
        <v>377</v>
      </c>
      <c r="E95" s="81" t="s">
        <v>77</v>
      </c>
      <c r="F95" s="81" t="s">
        <v>73</v>
      </c>
      <c r="G95" s="81" t="s">
        <v>114</v>
      </c>
      <c r="H95" s="81">
        <v>1</v>
      </c>
    </row>
    <row r="96" spans="2:8">
      <c r="B96" s="81" t="s">
        <v>1984</v>
      </c>
      <c r="C96" s="81">
        <v>152</v>
      </c>
      <c r="D96" s="81" t="s">
        <v>471</v>
      </c>
      <c r="E96" s="81" t="s">
        <v>77</v>
      </c>
      <c r="F96" s="81" t="s">
        <v>73</v>
      </c>
      <c r="G96" s="81" t="s">
        <v>114</v>
      </c>
      <c r="H96" s="81">
        <v>1</v>
      </c>
    </row>
    <row r="97" spans="2:8">
      <c r="B97" s="81" t="s">
        <v>1985</v>
      </c>
      <c r="C97" s="81">
        <v>233</v>
      </c>
      <c r="D97" s="81" t="s">
        <v>626</v>
      </c>
      <c r="E97" s="81" t="s">
        <v>77</v>
      </c>
      <c r="F97" s="81" t="s">
        <v>73</v>
      </c>
      <c r="G97" s="81" t="s">
        <v>114</v>
      </c>
      <c r="H97" s="81">
        <v>1</v>
      </c>
    </row>
    <row r="98" spans="2:8">
      <c r="B98" s="81" t="s">
        <v>1986</v>
      </c>
      <c r="C98" s="81">
        <v>277</v>
      </c>
      <c r="D98" s="81" t="s">
        <v>709</v>
      </c>
      <c r="E98" s="81" t="s">
        <v>77</v>
      </c>
      <c r="F98" s="81" t="s">
        <v>73</v>
      </c>
      <c r="G98" s="81" t="s">
        <v>114</v>
      </c>
      <c r="H98" s="81">
        <v>1</v>
      </c>
    </row>
    <row r="99" spans="2:8">
      <c r="B99" s="81" t="s">
        <v>1989</v>
      </c>
      <c r="C99" s="81">
        <v>296</v>
      </c>
      <c r="D99" s="81" t="s">
        <v>738</v>
      </c>
      <c r="E99" s="81" t="s">
        <v>77</v>
      </c>
      <c r="F99" s="81" t="s">
        <v>73</v>
      </c>
      <c r="G99" s="81" t="s">
        <v>114</v>
      </c>
      <c r="H99" s="81">
        <v>1</v>
      </c>
    </row>
    <row r="100" spans="2:8">
      <c r="B100" s="81" t="s">
        <v>1987</v>
      </c>
      <c r="C100" s="81">
        <v>413</v>
      </c>
      <c r="D100" s="81" t="s">
        <v>967</v>
      </c>
      <c r="E100" s="81" t="s">
        <v>77</v>
      </c>
      <c r="F100" s="81" t="s">
        <v>73</v>
      </c>
      <c r="G100" s="81" t="s">
        <v>114</v>
      </c>
      <c r="H100" s="81">
        <v>1</v>
      </c>
    </row>
    <row r="101" spans="2:8">
      <c r="B101" s="81" t="s">
        <v>1990</v>
      </c>
      <c r="C101" s="81">
        <v>427</v>
      </c>
      <c r="D101" s="81" t="s">
        <v>989</v>
      </c>
      <c r="E101" s="81" t="s">
        <v>77</v>
      </c>
      <c r="F101" s="81" t="s">
        <v>73</v>
      </c>
      <c r="G101" s="81" t="s">
        <v>114</v>
      </c>
      <c r="H101" s="81">
        <v>1</v>
      </c>
    </row>
    <row r="102" spans="2:8">
      <c r="B102" s="81" t="s">
        <v>1988</v>
      </c>
      <c r="C102" s="81">
        <v>448</v>
      </c>
      <c r="D102" s="81" t="s">
        <v>1022</v>
      </c>
      <c r="E102" s="81" t="s">
        <v>77</v>
      </c>
      <c r="F102" s="81" t="s">
        <v>73</v>
      </c>
      <c r="G102" s="81" t="s">
        <v>114</v>
      </c>
      <c r="H102" s="81">
        <v>1</v>
      </c>
    </row>
    <row r="103" spans="2:8">
      <c r="B103" s="81" t="s">
        <v>1971</v>
      </c>
      <c r="C103" s="81">
        <v>92</v>
      </c>
      <c r="D103" s="81" t="s">
        <v>362</v>
      </c>
      <c r="E103" s="81" t="s">
        <v>77</v>
      </c>
      <c r="F103" s="81" t="s">
        <v>73</v>
      </c>
      <c r="G103" s="81" t="s">
        <v>117</v>
      </c>
      <c r="H103" s="81">
        <v>1</v>
      </c>
    </row>
    <row r="104" spans="2:8">
      <c r="B104" s="81" t="s">
        <v>1972</v>
      </c>
      <c r="C104" s="81">
        <v>103</v>
      </c>
      <c r="D104" s="81" t="s">
        <v>1203</v>
      </c>
      <c r="E104" s="81" t="s">
        <v>77</v>
      </c>
      <c r="F104" s="81" t="s">
        <v>73</v>
      </c>
      <c r="G104" s="81" t="s">
        <v>117</v>
      </c>
      <c r="H104" s="81">
        <v>1</v>
      </c>
    </row>
    <row r="105" spans="2:8">
      <c r="B105" s="81" t="s">
        <v>1973</v>
      </c>
      <c r="C105" s="81">
        <v>104</v>
      </c>
      <c r="D105" s="81" t="s">
        <v>377</v>
      </c>
      <c r="E105" s="81" t="s">
        <v>77</v>
      </c>
      <c r="F105" s="81" t="s">
        <v>73</v>
      </c>
      <c r="G105" s="81" t="s">
        <v>117</v>
      </c>
      <c r="H105" s="81">
        <v>1</v>
      </c>
    </row>
    <row r="106" spans="2:8">
      <c r="B106" s="81" t="s">
        <v>1978</v>
      </c>
      <c r="C106" s="81">
        <v>140</v>
      </c>
      <c r="D106" s="81" t="s">
        <v>451</v>
      </c>
      <c r="E106" s="81" t="s">
        <v>77</v>
      </c>
      <c r="F106" s="81" t="s">
        <v>73</v>
      </c>
      <c r="G106" s="81" t="s">
        <v>117</v>
      </c>
      <c r="H106" s="81">
        <v>1</v>
      </c>
    </row>
    <row r="107" spans="2:8">
      <c r="B107" s="81" t="s">
        <v>1974</v>
      </c>
      <c r="C107" s="81">
        <v>152</v>
      </c>
      <c r="D107" s="81" t="s">
        <v>471</v>
      </c>
      <c r="E107" s="81" t="s">
        <v>77</v>
      </c>
      <c r="F107" s="81" t="s">
        <v>73</v>
      </c>
      <c r="G107" s="81" t="s">
        <v>117</v>
      </c>
      <c r="H107" s="81">
        <v>1</v>
      </c>
    </row>
    <row r="108" spans="2:8">
      <c r="B108" s="81" t="s">
        <v>1975</v>
      </c>
      <c r="C108" s="81">
        <v>233</v>
      </c>
      <c r="D108" s="81" t="s">
        <v>626</v>
      </c>
      <c r="E108" s="81" t="s">
        <v>77</v>
      </c>
      <c r="F108" s="81" t="s">
        <v>73</v>
      </c>
      <c r="G108" s="81" t="s">
        <v>117</v>
      </c>
      <c r="H108" s="81">
        <v>1</v>
      </c>
    </row>
    <row r="109" spans="2:8">
      <c r="B109" s="81" t="s">
        <v>1976</v>
      </c>
      <c r="C109" s="81">
        <v>277</v>
      </c>
      <c r="D109" s="81" t="s">
        <v>709</v>
      </c>
      <c r="E109" s="81" t="s">
        <v>77</v>
      </c>
      <c r="F109" s="81" t="s">
        <v>73</v>
      </c>
      <c r="G109" s="81" t="s">
        <v>117</v>
      </c>
      <c r="H109" s="81">
        <v>1</v>
      </c>
    </row>
    <row r="110" spans="2:8">
      <c r="B110" s="81" t="s">
        <v>1979</v>
      </c>
      <c r="C110" s="81">
        <v>296</v>
      </c>
      <c r="D110" s="81" t="s">
        <v>738</v>
      </c>
      <c r="E110" s="81" t="s">
        <v>77</v>
      </c>
      <c r="F110" s="81" t="s">
        <v>73</v>
      </c>
      <c r="G110" s="81" t="s">
        <v>117</v>
      </c>
      <c r="H110" s="81">
        <v>1</v>
      </c>
    </row>
    <row r="111" spans="2:8">
      <c r="B111" s="81" t="s">
        <v>1977</v>
      </c>
      <c r="C111" s="81">
        <v>448</v>
      </c>
      <c r="D111" s="81" t="s">
        <v>1022</v>
      </c>
      <c r="E111" s="81" t="s">
        <v>77</v>
      </c>
      <c r="F111" s="81" t="s">
        <v>73</v>
      </c>
      <c r="G111" s="81" t="s">
        <v>117</v>
      </c>
      <c r="H111" s="81">
        <v>1</v>
      </c>
    </row>
    <row r="112" spans="2:8">
      <c r="B112" s="81" t="s">
        <v>2010</v>
      </c>
      <c r="C112" s="81">
        <v>95</v>
      </c>
      <c r="D112" s="81" t="s">
        <v>366</v>
      </c>
      <c r="E112" s="81" t="s">
        <v>37</v>
      </c>
      <c r="F112" s="81" t="s">
        <v>103</v>
      </c>
      <c r="G112" s="81" t="s">
        <v>115</v>
      </c>
      <c r="H112" s="81">
        <v>1</v>
      </c>
    </row>
    <row r="113" spans="2:8">
      <c r="B113" s="81" t="s">
        <v>2011</v>
      </c>
      <c r="C113" s="81">
        <v>99</v>
      </c>
      <c r="D113" s="81" t="s">
        <v>370</v>
      </c>
      <c r="E113" s="81" t="s">
        <v>37</v>
      </c>
      <c r="F113" s="81" t="s">
        <v>103</v>
      </c>
      <c r="G113" s="81" t="s">
        <v>115</v>
      </c>
      <c r="H113" s="81">
        <v>1</v>
      </c>
    </row>
    <row r="114" spans="2:8">
      <c r="B114" s="81" t="s">
        <v>2012</v>
      </c>
      <c r="C114" s="81">
        <v>108</v>
      </c>
      <c r="D114" s="81" t="s">
        <v>419</v>
      </c>
      <c r="E114" s="81" t="s">
        <v>37</v>
      </c>
      <c r="F114" s="81" t="s">
        <v>103</v>
      </c>
      <c r="G114" s="81" t="s">
        <v>115</v>
      </c>
      <c r="H114" s="81">
        <v>1</v>
      </c>
    </row>
    <row r="115" spans="2:8">
      <c r="B115" s="81" t="s">
        <v>2013</v>
      </c>
      <c r="C115" s="81">
        <v>110</v>
      </c>
      <c r="D115" s="81" t="s">
        <v>420</v>
      </c>
      <c r="E115" s="81" t="s">
        <v>37</v>
      </c>
      <c r="F115" s="81" t="s">
        <v>103</v>
      </c>
      <c r="G115" s="81" t="s">
        <v>115</v>
      </c>
      <c r="H115" s="81">
        <v>1</v>
      </c>
    </row>
    <row r="116" spans="2:8">
      <c r="B116" s="81" t="s">
        <v>2014</v>
      </c>
      <c r="C116" s="81">
        <v>114</v>
      </c>
      <c r="D116" s="81" t="s">
        <v>393</v>
      </c>
      <c r="E116" s="81" t="s">
        <v>37</v>
      </c>
      <c r="F116" s="81" t="s">
        <v>103</v>
      </c>
      <c r="G116" s="81" t="s">
        <v>115</v>
      </c>
      <c r="H116" s="81">
        <v>1</v>
      </c>
    </row>
    <row r="117" spans="2:8">
      <c r="B117" s="81" t="s">
        <v>2015</v>
      </c>
      <c r="C117" s="81">
        <v>239</v>
      </c>
      <c r="D117" s="81" t="s">
        <v>634</v>
      </c>
      <c r="E117" s="81" t="s">
        <v>37</v>
      </c>
      <c r="F117" s="81" t="s">
        <v>103</v>
      </c>
      <c r="G117" s="81" t="s">
        <v>115</v>
      </c>
      <c r="H117" s="81">
        <v>1</v>
      </c>
    </row>
    <row r="118" spans="2:8">
      <c r="B118" s="81" t="s">
        <v>2016</v>
      </c>
      <c r="C118" s="81">
        <v>278</v>
      </c>
      <c r="D118" s="81" t="s">
        <v>710</v>
      </c>
      <c r="E118" s="81" t="s">
        <v>37</v>
      </c>
      <c r="F118" s="81" t="s">
        <v>103</v>
      </c>
      <c r="G118" s="81" t="s">
        <v>115</v>
      </c>
      <c r="H118" s="81">
        <v>1</v>
      </c>
    </row>
    <row r="119" spans="2:8">
      <c r="B119" s="81" t="s">
        <v>2017</v>
      </c>
      <c r="C119" s="81">
        <v>281</v>
      </c>
      <c r="D119" s="81" t="s">
        <v>714</v>
      </c>
      <c r="E119" s="81" t="s">
        <v>37</v>
      </c>
      <c r="F119" s="81" t="s">
        <v>103</v>
      </c>
      <c r="G119" s="81" t="s">
        <v>115</v>
      </c>
      <c r="H119" s="81">
        <v>1</v>
      </c>
    </row>
    <row r="120" spans="2:8">
      <c r="B120" s="81" t="s">
        <v>2018</v>
      </c>
      <c r="C120" s="81">
        <v>283</v>
      </c>
      <c r="D120" s="81" t="s">
        <v>716</v>
      </c>
      <c r="E120" s="81" t="s">
        <v>37</v>
      </c>
      <c r="F120" s="81" t="s">
        <v>103</v>
      </c>
      <c r="G120" s="81" t="s">
        <v>115</v>
      </c>
      <c r="H120" s="81">
        <v>1</v>
      </c>
    </row>
    <row r="121" spans="2:8">
      <c r="B121" s="81" t="s">
        <v>2019</v>
      </c>
      <c r="C121" s="81">
        <v>426</v>
      </c>
      <c r="D121" s="81" t="s">
        <v>988</v>
      </c>
      <c r="E121" s="81" t="s">
        <v>37</v>
      </c>
      <c r="F121" s="81" t="s">
        <v>103</v>
      </c>
      <c r="G121" s="81" t="s">
        <v>115</v>
      </c>
      <c r="H121" s="81">
        <v>1</v>
      </c>
    </row>
    <row r="122" spans="2:8">
      <c r="B122" s="81" t="s">
        <v>2020</v>
      </c>
      <c r="C122" s="81">
        <v>95</v>
      </c>
      <c r="D122" s="81" t="s">
        <v>366</v>
      </c>
      <c r="E122" s="81" t="s">
        <v>37</v>
      </c>
      <c r="F122" s="81" t="s">
        <v>103</v>
      </c>
      <c r="G122" s="81" t="s">
        <v>118</v>
      </c>
      <c r="H122" s="81">
        <v>1</v>
      </c>
    </row>
    <row r="123" spans="2:8">
      <c r="B123" s="81" t="s">
        <v>2021</v>
      </c>
      <c r="C123" s="81">
        <v>99</v>
      </c>
      <c r="D123" s="81" t="s">
        <v>370</v>
      </c>
      <c r="E123" s="81" t="s">
        <v>37</v>
      </c>
      <c r="F123" s="81" t="s">
        <v>103</v>
      </c>
      <c r="G123" s="81" t="s">
        <v>118</v>
      </c>
      <c r="H123" s="81">
        <v>1</v>
      </c>
    </row>
    <row r="124" spans="2:8">
      <c r="B124" s="81" t="s">
        <v>2022</v>
      </c>
      <c r="C124" s="81">
        <v>108</v>
      </c>
      <c r="D124" s="81" t="s">
        <v>419</v>
      </c>
      <c r="E124" s="81" t="s">
        <v>37</v>
      </c>
      <c r="F124" s="81" t="s">
        <v>103</v>
      </c>
      <c r="G124" s="81" t="s">
        <v>118</v>
      </c>
      <c r="H124" s="81">
        <v>1</v>
      </c>
    </row>
    <row r="125" spans="2:8">
      <c r="B125" s="81" t="s">
        <v>2023</v>
      </c>
      <c r="C125" s="81">
        <v>110</v>
      </c>
      <c r="D125" s="81" t="s">
        <v>420</v>
      </c>
      <c r="E125" s="81" t="s">
        <v>37</v>
      </c>
      <c r="F125" s="81" t="s">
        <v>103</v>
      </c>
      <c r="G125" s="81" t="s">
        <v>118</v>
      </c>
      <c r="H125" s="81">
        <v>1</v>
      </c>
    </row>
    <row r="126" spans="2:8">
      <c r="B126" s="81" t="s">
        <v>2024</v>
      </c>
      <c r="C126" s="81">
        <v>114</v>
      </c>
      <c r="D126" s="81" t="s">
        <v>393</v>
      </c>
      <c r="E126" s="81" t="s">
        <v>37</v>
      </c>
      <c r="F126" s="81" t="s">
        <v>103</v>
      </c>
      <c r="G126" s="81" t="s">
        <v>118</v>
      </c>
      <c r="H126" s="81">
        <v>1</v>
      </c>
    </row>
    <row r="127" spans="2:8">
      <c r="B127" s="81" t="s">
        <v>2025</v>
      </c>
      <c r="C127" s="81">
        <v>239</v>
      </c>
      <c r="D127" s="81" t="s">
        <v>634</v>
      </c>
      <c r="E127" s="81" t="s">
        <v>37</v>
      </c>
      <c r="F127" s="81" t="s">
        <v>103</v>
      </c>
      <c r="G127" s="81" t="s">
        <v>118</v>
      </c>
      <c r="H127" s="81">
        <v>1</v>
      </c>
    </row>
    <row r="128" spans="2:8">
      <c r="B128" s="81" t="s">
        <v>2026</v>
      </c>
      <c r="C128" s="81">
        <v>278</v>
      </c>
      <c r="D128" s="81" t="s">
        <v>710</v>
      </c>
      <c r="E128" s="81" t="s">
        <v>37</v>
      </c>
      <c r="F128" s="81" t="s">
        <v>103</v>
      </c>
      <c r="G128" s="81" t="s">
        <v>118</v>
      </c>
      <c r="H128" s="81">
        <v>1</v>
      </c>
    </row>
    <row r="129" spans="2:8">
      <c r="B129" s="81" t="s">
        <v>2027</v>
      </c>
      <c r="C129" s="81">
        <v>281</v>
      </c>
      <c r="D129" s="81" t="s">
        <v>714</v>
      </c>
      <c r="E129" s="81" t="s">
        <v>37</v>
      </c>
      <c r="F129" s="81" t="s">
        <v>103</v>
      </c>
      <c r="G129" s="81" t="s">
        <v>118</v>
      </c>
      <c r="H129" s="81">
        <v>1</v>
      </c>
    </row>
    <row r="130" spans="2:8">
      <c r="B130" s="81" t="s">
        <v>2028</v>
      </c>
      <c r="C130" s="81">
        <v>283</v>
      </c>
      <c r="D130" s="81" t="s">
        <v>716</v>
      </c>
      <c r="E130" s="81" t="s">
        <v>37</v>
      </c>
      <c r="F130" s="81" t="s">
        <v>103</v>
      </c>
      <c r="G130" s="81" t="s">
        <v>118</v>
      </c>
      <c r="H130" s="81">
        <v>1</v>
      </c>
    </row>
    <row r="131" spans="2:8">
      <c r="B131" s="81" t="s">
        <v>2029</v>
      </c>
      <c r="C131" s="81">
        <v>95</v>
      </c>
      <c r="D131" s="81" t="s">
        <v>366</v>
      </c>
      <c r="E131" s="81" t="s">
        <v>37</v>
      </c>
      <c r="F131" s="81" t="s">
        <v>103</v>
      </c>
      <c r="G131" s="81" t="s">
        <v>117</v>
      </c>
      <c r="H131" s="81">
        <v>1</v>
      </c>
    </row>
    <row r="132" spans="2:8">
      <c r="B132" s="81" t="s">
        <v>2030</v>
      </c>
      <c r="C132" s="81">
        <v>99</v>
      </c>
      <c r="D132" s="81" t="s">
        <v>370</v>
      </c>
      <c r="E132" s="81" t="s">
        <v>37</v>
      </c>
      <c r="F132" s="81" t="s">
        <v>103</v>
      </c>
      <c r="G132" s="81" t="s">
        <v>117</v>
      </c>
      <c r="H132" s="81">
        <v>1</v>
      </c>
    </row>
    <row r="133" spans="2:8">
      <c r="B133" s="81" t="s">
        <v>2031</v>
      </c>
      <c r="C133" s="81">
        <v>108</v>
      </c>
      <c r="D133" s="81" t="s">
        <v>419</v>
      </c>
      <c r="E133" s="81" t="s">
        <v>37</v>
      </c>
      <c r="F133" s="81" t="s">
        <v>103</v>
      </c>
      <c r="G133" s="81" t="s">
        <v>117</v>
      </c>
      <c r="H133" s="81">
        <v>1</v>
      </c>
    </row>
    <row r="134" spans="2:8">
      <c r="B134" s="81" t="s">
        <v>2032</v>
      </c>
      <c r="C134" s="81">
        <v>110</v>
      </c>
      <c r="D134" s="81" t="s">
        <v>420</v>
      </c>
      <c r="E134" s="81" t="s">
        <v>37</v>
      </c>
      <c r="F134" s="81" t="s">
        <v>103</v>
      </c>
      <c r="G134" s="81" t="s">
        <v>117</v>
      </c>
      <c r="H134" s="81">
        <v>1</v>
      </c>
    </row>
    <row r="135" spans="2:8">
      <c r="B135" s="81" t="s">
        <v>2033</v>
      </c>
      <c r="C135" s="81">
        <v>114</v>
      </c>
      <c r="D135" s="81" t="s">
        <v>393</v>
      </c>
      <c r="E135" s="81" t="s">
        <v>37</v>
      </c>
      <c r="F135" s="81" t="s">
        <v>103</v>
      </c>
      <c r="G135" s="81" t="s">
        <v>117</v>
      </c>
      <c r="H135" s="81">
        <v>1</v>
      </c>
    </row>
    <row r="136" spans="2:8">
      <c r="B136" s="81" t="s">
        <v>2034</v>
      </c>
      <c r="C136" s="81">
        <v>239</v>
      </c>
      <c r="D136" s="81" t="s">
        <v>634</v>
      </c>
      <c r="E136" s="81" t="s">
        <v>37</v>
      </c>
      <c r="F136" s="81" t="s">
        <v>103</v>
      </c>
      <c r="G136" s="81" t="s">
        <v>117</v>
      </c>
      <c r="H136" s="81">
        <v>1</v>
      </c>
    </row>
    <row r="137" spans="2:8">
      <c r="B137" s="81" t="s">
        <v>2035</v>
      </c>
      <c r="C137" s="81">
        <v>278</v>
      </c>
      <c r="D137" s="81" t="s">
        <v>710</v>
      </c>
      <c r="E137" s="81" t="s">
        <v>37</v>
      </c>
      <c r="F137" s="81" t="s">
        <v>103</v>
      </c>
      <c r="G137" s="81" t="s">
        <v>117</v>
      </c>
      <c r="H137" s="81">
        <v>1</v>
      </c>
    </row>
    <row r="138" spans="2:8">
      <c r="B138" s="81" t="s">
        <v>2036</v>
      </c>
      <c r="C138" s="81">
        <v>281</v>
      </c>
      <c r="D138" s="81" t="s">
        <v>714</v>
      </c>
      <c r="E138" s="81" t="s">
        <v>37</v>
      </c>
      <c r="F138" s="81" t="s">
        <v>103</v>
      </c>
      <c r="G138" s="81" t="s">
        <v>117</v>
      </c>
      <c r="H138" s="81">
        <v>1</v>
      </c>
    </row>
    <row r="139" spans="2:8">
      <c r="B139" s="81" t="s">
        <v>2037</v>
      </c>
      <c r="C139" s="81">
        <v>283</v>
      </c>
      <c r="D139" s="81" t="s">
        <v>716</v>
      </c>
      <c r="E139" s="81" t="s">
        <v>37</v>
      </c>
      <c r="F139" s="81" t="s">
        <v>103</v>
      </c>
      <c r="G139" s="81" t="s">
        <v>117</v>
      </c>
      <c r="H139" s="81">
        <v>1</v>
      </c>
    </row>
    <row r="140" spans="2:8">
      <c r="B140" s="81" t="s">
        <v>2038</v>
      </c>
      <c r="C140" s="81">
        <v>95</v>
      </c>
      <c r="D140" s="81" t="s">
        <v>366</v>
      </c>
      <c r="E140" s="81" t="s">
        <v>37</v>
      </c>
      <c r="F140" s="81" t="s">
        <v>103</v>
      </c>
      <c r="G140" s="81" t="s">
        <v>114</v>
      </c>
      <c r="H140" s="81">
        <v>1</v>
      </c>
    </row>
    <row r="141" spans="2:8">
      <c r="B141" s="81" t="s">
        <v>2039</v>
      </c>
      <c r="C141" s="81">
        <v>99</v>
      </c>
      <c r="D141" s="81" t="s">
        <v>370</v>
      </c>
      <c r="E141" s="81" t="s">
        <v>37</v>
      </c>
      <c r="F141" s="81" t="s">
        <v>103</v>
      </c>
      <c r="G141" s="81" t="s">
        <v>114</v>
      </c>
      <c r="H141" s="81">
        <v>1</v>
      </c>
    </row>
    <row r="142" spans="2:8">
      <c r="B142" s="81" t="s">
        <v>2040</v>
      </c>
      <c r="C142" s="81">
        <v>108</v>
      </c>
      <c r="D142" s="81" t="s">
        <v>419</v>
      </c>
      <c r="E142" s="81" t="s">
        <v>37</v>
      </c>
      <c r="F142" s="81" t="s">
        <v>103</v>
      </c>
      <c r="G142" s="81" t="s">
        <v>114</v>
      </c>
      <c r="H142" s="81">
        <v>1</v>
      </c>
    </row>
    <row r="143" spans="2:8">
      <c r="B143" s="81" t="s">
        <v>2041</v>
      </c>
      <c r="C143" s="81">
        <v>110</v>
      </c>
      <c r="D143" s="81" t="s">
        <v>420</v>
      </c>
      <c r="E143" s="81" t="s">
        <v>37</v>
      </c>
      <c r="F143" s="81" t="s">
        <v>103</v>
      </c>
      <c r="G143" s="81" t="s">
        <v>114</v>
      </c>
      <c r="H143" s="81">
        <v>1</v>
      </c>
    </row>
    <row r="144" spans="2:8">
      <c r="B144" s="81" t="s">
        <v>2042</v>
      </c>
      <c r="C144" s="81">
        <v>114</v>
      </c>
      <c r="D144" s="81" t="s">
        <v>393</v>
      </c>
      <c r="E144" s="81" t="s">
        <v>37</v>
      </c>
      <c r="F144" s="81" t="s">
        <v>103</v>
      </c>
      <c r="G144" s="81" t="s">
        <v>114</v>
      </c>
      <c r="H144" s="81">
        <v>1</v>
      </c>
    </row>
    <row r="145" spans="2:8">
      <c r="B145" s="81" t="s">
        <v>2043</v>
      </c>
      <c r="C145" s="81">
        <v>239</v>
      </c>
      <c r="D145" s="81" t="s">
        <v>634</v>
      </c>
      <c r="E145" s="81" t="s">
        <v>37</v>
      </c>
      <c r="F145" s="81" t="s">
        <v>103</v>
      </c>
      <c r="G145" s="81" t="s">
        <v>114</v>
      </c>
      <c r="H145" s="81">
        <v>1</v>
      </c>
    </row>
    <row r="146" spans="2:8">
      <c r="B146" s="81" t="s">
        <v>2044</v>
      </c>
      <c r="C146" s="81">
        <v>278</v>
      </c>
      <c r="D146" s="81" t="s">
        <v>710</v>
      </c>
      <c r="E146" s="81" t="s">
        <v>37</v>
      </c>
      <c r="F146" s="81" t="s">
        <v>103</v>
      </c>
      <c r="G146" s="81" t="s">
        <v>114</v>
      </c>
      <c r="H146" s="81">
        <v>1</v>
      </c>
    </row>
    <row r="147" spans="2:8">
      <c r="B147" s="81" t="s">
        <v>2045</v>
      </c>
      <c r="C147" s="81">
        <v>281</v>
      </c>
      <c r="D147" s="81" t="s">
        <v>714</v>
      </c>
      <c r="E147" s="81" t="s">
        <v>37</v>
      </c>
      <c r="F147" s="81" t="s">
        <v>103</v>
      </c>
      <c r="G147" s="81" t="s">
        <v>114</v>
      </c>
      <c r="H147" s="81">
        <v>1</v>
      </c>
    </row>
    <row r="148" spans="2:8">
      <c r="B148" s="81" t="s">
        <v>2046</v>
      </c>
      <c r="C148" s="81">
        <v>283</v>
      </c>
      <c r="D148" s="81" t="s">
        <v>716</v>
      </c>
      <c r="E148" s="81" t="s">
        <v>37</v>
      </c>
      <c r="F148" s="81" t="s">
        <v>103</v>
      </c>
      <c r="G148" s="81" t="s">
        <v>114</v>
      </c>
      <c r="H148" s="81">
        <v>1</v>
      </c>
    </row>
    <row r="149" spans="2:8">
      <c r="B149" s="81" t="s">
        <v>2047</v>
      </c>
      <c r="C149" s="81">
        <v>95</v>
      </c>
      <c r="D149" s="81" t="s">
        <v>366</v>
      </c>
      <c r="E149" s="81" t="s">
        <v>37</v>
      </c>
      <c r="F149" s="81" t="s">
        <v>103</v>
      </c>
      <c r="G149" s="81" t="s">
        <v>113</v>
      </c>
      <c r="H149" s="81">
        <v>1</v>
      </c>
    </row>
    <row r="150" spans="2:8">
      <c r="B150" s="81" t="s">
        <v>2048</v>
      </c>
      <c r="C150" s="81">
        <v>99</v>
      </c>
      <c r="D150" s="81" t="s">
        <v>370</v>
      </c>
      <c r="E150" s="81" t="s">
        <v>37</v>
      </c>
      <c r="F150" s="81" t="s">
        <v>103</v>
      </c>
      <c r="G150" s="81" t="s">
        <v>113</v>
      </c>
      <c r="H150" s="81">
        <v>1</v>
      </c>
    </row>
    <row r="151" spans="2:8">
      <c r="B151" s="81" t="s">
        <v>2049</v>
      </c>
      <c r="C151" s="81">
        <v>108</v>
      </c>
      <c r="D151" s="81" t="s">
        <v>419</v>
      </c>
      <c r="E151" s="81" t="s">
        <v>37</v>
      </c>
      <c r="F151" s="81" t="s">
        <v>103</v>
      </c>
      <c r="G151" s="81" t="s">
        <v>113</v>
      </c>
      <c r="H151" s="81">
        <v>1</v>
      </c>
    </row>
    <row r="152" spans="2:8">
      <c r="B152" s="81" t="s">
        <v>2050</v>
      </c>
      <c r="C152" s="81">
        <v>110</v>
      </c>
      <c r="D152" s="81" t="s">
        <v>420</v>
      </c>
      <c r="E152" s="81" t="s">
        <v>37</v>
      </c>
      <c r="F152" s="81" t="s">
        <v>103</v>
      </c>
      <c r="G152" s="81" t="s">
        <v>113</v>
      </c>
      <c r="H152" s="81">
        <v>1</v>
      </c>
    </row>
    <row r="153" spans="2:8">
      <c r="B153" s="81" t="s">
        <v>2051</v>
      </c>
      <c r="C153" s="81">
        <v>114</v>
      </c>
      <c r="D153" s="81" t="s">
        <v>393</v>
      </c>
      <c r="E153" s="81" t="s">
        <v>37</v>
      </c>
      <c r="F153" s="81" t="s">
        <v>103</v>
      </c>
      <c r="G153" s="81" t="s">
        <v>113</v>
      </c>
      <c r="H153" s="81">
        <v>1</v>
      </c>
    </row>
    <row r="154" spans="2:8">
      <c r="B154" s="81" t="s">
        <v>2052</v>
      </c>
      <c r="C154" s="81">
        <v>239</v>
      </c>
      <c r="D154" s="81" t="s">
        <v>634</v>
      </c>
      <c r="E154" s="81" t="s">
        <v>37</v>
      </c>
      <c r="F154" s="81" t="s">
        <v>103</v>
      </c>
      <c r="G154" s="81" t="s">
        <v>113</v>
      </c>
      <c r="H154" s="81">
        <v>1</v>
      </c>
    </row>
    <row r="155" spans="2:8">
      <c r="B155" s="81" t="s">
        <v>2053</v>
      </c>
      <c r="C155" s="81">
        <v>278</v>
      </c>
      <c r="D155" s="81" t="s">
        <v>710</v>
      </c>
      <c r="E155" s="81" t="s">
        <v>37</v>
      </c>
      <c r="F155" s="81" t="s">
        <v>103</v>
      </c>
      <c r="G155" s="81" t="s">
        <v>113</v>
      </c>
      <c r="H155" s="81">
        <v>1</v>
      </c>
    </row>
    <row r="156" spans="2:8">
      <c r="B156" s="81" t="s">
        <v>2054</v>
      </c>
      <c r="C156" s="81">
        <v>281</v>
      </c>
      <c r="D156" s="81" t="s">
        <v>714</v>
      </c>
      <c r="E156" s="81" t="s">
        <v>37</v>
      </c>
      <c r="F156" s="81" t="s">
        <v>103</v>
      </c>
      <c r="G156" s="81" t="s">
        <v>113</v>
      </c>
      <c r="H156" s="81">
        <v>1</v>
      </c>
    </row>
    <row r="157" spans="2:8">
      <c r="B157" s="81" t="s">
        <v>2055</v>
      </c>
      <c r="C157" s="81">
        <v>283</v>
      </c>
      <c r="D157" s="81" t="s">
        <v>716</v>
      </c>
      <c r="E157" s="81" t="s">
        <v>37</v>
      </c>
      <c r="F157" s="81" t="s">
        <v>103</v>
      </c>
      <c r="G157" s="81" t="s">
        <v>113</v>
      </c>
      <c r="H157" s="81">
        <v>1</v>
      </c>
    </row>
    <row r="158" spans="2:8">
      <c r="B158" s="81" t="s">
        <v>2056</v>
      </c>
      <c r="C158" s="81">
        <v>95</v>
      </c>
      <c r="D158" s="81" t="s">
        <v>366</v>
      </c>
      <c r="E158" s="81" t="s">
        <v>37</v>
      </c>
      <c r="F158" s="81" t="s">
        <v>103</v>
      </c>
      <c r="G158" s="81" t="s">
        <v>112</v>
      </c>
      <c r="H158" s="81">
        <v>1</v>
      </c>
    </row>
    <row r="159" spans="2:8">
      <c r="B159" s="81" t="s">
        <v>2057</v>
      </c>
      <c r="C159" s="81">
        <v>99</v>
      </c>
      <c r="D159" s="81" t="s">
        <v>370</v>
      </c>
      <c r="E159" s="81" t="s">
        <v>37</v>
      </c>
      <c r="F159" s="81" t="s">
        <v>103</v>
      </c>
      <c r="G159" s="81" t="s">
        <v>112</v>
      </c>
      <c r="H159" s="81">
        <v>1</v>
      </c>
    </row>
    <row r="160" spans="2:8">
      <c r="B160" s="81" t="s">
        <v>2058</v>
      </c>
      <c r="C160" s="81">
        <v>108</v>
      </c>
      <c r="D160" s="81" t="s">
        <v>419</v>
      </c>
      <c r="E160" s="81" t="s">
        <v>37</v>
      </c>
      <c r="F160" s="81" t="s">
        <v>103</v>
      </c>
      <c r="G160" s="81" t="s">
        <v>112</v>
      </c>
      <c r="H160" s="81">
        <v>1</v>
      </c>
    </row>
    <row r="161" spans="2:8">
      <c r="B161" s="81" t="s">
        <v>2059</v>
      </c>
      <c r="C161" s="81">
        <v>110</v>
      </c>
      <c r="D161" s="81" t="s">
        <v>420</v>
      </c>
      <c r="E161" s="81" t="s">
        <v>37</v>
      </c>
      <c r="F161" s="81" t="s">
        <v>103</v>
      </c>
      <c r="G161" s="81" t="s">
        <v>112</v>
      </c>
      <c r="H161" s="81">
        <v>1</v>
      </c>
    </row>
    <row r="162" spans="2:8">
      <c r="B162" s="81" t="s">
        <v>2060</v>
      </c>
      <c r="C162" s="81">
        <v>114</v>
      </c>
      <c r="D162" s="81" t="s">
        <v>393</v>
      </c>
      <c r="E162" s="81" t="s">
        <v>37</v>
      </c>
      <c r="F162" s="81" t="s">
        <v>103</v>
      </c>
      <c r="G162" s="81" t="s">
        <v>112</v>
      </c>
      <c r="H162" s="81">
        <v>1</v>
      </c>
    </row>
    <row r="163" spans="2:8">
      <c r="B163" s="81" t="s">
        <v>2061</v>
      </c>
      <c r="C163" s="81">
        <v>239</v>
      </c>
      <c r="D163" s="81" t="s">
        <v>634</v>
      </c>
      <c r="E163" s="81" t="s">
        <v>37</v>
      </c>
      <c r="F163" s="81" t="s">
        <v>103</v>
      </c>
      <c r="G163" s="81" t="s">
        <v>112</v>
      </c>
      <c r="H163" s="81">
        <v>1</v>
      </c>
    </row>
    <row r="164" spans="2:8">
      <c r="B164" s="81" t="s">
        <v>2062</v>
      </c>
      <c r="C164" s="81">
        <v>278</v>
      </c>
      <c r="D164" s="81" t="s">
        <v>710</v>
      </c>
      <c r="E164" s="81" t="s">
        <v>37</v>
      </c>
      <c r="F164" s="81" t="s">
        <v>103</v>
      </c>
      <c r="G164" s="81" t="s">
        <v>112</v>
      </c>
      <c r="H164" s="81">
        <v>1</v>
      </c>
    </row>
    <row r="165" spans="2:8">
      <c r="B165" s="81" t="s">
        <v>2063</v>
      </c>
      <c r="C165" s="81">
        <v>281</v>
      </c>
      <c r="D165" s="81" t="s">
        <v>714</v>
      </c>
      <c r="E165" s="81" t="s">
        <v>37</v>
      </c>
      <c r="F165" s="81" t="s">
        <v>103</v>
      </c>
      <c r="G165" s="81" t="s">
        <v>112</v>
      </c>
      <c r="H165" s="81">
        <v>1</v>
      </c>
    </row>
    <row r="166" spans="2:8">
      <c r="B166" s="81" t="s">
        <v>2064</v>
      </c>
      <c r="C166" s="81">
        <v>283</v>
      </c>
      <c r="D166" s="81" t="s">
        <v>716</v>
      </c>
      <c r="E166" s="81" t="s">
        <v>37</v>
      </c>
      <c r="F166" s="81" t="s">
        <v>103</v>
      </c>
      <c r="G166" s="81" t="s">
        <v>112</v>
      </c>
      <c r="H166" s="81">
        <v>1</v>
      </c>
    </row>
    <row r="167" spans="2:8">
      <c r="B167" s="81" t="s">
        <v>2065</v>
      </c>
      <c r="C167" s="81">
        <v>95</v>
      </c>
      <c r="D167" s="81" t="s">
        <v>366</v>
      </c>
      <c r="E167" s="81" t="s">
        <v>37</v>
      </c>
      <c r="F167" s="81" t="s">
        <v>103</v>
      </c>
      <c r="G167" s="81" t="s">
        <v>4</v>
      </c>
      <c r="H167" s="81">
        <v>1</v>
      </c>
    </row>
    <row r="168" spans="2:8">
      <c r="B168" s="81" t="s">
        <v>2066</v>
      </c>
      <c r="C168" s="81">
        <v>99</v>
      </c>
      <c r="D168" s="81" t="s">
        <v>370</v>
      </c>
      <c r="E168" s="81" t="s">
        <v>37</v>
      </c>
      <c r="F168" s="81" t="s">
        <v>103</v>
      </c>
      <c r="G168" s="81" t="s">
        <v>4</v>
      </c>
      <c r="H168" s="81">
        <v>1</v>
      </c>
    </row>
    <row r="169" spans="2:8">
      <c r="B169" s="81" t="s">
        <v>2067</v>
      </c>
      <c r="C169" s="81">
        <v>108</v>
      </c>
      <c r="D169" s="81" t="s">
        <v>419</v>
      </c>
      <c r="E169" s="81" t="s">
        <v>37</v>
      </c>
      <c r="F169" s="81" t="s">
        <v>103</v>
      </c>
      <c r="G169" s="81" t="s">
        <v>4</v>
      </c>
      <c r="H169" s="81">
        <v>1</v>
      </c>
    </row>
    <row r="170" spans="2:8">
      <c r="B170" s="81" t="s">
        <v>2068</v>
      </c>
      <c r="C170" s="81">
        <v>110</v>
      </c>
      <c r="D170" s="81" t="s">
        <v>420</v>
      </c>
      <c r="E170" s="81" t="s">
        <v>37</v>
      </c>
      <c r="F170" s="81" t="s">
        <v>103</v>
      </c>
      <c r="G170" s="81" t="s">
        <v>4</v>
      </c>
      <c r="H170" s="81">
        <v>1</v>
      </c>
    </row>
    <row r="171" spans="2:8">
      <c r="B171" s="81" t="s">
        <v>2069</v>
      </c>
      <c r="C171" s="81">
        <v>114</v>
      </c>
      <c r="D171" s="81" t="s">
        <v>393</v>
      </c>
      <c r="E171" s="81" t="s">
        <v>37</v>
      </c>
      <c r="F171" s="81" t="s">
        <v>103</v>
      </c>
      <c r="G171" s="81" t="s">
        <v>4</v>
      </c>
      <c r="H171" s="81">
        <v>1</v>
      </c>
    </row>
    <row r="172" spans="2:8">
      <c r="B172" s="81" t="s">
        <v>2070</v>
      </c>
      <c r="C172" s="81">
        <v>239</v>
      </c>
      <c r="D172" s="81" t="s">
        <v>634</v>
      </c>
      <c r="E172" s="81" t="s">
        <v>37</v>
      </c>
      <c r="F172" s="81" t="s">
        <v>103</v>
      </c>
      <c r="G172" s="81" t="s">
        <v>4</v>
      </c>
      <c r="H172" s="81">
        <v>1</v>
      </c>
    </row>
    <row r="173" spans="2:8">
      <c r="B173" s="81" t="s">
        <v>2071</v>
      </c>
      <c r="C173" s="81">
        <v>278</v>
      </c>
      <c r="D173" s="81" t="s">
        <v>710</v>
      </c>
      <c r="E173" s="81" t="s">
        <v>37</v>
      </c>
      <c r="F173" s="81" t="s">
        <v>103</v>
      </c>
      <c r="G173" s="81" t="s">
        <v>4</v>
      </c>
      <c r="H173" s="81">
        <v>1</v>
      </c>
    </row>
    <row r="174" spans="2:8">
      <c r="B174" s="81" t="s">
        <v>2072</v>
      </c>
      <c r="C174" s="81">
        <v>281</v>
      </c>
      <c r="D174" s="81" t="s">
        <v>714</v>
      </c>
      <c r="E174" s="81" t="s">
        <v>37</v>
      </c>
      <c r="F174" s="81" t="s">
        <v>103</v>
      </c>
      <c r="G174" s="81" t="s">
        <v>4</v>
      </c>
      <c r="H174" s="81">
        <v>1</v>
      </c>
    </row>
    <row r="175" spans="2:8">
      <c r="B175" s="81" t="s">
        <v>2073</v>
      </c>
      <c r="C175" s="81">
        <v>283</v>
      </c>
      <c r="D175" s="81" t="s">
        <v>716</v>
      </c>
      <c r="E175" s="81" t="s">
        <v>37</v>
      </c>
      <c r="F175" s="81" t="s">
        <v>103</v>
      </c>
      <c r="G175" s="81" t="s">
        <v>4</v>
      </c>
      <c r="H175" s="81">
        <v>1</v>
      </c>
    </row>
    <row r="176" spans="2:8">
      <c r="B176" s="81" t="s">
        <v>1910</v>
      </c>
      <c r="C176" s="81">
        <v>96</v>
      </c>
      <c r="D176" s="81" t="s">
        <v>367</v>
      </c>
      <c r="E176" s="81" t="s">
        <v>37</v>
      </c>
      <c r="F176" s="81" t="s">
        <v>102</v>
      </c>
      <c r="G176" s="81" t="s">
        <v>115</v>
      </c>
      <c r="H176" s="81">
        <v>1</v>
      </c>
    </row>
    <row r="177" spans="2:8">
      <c r="B177" s="81" t="s">
        <v>1911</v>
      </c>
      <c r="C177" s="81">
        <v>105</v>
      </c>
      <c r="D177" s="81" t="s">
        <v>378</v>
      </c>
      <c r="E177" s="81" t="s">
        <v>37</v>
      </c>
      <c r="F177" s="81" t="s">
        <v>102</v>
      </c>
      <c r="G177" s="81" t="s">
        <v>115</v>
      </c>
      <c r="H177" s="81">
        <v>1</v>
      </c>
    </row>
    <row r="178" spans="2:8">
      <c r="B178" s="81" t="s">
        <v>1912</v>
      </c>
      <c r="C178" s="81">
        <v>136</v>
      </c>
      <c r="D178" s="81" t="s">
        <v>445</v>
      </c>
      <c r="E178" s="81" t="s">
        <v>37</v>
      </c>
      <c r="F178" s="81" t="s">
        <v>102</v>
      </c>
      <c r="G178" s="81" t="s">
        <v>115</v>
      </c>
      <c r="H178" s="81">
        <v>1</v>
      </c>
    </row>
    <row r="179" spans="2:8">
      <c r="B179" s="81" t="s">
        <v>1913</v>
      </c>
      <c r="C179" s="81">
        <v>150</v>
      </c>
      <c r="D179" s="81" t="s">
        <v>469</v>
      </c>
      <c r="E179" s="81" t="s">
        <v>37</v>
      </c>
      <c r="F179" s="81" t="s">
        <v>102</v>
      </c>
      <c r="G179" s="81" t="s">
        <v>115</v>
      </c>
      <c r="H179" s="81">
        <v>1</v>
      </c>
    </row>
    <row r="180" spans="2:8">
      <c r="B180" s="81" t="s">
        <v>1914</v>
      </c>
      <c r="C180" s="81">
        <v>156</v>
      </c>
      <c r="D180" s="81" t="s">
        <v>476</v>
      </c>
      <c r="E180" s="81" t="s">
        <v>37</v>
      </c>
      <c r="F180" s="81" t="s">
        <v>102</v>
      </c>
      <c r="G180" s="81" t="s">
        <v>115</v>
      </c>
      <c r="H180" s="81">
        <v>1</v>
      </c>
    </row>
    <row r="181" spans="2:8">
      <c r="B181" s="81" t="s">
        <v>1915</v>
      </c>
      <c r="C181" s="81">
        <v>159</v>
      </c>
      <c r="D181" s="81" t="s">
        <v>481</v>
      </c>
      <c r="E181" s="81" t="s">
        <v>37</v>
      </c>
      <c r="F181" s="81" t="s">
        <v>102</v>
      </c>
      <c r="G181" s="81" t="s">
        <v>115</v>
      </c>
      <c r="H181" s="81">
        <v>1</v>
      </c>
    </row>
    <row r="182" spans="2:8">
      <c r="B182" s="81" t="s">
        <v>1916</v>
      </c>
      <c r="C182" s="81">
        <v>174</v>
      </c>
      <c r="D182" s="81" t="s">
        <v>508</v>
      </c>
      <c r="E182" s="81" t="s">
        <v>37</v>
      </c>
      <c r="F182" s="81" t="s">
        <v>102</v>
      </c>
      <c r="G182" s="81" t="s">
        <v>115</v>
      </c>
      <c r="H182" s="81">
        <v>1</v>
      </c>
    </row>
    <row r="183" spans="2:8">
      <c r="B183" s="81" t="s">
        <v>1917</v>
      </c>
      <c r="C183" s="81">
        <v>182</v>
      </c>
      <c r="D183" s="81" t="s">
        <v>520</v>
      </c>
      <c r="E183" s="81" t="s">
        <v>37</v>
      </c>
      <c r="F183" s="81" t="s">
        <v>102</v>
      </c>
      <c r="G183" s="81" t="s">
        <v>115</v>
      </c>
      <c r="H183" s="81">
        <v>1</v>
      </c>
    </row>
    <row r="184" spans="2:8">
      <c r="B184" s="81" t="s">
        <v>1918</v>
      </c>
      <c r="C184" s="81">
        <v>186</v>
      </c>
      <c r="D184" s="81" t="s">
        <v>526</v>
      </c>
      <c r="E184" s="81" t="s">
        <v>37</v>
      </c>
      <c r="F184" s="81" t="s">
        <v>102</v>
      </c>
      <c r="G184" s="81" t="s">
        <v>115</v>
      </c>
      <c r="H184" s="81">
        <v>1</v>
      </c>
    </row>
    <row r="185" spans="2:8">
      <c r="B185" s="81" t="s">
        <v>1919</v>
      </c>
      <c r="C185" s="81">
        <v>187</v>
      </c>
      <c r="D185" s="81" t="s">
        <v>527</v>
      </c>
      <c r="E185" s="81" t="s">
        <v>37</v>
      </c>
      <c r="F185" s="81" t="s">
        <v>102</v>
      </c>
      <c r="G185" s="81" t="s">
        <v>115</v>
      </c>
      <c r="H185" s="81">
        <v>1</v>
      </c>
    </row>
    <row r="186" spans="2:8">
      <c r="B186" s="81" t="s">
        <v>1920</v>
      </c>
      <c r="C186" s="81">
        <v>530</v>
      </c>
      <c r="D186" s="81" t="s">
        <v>1170</v>
      </c>
      <c r="E186" s="81" t="s">
        <v>37</v>
      </c>
      <c r="F186" s="81" t="s">
        <v>102</v>
      </c>
      <c r="G186" s="81" t="s">
        <v>115</v>
      </c>
      <c r="H186" s="81">
        <v>1</v>
      </c>
    </row>
    <row r="187" spans="2:8">
      <c r="B187" s="81" t="s">
        <v>1921</v>
      </c>
      <c r="C187" s="81">
        <v>96</v>
      </c>
      <c r="D187" s="81" t="s">
        <v>367</v>
      </c>
      <c r="E187" s="81" t="s">
        <v>37</v>
      </c>
      <c r="F187" s="81" t="s">
        <v>102</v>
      </c>
      <c r="G187" s="81" t="s">
        <v>118</v>
      </c>
      <c r="H187" s="81">
        <v>1</v>
      </c>
    </row>
    <row r="188" spans="2:8">
      <c r="B188" s="81" t="s">
        <v>1922</v>
      </c>
      <c r="C188" s="81">
        <v>105</v>
      </c>
      <c r="D188" s="81" t="s">
        <v>378</v>
      </c>
      <c r="E188" s="81" t="s">
        <v>37</v>
      </c>
      <c r="F188" s="81" t="s">
        <v>102</v>
      </c>
      <c r="G188" s="81" t="s">
        <v>118</v>
      </c>
      <c r="H188" s="81">
        <v>1</v>
      </c>
    </row>
    <row r="189" spans="2:8">
      <c r="B189" s="81" t="s">
        <v>1923</v>
      </c>
      <c r="C189" s="81">
        <v>136</v>
      </c>
      <c r="D189" s="81" t="s">
        <v>445</v>
      </c>
      <c r="E189" s="81" t="s">
        <v>37</v>
      </c>
      <c r="F189" s="81" t="s">
        <v>102</v>
      </c>
      <c r="G189" s="81" t="s">
        <v>118</v>
      </c>
      <c r="H189" s="81">
        <v>1</v>
      </c>
    </row>
    <row r="190" spans="2:8">
      <c r="B190" s="81" t="s">
        <v>1924</v>
      </c>
      <c r="C190" s="81">
        <v>150</v>
      </c>
      <c r="D190" s="81" t="s">
        <v>469</v>
      </c>
      <c r="E190" s="81" t="s">
        <v>37</v>
      </c>
      <c r="F190" s="81" t="s">
        <v>102</v>
      </c>
      <c r="G190" s="81" t="s">
        <v>118</v>
      </c>
      <c r="H190" s="81">
        <v>1</v>
      </c>
    </row>
    <row r="191" spans="2:8">
      <c r="B191" s="81" t="s">
        <v>1925</v>
      </c>
      <c r="C191" s="81">
        <v>156</v>
      </c>
      <c r="D191" s="81" t="s">
        <v>476</v>
      </c>
      <c r="E191" s="81" t="s">
        <v>37</v>
      </c>
      <c r="F191" s="81" t="s">
        <v>102</v>
      </c>
      <c r="G191" s="81" t="s">
        <v>118</v>
      </c>
      <c r="H191" s="81">
        <v>1</v>
      </c>
    </row>
    <row r="192" spans="2:8">
      <c r="B192" s="81" t="s">
        <v>1926</v>
      </c>
      <c r="C192" s="81">
        <v>159</v>
      </c>
      <c r="D192" s="81" t="s">
        <v>481</v>
      </c>
      <c r="E192" s="81" t="s">
        <v>37</v>
      </c>
      <c r="F192" s="81" t="s">
        <v>102</v>
      </c>
      <c r="G192" s="81" t="s">
        <v>118</v>
      </c>
      <c r="H192" s="81">
        <v>1</v>
      </c>
    </row>
    <row r="193" spans="2:8">
      <c r="B193" s="81" t="s">
        <v>1927</v>
      </c>
      <c r="C193" s="81">
        <v>174</v>
      </c>
      <c r="D193" s="81" t="s">
        <v>508</v>
      </c>
      <c r="E193" s="81" t="s">
        <v>37</v>
      </c>
      <c r="F193" s="81" t="s">
        <v>102</v>
      </c>
      <c r="G193" s="81" t="s">
        <v>118</v>
      </c>
      <c r="H193" s="81">
        <v>1</v>
      </c>
    </row>
    <row r="194" spans="2:8">
      <c r="B194" s="81" t="s">
        <v>1928</v>
      </c>
      <c r="C194" s="81">
        <v>182</v>
      </c>
      <c r="D194" s="81" t="s">
        <v>520</v>
      </c>
      <c r="E194" s="81" t="s">
        <v>37</v>
      </c>
      <c r="F194" s="81" t="s">
        <v>102</v>
      </c>
      <c r="G194" s="81" t="s">
        <v>118</v>
      </c>
      <c r="H194" s="81">
        <v>1</v>
      </c>
    </row>
    <row r="195" spans="2:8">
      <c r="B195" s="81" t="s">
        <v>1929</v>
      </c>
      <c r="C195" s="81">
        <v>186</v>
      </c>
      <c r="D195" s="81" t="s">
        <v>526</v>
      </c>
      <c r="E195" s="81" t="s">
        <v>37</v>
      </c>
      <c r="F195" s="81" t="s">
        <v>102</v>
      </c>
      <c r="G195" s="81" t="s">
        <v>118</v>
      </c>
      <c r="H195" s="81">
        <v>1</v>
      </c>
    </row>
    <row r="196" spans="2:8">
      <c r="B196" s="81" t="s">
        <v>1930</v>
      </c>
      <c r="C196" s="81">
        <v>187</v>
      </c>
      <c r="D196" s="81" t="s">
        <v>527</v>
      </c>
      <c r="E196" s="81" t="s">
        <v>37</v>
      </c>
      <c r="F196" s="81" t="s">
        <v>102</v>
      </c>
      <c r="G196" s="81" t="s">
        <v>118</v>
      </c>
      <c r="H196" s="81">
        <v>1</v>
      </c>
    </row>
    <row r="197" spans="2:8">
      <c r="B197" s="81" t="s">
        <v>1931</v>
      </c>
      <c r="C197" s="81">
        <v>530</v>
      </c>
      <c r="D197" s="81" t="s">
        <v>1170</v>
      </c>
      <c r="E197" s="81" t="s">
        <v>37</v>
      </c>
      <c r="F197" s="81" t="s">
        <v>102</v>
      </c>
      <c r="G197" s="81" t="s">
        <v>118</v>
      </c>
      <c r="H197" s="81">
        <v>1</v>
      </c>
    </row>
    <row r="198" spans="2:8">
      <c r="B198" s="81" t="s">
        <v>1932</v>
      </c>
      <c r="C198" s="81">
        <v>96</v>
      </c>
      <c r="D198" s="81" t="s">
        <v>367</v>
      </c>
      <c r="E198" s="81" t="s">
        <v>37</v>
      </c>
      <c r="F198" s="81" t="s">
        <v>102</v>
      </c>
      <c r="G198" s="81" t="s">
        <v>117</v>
      </c>
      <c r="H198" s="81">
        <v>1</v>
      </c>
    </row>
    <row r="199" spans="2:8">
      <c r="B199" s="81" t="s">
        <v>1933</v>
      </c>
      <c r="C199" s="81">
        <v>105</v>
      </c>
      <c r="D199" s="81" t="s">
        <v>378</v>
      </c>
      <c r="E199" s="81" t="s">
        <v>37</v>
      </c>
      <c r="F199" s="81" t="s">
        <v>102</v>
      </c>
      <c r="G199" s="81" t="s">
        <v>117</v>
      </c>
      <c r="H199" s="81">
        <v>1</v>
      </c>
    </row>
    <row r="200" spans="2:8">
      <c r="B200" s="81" t="s">
        <v>1934</v>
      </c>
      <c r="C200" s="81">
        <v>136</v>
      </c>
      <c r="D200" s="81" t="s">
        <v>445</v>
      </c>
      <c r="E200" s="81" t="s">
        <v>37</v>
      </c>
      <c r="F200" s="81" t="s">
        <v>102</v>
      </c>
      <c r="G200" s="81" t="s">
        <v>117</v>
      </c>
      <c r="H200" s="81">
        <v>1</v>
      </c>
    </row>
    <row r="201" spans="2:8">
      <c r="B201" s="81" t="s">
        <v>1935</v>
      </c>
      <c r="C201" s="81">
        <v>150</v>
      </c>
      <c r="D201" s="81" t="s">
        <v>469</v>
      </c>
      <c r="E201" s="81" t="s">
        <v>37</v>
      </c>
      <c r="F201" s="81" t="s">
        <v>102</v>
      </c>
      <c r="G201" s="81" t="s">
        <v>117</v>
      </c>
      <c r="H201" s="81">
        <v>1</v>
      </c>
    </row>
    <row r="202" spans="2:8">
      <c r="B202" s="81" t="s">
        <v>1936</v>
      </c>
      <c r="C202" s="81">
        <v>156</v>
      </c>
      <c r="D202" s="81" t="s">
        <v>476</v>
      </c>
      <c r="E202" s="81" t="s">
        <v>37</v>
      </c>
      <c r="F202" s="81" t="s">
        <v>102</v>
      </c>
      <c r="G202" s="81" t="s">
        <v>117</v>
      </c>
      <c r="H202" s="81">
        <v>1</v>
      </c>
    </row>
    <row r="203" spans="2:8">
      <c r="B203" s="81" t="s">
        <v>1937</v>
      </c>
      <c r="C203" s="81">
        <v>159</v>
      </c>
      <c r="D203" s="81" t="s">
        <v>481</v>
      </c>
      <c r="E203" s="81" t="s">
        <v>37</v>
      </c>
      <c r="F203" s="81" t="s">
        <v>102</v>
      </c>
      <c r="G203" s="81" t="s">
        <v>117</v>
      </c>
      <c r="H203" s="81">
        <v>1</v>
      </c>
    </row>
    <row r="204" spans="2:8">
      <c r="B204" s="81" t="s">
        <v>1938</v>
      </c>
      <c r="C204" s="81">
        <v>174</v>
      </c>
      <c r="D204" s="81" t="s">
        <v>508</v>
      </c>
      <c r="E204" s="81" t="s">
        <v>37</v>
      </c>
      <c r="F204" s="81" t="s">
        <v>102</v>
      </c>
      <c r="G204" s="81" t="s">
        <v>117</v>
      </c>
      <c r="H204" s="81">
        <v>1</v>
      </c>
    </row>
    <row r="205" spans="2:8">
      <c r="B205" s="81" t="s">
        <v>1939</v>
      </c>
      <c r="C205" s="81">
        <v>182</v>
      </c>
      <c r="D205" s="81" t="s">
        <v>520</v>
      </c>
      <c r="E205" s="81" t="s">
        <v>37</v>
      </c>
      <c r="F205" s="81" t="s">
        <v>102</v>
      </c>
      <c r="G205" s="81" t="s">
        <v>117</v>
      </c>
      <c r="H205" s="81">
        <v>1</v>
      </c>
    </row>
    <row r="206" spans="2:8">
      <c r="B206" s="81" t="s">
        <v>1940</v>
      </c>
      <c r="C206" s="81">
        <v>186</v>
      </c>
      <c r="D206" s="81" t="s">
        <v>526</v>
      </c>
      <c r="E206" s="81" t="s">
        <v>37</v>
      </c>
      <c r="F206" s="81" t="s">
        <v>102</v>
      </c>
      <c r="G206" s="81" t="s">
        <v>117</v>
      </c>
      <c r="H206" s="81">
        <v>1</v>
      </c>
    </row>
    <row r="207" spans="2:8">
      <c r="B207" s="81" t="s">
        <v>1941</v>
      </c>
      <c r="C207" s="81">
        <v>187</v>
      </c>
      <c r="D207" s="81" t="s">
        <v>527</v>
      </c>
      <c r="E207" s="81" t="s">
        <v>37</v>
      </c>
      <c r="F207" s="81" t="s">
        <v>102</v>
      </c>
      <c r="G207" s="81" t="s">
        <v>117</v>
      </c>
      <c r="H207" s="81">
        <v>1</v>
      </c>
    </row>
    <row r="208" spans="2:8">
      <c r="B208" s="81" t="s">
        <v>1942</v>
      </c>
      <c r="C208" s="81">
        <v>530</v>
      </c>
      <c r="D208" s="81" t="s">
        <v>1170</v>
      </c>
      <c r="E208" s="81" t="s">
        <v>37</v>
      </c>
      <c r="F208" s="81" t="s">
        <v>102</v>
      </c>
      <c r="G208" s="81" t="s">
        <v>117</v>
      </c>
      <c r="H208" s="81">
        <v>1</v>
      </c>
    </row>
    <row r="209" spans="2:8">
      <c r="B209" s="81" t="s">
        <v>1943</v>
      </c>
      <c r="C209" s="81">
        <v>96</v>
      </c>
      <c r="D209" s="81" t="s">
        <v>367</v>
      </c>
      <c r="E209" s="81" t="s">
        <v>37</v>
      </c>
      <c r="F209" s="81" t="s">
        <v>102</v>
      </c>
      <c r="G209" s="81" t="s">
        <v>114</v>
      </c>
      <c r="H209" s="81">
        <v>1</v>
      </c>
    </row>
    <row r="210" spans="2:8">
      <c r="B210" s="81" t="s">
        <v>1944</v>
      </c>
      <c r="C210" s="81">
        <v>105</v>
      </c>
      <c r="D210" s="81" t="s">
        <v>378</v>
      </c>
      <c r="E210" s="81" t="s">
        <v>37</v>
      </c>
      <c r="F210" s="81" t="s">
        <v>102</v>
      </c>
      <c r="G210" s="81" t="s">
        <v>114</v>
      </c>
      <c r="H210" s="81">
        <v>1</v>
      </c>
    </row>
    <row r="211" spans="2:8">
      <c r="B211" s="81" t="s">
        <v>1945</v>
      </c>
      <c r="C211" s="81">
        <v>136</v>
      </c>
      <c r="D211" s="81" t="s">
        <v>445</v>
      </c>
      <c r="E211" s="81" t="s">
        <v>37</v>
      </c>
      <c r="F211" s="81" t="s">
        <v>102</v>
      </c>
      <c r="G211" s="81" t="s">
        <v>114</v>
      </c>
      <c r="H211" s="81">
        <v>1</v>
      </c>
    </row>
    <row r="212" spans="2:8">
      <c r="B212" s="81" t="s">
        <v>1946</v>
      </c>
      <c r="C212" s="81">
        <v>150</v>
      </c>
      <c r="D212" s="81" t="s">
        <v>469</v>
      </c>
      <c r="E212" s="81" t="s">
        <v>37</v>
      </c>
      <c r="F212" s="81" t="s">
        <v>102</v>
      </c>
      <c r="G212" s="81" t="s">
        <v>114</v>
      </c>
      <c r="H212" s="81">
        <v>1</v>
      </c>
    </row>
    <row r="213" spans="2:8">
      <c r="B213" s="81" t="s">
        <v>1947</v>
      </c>
      <c r="C213" s="81">
        <v>156</v>
      </c>
      <c r="D213" s="81" t="s">
        <v>476</v>
      </c>
      <c r="E213" s="81" t="s">
        <v>37</v>
      </c>
      <c r="F213" s="81" t="s">
        <v>102</v>
      </c>
      <c r="G213" s="81" t="s">
        <v>114</v>
      </c>
      <c r="H213" s="81">
        <v>1</v>
      </c>
    </row>
    <row r="214" spans="2:8">
      <c r="B214" s="81" t="s">
        <v>1948</v>
      </c>
      <c r="C214" s="81">
        <v>159</v>
      </c>
      <c r="D214" s="81" t="s">
        <v>481</v>
      </c>
      <c r="E214" s="81" t="s">
        <v>37</v>
      </c>
      <c r="F214" s="81" t="s">
        <v>102</v>
      </c>
      <c r="G214" s="81" t="s">
        <v>114</v>
      </c>
      <c r="H214" s="81">
        <v>1</v>
      </c>
    </row>
    <row r="215" spans="2:8">
      <c r="B215" s="81" t="s">
        <v>1949</v>
      </c>
      <c r="C215" s="81">
        <v>174</v>
      </c>
      <c r="D215" s="81" t="s">
        <v>508</v>
      </c>
      <c r="E215" s="81" t="s">
        <v>37</v>
      </c>
      <c r="F215" s="81" t="s">
        <v>102</v>
      </c>
      <c r="G215" s="81" t="s">
        <v>114</v>
      </c>
      <c r="H215" s="81">
        <v>1</v>
      </c>
    </row>
    <row r="216" spans="2:8">
      <c r="B216" s="81" t="s">
        <v>1950</v>
      </c>
      <c r="C216" s="81">
        <v>182</v>
      </c>
      <c r="D216" s="81" t="s">
        <v>520</v>
      </c>
      <c r="E216" s="81" t="s">
        <v>37</v>
      </c>
      <c r="F216" s="81" t="s">
        <v>102</v>
      </c>
      <c r="G216" s="81" t="s">
        <v>114</v>
      </c>
      <c r="H216" s="81">
        <v>1</v>
      </c>
    </row>
    <row r="217" spans="2:8">
      <c r="B217" s="81" t="s">
        <v>1951</v>
      </c>
      <c r="C217" s="81">
        <v>186</v>
      </c>
      <c r="D217" s="81" t="s">
        <v>526</v>
      </c>
      <c r="E217" s="81" t="s">
        <v>37</v>
      </c>
      <c r="F217" s="81" t="s">
        <v>102</v>
      </c>
      <c r="G217" s="81" t="s">
        <v>114</v>
      </c>
      <c r="H217" s="81">
        <v>1</v>
      </c>
    </row>
    <row r="218" spans="2:8">
      <c r="B218" s="81" t="s">
        <v>1952</v>
      </c>
      <c r="C218" s="81">
        <v>187</v>
      </c>
      <c r="D218" s="81" t="s">
        <v>527</v>
      </c>
      <c r="E218" s="81" t="s">
        <v>37</v>
      </c>
      <c r="F218" s="81" t="s">
        <v>102</v>
      </c>
      <c r="G218" s="81" t="s">
        <v>114</v>
      </c>
      <c r="H218" s="81">
        <v>1</v>
      </c>
    </row>
    <row r="219" spans="2:8">
      <c r="B219" s="81" t="s">
        <v>1953</v>
      </c>
      <c r="C219" s="81">
        <v>530</v>
      </c>
      <c r="D219" s="81" t="s">
        <v>1170</v>
      </c>
      <c r="E219" s="81" t="s">
        <v>37</v>
      </c>
      <c r="F219" s="81" t="s">
        <v>102</v>
      </c>
      <c r="G219" s="81" t="s">
        <v>114</v>
      </c>
      <c r="H219" s="81">
        <v>1</v>
      </c>
    </row>
    <row r="220" spans="2:8">
      <c r="B220" s="81" t="s">
        <v>2074</v>
      </c>
      <c r="C220" s="81">
        <v>96</v>
      </c>
      <c r="D220" s="81" t="s">
        <v>367</v>
      </c>
      <c r="E220" s="81" t="s">
        <v>37</v>
      </c>
      <c r="F220" s="81" t="s">
        <v>102</v>
      </c>
      <c r="G220" s="81" t="s">
        <v>113</v>
      </c>
      <c r="H220" s="81">
        <v>1</v>
      </c>
    </row>
    <row r="221" spans="2:8">
      <c r="B221" s="81" t="s">
        <v>2075</v>
      </c>
      <c r="C221" s="81">
        <v>105</v>
      </c>
      <c r="D221" s="81" t="s">
        <v>378</v>
      </c>
      <c r="E221" s="81" t="s">
        <v>37</v>
      </c>
      <c r="F221" s="81" t="s">
        <v>102</v>
      </c>
      <c r="G221" s="81" t="s">
        <v>113</v>
      </c>
      <c r="H221" s="81">
        <v>1</v>
      </c>
    </row>
    <row r="222" spans="2:8">
      <c r="B222" s="81" t="s">
        <v>2076</v>
      </c>
      <c r="C222" s="81">
        <v>136</v>
      </c>
      <c r="D222" s="81" t="s">
        <v>445</v>
      </c>
      <c r="E222" s="81" t="s">
        <v>37</v>
      </c>
      <c r="F222" s="81" t="s">
        <v>102</v>
      </c>
      <c r="G222" s="81" t="s">
        <v>113</v>
      </c>
      <c r="H222" s="81">
        <v>1</v>
      </c>
    </row>
    <row r="223" spans="2:8">
      <c r="B223" s="81" t="s">
        <v>2077</v>
      </c>
      <c r="C223" s="81">
        <v>150</v>
      </c>
      <c r="D223" s="81" t="s">
        <v>469</v>
      </c>
      <c r="E223" s="81" t="s">
        <v>37</v>
      </c>
      <c r="F223" s="81" t="s">
        <v>102</v>
      </c>
      <c r="G223" s="81" t="s">
        <v>113</v>
      </c>
      <c r="H223" s="81">
        <v>1</v>
      </c>
    </row>
    <row r="224" spans="2:8">
      <c r="B224" s="81" t="s">
        <v>2078</v>
      </c>
      <c r="C224" s="81">
        <v>156</v>
      </c>
      <c r="D224" s="81" t="s">
        <v>476</v>
      </c>
      <c r="E224" s="81" t="s">
        <v>37</v>
      </c>
      <c r="F224" s="81" t="s">
        <v>102</v>
      </c>
      <c r="G224" s="81" t="s">
        <v>113</v>
      </c>
      <c r="H224" s="81">
        <v>1</v>
      </c>
    </row>
    <row r="225" spans="2:8">
      <c r="B225" s="81" t="s">
        <v>2079</v>
      </c>
      <c r="C225" s="81">
        <v>159</v>
      </c>
      <c r="D225" s="81" t="s">
        <v>481</v>
      </c>
      <c r="E225" s="81" t="s">
        <v>37</v>
      </c>
      <c r="F225" s="81" t="s">
        <v>102</v>
      </c>
      <c r="G225" s="81" t="s">
        <v>113</v>
      </c>
      <c r="H225" s="81">
        <v>1</v>
      </c>
    </row>
    <row r="226" spans="2:8">
      <c r="B226" s="81" t="s">
        <v>2080</v>
      </c>
      <c r="C226" s="81">
        <v>174</v>
      </c>
      <c r="D226" s="81" t="s">
        <v>508</v>
      </c>
      <c r="E226" s="81" t="s">
        <v>37</v>
      </c>
      <c r="F226" s="81" t="s">
        <v>102</v>
      </c>
      <c r="G226" s="81" t="s">
        <v>113</v>
      </c>
      <c r="H226" s="81">
        <v>1</v>
      </c>
    </row>
    <row r="227" spans="2:8">
      <c r="B227" s="81" t="s">
        <v>2081</v>
      </c>
      <c r="C227" s="81">
        <v>182</v>
      </c>
      <c r="D227" s="81" t="s">
        <v>520</v>
      </c>
      <c r="E227" s="81" t="s">
        <v>37</v>
      </c>
      <c r="F227" s="81" t="s">
        <v>102</v>
      </c>
      <c r="G227" s="81" t="s">
        <v>113</v>
      </c>
      <c r="H227" s="81">
        <v>1</v>
      </c>
    </row>
    <row r="228" spans="2:8">
      <c r="B228" s="81" t="s">
        <v>2082</v>
      </c>
      <c r="C228" s="81">
        <v>186</v>
      </c>
      <c r="D228" s="81" t="s">
        <v>526</v>
      </c>
      <c r="E228" s="81" t="s">
        <v>37</v>
      </c>
      <c r="F228" s="81" t="s">
        <v>102</v>
      </c>
      <c r="G228" s="81" t="s">
        <v>113</v>
      </c>
      <c r="H228" s="81">
        <v>1</v>
      </c>
    </row>
    <row r="229" spans="2:8">
      <c r="B229" s="81" t="s">
        <v>2083</v>
      </c>
      <c r="C229" s="81">
        <v>187</v>
      </c>
      <c r="D229" s="81" t="s">
        <v>527</v>
      </c>
      <c r="E229" s="81" t="s">
        <v>37</v>
      </c>
      <c r="F229" s="81" t="s">
        <v>102</v>
      </c>
      <c r="G229" s="81" t="s">
        <v>113</v>
      </c>
      <c r="H229" s="81">
        <v>1</v>
      </c>
    </row>
    <row r="230" spans="2:8">
      <c r="B230" s="81" t="s">
        <v>2084</v>
      </c>
      <c r="C230" s="81">
        <v>530</v>
      </c>
      <c r="D230" s="81" t="s">
        <v>1170</v>
      </c>
      <c r="E230" s="81" t="s">
        <v>37</v>
      </c>
      <c r="F230" s="81" t="s">
        <v>102</v>
      </c>
      <c r="G230" s="81" t="s">
        <v>113</v>
      </c>
      <c r="H230" s="81">
        <v>1</v>
      </c>
    </row>
    <row r="231" spans="2:8">
      <c r="B231" s="81" t="s">
        <v>2085</v>
      </c>
      <c r="C231" s="81">
        <v>96</v>
      </c>
      <c r="D231" s="81" t="s">
        <v>367</v>
      </c>
      <c r="E231" s="81" t="s">
        <v>37</v>
      </c>
      <c r="F231" s="81" t="s">
        <v>102</v>
      </c>
      <c r="G231" s="81" t="s">
        <v>112</v>
      </c>
      <c r="H231" s="81">
        <v>1</v>
      </c>
    </row>
    <row r="232" spans="2:8">
      <c r="B232" s="81" t="s">
        <v>2086</v>
      </c>
      <c r="C232" s="81">
        <v>105</v>
      </c>
      <c r="D232" s="81" t="s">
        <v>378</v>
      </c>
      <c r="E232" s="81" t="s">
        <v>37</v>
      </c>
      <c r="F232" s="81" t="s">
        <v>102</v>
      </c>
      <c r="G232" s="81" t="s">
        <v>112</v>
      </c>
      <c r="H232" s="81">
        <v>1</v>
      </c>
    </row>
    <row r="233" spans="2:8">
      <c r="B233" s="81" t="s">
        <v>2087</v>
      </c>
      <c r="C233" s="81">
        <v>150</v>
      </c>
      <c r="D233" s="81" t="s">
        <v>469</v>
      </c>
      <c r="E233" s="81" t="s">
        <v>37</v>
      </c>
      <c r="F233" s="81" t="s">
        <v>102</v>
      </c>
      <c r="G233" s="81" t="s">
        <v>112</v>
      </c>
      <c r="H233" s="81">
        <v>1</v>
      </c>
    </row>
    <row r="234" spans="2:8">
      <c r="B234" s="81" t="s">
        <v>2088</v>
      </c>
      <c r="C234" s="81">
        <v>156</v>
      </c>
      <c r="D234" s="81" t="s">
        <v>476</v>
      </c>
      <c r="E234" s="81" t="s">
        <v>37</v>
      </c>
      <c r="F234" s="81" t="s">
        <v>102</v>
      </c>
      <c r="G234" s="81" t="s">
        <v>112</v>
      </c>
      <c r="H234" s="81">
        <v>1</v>
      </c>
    </row>
    <row r="235" spans="2:8">
      <c r="B235" s="81" t="s">
        <v>2089</v>
      </c>
      <c r="C235" s="81">
        <v>159</v>
      </c>
      <c r="D235" s="81" t="s">
        <v>481</v>
      </c>
      <c r="E235" s="81" t="s">
        <v>37</v>
      </c>
      <c r="F235" s="81" t="s">
        <v>102</v>
      </c>
      <c r="G235" s="81" t="s">
        <v>112</v>
      </c>
      <c r="H235" s="81">
        <v>1</v>
      </c>
    </row>
    <row r="236" spans="2:8">
      <c r="B236" s="81" t="s">
        <v>2090</v>
      </c>
      <c r="C236" s="81">
        <v>174</v>
      </c>
      <c r="D236" s="81" t="s">
        <v>508</v>
      </c>
      <c r="E236" s="81" t="s">
        <v>37</v>
      </c>
      <c r="F236" s="81" t="s">
        <v>102</v>
      </c>
      <c r="G236" s="81" t="s">
        <v>112</v>
      </c>
      <c r="H236" s="81">
        <v>1</v>
      </c>
    </row>
    <row r="237" spans="2:8">
      <c r="B237" s="81" t="s">
        <v>2091</v>
      </c>
      <c r="C237" s="81">
        <v>182</v>
      </c>
      <c r="D237" s="81" t="s">
        <v>520</v>
      </c>
      <c r="E237" s="81" t="s">
        <v>37</v>
      </c>
      <c r="F237" s="81" t="s">
        <v>102</v>
      </c>
      <c r="G237" s="81" t="s">
        <v>112</v>
      </c>
      <c r="H237" s="81">
        <v>1</v>
      </c>
    </row>
    <row r="238" spans="2:8">
      <c r="B238" s="81" t="s">
        <v>2092</v>
      </c>
      <c r="C238" s="81">
        <v>186</v>
      </c>
      <c r="D238" s="81" t="s">
        <v>526</v>
      </c>
      <c r="E238" s="81" t="s">
        <v>37</v>
      </c>
      <c r="F238" s="81" t="s">
        <v>102</v>
      </c>
      <c r="G238" s="81" t="s">
        <v>112</v>
      </c>
      <c r="H238" s="81">
        <v>1</v>
      </c>
    </row>
    <row r="239" spans="2:8">
      <c r="B239" s="81" t="s">
        <v>2093</v>
      </c>
      <c r="C239" s="81">
        <v>187</v>
      </c>
      <c r="D239" s="81" t="s">
        <v>527</v>
      </c>
      <c r="E239" s="81" t="s">
        <v>37</v>
      </c>
      <c r="F239" s="81" t="s">
        <v>102</v>
      </c>
      <c r="G239" s="81" t="s">
        <v>112</v>
      </c>
      <c r="H239" s="81">
        <v>1</v>
      </c>
    </row>
    <row r="240" spans="2:8">
      <c r="B240" s="81" t="s">
        <v>2094</v>
      </c>
      <c r="C240" s="81">
        <v>530</v>
      </c>
      <c r="D240" s="81" t="s">
        <v>1170</v>
      </c>
      <c r="E240" s="81" t="s">
        <v>37</v>
      </c>
      <c r="F240" s="81" t="s">
        <v>102</v>
      </c>
      <c r="G240" s="81" t="s">
        <v>112</v>
      </c>
      <c r="H240" s="81">
        <v>1</v>
      </c>
    </row>
    <row r="241" spans="2:8">
      <c r="B241" s="81" t="s">
        <v>2095</v>
      </c>
      <c r="C241" s="81">
        <v>96</v>
      </c>
      <c r="D241" s="81" t="s">
        <v>367</v>
      </c>
      <c r="E241" s="81" t="s">
        <v>37</v>
      </c>
      <c r="F241" s="81" t="s">
        <v>102</v>
      </c>
      <c r="G241" s="81" t="s">
        <v>4</v>
      </c>
      <c r="H241" s="81">
        <v>1</v>
      </c>
    </row>
    <row r="242" spans="2:8">
      <c r="B242" s="81" t="s">
        <v>2096</v>
      </c>
      <c r="C242" s="81">
        <v>105</v>
      </c>
      <c r="D242" s="81" t="s">
        <v>378</v>
      </c>
      <c r="E242" s="81" t="s">
        <v>37</v>
      </c>
      <c r="F242" s="81" t="s">
        <v>102</v>
      </c>
      <c r="G242" s="81" t="s">
        <v>4</v>
      </c>
      <c r="H242" s="81">
        <v>1</v>
      </c>
    </row>
    <row r="243" spans="2:8">
      <c r="B243" s="81" t="s">
        <v>2097</v>
      </c>
      <c r="C243" s="81">
        <v>150</v>
      </c>
      <c r="D243" s="81" t="s">
        <v>469</v>
      </c>
      <c r="E243" s="81" t="s">
        <v>37</v>
      </c>
      <c r="F243" s="81" t="s">
        <v>102</v>
      </c>
      <c r="G243" s="81" t="s">
        <v>4</v>
      </c>
      <c r="H243" s="81">
        <v>1</v>
      </c>
    </row>
    <row r="244" spans="2:8">
      <c r="B244" s="81" t="s">
        <v>2098</v>
      </c>
      <c r="C244" s="81">
        <v>156</v>
      </c>
      <c r="D244" s="81" t="s">
        <v>476</v>
      </c>
      <c r="E244" s="81" t="s">
        <v>37</v>
      </c>
      <c r="F244" s="81" t="s">
        <v>102</v>
      </c>
      <c r="G244" s="81" t="s">
        <v>4</v>
      </c>
      <c r="H244" s="81">
        <v>1</v>
      </c>
    </row>
    <row r="245" spans="2:8">
      <c r="B245" s="81" t="s">
        <v>2099</v>
      </c>
      <c r="C245" s="81">
        <v>159</v>
      </c>
      <c r="D245" s="81" t="s">
        <v>481</v>
      </c>
      <c r="E245" s="81" t="s">
        <v>37</v>
      </c>
      <c r="F245" s="81" t="s">
        <v>102</v>
      </c>
      <c r="G245" s="81" t="s">
        <v>4</v>
      </c>
      <c r="H245" s="81">
        <v>1</v>
      </c>
    </row>
    <row r="246" spans="2:8">
      <c r="B246" s="81" t="s">
        <v>2100</v>
      </c>
      <c r="C246" s="81">
        <v>174</v>
      </c>
      <c r="D246" s="81" t="s">
        <v>508</v>
      </c>
      <c r="E246" s="81" t="s">
        <v>37</v>
      </c>
      <c r="F246" s="81" t="s">
        <v>102</v>
      </c>
      <c r="G246" s="81" t="s">
        <v>4</v>
      </c>
      <c r="H246" s="81">
        <v>1</v>
      </c>
    </row>
    <row r="247" spans="2:8">
      <c r="B247" s="81" t="s">
        <v>2101</v>
      </c>
      <c r="C247" s="81">
        <v>182</v>
      </c>
      <c r="D247" s="81" t="s">
        <v>520</v>
      </c>
      <c r="E247" s="81" t="s">
        <v>37</v>
      </c>
      <c r="F247" s="81" t="s">
        <v>102</v>
      </c>
      <c r="G247" s="81" t="s">
        <v>4</v>
      </c>
      <c r="H247" s="81">
        <v>1</v>
      </c>
    </row>
    <row r="248" spans="2:8">
      <c r="B248" s="81" t="s">
        <v>2102</v>
      </c>
      <c r="C248" s="81">
        <v>186</v>
      </c>
      <c r="D248" s="81" t="s">
        <v>526</v>
      </c>
      <c r="E248" s="81" t="s">
        <v>37</v>
      </c>
      <c r="F248" s="81" t="s">
        <v>102</v>
      </c>
      <c r="G248" s="81" t="s">
        <v>4</v>
      </c>
      <c r="H248" s="81">
        <v>1</v>
      </c>
    </row>
    <row r="249" spans="2:8">
      <c r="B249" s="81" t="s">
        <v>2103</v>
      </c>
      <c r="C249" s="81">
        <v>187</v>
      </c>
      <c r="D249" s="81" t="s">
        <v>527</v>
      </c>
      <c r="E249" s="81" t="s">
        <v>37</v>
      </c>
      <c r="F249" s="81" t="s">
        <v>102</v>
      </c>
      <c r="G249" s="81" t="s">
        <v>4</v>
      </c>
      <c r="H249" s="81">
        <v>1</v>
      </c>
    </row>
    <row r="250" spans="2:8">
      <c r="B250" s="81" t="s">
        <v>2104</v>
      </c>
      <c r="C250" s="81">
        <v>530</v>
      </c>
      <c r="D250" s="81" t="s">
        <v>1170</v>
      </c>
      <c r="E250" s="81" t="s">
        <v>37</v>
      </c>
      <c r="F250" s="81" t="s">
        <v>102</v>
      </c>
      <c r="G250" s="81" t="s">
        <v>4</v>
      </c>
      <c r="H250" s="81">
        <v>1</v>
      </c>
    </row>
    <row r="251" spans="2:8">
      <c r="B251" s="81" t="s">
        <v>2105</v>
      </c>
      <c r="C251" s="81">
        <v>97</v>
      </c>
      <c r="D251" s="81" t="s">
        <v>368</v>
      </c>
      <c r="E251" s="81" t="s">
        <v>37</v>
      </c>
      <c r="F251" s="81" t="s">
        <v>40</v>
      </c>
      <c r="G251" s="81" t="s">
        <v>115</v>
      </c>
      <c r="H251" s="81">
        <v>1</v>
      </c>
    </row>
    <row r="252" spans="2:8">
      <c r="B252" s="81" t="s">
        <v>2106</v>
      </c>
      <c r="C252" s="81">
        <v>100</v>
      </c>
      <c r="D252" s="81" t="s">
        <v>371</v>
      </c>
      <c r="E252" s="81" t="s">
        <v>37</v>
      </c>
      <c r="F252" s="81" t="s">
        <v>40</v>
      </c>
      <c r="G252" s="81" t="s">
        <v>115</v>
      </c>
      <c r="H252" s="81">
        <v>1</v>
      </c>
    </row>
    <row r="253" spans="2:8">
      <c r="B253" s="81" t="s">
        <v>2107</v>
      </c>
      <c r="C253" s="81">
        <v>139</v>
      </c>
      <c r="D253" s="81" t="s">
        <v>450</v>
      </c>
      <c r="E253" s="81" t="s">
        <v>37</v>
      </c>
      <c r="F253" s="81" t="s">
        <v>40</v>
      </c>
      <c r="G253" s="81" t="s">
        <v>115</v>
      </c>
      <c r="H253" s="81">
        <v>1</v>
      </c>
    </row>
    <row r="254" spans="2:8">
      <c r="B254" s="81" t="s">
        <v>2108</v>
      </c>
      <c r="C254" s="81">
        <v>151</v>
      </c>
      <c r="D254" s="81" t="s">
        <v>470</v>
      </c>
      <c r="E254" s="81" t="s">
        <v>37</v>
      </c>
      <c r="F254" s="81" t="s">
        <v>40</v>
      </c>
      <c r="G254" s="81" t="s">
        <v>115</v>
      </c>
      <c r="H254" s="81">
        <v>1</v>
      </c>
    </row>
    <row r="255" spans="2:8">
      <c r="B255" s="81" t="s">
        <v>2115</v>
      </c>
      <c r="C255" s="81">
        <v>223</v>
      </c>
      <c r="D255" s="81" t="s">
        <v>1594</v>
      </c>
      <c r="E255" s="81" t="s">
        <v>37</v>
      </c>
      <c r="F255" s="81" t="s">
        <v>40</v>
      </c>
      <c r="G255" s="81" t="s">
        <v>115</v>
      </c>
      <c r="H255" s="81">
        <v>1</v>
      </c>
    </row>
    <row r="256" spans="2:8">
      <c r="B256" s="81" t="s">
        <v>2109</v>
      </c>
      <c r="C256" s="81">
        <v>228</v>
      </c>
      <c r="D256" s="81" t="s">
        <v>618</v>
      </c>
      <c r="E256" s="81" t="s">
        <v>37</v>
      </c>
      <c r="F256" s="81" t="s">
        <v>40</v>
      </c>
      <c r="G256" s="81" t="s">
        <v>115</v>
      </c>
      <c r="H256" s="81">
        <v>1</v>
      </c>
    </row>
    <row r="257" spans="2:8">
      <c r="B257" s="81" t="s">
        <v>2110</v>
      </c>
      <c r="C257" s="81">
        <v>256</v>
      </c>
      <c r="D257" s="81" t="s">
        <v>1701</v>
      </c>
      <c r="E257" s="81" t="s">
        <v>37</v>
      </c>
      <c r="F257" s="81" t="s">
        <v>40</v>
      </c>
      <c r="G257" s="81" t="s">
        <v>115</v>
      </c>
      <c r="H257" s="81">
        <v>1</v>
      </c>
    </row>
    <row r="258" spans="2:8">
      <c r="B258" s="81" t="s">
        <v>2111</v>
      </c>
      <c r="C258" s="81">
        <v>275</v>
      </c>
      <c r="D258" s="81" t="s">
        <v>706</v>
      </c>
      <c r="E258" s="81" t="s">
        <v>37</v>
      </c>
      <c r="F258" s="81" t="s">
        <v>40</v>
      </c>
      <c r="G258" s="81" t="s">
        <v>115</v>
      </c>
      <c r="H258" s="81">
        <v>1</v>
      </c>
    </row>
    <row r="259" spans="2:8">
      <c r="B259" s="81" t="s">
        <v>2112</v>
      </c>
      <c r="C259" s="81">
        <v>284</v>
      </c>
      <c r="D259" s="81" t="s">
        <v>717</v>
      </c>
      <c r="E259" s="81" t="s">
        <v>37</v>
      </c>
      <c r="F259" s="81" t="s">
        <v>40</v>
      </c>
      <c r="G259" s="81" t="s">
        <v>115</v>
      </c>
      <c r="H259" s="81">
        <v>1</v>
      </c>
    </row>
    <row r="260" spans="2:8">
      <c r="B260" s="81" t="s">
        <v>2113</v>
      </c>
      <c r="C260" s="81">
        <v>299</v>
      </c>
      <c r="D260" s="81" t="s">
        <v>743</v>
      </c>
      <c r="E260" s="81" t="s">
        <v>37</v>
      </c>
      <c r="F260" s="81" t="s">
        <v>40</v>
      </c>
      <c r="G260" s="81" t="s">
        <v>115</v>
      </c>
      <c r="H260" s="81">
        <v>1</v>
      </c>
    </row>
    <row r="261" spans="2:8">
      <c r="B261" s="81" t="s">
        <v>2114</v>
      </c>
      <c r="C261" s="81">
        <v>524</v>
      </c>
      <c r="D261" s="81" t="s">
        <v>1160</v>
      </c>
      <c r="E261" s="81" t="s">
        <v>37</v>
      </c>
      <c r="F261" s="81" t="s">
        <v>40</v>
      </c>
      <c r="G261" s="81" t="s">
        <v>115</v>
      </c>
      <c r="H261" s="81">
        <v>1</v>
      </c>
    </row>
    <row r="262" spans="2:8">
      <c r="B262" s="81" t="s">
        <v>2116</v>
      </c>
      <c r="C262" s="81">
        <v>97</v>
      </c>
      <c r="D262" s="81" t="s">
        <v>368</v>
      </c>
      <c r="E262" s="81" t="s">
        <v>37</v>
      </c>
      <c r="F262" s="81" t="s">
        <v>40</v>
      </c>
      <c r="G262" s="81" t="s">
        <v>118</v>
      </c>
      <c r="H262" s="81">
        <v>1</v>
      </c>
    </row>
    <row r="263" spans="2:8">
      <c r="B263" s="81" t="s">
        <v>2117</v>
      </c>
      <c r="C263" s="81">
        <v>100</v>
      </c>
      <c r="D263" s="81" t="s">
        <v>371</v>
      </c>
      <c r="E263" s="81" t="s">
        <v>37</v>
      </c>
      <c r="F263" s="81" t="s">
        <v>40</v>
      </c>
      <c r="G263" s="81" t="s">
        <v>118</v>
      </c>
      <c r="H263" s="81">
        <v>1</v>
      </c>
    </row>
    <row r="264" spans="2:8">
      <c r="B264" s="81" t="s">
        <v>2118</v>
      </c>
      <c r="C264" s="81">
        <v>139</v>
      </c>
      <c r="D264" s="81" t="s">
        <v>450</v>
      </c>
      <c r="E264" s="81" t="s">
        <v>37</v>
      </c>
      <c r="F264" s="81" t="s">
        <v>40</v>
      </c>
      <c r="G264" s="81" t="s">
        <v>118</v>
      </c>
      <c r="H264" s="81">
        <v>1</v>
      </c>
    </row>
    <row r="265" spans="2:8">
      <c r="B265" s="81" t="s">
        <v>2119</v>
      </c>
      <c r="C265" s="81">
        <v>151</v>
      </c>
      <c r="D265" s="81" t="s">
        <v>470</v>
      </c>
      <c r="E265" s="81" t="s">
        <v>37</v>
      </c>
      <c r="F265" s="81" t="s">
        <v>40</v>
      </c>
      <c r="G265" s="81" t="s">
        <v>118</v>
      </c>
      <c r="H265" s="81">
        <v>1</v>
      </c>
    </row>
    <row r="266" spans="2:8">
      <c r="B266" s="81" t="s">
        <v>2120</v>
      </c>
      <c r="C266" s="81">
        <v>228</v>
      </c>
      <c r="D266" s="81" t="s">
        <v>618</v>
      </c>
      <c r="E266" s="81" t="s">
        <v>37</v>
      </c>
      <c r="F266" s="81" t="s">
        <v>40</v>
      </c>
      <c r="G266" s="81" t="s">
        <v>118</v>
      </c>
      <c r="H266" s="81">
        <v>1</v>
      </c>
    </row>
    <row r="267" spans="2:8">
      <c r="B267" s="81" t="s">
        <v>2121</v>
      </c>
      <c r="C267" s="81">
        <v>256</v>
      </c>
      <c r="D267" s="81" t="s">
        <v>1701</v>
      </c>
      <c r="E267" s="81" t="s">
        <v>37</v>
      </c>
      <c r="F267" s="81" t="s">
        <v>40</v>
      </c>
      <c r="G267" s="81" t="s">
        <v>118</v>
      </c>
      <c r="H267" s="81">
        <v>1</v>
      </c>
    </row>
    <row r="268" spans="2:8">
      <c r="B268" s="81" t="s">
        <v>2122</v>
      </c>
      <c r="C268" s="81">
        <v>275</v>
      </c>
      <c r="D268" s="81" t="s">
        <v>706</v>
      </c>
      <c r="E268" s="81" t="s">
        <v>37</v>
      </c>
      <c r="F268" s="81" t="s">
        <v>40</v>
      </c>
      <c r="G268" s="81" t="s">
        <v>118</v>
      </c>
      <c r="H268" s="81">
        <v>1</v>
      </c>
    </row>
    <row r="269" spans="2:8">
      <c r="B269" s="81" t="s">
        <v>2123</v>
      </c>
      <c r="C269" s="81">
        <v>284</v>
      </c>
      <c r="D269" s="81" t="s">
        <v>717</v>
      </c>
      <c r="E269" s="81" t="s">
        <v>37</v>
      </c>
      <c r="F269" s="81" t="s">
        <v>40</v>
      </c>
      <c r="G269" s="81" t="s">
        <v>118</v>
      </c>
      <c r="H269" s="81">
        <v>1</v>
      </c>
    </row>
    <row r="270" spans="2:8">
      <c r="B270" s="81" t="s">
        <v>2124</v>
      </c>
      <c r="C270" s="81">
        <v>299</v>
      </c>
      <c r="D270" s="81" t="s">
        <v>743</v>
      </c>
      <c r="E270" s="81" t="s">
        <v>37</v>
      </c>
      <c r="F270" s="81" t="s">
        <v>40</v>
      </c>
      <c r="G270" s="81" t="s">
        <v>118</v>
      </c>
      <c r="H270" s="81">
        <v>1</v>
      </c>
    </row>
    <row r="271" spans="2:8">
      <c r="B271" s="81" t="s">
        <v>2125</v>
      </c>
      <c r="C271" s="81">
        <v>524</v>
      </c>
      <c r="D271" s="81" t="s">
        <v>1160</v>
      </c>
      <c r="E271" s="81" t="s">
        <v>37</v>
      </c>
      <c r="F271" s="81" t="s">
        <v>40</v>
      </c>
      <c r="G271" s="81" t="s">
        <v>118</v>
      </c>
      <c r="H271" s="81">
        <v>1</v>
      </c>
    </row>
    <row r="272" spans="2:8">
      <c r="B272" s="81" t="s">
        <v>2126</v>
      </c>
      <c r="C272" s="81">
        <v>97</v>
      </c>
      <c r="D272" s="81" t="s">
        <v>368</v>
      </c>
      <c r="E272" s="81" t="s">
        <v>37</v>
      </c>
      <c r="F272" s="81" t="s">
        <v>40</v>
      </c>
      <c r="G272" s="81" t="s">
        <v>117</v>
      </c>
      <c r="H272" s="81">
        <v>1</v>
      </c>
    </row>
    <row r="273" spans="2:8">
      <c r="B273" s="81" t="s">
        <v>2127</v>
      </c>
      <c r="C273" s="81">
        <v>100</v>
      </c>
      <c r="D273" s="81" t="s">
        <v>371</v>
      </c>
      <c r="E273" s="81" t="s">
        <v>37</v>
      </c>
      <c r="F273" s="81" t="s">
        <v>40</v>
      </c>
      <c r="G273" s="81" t="s">
        <v>117</v>
      </c>
      <c r="H273" s="81">
        <v>1</v>
      </c>
    </row>
    <row r="274" spans="2:8">
      <c r="B274" s="81" t="s">
        <v>2128</v>
      </c>
      <c r="C274" s="81">
        <v>139</v>
      </c>
      <c r="D274" s="81" t="s">
        <v>450</v>
      </c>
      <c r="E274" s="81" t="s">
        <v>37</v>
      </c>
      <c r="F274" s="81" t="s">
        <v>40</v>
      </c>
      <c r="G274" s="81" t="s">
        <v>117</v>
      </c>
      <c r="H274" s="81">
        <v>1</v>
      </c>
    </row>
    <row r="275" spans="2:8">
      <c r="B275" s="81" t="s">
        <v>2129</v>
      </c>
      <c r="C275" s="81">
        <v>151</v>
      </c>
      <c r="D275" s="81" t="s">
        <v>470</v>
      </c>
      <c r="E275" s="81" t="s">
        <v>37</v>
      </c>
      <c r="F275" s="81" t="s">
        <v>40</v>
      </c>
      <c r="G275" s="81" t="s">
        <v>117</v>
      </c>
      <c r="H275" s="81">
        <v>1</v>
      </c>
    </row>
    <row r="276" spans="2:8">
      <c r="B276" s="81" t="s">
        <v>2130</v>
      </c>
      <c r="C276" s="81">
        <v>228</v>
      </c>
      <c r="D276" s="81" t="s">
        <v>618</v>
      </c>
      <c r="E276" s="81" t="s">
        <v>37</v>
      </c>
      <c r="F276" s="81" t="s">
        <v>40</v>
      </c>
      <c r="G276" s="81" t="s">
        <v>117</v>
      </c>
      <c r="H276" s="81">
        <v>1</v>
      </c>
    </row>
    <row r="277" spans="2:8">
      <c r="B277" s="81" t="s">
        <v>2131</v>
      </c>
      <c r="C277" s="81">
        <v>275</v>
      </c>
      <c r="D277" s="81" t="s">
        <v>706</v>
      </c>
      <c r="E277" s="81" t="s">
        <v>37</v>
      </c>
      <c r="F277" s="81" t="s">
        <v>40</v>
      </c>
      <c r="G277" s="81" t="s">
        <v>117</v>
      </c>
      <c r="H277" s="81">
        <v>1</v>
      </c>
    </row>
    <row r="278" spans="2:8">
      <c r="B278" s="81" t="s">
        <v>2132</v>
      </c>
      <c r="C278" s="81">
        <v>284</v>
      </c>
      <c r="D278" s="81" t="s">
        <v>717</v>
      </c>
      <c r="E278" s="81" t="s">
        <v>37</v>
      </c>
      <c r="F278" s="81" t="s">
        <v>40</v>
      </c>
      <c r="G278" s="81" t="s">
        <v>117</v>
      </c>
      <c r="H278" s="81">
        <v>1</v>
      </c>
    </row>
    <row r="279" spans="2:8">
      <c r="B279" s="81" t="s">
        <v>2133</v>
      </c>
      <c r="C279" s="81">
        <v>299</v>
      </c>
      <c r="D279" s="81" t="s">
        <v>743</v>
      </c>
      <c r="E279" s="81" t="s">
        <v>37</v>
      </c>
      <c r="F279" s="81" t="s">
        <v>40</v>
      </c>
      <c r="G279" s="81" t="s">
        <v>117</v>
      </c>
      <c r="H279" s="81">
        <v>1</v>
      </c>
    </row>
    <row r="280" spans="2:8">
      <c r="B280" s="81" t="s">
        <v>2134</v>
      </c>
      <c r="C280" s="81">
        <v>524</v>
      </c>
      <c r="D280" s="81" t="s">
        <v>1160</v>
      </c>
      <c r="E280" s="81" t="s">
        <v>37</v>
      </c>
      <c r="F280" s="81" t="s">
        <v>40</v>
      </c>
      <c r="G280" s="81" t="s">
        <v>117</v>
      </c>
      <c r="H280" s="81">
        <v>1</v>
      </c>
    </row>
    <row r="281" spans="2:8">
      <c r="B281" s="81" t="s">
        <v>2135</v>
      </c>
      <c r="C281" s="81">
        <v>97</v>
      </c>
      <c r="D281" s="81" t="s">
        <v>368</v>
      </c>
      <c r="E281" s="81" t="s">
        <v>37</v>
      </c>
      <c r="F281" s="81" t="s">
        <v>40</v>
      </c>
      <c r="G281" s="81" t="s">
        <v>114</v>
      </c>
      <c r="H281" s="81">
        <v>1</v>
      </c>
    </row>
    <row r="282" spans="2:8">
      <c r="B282" s="81" t="s">
        <v>2136</v>
      </c>
      <c r="C282" s="81">
        <v>100</v>
      </c>
      <c r="D282" s="81" t="s">
        <v>371</v>
      </c>
      <c r="E282" s="81" t="s">
        <v>37</v>
      </c>
      <c r="F282" s="81" t="s">
        <v>40</v>
      </c>
      <c r="G282" s="81" t="s">
        <v>114</v>
      </c>
      <c r="H282" s="81">
        <v>1</v>
      </c>
    </row>
    <row r="283" spans="2:8">
      <c r="B283" s="81" t="s">
        <v>2137</v>
      </c>
      <c r="C283" s="81">
        <v>139</v>
      </c>
      <c r="D283" s="81" t="s">
        <v>450</v>
      </c>
      <c r="E283" s="81" t="s">
        <v>37</v>
      </c>
      <c r="F283" s="81" t="s">
        <v>40</v>
      </c>
      <c r="G283" s="81" t="s">
        <v>114</v>
      </c>
      <c r="H283" s="81">
        <v>1</v>
      </c>
    </row>
    <row r="284" spans="2:8">
      <c r="B284" s="81" t="s">
        <v>2138</v>
      </c>
      <c r="C284" s="81">
        <v>151</v>
      </c>
      <c r="D284" s="81" t="s">
        <v>470</v>
      </c>
      <c r="E284" s="81" t="s">
        <v>37</v>
      </c>
      <c r="F284" s="81" t="s">
        <v>40</v>
      </c>
      <c r="G284" s="81" t="s">
        <v>114</v>
      </c>
      <c r="H284" s="81">
        <v>1</v>
      </c>
    </row>
    <row r="285" spans="2:8">
      <c r="B285" s="81" t="s">
        <v>2139</v>
      </c>
      <c r="C285" s="81">
        <v>228</v>
      </c>
      <c r="D285" s="81" t="s">
        <v>618</v>
      </c>
      <c r="E285" s="81" t="s">
        <v>37</v>
      </c>
      <c r="F285" s="81" t="s">
        <v>40</v>
      </c>
      <c r="G285" s="81" t="s">
        <v>114</v>
      </c>
      <c r="H285" s="81">
        <v>1</v>
      </c>
    </row>
    <row r="286" spans="2:8">
      <c r="B286" s="81" t="s">
        <v>2140</v>
      </c>
      <c r="C286" s="81">
        <v>275</v>
      </c>
      <c r="D286" s="81" t="s">
        <v>706</v>
      </c>
      <c r="E286" s="81" t="s">
        <v>37</v>
      </c>
      <c r="F286" s="81" t="s">
        <v>40</v>
      </c>
      <c r="G286" s="81" t="s">
        <v>114</v>
      </c>
      <c r="H286" s="81">
        <v>1</v>
      </c>
    </row>
    <row r="287" spans="2:8">
      <c r="B287" s="81" t="s">
        <v>2141</v>
      </c>
      <c r="C287" s="81">
        <v>284</v>
      </c>
      <c r="D287" s="81" t="s">
        <v>717</v>
      </c>
      <c r="E287" s="81" t="s">
        <v>37</v>
      </c>
      <c r="F287" s="81" t="s">
        <v>40</v>
      </c>
      <c r="G287" s="81" t="s">
        <v>114</v>
      </c>
      <c r="H287" s="81">
        <v>1</v>
      </c>
    </row>
    <row r="288" spans="2:8">
      <c r="B288" s="81" t="s">
        <v>2142</v>
      </c>
      <c r="C288" s="81">
        <v>299</v>
      </c>
      <c r="D288" s="81" t="s">
        <v>743</v>
      </c>
      <c r="E288" s="81" t="s">
        <v>37</v>
      </c>
      <c r="F288" s="81" t="s">
        <v>40</v>
      </c>
      <c r="G288" s="81" t="s">
        <v>114</v>
      </c>
      <c r="H288" s="81">
        <v>1</v>
      </c>
    </row>
    <row r="289" spans="2:8">
      <c r="B289" s="81" t="s">
        <v>2143</v>
      </c>
      <c r="C289" s="81">
        <v>524</v>
      </c>
      <c r="D289" s="81" t="s">
        <v>1160</v>
      </c>
      <c r="E289" s="81" t="s">
        <v>37</v>
      </c>
      <c r="F289" s="81" t="s">
        <v>40</v>
      </c>
      <c r="G289" s="81" t="s">
        <v>114</v>
      </c>
      <c r="H289" s="81">
        <v>1</v>
      </c>
    </row>
    <row r="290" spans="2:8">
      <c r="B290" s="81" t="s">
        <v>2144</v>
      </c>
      <c r="C290" s="81">
        <v>97</v>
      </c>
      <c r="D290" s="81" t="s">
        <v>368</v>
      </c>
      <c r="E290" s="81" t="s">
        <v>37</v>
      </c>
      <c r="F290" s="81" t="s">
        <v>40</v>
      </c>
      <c r="G290" s="81" t="s">
        <v>113</v>
      </c>
      <c r="H290" s="81">
        <v>1</v>
      </c>
    </row>
    <row r="291" spans="2:8">
      <c r="B291" s="81" t="s">
        <v>2145</v>
      </c>
      <c r="C291" s="81">
        <v>100</v>
      </c>
      <c r="D291" s="81" t="s">
        <v>371</v>
      </c>
      <c r="E291" s="81" t="s">
        <v>37</v>
      </c>
      <c r="F291" s="81" t="s">
        <v>40</v>
      </c>
      <c r="G291" s="81" t="s">
        <v>113</v>
      </c>
      <c r="H291" s="81">
        <v>1</v>
      </c>
    </row>
    <row r="292" spans="2:8">
      <c r="B292" s="81" t="s">
        <v>2146</v>
      </c>
      <c r="C292" s="81">
        <v>139</v>
      </c>
      <c r="D292" s="81" t="s">
        <v>450</v>
      </c>
      <c r="E292" s="81" t="s">
        <v>37</v>
      </c>
      <c r="F292" s="81" t="s">
        <v>40</v>
      </c>
      <c r="G292" s="81" t="s">
        <v>113</v>
      </c>
      <c r="H292" s="81">
        <v>1</v>
      </c>
    </row>
    <row r="293" spans="2:8">
      <c r="B293" s="81" t="s">
        <v>2147</v>
      </c>
      <c r="C293" s="81">
        <v>151</v>
      </c>
      <c r="D293" s="81" t="s">
        <v>470</v>
      </c>
      <c r="E293" s="81" t="s">
        <v>37</v>
      </c>
      <c r="F293" s="81" t="s">
        <v>40</v>
      </c>
      <c r="G293" s="81" t="s">
        <v>113</v>
      </c>
      <c r="H293" s="81">
        <v>1</v>
      </c>
    </row>
    <row r="294" spans="2:8">
      <c r="B294" s="81" t="s">
        <v>2148</v>
      </c>
      <c r="C294" s="81">
        <v>228</v>
      </c>
      <c r="D294" s="81" t="s">
        <v>618</v>
      </c>
      <c r="E294" s="81" t="s">
        <v>37</v>
      </c>
      <c r="F294" s="81" t="s">
        <v>40</v>
      </c>
      <c r="G294" s="81" t="s">
        <v>113</v>
      </c>
      <c r="H294" s="81">
        <v>1</v>
      </c>
    </row>
    <row r="295" spans="2:8">
      <c r="B295" s="81" t="s">
        <v>2149</v>
      </c>
      <c r="C295" s="81">
        <v>275</v>
      </c>
      <c r="D295" s="81" t="s">
        <v>706</v>
      </c>
      <c r="E295" s="81" t="s">
        <v>37</v>
      </c>
      <c r="F295" s="81" t="s">
        <v>40</v>
      </c>
      <c r="G295" s="81" t="s">
        <v>113</v>
      </c>
      <c r="H295" s="81">
        <v>1</v>
      </c>
    </row>
    <row r="296" spans="2:8">
      <c r="B296" s="81" t="s">
        <v>2150</v>
      </c>
      <c r="C296" s="81">
        <v>284</v>
      </c>
      <c r="D296" s="81" t="s">
        <v>717</v>
      </c>
      <c r="E296" s="81" t="s">
        <v>37</v>
      </c>
      <c r="F296" s="81" t="s">
        <v>40</v>
      </c>
      <c r="G296" s="81" t="s">
        <v>113</v>
      </c>
      <c r="H296" s="81">
        <v>1</v>
      </c>
    </row>
    <row r="297" spans="2:8">
      <c r="B297" s="81" t="s">
        <v>2151</v>
      </c>
      <c r="C297" s="81">
        <v>299</v>
      </c>
      <c r="D297" s="81" t="s">
        <v>743</v>
      </c>
      <c r="E297" s="81" t="s">
        <v>37</v>
      </c>
      <c r="F297" s="81" t="s">
        <v>40</v>
      </c>
      <c r="G297" s="81" t="s">
        <v>113</v>
      </c>
      <c r="H297" s="81">
        <v>1</v>
      </c>
    </row>
    <row r="298" spans="2:8">
      <c r="B298" s="81" t="s">
        <v>2152</v>
      </c>
      <c r="C298" s="81">
        <v>524</v>
      </c>
      <c r="D298" s="81" t="s">
        <v>1160</v>
      </c>
      <c r="E298" s="81" t="s">
        <v>37</v>
      </c>
      <c r="F298" s="81" t="s">
        <v>40</v>
      </c>
      <c r="G298" s="81" t="s">
        <v>113</v>
      </c>
      <c r="H298" s="81">
        <v>1</v>
      </c>
    </row>
    <row r="299" spans="2:8">
      <c r="B299" s="81" t="s">
        <v>2153</v>
      </c>
      <c r="C299" s="81">
        <v>97</v>
      </c>
      <c r="D299" s="81" t="s">
        <v>368</v>
      </c>
      <c r="E299" s="81" t="s">
        <v>37</v>
      </c>
      <c r="F299" s="81" t="s">
        <v>40</v>
      </c>
      <c r="G299" s="81" t="s">
        <v>112</v>
      </c>
      <c r="H299" s="81">
        <v>1</v>
      </c>
    </row>
    <row r="300" spans="2:8">
      <c r="B300" s="81" t="s">
        <v>2154</v>
      </c>
      <c r="C300" s="81">
        <v>100</v>
      </c>
      <c r="D300" s="81" t="s">
        <v>371</v>
      </c>
      <c r="E300" s="81" t="s">
        <v>37</v>
      </c>
      <c r="F300" s="81" t="s">
        <v>40</v>
      </c>
      <c r="G300" s="81" t="s">
        <v>112</v>
      </c>
      <c r="H300" s="81">
        <v>1</v>
      </c>
    </row>
    <row r="301" spans="2:8">
      <c r="B301" s="81" t="s">
        <v>2155</v>
      </c>
      <c r="C301" s="81">
        <v>139</v>
      </c>
      <c r="D301" s="81" t="s">
        <v>450</v>
      </c>
      <c r="E301" s="81" t="s">
        <v>37</v>
      </c>
      <c r="F301" s="81" t="s">
        <v>40</v>
      </c>
      <c r="G301" s="81" t="s">
        <v>112</v>
      </c>
      <c r="H301" s="81">
        <v>1</v>
      </c>
    </row>
    <row r="302" spans="2:8">
      <c r="B302" s="81" t="s">
        <v>2156</v>
      </c>
      <c r="C302" s="81">
        <v>151</v>
      </c>
      <c r="D302" s="81" t="s">
        <v>470</v>
      </c>
      <c r="E302" s="81" t="s">
        <v>37</v>
      </c>
      <c r="F302" s="81" t="s">
        <v>40</v>
      </c>
      <c r="G302" s="81" t="s">
        <v>112</v>
      </c>
      <c r="H302" s="81">
        <v>1</v>
      </c>
    </row>
    <row r="303" spans="2:8">
      <c r="B303" s="81" t="s">
        <v>2157</v>
      </c>
      <c r="C303" s="81">
        <v>228</v>
      </c>
      <c r="D303" s="81" t="s">
        <v>618</v>
      </c>
      <c r="E303" s="81" t="s">
        <v>37</v>
      </c>
      <c r="F303" s="81" t="s">
        <v>40</v>
      </c>
      <c r="G303" s="81" t="s">
        <v>112</v>
      </c>
      <c r="H303" s="81">
        <v>1</v>
      </c>
    </row>
    <row r="304" spans="2:8">
      <c r="B304" s="81" t="s">
        <v>2158</v>
      </c>
      <c r="C304" s="81">
        <v>275</v>
      </c>
      <c r="D304" s="81" t="s">
        <v>706</v>
      </c>
      <c r="E304" s="81" t="s">
        <v>37</v>
      </c>
      <c r="F304" s="81" t="s">
        <v>40</v>
      </c>
      <c r="G304" s="81" t="s">
        <v>112</v>
      </c>
      <c r="H304" s="81">
        <v>1</v>
      </c>
    </row>
    <row r="305" spans="2:8">
      <c r="B305" s="81" t="s">
        <v>2159</v>
      </c>
      <c r="C305" s="81">
        <v>284</v>
      </c>
      <c r="D305" s="81" t="s">
        <v>717</v>
      </c>
      <c r="E305" s="81" t="s">
        <v>37</v>
      </c>
      <c r="F305" s="81" t="s">
        <v>40</v>
      </c>
      <c r="G305" s="81" t="s">
        <v>112</v>
      </c>
      <c r="H305" s="81">
        <v>1</v>
      </c>
    </row>
    <row r="306" spans="2:8">
      <c r="B306" s="81" t="s">
        <v>2160</v>
      </c>
      <c r="C306" s="81">
        <v>299</v>
      </c>
      <c r="D306" s="81" t="s">
        <v>743</v>
      </c>
      <c r="E306" s="81" t="s">
        <v>37</v>
      </c>
      <c r="F306" s="81" t="s">
        <v>40</v>
      </c>
      <c r="G306" s="81" t="s">
        <v>112</v>
      </c>
      <c r="H306" s="81">
        <v>1</v>
      </c>
    </row>
    <row r="307" spans="2:8">
      <c r="B307" s="81" t="s">
        <v>2161</v>
      </c>
      <c r="C307" s="81">
        <v>524</v>
      </c>
      <c r="D307" s="81" t="s">
        <v>1160</v>
      </c>
      <c r="E307" s="81" t="s">
        <v>37</v>
      </c>
      <c r="F307" s="81" t="s">
        <v>40</v>
      </c>
      <c r="G307" s="81" t="s">
        <v>112</v>
      </c>
      <c r="H307" s="81">
        <v>1</v>
      </c>
    </row>
    <row r="308" spans="2:8">
      <c r="B308" s="81" t="s">
        <v>2162</v>
      </c>
      <c r="C308" s="81">
        <v>97</v>
      </c>
      <c r="D308" s="81" t="s">
        <v>368</v>
      </c>
      <c r="E308" s="81" t="s">
        <v>37</v>
      </c>
      <c r="F308" s="81" t="s">
        <v>40</v>
      </c>
      <c r="G308" s="81" t="s">
        <v>4</v>
      </c>
      <c r="H308" s="81">
        <v>1</v>
      </c>
    </row>
    <row r="309" spans="2:8">
      <c r="B309" s="81" t="s">
        <v>2163</v>
      </c>
      <c r="C309" s="81">
        <v>100</v>
      </c>
      <c r="D309" s="81" t="s">
        <v>371</v>
      </c>
      <c r="E309" s="81" t="s">
        <v>37</v>
      </c>
      <c r="F309" s="81" t="s">
        <v>40</v>
      </c>
      <c r="G309" s="81" t="s">
        <v>4</v>
      </c>
      <c r="H309" s="81">
        <v>1</v>
      </c>
    </row>
    <row r="310" spans="2:8">
      <c r="B310" s="81" t="s">
        <v>2164</v>
      </c>
      <c r="C310" s="81">
        <v>139</v>
      </c>
      <c r="D310" s="81" t="s">
        <v>450</v>
      </c>
      <c r="E310" s="81" t="s">
        <v>37</v>
      </c>
      <c r="F310" s="81" t="s">
        <v>40</v>
      </c>
      <c r="G310" s="81" t="s">
        <v>4</v>
      </c>
      <c r="H310" s="81">
        <v>1</v>
      </c>
    </row>
    <row r="311" spans="2:8">
      <c r="B311" s="81" t="s">
        <v>2165</v>
      </c>
      <c r="C311" s="81">
        <v>151</v>
      </c>
      <c r="D311" s="81" t="s">
        <v>470</v>
      </c>
      <c r="E311" s="81" t="s">
        <v>37</v>
      </c>
      <c r="F311" s="81" t="s">
        <v>40</v>
      </c>
      <c r="G311" s="81" t="s">
        <v>4</v>
      </c>
      <c r="H311" s="81">
        <v>1</v>
      </c>
    </row>
    <row r="312" spans="2:8">
      <c r="B312" s="81" t="s">
        <v>2166</v>
      </c>
      <c r="C312" s="81">
        <v>228</v>
      </c>
      <c r="D312" s="81" t="s">
        <v>618</v>
      </c>
      <c r="E312" s="81" t="s">
        <v>37</v>
      </c>
      <c r="F312" s="81" t="s">
        <v>40</v>
      </c>
      <c r="G312" s="81" t="s">
        <v>4</v>
      </c>
      <c r="H312" s="81">
        <v>1</v>
      </c>
    </row>
    <row r="313" spans="2:8">
      <c r="B313" s="81" t="s">
        <v>2167</v>
      </c>
      <c r="C313" s="81">
        <v>275</v>
      </c>
      <c r="D313" s="81" t="s">
        <v>706</v>
      </c>
      <c r="E313" s="81" t="s">
        <v>37</v>
      </c>
      <c r="F313" s="81" t="s">
        <v>40</v>
      </c>
      <c r="G313" s="81" t="s">
        <v>4</v>
      </c>
      <c r="H313" s="81">
        <v>1</v>
      </c>
    </row>
    <row r="314" spans="2:8">
      <c r="B314" s="81" t="s">
        <v>2168</v>
      </c>
      <c r="C314" s="81">
        <v>284</v>
      </c>
      <c r="D314" s="81" t="s">
        <v>717</v>
      </c>
      <c r="E314" s="81" t="s">
        <v>37</v>
      </c>
      <c r="F314" s="81" t="s">
        <v>40</v>
      </c>
      <c r="G314" s="81" t="s">
        <v>4</v>
      </c>
      <c r="H314" s="81">
        <v>1</v>
      </c>
    </row>
    <row r="315" spans="2:8">
      <c r="B315" s="81" t="s">
        <v>2169</v>
      </c>
      <c r="C315" s="81">
        <v>299</v>
      </c>
      <c r="D315" s="81" t="s">
        <v>743</v>
      </c>
      <c r="E315" s="81" t="s">
        <v>37</v>
      </c>
      <c r="F315" s="81" t="s">
        <v>40</v>
      </c>
      <c r="G315" s="81" t="s">
        <v>4</v>
      </c>
      <c r="H315" s="81">
        <v>1</v>
      </c>
    </row>
    <row r="316" spans="2:8">
      <c r="B316" s="81" t="s">
        <v>2170</v>
      </c>
      <c r="C316" s="81">
        <v>524</v>
      </c>
      <c r="D316" s="81" t="s">
        <v>1160</v>
      </c>
      <c r="E316" s="81" t="s">
        <v>37</v>
      </c>
      <c r="F316" s="81" t="s">
        <v>40</v>
      </c>
      <c r="G316" s="81" t="s">
        <v>4</v>
      </c>
      <c r="H316" s="81">
        <v>1</v>
      </c>
    </row>
    <row r="317" spans="2:8">
      <c r="B317" s="81" t="s">
        <v>1893</v>
      </c>
      <c r="C317" s="81">
        <v>103</v>
      </c>
      <c r="D317" s="81" t="s">
        <v>1203</v>
      </c>
      <c r="E317" s="81" t="s">
        <v>77</v>
      </c>
      <c r="F317" s="81" t="s">
        <v>73</v>
      </c>
      <c r="G317" s="81" t="s">
        <v>113</v>
      </c>
      <c r="H317" s="81">
        <v>1</v>
      </c>
    </row>
    <row r="318" spans="2:8">
      <c r="B318" s="81" t="s">
        <v>1894</v>
      </c>
      <c r="C318" s="81">
        <v>104</v>
      </c>
      <c r="D318" s="81" t="s">
        <v>377</v>
      </c>
      <c r="E318" s="81" t="s">
        <v>77</v>
      </c>
      <c r="F318" s="81" t="s">
        <v>73</v>
      </c>
      <c r="G318" s="81" t="s">
        <v>113</v>
      </c>
      <c r="H318" s="81">
        <v>1</v>
      </c>
    </row>
    <row r="319" spans="2:8">
      <c r="B319" s="81" t="s">
        <v>1895</v>
      </c>
      <c r="C319" s="81">
        <v>233</v>
      </c>
      <c r="D319" s="81" t="s">
        <v>626</v>
      </c>
      <c r="E319" s="81" t="s">
        <v>77</v>
      </c>
      <c r="F319" s="81" t="s">
        <v>73</v>
      </c>
      <c r="G319" s="81" t="s">
        <v>113</v>
      </c>
      <c r="H319" s="81">
        <v>1</v>
      </c>
    </row>
    <row r="320" spans="2:8">
      <c r="B320" s="81" t="s">
        <v>1896</v>
      </c>
      <c r="C320" s="81">
        <v>277</v>
      </c>
      <c r="D320" s="81" t="s">
        <v>709</v>
      </c>
      <c r="E320" s="81" t="s">
        <v>77</v>
      </c>
      <c r="F320" s="81" t="s">
        <v>73</v>
      </c>
      <c r="G320" s="81" t="s">
        <v>113</v>
      </c>
      <c r="H320" s="81">
        <v>1</v>
      </c>
    </row>
    <row r="321" spans="2:8">
      <c r="B321" s="81" t="s">
        <v>1897</v>
      </c>
      <c r="C321" s="81">
        <v>413</v>
      </c>
      <c r="D321" s="81" t="s">
        <v>967</v>
      </c>
      <c r="E321" s="81" t="s">
        <v>77</v>
      </c>
      <c r="F321" s="81" t="s">
        <v>73</v>
      </c>
      <c r="G321" s="81" t="s">
        <v>113</v>
      </c>
      <c r="H321" s="81">
        <v>1</v>
      </c>
    </row>
    <row r="322" spans="2:8">
      <c r="B322" s="81" t="s">
        <v>1898</v>
      </c>
      <c r="C322" s="81">
        <v>448</v>
      </c>
      <c r="D322" s="81" t="s">
        <v>1022</v>
      </c>
      <c r="E322" s="81" t="s">
        <v>77</v>
      </c>
      <c r="F322" s="81" t="s">
        <v>73</v>
      </c>
      <c r="G322" s="81" t="s">
        <v>113</v>
      </c>
      <c r="H322" s="81">
        <v>1</v>
      </c>
    </row>
    <row r="323" spans="2:8">
      <c r="B323" s="81" t="s">
        <v>1899</v>
      </c>
      <c r="C323" s="81">
        <v>103</v>
      </c>
      <c r="D323" s="81" t="s">
        <v>1203</v>
      </c>
      <c r="E323" s="81" t="s">
        <v>77</v>
      </c>
      <c r="F323" s="81" t="s">
        <v>73</v>
      </c>
      <c r="G323" s="81" t="s">
        <v>112</v>
      </c>
      <c r="H323" s="81">
        <v>1</v>
      </c>
    </row>
    <row r="324" spans="2:8">
      <c r="B324" s="81" t="s">
        <v>2208</v>
      </c>
      <c r="C324" s="81">
        <v>115</v>
      </c>
      <c r="D324" s="81" t="s">
        <v>394</v>
      </c>
      <c r="E324" s="81" t="s">
        <v>37</v>
      </c>
      <c r="F324" s="81" t="s">
        <v>101</v>
      </c>
      <c r="G324" s="81" t="s">
        <v>115</v>
      </c>
      <c r="H324" s="81">
        <v>1</v>
      </c>
    </row>
    <row r="325" spans="2:8">
      <c r="B325" s="81" t="s">
        <v>2209</v>
      </c>
      <c r="C325" s="81">
        <v>142</v>
      </c>
      <c r="D325" s="81" t="s">
        <v>454</v>
      </c>
      <c r="E325" s="81" t="s">
        <v>37</v>
      </c>
      <c r="F325" s="81" t="s">
        <v>101</v>
      </c>
      <c r="G325" s="81" t="s">
        <v>115</v>
      </c>
      <c r="H325" s="81">
        <v>1</v>
      </c>
    </row>
    <row r="326" spans="2:8">
      <c r="B326" s="81" t="s">
        <v>2210</v>
      </c>
      <c r="C326" s="81">
        <v>153</v>
      </c>
      <c r="D326" s="81" t="s">
        <v>472</v>
      </c>
      <c r="E326" s="81" t="s">
        <v>37</v>
      </c>
      <c r="F326" s="81" t="s">
        <v>101</v>
      </c>
      <c r="G326" s="81" t="s">
        <v>115</v>
      </c>
      <c r="H326" s="81">
        <v>1</v>
      </c>
    </row>
    <row r="327" spans="2:8">
      <c r="B327" s="81" t="s">
        <v>2211</v>
      </c>
      <c r="C327" s="81">
        <v>227</v>
      </c>
      <c r="D327" s="81" t="s">
        <v>617</v>
      </c>
      <c r="E327" s="81" t="s">
        <v>37</v>
      </c>
      <c r="F327" s="81" t="s">
        <v>101</v>
      </c>
      <c r="G327" s="81" t="s">
        <v>115</v>
      </c>
      <c r="H327" s="81">
        <v>1</v>
      </c>
    </row>
    <row r="328" spans="2:8">
      <c r="B328" s="81" t="s">
        <v>2212</v>
      </c>
      <c r="C328" s="81">
        <v>230</v>
      </c>
      <c r="D328" s="81" t="s">
        <v>621</v>
      </c>
      <c r="E328" s="81" t="s">
        <v>37</v>
      </c>
      <c r="F328" s="81" t="s">
        <v>101</v>
      </c>
      <c r="G328" s="81" t="s">
        <v>115</v>
      </c>
      <c r="H328" s="81">
        <v>1</v>
      </c>
    </row>
    <row r="329" spans="2:8">
      <c r="B329" s="81" t="s">
        <v>2213</v>
      </c>
      <c r="C329" s="81">
        <v>234</v>
      </c>
      <c r="D329" s="81" t="s">
        <v>627</v>
      </c>
      <c r="E329" s="81" t="s">
        <v>37</v>
      </c>
      <c r="F329" s="81" t="s">
        <v>101</v>
      </c>
      <c r="G329" s="81" t="s">
        <v>115</v>
      </c>
      <c r="H329" s="81">
        <v>1</v>
      </c>
    </row>
    <row r="330" spans="2:8">
      <c r="B330" s="81" t="s">
        <v>2214</v>
      </c>
      <c r="C330" s="81">
        <v>241</v>
      </c>
      <c r="D330" s="81" t="s">
        <v>637</v>
      </c>
      <c r="E330" s="81" t="s">
        <v>37</v>
      </c>
      <c r="F330" s="81" t="s">
        <v>101</v>
      </c>
      <c r="G330" s="81" t="s">
        <v>115</v>
      </c>
      <c r="H330" s="81">
        <v>1</v>
      </c>
    </row>
    <row r="331" spans="2:8">
      <c r="B331" s="81" t="s">
        <v>2215</v>
      </c>
      <c r="C331" s="81">
        <v>385</v>
      </c>
      <c r="D331" s="81" t="s">
        <v>912</v>
      </c>
      <c r="E331" s="81" t="s">
        <v>37</v>
      </c>
      <c r="F331" s="81" t="s">
        <v>101</v>
      </c>
      <c r="G331" s="81" t="s">
        <v>115</v>
      </c>
      <c r="H331" s="81">
        <v>1</v>
      </c>
    </row>
    <row r="332" spans="2:8">
      <c r="B332" s="81" t="s">
        <v>2216</v>
      </c>
      <c r="C332" s="81">
        <v>115</v>
      </c>
      <c r="D332" s="81" t="s">
        <v>394</v>
      </c>
      <c r="E332" s="81" t="s">
        <v>37</v>
      </c>
      <c r="F332" s="81" t="s">
        <v>101</v>
      </c>
      <c r="G332" s="81" t="s">
        <v>118</v>
      </c>
      <c r="H332" s="81">
        <v>1</v>
      </c>
    </row>
    <row r="333" spans="2:8">
      <c r="B333" s="81" t="s">
        <v>2217</v>
      </c>
      <c r="C333" s="81">
        <v>142</v>
      </c>
      <c r="D333" s="81" t="s">
        <v>454</v>
      </c>
      <c r="E333" s="81" t="s">
        <v>37</v>
      </c>
      <c r="F333" s="81" t="s">
        <v>101</v>
      </c>
      <c r="G333" s="81" t="s">
        <v>118</v>
      </c>
      <c r="H333" s="81">
        <v>1</v>
      </c>
    </row>
    <row r="334" spans="2:8">
      <c r="B334" s="81" t="s">
        <v>2218</v>
      </c>
      <c r="C334" s="81">
        <v>153</v>
      </c>
      <c r="D334" s="81" t="s">
        <v>472</v>
      </c>
      <c r="E334" s="81" t="s">
        <v>37</v>
      </c>
      <c r="F334" s="81" t="s">
        <v>101</v>
      </c>
      <c r="G334" s="81" t="s">
        <v>118</v>
      </c>
      <c r="H334" s="81">
        <v>1</v>
      </c>
    </row>
    <row r="335" spans="2:8">
      <c r="B335" s="81" t="s">
        <v>2219</v>
      </c>
      <c r="C335" s="81">
        <v>227</v>
      </c>
      <c r="D335" s="81" t="s">
        <v>617</v>
      </c>
      <c r="E335" s="81" t="s">
        <v>37</v>
      </c>
      <c r="F335" s="81" t="s">
        <v>101</v>
      </c>
      <c r="G335" s="81" t="s">
        <v>118</v>
      </c>
      <c r="H335" s="81">
        <v>1</v>
      </c>
    </row>
    <row r="336" spans="2:8">
      <c r="B336" s="81" t="s">
        <v>2220</v>
      </c>
      <c r="C336" s="81">
        <v>230</v>
      </c>
      <c r="D336" s="81" t="s">
        <v>621</v>
      </c>
      <c r="E336" s="81" t="s">
        <v>37</v>
      </c>
      <c r="F336" s="81" t="s">
        <v>101</v>
      </c>
      <c r="G336" s="81" t="s">
        <v>118</v>
      </c>
      <c r="H336" s="81">
        <v>1</v>
      </c>
    </row>
    <row r="337" spans="2:8">
      <c r="B337" s="81" t="s">
        <v>2221</v>
      </c>
      <c r="C337" s="81">
        <v>234</v>
      </c>
      <c r="D337" s="81" t="s">
        <v>627</v>
      </c>
      <c r="E337" s="81" t="s">
        <v>37</v>
      </c>
      <c r="F337" s="81" t="s">
        <v>101</v>
      </c>
      <c r="G337" s="81" t="s">
        <v>118</v>
      </c>
      <c r="H337" s="81">
        <v>1</v>
      </c>
    </row>
    <row r="338" spans="2:8">
      <c r="B338" s="81" t="s">
        <v>2222</v>
      </c>
      <c r="C338" s="81">
        <v>241</v>
      </c>
      <c r="D338" s="81" t="s">
        <v>637</v>
      </c>
      <c r="E338" s="81" t="s">
        <v>37</v>
      </c>
      <c r="F338" s="81" t="s">
        <v>101</v>
      </c>
      <c r="G338" s="81" t="s">
        <v>118</v>
      </c>
      <c r="H338" s="81">
        <v>1</v>
      </c>
    </row>
    <row r="339" spans="2:8">
      <c r="B339" s="81" t="s">
        <v>2223</v>
      </c>
      <c r="C339" s="81">
        <v>115</v>
      </c>
      <c r="D339" s="81" t="s">
        <v>394</v>
      </c>
      <c r="E339" s="81" t="s">
        <v>37</v>
      </c>
      <c r="F339" s="81" t="s">
        <v>101</v>
      </c>
      <c r="G339" s="81" t="s">
        <v>117</v>
      </c>
      <c r="H339" s="81">
        <v>1</v>
      </c>
    </row>
    <row r="340" spans="2:8">
      <c r="B340" s="81" t="s">
        <v>2224</v>
      </c>
      <c r="C340" s="81">
        <v>142</v>
      </c>
      <c r="D340" s="81" t="s">
        <v>454</v>
      </c>
      <c r="E340" s="81" t="s">
        <v>37</v>
      </c>
      <c r="F340" s="81" t="s">
        <v>101</v>
      </c>
      <c r="G340" s="81" t="s">
        <v>117</v>
      </c>
      <c r="H340" s="81">
        <v>1</v>
      </c>
    </row>
    <row r="341" spans="2:8">
      <c r="B341" s="81" t="s">
        <v>2225</v>
      </c>
      <c r="C341" s="81">
        <v>153</v>
      </c>
      <c r="D341" s="81" t="s">
        <v>472</v>
      </c>
      <c r="E341" s="81" t="s">
        <v>37</v>
      </c>
      <c r="F341" s="81" t="s">
        <v>101</v>
      </c>
      <c r="G341" s="81" t="s">
        <v>117</v>
      </c>
      <c r="H341" s="81">
        <v>1</v>
      </c>
    </row>
    <row r="342" spans="2:8">
      <c r="B342" s="81" t="s">
        <v>2226</v>
      </c>
      <c r="C342" s="81">
        <v>173</v>
      </c>
      <c r="D342" s="81" t="s">
        <v>507</v>
      </c>
      <c r="E342" s="81" t="s">
        <v>37</v>
      </c>
      <c r="F342" s="81" t="s">
        <v>101</v>
      </c>
      <c r="G342" s="81" t="s">
        <v>117</v>
      </c>
      <c r="H342" s="81">
        <v>1</v>
      </c>
    </row>
    <row r="343" spans="2:8">
      <c r="B343" s="81" t="s">
        <v>2227</v>
      </c>
      <c r="C343" s="81">
        <v>175</v>
      </c>
      <c r="D343" s="81" t="s">
        <v>509</v>
      </c>
      <c r="E343" s="81" t="s">
        <v>37</v>
      </c>
      <c r="F343" s="81" t="s">
        <v>101</v>
      </c>
      <c r="G343" s="81" t="s">
        <v>117</v>
      </c>
      <c r="H343" s="81">
        <v>1</v>
      </c>
    </row>
    <row r="344" spans="2:8">
      <c r="B344" s="81" t="s">
        <v>2228</v>
      </c>
      <c r="C344" s="81">
        <v>183</v>
      </c>
      <c r="D344" s="81" t="s">
        <v>521</v>
      </c>
      <c r="E344" s="81" t="s">
        <v>37</v>
      </c>
      <c r="F344" s="81" t="s">
        <v>101</v>
      </c>
      <c r="G344" s="81" t="s">
        <v>117</v>
      </c>
      <c r="H344" s="81">
        <v>1</v>
      </c>
    </row>
    <row r="345" spans="2:8">
      <c r="B345" s="81" t="s">
        <v>2229</v>
      </c>
      <c r="C345" s="81">
        <v>227</v>
      </c>
      <c r="D345" s="81" t="s">
        <v>617</v>
      </c>
      <c r="E345" s="81" t="s">
        <v>37</v>
      </c>
      <c r="F345" s="81" t="s">
        <v>101</v>
      </c>
      <c r="G345" s="81" t="s">
        <v>117</v>
      </c>
      <c r="H345" s="81">
        <v>1</v>
      </c>
    </row>
    <row r="346" spans="2:8">
      <c r="B346" s="81" t="s">
        <v>2230</v>
      </c>
      <c r="C346" s="81">
        <v>230</v>
      </c>
      <c r="D346" s="81" t="s">
        <v>621</v>
      </c>
      <c r="E346" s="81" t="s">
        <v>37</v>
      </c>
      <c r="F346" s="81" t="s">
        <v>101</v>
      </c>
      <c r="G346" s="81" t="s">
        <v>117</v>
      </c>
      <c r="H346" s="81">
        <v>1</v>
      </c>
    </row>
    <row r="347" spans="2:8">
      <c r="B347" s="81" t="s">
        <v>2231</v>
      </c>
      <c r="C347" s="81">
        <v>234</v>
      </c>
      <c r="D347" s="81" t="s">
        <v>627</v>
      </c>
      <c r="E347" s="81" t="s">
        <v>37</v>
      </c>
      <c r="F347" s="81" t="s">
        <v>101</v>
      </c>
      <c r="G347" s="81" t="s">
        <v>117</v>
      </c>
      <c r="H347" s="81">
        <v>1</v>
      </c>
    </row>
    <row r="348" spans="2:8">
      <c r="B348" s="81" t="s">
        <v>2232</v>
      </c>
      <c r="C348" s="81">
        <v>241</v>
      </c>
      <c r="D348" s="81" t="s">
        <v>637</v>
      </c>
      <c r="E348" s="81" t="s">
        <v>37</v>
      </c>
      <c r="F348" s="81" t="s">
        <v>101</v>
      </c>
      <c r="G348" s="81" t="s">
        <v>117</v>
      </c>
      <c r="H348" s="81">
        <v>1</v>
      </c>
    </row>
    <row r="349" spans="2:8">
      <c r="B349" s="81" t="s">
        <v>2233</v>
      </c>
      <c r="C349" s="81">
        <v>115</v>
      </c>
      <c r="D349" s="81" t="s">
        <v>394</v>
      </c>
      <c r="E349" s="81" t="s">
        <v>37</v>
      </c>
      <c r="F349" s="81" t="s">
        <v>101</v>
      </c>
      <c r="G349" s="81" t="s">
        <v>114</v>
      </c>
      <c r="H349" s="81">
        <v>1</v>
      </c>
    </row>
    <row r="350" spans="2:8">
      <c r="B350" s="81" t="s">
        <v>2234</v>
      </c>
      <c r="C350" s="81">
        <v>142</v>
      </c>
      <c r="D350" s="81" t="s">
        <v>454</v>
      </c>
      <c r="E350" s="81" t="s">
        <v>37</v>
      </c>
      <c r="F350" s="81" t="s">
        <v>101</v>
      </c>
      <c r="G350" s="81" t="s">
        <v>114</v>
      </c>
      <c r="H350" s="81">
        <v>1</v>
      </c>
    </row>
    <row r="351" spans="2:8">
      <c r="B351" s="81" t="s">
        <v>2235</v>
      </c>
      <c r="C351" s="81">
        <v>153</v>
      </c>
      <c r="D351" s="81" t="s">
        <v>472</v>
      </c>
      <c r="E351" s="81" t="s">
        <v>37</v>
      </c>
      <c r="F351" s="81" t="s">
        <v>101</v>
      </c>
      <c r="G351" s="81" t="s">
        <v>114</v>
      </c>
      <c r="H351" s="81">
        <v>1</v>
      </c>
    </row>
    <row r="352" spans="2:8">
      <c r="B352" s="81" t="s">
        <v>2236</v>
      </c>
      <c r="C352" s="81">
        <v>173</v>
      </c>
      <c r="D352" s="81" t="s">
        <v>507</v>
      </c>
      <c r="E352" s="81" t="s">
        <v>37</v>
      </c>
      <c r="F352" s="81" t="s">
        <v>101</v>
      </c>
      <c r="G352" s="81" t="s">
        <v>114</v>
      </c>
      <c r="H352" s="81">
        <v>1</v>
      </c>
    </row>
    <row r="353" spans="2:8">
      <c r="B353" s="81" t="s">
        <v>2237</v>
      </c>
      <c r="C353" s="81">
        <v>175</v>
      </c>
      <c r="D353" s="81" t="s">
        <v>509</v>
      </c>
      <c r="E353" s="81" t="s">
        <v>37</v>
      </c>
      <c r="F353" s="81" t="s">
        <v>101</v>
      </c>
      <c r="G353" s="81" t="s">
        <v>114</v>
      </c>
      <c r="H353" s="81">
        <v>1</v>
      </c>
    </row>
    <row r="354" spans="2:8">
      <c r="B354" s="81" t="s">
        <v>2238</v>
      </c>
      <c r="C354" s="81">
        <v>183</v>
      </c>
      <c r="D354" s="81" t="s">
        <v>521</v>
      </c>
      <c r="E354" s="81" t="s">
        <v>37</v>
      </c>
      <c r="F354" s="81" t="s">
        <v>101</v>
      </c>
      <c r="G354" s="81" t="s">
        <v>114</v>
      </c>
      <c r="H354" s="81">
        <v>1</v>
      </c>
    </row>
    <row r="355" spans="2:8">
      <c r="B355" s="81" t="s">
        <v>2239</v>
      </c>
      <c r="C355" s="81">
        <v>227</v>
      </c>
      <c r="D355" s="81" t="s">
        <v>617</v>
      </c>
      <c r="E355" s="81" t="s">
        <v>37</v>
      </c>
      <c r="F355" s="81" t="s">
        <v>101</v>
      </c>
      <c r="G355" s="81" t="s">
        <v>114</v>
      </c>
      <c r="H355" s="81">
        <v>1</v>
      </c>
    </row>
    <row r="356" spans="2:8">
      <c r="B356" s="81" t="s">
        <v>2240</v>
      </c>
      <c r="C356" s="81">
        <v>230</v>
      </c>
      <c r="D356" s="81" t="s">
        <v>621</v>
      </c>
      <c r="E356" s="81" t="s">
        <v>37</v>
      </c>
      <c r="F356" s="81" t="s">
        <v>101</v>
      </c>
      <c r="G356" s="81" t="s">
        <v>114</v>
      </c>
      <c r="H356" s="81">
        <v>1</v>
      </c>
    </row>
    <row r="357" spans="2:8">
      <c r="B357" s="81" t="s">
        <v>2241</v>
      </c>
      <c r="C357" s="81">
        <v>234</v>
      </c>
      <c r="D357" s="81" t="s">
        <v>627</v>
      </c>
      <c r="E357" s="81" t="s">
        <v>37</v>
      </c>
      <c r="F357" s="81" t="s">
        <v>101</v>
      </c>
      <c r="G357" s="81" t="s">
        <v>114</v>
      </c>
      <c r="H357" s="81">
        <v>1</v>
      </c>
    </row>
    <row r="358" spans="2:8">
      <c r="B358" s="81" t="s">
        <v>2242</v>
      </c>
      <c r="C358" s="81">
        <v>241</v>
      </c>
      <c r="D358" s="81" t="s">
        <v>637</v>
      </c>
      <c r="E358" s="81" t="s">
        <v>37</v>
      </c>
      <c r="F358" s="81" t="s">
        <v>101</v>
      </c>
      <c r="G358" s="81" t="s">
        <v>114</v>
      </c>
      <c r="H358" s="81">
        <v>1</v>
      </c>
    </row>
    <row r="359" spans="2:8">
      <c r="B359" s="81" t="s">
        <v>2243</v>
      </c>
      <c r="C359" s="81">
        <v>115</v>
      </c>
      <c r="D359" s="81" t="s">
        <v>394</v>
      </c>
      <c r="E359" s="81" t="s">
        <v>37</v>
      </c>
      <c r="F359" s="81" t="s">
        <v>101</v>
      </c>
      <c r="G359" s="81" t="s">
        <v>113</v>
      </c>
      <c r="H359" s="81">
        <v>1</v>
      </c>
    </row>
    <row r="360" spans="2:8">
      <c r="B360" s="81" t="s">
        <v>2244</v>
      </c>
      <c r="C360" s="81">
        <v>142</v>
      </c>
      <c r="D360" s="81" t="s">
        <v>454</v>
      </c>
      <c r="E360" s="81" t="s">
        <v>37</v>
      </c>
      <c r="F360" s="81" t="s">
        <v>101</v>
      </c>
      <c r="G360" s="81" t="s">
        <v>113</v>
      </c>
      <c r="H360" s="81">
        <v>1</v>
      </c>
    </row>
    <row r="361" spans="2:8">
      <c r="B361" s="81" t="s">
        <v>2245</v>
      </c>
      <c r="C361" s="81">
        <v>153</v>
      </c>
      <c r="D361" s="81" t="s">
        <v>472</v>
      </c>
      <c r="E361" s="81" t="s">
        <v>37</v>
      </c>
      <c r="F361" s="81" t="s">
        <v>101</v>
      </c>
      <c r="G361" s="81" t="s">
        <v>113</v>
      </c>
      <c r="H361" s="81">
        <v>1</v>
      </c>
    </row>
    <row r="362" spans="2:8">
      <c r="B362" s="81" t="s">
        <v>2246</v>
      </c>
      <c r="C362" s="81">
        <v>173</v>
      </c>
      <c r="D362" s="81" t="s">
        <v>507</v>
      </c>
      <c r="E362" s="81" t="s">
        <v>37</v>
      </c>
      <c r="F362" s="81" t="s">
        <v>101</v>
      </c>
      <c r="G362" s="81" t="s">
        <v>113</v>
      </c>
      <c r="H362" s="81">
        <v>1</v>
      </c>
    </row>
    <row r="363" spans="2:8">
      <c r="B363" s="81" t="s">
        <v>2247</v>
      </c>
      <c r="C363" s="81">
        <v>175</v>
      </c>
      <c r="D363" s="81" t="s">
        <v>509</v>
      </c>
      <c r="E363" s="81" t="s">
        <v>37</v>
      </c>
      <c r="F363" s="81" t="s">
        <v>101</v>
      </c>
      <c r="G363" s="81" t="s">
        <v>113</v>
      </c>
      <c r="H363" s="81">
        <v>1</v>
      </c>
    </row>
    <row r="364" spans="2:8">
      <c r="B364" s="81" t="s">
        <v>2248</v>
      </c>
      <c r="C364" s="81">
        <v>183</v>
      </c>
      <c r="D364" s="81" t="s">
        <v>521</v>
      </c>
      <c r="E364" s="81" t="s">
        <v>37</v>
      </c>
      <c r="F364" s="81" t="s">
        <v>101</v>
      </c>
      <c r="G364" s="81" t="s">
        <v>113</v>
      </c>
      <c r="H364" s="81">
        <v>1</v>
      </c>
    </row>
    <row r="365" spans="2:8">
      <c r="B365" s="81" t="s">
        <v>2249</v>
      </c>
      <c r="C365" s="81">
        <v>227</v>
      </c>
      <c r="D365" s="81" t="s">
        <v>617</v>
      </c>
      <c r="E365" s="81" t="s">
        <v>37</v>
      </c>
      <c r="F365" s="81" t="s">
        <v>101</v>
      </c>
      <c r="G365" s="81" t="s">
        <v>113</v>
      </c>
      <c r="H365" s="81">
        <v>1</v>
      </c>
    </row>
    <row r="366" spans="2:8">
      <c r="B366" s="81" t="s">
        <v>2250</v>
      </c>
      <c r="C366" s="81">
        <v>230</v>
      </c>
      <c r="D366" s="81" t="s">
        <v>621</v>
      </c>
      <c r="E366" s="81" t="s">
        <v>37</v>
      </c>
      <c r="F366" s="81" t="s">
        <v>101</v>
      </c>
      <c r="G366" s="81" t="s">
        <v>113</v>
      </c>
      <c r="H366" s="81">
        <v>1</v>
      </c>
    </row>
    <row r="367" spans="2:8">
      <c r="B367" s="81" t="s">
        <v>2251</v>
      </c>
      <c r="C367" s="81">
        <v>234</v>
      </c>
      <c r="D367" s="81" t="s">
        <v>627</v>
      </c>
      <c r="E367" s="81" t="s">
        <v>37</v>
      </c>
      <c r="F367" s="81" t="s">
        <v>101</v>
      </c>
      <c r="G367" s="81" t="s">
        <v>113</v>
      </c>
      <c r="H367" s="81">
        <v>1</v>
      </c>
    </row>
    <row r="368" spans="2:8">
      <c r="B368" s="81" t="s">
        <v>2252</v>
      </c>
      <c r="C368" s="81">
        <v>241</v>
      </c>
      <c r="D368" s="81" t="s">
        <v>637</v>
      </c>
      <c r="E368" s="81" t="s">
        <v>37</v>
      </c>
      <c r="F368" s="81" t="s">
        <v>101</v>
      </c>
      <c r="G368" s="81" t="s">
        <v>113</v>
      </c>
      <c r="H368" s="81">
        <v>1</v>
      </c>
    </row>
    <row r="369" spans="2:8">
      <c r="B369" s="81" t="s">
        <v>2253</v>
      </c>
      <c r="C369" s="81">
        <v>115</v>
      </c>
      <c r="D369" s="81" t="s">
        <v>394</v>
      </c>
      <c r="E369" s="81" t="s">
        <v>37</v>
      </c>
      <c r="F369" s="81" t="s">
        <v>101</v>
      </c>
      <c r="G369" s="81" t="s">
        <v>112</v>
      </c>
      <c r="H369" s="81">
        <v>1</v>
      </c>
    </row>
    <row r="370" spans="2:8">
      <c r="B370" s="81" t="s">
        <v>2254</v>
      </c>
      <c r="C370" s="81">
        <v>142</v>
      </c>
      <c r="D370" s="81" t="s">
        <v>454</v>
      </c>
      <c r="E370" s="81" t="s">
        <v>37</v>
      </c>
      <c r="F370" s="81" t="s">
        <v>101</v>
      </c>
      <c r="G370" s="81" t="s">
        <v>112</v>
      </c>
      <c r="H370" s="81">
        <v>1</v>
      </c>
    </row>
    <row r="371" spans="2:8">
      <c r="B371" s="81" t="s">
        <v>2255</v>
      </c>
      <c r="C371" s="81">
        <v>153</v>
      </c>
      <c r="D371" s="81" t="s">
        <v>472</v>
      </c>
      <c r="E371" s="81" t="s">
        <v>37</v>
      </c>
      <c r="F371" s="81" t="s">
        <v>101</v>
      </c>
      <c r="G371" s="81" t="s">
        <v>112</v>
      </c>
      <c r="H371" s="81">
        <v>1</v>
      </c>
    </row>
    <row r="372" spans="2:8">
      <c r="B372" s="81" t="s">
        <v>2256</v>
      </c>
      <c r="C372" s="81">
        <v>173</v>
      </c>
      <c r="D372" s="81" t="s">
        <v>507</v>
      </c>
      <c r="E372" s="81" t="s">
        <v>37</v>
      </c>
      <c r="F372" s="81" t="s">
        <v>101</v>
      </c>
      <c r="G372" s="81" t="s">
        <v>112</v>
      </c>
      <c r="H372" s="81">
        <v>1</v>
      </c>
    </row>
    <row r="373" spans="2:8">
      <c r="B373" s="81" t="s">
        <v>2257</v>
      </c>
      <c r="C373" s="81">
        <v>175</v>
      </c>
      <c r="D373" s="81" t="s">
        <v>509</v>
      </c>
      <c r="E373" s="81" t="s">
        <v>37</v>
      </c>
      <c r="F373" s="81" t="s">
        <v>101</v>
      </c>
      <c r="G373" s="81" t="s">
        <v>112</v>
      </c>
      <c r="H373" s="81">
        <v>1</v>
      </c>
    </row>
    <row r="374" spans="2:8">
      <c r="B374" s="81" t="s">
        <v>2258</v>
      </c>
      <c r="C374" s="81">
        <v>183</v>
      </c>
      <c r="D374" s="81" t="s">
        <v>521</v>
      </c>
      <c r="E374" s="81" t="s">
        <v>37</v>
      </c>
      <c r="F374" s="81" t="s">
        <v>101</v>
      </c>
      <c r="G374" s="81" t="s">
        <v>112</v>
      </c>
      <c r="H374" s="81">
        <v>1</v>
      </c>
    </row>
    <row r="375" spans="2:8">
      <c r="B375" s="81" t="s">
        <v>2259</v>
      </c>
      <c r="C375" s="81">
        <v>227</v>
      </c>
      <c r="D375" s="81" t="s">
        <v>617</v>
      </c>
      <c r="E375" s="81" t="s">
        <v>37</v>
      </c>
      <c r="F375" s="81" t="s">
        <v>101</v>
      </c>
      <c r="G375" s="81" t="s">
        <v>112</v>
      </c>
      <c r="H375" s="81">
        <v>1</v>
      </c>
    </row>
    <row r="376" spans="2:8">
      <c r="B376" s="81" t="s">
        <v>2260</v>
      </c>
      <c r="C376" s="81">
        <v>230</v>
      </c>
      <c r="D376" s="81" t="s">
        <v>621</v>
      </c>
      <c r="E376" s="81" t="s">
        <v>37</v>
      </c>
      <c r="F376" s="81" t="s">
        <v>101</v>
      </c>
      <c r="G376" s="81" t="s">
        <v>112</v>
      </c>
      <c r="H376" s="81">
        <v>1</v>
      </c>
    </row>
    <row r="377" spans="2:8">
      <c r="B377" s="81" t="s">
        <v>2261</v>
      </c>
      <c r="C377" s="81">
        <v>241</v>
      </c>
      <c r="D377" s="81" t="s">
        <v>637</v>
      </c>
      <c r="E377" s="81" t="s">
        <v>37</v>
      </c>
      <c r="F377" s="81" t="s">
        <v>101</v>
      </c>
      <c r="G377" s="81" t="s">
        <v>112</v>
      </c>
      <c r="H377" s="81">
        <v>1</v>
      </c>
    </row>
    <row r="378" spans="2:8">
      <c r="B378" s="81" t="s">
        <v>2262</v>
      </c>
      <c r="C378" s="81">
        <v>115</v>
      </c>
      <c r="D378" s="81" t="s">
        <v>394</v>
      </c>
      <c r="E378" s="81" t="s">
        <v>37</v>
      </c>
      <c r="F378" s="81" t="s">
        <v>101</v>
      </c>
      <c r="G378" s="81" t="s">
        <v>4</v>
      </c>
      <c r="H378" s="81">
        <v>1</v>
      </c>
    </row>
    <row r="379" spans="2:8">
      <c r="B379" s="81" t="s">
        <v>2263</v>
      </c>
      <c r="C379" s="81">
        <v>142</v>
      </c>
      <c r="D379" s="81" t="s">
        <v>454</v>
      </c>
      <c r="E379" s="81" t="s">
        <v>37</v>
      </c>
      <c r="F379" s="81" t="s">
        <v>101</v>
      </c>
      <c r="G379" s="81" t="s">
        <v>4</v>
      </c>
      <c r="H379" s="81">
        <v>1</v>
      </c>
    </row>
    <row r="380" spans="2:8">
      <c r="B380" s="81" t="s">
        <v>2264</v>
      </c>
      <c r="C380" s="81">
        <v>153</v>
      </c>
      <c r="D380" s="81" t="s">
        <v>472</v>
      </c>
      <c r="E380" s="81" t="s">
        <v>37</v>
      </c>
      <c r="F380" s="81" t="s">
        <v>101</v>
      </c>
      <c r="G380" s="81" t="s">
        <v>4</v>
      </c>
      <c r="H380" s="81">
        <v>1</v>
      </c>
    </row>
    <row r="381" spans="2:8">
      <c r="B381" s="81" t="s">
        <v>2265</v>
      </c>
      <c r="C381" s="81">
        <v>173</v>
      </c>
      <c r="D381" s="81" t="s">
        <v>507</v>
      </c>
      <c r="E381" s="81" t="s">
        <v>37</v>
      </c>
      <c r="F381" s="81" t="s">
        <v>101</v>
      </c>
      <c r="G381" s="81" t="s">
        <v>4</v>
      </c>
      <c r="H381" s="81">
        <v>1</v>
      </c>
    </row>
    <row r="382" spans="2:8">
      <c r="B382" s="81" t="s">
        <v>2266</v>
      </c>
      <c r="C382" s="81">
        <v>175</v>
      </c>
      <c r="D382" s="81" t="s">
        <v>509</v>
      </c>
      <c r="E382" s="81" t="s">
        <v>37</v>
      </c>
      <c r="F382" s="81" t="s">
        <v>101</v>
      </c>
      <c r="G382" s="81" t="s">
        <v>4</v>
      </c>
      <c r="H382" s="81">
        <v>1</v>
      </c>
    </row>
    <row r="383" spans="2:8">
      <c r="B383" s="81" t="s">
        <v>2267</v>
      </c>
      <c r="C383" s="81">
        <v>183</v>
      </c>
      <c r="D383" s="81" t="s">
        <v>521</v>
      </c>
      <c r="E383" s="81" t="s">
        <v>37</v>
      </c>
      <c r="F383" s="81" t="s">
        <v>101</v>
      </c>
      <c r="G383" s="81" t="s">
        <v>4</v>
      </c>
      <c r="H383" s="81">
        <v>1</v>
      </c>
    </row>
    <row r="384" spans="2:8">
      <c r="B384" s="81" t="s">
        <v>2268</v>
      </c>
      <c r="C384" s="81">
        <v>227</v>
      </c>
      <c r="D384" s="81" t="s">
        <v>617</v>
      </c>
      <c r="E384" s="81" t="s">
        <v>37</v>
      </c>
      <c r="F384" s="81" t="s">
        <v>101</v>
      </c>
      <c r="G384" s="81" t="s">
        <v>4</v>
      </c>
      <c r="H384" s="81">
        <v>1</v>
      </c>
    </row>
    <row r="385" spans="2:8">
      <c r="B385" s="81" t="s">
        <v>2269</v>
      </c>
      <c r="C385" s="81">
        <v>230</v>
      </c>
      <c r="D385" s="81" t="s">
        <v>621</v>
      </c>
      <c r="E385" s="81" t="s">
        <v>37</v>
      </c>
      <c r="F385" s="81" t="s">
        <v>101</v>
      </c>
      <c r="G385" s="81" t="s">
        <v>4</v>
      </c>
      <c r="H385" s="81">
        <v>1</v>
      </c>
    </row>
    <row r="386" spans="2:8">
      <c r="B386" s="81" t="s">
        <v>2270</v>
      </c>
      <c r="C386" s="81">
        <v>241</v>
      </c>
      <c r="D386" s="81" t="s">
        <v>637</v>
      </c>
      <c r="E386" s="81" t="s">
        <v>37</v>
      </c>
      <c r="F386" s="81" t="s">
        <v>101</v>
      </c>
      <c r="G386" s="81" t="s">
        <v>4</v>
      </c>
      <c r="H386" s="81">
        <v>1</v>
      </c>
    </row>
    <row r="387" spans="2:8">
      <c r="B387" s="81" t="s">
        <v>1795</v>
      </c>
      <c r="C387" s="81">
        <v>160</v>
      </c>
      <c r="D387" s="81" t="s">
        <v>1546</v>
      </c>
      <c r="E387" s="81" t="s">
        <v>108</v>
      </c>
      <c r="F387" s="81" t="s">
        <v>15</v>
      </c>
      <c r="G387" s="81" t="s">
        <v>115</v>
      </c>
      <c r="H387" s="81">
        <v>1</v>
      </c>
    </row>
    <row r="388" spans="2:8">
      <c r="B388" s="81" t="s">
        <v>1791</v>
      </c>
      <c r="C388" s="81">
        <v>293</v>
      </c>
      <c r="D388" s="81" t="s">
        <v>734</v>
      </c>
      <c r="E388" s="81" t="s">
        <v>108</v>
      </c>
      <c r="F388" s="81" t="s">
        <v>15</v>
      </c>
      <c r="G388" s="81" t="s">
        <v>115</v>
      </c>
      <c r="H388" s="81">
        <v>1</v>
      </c>
    </row>
    <row r="389" spans="2:8">
      <c r="B389" s="81" t="s">
        <v>1792</v>
      </c>
      <c r="C389" s="81">
        <v>409</v>
      </c>
      <c r="D389" s="81" t="s">
        <v>963</v>
      </c>
      <c r="E389" s="81" t="s">
        <v>108</v>
      </c>
      <c r="F389" s="81" t="s">
        <v>15</v>
      </c>
      <c r="G389" s="81" t="s">
        <v>115</v>
      </c>
      <c r="H389" s="81">
        <v>1</v>
      </c>
    </row>
    <row r="390" spans="2:8">
      <c r="B390" s="81" t="s">
        <v>1793</v>
      </c>
      <c r="C390" s="81">
        <v>418</v>
      </c>
      <c r="D390" s="81" t="s">
        <v>975</v>
      </c>
      <c r="E390" s="81" t="s">
        <v>108</v>
      </c>
      <c r="F390" s="81" t="s">
        <v>15</v>
      </c>
      <c r="G390" s="81" t="s">
        <v>115</v>
      </c>
      <c r="H390" s="81">
        <v>1</v>
      </c>
    </row>
    <row r="391" spans="2:8">
      <c r="B391" s="81" t="s">
        <v>1796</v>
      </c>
      <c r="C391" s="81">
        <v>541</v>
      </c>
      <c r="D391" s="81" t="s">
        <v>1189</v>
      </c>
      <c r="E391" s="81" t="s">
        <v>108</v>
      </c>
      <c r="F391" s="81" t="s">
        <v>15</v>
      </c>
      <c r="G391" s="81" t="s">
        <v>115</v>
      </c>
      <c r="H391" s="81">
        <v>1</v>
      </c>
    </row>
    <row r="392" spans="2:8">
      <c r="B392" s="81" t="s">
        <v>1794</v>
      </c>
      <c r="C392" s="81">
        <v>560</v>
      </c>
      <c r="D392" s="81" t="s">
        <v>1231</v>
      </c>
      <c r="E392" s="81" t="s">
        <v>108</v>
      </c>
      <c r="F392" s="81" t="s">
        <v>15</v>
      </c>
      <c r="G392" s="81" t="s">
        <v>115</v>
      </c>
      <c r="H392" s="81">
        <v>1</v>
      </c>
    </row>
    <row r="393" spans="2:8">
      <c r="B393" s="81" t="s">
        <v>2171</v>
      </c>
      <c r="C393" s="81">
        <v>172</v>
      </c>
      <c r="D393" s="81" t="s">
        <v>506</v>
      </c>
      <c r="E393" s="81" t="s">
        <v>37</v>
      </c>
      <c r="F393" s="81" t="s">
        <v>415</v>
      </c>
      <c r="G393" s="81" t="s">
        <v>115</v>
      </c>
      <c r="H393" s="81">
        <v>1</v>
      </c>
    </row>
    <row r="394" spans="2:8">
      <c r="B394" s="81" t="s">
        <v>2172</v>
      </c>
      <c r="C394" s="81">
        <v>237</v>
      </c>
      <c r="D394" s="81" t="s">
        <v>631</v>
      </c>
      <c r="E394" s="81" t="s">
        <v>37</v>
      </c>
      <c r="F394" s="81" t="s">
        <v>415</v>
      </c>
      <c r="G394" s="81" t="s">
        <v>115</v>
      </c>
      <c r="H394" s="81">
        <v>1</v>
      </c>
    </row>
    <row r="395" spans="2:8">
      <c r="B395" s="81" t="s">
        <v>2173</v>
      </c>
      <c r="C395" s="81">
        <v>279</v>
      </c>
      <c r="D395" s="81" t="s">
        <v>711</v>
      </c>
      <c r="E395" s="81" t="s">
        <v>37</v>
      </c>
      <c r="F395" s="81" t="s">
        <v>415</v>
      </c>
      <c r="G395" s="81" t="s">
        <v>115</v>
      </c>
      <c r="H395" s="81">
        <v>1</v>
      </c>
    </row>
    <row r="396" spans="2:8">
      <c r="B396" s="81" t="s">
        <v>2174</v>
      </c>
      <c r="C396" s="81">
        <v>561</v>
      </c>
      <c r="D396" s="81" t="s">
        <v>1232</v>
      </c>
      <c r="E396" s="81" t="s">
        <v>37</v>
      </c>
      <c r="F396" s="81" t="s">
        <v>415</v>
      </c>
      <c r="G396" s="81" t="s">
        <v>115</v>
      </c>
      <c r="H396" s="81">
        <v>1</v>
      </c>
    </row>
    <row r="397" spans="2:8">
      <c r="B397" s="81" t="s">
        <v>2175</v>
      </c>
      <c r="C397" s="81">
        <v>627</v>
      </c>
      <c r="D397" s="81" t="s">
        <v>1347</v>
      </c>
      <c r="E397" s="81" t="s">
        <v>37</v>
      </c>
      <c r="F397" s="81" t="s">
        <v>415</v>
      </c>
      <c r="G397" s="81" t="s">
        <v>115</v>
      </c>
      <c r="H397" s="81">
        <v>1</v>
      </c>
    </row>
    <row r="398" spans="2:8">
      <c r="B398" s="81" t="s">
        <v>2176</v>
      </c>
      <c r="C398" s="81">
        <v>632</v>
      </c>
      <c r="D398" s="81" t="s">
        <v>1353</v>
      </c>
      <c r="E398" s="81" t="s">
        <v>37</v>
      </c>
      <c r="F398" s="81" t="s">
        <v>415</v>
      </c>
      <c r="G398" s="81" t="s">
        <v>115</v>
      </c>
      <c r="H398" s="81">
        <v>1</v>
      </c>
    </row>
    <row r="399" spans="2:8">
      <c r="B399" s="81" t="s">
        <v>2177</v>
      </c>
      <c r="C399" s="81">
        <v>172</v>
      </c>
      <c r="D399" s="81" t="s">
        <v>506</v>
      </c>
      <c r="E399" s="81" t="s">
        <v>37</v>
      </c>
      <c r="F399" s="81" t="s">
        <v>415</v>
      </c>
      <c r="G399" s="81" t="s">
        <v>118</v>
      </c>
      <c r="H399" s="81">
        <v>1</v>
      </c>
    </row>
    <row r="400" spans="2:8">
      <c r="B400" s="81" t="s">
        <v>2178</v>
      </c>
      <c r="C400" s="81">
        <v>237</v>
      </c>
      <c r="D400" s="81" t="s">
        <v>631</v>
      </c>
      <c r="E400" s="81" t="s">
        <v>37</v>
      </c>
      <c r="F400" s="81" t="s">
        <v>415</v>
      </c>
      <c r="G400" s="81" t="s">
        <v>118</v>
      </c>
      <c r="H400" s="81">
        <v>1</v>
      </c>
    </row>
    <row r="401" spans="2:8">
      <c r="B401" s="81" t="s">
        <v>2179</v>
      </c>
      <c r="C401" s="81">
        <v>279</v>
      </c>
      <c r="D401" s="81" t="s">
        <v>711</v>
      </c>
      <c r="E401" s="81" t="s">
        <v>37</v>
      </c>
      <c r="F401" s="81" t="s">
        <v>415</v>
      </c>
      <c r="G401" s="81" t="s">
        <v>118</v>
      </c>
      <c r="H401" s="81">
        <v>1</v>
      </c>
    </row>
    <row r="402" spans="2:8">
      <c r="B402" s="81" t="s">
        <v>2183</v>
      </c>
      <c r="C402" s="81">
        <v>429</v>
      </c>
      <c r="D402" s="81" t="s">
        <v>992</v>
      </c>
      <c r="E402" s="81" t="s">
        <v>37</v>
      </c>
      <c r="F402" s="81" t="s">
        <v>415</v>
      </c>
      <c r="G402" s="81" t="s">
        <v>118</v>
      </c>
      <c r="H402" s="81">
        <v>1</v>
      </c>
    </row>
    <row r="403" spans="2:8">
      <c r="B403" s="81" t="s">
        <v>2180</v>
      </c>
      <c r="C403" s="81">
        <v>561</v>
      </c>
      <c r="D403" s="81" t="s">
        <v>1232</v>
      </c>
      <c r="E403" s="81" t="s">
        <v>37</v>
      </c>
      <c r="F403" s="81" t="s">
        <v>415</v>
      </c>
      <c r="G403" s="81" t="s">
        <v>118</v>
      </c>
      <c r="H403" s="81">
        <v>1</v>
      </c>
    </row>
    <row r="404" spans="2:8">
      <c r="B404" s="81" t="s">
        <v>2181</v>
      </c>
      <c r="C404" s="81">
        <v>627</v>
      </c>
      <c r="D404" s="81" t="s">
        <v>1347</v>
      </c>
      <c r="E404" s="81" t="s">
        <v>37</v>
      </c>
      <c r="F404" s="81" t="s">
        <v>415</v>
      </c>
      <c r="G404" s="81" t="s">
        <v>118</v>
      </c>
      <c r="H404" s="81">
        <v>1</v>
      </c>
    </row>
    <row r="405" spans="2:8">
      <c r="B405" s="81" t="s">
        <v>2182</v>
      </c>
      <c r="C405" s="81">
        <v>632</v>
      </c>
      <c r="D405" s="81" t="s">
        <v>1353</v>
      </c>
      <c r="E405" s="81" t="s">
        <v>37</v>
      </c>
      <c r="F405" s="81" t="s">
        <v>415</v>
      </c>
      <c r="G405" s="81" t="s">
        <v>118</v>
      </c>
      <c r="H405" s="81">
        <v>1</v>
      </c>
    </row>
    <row r="406" spans="2:8">
      <c r="B406" s="81" t="s">
        <v>2184</v>
      </c>
      <c r="C406" s="81">
        <v>172</v>
      </c>
      <c r="D406" s="81" t="s">
        <v>506</v>
      </c>
      <c r="E406" s="81" t="s">
        <v>37</v>
      </c>
      <c r="F406" s="81" t="s">
        <v>415</v>
      </c>
      <c r="G406" s="81" t="s">
        <v>117</v>
      </c>
      <c r="H406" s="81">
        <v>1</v>
      </c>
    </row>
    <row r="407" spans="2:8">
      <c r="B407" s="81" t="s">
        <v>2185</v>
      </c>
      <c r="C407" s="81">
        <v>237</v>
      </c>
      <c r="D407" s="81" t="s">
        <v>631</v>
      </c>
      <c r="E407" s="81" t="s">
        <v>37</v>
      </c>
      <c r="F407" s="81" t="s">
        <v>415</v>
      </c>
      <c r="G407" s="81" t="s">
        <v>117</v>
      </c>
      <c r="H407" s="81">
        <v>1</v>
      </c>
    </row>
    <row r="408" spans="2:8">
      <c r="B408" s="81" t="s">
        <v>2186</v>
      </c>
      <c r="C408" s="81">
        <v>279</v>
      </c>
      <c r="D408" s="81" t="s">
        <v>711</v>
      </c>
      <c r="E408" s="81" t="s">
        <v>37</v>
      </c>
      <c r="F408" s="81" t="s">
        <v>415</v>
      </c>
      <c r="G408" s="81" t="s">
        <v>117</v>
      </c>
      <c r="H408" s="81">
        <v>1</v>
      </c>
    </row>
    <row r="409" spans="2:8">
      <c r="B409" s="81" t="s">
        <v>2187</v>
      </c>
      <c r="C409" s="81">
        <v>561</v>
      </c>
      <c r="D409" s="81" t="s">
        <v>1232</v>
      </c>
      <c r="E409" s="81" t="s">
        <v>37</v>
      </c>
      <c r="F409" s="81" t="s">
        <v>415</v>
      </c>
      <c r="G409" s="81" t="s">
        <v>117</v>
      </c>
      <c r="H409" s="81">
        <v>1</v>
      </c>
    </row>
    <row r="410" spans="2:8">
      <c r="B410" s="81" t="s">
        <v>2188</v>
      </c>
      <c r="C410" s="81">
        <v>627</v>
      </c>
      <c r="D410" s="81" t="s">
        <v>1347</v>
      </c>
      <c r="E410" s="81" t="s">
        <v>37</v>
      </c>
      <c r="F410" s="81" t="s">
        <v>415</v>
      </c>
      <c r="G410" s="81" t="s">
        <v>117</v>
      </c>
      <c r="H410" s="81">
        <v>1</v>
      </c>
    </row>
    <row r="411" spans="2:8">
      <c r="B411" s="81" t="s">
        <v>2189</v>
      </c>
      <c r="C411" s="81">
        <v>632</v>
      </c>
      <c r="D411" s="81" t="s">
        <v>1353</v>
      </c>
      <c r="E411" s="81" t="s">
        <v>37</v>
      </c>
      <c r="F411" s="81" t="s">
        <v>415</v>
      </c>
      <c r="G411" s="81" t="s">
        <v>117</v>
      </c>
      <c r="H411" s="81">
        <v>1</v>
      </c>
    </row>
    <row r="412" spans="2:8">
      <c r="B412" s="81" t="s">
        <v>2190</v>
      </c>
      <c r="C412" s="81">
        <v>172</v>
      </c>
      <c r="D412" s="81" t="s">
        <v>506</v>
      </c>
      <c r="E412" s="81" t="s">
        <v>37</v>
      </c>
      <c r="F412" s="81" t="s">
        <v>415</v>
      </c>
      <c r="G412" s="81" t="s">
        <v>114</v>
      </c>
      <c r="H412" s="81">
        <v>1</v>
      </c>
    </row>
    <row r="413" spans="2:8">
      <c r="B413" s="81" t="s">
        <v>2191</v>
      </c>
      <c r="C413" s="81">
        <v>237</v>
      </c>
      <c r="D413" s="81" t="s">
        <v>631</v>
      </c>
      <c r="E413" s="81" t="s">
        <v>37</v>
      </c>
      <c r="F413" s="81" t="s">
        <v>415</v>
      </c>
      <c r="G413" s="81" t="s">
        <v>114</v>
      </c>
      <c r="H413" s="81">
        <v>1</v>
      </c>
    </row>
    <row r="414" spans="2:8">
      <c r="B414" s="81" t="s">
        <v>2192</v>
      </c>
      <c r="C414" s="81">
        <v>279</v>
      </c>
      <c r="D414" s="81" t="s">
        <v>711</v>
      </c>
      <c r="E414" s="81" t="s">
        <v>37</v>
      </c>
      <c r="F414" s="81" t="s">
        <v>415</v>
      </c>
      <c r="G414" s="81" t="s">
        <v>114</v>
      </c>
      <c r="H414" s="81">
        <v>1</v>
      </c>
    </row>
    <row r="415" spans="2:8">
      <c r="B415" s="81" t="s">
        <v>2193</v>
      </c>
      <c r="C415" s="81">
        <v>561</v>
      </c>
      <c r="D415" s="81" t="s">
        <v>1232</v>
      </c>
      <c r="E415" s="81" t="s">
        <v>37</v>
      </c>
      <c r="F415" s="81" t="s">
        <v>415</v>
      </c>
      <c r="G415" s="81" t="s">
        <v>114</v>
      </c>
      <c r="H415" s="81">
        <v>1</v>
      </c>
    </row>
    <row r="416" spans="2:8">
      <c r="B416" s="81" t="s">
        <v>2194</v>
      </c>
      <c r="C416" s="81">
        <v>627</v>
      </c>
      <c r="D416" s="81" t="s">
        <v>1347</v>
      </c>
      <c r="E416" s="81" t="s">
        <v>37</v>
      </c>
      <c r="F416" s="81" t="s">
        <v>415</v>
      </c>
      <c r="G416" s="81" t="s">
        <v>114</v>
      </c>
      <c r="H416" s="81">
        <v>1</v>
      </c>
    </row>
    <row r="417" spans="2:8">
      <c r="B417" s="81" t="s">
        <v>2195</v>
      </c>
      <c r="C417" s="81">
        <v>632</v>
      </c>
      <c r="D417" s="81" t="s">
        <v>1353</v>
      </c>
      <c r="E417" s="81" t="s">
        <v>37</v>
      </c>
      <c r="F417" s="81" t="s">
        <v>415</v>
      </c>
      <c r="G417" s="81" t="s">
        <v>114</v>
      </c>
      <c r="H417" s="81">
        <v>1</v>
      </c>
    </row>
    <row r="418" spans="2:8">
      <c r="B418" s="81" t="s">
        <v>2196</v>
      </c>
      <c r="C418" s="81">
        <v>172</v>
      </c>
      <c r="D418" s="81" t="s">
        <v>506</v>
      </c>
      <c r="E418" s="81" t="s">
        <v>37</v>
      </c>
      <c r="F418" s="81" t="s">
        <v>415</v>
      </c>
      <c r="G418" s="81" t="s">
        <v>113</v>
      </c>
      <c r="H418" s="81">
        <v>1</v>
      </c>
    </row>
    <row r="419" spans="2:8">
      <c r="B419" s="81" t="s">
        <v>2197</v>
      </c>
      <c r="C419" s="81">
        <v>237</v>
      </c>
      <c r="D419" s="81" t="s">
        <v>631</v>
      </c>
      <c r="E419" s="81" t="s">
        <v>37</v>
      </c>
      <c r="F419" s="81" t="s">
        <v>415</v>
      </c>
      <c r="G419" s="81" t="s">
        <v>113</v>
      </c>
      <c r="H419" s="81">
        <v>1</v>
      </c>
    </row>
    <row r="420" spans="2:8">
      <c r="B420" s="81" t="s">
        <v>2198</v>
      </c>
      <c r="C420" s="81">
        <v>279</v>
      </c>
      <c r="D420" s="81" t="s">
        <v>711</v>
      </c>
      <c r="E420" s="81" t="s">
        <v>37</v>
      </c>
      <c r="F420" s="81" t="s">
        <v>415</v>
      </c>
      <c r="G420" s="81" t="s">
        <v>113</v>
      </c>
      <c r="H420" s="81">
        <v>1</v>
      </c>
    </row>
    <row r="421" spans="2:8">
      <c r="B421" s="81" t="s">
        <v>2199</v>
      </c>
      <c r="C421" s="81">
        <v>627</v>
      </c>
      <c r="D421" s="81" t="s">
        <v>1347</v>
      </c>
      <c r="E421" s="81" t="s">
        <v>37</v>
      </c>
      <c r="F421" s="81" t="s">
        <v>415</v>
      </c>
      <c r="G421" s="81" t="s">
        <v>113</v>
      </c>
      <c r="H421" s="81">
        <v>1</v>
      </c>
    </row>
    <row r="422" spans="2:8">
      <c r="B422" s="81" t="s">
        <v>2200</v>
      </c>
      <c r="C422" s="81">
        <v>632</v>
      </c>
      <c r="D422" s="81" t="s">
        <v>1353</v>
      </c>
      <c r="E422" s="81" t="s">
        <v>37</v>
      </c>
      <c r="F422" s="81" t="s">
        <v>415</v>
      </c>
      <c r="G422" s="81" t="s">
        <v>113</v>
      </c>
      <c r="H422" s="81">
        <v>1</v>
      </c>
    </row>
    <row r="423" spans="2:8">
      <c r="B423" s="81" t="s">
        <v>1748</v>
      </c>
      <c r="C423" s="81">
        <v>185</v>
      </c>
      <c r="D423" s="81" t="s">
        <v>524</v>
      </c>
      <c r="E423" s="81" t="s">
        <v>78</v>
      </c>
      <c r="F423" s="81" t="s">
        <v>94</v>
      </c>
      <c r="G423" s="81" t="s">
        <v>115</v>
      </c>
      <c r="H423" s="81">
        <v>1</v>
      </c>
    </row>
    <row r="424" spans="2:8">
      <c r="B424" s="81" t="s">
        <v>1749</v>
      </c>
      <c r="C424" s="81">
        <v>384</v>
      </c>
      <c r="D424" s="81" t="s">
        <v>911</v>
      </c>
      <c r="E424" s="81" t="s">
        <v>78</v>
      </c>
      <c r="F424" s="81" t="s">
        <v>93</v>
      </c>
      <c r="G424" s="81" t="s">
        <v>115</v>
      </c>
      <c r="H424" s="81">
        <v>1</v>
      </c>
    </row>
    <row r="425" spans="2:8">
      <c r="B425" s="81" t="s">
        <v>1750</v>
      </c>
      <c r="C425" s="81">
        <v>185</v>
      </c>
      <c r="D425" s="81" t="s">
        <v>524</v>
      </c>
      <c r="E425" s="81" t="s">
        <v>78</v>
      </c>
      <c r="F425" s="81" t="s">
        <v>94</v>
      </c>
      <c r="G425" s="81" t="s">
        <v>118</v>
      </c>
      <c r="H425" s="81">
        <v>1</v>
      </c>
    </row>
    <row r="426" spans="2:8">
      <c r="B426" s="81" t="s">
        <v>1751</v>
      </c>
      <c r="C426" s="81">
        <v>384</v>
      </c>
      <c r="D426" s="81" t="s">
        <v>911</v>
      </c>
      <c r="E426" s="81" t="s">
        <v>78</v>
      </c>
      <c r="F426" s="81" t="s">
        <v>93</v>
      </c>
      <c r="G426" s="81" t="s">
        <v>118</v>
      </c>
      <c r="H426" s="81">
        <v>1</v>
      </c>
    </row>
    <row r="427" spans="2:8">
      <c r="B427" s="81" t="s">
        <v>1823</v>
      </c>
      <c r="C427" s="81">
        <v>201</v>
      </c>
      <c r="D427" s="81" t="s">
        <v>559</v>
      </c>
      <c r="E427" s="81" t="s">
        <v>108</v>
      </c>
      <c r="F427" s="81" t="s">
        <v>27</v>
      </c>
      <c r="G427" s="81" t="s">
        <v>114</v>
      </c>
      <c r="H427" s="81">
        <v>1</v>
      </c>
    </row>
    <row r="428" spans="2:8">
      <c r="B428" s="81" t="s">
        <v>1820</v>
      </c>
      <c r="C428" s="81">
        <v>376</v>
      </c>
      <c r="D428" s="81" t="s">
        <v>900</v>
      </c>
      <c r="E428" s="81" t="s">
        <v>108</v>
      </c>
      <c r="F428" s="81" t="s">
        <v>27</v>
      </c>
      <c r="G428" s="81" t="s">
        <v>114</v>
      </c>
      <c r="H428" s="81">
        <v>1</v>
      </c>
    </row>
    <row r="429" spans="2:8">
      <c r="B429" s="81" t="s">
        <v>1821</v>
      </c>
      <c r="C429" s="81">
        <v>480</v>
      </c>
      <c r="D429" s="81" t="s">
        <v>1557</v>
      </c>
      <c r="E429" s="81" t="s">
        <v>108</v>
      </c>
      <c r="F429" s="81" t="s">
        <v>27</v>
      </c>
      <c r="G429" s="81" t="s">
        <v>114</v>
      </c>
      <c r="H429" s="81">
        <v>1</v>
      </c>
    </row>
    <row r="430" spans="2:8">
      <c r="B430" s="81" t="s">
        <v>1824</v>
      </c>
      <c r="C430" s="81">
        <v>583</v>
      </c>
      <c r="D430" s="81" t="s">
        <v>1265</v>
      </c>
      <c r="E430" s="81" t="s">
        <v>108</v>
      </c>
      <c r="F430" s="81" t="s">
        <v>27</v>
      </c>
      <c r="G430" s="81" t="s">
        <v>114</v>
      </c>
      <c r="H430" s="81">
        <v>1</v>
      </c>
    </row>
    <row r="431" spans="2:8">
      <c r="B431" s="81" t="s">
        <v>1825</v>
      </c>
      <c r="C431" s="81">
        <v>608</v>
      </c>
      <c r="D431" s="81" t="s">
        <v>1309</v>
      </c>
      <c r="E431" s="81" t="s">
        <v>108</v>
      </c>
      <c r="F431" s="81" t="s">
        <v>27</v>
      </c>
      <c r="G431" s="81" t="s">
        <v>114</v>
      </c>
      <c r="H431" s="81">
        <v>1</v>
      </c>
    </row>
    <row r="432" spans="2:8">
      <c r="B432" s="81" t="s">
        <v>1826</v>
      </c>
      <c r="C432" s="81">
        <v>643</v>
      </c>
      <c r="D432" s="81" t="s">
        <v>1371</v>
      </c>
      <c r="E432" s="81" t="s">
        <v>108</v>
      </c>
      <c r="F432" s="81" t="s">
        <v>27</v>
      </c>
      <c r="G432" s="81" t="s">
        <v>114</v>
      </c>
      <c r="H432" s="81">
        <v>1</v>
      </c>
    </row>
    <row r="433" spans="2:8">
      <c r="B433" s="81" t="s">
        <v>1827</v>
      </c>
      <c r="C433" s="81">
        <v>653</v>
      </c>
      <c r="D433" s="81" t="s">
        <v>1385</v>
      </c>
      <c r="E433" s="81" t="s">
        <v>108</v>
      </c>
      <c r="F433" s="81" t="s">
        <v>27</v>
      </c>
      <c r="G433" s="81" t="s">
        <v>114</v>
      </c>
      <c r="H433" s="81">
        <v>1</v>
      </c>
    </row>
    <row r="434" spans="2:8">
      <c r="B434" s="81" t="s">
        <v>1828</v>
      </c>
      <c r="C434" s="81">
        <v>668</v>
      </c>
      <c r="D434" s="81" t="s">
        <v>1597</v>
      </c>
      <c r="E434" s="81" t="s">
        <v>108</v>
      </c>
      <c r="F434" s="81" t="s">
        <v>27</v>
      </c>
      <c r="G434" s="81" t="s">
        <v>114</v>
      </c>
      <c r="H434" s="81">
        <v>1</v>
      </c>
    </row>
    <row r="435" spans="2:8">
      <c r="B435" s="81" t="s">
        <v>1822</v>
      </c>
      <c r="C435" s="81">
        <v>684</v>
      </c>
      <c r="D435" s="81" t="s">
        <v>1454</v>
      </c>
      <c r="E435" s="81" t="s">
        <v>108</v>
      </c>
      <c r="F435" s="81" t="s">
        <v>27</v>
      </c>
      <c r="G435" s="81" t="s">
        <v>114</v>
      </c>
      <c r="H435" s="81">
        <v>1</v>
      </c>
    </row>
    <row r="436" spans="2:8">
      <c r="B436" s="81" t="s">
        <v>1754</v>
      </c>
      <c r="C436" s="81">
        <v>203</v>
      </c>
      <c r="D436" s="81" t="s">
        <v>562</v>
      </c>
      <c r="E436" s="81" t="s">
        <v>78</v>
      </c>
      <c r="F436" s="81" t="s">
        <v>93</v>
      </c>
      <c r="G436" s="81" t="s">
        <v>117</v>
      </c>
      <c r="H436" s="81">
        <v>1</v>
      </c>
    </row>
    <row r="437" spans="2:8">
      <c r="B437" s="81" t="s">
        <v>1755</v>
      </c>
      <c r="C437" s="81">
        <v>378</v>
      </c>
      <c r="D437" s="81" t="s">
        <v>903</v>
      </c>
      <c r="E437" s="81" t="s">
        <v>78</v>
      </c>
      <c r="F437" s="81" t="s">
        <v>94</v>
      </c>
      <c r="G437" s="81" t="s">
        <v>117</v>
      </c>
      <c r="H437" s="81">
        <v>1</v>
      </c>
    </row>
    <row r="438" spans="2:8">
      <c r="B438" s="81" t="s">
        <v>1756</v>
      </c>
      <c r="C438" s="81">
        <v>384</v>
      </c>
      <c r="D438" s="81" t="s">
        <v>911</v>
      </c>
      <c r="E438" s="81" t="s">
        <v>78</v>
      </c>
      <c r="F438" s="81" t="s">
        <v>93</v>
      </c>
      <c r="G438" s="81" t="s">
        <v>117</v>
      </c>
      <c r="H438" s="81">
        <v>1</v>
      </c>
    </row>
    <row r="439" spans="2:8">
      <c r="B439" s="81" t="s">
        <v>1757</v>
      </c>
      <c r="C439" s="81">
        <v>203</v>
      </c>
      <c r="D439" s="81" t="s">
        <v>562</v>
      </c>
      <c r="E439" s="81" t="s">
        <v>78</v>
      </c>
      <c r="F439" s="81" t="s">
        <v>93</v>
      </c>
      <c r="G439" s="81" t="s">
        <v>113</v>
      </c>
      <c r="H439" s="81">
        <v>1</v>
      </c>
    </row>
    <row r="440" spans="2:8">
      <c r="B440" s="81" t="s">
        <v>1758</v>
      </c>
      <c r="C440" s="81">
        <v>384</v>
      </c>
      <c r="D440" s="81" t="s">
        <v>911</v>
      </c>
      <c r="E440" s="81" t="s">
        <v>78</v>
      </c>
      <c r="F440" s="81" t="s">
        <v>93</v>
      </c>
      <c r="G440" s="81" t="s">
        <v>113</v>
      </c>
      <c r="H440" s="81">
        <v>1</v>
      </c>
    </row>
    <row r="441" spans="2:8">
      <c r="B441" s="81" t="s">
        <v>1759</v>
      </c>
      <c r="C441" s="81">
        <v>543</v>
      </c>
      <c r="D441" s="81" t="s">
        <v>1192</v>
      </c>
      <c r="E441" s="81" t="s">
        <v>78</v>
      </c>
      <c r="F441" s="81" t="s">
        <v>97</v>
      </c>
      <c r="G441" s="81" t="s">
        <v>113</v>
      </c>
      <c r="H441" s="81">
        <v>1</v>
      </c>
    </row>
    <row r="442" spans="2:8">
      <c r="B442" s="81" t="s">
        <v>1769</v>
      </c>
      <c r="C442" s="81">
        <v>204</v>
      </c>
      <c r="D442" s="81" t="s">
        <v>563</v>
      </c>
      <c r="E442" s="81" t="s">
        <v>75</v>
      </c>
      <c r="F442" s="81" t="s">
        <v>85</v>
      </c>
      <c r="G442" s="81" t="s">
        <v>118</v>
      </c>
      <c r="H442" s="81">
        <v>1</v>
      </c>
    </row>
    <row r="443" spans="2:8">
      <c r="B443" s="81" t="s">
        <v>1770</v>
      </c>
      <c r="C443" s="81">
        <v>380</v>
      </c>
      <c r="D443" s="81" t="s">
        <v>906</v>
      </c>
      <c r="E443" s="81" t="s">
        <v>75</v>
      </c>
      <c r="F443" s="81" t="s">
        <v>85</v>
      </c>
      <c r="G443" s="81" t="s">
        <v>118</v>
      </c>
      <c r="H443" s="81">
        <v>1</v>
      </c>
    </row>
    <row r="444" spans="2:8">
      <c r="B444" s="81" t="s">
        <v>1767</v>
      </c>
      <c r="C444" s="81">
        <v>629</v>
      </c>
      <c r="D444" s="81" t="s">
        <v>1350</v>
      </c>
      <c r="E444" s="81" t="s">
        <v>75</v>
      </c>
      <c r="F444" s="81" t="s">
        <v>85</v>
      </c>
      <c r="G444" s="81" t="s">
        <v>118</v>
      </c>
      <c r="H444" s="81">
        <v>1</v>
      </c>
    </row>
    <row r="445" spans="2:8">
      <c r="B445" s="81" t="s">
        <v>1768</v>
      </c>
      <c r="C445" s="81">
        <v>688</v>
      </c>
      <c r="D445" s="81" t="s">
        <v>1459</v>
      </c>
      <c r="E445" s="81" t="s">
        <v>75</v>
      </c>
      <c r="F445" s="81" t="s">
        <v>85</v>
      </c>
      <c r="G445" s="81" t="s">
        <v>118</v>
      </c>
      <c r="H445" s="81">
        <v>1</v>
      </c>
    </row>
    <row r="446" spans="2:8">
      <c r="B446" s="81" t="s">
        <v>1772</v>
      </c>
      <c r="C446" s="81">
        <v>204</v>
      </c>
      <c r="D446" s="81" t="s">
        <v>563</v>
      </c>
      <c r="E446" s="81" t="s">
        <v>75</v>
      </c>
      <c r="F446" s="81" t="s">
        <v>85</v>
      </c>
      <c r="G446" s="81" t="s">
        <v>117</v>
      </c>
      <c r="H446" s="81">
        <v>1</v>
      </c>
    </row>
    <row r="447" spans="2:8">
      <c r="B447" s="81" t="s">
        <v>1773</v>
      </c>
      <c r="C447" s="81">
        <v>380</v>
      </c>
      <c r="D447" s="81" t="s">
        <v>906</v>
      </c>
      <c r="E447" s="81" t="s">
        <v>75</v>
      </c>
      <c r="F447" s="81" t="s">
        <v>85</v>
      </c>
      <c r="G447" s="81" t="s">
        <v>117</v>
      </c>
      <c r="H447" s="81">
        <v>1</v>
      </c>
    </row>
    <row r="448" spans="2:8">
      <c r="B448" s="81" t="s">
        <v>1771</v>
      </c>
      <c r="C448" s="81">
        <v>688</v>
      </c>
      <c r="D448" s="81" t="s">
        <v>1459</v>
      </c>
      <c r="E448" s="81" t="s">
        <v>75</v>
      </c>
      <c r="F448" s="81" t="s">
        <v>85</v>
      </c>
      <c r="G448" s="81" t="s">
        <v>117</v>
      </c>
      <c r="H448" s="81">
        <v>1</v>
      </c>
    </row>
    <row r="449" spans="2:8">
      <c r="B449" s="81" t="s">
        <v>1761</v>
      </c>
      <c r="C449" s="81">
        <v>216</v>
      </c>
      <c r="D449" s="81" t="s">
        <v>595</v>
      </c>
      <c r="E449" s="81" t="s">
        <v>108</v>
      </c>
      <c r="F449" s="81" t="s">
        <v>48</v>
      </c>
      <c r="G449" s="81" t="s">
        <v>115</v>
      </c>
      <c r="H449" s="81">
        <v>1</v>
      </c>
    </row>
    <row r="450" spans="2:8">
      <c r="B450" s="81" t="s">
        <v>1762</v>
      </c>
      <c r="C450" s="81">
        <v>218</v>
      </c>
      <c r="D450" s="81" t="s">
        <v>598</v>
      </c>
      <c r="E450" s="81" t="s">
        <v>108</v>
      </c>
      <c r="F450" s="81" t="s">
        <v>48</v>
      </c>
      <c r="G450" s="81" t="s">
        <v>115</v>
      </c>
      <c r="H450" s="81">
        <v>1</v>
      </c>
    </row>
    <row r="451" spans="2:8">
      <c r="B451" s="81" t="s">
        <v>1763</v>
      </c>
      <c r="C451" s="81">
        <v>295</v>
      </c>
      <c r="D451" s="81" t="s">
        <v>737</v>
      </c>
      <c r="E451" s="81" t="s">
        <v>108</v>
      </c>
      <c r="F451" s="81" t="s">
        <v>48</v>
      </c>
      <c r="G451" s="81" t="s">
        <v>115</v>
      </c>
      <c r="H451" s="81">
        <v>1</v>
      </c>
    </row>
    <row r="452" spans="2:8">
      <c r="B452" s="81" t="s">
        <v>2276</v>
      </c>
      <c r="C452" s="81">
        <v>218</v>
      </c>
      <c r="D452" s="81" t="s">
        <v>598</v>
      </c>
      <c r="E452" s="81" t="s">
        <v>108</v>
      </c>
      <c r="F452" s="81" t="s">
        <v>48</v>
      </c>
      <c r="G452" s="81" t="s">
        <v>118</v>
      </c>
      <c r="H452" s="81">
        <v>1</v>
      </c>
    </row>
    <row r="453" spans="2:8">
      <c r="B453" s="81" t="s">
        <v>2277</v>
      </c>
      <c r="C453" s="81">
        <v>295</v>
      </c>
      <c r="D453" s="81" t="s">
        <v>737</v>
      </c>
      <c r="E453" s="81" t="s">
        <v>108</v>
      </c>
      <c r="F453" s="81" t="s">
        <v>48</v>
      </c>
      <c r="G453" s="81" t="s">
        <v>118</v>
      </c>
      <c r="H453" s="81">
        <v>1</v>
      </c>
    </row>
    <row r="454" spans="2:8">
      <c r="B454" s="81" t="s">
        <v>2278</v>
      </c>
      <c r="C454" s="81">
        <v>218</v>
      </c>
      <c r="D454" s="81" t="s">
        <v>598</v>
      </c>
      <c r="E454" s="81" t="s">
        <v>108</v>
      </c>
      <c r="F454" s="81" t="s">
        <v>48</v>
      </c>
      <c r="G454" s="81" t="s">
        <v>117</v>
      </c>
      <c r="H454" s="81">
        <v>1</v>
      </c>
    </row>
    <row r="455" spans="2:8">
      <c r="B455" s="81" t="s">
        <v>2279</v>
      </c>
      <c r="C455" s="81">
        <v>295</v>
      </c>
      <c r="D455" s="81" t="s">
        <v>737</v>
      </c>
      <c r="E455" s="81" t="s">
        <v>108</v>
      </c>
      <c r="F455" s="81" t="s">
        <v>48</v>
      </c>
      <c r="G455" s="81" t="s">
        <v>117</v>
      </c>
      <c r="H455" s="81">
        <v>1</v>
      </c>
    </row>
    <row r="456" spans="2:8">
      <c r="B456" s="81" t="s">
        <v>2280</v>
      </c>
      <c r="C456" s="81">
        <v>218</v>
      </c>
      <c r="D456" s="81" t="s">
        <v>598</v>
      </c>
      <c r="E456" s="81" t="s">
        <v>108</v>
      </c>
      <c r="F456" s="81" t="s">
        <v>48</v>
      </c>
      <c r="G456" s="81" t="s">
        <v>114</v>
      </c>
      <c r="H456" s="81">
        <v>1</v>
      </c>
    </row>
    <row r="457" spans="2:8">
      <c r="B457" s="81" t="s">
        <v>2281</v>
      </c>
      <c r="C457" s="81">
        <v>295</v>
      </c>
      <c r="D457" s="81" t="s">
        <v>737</v>
      </c>
      <c r="E457" s="81" t="s">
        <v>108</v>
      </c>
      <c r="F457" s="81" t="s">
        <v>48</v>
      </c>
      <c r="G457" s="81" t="s">
        <v>114</v>
      </c>
      <c r="H457" s="81">
        <v>1</v>
      </c>
    </row>
    <row r="458" spans="2:8">
      <c r="B458" s="81" t="s">
        <v>2201</v>
      </c>
      <c r="C458" s="81">
        <v>237</v>
      </c>
      <c r="D458" s="81" t="s">
        <v>631</v>
      </c>
      <c r="E458" s="81" t="s">
        <v>37</v>
      </c>
      <c r="F458" s="81" t="s">
        <v>415</v>
      </c>
      <c r="G458" s="81" t="s">
        <v>112</v>
      </c>
      <c r="H458" s="81">
        <v>1</v>
      </c>
    </row>
    <row r="459" spans="2:8">
      <c r="B459" s="81" t="s">
        <v>2202</v>
      </c>
      <c r="C459" s="81">
        <v>279</v>
      </c>
      <c r="D459" s="81" t="s">
        <v>711</v>
      </c>
      <c r="E459" s="81" t="s">
        <v>37</v>
      </c>
      <c r="F459" s="81" t="s">
        <v>415</v>
      </c>
      <c r="G459" s="81" t="s">
        <v>112</v>
      </c>
      <c r="H459" s="81">
        <v>1</v>
      </c>
    </row>
    <row r="460" spans="2:8">
      <c r="B460" s="81" t="s">
        <v>2203</v>
      </c>
      <c r="C460" s="81">
        <v>627</v>
      </c>
      <c r="D460" s="81" t="s">
        <v>1347</v>
      </c>
      <c r="E460" s="81" t="s">
        <v>37</v>
      </c>
      <c r="F460" s="81" t="s">
        <v>415</v>
      </c>
      <c r="G460" s="81" t="s">
        <v>112</v>
      </c>
      <c r="H460" s="81">
        <v>1</v>
      </c>
    </row>
    <row r="461" spans="2:8">
      <c r="B461" s="81" t="s">
        <v>2204</v>
      </c>
      <c r="C461" s="81">
        <v>632</v>
      </c>
      <c r="D461" s="81" t="s">
        <v>1353</v>
      </c>
      <c r="E461" s="81" t="s">
        <v>37</v>
      </c>
      <c r="F461" s="81" t="s">
        <v>415</v>
      </c>
      <c r="G461" s="81" t="s">
        <v>112</v>
      </c>
      <c r="H461" s="81">
        <v>1</v>
      </c>
    </row>
    <row r="462" spans="2:8">
      <c r="B462" s="81" t="s">
        <v>2205</v>
      </c>
      <c r="C462" s="81">
        <v>237</v>
      </c>
      <c r="D462" s="81" t="s">
        <v>631</v>
      </c>
      <c r="E462" s="81" t="s">
        <v>37</v>
      </c>
      <c r="F462" s="81" t="s">
        <v>415</v>
      </c>
      <c r="G462" s="81" t="s">
        <v>4</v>
      </c>
      <c r="H462" s="81">
        <v>1</v>
      </c>
    </row>
    <row r="463" spans="2:8">
      <c r="B463" s="81" t="s">
        <v>2206</v>
      </c>
      <c r="C463" s="81">
        <v>279</v>
      </c>
      <c r="D463" s="81" t="s">
        <v>711</v>
      </c>
      <c r="E463" s="81" t="s">
        <v>37</v>
      </c>
      <c r="F463" s="81" t="s">
        <v>415</v>
      </c>
      <c r="G463" s="81" t="s">
        <v>4</v>
      </c>
      <c r="H463" s="81">
        <v>1</v>
      </c>
    </row>
    <row r="464" spans="2:8">
      <c r="B464" s="81" t="s">
        <v>2207</v>
      </c>
      <c r="C464" s="81">
        <v>627</v>
      </c>
      <c r="D464" s="81" t="s">
        <v>1347</v>
      </c>
      <c r="E464" s="81" t="s">
        <v>37</v>
      </c>
      <c r="F464" s="81" t="s">
        <v>415</v>
      </c>
      <c r="G464" s="81" t="s">
        <v>4</v>
      </c>
      <c r="H464" s="81">
        <v>1</v>
      </c>
    </row>
    <row r="465" spans="2:8">
      <c r="B465" s="81" t="s">
        <v>1852</v>
      </c>
      <c r="C465" s="81">
        <v>245</v>
      </c>
      <c r="D465" s="81" t="s">
        <v>643</v>
      </c>
      <c r="E465" s="81" t="s">
        <v>108</v>
      </c>
      <c r="F465" s="81" t="s">
        <v>27</v>
      </c>
      <c r="G465" s="81" t="s">
        <v>115</v>
      </c>
      <c r="H465" s="81">
        <v>1</v>
      </c>
    </row>
    <row r="466" spans="2:8">
      <c r="B466" s="81" t="s">
        <v>1850</v>
      </c>
      <c r="C466" s="81">
        <v>480</v>
      </c>
      <c r="D466" s="81" t="s">
        <v>1557</v>
      </c>
      <c r="E466" s="81" t="s">
        <v>108</v>
      </c>
      <c r="F466" s="81" t="s">
        <v>27</v>
      </c>
      <c r="G466" s="81" t="s">
        <v>115</v>
      </c>
      <c r="H466" s="81">
        <v>1</v>
      </c>
    </row>
    <row r="467" spans="2:8">
      <c r="B467" s="81" t="s">
        <v>1853</v>
      </c>
      <c r="C467" s="81">
        <v>602</v>
      </c>
      <c r="D467" s="81" t="s">
        <v>1302</v>
      </c>
      <c r="E467" s="81" t="s">
        <v>108</v>
      </c>
      <c r="F467" s="81" t="s">
        <v>27</v>
      </c>
      <c r="G467" s="81" t="s">
        <v>115</v>
      </c>
      <c r="H467" s="81">
        <v>1</v>
      </c>
    </row>
    <row r="468" spans="2:8">
      <c r="B468" s="81" t="s">
        <v>1854</v>
      </c>
      <c r="C468" s="81">
        <v>653</v>
      </c>
      <c r="D468" s="81" t="s">
        <v>1385</v>
      </c>
      <c r="E468" s="81" t="s">
        <v>108</v>
      </c>
      <c r="F468" s="81" t="s">
        <v>27</v>
      </c>
      <c r="G468" s="81" t="s">
        <v>115</v>
      </c>
      <c r="H468" s="81">
        <v>1</v>
      </c>
    </row>
    <row r="469" spans="2:8">
      <c r="B469" s="81" t="s">
        <v>1855</v>
      </c>
      <c r="C469" s="81">
        <v>656</v>
      </c>
      <c r="D469" s="81" t="s">
        <v>1390</v>
      </c>
      <c r="E469" s="81" t="s">
        <v>108</v>
      </c>
      <c r="F469" s="81" t="s">
        <v>27</v>
      </c>
      <c r="G469" s="81" t="s">
        <v>115</v>
      </c>
      <c r="H469" s="81">
        <v>1</v>
      </c>
    </row>
    <row r="470" spans="2:8">
      <c r="B470" s="81" t="s">
        <v>1856</v>
      </c>
      <c r="C470" s="81">
        <v>668</v>
      </c>
      <c r="D470" s="81" t="s">
        <v>1597</v>
      </c>
      <c r="E470" s="81" t="s">
        <v>108</v>
      </c>
      <c r="F470" s="81" t="s">
        <v>27</v>
      </c>
      <c r="G470" s="81" t="s">
        <v>115</v>
      </c>
      <c r="H470" s="81">
        <v>1</v>
      </c>
    </row>
    <row r="471" spans="2:8">
      <c r="B471" s="81" t="s">
        <v>1851</v>
      </c>
      <c r="C471" s="81">
        <v>684</v>
      </c>
      <c r="D471" s="81" t="s">
        <v>1454</v>
      </c>
      <c r="E471" s="81" t="s">
        <v>108</v>
      </c>
      <c r="F471" s="81" t="s">
        <v>27</v>
      </c>
      <c r="G471" s="81" t="s">
        <v>115</v>
      </c>
      <c r="H471" s="81">
        <v>1</v>
      </c>
    </row>
    <row r="472" spans="2:8">
      <c r="B472" s="81" t="s">
        <v>1857</v>
      </c>
      <c r="C472" s="81">
        <v>695</v>
      </c>
      <c r="D472" s="81" t="s">
        <v>1471</v>
      </c>
      <c r="E472" s="81" t="s">
        <v>108</v>
      </c>
      <c r="F472" s="81" t="s">
        <v>27</v>
      </c>
      <c r="G472" s="81" t="s">
        <v>115</v>
      </c>
      <c r="H472" s="81">
        <v>1</v>
      </c>
    </row>
    <row r="473" spans="2:8">
      <c r="B473" s="81" t="s">
        <v>1858</v>
      </c>
      <c r="C473" s="81">
        <v>696</v>
      </c>
      <c r="D473" s="81" t="s">
        <v>1472</v>
      </c>
      <c r="E473" s="81" t="s">
        <v>108</v>
      </c>
      <c r="F473" s="81" t="s">
        <v>27</v>
      </c>
      <c r="G473" s="81" t="s">
        <v>115</v>
      </c>
      <c r="H473" s="81">
        <v>1</v>
      </c>
    </row>
    <row r="474" spans="2:8">
      <c r="B474" s="81" t="s">
        <v>1638</v>
      </c>
      <c r="C474" s="81">
        <v>247</v>
      </c>
      <c r="D474" s="81" t="s">
        <v>646</v>
      </c>
      <c r="E474" s="81" t="s">
        <v>29</v>
      </c>
      <c r="F474" s="81" t="s">
        <v>29</v>
      </c>
      <c r="G474" s="81" t="s">
        <v>115</v>
      </c>
      <c r="H474" s="81">
        <v>1</v>
      </c>
    </row>
    <row r="475" spans="2:8">
      <c r="B475" s="81" t="s">
        <v>1727</v>
      </c>
      <c r="C475" s="81">
        <v>248</v>
      </c>
      <c r="D475" s="81" t="s">
        <v>647</v>
      </c>
      <c r="E475" s="81" t="s">
        <v>35</v>
      </c>
      <c r="F475" s="81" t="s">
        <v>35</v>
      </c>
      <c r="G475" s="81" t="s">
        <v>118</v>
      </c>
      <c r="H475" s="81">
        <v>1</v>
      </c>
    </row>
    <row r="476" spans="2:8">
      <c r="B476" s="81" t="s">
        <v>1728</v>
      </c>
      <c r="C476" s="81">
        <v>581</v>
      </c>
      <c r="D476" s="81" t="s">
        <v>1262</v>
      </c>
      <c r="E476" s="81" t="s">
        <v>35</v>
      </c>
      <c r="F476" s="81" t="s">
        <v>35</v>
      </c>
      <c r="G476" s="81" t="s">
        <v>118</v>
      </c>
      <c r="H476" s="81">
        <v>1</v>
      </c>
    </row>
    <row r="477" spans="2:8">
      <c r="B477" s="81" t="s">
        <v>1729</v>
      </c>
      <c r="C477" s="81">
        <v>591</v>
      </c>
      <c r="D477" s="81" t="s">
        <v>1277</v>
      </c>
      <c r="E477" s="81" t="s">
        <v>35</v>
      </c>
      <c r="F477" s="81" t="s">
        <v>35</v>
      </c>
      <c r="G477" s="81" t="s">
        <v>118</v>
      </c>
      <c r="H477" s="81">
        <v>1</v>
      </c>
    </row>
    <row r="478" spans="2:8">
      <c r="B478" s="81" t="s">
        <v>1730</v>
      </c>
      <c r="C478" s="81">
        <v>605</v>
      </c>
      <c r="D478" s="81" t="s">
        <v>1306</v>
      </c>
      <c r="E478" s="81" t="s">
        <v>35</v>
      </c>
      <c r="F478" s="81" t="s">
        <v>35</v>
      </c>
      <c r="G478" s="81" t="s">
        <v>118</v>
      </c>
      <c r="H478" s="81">
        <v>1</v>
      </c>
    </row>
    <row r="479" spans="2:8">
      <c r="B479" s="81" t="s">
        <v>1731</v>
      </c>
      <c r="C479" s="81">
        <v>248</v>
      </c>
      <c r="D479" s="81" t="s">
        <v>647</v>
      </c>
      <c r="E479" s="81" t="s">
        <v>35</v>
      </c>
      <c r="F479" s="81" t="s">
        <v>35</v>
      </c>
      <c r="G479" s="81" t="s">
        <v>117</v>
      </c>
      <c r="H479" s="81">
        <v>1</v>
      </c>
    </row>
    <row r="480" spans="2:8">
      <c r="B480" s="81" t="s">
        <v>1732</v>
      </c>
      <c r="C480" s="81">
        <v>551</v>
      </c>
      <c r="D480" s="81" t="s">
        <v>1214</v>
      </c>
      <c r="E480" s="81" t="s">
        <v>35</v>
      </c>
      <c r="F480" s="81" t="s">
        <v>35</v>
      </c>
      <c r="G480" s="81" t="s">
        <v>117</v>
      </c>
      <c r="H480" s="81">
        <v>1</v>
      </c>
    </row>
    <row r="481" spans="2:8">
      <c r="B481" s="81" t="s">
        <v>1733</v>
      </c>
      <c r="C481" s="81">
        <v>566</v>
      </c>
      <c r="D481" s="81" t="s">
        <v>1596</v>
      </c>
      <c r="E481" s="81" t="s">
        <v>35</v>
      </c>
      <c r="F481" s="81" t="s">
        <v>35</v>
      </c>
      <c r="G481" s="81" t="s">
        <v>117</v>
      </c>
      <c r="H481" s="81">
        <v>1</v>
      </c>
    </row>
    <row r="482" spans="2:8">
      <c r="B482" s="81" t="s">
        <v>1734</v>
      </c>
      <c r="C482" s="81">
        <v>581</v>
      </c>
      <c r="D482" s="81" t="s">
        <v>1262</v>
      </c>
      <c r="E482" s="81" t="s">
        <v>35</v>
      </c>
      <c r="F482" s="81" t="s">
        <v>35</v>
      </c>
      <c r="G482" s="81" t="s">
        <v>117</v>
      </c>
      <c r="H482" s="81">
        <v>1</v>
      </c>
    </row>
    <row r="483" spans="2:8">
      <c r="B483" s="81" t="s">
        <v>1735</v>
      </c>
      <c r="C483" s="81">
        <v>585</v>
      </c>
      <c r="D483" s="81" t="s">
        <v>1267</v>
      </c>
      <c r="E483" s="81" t="s">
        <v>35</v>
      </c>
      <c r="F483" s="81" t="s">
        <v>35</v>
      </c>
      <c r="G483" s="81" t="s">
        <v>117</v>
      </c>
      <c r="H483" s="81">
        <v>1</v>
      </c>
    </row>
    <row r="484" spans="2:8">
      <c r="B484" s="81" t="s">
        <v>1736</v>
      </c>
      <c r="C484" s="81">
        <v>591</v>
      </c>
      <c r="D484" s="81" t="s">
        <v>1277</v>
      </c>
      <c r="E484" s="81" t="s">
        <v>35</v>
      </c>
      <c r="F484" s="81" t="s">
        <v>35</v>
      </c>
      <c r="G484" s="81" t="s">
        <v>117</v>
      </c>
      <c r="H484" s="81">
        <v>1</v>
      </c>
    </row>
    <row r="485" spans="2:8">
      <c r="B485" s="81" t="s">
        <v>1737</v>
      </c>
      <c r="C485" s="81">
        <v>601</v>
      </c>
      <c r="D485" s="81" t="s">
        <v>1301</v>
      </c>
      <c r="E485" s="81" t="s">
        <v>35</v>
      </c>
      <c r="F485" s="81" t="s">
        <v>35</v>
      </c>
      <c r="G485" s="81" t="s">
        <v>117</v>
      </c>
      <c r="H485" s="81">
        <v>1</v>
      </c>
    </row>
    <row r="486" spans="2:8">
      <c r="B486" s="81" t="s">
        <v>1738</v>
      </c>
      <c r="C486" s="81">
        <v>605</v>
      </c>
      <c r="D486" s="81" t="s">
        <v>1306</v>
      </c>
      <c r="E486" s="81" t="s">
        <v>35</v>
      </c>
      <c r="F486" s="81" t="s">
        <v>35</v>
      </c>
      <c r="G486" s="81" t="s">
        <v>117</v>
      </c>
      <c r="H486" s="81">
        <v>1</v>
      </c>
    </row>
    <row r="487" spans="2:8">
      <c r="B487" s="81" t="s">
        <v>1739</v>
      </c>
      <c r="C487" s="81">
        <v>606</v>
      </c>
      <c r="D487" s="81" t="s">
        <v>1307</v>
      </c>
      <c r="E487" s="81" t="s">
        <v>35</v>
      </c>
      <c r="F487" s="81" t="s">
        <v>35</v>
      </c>
      <c r="G487" s="81" t="s">
        <v>117</v>
      </c>
      <c r="H487" s="81">
        <v>1</v>
      </c>
    </row>
    <row r="488" spans="2:8">
      <c r="B488" s="81" t="s">
        <v>1740</v>
      </c>
      <c r="C488" s="81">
        <v>610</v>
      </c>
      <c r="D488" s="81" t="s">
        <v>1312</v>
      </c>
      <c r="E488" s="81" t="s">
        <v>35</v>
      </c>
      <c r="F488" s="81" t="s">
        <v>35</v>
      </c>
      <c r="G488" s="81" t="s">
        <v>117</v>
      </c>
      <c r="H488" s="81">
        <v>1</v>
      </c>
    </row>
    <row r="489" spans="2:8">
      <c r="B489" s="81" t="s">
        <v>1741</v>
      </c>
      <c r="C489" s="81">
        <v>248</v>
      </c>
      <c r="D489" s="81" t="s">
        <v>647</v>
      </c>
      <c r="E489" s="81" t="s">
        <v>35</v>
      </c>
      <c r="F489" s="81" t="s">
        <v>35</v>
      </c>
      <c r="G489" s="81" t="s">
        <v>114</v>
      </c>
      <c r="H489" s="81">
        <v>1</v>
      </c>
    </row>
    <row r="490" spans="2:8">
      <c r="B490" s="81" t="s">
        <v>1742</v>
      </c>
      <c r="C490" s="81">
        <v>551</v>
      </c>
      <c r="D490" s="81" t="s">
        <v>1214</v>
      </c>
      <c r="E490" s="81" t="s">
        <v>35</v>
      </c>
      <c r="F490" s="81" t="s">
        <v>35</v>
      </c>
      <c r="G490" s="81" t="s">
        <v>114</v>
      </c>
      <c r="H490" s="81">
        <v>1</v>
      </c>
    </row>
    <row r="491" spans="2:8">
      <c r="B491" s="81" t="s">
        <v>1743</v>
      </c>
      <c r="C491" s="81">
        <v>571</v>
      </c>
      <c r="D491" s="81" t="s">
        <v>1247</v>
      </c>
      <c r="E491" s="81" t="s">
        <v>35</v>
      </c>
      <c r="F491" s="81" t="s">
        <v>35</v>
      </c>
      <c r="G491" s="81" t="s">
        <v>114</v>
      </c>
      <c r="H491" s="81">
        <v>1</v>
      </c>
    </row>
    <row r="492" spans="2:8">
      <c r="B492" s="81" t="s">
        <v>1744</v>
      </c>
      <c r="C492" s="81">
        <v>591</v>
      </c>
      <c r="D492" s="81" t="s">
        <v>1277</v>
      </c>
      <c r="E492" s="81" t="s">
        <v>35</v>
      </c>
      <c r="F492" s="81" t="s">
        <v>35</v>
      </c>
      <c r="G492" s="81" t="s">
        <v>114</v>
      </c>
      <c r="H492" s="81">
        <v>1</v>
      </c>
    </row>
    <row r="493" spans="2:8">
      <c r="B493" s="81" t="s">
        <v>1745</v>
      </c>
      <c r="C493" s="81">
        <v>599</v>
      </c>
      <c r="D493" s="81" t="s">
        <v>1299</v>
      </c>
      <c r="E493" s="81" t="s">
        <v>35</v>
      </c>
      <c r="F493" s="81" t="s">
        <v>35</v>
      </c>
      <c r="G493" s="81" t="s">
        <v>114</v>
      </c>
      <c r="H493" s="81">
        <v>1</v>
      </c>
    </row>
    <row r="494" spans="2:8">
      <c r="B494" s="81" t="s">
        <v>1746</v>
      </c>
      <c r="C494" s="81">
        <v>610</v>
      </c>
      <c r="D494" s="81" t="s">
        <v>1312</v>
      </c>
      <c r="E494" s="81" t="s">
        <v>35</v>
      </c>
      <c r="F494" s="81" t="s">
        <v>35</v>
      </c>
      <c r="G494" s="81" t="s">
        <v>114</v>
      </c>
      <c r="H494" s="81">
        <v>1</v>
      </c>
    </row>
    <row r="495" spans="2:8">
      <c r="B495" s="81" t="s">
        <v>1747</v>
      </c>
      <c r="C495" s="81">
        <v>698</v>
      </c>
      <c r="D495" s="81" t="s">
        <v>1474</v>
      </c>
      <c r="E495" s="81" t="s">
        <v>35</v>
      </c>
      <c r="F495" s="81" t="s">
        <v>35</v>
      </c>
      <c r="G495" s="81" t="s">
        <v>114</v>
      </c>
      <c r="H495" s="81">
        <v>1</v>
      </c>
    </row>
    <row r="496" spans="2:8">
      <c r="B496" s="81" t="s">
        <v>1832</v>
      </c>
      <c r="C496" s="81">
        <v>255</v>
      </c>
      <c r="D496" s="81" t="s">
        <v>664</v>
      </c>
      <c r="E496" s="81" t="s">
        <v>21</v>
      </c>
      <c r="F496" s="81" t="s">
        <v>21</v>
      </c>
      <c r="G496" s="81" t="s">
        <v>115</v>
      </c>
      <c r="H496" s="81">
        <v>1</v>
      </c>
    </row>
    <row r="497" spans="2:8">
      <c r="B497" s="81" t="s">
        <v>1833</v>
      </c>
      <c r="C497" s="81">
        <v>273</v>
      </c>
      <c r="D497" s="81" t="s">
        <v>703</v>
      </c>
      <c r="E497" s="81" t="s">
        <v>21</v>
      </c>
      <c r="F497" s="81" t="s">
        <v>21</v>
      </c>
      <c r="G497" s="81" t="s">
        <v>115</v>
      </c>
      <c r="H497" s="81">
        <v>1</v>
      </c>
    </row>
    <row r="498" spans="2:8">
      <c r="B498" s="81" t="s">
        <v>1834</v>
      </c>
      <c r="C498" s="81">
        <v>327</v>
      </c>
      <c r="D498" s="81" t="s">
        <v>799</v>
      </c>
      <c r="E498" s="81" t="s">
        <v>21</v>
      </c>
      <c r="F498" s="81" t="s">
        <v>21</v>
      </c>
      <c r="G498" s="81" t="s">
        <v>115</v>
      </c>
      <c r="H498" s="81">
        <v>1</v>
      </c>
    </row>
    <row r="499" spans="2:8">
      <c r="B499" s="81" t="s">
        <v>1835</v>
      </c>
      <c r="C499" s="81">
        <v>553</v>
      </c>
      <c r="D499" s="81" t="s">
        <v>1217</v>
      </c>
      <c r="E499" s="81" t="s">
        <v>21</v>
      </c>
      <c r="F499" s="81" t="s">
        <v>21</v>
      </c>
      <c r="G499" s="81" t="s">
        <v>115</v>
      </c>
      <c r="H499" s="81">
        <v>1</v>
      </c>
    </row>
    <row r="500" spans="2:8">
      <c r="B500" s="81" t="s">
        <v>1836</v>
      </c>
      <c r="C500" s="81">
        <v>255</v>
      </c>
      <c r="D500" s="81" t="s">
        <v>664</v>
      </c>
      <c r="E500" s="81" t="s">
        <v>21</v>
      </c>
      <c r="F500" s="81" t="s">
        <v>21</v>
      </c>
      <c r="G500" s="81" t="s">
        <v>118</v>
      </c>
      <c r="H500" s="81">
        <v>1</v>
      </c>
    </row>
    <row r="501" spans="2:8">
      <c r="B501" s="81" t="s">
        <v>1837</v>
      </c>
      <c r="C501" s="81">
        <v>273</v>
      </c>
      <c r="D501" s="81" t="s">
        <v>703</v>
      </c>
      <c r="E501" s="81" t="s">
        <v>21</v>
      </c>
      <c r="F501" s="81" t="s">
        <v>21</v>
      </c>
      <c r="G501" s="81" t="s">
        <v>118</v>
      </c>
      <c r="H501" s="81">
        <v>1</v>
      </c>
    </row>
    <row r="502" spans="2:8">
      <c r="B502" s="81" t="s">
        <v>1838</v>
      </c>
      <c r="C502" s="81">
        <v>327</v>
      </c>
      <c r="D502" s="81" t="s">
        <v>799</v>
      </c>
      <c r="E502" s="81" t="s">
        <v>21</v>
      </c>
      <c r="F502" s="81" t="s">
        <v>21</v>
      </c>
      <c r="G502" s="81" t="s">
        <v>118</v>
      </c>
      <c r="H502" s="81">
        <v>1</v>
      </c>
    </row>
    <row r="503" spans="2:8">
      <c r="B503" s="81" t="s">
        <v>1674</v>
      </c>
      <c r="C503" s="81">
        <v>553</v>
      </c>
      <c r="D503" s="81" t="s">
        <v>1217</v>
      </c>
      <c r="E503" s="81" t="s">
        <v>21</v>
      </c>
      <c r="F503" s="81" t="s">
        <v>21</v>
      </c>
      <c r="G503" s="81" t="s">
        <v>118</v>
      </c>
      <c r="H503" s="81">
        <v>1</v>
      </c>
    </row>
    <row r="504" spans="2:8">
      <c r="B504" s="81" t="s">
        <v>1839</v>
      </c>
      <c r="C504" s="81">
        <v>255</v>
      </c>
      <c r="D504" s="81" t="s">
        <v>664</v>
      </c>
      <c r="E504" s="81" t="s">
        <v>21</v>
      </c>
      <c r="F504" s="81" t="s">
        <v>21</v>
      </c>
      <c r="G504" s="81" t="s">
        <v>117</v>
      </c>
      <c r="H504" s="81">
        <v>1</v>
      </c>
    </row>
    <row r="505" spans="2:8">
      <c r="B505" s="81" t="s">
        <v>1840</v>
      </c>
      <c r="C505" s="81">
        <v>273</v>
      </c>
      <c r="D505" s="81" t="s">
        <v>703</v>
      </c>
      <c r="E505" s="81" t="s">
        <v>21</v>
      </c>
      <c r="F505" s="81" t="s">
        <v>21</v>
      </c>
      <c r="G505" s="81" t="s">
        <v>117</v>
      </c>
      <c r="H505" s="81">
        <v>1</v>
      </c>
    </row>
    <row r="506" spans="2:8">
      <c r="B506" s="81" t="s">
        <v>1841</v>
      </c>
      <c r="C506" s="81">
        <v>327</v>
      </c>
      <c r="D506" s="81" t="s">
        <v>799</v>
      </c>
      <c r="E506" s="81" t="s">
        <v>21</v>
      </c>
      <c r="F506" s="81" t="s">
        <v>21</v>
      </c>
      <c r="G506" s="81" t="s">
        <v>117</v>
      </c>
      <c r="H506" s="81">
        <v>1</v>
      </c>
    </row>
    <row r="507" spans="2:8">
      <c r="B507" s="81" t="s">
        <v>1842</v>
      </c>
      <c r="C507" s="81">
        <v>553</v>
      </c>
      <c r="D507" s="81" t="s">
        <v>1217</v>
      </c>
      <c r="E507" s="81" t="s">
        <v>21</v>
      </c>
      <c r="F507" s="81" t="s">
        <v>21</v>
      </c>
      <c r="G507" s="81" t="s">
        <v>117</v>
      </c>
      <c r="H507" s="81">
        <v>1</v>
      </c>
    </row>
    <row r="508" spans="2:8">
      <c r="B508" s="81" t="s">
        <v>1843</v>
      </c>
      <c r="C508" s="81">
        <v>255</v>
      </c>
      <c r="D508" s="81" t="s">
        <v>664</v>
      </c>
      <c r="E508" s="81" t="s">
        <v>21</v>
      </c>
      <c r="F508" s="81" t="s">
        <v>21</v>
      </c>
      <c r="G508" s="81" t="s">
        <v>114</v>
      </c>
      <c r="H508" s="81">
        <v>1</v>
      </c>
    </row>
    <row r="509" spans="2:8">
      <c r="B509" s="81" t="s">
        <v>1844</v>
      </c>
      <c r="C509" s="81">
        <v>273</v>
      </c>
      <c r="D509" s="81" t="s">
        <v>703</v>
      </c>
      <c r="E509" s="81" t="s">
        <v>21</v>
      </c>
      <c r="F509" s="81" t="s">
        <v>21</v>
      </c>
      <c r="G509" s="81" t="s">
        <v>114</v>
      </c>
      <c r="H509" s="81">
        <v>1</v>
      </c>
    </row>
    <row r="510" spans="2:8">
      <c r="B510" s="81" t="s">
        <v>1845</v>
      </c>
      <c r="C510" s="81">
        <v>327</v>
      </c>
      <c r="D510" s="81" t="s">
        <v>799</v>
      </c>
      <c r="E510" s="81" t="s">
        <v>21</v>
      </c>
      <c r="F510" s="81" t="s">
        <v>21</v>
      </c>
      <c r="G510" s="81" t="s">
        <v>114</v>
      </c>
      <c r="H510" s="81">
        <v>1</v>
      </c>
    </row>
    <row r="511" spans="2:8">
      <c r="B511" s="81" t="s">
        <v>1846</v>
      </c>
      <c r="C511" s="81">
        <v>553</v>
      </c>
      <c r="D511" s="81" t="s">
        <v>1217</v>
      </c>
      <c r="E511" s="81" t="s">
        <v>21</v>
      </c>
      <c r="F511" s="81" t="s">
        <v>21</v>
      </c>
      <c r="G511" s="81" t="s">
        <v>114</v>
      </c>
      <c r="H511" s="81">
        <v>1</v>
      </c>
    </row>
    <row r="512" spans="2:8">
      <c r="B512" s="81" t="s">
        <v>1847</v>
      </c>
      <c r="C512" s="81">
        <v>255</v>
      </c>
      <c r="D512" s="81" t="s">
        <v>664</v>
      </c>
      <c r="E512" s="81" t="s">
        <v>21</v>
      </c>
      <c r="F512" s="81" t="s">
        <v>21</v>
      </c>
      <c r="G512" s="81" t="s">
        <v>113</v>
      </c>
      <c r="H512" s="81">
        <v>1</v>
      </c>
    </row>
    <row r="513" spans="2:8">
      <c r="B513" s="81" t="s">
        <v>1848</v>
      </c>
      <c r="C513" s="81">
        <v>273</v>
      </c>
      <c r="D513" s="81" t="s">
        <v>703</v>
      </c>
      <c r="E513" s="81" t="s">
        <v>21</v>
      </c>
      <c r="F513" s="81" t="s">
        <v>21</v>
      </c>
      <c r="G513" s="81" t="s">
        <v>113</v>
      </c>
      <c r="H513" s="81">
        <v>1</v>
      </c>
    </row>
    <row r="514" spans="2:8">
      <c r="B514" s="81" t="s">
        <v>1849</v>
      </c>
      <c r="C514" s="81">
        <v>327</v>
      </c>
      <c r="D514" s="81" t="s">
        <v>799</v>
      </c>
      <c r="E514" s="81" t="s">
        <v>21</v>
      </c>
      <c r="F514" s="81" t="s">
        <v>21</v>
      </c>
      <c r="G514" s="81" t="s">
        <v>113</v>
      </c>
      <c r="H514" s="81">
        <v>1</v>
      </c>
    </row>
    <row r="515" spans="2:8">
      <c r="B515" s="81" t="s">
        <v>1797</v>
      </c>
      <c r="C515" s="81">
        <v>293</v>
      </c>
      <c r="D515" s="81" t="s">
        <v>734</v>
      </c>
      <c r="E515" s="81" t="s">
        <v>108</v>
      </c>
      <c r="F515" s="81" t="s">
        <v>15</v>
      </c>
      <c r="G515" s="81" t="s">
        <v>118</v>
      </c>
      <c r="H515" s="81">
        <v>1</v>
      </c>
    </row>
    <row r="516" spans="2:8">
      <c r="B516" s="81" t="s">
        <v>1798</v>
      </c>
      <c r="C516" s="81">
        <v>409</v>
      </c>
      <c r="D516" s="81" t="s">
        <v>963</v>
      </c>
      <c r="E516" s="81" t="s">
        <v>108</v>
      </c>
      <c r="F516" s="81" t="s">
        <v>15</v>
      </c>
      <c r="G516" s="81" t="s">
        <v>118</v>
      </c>
      <c r="H516" s="81">
        <v>1</v>
      </c>
    </row>
    <row r="517" spans="2:8">
      <c r="B517" s="81" t="s">
        <v>1799</v>
      </c>
      <c r="C517" s="81">
        <v>418</v>
      </c>
      <c r="D517" s="81" t="s">
        <v>975</v>
      </c>
      <c r="E517" s="81" t="s">
        <v>108</v>
      </c>
      <c r="F517" s="81" t="s">
        <v>15</v>
      </c>
      <c r="G517" s="81" t="s">
        <v>118</v>
      </c>
      <c r="H517" s="81">
        <v>1</v>
      </c>
    </row>
    <row r="518" spans="2:8">
      <c r="B518" s="81" t="s">
        <v>1800</v>
      </c>
      <c r="C518" s="81">
        <v>560</v>
      </c>
      <c r="D518" s="81" t="s">
        <v>1231</v>
      </c>
      <c r="E518" s="81" t="s">
        <v>108</v>
      </c>
      <c r="F518" s="81" t="s">
        <v>15</v>
      </c>
      <c r="G518" s="81" t="s">
        <v>118</v>
      </c>
      <c r="H518" s="81">
        <v>1</v>
      </c>
    </row>
    <row r="519" spans="2:8">
      <c r="B519" s="81" t="s">
        <v>1801</v>
      </c>
      <c r="C519" s="81">
        <v>293</v>
      </c>
      <c r="D519" s="81" t="s">
        <v>734</v>
      </c>
      <c r="E519" s="81" t="s">
        <v>108</v>
      </c>
      <c r="F519" s="81" t="s">
        <v>15</v>
      </c>
      <c r="G519" s="81" t="s">
        <v>117</v>
      </c>
      <c r="H519" s="81">
        <v>1</v>
      </c>
    </row>
    <row r="520" spans="2:8">
      <c r="B520" s="81" t="s">
        <v>1802</v>
      </c>
      <c r="C520" s="81">
        <v>409</v>
      </c>
      <c r="D520" s="81" t="s">
        <v>963</v>
      </c>
      <c r="E520" s="81" t="s">
        <v>108</v>
      </c>
      <c r="F520" s="81" t="s">
        <v>15</v>
      </c>
      <c r="G520" s="81" t="s">
        <v>117</v>
      </c>
      <c r="H520" s="81">
        <v>1</v>
      </c>
    </row>
    <row r="521" spans="2:8">
      <c r="B521" s="81" t="s">
        <v>1803</v>
      </c>
      <c r="C521" s="81">
        <v>418</v>
      </c>
      <c r="D521" s="81" t="s">
        <v>975</v>
      </c>
      <c r="E521" s="81" t="s">
        <v>108</v>
      </c>
      <c r="F521" s="81" t="s">
        <v>15</v>
      </c>
      <c r="G521" s="81" t="s">
        <v>117</v>
      </c>
      <c r="H521" s="81">
        <v>1</v>
      </c>
    </row>
    <row r="522" spans="2:8">
      <c r="B522" s="81" t="s">
        <v>1804</v>
      </c>
      <c r="C522" s="81">
        <v>560</v>
      </c>
      <c r="D522" s="81" t="s">
        <v>1231</v>
      </c>
      <c r="E522" s="81" t="s">
        <v>108</v>
      </c>
      <c r="F522" s="81" t="s">
        <v>15</v>
      </c>
      <c r="G522" s="81" t="s">
        <v>117</v>
      </c>
      <c r="H522" s="81">
        <v>1</v>
      </c>
    </row>
    <row r="523" spans="2:8">
      <c r="B523" s="81" t="s">
        <v>1805</v>
      </c>
      <c r="C523" s="81">
        <v>293</v>
      </c>
      <c r="D523" s="81" t="s">
        <v>734</v>
      </c>
      <c r="E523" s="81" t="s">
        <v>108</v>
      </c>
      <c r="F523" s="81" t="s">
        <v>15</v>
      </c>
      <c r="G523" s="81" t="s">
        <v>114</v>
      </c>
      <c r="H523" s="81">
        <v>1</v>
      </c>
    </row>
    <row r="524" spans="2:8">
      <c r="B524" s="81" t="s">
        <v>1806</v>
      </c>
      <c r="C524" s="81">
        <v>418</v>
      </c>
      <c r="D524" s="81" t="s">
        <v>975</v>
      </c>
      <c r="E524" s="81" t="s">
        <v>108</v>
      </c>
      <c r="F524" s="81" t="s">
        <v>15</v>
      </c>
      <c r="G524" s="81" t="s">
        <v>114</v>
      </c>
      <c r="H524" s="81">
        <v>1</v>
      </c>
    </row>
    <row r="525" spans="2:8">
      <c r="B525" s="81" t="s">
        <v>1807</v>
      </c>
      <c r="C525" s="81">
        <v>560</v>
      </c>
      <c r="D525" s="81" t="s">
        <v>1231</v>
      </c>
      <c r="E525" s="81" t="s">
        <v>108</v>
      </c>
      <c r="F525" s="81" t="s">
        <v>15</v>
      </c>
      <c r="G525" s="81" t="s">
        <v>114</v>
      </c>
      <c r="H525" s="81">
        <v>1</v>
      </c>
    </row>
    <row r="526" spans="2:8">
      <c r="B526" s="81" t="s">
        <v>1808</v>
      </c>
      <c r="C526" s="81">
        <v>293</v>
      </c>
      <c r="D526" s="81" t="s">
        <v>734</v>
      </c>
      <c r="E526" s="81" t="s">
        <v>108</v>
      </c>
      <c r="F526" s="81" t="s">
        <v>15</v>
      </c>
      <c r="G526" s="81" t="s">
        <v>113</v>
      </c>
      <c r="H526" s="81">
        <v>1</v>
      </c>
    </row>
    <row r="527" spans="2:8">
      <c r="B527" s="81" t="s">
        <v>1809</v>
      </c>
      <c r="C527" s="81">
        <v>409</v>
      </c>
      <c r="D527" s="81" t="s">
        <v>963</v>
      </c>
      <c r="E527" s="81" t="s">
        <v>108</v>
      </c>
      <c r="F527" s="81" t="s">
        <v>15</v>
      </c>
      <c r="G527" s="81" t="s">
        <v>113</v>
      </c>
      <c r="H527" s="81">
        <v>1</v>
      </c>
    </row>
    <row r="528" spans="2:8">
      <c r="B528" s="81" t="s">
        <v>1810</v>
      </c>
      <c r="C528" s="81">
        <v>418</v>
      </c>
      <c r="D528" s="81" t="s">
        <v>975</v>
      </c>
      <c r="E528" s="81" t="s">
        <v>108</v>
      </c>
      <c r="F528" s="81" t="s">
        <v>15</v>
      </c>
      <c r="G528" s="81" t="s">
        <v>113</v>
      </c>
      <c r="H528" s="81">
        <v>1</v>
      </c>
    </row>
    <row r="529" spans="2:8">
      <c r="B529" s="81" t="s">
        <v>2282</v>
      </c>
      <c r="C529" s="81">
        <v>295</v>
      </c>
      <c r="D529" s="81" t="s">
        <v>737</v>
      </c>
      <c r="E529" s="81" t="s">
        <v>108</v>
      </c>
      <c r="F529" s="81" t="s">
        <v>48</v>
      </c>
      <c r="G529" s="81" t="s">
        <v>113</v>
      </c>
      <c r="H529" s="81">
        <v>1</v>
      </c>
    </row>
    <row r="530" spans="2:8">
      <c r="B530" s="81" t="s">
        <v>1993</v>
      </c>
      <c r="C530" s="81">
        <v>308</v>
      </c>
      <c r="D530" s="81" t="s">
        <v>759</v>
      </c>
      <c r="E530" s="81" t="s">
        <v>108</v>
      </c>
      <c r="F530" s="81" t="s">
        <v>108</v>
      </c>
      <c r="G530" s="81" t="s">
        <v>115</v>
      </c>
      <c r="H530" s="81">
        <v>1</v>
      </c>
    </row>
    <row r="531" spans="2:8">
      <c r="B531" s="81" t="s">
        <v>1991</v>
      </c>
      <c r="C531" s="81">
        <v>311</v>
      </c>
      <c r="D531" s="81" t="s">
        <v>764</v>
      </c>
      <c r="E531" s="81" t="s">
        <v>108</v>
      </c>
      <c r="F531" s="81" t="s">
        <v>108</v>
      </c>
      <c r="G531" s="81" t="s">
        <v>115</v>
      </c>
      <c r="H531" s="81">
        <v>1</v>
      </c>
    </row>
    <row r="532" spans="2:8">
      <c r="B532" s="81" t="s">
        <v>1994</v>
      </c>
      <c r="C532" s="81">
        <v>433</v>
      </c>
      <c r="D532" s="81" t="s">
        <v>998</v>
      </c>
      <c r="E532" s="81" t="s">
        <v>108</v>
      </c>
      <c r="F532" s="81" t="s">
        <v>108</v>
      </c>
      <c r="G532" s="81" t="s">
        <v>115</v>
      </c>
      <c r="H532" s="81">
        <v>1</v>
      </c>
    </row>
    <row r="533" spans="2:8">
      <c r="B533" s="81" t="s">
        <v>1995</v>
      </c>
      <c r="C533" s="81">
        <v>453</v>
      </c>
      <c r="D533" s="81" t="s">
        <v>1030</v>
      </c>
      <c r="E533" s="81" t="s">
        <v>108</v>
      </c>
      <c r="F533" s="81" t="s">
        <v>109</v>
      </c>
      <c r="G533" s="81" t="s">
        <v>115</v>
      </c>
      <c r="H533" s="81">
        <v>1</v>
      </c>
    </row>
    <row r="534" spans="2:8">
      <c r="B534" s="81" t="s">
        <v>1992</v>
      </c>
      <c r="C534" s="81">
        <v>732</v>
      </c>
      <c r="D534" s="81" t="s">
        <v>1614</v>
      </c>
      <c r="E534" s="81" t="s">
        <v>108</v>
      </c>
      <c r="F534" s="81" t="s">
        <v>108</v>
      </c>
      <c r="G534" s="81" t="s">
        <v>115</v>
      </c>
      <c r="H534" s="81">
        <v>1</v>
      </c>
    </row>
    <row r="535" spans="2:8">
      <c r="B535" s="81" t="s">
        <v>2008</v>
      </c>
      <c r="C535" s="81">
        <v>308</v>
      </c>
      <c r="D535" s="81" t="s">
        <v>759</v>
      </c>
      <c r="E535" s="81" t="s">
        <v>108</v>
      </c>
      <c r="F535" s="81" t="s">
        <v>108</v>
      </c>
      <c r="G535" s="81" t="s">
        <v>118</v>
      </c>
      <c r="H535" s="81">
        <v>1</v>
      </c>
    </row>
    <row r="536" spans="2:8">
      <c r="B536" s="81" t="s">
        <v>2007</v>
      </c>
      <c r="C536" s="81">
        <v>732</v>
      </c>
      <c r="D536" s="81" t="s">
        <v>1614</v>
      </c>
      <c r="E536" s="81" t="s">
        <v>108</v>
      </c>
      <c r="F536" s="81" t="s">
        <v>108</v>
      </c>
      <c r="G536" s="81" t="s">
        <v>118</v>
      </c>
      <c r="H536" s="81">
        <v>1</v>
      </c>
    </row>
    <row r="537" spans="2:8">
      <c r="B537" s="81" t="s">
        <v>1997</v>
      </c>
      <c r="C537" s="81">
        <v>308</v>
      </c>
      <c r="D537" s="81" t="s">
        <v>759</v>
      </c>
      <c r="E537" s="81" t="s">
        <v>108</v>
      </c>
      <c r="F537" s="81" t="s">
        <v>108</v>
      </c>
      <c r="G537" s="81" t="s">
        <v>117</v>
      </c>
      <c r="H537" s="81">
        <v>1</v>
      </c>
    </row>
    <row r="538" spans="2:8">
      <c r="B538" s="81" t="s">
        <v>1996</v>
      </c>
      <c r="C538" s="81">
        <v>732</v>
      </c>
      <c r="D538" s="81" t="s">
        <v>1614</v>
      </c>
      <c r="E538" s="81" t="s">
        <v>108</v>
      </c>
      <c r="F538" s="81" t="s">
        <v>108</v>
      </c>
      <c r="G538" s="81" t="s">
        <v>117</v>
      </c>
      <c r="H538" s="81">
        <v>1</v>
      </c>
    </row>
    <row r="539" spans="2:8">
      <c r="B539" s="81" t="s">
        <v>1999</v>
      </c>
      <c r="C539" s="81">
        <v>308</v>
      </c>
      <c r="D539" s="81" t="s">
        <v>759</v>
      </c>
      <c r="E539" s="81" t="s">
        <v>108</v>
      </c>
      <c r="F539" s="81" t="s">
        <v>108</v>
      </c>
      <c r="G539" s="81" t="s">
        <v>114</v>
      </c>
      <c r="H539" s="81">
        <v>1</v>
      </c>
    </row>
    <row r="540" spans="2:8">
      <c r="B540" s="81" t="s">
        <v>1998</v>
      </c>
      <c r="C540" s="81">
        <v>732</v>
      </c>
      <c r="D540" s="81" t="s">
        <v>1614</v>
      </c>
      <c r="E540" s="81" t="s">
        <v>108</v>
      </c>
      <c r="F540" s="81" t="s">
        <v>108</v>
      </c>
      <c r="G540" s="81" t="s">
        <v>114</v>
      </c>
      <c r="H540" s="81">
        <v>1</v>
      </c>
    </row>
    <row r="541" spans="2:8">
      <c r="B541" s="81" t="s">
        <v>2001</v>
      </c>
      <c r="C541" s="81">
        <v>308</v>
      </c>
      <c r="D541" s="81" t="s">
        <v>759</v>
      </c>
      <c r="E541" s="81" t="s">
        <v>108</v>
      </c>
      <c r="F541" s="81" t="s">
        <v>108</v>
      </c>
      <c r="G541" s="81" t="s">
        <v>113</v>
      </c>
      <c r="H541" s="81">
        <v>1</v>
      </c>
    </row>
    <row r="542" spans="2:8">
      <c r="B542" s="81" t="s">
        <v>2000</v>
      </c>
      <c r="C542" s="81">
        <v>732</v>
      </c>
      <c r="D542" s="81" t="s">
        <v>1614</v>
      </c>
      <c r="E542" s="81" t="s">
        <v>108</v>
      </c>
      <c r="F542" s="81" t="s">
        <v>108</v>
      </c>
      <c r="G542" s="81" t="s">
        <v>113</v>
      </c>
      <c r="H542" s="81">
        <v>1</v>
      </c>
    </row>
    <row r="543" spans="2:8">
      <c r="B543" s="81" t="s">
        <v>2003</v>
      </c>
      <c r="C543" s="81">
        <v>308</v>
      </c>
      <c r="D543" s="81" t="s">
        <v>759</v>
      </c>
      <c r="E543" s="81" t="s">
        <v>108</v>
      </c>
      <c r="F543" s="81" t="s">
        <v>108</v>
      </c>
      <c r="G543" s="81" t="s">
        <v>112</v>
      </c>
      <c r="H543" s="81">
        <v>1</v>
      </c>
    </row>
    <row r="544" spans="2:8">
      <c r="B544" s="81" t="s">
        <v>2002</v>
      </c>
      <c r="C544" s="81">
        <v>732</v>
      </c>
      <c r="D544" s="81" t="s">
        <v>1614</v>
      </c>
      <c r="E544" s="81" t="s">
        <v>108</v>
      </c>
      <c r="F544" s="81" t="s">
        <v>108</v>
      </c>
      <c r="G544" s="81" t="s">
        <v>112</v>
      </c>
      <c r="H544" s="81">
        <v>1</v>
      </c>
    </row>
    <row r="545" spans="2:8">
      <c r="B545" s="81" t="s">
        <v>2006</v>
      </c>
      <c r="C545" s="81">
        <v>308</v>
      </c>
      <c r="D545" s="81" t="s">
        <v>759</v>
      </c>
      <c r="E545" s="81" t="s">
        <v>108</v>
      </c>
      <c r="F545" s="81" t="s">
        <v>108</v>
      </c>
      <c r="G545" s="81" t="s">
        <v>4</v>
      </c>
      <c r="H545" s="81">
        <v>1</v>
      </c>
    </row>
    <row r="546" spans="2:8">
      <c r="B546" s="81" t="s">
        <v>2004</v>
      </c>
      <c r="C546" s="81">
        <v>311</v>
      </c>
      <c r="D546" s="81" t="s">
        <v>764</v>
      </c>
      <c r="E546" s="81" t="s">
        <v>108</v>
      </c>
      <c r="F546" s="81" t="s">
        <v>108</v>
      </c>
      <c r="G546" s="81" t="s">
        <v>4</v>
      </c>
      <c r="H546" s="81">
        <v>2</v>
      </c>
    </row>
    <row r="547" spans="2:8">
      <c r="B547" s="81" t="s">
        <v>2005</v>
      </c>
      <c r="C547" s="81">
        <v>732</v>
      </c>
      <c r="D547" s="81" t="s">
        <v>1614</v>
      </c>
      <c r="E547" s="81" t="s">
        <v>108</v>
      </c>
      <c r="F547" s="81" t="s">
        <v>108</v>
      </c>
      <c r="G547" s="81" t="s">
        <v>4</v>
      </c>
      <c r="H547" s="81">
        <v>1</v>
      </c>
    </row>
    <row r="548" spans="2:8">
      <c r="B548" s="81" t="s">
        <v>2290</v>
      </c>
      <c r="C548" s="81">
        <v>332</v>
      </c>
      <c r="D548" s="81" t="s">
        <v>1199</v>
      </c>
      <c r="E548" s="81" t="s">
        <v>74</v>
      </c>
      <c r="F548" s="81" t="s">
        <v>74</v>
      </c>
      <c r="G548" s="81" t="s">
        <v>115</v>
      </c>
      <c r="H548" s="81">
        <v>1</v>
      </c>
    </row>
    <row r="549" spans="2:8">
      <c r="B549" s="81" t="s">
        <v>2291</v>
      </c>
      <c r="C549" s="81">
        <v>434</v>
      </c>
      <c r="D549" s="81" t="s">
        <v>999</v>
      </c>
      <c r="E549" s="81" t="s">
        <v>74</v>
      </c>
      <c r="F549" s="81" t="s">
        <v>84</v>
      </c>
      <c r="G549" s="81" t="s">
        <v>115</v>
      </c>
      <c r="H549" s="81">
        <v>1</v>
      </c>
    </row>
    <row r="550" spans="2:8">
      <c r="B550" s="81" t="s">
        <v>2285</v>
      </c>
      <c r="C550" s="81">
        <v>332</v>
      </c>
      <c r="D550" s="81" t="s">
        <v>1199</v>
      </c>
      <c r="E550" s="81" t="s">
        <v>74</v>
      </c>
      <c r="F550" s="81" t="s">
        <v>74</v>
      </c>
      <c r="G550" s="81" t="s">
        <v>118</v>
      </c>
      <c r="H550" s="81">
        <v>1</v>
      </c>
    </row>
    <row r="551" spans="2:8">
      <c r="B551" s="81" t="s">
        <v>2286</v>
      </c>
      <c r="C551" s="81">
        <v>332</v>
      </c>
      <c r="D551" s="81" t="s">
        <v>1199</v>
      </c>
      <c r="E551" s="81" t="s">
        <v>74</v>
      </c>
      <c r="F551" s="81" t="s">
        <v>74</v>
      </c>
      <c r="G551" s="81" t="s">
        <v>117</v>
      </c>
      <c r="H551" s="81">
        <v>1</v>
      </c>
    </row>
    <row r="552" spans="2:8">
      <c r="B552" s="81" t="s">
        <v>2287</v>
      </c>
      <c r="C552" s="81">
        <v>434</v>
      </c>
      <c r="D552" s="81" t="s">
        <v>999</v>
      </c>
      <c r="E552" s="81" t="s">
        <v>74</v>
      </c>
      <c r="F552" s="81" t="s">
        <v>84</v>
      </c>
      <c r="G552" s="81" t="s">
        <v>117</v>
      </c>
      <c r="H552" s="81">
        <v>1</v>
      </c>
    </row>
    <row r="553" spans="2:8">
      <c r="B553" s="81" t="s">
        <v>2288</v>
      </c>
      <c r="C553" s="81">
        <v>332</v>
      </c>
      <c r="D553" s="81" t="s">
        <v>1199</v>
      </c>
      <c r="E553" s="81" t="s">
        <v>74</v>
      </c>
      <c r="F553" s="81" t="s">
        <v>74</v>
      </c>
      <c r="G553" s="81" t="s">
        <v>113</v>
      </c>
      <c r="H553" s="81">
        <v>1</v>
      </c>
    </row>
    <row r="554" spans="2:8">
      <c r="B554" s="81" t="s">
        <v>2289</v>
      </c>
      <c r="C554" s="81">
        <v>434</v>
      </c>
      <c r="D554" s="81" t="s">
        <v>999</v>
      </c>
      <c r="E554" s="81" t="s">
        <v>74</v>
      </c>
      <c r="F554" s="81" t="s">
        <v>84</v>
      </c>
      <c r="G554" s="81" t="s">
        <v>113</v>
      </c>
      <c r="H554" s="81">
        <v>1</v>
      </c>
    </row>
    <row r="555" spans="2:8">
      <c r="B555" s="81" t="s">
        <v>2307</v>
      </c>
      <c r="C555" s="81">
        <v>332</v>
      </c>
      <c r="D555" s="81" t="s">
        <v>1199</v>
      </c>
      <c r="E555" s="81" t="s">
        <v>74</v>
      </c>
      <c r="F555" s="81" t="s">
        <v>74</v>
      </c>
      <c r="G555" s="81" t="s">
        <v>112</v>
      </c>
      <c r="H555" s="81">
        <v>1</v>
      </c>
    </row>
    <row r="556" spans="2:8">
      <c r="B556" s="81" t="s">
        <v>1719</v>
      </c>
      <c r="C556" s="81">
        <v>345</v>
      </c>
      <c r="D556" s="81" t="s">
        <v>832</v>
      </c>
      <c r="E556" s="81" t="s">
        <v>35</v>
      </c>
      <c r="F556" s="81" t="s">
        <v>35</v>
      </c>
      <c r="G556" s="81" t="s">
        <v>115</v>
      </c>
      <c r="H556" s="81">
        <v>1</v>
      </c>
    </row>
    <row r="557" spans="2:8">
      <c r="B557" s="81" t="s">
        <v>1720</v>
      </c>
      <c r="C557" s="81">
        <v>474</v>
      </c>
      <c r="D557" s="81" t="s">
        <v>1073</v>
      </c>
      <c r="E557" s="81" t="s">
        <v>35</v>
      </c>
      <c r="F557" s="81" t="s">
        <v>35</v>
      </c>
      <c r="G557" s="81" t="s">
        <v>115</v>
      </c>
      <c r="H557" s="81">
        <v>1</v>
      </c>
    </row>
    <row r="558" spans="2:8">
      <c r="B558" s="81" t="s">
        <v>1721</v>
      </c>
      <c r="C558" s="81">
        <v>491</v>
      </c>
      <c r="D558" s="81" t="s">
        <v>1110</v>
      </c>
      <c r="E558" s="81" t="s">
        <v>35</v>
      </c>
      <c r="F558" s="81" t="s">
        <v>35</v>
      </c>
      <c r="G558" s="81" t="s">
        <v>115</v>
      </c>
      <c r="H558" s="81">
        <v>1</v>
      </c>
    </row>
    <row r="559" spans="2:8">
      <c r="B559" s="81" t="s">
        <v>1722</v>
      </c>
      <c r="C559" s="81">
        <v>565</v>
      </c>
      <c r="D559" s="81" t="s">
        <v>1238</v>
      </c>
      <c r="E559" s="81" t="s">
        <v>35</v>
      </c>
      <c r="F559" s="81" t="s">
        <v>35</v>
      </c>
      <c r="G559" s="81" t="s">
        <v>115</v>
      </c>
      <c r="H559" s="81">
        <v>1</v>
      </c>
    </row>
    <row r="560" spans="2:8">
      <c r="B560" s="81" t="s">
        <v>1718</v>
      </c>
      <c r="C560" s="81">
        <v>577</v>
      </c>
      <c r="D560" s="81" t="s">
        <v>1257</v>
      </c>
      <c r="E560" s="81" t="s">
        <v>35</v>
      </c>
      <c r="F560" s="81" t="s">
        <v>35</v>
      </c>
      <c r="G560" s="81" t="s">
        <v>115</v>
      </c>
      <c r="H560" s="81">
        <v>1</v>
      </c>
    </row>
    <row r="561" spans="2:8">
      <c r="B561" s="81" t="s">
        <v>1675</v>
      </c>
      <c r="C561" s="81">
        <v>581</v>
      </c>
      <c r="D561" s="81" t="s">
        <v>1262</v>
      </c>
      <c r="E561" s="81" t="s">
        <v>35</v>
      </c>
      <c r="F561" s="81" t="s">
        <v>35</v>
      </c>
      <c r="G561" s="81" t="s">
        <v>115</v>
      </c>
      <c r="H561" s="81">
        <v>1</v>
      </c>
    </row>
    <row r="562" spans="2:8">
      <c r="B562" s="81" t="s">
        <v>1723</v>
      </c>
      <c r="C562" s="81">
        <v>591</v>
      </c>
      <c r="D562" s="81" t="s">
        <v>1277</v>
      </c>
      <c r="E562" s="81" t="s">
        <v>35</v>
      </c>
      <c r="F562" s="81" t="s">
        <v>35</v>
      </c>
      <c r="G562" s="81" t="s">
        <v>115</v>
      </c>
      <c r="H562" s="81">
        <v>1</v>
      </c>
    </row>
    <row r="563" spans="2:8">
      <c r="B563" s="81" t="s">
        <v>1724</v>
      </c>
      <c r="C563" s="81">
        <v>605</v>
      </c>
      <c r="D563" s="81" t="s">
        <v>1306</v>
      </c>
      <c r="E563" s="81" t="s">
        <v>35</v>
      </c>
      <c r="F563" s="81" t="s">
        <v>35</v>
      </c>
      <c r="G563" s="81" t="s">
        <v>115</v>
      </c>
      <c r="H563" s="81">
        <v>1</v>
      </c>
    </row>
    <row r="564" spans="2:8">
      <c r="B564" s="81" t="s">
        <v>1725</v>
      </c>
      <c r="C564" s="81">
        <v>607</v>
      </c>
      <c r="D564" s="81" t="s">
        <v>1308</v>
      </c>
      <c r="E564" s="81" t="s">
        <v>35</v>
      </c>
      <c r="F564" s="81" t="s">
        <v>35</v>
      </c>
      <c r="G564" s="81" t="s">
        <v>115</v>
      </c>
      <c r="H564" s="81">
        <v>1</v>
      </c>
    </row>
    <row r="565" spans="2:8">
      <c r="B565" s="81" t="s">
        <v>1726</v>
      </c>
      <c r="C565" s="81">
        <v>610</v>
      </c>
      <c r="D565" s="81" t="s">
        <v>1312</v>
      </c>
      <c r="E565" s="81" t="s">
        <v>35</v>
      </c>
      <c r="F565" s="81" t="s">
        <v>35</v>
      </c>
      <c r="G565" s="81" t="s">
        <v>115</v>
      </c>
      <c r="H565" s="81">
        <v>1</v>
      </c>
    </row>
    <row r="566" spans="2:8">
      <c r="B566" s="81" t="s">
        <v>1879</v>
      </c>
      <c r="C566" s="81">
        <v>346</v>
      </c>
      <c r="D566" s="81" t="s">
        <v>833</v>
      </c>
      <c r="E566" s="81" t="s">
        <v>77</v>
      </c>
      <c r="F566" s="81" t="s">
        <v>89</v>
      </c>
      <c r="G566" s="81" t="s">
        <v>114</v>
      </c>
      <c r="H566" s="81">
        <v>1</v>
      </c>
    </row>
    <row r="567" spans="2:8">
      <c r="B567" s="81" t="s">
        <v>1880</v>
      </c>
      <c r="C567" s="81">
        <v>424</v>
      </c>
      <c r="D567" s="81" t="s">
        <v>985</v>
      </c>
      <c r="E567" s="81" t="s">
        <v>77</v>
      </c>
      <c r="F567" s="81" t="s">
        <v>90</v>
      </c>
      <c r="G567" s="81" t="s">
        <v>114</v>
      </c>
      <c r="H567" s="81">
        <v>1</v>
      </c>
    </row>
    <row r="568" spans="2:8">
      <c r="B568" s="81" t="s">
        <v>1881</v>
      </c>
      <c r="C568" s="81">
        <v>458</v>
      </c>
      <c r="D568" s="81" t="s">
        <v>1200</v>
      </c>
      <c r="E568" s="81" t="s">
        <v>77</v>
      </c>
      <c r="F568" s="81" t="s">
        <v>90</v>
      </c>
      <c r="G568" s="81" t="s">
        <v>114</v>
      </c>
      <c r="H568" s="81">
        <v>1</v>
      </c>
    </row>
    <row r="569" spans="2:8">
      <c r="B569" s="81" t="s">
        <v>1900</v>
      </c>
      <c r="C569" s="81">
        <v>376</v>
      </c>
      <c r="D569" s="81" t="s">
        <v>900</v>
      </c>
      <c r="E569" s="81" t="s">
        <v>108</v>
      </c>
      <c r="F569" s="81" t="s">
        <v>27</v>
      </c>
      <c r="G569" s="81" t="s">
        <v>118</v>
      </c>
      <c r="H569" s="81">
        <v>1</v>
      </c>
    </row>
    <row r="570" spans="2:8">
      <c r="B570" s="81" t="s">
        <v>1901</v>
      </c>
      <c r="C570" s="81">
        <v>480</v>
      </c>
      <c r="D570" s="81" t="s">
        <v>1557</v>
      </c>
      <c r="E570" s="81" t="s">
        <v>108</v>
      </c>
      <c r="F570" s="81" t="s">
        <v>27</v>
      </c>
      <c r="G570" s="81" t="s">
        <v>118</v>
      </c>
      <c r="H570" s="81">
        <v>1</v>
      </c>
    </row>
    <row r="571" spans="2:8">
      <c r="B571" s="81" t="s">
        <v>1903</v>
      </c>
      <c r="C571" s="81">
        <v>578</v>
      </c>
      <c r="D571" s="81" t="s">
        <v>1258</v>
      </c>
      <c r="E571" s="81" t="s">
        <v>108</v>
      </c>
      <c r="F571" s="81" t="s">
        <v>27</v>
      </c>
      <c r="G571" s="81" t="s">
        <v>118</v>
      </c>
      <c r="H571" s="81">
        <v>1</v>
      </c>
    </row>
    <row r="572" spans="2:8">
      <c r="B572" s="81" t="s">
        <v>1904</v>
      </c>
      <c r="C572" s="81">
        <v>602</v>
      </c>
      <c r="D572" s="81" t="s">
        <v>1302</v>
      </c>
      <c r="E572" s="81" t="s">
        <v>108</v>
      </c>
      <c r="F572" s="81" t="s">
        <v>27</v>
      </c>
      <c r="G572" s="81" t="s">
        <v>118</v>
      </c>
      <c r="H572" s="81">
        <v>1</v>
      </c>
    </row>
    <row r="573" spans="2:8">
      <c r="B573" s="81" t="s">
        <v>1905</v>
      </c>
      <c r="C573" s="81">
        <v>608</v>
      </c>
      <c r="D573" s="81" t="s">
        <v>1309</v>
      </c>
      <c r="E573" s="81" t="s">
        <v>108</v>
      </c>
      <c r="F573" s="81" t="s">
        <v>27</v>
      </c>
      <c r="G573" s="81" t="s">
        <v>118</v>
      </c>
      <c r="H573" s="81">
        <v>1</v>
      </c>
    </row>
    <row r="574" spans="2:8">
      <c r="B574" s="81" t="s">
        <v>1906</v>
      </c>
      <c r="C574" s="81">
        <v>653</v>
      </c>
      <c r="D574" s="81" t="s">
        <v>1385</v>
      </c>
      <c r="E574" s="81" t="s">
        <v>108</v>
      </c>
      <c r="F574" s="81" t="s">
        <v>27</v>
      </c>
      <c r="G574" s="81" t="s">
        <v>118</v>
      </c>
      <c r="H574" s="81">
        <v>1</v>
      </c>
    </row>
    <row r="575" spans="2:8">
      <c r="B575" s="81" t="s">
        <v>1907</v>
      </c>
      <c r="C575" s="81">
        <v>668</v>
      </c>
      <c r="D575" s="81" t="s">
        <v>1597</v>
      </c>
      <c r="E575" s="81" t="s">
        <v>108</v>
      </c>
      <c r="F575" s="81" t="s">
        <v>27</v>
      </c>
      <c r="G575" s="81" t="s">
        <v>118</v>
      </c>
      <c r="H575" s="81">
        <v>1</v>
      </c>
    </row>
    <row r="576" spans="2:8">
      <c r="B576" s="81" t="s">
        <v>1902</v>
      </c>
      <c r="C576" s="81">
        <v>684</v>
      </c>
      <c r="D576" s="81" t="s">
        <v>1454</v>
      </c>
      <c r="E576" s="81" t="s">
        <v>108</v>
      </c>
      <c r="F576" s="81" t="s">
        <v>27</v>
      </c>
      <c r="G576" s="81" t="s">
        <v>118</v>
      </c>
      <c r="H576" s="81">
        <v>1</v>
      </c>
    </row>
    <row r="577" spans="2:8">
      <c r="B577" s="81" t="s">
        <v>1908</v>
      </c>
      <c r="C577" s="81">
        <v>695</v>
      </c>
      <c r="D577" s="81" t="s">
        <v>1471</v>
      </c>
      <c r="E577" s="81" t="s">
        <v>108</v>
      </c>
      <c r="F577" s="81" t="s">
        <v>27</v>
      </c>
      <c r="G577" s="81" t="s">
        <v>118</v>
      </c>
      <c r="H577" s="81">
        <v>1</v>
      </c>
    </row>
    <row r="578" spans="2:8">
      <c r="B578" s="81" t="s">
        <v>1954</v>
      </c>
      <c r="C578" s="81">
        <v>376</v>
      </c>
      <c r="D578" s="81" t="s">
        <v>900</v>
      </c>
      <c r="E578" s="81" t="s">
        <v>108</v>
      </c>
      <c r="F578" s="81" t="s">
        <v>27</v>
      </c>
      <c r="G578" s="81" t="s">
        <v>117</v>
      </c>
      <c r="H578" s="81">
        <v>1</v>
      </c>
    </row>
    <row r="579" spans="2:8">
      <c r="B579" s="81" t="s">
        <v>1955</v>
      </c>
      <c r="C579" s="81">
        <v>480</v>
      </c>
      <c r="D579" s="81" t="s">
        <v>1557</v>
      </c>
      <c r="E579" s="81" t="s">
        <v>108</v>
      </c>
      <c r="F579" s="81" t="s">
        <v>27</v>
      </c>
      <c r="G579" s="81" t="s">
        <v>117</v>
      </c>
      <c r="H579" s="81">
        <v>1</v>
      </c>
    </row>
    <row r="580" spans="2:8">
      <c r="B580" s="81" t="s">
        <v>1957</v>
      </c>
      <c r="C580" s="81">
        <v>579</v>
      </c>
      <c r="D580" s="81" t="s">
        <v>1259</v>
      </c>
      <c r="E580" s="81" t="s">
        <v>108</v>
      </c>
      <c r="F580" s="81" t="s">
        <v>27</v>
      </c>
      <c r="G580" s="81" t="s">
        <v>117</v>
      </c>
      <c r="H580" s="81">
        <v>1</v>
      </c>
    </row>
    <row r="581" spans="2:8">
      <c r="B581" s="81" t="s">
        <v>1958</v>
      </c>
      <c r="C581" s="81">
        <v>584</v>
      </c>
      <c r="D581" s="81" t="s">
        <v>1266</v>
      </c>
      <c r="E581" s="81" t="s">
        <v>108</v>
      </c>
      <c r="F581" s="81" t="s">
        <v>27</v>
      </c>
      <c r="G581" s="81" t="s">
        <v>117</v>
      </c>
      <c r="H581" s="81">
        <v>1</v>
      </c>
    </row>
    <row r="582" spans="2:8">
      <c r="B582" s="81" t="s">
        <v>1959</v>
      </c>
      <c r="C582" s="81">
        <v>602</v>
      </c>
      <c r="D582" s="81" t="s">
        <v>1302</v>
      </c>
      <c r="E582" s="81" t="s">
        <v>108</v>
      </c>
      <c r="F582" s="81" t="s">
        <v>27</v>
      </c>
      <c r="G582" s="81" t="s">
        <v>117</v>
      </c>
      <c r="H582" s="81">
        <v>1</v>
      </c>
    </row>
    <row r="583" spans="2:8">
      <c r="B583" s="81" t="s">
        <v>1960</v>
      </c>
      <c r="C583" s="81">
        <v>608</v>
      </c>
      <c r="D583" s="81" t="s">
        <v>1309</v>
      </c>
      <c r="E583" s="81" t="s">
        <v>108</v>
      </c>
      <c r="F583" s="81" t="s">
        <v>27</v>
      </c>
      <c r="G583" s="81" t="s">
        <v>117</v>
      </c>
      <c r="H583" s="81">
        <v>1</v>
      </c>
    </row>
    <row r="584" spans="2:8">
      <c r="B584" s="81" t="s">
        <v>1961</v>
      </c>
      <c r="C584" s="81">
        <v>641</v>
      </c>
      <c r="D584" s="81" t="s">
        <v>1368</v>
      </c>
      <c r="E584" s="81" t="s">
        <v>108</v>
      </c>
      <c r="F584" s="81" t="s">
        <v>27</v>
      </c>
      <c r="G584" s="81" t="s">
        <v>117</v>
      </c>
      <c r="H584" s="81">
        <v>1</v>
      </c>
    </row>
    <row r="585" spans="2:8">
      <c r="B585" s="81" t="s">
        <v>1962</v>
      </c>
      <c r="C585" s="81">
        <v>643</v>
      </c>
      <c r="D585" s="81" t="s">
        <v>1371</v>
      </c>
      <c r="E585" s="81" t="s">
        <v>108</v>
      </c>
      <c r="F585" s="81" t="s">
        <v>27</v>
      </c>
      <c r="G585" s="81" t="s">
        <v>117</v>
      </c>
      <c r="H585" s="81">
        <v>1</v>
      </c>
    </row>
    <row r="586" spans="2:8">
      <c r="B586" s="81" t="s">
        <v>1963</v>
      </c>
      <c r="C586" s="81">
        <v>653</v>
      </c>
      <c r="D586" s="81" t="s">
        <v>1385</v>
      </c>
      <c r="E586" s="81" t="s">
        <v>108</v>
      </c>
      <c r="F586" s="81" t="s">
        <v>27</v>
      </c>
      <c r="G586" s="81" t="s">
        <v>117</v>
      </c>
      <c r="H586" s="81">
        <v>1</v>
      </c>
    </row>
    <row r="587" spans="2:8">
      <c r="B587" s="81" t="s">
        <v>1964</v>
      </c>
      <c r="C587" s="81">
        <v>668</v>
      </c>
      <c r="D587" s="81" t="s">
        <v>1597</v>
      </c>
      <c r="E587" s="81" t="s">
        <v>108</v>
      </c>
      <c r="F587" s="81" t="s">
        <v>27</v>
      </c>
      <c r="G587" s="81" t="s">
        <v>117</v>
      </c>
      <c r="H587" s="81">
        <v>1</v>
      </c>
    </row>
    <row r="588" spans="2:8">
      <c r="B588" s="81" t="s">
        <v>1956</v>
      </c>
      <c r="C588" s="81">
        <v>684</v>
      </c>
      <c r="D588" s="81" t="s">
        <v>1454</v>
      </c>
      <c r="E588" s="81" t="s">
        <v>108</v>
      </c>
      <c r="F588" s="81" t="s">
        <v>27</v>
      </c>
      <c r="G588" s="81" t="s">
        <v>117</v>
      </c>
      <c r="H588" s="81">
        <v>1</v>
      </c>
    </row>
    <row r="589" spans="2:8">
      <c r="B589" s="81" t="s">
        <v>1829</v>
      </c>
      <c r="C589" s="81">
        <v>376</v>
      </c>
      <c r="D589" s="81" t="s">
        <v>900</v>
      </c>
      <c r="E589" s="81" t="s">
        <v>108</v>
      </c>
      <c r="F589" s="81" t="s">
        <v>27</v>
      </c>
      <c r="G589" s="81" t="s">
        <v>113</v>
      </c>
      <c r="H589" s="81">
        <v>1</v>
      </c>
    </row>
    <row r="590" spans="2:8">
      <c r="B590" s="81" t="s">
        <v>1830</v>
      </c>
      <c r="C590" s="81">
        <v>480</v>
      </c>
      <c r="D590" s="81" t="s">
        <v>1557</v>
      </c>
      <c r="E590" s="81" t="s">
        <v>108</v>
      </c>
      <c r="F590" s="81" t="s">
        <v>27</v>
      </c>
      <c r="G590" s="81" t="s">
        <v>113</v>
      </c>
      <c r="H590" s="81">
        <v>1</v>
      </c>
    </row>
    <row r="591" spans="2:8">
      <c r="B591" s="81" t="s">
        <v>1831</v>
      </c>
      <c r="C591" s="81">
        <v>684</v>
      </c>
      <c r="D591" s="81" t="s">
        <v>1454</v>
      </c>
      <c r="E591" s="81" t="s">
        <v>108</v>
      </c>
      <c r="F591" s="81" t="s">
        <v>27</v>
      </c>
      <c r="G591" s="81" t="s">
        <v>113</v>
      </c>
      <c r="H591" s="81">
        <v>1</v>
      </c>
    </row>
    <row r="592" spans="2:8">
      <c r="B592" s="81" t="s">
        <v>1752</v>
      </c>
      <c r="C592" s="81">
        <v>378</v>
      </c>
      <c r="D592" s="81" t="s">
        <v>903</v>
      </c>
      <c r="E592" s="81" t="s">
        <v>78</v>
      </c>
      <c r="F592" s="81" t="s">
        <v>94</v>
      </c>
      <c r="G592" s="81" t="s">
        <v>114</v>
      </c>
      <c r="H592" s="81">
        <v>1</v>
      </c>
    </row>
    <row r="593" spans="2:8">
      <c r="B593" s="81" t="s">
        <v>1753</v>
      </c>
      <c r="C593" s="81">
        <v>384</v>
      </c>
      <c r="D593" s="81" t="s">
        <v>911</v>
      </c>
      <c r="E593" s="81" t="s">
        <v>78</v>
      </c>
      <c r="F593" s="81" t="s">
        <v>93</v>
      </c>
      <c r="G593" s="81" t="s">
        <v>114</v>
      </c>
      <c r="H593" s="81">
        <v>1</v>
      </c>
    </row>
    <row r="594" spans="2:8">
      <c r="B594" s="81" t="s">
        <v>1766</v>
      </c>
      <c r="C594" s="81">
        <v>380</v>
      </c>
      <c r="D594" s="81" t="s">
        <v>906</v>
      </c>
      <c r="E594" s="81" t="s">
        <v>75</v>
      </c>
      <c r="F594" s="81" t="s">
        <v>85</v>
      </c>
      <c r="G594" s="81" t="s">
        <v>115</v>
      </c>
      <c r="H594" s="81">
        <v>1</v>
      </c>
    </row>
    <row r="595" spans="2:8">
      <c r="B595" s="81" t="s">
        <v>1764</v>
      </c>
      <c r="C595" s="81">
        <v>629</v>
      </c>
      <c r="D595" s="81" t="s">
        <v>1350</v>
      </c>
      <c r="E595" s="81" t="s">
        <v>75</v>
      </c>
      <c r="F595" s="81" t="s">
        <v>85</v>
      </c>
      <c r="G595" s="81" t="s">
        <v>115</v>
      </c>
      <c r="H595" s="81">
        <v>1</v>
      </c>
    </row>
    <row r="596" spans="2:8">
      <c r="B596" s="81" t="s">
        <v>1765</v>
      </c>
      <c r="C596" s="81">
        <v>688</v>
      </c>
      <c r="D596" s="81" t="s">
        <v>1459</v>
      </c>
      <c r="E596" s="81" t="s">
        <v>75</v>
      </c>
      <c r="F596" s="81" t="s">
        <v>85</v>
      </c>
      <c r="G596" s="81" t="s">
        <v>115</v>
      </c>
      <c r="H596" s="81">
        <v>1</v>
      </c>
    </row>
    <row r="597" spans="2:8">
      <c r="B597" s="81" t="s">
        <v>1775</v>
      </c>
      <c r="C597" s="81">
        <v>380</v>
      </c>
      <c r="D597" s="81" t="s">
        <v>906</v>
      </c>
      <c r="E597" s="81" t="s">
        <v>75</v>
      </c>
      <c r="F597" s="81" t="s">
        <v>85</v>
      </c>
      <c r="G597" s="81" t="s">
        <v>114</v>
      </c>
      <c r="H597" s="81">
        <v>1</v>
      </c>
    </row>
    <row r="598" spans="2:8">
      <c r="B598" s="81" t="s">
        <v>1774</v>
      </c>
      <c r="C598" s="81">
        <v>688</v>
      </c>
      <c r="D598" s="81" t="s">
        <v>1459</v>
      </c>
      <c r="E598" s="81" t="s">
        <v>75</v>
      </c>
      <c r="F598" s="81" t="s">
        <v>85</v>
      </c>
      <c r="G598" s="81" t="s">
        <v>114</v>
      </c>
      <c r="H598" s="81">
        <v>1</v>
      </c>
    </row>
    <row r="599" spans="2:8">
      <c r="B599" s="81" t="s">
        <v>1777</v>
      </c>
      <c r="C599" s="81">
        <v>380</v>
      </c>
      <c r="D599" s="81" t="s">
        <v>906</v>
      </c>
      <c r="E599" s="81" t="s">
        <v>75</v>
      </c>
      <c r="F599" s="81" t="s">
        <v>85</v>
      </c>
      <c r="G599" s="81" t="s">
        <v>113</v>
      </c>
      <c r="H599" s="81">
        <v>1</v>
      </c>
    </row>
    <row r="600" spans="2:8">
      <c r="B600" s="81" t="s">
        <v>1776</v>
      </c>
      <c r="C600" s="81">
        <v>688</v>
      </c>
      <c r="D600" s="81" t="s">
        <v>1459</v>
      </c>
      <c r="E600" s="81" t="s">
        <v>75</v>
      </c>
      <c r="F600" s="81" t="s">
        <v>85</v>
      </c>
      <c r="G600" s="81" t="s">
        <v>113</v>
      </c>
      <c r="H600" s="81">
        <v>1</v>
      </c>
    </row>
    <row r="601" spans="2:8">
      <c r="B601" s="81" t="s">
        <v>1863</v>
      </c>
      <c r="C601" s="81">
        <v>381</v>
      </c>
      <c r="D601" s="81" t="s">
        <v>907</v>
      </c>
      <c r="E601" s="81" t="s">
        <v>81</v>
      </c>
      <c r="F601" s="81" t="s">
        <v>82</v>
      </c>
      <c r="G601" s="81" t="s">
        <v>114</v>
      </c>
      <c r="H601" s="81">
        <v>1</v>
      </c>
    </row>
    <row r="602" spans="2:8">
      <c r="B602" s="81" t="s">
        <v>1864</v>
      </c>
      <c r="C602" s="81">
        <v>476</v>
      </c>
      <c r="D602" s="81" t="s">
        <v>1075</v>
      </c>
      <c r="E602" s="81" t="s">
        <v>81</v>
      </c>
      <c r="F602" s="81" t="s">
        <v>72</v>
      </c>
      <c r="G602" s="81" t="s">
        <v>114</v>
      </c>
      <c r="H602" s="81">
        <v>1</v>
      </c>
    </row>
    <row r="603" spans="2:8">
      <c r="B603" s="81" t="s">
        <v>1865</v>
      </c>
      <c r="C603" s="81">
        <v>381</v>
      </c>
      <c r="D603" s="81" t="s">
        <v>907</v>
      </c>
      <c r="E603" s="81" t="s">
        <v>81</v>
      </c>
      <c r="F603" s="81" t="s">
        <v>82</v>
      </c>
      <c r="G603" s="81" t="s">
        <v>113</v>
      </c>
      <c r="H603" s="81">
        <v>1</v>
      </c>
    </row>
    <row r="604" spans="2:8">
      <c r="B604" s="81" t="s">
        <v>1866</v>
      </c>
      <c r="C604" s="81">
        <v>476</v>
      </c>
      <c r="D604" s="81" t="s">
        <v>1075</v>
      </c>
      <c r="E604" s="81" t="s">
        <v>81</v>
      </c>
      <c r="F604" s="81" t="s">
        <v>72</v>
      </c>
      <c r="G604" s="81" t="s">
        <v>113</v>
      </c>
      <c r="H604" s="81">
        <v>1</v>
      </c>
    </row>
    <row r="605" spans="2:8">
      <c r="B605" s="81" t="s">
        <v>1811</v>
      </c>
      <c r="C605" s="81">
        <v>418</v>
      </c>
      <c r="D605" s="81" t="s">
        <v>975</v>
      </c>
      <c r="E605" s="81" t="s">
        <v>108</v>
      </c>
      <c r="F605" s="81" t="s">
        <v>15</v>
      </c>
      <c r="G605" s="81" t="s">
        <v>112</v>
      </c>
      <c r="H605" s="81">
        <v>1</v>
      </c>
    </row>
    <row r="606" spans="2:8">
      <c r="B606" s="81" t="s">
        <v>1657</v>
      </c>
      <c r="C606" s="81">
        <v>418</v>
      </c>
      <c r="D606" s="81" t="s">
        <v>975</v>
      </c>
      <c r="E606" s="81" t="s">
        <v>108</v>
      </c>
      <c r="F606" s="81" t="s">
        <v>15</v>
      </c>
      <c r="G606" s="81" t="s">
        <v>4</v>
      </c>
      <c r="H606" s="81">
        <v>1</v>
      </c>
    </row>
    <row r="607" spans="2:8">
      <c r="B607" s="81" t="s">
        <v>1874</v>
      </c>
      <c r="C607" s="81">
        <v>423</v>
      </c>
      <c r="D607" s="81" t="s">
        <v>984</v>
      </c>
      <c r="E607" s="81" t="s">
        <v>77</v>
      </c>
      <c r="F607" s="81" t="s">
        <v>91</v>
      </c>
      <c r="G607" s="81" t="s">
        <v>115</v>
      </c>
      <c r="H607" s="81">
        <v>1</v>
      </c>
    </row>
    <row r="608" spans="2:8">
      <c r="B608" s="81" t="s">
        <v>1875</v>
      </c>
      <c r="C608" s="81">
        <v>456</v>
      </c>
      <c r="D608" s="81" t="s">
        <v>1034</v>
      </c>
      <c r="E608" s="81" t="s">
        <v>77</v>
      </c>
      <c r="F608" s="81" t="s">
        <v>91</v>
      </c>
      <c r="G608" s="81" t="s">
        <v>115</v>
      </c>
      <c r="H608" s="81">
        <v>1</v>
      </c>
    </row>
    <row r="609" spans="2:8">
      <c r="B609" s="81" t="s">
        <v>1876</v>
      </c>
      <c r="C609" s="81">
        <v>458</v>
      </c>
      <c r="D609" s="81" t="s">
        <v>1200</v>
      </c>
      <c r="E609" s="81" t="s">
        <v>77</v>
      </c>
      <c r="F609" s="81" t="s">
        <v>90</v>
      </c>
      <c r="G609" s="81" t="s">
        <v>115</v>
      </c>
      <c r="H609" s="81">
        <v>1</v>
      </c>
    </row>
    <row r="610" spans="2:8">
      <c r="B610" s="81" t="s">
        <v>1859</v>
      </c>
      <c r="C610" s="81">
        <v>423</v>
      </c>
      <c r="D610" s="81" t="s">
        <v>984</v>
      </c>
      <c r="E610" s="81" t="s">
        <v>77</v>
      </c>
      <c r="F610" s="81" t="s">
        <v>91</v>
      </c>
      <c r="G610" s="81" t="s">
        <v>118</v>
      </c>
      <c r="H610" s="81">
        <v>1</v>
      </c>
    </row>
    <row r="611" spans="2:8">
      <c r="B611" s="81" t="s">
        <v>1860</v>
      </c>
      <c r="C611" s="81">
        <v>458</v>
      </c>
      <c r="D611" s="81" t="s">
        <v>1200</v>
      </c>
      <c r="E611" s="81" t="s">
        <v>77</v>
      </c>
      <c r="F611" s="81" t="s">
        <v>90</v>
      </c>
      <c r="G611" s="81" t="s">
        <v>118</v>
      </c>
      <c r="H611" s="81">
        <v>1</v>
      </c>
    </row>
    <row r="612" spans="2:8">
      <c r="B612" s="81" t="s">
        <v>1861</v>
      </c>
      <c r="C612" s="81">
        <v>473</v>
      </c>
      <c r="D612" s="81" t="s">
        <v>1072</v>
      </c>
      <c r="E612" s="81" t="s">
        <v>77</v>
      </c>
      <c r="F612" s="81" t="s">
        <v>91</v>
      </c>
      <c r="G612" s="81" t="s">
        <v>118</v>
      </c>
      <c r="H612" s="81">
        <v>1</v>
      </c>
    </row>
    <row r="613" spans="2:8">
      <c r="B613" s="81" t="s">
        <v>1877</v>
      </c>
      <c r="C613" s="81">
        <v>424</v>
      </c>
      <c r="D613" s="81" t="s">
        <v>985</v>
      </c>
      <c r="E613" s="81" t="s">
        <v>77</v>
      </c>
      <c r="F613" s="81" t="s">
        <v>90</v>
      </c>
      <c r="G613" s="81" t="s">
        <v>117</v>
      </c>
      <c r="H613" s="81">
        <v>1</v>
      </c>
    </row>
    <row r="614" spans="2:8">
      <c r="B614" s="81" t="s">
        <v>1878</v>
      </c>
      <c r="C614" s="81">
        <v>458</v>
      </c>
      <c r="D614" s="81" t="s">
        <v>1200</v>
      </c>
      <c r="E614" s="81" t="s">
        <v>77</v>
      </c>
      <c r="F614" s="81" t="s">
        <v>90</v>
      </c>
      <c r="G614" s="81" t="s">
        <v>117</v>
      </c>
      <c r="H614" s="81">
        <v>1</v>
      </c>
    </row>
    <row r="615" spans="2:8">
      <c r="B615" s="81" t="s">
        <v>2324</v>
      </c>
      <c r="C615" s="81">
        <v>437</v>
      </c>
      <c r="D615" s="81" t="s">
        <v>1100</v>
      </c>
      <c r="E615" s="81" t="s">
        <v>68</v>
      </c>
      <c r="F615" s="81" t="s">
        <v>61</v>
      </c>
      <c r="G615" s="81" t="s">
        <v>115</v>
      </c>
      <c r="H615" s="81">
        <v>1</v>
      </c>
    </row>
    <row r="616" spans="2:8">
      <c r="B616" s="81" t="s">
        <v>2009</v>
      </c>
      <c r="C616" s="81">
        <v>481</v>
      </c>
      <c r="D616" s="81" t="s">
        <v>1085</v>
      </c>
      <c r="E616" s="81" t="s">
        <v>68</v>
      </c>
      <c r="F616" s="81" t="s">
        <v>61</v>
      </c>
      <c r="G616" s="81" t="s">
        <v>115</v>
      </c>
      <c r="H616" s="81">
        <v>1</v>
      </c>
    </row>
    <row r="617" spans="2:8">
      <c r="B617" s="81" t="s">
        <v>2325</v>
      </c>
      <c r="C617" s="81">
        <v>437</v>
      </c>
      <c r="D617" s="81" t="s">
        <v>1100</v>
      </c>
      <c r="E617" s="81" t="s">
        <v>68</v>
      </c>
      <c r="F617" s="81" t="s">
        <v>61</v>
      </c>
      <c r="G617" s="81" t="s">
        <v>117</v>
      </c>
      <c r="H617" s="81">
        <v>1</v>
      </c>
    </row>
    <row r="618" spans="2:8">
      <c r="B618" s="81" t="s">
        <v>2308</v>
      </c>
      <c r="C618" s="81">
        <v>481</v>
      </c>
      <c r="D618" s="81" t="s">
        <v>1085</v>
      </c>
      <c r="E618" s="81" t="s">
        <v>68</v>
      </c>
      <c r="F618" s="81" t="s">
        <v>61</v>
      </c>
      <c r="G618" s="81" t="s">
        <v>117</v>
      </c>
      <c r="H618" s="81">
        <v>1</v>
      </c>
    </row>
    <row r="619" spans="2:8">
      <c r="B619" s="81" t="s">
        <v>2326</v>
      </c>
      <c r="C619" s="81">
        <v>437</v>
      </c>
      <c r="D619" s="81" t="s">
        <v>1100</v>
      </c>
      <c r="E619" s="81" t="s">
        <v>68</v>
      </c>
      <c r="F619" s="81" t="s">
        <v>61</v>
      </c>
      <c r="G619" s="81" t="s">
        <v>114</v>
      </c>
      <c r="H619" s="81">
        <v>1</v>
      </c>
    </row>
    <row r="620" spans="2:8">
      <c r="B620" s="81" t="s">
        <v>2309</v>
      </c>
      <c r="C620" s="81">
        <v>481</v>
      </c>
      <c r="D620" s="81" t="s">
        <v>1085</v>
      </c>
      <c r="E620" s="81" t="s">
        <v>68</v>
      </c>
      <c r="F620" s="81" t="s">
        <v>61</v>
      </c>
      <c r="G620" s="81" t="s">
        <v>114</v>
      </c>
      <c r="H620" s="81">
        <v>1</v>
      </c>
    </row>
    <row r="621" spans="2:8">
      <c r="B621" s="81" t="s">
        <v>1662</v>
      </c>
      <c r="C621" s="81">
        <v>437</v>
      </c>
      <c r="D621" s="81" t="s">
        <v>1100</v>
      </c>
      <c r="E621" s="81" t="s">
        <v>68</v>
      </c>
      <c r="F621" s="81" t="s">
        <v>61</v>
      </c>
      <c r="G621" s="81" t="s">
        <v>4</v>
      </c>
      <c r="H621" s="81">
        <v>1</v>
      </c>
    </row>
    <row r="622" spans="2:8">
      <c r="B622" s="81" t="s">
        <v>2310</v>
      </c>
      <c r="C622" s="81">
        <v>481</v>
      </c>
      <c r="D622" s="81" t="s">
        <v>1085</v>
      </c>
      <c r="E622" s="81" t="s">
        <v>68</v>
      </c>
      <c r="F622" s="81" t="s">
        <v>61</v>
      </c>
      <c r="G622" s="81" t="s">
        <v>4</v>
      </c>
      <c r="H622" s="81">
        <v>1</v>
      </c>
    </row>
    <row r="623" spans="2:8">
      <c r="B623" s="81" t="s">
        <v>1862</v>
      </c>
      <c r="C623" s="81">
        <v>454</v>
      </c>
      <c r="D623" s="81" t="s">
        <v>1031</v>
      </c>
      <c r="E623" s="81" t="s">
        <v>81</v>
      </c>
      <c r="F623" s="81" t="s">
        <v>72</v>
      </c>
      <c r="G623" s="81" t="s">
        <v>115</v>
      </c>
      <c r="H623" s="81">
        <v>1</v>
      </c>
    </row>
    <row r="624" spans="2:8">
      <c r="B624" s="81" t="s">
        <v>1717</v>
      </c>
      <c r="C624" s="81">
        <v>458</v>
      </c>
      <c r="D624" s="81" t="s">
        <v>1200</v>
      </c>
      <c r="E624" s="81" t="s">
        <v>77</v>
      </c>
      <c r="F624" s="81" t="s">
        <v>90</v>
      </c>
      <c r="G624" s="81" t="s">
        <v>113</v>
      </c>
      <c r="H624" s="81">
        <v>1</v>
      </c>
    </row>
    <row r="625" spans="2:8">
      <c r="B625" s="81" t="s">
        <v>2295</v>
      </c>
      <c r="C625" s="81">
        <v>460</v>
      </c>
      <c r="D625" s="81" t="s">
        <v>1201</v>
      </c>
      <c r="E625" s="81" t="s">
        <v>35</v>
      </c>
      <c r="F625" s="81" t="s">
        <v>76</v>
      </c>
      <c r="G625" s="81" t="s">
        <v>115</v>
      </c>
      <c r="H625" s="81">
        <v>1</v>
      </c>
    </row>
    <row r="626" spans="2:8">
      <c r="B626" s="81" t="s">
        <v>2296</v>
      </c>
      <c r="C626" s="81">
        <v>600</v>
      </c>
      <c r="D626" s="81" t="s">
        <v>1300</v>
      </c>
      <c r="E626" s="81" t="s">
        <v>35</v>
      </c>
      <c r="F626" s="81" t="s">
        <v>76</v>
      </c>
      <c r="G626" s="81" t="s">
        <v>115</v>
      </c>
      <c r="H626" s="81">
        <v>1</v>
      </c>
    </row>
    <row r="627" spans="2:8">
      <c r="B627" s="81" t="s">
        <v>2297</v>
      </c>
      <c r="C627" s="81">
        <v>604</v>
      </c>
      <c r="D627" s="81" t="s">
        <v>1305</v>
      </c>
      <c r="E627" s="81" t="s">
        <v>35</v>
      </c>
      <c r="F627" s="81" t="s">
        <v>76</v>
      </c>
      <c r="G627" s="81" t="s">
        <v>115</v>
      </c>
      <c r="H627" s="81">
        <v>1</v>
      </c>
    </row>
    <row r="628" spans="2:8">
      <c r="B628" s="81" t="s">
        <v>2283</v>
      </c>
      <c r="C628" s="81">
        <v>460</v>
      </c>
      <c r="D628" s="81" t="s">
        <v>1201</v>
      </c>
      <c r="E628" s="81" t="s">
        <v>35</v>
      </c>
      <c r="F628" s="81" t="s">
        <v>76</v>
      </c>
      <c r="G628" s="81" t="s">
        <v>118</v>
      </c>
      <c r="H628" s="81">
        <v>1</v>
      </c>
    </row>
    <row r="629" spans="2:8">
      <c r="B629" s="81" t="s">
        <v>2284</v>
      </c>
      <c r="C629" s="81">
        <v>460</v>
      </c>
      <c r="D629" s="81" t="s">
        <v>1201</v>
      </c>
      <c r="E629" s="81" t="s">
        <v>35</v>
      </c>
      <c r="F629" s="81" t="s">
        <v>76</v>
      </c>
      <c r="G629" s="81" t="s">
        <v>117</v>
      </c>
      <c r="H629" s="81">
        <v>1</v>
      </c>
    </row>
    <row r="630" spans="2:8">
      <c r="B630" s="81" t="s">
        <v>2292</v>
      </c>
      <c r="C630" s="81">
        <v>460</v>
      </c>
      <c r="D630" s="81" t="s">
        <v>1201</v>
      </c>
      <c r="E630" s="81" t="s">
        <v>35</v>
      </c>
      <c r="F630" s="81" t="s">
        <v>76</v>
      </c>
      <c r="G630" s="81" t="s">
        <v>114</v>
      </c>
      <c r="H630" s="81">
        <v>1</v>
      </c>
    </row>
    <row r="631" spans="2:8">
      <c r="B631" s="81" t="s">
        <v>2293</v>
      </c>
      <c r="C631" s="81">
        <v>590</v>
      </c>
      <c r="D631" s="81" t="s">
        <v>1276</v>
      </c>
      <c r="E631" s="81" t="s">
        <v>35</v>
      </c>
      <c r="F631" s="81" t="s">
        <v>76</v>
      </c>
      <c r="G631" s="81" t="s">
        <v>114</v>
      </c>
      <c r="H631" s="81">
        <v>1</v>
      </c>
    </row>
    <row r="632" spans="2:8">
      <c r="B632" s="81" t="s">
        <v>2294</v>
      </c>
      <c r="C632" s="81">
        <v>600</v>
      </c>
      <c r="D632" s="81" t="s">
        <v>1300</v>
      </c>
      <c r="E632" s="81" t="s">
        <v>35</v>
      </c>
      <c r="F632" s="81" t="s">
        <v>76</v>
      </c>
      <c r="G632" s="81" t="s">
        <v>114</v>
      </c>
      <c r="H632" s="81">
        <v>1</v>
      </c>
    </row>
    <row r="633" spans="2:8">
      <c r="B633" s="81" t="s">
        <v>1781</v>
      </c>
      <c r="C633" s="81">
        <v>475</v>
      </c>
      <c r="D633" s="81" t="s">
        <v>1074</v>
      </c>
      <c r="E633" s="81" t="s">
        <v>35</v>
      </c>
      <c r="F633" s="81" t="s">
        <v>35</v>
      </c>
      <c r="G633" s="81" t="s">
        <v>113</v>
      </c>
      <c r="H633" s="81">
        <v>1</v>
      </c>
    </row>
    <row r="634" spans="2:8">
      <c r="B634" s="81" t="s">
        <v>1782</v>
      </c>
      <c r="C634" s="81">
        <v>551</v>
      </c>
      <c r="D634" s="81" t="s">
        <v>1214</v>
      </c>
      <c r="E634" s="81" t="s">
        <v>35</v>
      </c>
      <c r="F634" s="81" t="s">
        <v>35</v>
      </c>
      <c r="G634" s="81" t="s">
        <v>113</v>
      </c>
      <c r="H634" s="81">
        <v>1</v>
      </c>
    </row>
    <row r="635" spans="2:8">
      <c r="B635" s="81" t="s">
        <v>1783</v>
      </c>
      <c r="C635" s="81">
        <v>576</v>
      </c>
      <c r="D635" s="81" t="s">
        <v>1256</v>
      </c>
      <c r="E635" s="81" t="s">
        <v>35</v>
      </c>
      <c r="F635" s="81" t="s">
        <v>35</v>
      </c>
      <c r="G635" s="81" t="s">
        <v>113</v>
      </c>
      <c r="H635" s="81">
        <v>1</v>
      </c>
    </row>
    <row r="636" spans="2:8">
      <c r="B636" s="81" t="s">
        <v>1784</v>
      </c>
      <c r="C636" s="81">
        <v>581</v>
      </c>
      <c r="D636" s="81" t="s">
        <v>1262</v>
      </c>
      <c r="E636" s="81" t="s">
        <v>35</v>
      </c>
      <c r="F636" s="81" t="s">
        <v>35</v>
      </c>
      <c r="G636" s="81" t="s">
        <v>113</v>
      </c>
      <c r="H636" s="81">
        <v>1</v>
      </c>
    </row>
    <row r="637" spans="2:8">
      <c r="B637" s="81" t="s">
        <v>1785</v>
      </c>
      <c r="C637" s="81">
        <v>591</v>
      </c>
      <c r="D637" s="81" t="s">
        <v>1277</v>
      </c>
      <c r="E637" s="81" t="s">
        <v>35</v>
      </c>
      <c r="F637" s="81" t="s">
        <v>35</v>
      </c>
      <c r="G637" s="81" t="s">
        <v>113</v>
      </c>
      <c r="H637" s="81">
        <v>1</v>
      </c>
    </row>
    <row r="638" spans="2:8">
      <c r="B638" s="81" t="s">
        <v>1780</v>
      </c>
      <c r="C638" s="81">
        <v>594</v>
      </c>
      <c r="D638" s="81" t="s">
        <v>1291</v>
      </c>
      <c r="E638" s="81" t="s">
        <v>35</v>
      </c>
      <c r="F638" s="81" t="s">
        <v>35</v>
      </c>
      <c r="G638" s="81" t="s">
        <v>113</v>
      </c>
      <c r="H638" s="81">
        <v>1</v>
      </c>
    </row>
    <row r="639" spans="2:8">
      <c r="B639" s="81" t="s">
        <v>1786</v>
      </c>
      <c r="C639" s="81">
        <v>610</v>
      </c>
      <c r="D639" s="81" t="s">
        <v>1312</v>
      </c>
      <c r="E639" s="81" t="s">
        <v>35</v>
      </c>
      <c r="F639" s="81" t="s">
        <v>35</v>
      </c>
      <c r="G639" s="81" t="s">
        <v>113</v>
      </c>
      <c r="H639" s="81">
        <v>1</v>
      </c>
    </row>
    <row r="640" spans="2:8">
      <c r="B640" s="81" t="s">
        <v>1787</v>
      </c>
      <c r="C640" s="81">
        <v>698</v>
      </c>
      <c r="D640" s="81" t="s">
        <v>1474</v>
      </c>
      <c r="E640" s="81" t="s">
        <v>35</v>
      </c>
      <c r="F640" s="81" t="s">
        <v>35</v>
      </c>
      <c r="G640" s="81" t="s">
        <v>113</v>
      </c>
      <c r="H640" s="81">
        <v>1</v>
      </c>
    </row>
    <row r="641" spans="2:8">
      <c r="B641" s="81" t="s">
        <v>2271</v>
      </c>
      <c r="C641" s="81">
        <v>476</v>
      </c>
      <c r="D641" s="81" t="s">
        <v>1075</v>
      </c>
      <c r="E641" s="81" t="s">
        <v>81</v>
      </c>
      <c r="F641" s="81" t="s">
        <v>72</v>
      </c>
      <c r="G641" s="81" t="s">
        <v>112</v>
      </c>
      <c r="H641" s="81">
        <v>1</v>
      </c>
    </row>
    <row r="642" spans="2:8">
      <c r="B642" s="81" t="s">
        <v>2327</v>
      </c>
      <c r="C642" s="81">
        <v>478</v>
      </c>
      <c r="D642" s="81" t="s">
        <v>1078</v>
      </c>
      <c r="E642" s="81" t="s">
        <v>35</v>
      </c>
      <c r="F642" s="81" t="s">
        <v>47</v>
      </c>
      <c r="G642" s="81" t="s">
        <v>115</v>
      </c>
      <c r="H642" s="81">
        <v>1</v>
      </c>
    </row>
    <row r="643" spans="2:8">
      <c r="B643" s="81" t="s">
        <v>2328</v>
      </c>
      <c r="C643" s="81">
        <v>503</v>
      </c>
      <c r="D643" s="81" t="s">
        <v>1135</v>
      </c>
      <c r="E643" s="81" t="s">
        <v>35</v>
      </c>
      <c r="F643" s="81" t="s">
        <v>47</v>
      </c>
      <c r="G643" s="81" t="s">
        <v>115</v>
      </c>
      <c r="H643" s="81">
        <v>1</v>
      </c>
    </row>
    <row r="644" spans="2:8">
      <c r="B644" s="81" t="s">
        <v>2329</v>
      </c>
      <c r="C644" s="81">
        <v>504</v>
      </c>
      <c r="D644" s="81" t="s">
        <v>1136</v>
      </c>
      <c r="E644" s="81" t="s">
        <v>35</v>
      </c>
      <c r="F644" s="81" t="s">
        <v>47</v>
      </c>
      <c r="G644" s="81" t="s">
        <v>115</v>
      </c>
      <c r="H644" s="81">
        <v>1</v>
      </c>
    </row>
    <row r="645" spans="2:8">
      <c r="B645" s="81" t="s">
        <v>2311</v>
      </c>
      <c r="C645" s="81">
        <v>510</v>
      </c>
      <c r="D645" s="81" t="s">
        <v>1147</v>
      </c>
      <c r="E645" s="81" t="s">
        <v>35</v>
      </c>
      <c r="F645" s="81" t="s">
        <v>47</v>
      </c>
      <c r="G645" s="81" t="s">
        <v>115</v>
      </c>
      <c r="H645" s="81">
        <v>1</v>
      </c>
    </row>
    <row r="646" spans="2:8">
      <c r="B646" s="81" t="s">
        <v>2312</v>
      </c>
      <c r="C646" s="81">
        <v>511</v>
      </c>
      <c r="D646" s="81" t="s">
        <v>1148</v>
      </c>
      <c r="E646" s="81" t="s">
        <v>35</v>
      </c>
      <c r="F646" s="81" t="s">
        <v>47</v>
      </c>
      <c r="G646" s="81" t="s">
        <v>115</v>
      </c>
      <c r="H646" s="81">
        <v>1</v>
      </c>
    </row>
    <row r="647" spans="2:8">
      <c r="B647" s="81" t="s">
        <v>2313</v>
      </c>
      <c r="C647" s="81">
        <v>513</v>
      </c>
      <c r="D647" s="81" t="s">
        <v>1150</v>
      </c>
      <c r="E647" s="81" t="s">
        <v>35</v>
      </c>
      <c r="F647" s="81" t="s">
        <v>47</v>
      </c>
      <c r="G647" s="81" t="s">
        <v>115</v>
      </c>
      <c r="H647" s="81">
        <v>1</v>
      </c>
    </row>
    <row r="648" spans="2:8">
      <c r="B648" s="81" t="s">
        <v>2314</v>
      </c>
      <c r="C648" s="81">
        <v>514</v>
      </c>
      <c r="D648" s="81" t="s">
        <v>1202</v>
      </c>
      <c r="E648" s="81" t="s">
        <v>35</v>
      </c>
      <c r="F648" s="81" t="s">
        <v>47</v>
      </c>
      <c r="G648" s="81" t="s">
        <v>115</v>
      </c>
      <c r="H648" s="81">
        <v>1</v>
      </c>
    </row>
    <row r="649" spans="2:8">
      <c r="B649" s="81" t="s">
        <v>2315</v>
      </c>
      <c r="C649" s="81">
        <v>515</v>
      </c>
      <c r="D649" s="81" t="s">
        <v>376</v>
      </c>
      <c r="E649" s="81" t="s">
        <v>35</v>
      </c>
      <c r="F649" s="81" t="s">
        <v>47</v>
      </c>
      <c r="G649" s="81" t="s">
        <v>115</v>
      </c>
      <c r="H649" s="81">
        <v>1</v>
      </c>
    </row>
    <row r="650" spans="2:8">
      <c r="B650" s="81" t="s">
        <v>2316</v>
      </c>
      <c r="C650" s="81">
        <v>516</v>
      </c>
      <c r="D650" s="81" t="s">
        <v>1151</v>
      </c>
      <c r="E650" s="81" t="s">
        <v>35</v>
      </c>
      <c r="F650" s="81" t="s">
        <v>47</v>
      </c>
      <c r="G650" s="81" t="s">
        <v>115</v>
      </c>
      <c r="H650" s="81">
        <v>1</v>
      </c>
    </row>
    <row r="651" spans="2:8">
      <c r="B651" s="81" t="s">
        <v>2317</v>
      </c>
      <c r="C651" s="81">
        <v>519</v>
      </c>
      <c r="D651" s="81" t="s">
        <v>1153</v>
      </c>
      <c r="E651" s="81" t="s">
        <v>35</v>
      </c>
      <c r="F651" s="81" t="s">
        <v>47</v>
      </c>
      <c r="G651" s="81" t="s">
        <v>115</v>
      </c>
      <c r="H651" s="81">
        <v>1</v>
      </c>
    </row>
    <row r="652" spans="2:8">
      <c r="B652" s="81" t="s">
        <v>2318</v>
      </c>
      <c r="C652" s="81">
        <v>522</v>
      </c>
      <c r="D652" s="81" t="s">
        <v>1157</v>
      </c>
      <c r="E652" s="81" t="s">
        <v>35</v>
      </c>
      <c r="F652" s="81" t="s">
        <v>47</v>
      </c>
      <c r="G652" s="81" t="s">
        <v>115</v>
      </c>
      <c r="H652" s="81">
        <v>1</v>
      </c>
    </row>
    <row r="653" spans="2:8">
      <c r="B653" s="81" t="s">
        <v>2319</v>
      </c>
      <c r="C653" s="81">
        <v>537</v>
      </c>
      <c r="D653" s="81" t="s">
        <v>1182</v>
      </c>
      <c r="E653" s="81" t="s">
        <v>35</v>
      </c>
      <c r="F653" s="81" t="s">
        <v>47</v>
      </c>
      <c r="G653" s="81" t="s">
        <v>115</v>
      </c>
      <c r="H653" s="81">
        <v>1</v>
      </c>
    </row>
    <row r="654" spans="2:8">
      <c r="B654" s="81" t="s">
        <v>2320</v>
      </c>
      <c r="C654" s="81">
        <v>586</v>
      </c>
      <c r="D654" s="81" t="s">
        <v>1268</v>
      </c>
      <c r="E654" s="81" t="s">
        <v>35</v>
      </c>
      <c r="F654" s="81" t="s">
        <v>47</v>
      </c>
      <c r="G654" s="81" t="s">
        <v>115</v>
      </c>
      <c r="H654" s="81">
        <v>1</v>
      </c>
    </row>
    <row r="655" spans="2:8">
      <c r="B655" s="81" t="s">
        <v>1965</v>
      </c>
      <c r="C655" s="81">
        <v>480</v>
      </c>
      <c r="D655" s="81" t="s">
        <v>1557</v>
      </c>
      <c r="E655" s="81" t="s">
        <v>108</v>
      </c>
      <c r="F655" s="81" t="s">
        <v>27</v>
      </c>
      <c r="G655" s="81" t="s">
        <v>112</v>
      </c>
      <c r="H655" s="81">
        <v>1</v>
      </c>
    </row>
    <row r="656" spans="2:8">
      <c r="B656" s="81" t="s">
        <v>1966</v>
      </c>
      <c r="C656" s="81">
        <v>684</v>
      </c>
      <c r="D656" s="81" t="s">
        <v>1454</v>
      </c>
      <c r="E656" s="81" t="s">
        <v>108</v>
      </c>
      <c r="F656" s="81" t="s">
        <v>27</v>
      </c>
      <c r="G656" s="81" t="s">
        <v>112</v>
      </c>
      <c r="H656" s="81">
        <v>1</v>
      </c>
    </row>
    <row r="657" spans="2:8">
      <c r="B657" s="81" t="s">
        <v>1967</v>
      </c>
      <c r="C657" s="81">
        <v>480</v>
      </c>
      <c r="D657" s="81" t="s">
        <v>1557</v>
      </c>
      <c r="E657" s="81" t="s">
        <v>108</v>
      </c>
      <c r="F657" s="81" t="s">
        <v>27</v>
      </c>
      <c r="G657" s="81" t="s">
        <v>4</v>
      </c>
      <c r="H657" s="81">
        <v>1</v>
      </c>
    </row>
    <row r="658" spans="2:8">
      <c r="B658" s="81" t="s">
        <v>1969</v>
      </c>
      <c r="C658" s="81">
        <v>666</v>
      </c>
      <c r="D658" s="81" t="s">
        <v>1372</v>
      </c>
      <c r="E658" s="81" t="s">
        <v>108</v>
      </c>
      <c r="F658" s="81" t="s">
        <v>27</v>
      </c>
      <c r="G658" s="81" t="s">
        <v>4</v>
      </c>
      <c r="H658" s="81">
        <v>1</v>
      </c>
    </row>
    <row r="659" spans="2:8">
      <c r="B659" s="81" t="s">
        <v>1968</v>
      </c>
      <c r="C659" s="81">
        <v>684</v>
      </c>
      <c r="D659" s="81" t="s">
        <v>1454</v>
      </c>
      <c r="E659" s="81" t="s">
        <v>108</v>
      </c>
      <c r="F659" s="81" t="s">
        <v>27</v>
      </c>
      <c r="G659" s="81" t="s">
        <v>4</v>
      </c>
      <c r="H659" s="81">
        <v>1</v>
      </c>
    </row>
    <row r="660" spans="2:8">
      <c r="B660" s="81" t="s">
        <v>1970</v>
      </c>
      <c r="C660" s="81">
        <v>696</v>
      </c>
      <c r="D660" s="81" t="s">
        <v>1472</v>
      </c>
      <c r="E660" s="81" t="s">
        <v>108</v>
      </c>
      <c r="F660" s="81" t="s">
        <v>27</v>
      </c>
      <c r="G660" s="81" t="s">
        <v>4</v>
      </c>
      <c r="H660" s="81">
        <v>1</v>
      </c>
    </row>
    <row r="661" spans="2:8">
      <c r="B661" s="81" t="s">
        <v>2330</v>
      </c>
      <c r="C661" s="81">
        <v>505</v>
      </c>
      <c r="D661" s="81" t="s">
        <v>1137</v>
      </c>
      <c r="E661" s="81" t="s">
        <v>35</v>
      </c>
      <c r="F661" s="81" t="s">
        <v>47</v>
      </c>
      <c r="G661" s="81" t="s">
        <v>117</v>
      </c>
      <c r="H661" s="81">
        <v>1</v>
      </c>
    </row>
    <row r="662" spans="2:8">
      <c r="B662" s="81" t="s">
        <v>2331</v>
      </c>
      <c r="C662" s="81">
        <v>512</v>
      </c>
      <c r="D662" s="81" t="s">
        <v>1149</v>
      </c>
      <c r="E662" s="81" t="s">
        <v>35</v>
      </c>
      <c r="F662" s="81" t="s">
        <v>47</v>
      </c>
      <c r="G662" s="81" t="s">
        <v>117</v>
      </c>
      <c r="H662" s="81">
        <v>1</v>
      </c>
    </row>
    <row r="663" spans="2:8">
      <c r="B663" s="81" t="s">
        <v>2332</v>
      </c>
      <c r="C663" s="81">
        <v>517</v>
      </c>
      <c r="D663" s="81" t="s">
        <v>1152</v>
      </c>
      <c r="E663" s="81" t="s">
        <v>35</v>
      </c>
      <c r="F663" s="81" t="s">
        <v>47</v>
      </c>
      <c r="G663" s="81" t="s">
        <v>117</v>
      </c>
      <c r="H663" s="81">
        <v>1</v>
      </c>
    </row>
    <row r="664" spans="2:8">
      <c r="B664" s="81" t="s">
        <v>2272</v>
      </c>
      <c r="C664" s="81">
        <v>520</v>
      </c>
      <c r="D664" s="81" t="s">
        <v>1154</v>
      </c>
      <c r="E664" s="81" t="s">
        <v>35</v>
      </c>
      <c r="F664" s="81" t="s">
        <v>47</v>
      </c>
      <c r="G664" s="81" t="s">
        <v>117</v>
      </c>
      <c r="H664" s="81">
        <v>1</v>
      </c>
    </row>
    <row r="665" spans="2:8">
      <c r="B665" s="81" t="s">
        <v>1867</v>
      </c>
      <c r="C665" s="81">
        <v>531</v>
      </c>
      <c r="D665" s="81" t="s">
        <v>1171</v>
      </c>
      <c r="E665" s="81" t="s">
        <v>77</v>
      </c>
      <c r="F665" s="81" t="s">
        <v>105</v>
      </c>
      <c r="G665" s="81" t="s">
        <v>115</v>
      </c>
      <c r="H665" s="81">
        <v>1</v>
      </c>
    </row>
    <row r="666" spans="2:8">
      <c r="B666" s="81" t="s">
        <v>1868</v>
      </c>
      <c r="C666" s="81">
        <v>531</v>
      </c>
      <c r="D666" s="81" t="s">
        <v>1171</v>
      </c>
      <c r="E666" s="81" t="s">
        <v>77</v>
      </c>
      <c r="F666" s="81" t="s">
        <v>105</v>
      </c>
      <c r="G666" s="81" t="s">
        <v>118</v>
      </c>
      <c r="H666" s="81">
        <v>1</v>
      </c>
    </row>
    <row r="667" spans="2:8">
      <c r="B667" s="81" t="s">
        <v>1869</v>
      </c>
      <c r="C667" s="81">
        <v>531</v>
      </c>
      <c r="D667" s="81" t="s">
        <v>1171</v>
      </c>
      <c r="E667" s="81" t="s">
        <v>77</v>
      </c>
      <c r="F667" s="81" t="s">
        <v>105</v>
      </c>
      <c r="G667" s="81" t="s">
        <v>117</v>
      </c>
      <c r="H667" s="81">
        <v>1</v>
      </c>
    </row>
    <row r="668" spans="2:8">
      <c r="B668" s="81" t="s">
        <v>1870</v>
      </c>
      <c r="C668" s="81">
        <v>531</v>
      </c>
      <c r="D668" s="81" t="s">
        <v>1171</v>
      </c>
      <c r="E668" s="81" t="s">
        <v>77</v>
      </c>
      <c r="F668" s="81" t="s">
        <v>105</v>
      </c>
      <c r="G668" s="81" t="s">
        <v>114</v>
      </c>
      <c r="H668" s="81">
        <v>1</v>
      </c>
    </row>
    <row r="669" spans="2:8">
      <c r="B669" s="81" t="s">
        <v>1871</v>
      </c>
      <c r="C669" s="81">
        <v>531</v>
      </c>
      <c r="D669" s="81" t="s">
        <v>1171</v>
      </c>
      <c r="E669" s="81" t="s">
        <v>77</v>
      </c>
      <c r="F669" s="81" t="s">
        <v>105</v>
      </c>
      <c r="G669" s="81" t="s">
        <v>113</v>
      </c>
      <c r="H669" s="81">
        <v>1</v>
      </c>
    </row>
    <row r="670" spans="2:8">
      <c r="B670" s="81" t="s">
        <v>1872</v>
      </c>
      <c r="C670" s="81">
        <v>531</v>
      </c>
      <c r="D670" s="81" t="s">
        <v>1171</v>
      </c>
      <c r="E670" s="81" t="s">
        <v>77</v>
      </c>
      <c r="F670" s="81" t="s">
        <v>105</v>
      </c>
      <c r="G670" s="81" t="s">
        <v>112</v>
      </c>
      <c r="H670" s="81">
        <v>1</v>
      </c>
    </row>
    <row r="671" spans="2:8">
      <c r="B671" s="81" t="s">
        <v>1873</v>
      </c>
      <c r="C671" s="81">
        <v>531</v>
      </c>
      <c r="D671" s="81" t="s">
        <v>1171</v>
      </c>
      <c r="E671" s="81" t="s">
        <v>77</v>
      </c>
      <c r="F671" s="81" t="s">
        <v>105</v>
      </c>
      <c r="G671" s="81" t="s">
        <v>4</v>
      </c>
      <c r="H671" s="81">
        <v>1</v>
      </c>
    </row>
    <row r="672" spans="2:8">
      <c r="B672" s="81" t="s">
        <v>1760</v>
      </c>
      <c r="C672" s="81">
        <v>543</v>
      </c>
      <c r="D672" s="81" t="s">
        <v>1192</v>
      </c>
      <c r="E672" s="81" t="s">
        <v>78</v>
      </c>
      <c r="F672" s="81" t="s">
        <v>97</v>
      </c>
      <c r="G672" s="81" t="s">
        <v>112</v>
      </c>
      <c r="H672" s="81">
        <v>1</v>
      </c>
    </row>
    <row r="673" spans="2:8">
      <c r="B673" s="81" t="s">
        <v>1788</v>
      </c>
      <c r="C673" s="81">
        <v>610</v>
      </c>
      <c r="D673" s="81" t="s">
        <v>1312</v>
      </c>
      <c r="E673" s="81" t="s">
        <v>35</v>
      </c>
      <c r="F673" s="81" t="s">
        <v>35</v>
      </c>
      <c r="G673" s="81" t="s">
        <v>112</v>
      </c>
      <c r="H673" s="81">
        <v>1</v>
      </c>
    </row>
    <row r="674" spans="2:8">
      <c r="B674" s="81" t="s">
        <v>1789</v>
      </c>
      <c r="C674" s="81">
        <v>652</v>
      </c>
      <c r="D674" s="81" t="s">
        <v>1384</v>
      </c>
      <c r="E674" s="81" t="s">
        <v>35</v>
      </c>
      <c r="F674" s="81" t="s">
        <v>35</v>
      </c>
      <c r="G674" s="81" t="s">
        <v>112</v>
      </c>
      <c r="H674" s="81">
        <v>1</v>
      </c>
    </row>
    <row r="675" spans="2:8">
      <c r="B675" s="81" t="s">
        <v>1790</v>
      </c>
      <c r="C675" s="81">
        <v>698</v>
      </c>
      <c r="D675" s="81" t="s">
        <v>1474</v>
      </c>
      <c r="E675" s="81" t="s">
        <v>35</v>
      </c>
      <c r="F675" s="81" t="s">
        <v>35</v>
      </c>
      <c r="G675" s="81" t="s">
        <v>112</v>
      </c>
      <c r="H675" s="81">
        <v>1</v>
      </c>
    </row>
    <row r="676" spans="2:8">
      <c r="B676" s="81" t="s">
        <v>1909</v>
      </c>
      <c r="C676" s="81">
        <v>610</v>
      </c>
      <c r="D676" s="81" t="s">
        <v>1312</v>
      </c>
      <c r="E676" s="81" t="s">
        <v>35</v>
      </c>
      <c r="F676" s="81" t="s">
        <v>35</v>
      </c>
      <c r="G676" s="81" t="s">
        <v>4</v>
      </c>
      <c r="H676" s="81">
        <v>1</v>
      </c>
    </row>
    <row r="677" spans="2:8">
      <c r="B677" s="81" t="s">
        <v>2298</v>
      </c>
      <c r="C677" s="81">
        <v>630</v>
      </c>
      <c r="D677" s="81" t="s">
        <v>1351</v>
      </c>
      <c r="E677" s="81" t="s">
        <v>75</v>
      </c>
      <c r="F677" s="81" t="s">
        <v>650</v>
      </c>
      <c r="G677" s="81" t="s">
        <v>113</v>
      </c>
      <c r="H677" s="81">
        <v>1</v>
      </c>
    </row>
    <row r="678" spans="2:8">
      <c r="B678" s="81" t="s">
        <v>2299</v>
      </c>
      <c r="C678" s="81">
        <v>635</v>
      </c>
      <c r="D678" s="81" t="s">
        <v>1357</v>
      </c>
      <c r="E678" s="81" t="s">
        <v>75</v>
      </c>
      <c r="F678" s="81" t="s">
        <v>650</v>
      </c>
      <c r="G678" s="81" t="s">
        <v>113</v>
      </c>
      <c r="H678" s="81">
        <v>1</v>
      </c>
    </row>
    <row r="679" spans="2:8">
      <c r="B679" s="81" t="s">
        <v>2300</v>
      </c>
      <c r="C679" s="81">
        <v>686</v>
      </c>
      <c r="D679" s="81" t="s">
        <v>1456</v>
      </c>
      <c r="E679" s="81" t="s">
        <v>75</v>
      </c>
      <c r="F679" s="81" t="s">
        <v>650</v>
      </c>
      <c r="G679" s="81" t="s">
        <v>113</v>
      </c>
      <c r="H679" s="81">
        <v>1</v>
      </c>
    </row>
    <row r="680" spans="2:8">
      <c r="B680" s="81" t="s">
        <v>2301</v>
      </c>
      <c r="C680" s="81">
        <v>630</v>
      </c>
      <c r="D680" s="81" t="s">
        <v>1351</v>
      </c>
      <c r="E680" s="81" t="s">
        <v>75</v>
      </c>
      <c r="F680" s="81" t="s">
        <v>650</v>
      </c>
      <c r="G680" s="81" t="s">
        <v>112</v>
      </c>
      <c r="H680" s="81">
        <v>1</v>
      </c>
    </row>
    <row r="681" spans="2:8">
      <c r="B681" s="81" t="s">
        <v>2302</v>
      </c>
      <c r="C681" s="81">
        <v>635</v>
      </c>
      <c r="D681" s="81" t="s">
        <v>1357</v>
      </c>
      <c r="E681" s="81" t="s">
        <v>75</v>
      </c>
      <c r="F681" s="81" t="s">
        <v>650</v>
      </c>
      <c r="G681" s="81" t="s">
        <v>112</v>
      </c>
      <c r="H681" s="81">
        <v>1</v>
      </c>
    </row>
    <row r="682" spans="2:8">
      <c r="B682" s="81" t="s">
        <v>2303</v>
      </c>
      <c r="C682" s="81">
        <v>686</v>
      </c>
      <c r="D682" s="81" t="s">
        <v>1456</v>
      </c>
      <c r="E682" s="81" t="s">
        <v>75</v>
      </c>
      <c r="F682" s="81" t="s">
        <v>650</v>
      </c>
      <c r="G682" s="81" t="s">
        <v>112</v>
      </c>
      <c r="H682" s="81">
        <v>1</v>
      </c>
    </row>
    <row r="683" spans="2:8">
      <c r="B683" s="81" t="s">
        <v>2304</v>
      </c>
      <c r="C683" s="81">
        <v>630</v>
      </c>
      <c r="D683" s="81" t="s">
        <v>1351</v>
      </c>
      <c r="E683" s="81" t="s">
        <v>75</v>
      </c>
      <c r="F683" s="81" t="s">
        <v>650</v>
      </c>
      <c r="G683" s="81" t="s">
        <v>4</v>
      </c>
      <c r="H683" s="81">
        <v>1</v>
      </c>
    </row>
    <row r="684" spans="2:8">
      <c r="B684" s="81" t="s">
        <v>2305</v>
      </c>
      <c r="C684" s="81">
        <v>635</v>
      </c>
      <c r="D684" s="81" t="s">
        <v>1357</v>
      </c>
      <c r="E684" s="81" t="s">
        <v>75</v>
      </c>
      <c r="F684" s="81" t="s">
        <v>650</v>
      </c>
      <c r="G684" s="81" t="s">
        <v>4</v>
      </c>
      <c r="H684" s="81">
        <v>1</v>
      </c>
    </row>
    <row r="685" spans="2:8">
      <c r="B685" s="81" t="s">
        <v>2306</v>
      </c>
      <c r="C685" s="81">
        <v>686</v>
      </c>
      <c r="D685" s="81" t="s">
        <v>1456</v>
      </c>
      <c r="E685" s="81" t="s">
        <v>75</v>
      </c>
      <c r="F685" s="81" t="s">
        <v>650</v>
      </c>
      <c r="G685" s="81" t="s">
        <v>4</v>
      </c>
      <c r="H685" s="81">
        <v>1</v>
      </c>
    </row>
    <row r="686" spans="2:8">
      <c r="B686" s="81" t="s">
        <v>2333</v>
      </c>
      <c r="C686" s="81">
        <v>631</v>
      </c>
      <c r="D686" s="81" t="s">
        <v>1352</v>
      </c>
      <c r="E686" s="81" t="s">
        <v>75</v>
      </c>
      <c r="F686" s="81" t="s">
        <v>87</v>
      </c>
      <c r="G686" s="81" t="s">
        <v>118</v>
      </c>
      <c r="H686" s="81">
        <v>1</v>
      </c>
    </row>
    <row r="687" spans="2:8">
      <c r="B687" s="81" t="s">
        <v>2321</v>
      </c>
      <c r="C687" s="81">
        <v>633</v>
      </c>
      <c r="D687" s="81" t="s">
        <v>1354</v>
      </c>
      <c r="E687" s="81" t="s">
        <v>75</v>
      </c>
      <c r="F687" s="81" t="s">
        <v>87</v>
      </c>
      <c r="G687" s="81" t="s">
        <v>118</v>
      </c>
      <c r="H687" s="81">
        <v>1</v>
      </c>
    </row>
    <row r="688" spans="2:8">
      <c r="B688" s="81" t="s">
        <v>2334</v>
      </c>
      <c r="C688" s="81">
        <v>631</v>
      </c>
      <c r="D688" s="81" t="s">
        <v>1352</v>
      </c>
      <c r="E688" s="81" t="s">
        <v>75</v>
      </c>
      <c r="F688" s="81" t="s">
        <v>87</v>
      </c>
      <c r="G688" s="81" t="s">
        <v>114</v>
      </c>
      <c r="H688" s="81">
        <v>1</v>
      </c>
    </row>
    <row r="689" spans="2:8">
      <c r="B689" s="81" t="s">
        <v>2322</v>
      </c>
      <c r="C689" s="81">
        <v>633</v>
      </c>
      <c r="D689" s="81" t="s">
        <v>1354</v>
      </c>
      <c r="E689" s="81" t="s">
        <v>75</v>
      </c>
      <c r="F689" s="81" t="s">
        <v>87</v>
      </c>
      <c r="G689" s="81" t="s">
        <v>114</v>
      </c>
      <c r="H689" s="81">
        <v>1</v>
      </c>
    </row>
    <row r="690" spans="2:8">
      <c r="B690" s="81" t="s">
        <v>2323</v>
      </c>
      <c r="C690" s="81">
        <v>633</v>
      </c>
      <c r="D690" s="81" t="s">
        <v>1354</v>
      </c>
      <c r="E690" s="81" t="s">
        <v>75</v>
      </c>
      <c r="F690" s="81" t="s">
        <v>87</v>
      </c>
      <c r="G690" s="81" t="s">
        <v>113</v>
      </c>
      <c r="H690" s="81">
        <v>1</v>
      </c>
    </row>
    <row r="691" spans="2:8">
      <c r="B691" s="81" t="s">
        <v>2275</v>
      </c>
      <c r="C691" s="81">
        <v>645</v>
      </c>
      <c r="D691" s="81" t="s">
        <v>1373</v>
      </c>
      <c r="E691" s="81" t="s">
        <v>77</v>
      </c>
      <c r="F691" s="81" t="s">
        <v>43</v>
      </c>
      <c r="G691" s="81" t="s">
        <v>117</v>
      </c>
      <c r="H691" s="81">
        <v>1</v>
      </c>
    </row>
    <row r="692" spans="2:8">
      <c r="B692" s="81" t="s">
        <v>1778</v>
      </c>
      <c r="C692" s="81">
        <v>688</v>
      </c>
      <c r="D692" s="81" t="s">
        <v>1459</v>
      </c>
      <c r="E692" s="81" t="s">
        <v>75</v>
      </c>
      <c r="F692" s="81" t="s">
        <v>85</v>
      </c>
      <c r="G692" s="81" t="s">
        <v>112</v>
      </c>
      <c r="H692" s="81">
        <v>1</v>
      </c>
    </row>
    <row r="693" spans="2:8">
      <c r="B693" s="81" t="s">
        <v>1779</v>
      </c>
      <c r="C693" s="81">
        <v>688</v>
      </c>
      <c r="D693" s="81" t="s">
        <v>1459</v>
      </c>
      <c r="E693" s="81" t="s">
        <v>75</v>
      </c>
      <c r="F693" s="81" t="s">
        <v>85</v>
      </c>
      <c r="G693" s="81" t="s">
        <v>4</v>
      </c>
      <c r="H693" s="81">
        <v>1</v>
      </c>
    </row>
    <row r="694" spans="2:8">
      <c r="B694" s="81" t="s">
        <v>1819</v>
      </c>
      <c r="C694" s="81">
        <v>740</v>
      </c>
      <c r="D694" s="81" t="s">
        <v>1715</v>
      </c>
      <c r="E694" s="81" t="s">
        <v>24</v>
      </c>
      <c r="F694" s="81" t="s">
        <v>24</v>
      </c>
      <c r="G694" s="81" t="s">
        <v>118</v>
      </c>
      <c r="H694" s="81">
        <v>1</v>
      </c>
    </row>
    <row r="695" spans="2:8">
      <c r="B695" s="81" t="s">
        <v>2273</v>
      </c>
      <c r="C695" s="81">
        <v>740</v>
      </c>
      <c r="D695" s="81" t="s">
        <v>1715</v>
      </c>
      <c r="E695" s="81" t="s">
        <v>24</v>
      </c>
      <c r="F695" s="81" t="s">
        <v>24</v>
      </c>
      <c r="G695" s="81" t="s">
        <v>117</v>
      </c>
      <c r="H695" s="81">
        <v>1</v>
      </c>
    </row>
    <row r="696" spans="2:8">
      <c r="B696" s="81" t="s">
        <v>2274</v>
      </c>
      <c r="C696" s="81">
        <v>740</v>
      </c>
      <c r="D696" s="81" t="s">
        <v>1715</v>
      </c>
      <c r="E696" s="81" t="s">
        <v>24</v>
      </c>
      <c r="F696" s="81" t="s">
        <v>24</v>
      </c>
      <c r="G696" s="81" t="s">
        <v>114</v>
      </c>
      <c r="H696" s="81">
        <v>1</v>
      </c>
    </row>
    <row r="697" spans="2:8">
      <c r="B697" s="81" t="s">
        <v>2336</v>
      </c>
      <c r="C697" s="81" t="e">
        <v>#REF!</v>
      </c>
      <c r="D697" s="81" t="s">
        <v>1100</v>
      </c>
      <c r="E697" s="81" t="s">
        <v>68</v>
      </c>
      <c r="F697" s="81" t="s">
        <v>61</v>
      </c>
      <c r="G697" s="81" t="s">
        <v>113</v>
      </c>
      <c r="H697" s="81">
        <v>1</v>
      </c>
    </row>
    <row r="698" spans="2:8">
      <c r="B698" s="81" t="s">
        <v>2337</v>
      </c>
      <c r="C698" s="81" t="e">
        <v>#REF!</v>
      </c>
      <c r="D698" s="81" t="s">
        <v>1100</v>
      </c>
      <c r="E698" s="81" t="s">
        <v>68</v>
      </c>
      <c r="F698" s="81" t="s">
        <v>61</v>
      </c>
      <c r="G698" s="81" t="s">
        <v>112</v>
      </c>
      <c r="H698" s="81">
        <v>1</v>
      </c>
    </row>
    <row r="699" spans="2:8">
      <c r="B699" s="81" t="s">
        <v>2338</v>
      </c>
      <c r="C699" s="81" t="e">
        <v>#REF!</v>
      </c>
      <c r="D699" s="81" t="s">
        <v>1029</v>
      </c>
      <c r="E699" s="81" t="s">
        <v>68</v>
      </c>
      <c r="F699" s="81" t="s">
        <v>110</v>
      </c>
      <c r="G699" s="81" t="s">
        <v>115</v>
      </c>
      <c r="H699" s="81">
        <v>1</v>
      </c>
    </row>
    <row r="700" spans="2:8">
      <c r="B700" s="81" t="s">
        <v>2339</v>
      </c>
      <c r="C700" s="81" t="e">
        <v>#REF!</v>
      </c>
      <c r="D700" s="81" t="s">
        <v>1201</v>
      </c>
      <c r="E700" s="81" t="s">
        <v>35</v>
      </c>
      <c r="F700" s="81" t="s">
        <v>76</v>
      </c>
      <c r="G700" s="81" t="s">
        <v>113</v>
      </c>
      <c r="H700" s="81">
        <v>1</v>
      </c>
    </row>
    <row r="701" spans="2:8">
      <c r="B701" s="81" t="s">
        <v>2340</v>
      </c>
      <c r="C701" s="81" t="e">
        <v>#REF!</v>
      </c>
      <c r="D701" s="81" t="s">
        <v>1085</v>
      </c>
      <c r="E701" s="81" t="s">
        <v>68</v>
      </c>
      <c r="F701" s="81" t="s">
        <v>61</v>
      </c>
      <c r="G701" s="81" t="s">
        <v>113</v>
      </c>
      <c r="H701" s="81">
        <v>1</v>
      </c>
    </row>
    <row r="702" spans="2:8">
      <c r="B702" s="81" t="s">
        <v>2341</v>
      </c>
      <c r="C702" s="81" t="e">
        <v>#REF!</v>
      </c>
      <c r="D702" s="81" t="s">
        <v>1085</v>
      </c>
      <c r="E702" s="81" t="s">
        <v>68</v>
      </c>
      <c r="F702" s="81" t="s">
        <v>61</v>
      </c>
      <c r="G702" s="81" t="s">
        <v>112</v>
      </c>
      <c r="H702" s="81">
        <v>1</v>
      </c>
    </row>
    <row r="703" spans="2:8">
      <c r="B703" s="81" t="s">
        <v>2342</v>
      </c>
      <c r="C703" s="81" t="e">
        <v>#REF!</v>
      </c>
      <c r="D703" s="81" t="s">
        <v>1351</v>
      </c>
      <c r="E703" s="81" t="s">
        <v>75</v>
      </c>
      <c r="F703" s="81" t="s">
        <v>650</v>
      </c>
      <c r="G703" s="81" t="s">
        <v>115</v>
      </c>
      <c r="H703" s="81">
        <v>1</v>
      </c>
    </row>
    <row r="704" spans="2:8">
      <c r="B704" s="81" t="s">
        <v>2343</v>
      </c>
      <c r="C704" s="81" t="e">
        <v>#REF!</v>
      </c>
      <c r="D704" s="81" t="s">
        <v>1351</v>
      </c>
      <c r="E704" s="81" t="s">
        <v>75</v>
      </c>
      <c r="F704" s="81" t="s">
        <v>650</v>
      </c>
      <c r="G704" s="81" t="s">
        <v>118</v>
      </c>
      <c r="H704" s="81">
        <v>1</v>
      </c>
    </row>
    <row r="705" spans="2:8">
      <c r="B705" s="81" t="s">
        <v>2344</v>
      </c>
      <c r="C705" s="81" t="e">
        <v>#REF!</v>
      </c>
      <c r="D705" s="81" t="s">
        <v>1351</v>
      </c>
      <c r="E705" s="81" t="s">
        <v>75</v>
      </c>
      <c r="F705" s="81" t="s">
        <v>650</v>
      </c>
      <c r="G705" s="81" t="s">
        <v>117</v>
      </c>
      <c r="H705" s="81">
        <v>1</v>
      </c>
    </row>
    <row r="706" spans="2:8">
      <c r="B706" s="81" t="s">
        <v>2345</v>
      </c>
      <c r="C706" s="81" t="e">
        <v>#REF!</v>
      </c>
      <c r="D706" s="81" t="s">
        <v>1351</v>
      </c>
      <c r="E706" s="81" t="s">
        <v>75</v>
      </c>
      <c r="F706" s="81" t="s">
        <v>650</v>
      </c>
      <c r="G706" s="81" t="s">
        <v>114</v>
      </c>
      <c r="H706" s="81">
        <v>1</v>
      </c>
    </row>
    <row r="707" spans="2:8">
      <c r="B707" s="81" t="s">
        <v>2346</v>
      </c>
      <c r="C707" s="81" t="e">
        <v>#REF!</v>
      </c>
      <c r="D707" s="81" t="s">
        <v>1352</v>
      </c>
      <c r="E707" s="81" t="s">
        <v>75</v>
      </c>
      <c r="F707" s="81" t="s">
        <v>87</v>
      </c>
      <c r="G707" s="81" t="s">
        <v>115</v>
      </c>
      <c r="H707" s="81">
        <v>1</v>
      </c>
    </row>
    <row r="708" spans="2:8">
      <c r="B708" s="81" t="s">
        <v>2347</v>
      </c>
      <c r="C708" s="81" t="e">
        <v>#REF!</v>
      </c>
      <c r="D708" s="81" t="s">
        <v>1352</v>
      </c>
      <c r="E708" s="81" t="s">
        <v>75</v>
      </c>
      <c r="F708" s="81" t="s">
        <v>87</v>
      </c>
      <c r="G708" s="81" t="s">
        <v>117</v>
      </c>
      <c r="H708" s="81">
        <v>1</v>
      </c>
    </row>
    <row r="709" spans="2:8">
      <c r="B709" s="81" t="s">
        <v>2348</v>
      </c>
      <c r="C709" s="81" t="e">
        <v>#REF!</v>
      </c>
      <c r="D709" s="81" t="s">
        <v>1354</v>
      </c>
      <c r="E709" s="81" t="s">
        <v>75</v>
      </c>
      <c r="F709" s="81" t="s">
        <v>87</v>
      </c>
      <c r="G709" s="81" t="s">
        <v>115</v>
      </c>
      <c r="H709" s="81">
        <v>1</v>
      </c>
    </row>
    <row r="710" spans="2:8">
      <c r="B710" s="81" t="s">
        <v>2349</v>
      </c>
      <c r="C710" s="81" t="e">
        <v>#REF!</v>
      </c>
      <c r="D710" s="81" t="s">
        <v>1354</v>
      </c>
      <c r="E710" s="81" t="s">
        <v>75</v>
      </c>
      <c r="F710" s="81" t="s">
        <v>87</v>
      </c>
      <c r="G710" s="81" t="s">
        <v>117</v>
      </c>
      <c r="H710" s="81">
        <v>1</v>
      </c>
    </row>
    <row r="711" spans="2:8">
      <c r="B711" s="81" t="s">
        <v>2350</v>
      </c>
      <c r="C711" s="81" t="e">
        <v>#REF!</v>
      </c>
      <c r="D711" s="81" t="s">
        <v>1354</v>
      </c>
      <c r="E711" s="81" t="s">
        <v>75</v>
      </c>
      <c r="F711" s="81" t="s">
        <v>87</v>
      </c>
      <c r="G711" s="81" t="s">
        <v>112</v>
      </c>
      <c r="H711" s="81">
        <v>1</v>
      </c>
    </row>
    <row r="712" spans="2:8">
      <c r="B712" s="81" t="s">
        <v>1668</v>
      </c>
      <c r="C712" s="81" t="e">
        <v>#REF!</v>
      </c>
      <c r="D712" s="81" t="s">
        <v>1354</v>
      </c>
      <c r="E712" s="81" t="s">
        <v>75</v>
      </c>
      <c r="F712" s="81" t="s">
        <v>87</v>
      </c>
      <c r="G712" s="81" t="s">
        <v>4</v>
      </c>
      <c r="H712" s="81">
        <v>1</v>
      </c>
    </row>
    <row r="713" spans="2:8">
      <c r="B713" s="81" t="s">
        <v>2351</v>
      </c>
      <c r="C713" s="81" t="e">
        <v>#REF!</v>
      </c>
      <c r="D713" s="81" t="s">
        <v>1357</v>
      </c>
      <c r="E713" s="81" t="s">
        <v>75</v>
      </c>
      <c r="F713" s="81" t="s">
        <v>650</v>
      </c>
      <c r="G713" s="81" t="s">
        <v>115</v>
      </c>
      <c r="H713" s="81">
        <v>1</v>
      </c>
    </row>
    <row r="714" spans="2:8">
      <c r="B714" s="81" t="s">
        <v>2352</v>
      </c>
      <c r="C714" s="81" t="e">
        <v>#REF!</v>
      </c>
      <c r="D714" s="81" t="s">
        <v>1357</v>
      </c>
      <c r="E714" s="81" t="s">
        <v>75</v>
      </c>
      <c r="F714" s="81" t="s">
        <v>650</v>
      </c>
      <c r="G714" s="81" t="s">
        <v>118</v>
      </c>
      <c r="H714" s="81">
        <v>1</v>
      </c>
    </row>
    <row r="715" spans="2:8">
      <c r="B715" s="81" t="s">
        <v>2353</v>
      </c>
      <c r="C715" s="81" t="e">
        <v>#REF!</v>
      </c>
      <c r="D715" s="81" t="s">
        <v>1357</v>
      </c>
      <c r="E715" s="81" t="s">
        <v>75</v>
      </c>
      <c r="F715" s="81" t="s">
        <v>650</v>
      </c>
      <c r="G715" s="81" t="s">
        <v>117</v>
      </c>
      <c r="H715" s="81">
        <v>1</v>
      </c>
    </row>
    <row r="716" spans="2:8">
      <c r="B716" s="81" t="s">
        <v>2354</v>
      </c>
      <c r="C716" s="81" t="e">
        <v>#REF!</v>
      </c>
      <c r="D716" s="81" t="s">
        <v>1357</v>
      </c>
      <c r="E716" s="81" t="s">
        <v>75</v>
      </c>
      <c r="F716" s="81" t="s">
        <v>650</v>
      </c>
      <c r="G716" s="81" t="s">
        <v>114</v>
      </c>
      <c r="H716" s="81">
        <v>1</v>
      </c>
    </row>
    <row r="717" spans="2:8">
      <c r="B717" s="81" t="s">
        <v>2355</v>
      </c>
      <c r="C717" s="81" t="e">
        <v>#REF!</v>
      </c>
      <c r="D717" s="81" t="s">
        <v>1380</v>
      </c>
      <c r="E717" s="81" t="s">
        <v>35</v>
      </c>
      <c r="F717" s="81" t="s">
        <v>49</v>
      </c>
      <c r="G717" s="81" t="s">
        <v>113</v>
      </c>
      <c r="H717" s="81">
        <v>1</v>
      </c>
    </row>
    <row r="718" spans="2:8">
      <c r="B718" s="81" t="s">
        <v>2356</v>
      </c>
      <c r="C718" s="81" t="e">
        <v>#REF!</v>
      </c>
      <c r="D718" s="81" t="s">
        <v>1456</v>
      </c>
      <c r="E718" s="81" t="s">
        <v>75</v>
      </c>
      <c r="F718" s="81" t="s">
        <v>650</v>
      </c>
      <c r="G718" s="81" t="s">
        <v>115</v>
      </c>
      <c r="H718" s="81">
        <v>1</v>
      </c>
    </row>
    <row r="719" spans="2:8">
      <c r="B719" s="81" t="s">
        <v>1670</v>
      </c>
      <c r="C719" s="81" t="e">
        <v>#REF!</v>
      </c>
      <c r="D719" s="81" t="s">
        <v>1456</v>
      </c>
      <c r="E719" s="81" t="s">
        <v>75</v>
      </c>
      <c r="F719" s="81" t="s">
        <v>650</v>
      </c>
      <c r="G719" s="81" t="s">
        <v>118</v>
      </c>
      <c r="H719" s="81">
        <v>1</v>
      </c>
    </row>
    <row r="720" spans="2:8">
      <c r="B720" s="81" t="s">
        <v>2357</v>
      </c>
      <c r="C720" s="81" t="e">
        <v>#REF!</v>
      </c>
      <c r="D720" s="81" t="s">
        <v>1456</v>
      </c>
      <c r="E720" s="81" t="s">
        <v>75</v>
      </c>
      <c r="F720" s="81" t="s">
        <v>650</v>
      </c>
      <c r="G720" s="81" t="s">
        <v>117</v>
      </c>
      <c r="H720" s="81">
        <v>1</v>
      </c>
    </row>
    <row r="721" spans="2:8">
      <c r="B721" s="81" t="s">
        <v>1671</v>
      </c>
      <c r="C721" s="81" t="e">
        <v>#REF!</v>
      </c>
      <c r="D721" s="81" t="s">
        <v>1456</v>
      </c>
      <c r="E721" s="81" t="s">
        <v>75</v>
      </c>
      <c r="F721" s="81" t="s">
        <v>650</v>
      </c>
      <c r="G721" s="81" t="s">
        <v>114</v>
      </c>
      <c r="H721" s="81">
        <v>1</v>
      </c>
    </row>
    <row r="722" spans="2:8">
      <c r="B722" s="81" t="s">
        <v>2358</v>
      </c>
      <c r="C722" s="81" t="e">
        <v>#REF!</v>
      </c>
      <c r="D722" s="81" t="s">
        <v>1473</v>
      </c>
      <c r="E722" s="81" t="s">
        <v>35</v>
      </c>
      <c r="F722" s="81" t="s">
        <v>49</v>
      </c>
      <c r="G722" s="81" t="s">
        <v>113</v>
      </c>
      <c r="H722" s="81">
        <v>1</v>
      </c>
    </row>
    <row r="723" spans="2:8">
      <c r="B723" s="81" t="s">
        <v>2359</v>
      </c>
      <c r="C723" s="81" t="e">
        <v>#REF!</v>
      </c>
      <c r="D723" s="81" t="s">
        <v>790</v>
      </c>
      <c r="E723" s="81" t="s">
        <v>68</v>
      </c>
      <c r="F723" s="81" t="s">
        <v>61</v>
      </c>
      <c r="G723" s="81" t="s">
        <v>115</v>
      </c>
      <c r="H723" s="81">
        <v>1</v>
      </c>
    </row>
    <row r="724" spans="2:8">
      <c r="B724" s="81" t="s">
        <v>2360</v>
      </c>
      <c r="C724" s="81" t="e">
        <v>#REF!</v>
      </c>
      <c r="D724" s="81" t="s">
        <v>790</v>
      </c>
      <c r="E724" s="81" t="s">
        <v>68</v>
      </c>
      <c r="F724" s="81" t="s">
        <v>61</v>
      </c>
      <c r="G724" s="81" t="s">
        <v>117</v>
      </c>
      <c r="H724" s="81">
        <v>1</v>
      </c>
    </row>
    <row r="725" spans="2:8">
      <c r="B725" s="81" t="s">
        <v>2361</v>
      </c>
      <c r="C725" s="81" t="e">
        <v>#REF!</v>
      </c>
      <c r="D725" s="81" t="s">
        <v>790</v>
      </c>
      <c r="E725" s="81" t="s">
        <v>68</v>
      </c>
      <c r="F725" s="81" t="s">
        <v>61</v>
      </c>
      <c r="G725" s="81" t="s">
        <v>114</v>
      </c>
      <c r="H725" s="81">
        <v>1</v>
      </c>
    </row>
    <row r="726" spans="2:8">
      <c r="B726" s="81" t="s">
        <v>2362</v>
      </c>
      <c r="C726" s="81" t="e">
        <v>#REF!</v>
      </c>
      <c r="D726" s="81" t="s">
        <v>792</v>
      </c>
      <c r="E726" s="81" t="s">
        <v>68</v>
      </c>
      <c r="F726" s="81" t="s">
        <v>61</v>
      </c>
      <c r="G726" s="81" t="s">
        <v>115</v>
      </c>
      <c r="H726" s="81">
        <v>1</v>
      </c>
    </row>
    <row r="727" spans="2:8">
      <c r="B727" s="81" t="s">
        <v>2363</v>
      </c>
      <c r="C727" s="81" t="e">
        <v>#REF!</v>
      </c>
      <c r="D727" s="81" t="s">
        <v>792</v>
      </c>
      <c r="E727" s="81" t="s">
        <v>68</v>
      </c>
      <c r="F727" s="81" t="s">
        <v>61</v>
      </c>
      <c r="G727" s="81" t="s">
        <v>117</v>
      </c>
      <c r="H727" s="81">
        <v>2</v>
      </c>
    </row>
    <row r="728" spans="2:8">
      <c r="B728" s="81" t="s">
        <v>2364</v>
      </c>
      <c r="C728" s="81" t="e">
        <v>#REF!</v>
      </c>
      <c r="D728" s="81" t="s">
        <v>792</v>
      </c>
      <c r="E728" s="81" t="s">
        <v>68</v>
      </c>
      <c r="F728" s="81" t="s">
        <v>61</v>
      </c>
      <c r="G728" s="81" t="s">
        <v>114</v>
      </c>
      <c r="H728" s="81">
        <v>2</v>
      </c>
    </row>
    <row r="729" spans="2:8">
      <c r="B729" s="81" t="s">
        <v>2365</v>
      </c>
      <c r="C729" s="81" t="e">
        <v>#REF!</v>
      </c>
      <c r="D729" s="81" t="s">
        <v>1193</v>
      </c>
      <c r="E729" s="81" t="s">
        <v>75</v>
      </c>
      <c r="F729" s="81" t="s">
        <v>87</v>
      </c>
      <c r="G729" s="81" t="s">
        <v>118</v>
      </c>
      <c r="H729" s="81">
        <v>1</v>
      </c>
    </row>
    <row r="730" spans="2:8">
      <c r="B730" s="81" t="s">
        <v>2366</v>
      </c>
      <c r="C730" s="81" t="e">
        <v>#REF!</v>
      </c>
      <c r="D730" s="81" t="s">
        <v>1193</v>
      </c>
      <c r="E730" s="81" t="s">
        <v>75</v>
      </c>
      <c r="F730" s="81" t="s">
        <v>87</v>
      </c>
      <c r="G730" s="81" t="s">
        <v>114</v>
      </c>
      <c r="H730" s="81">
        <v>1</v>
      </c>
    </row>
    <row r="731" spans="2:8">
      <c r="B731" s="81" t="s">
        <v>2367</v>
      </c>
      <c r="C731" s="81" t="e">
        <v>#REF!</v>
      </c>
      <c r="D731" s="81" t="s">
        <v>87</v>
      </c>
      <c r="E731" s="81" t="s">
        <v>75</v>
      </c>
      <c r="F731" s="81" t="s">
        <v>87</v>
      </c>
      <c r="G731" s="81" t="s">
        <v>118</v>
      </c>
      <c r="H731" s="81">
        <v>1</v>
      </c>
    </row>
    <row r="732" spans="2:8">
      <c r="B732" s="81" t="s">
        <v>2368</v>
      </c>
      <c r="C732" s="81" t="e">
        <v>#REF!</v>
      </c>
      <c r="D732" s="81" t="s">
        <v>87</v>
      </c>
      <c r="E732" s="81" t="s">
        <v>75</v>
      </c>
      <c r="F732" s="81" t="s">
        <v>87</v>
      </c>
      <c r="G732" s="81" t="s">
        <v>114</v>
      </c>
      <c r="H732" s="81">
        <v>1</v>
      </c>
    </row>
    <row r="733" spans="2:8">
      <c r="B733" s="81" t="s">
        <v>2369</v>
      </c>
      <c r="C733" s="81" t="e">
        <v>#REF!</v>
      </c>
      <c r="D733" s="81" t="s">
        <v>1205</v>
      </c>
      <c r="E733" s="81" t="s">
        <v>75</v>
      </c>
      <c r="F733" s="81" t="s">
        <v>87</v>
      </c>
      <c r="G733" s="81" t="s">
        <v>118</v>
      </c>
      <c r="H733" s="81">
        <v>1</v>
      </c>
    </row>
    <row r="734" spans="2:8">
      <c r="B734" s="81" t="s">
        <v>2370</v>
      </c>
      <c r="C734" s="81" t="e">
        <v>#REF!</v>
      </c>
      <c r="D734" s="81" t="s">
        <v>1205</v>
      </c>
      <c r="E734" s="81" t="s">
        <v>75</v>
      </c>
      <c r="F734" s="81" t="s">
        <v>87</v>
      </c>
      <c r="G734" s="81" t="s">
        <v>114</v>
      </c>
      <c r="H734" s="81">
        <v>1</v>
      </c>
    </row>
    <row r="735" spans="2:8">
      <c r="B735" s="81" t="s">
        <v>1874</v>
      </c>
      <c r="C735" s="81" t="e">
        <v>#REF!</v>
      </c>
      <c r="D735" s="81" t="s">
        <v>1215</v>
      </c>
      <c r="E735" s="81" t="s">
        <v>68</v>
      </c>
      <c r="F735" s="81" t="s">
        <v>61</v>
      </c>
      <c r="G735" s="81" t="s">
        <v>115</v>
      </c>
      <c r="H735" s="81">
        <v>1</v>
      </c>
    </row>
    <row r="736" spans="2:8">
      <c r="B736" s="81" t="s">
        <v>2371</v>
      </c>
      <c r="C736" s="81" t="e">
        <v>#REF!</v>
      </c>
      <c r="D736" s="81" t="s">
        <v>1215</v>
      </c>
      <c r="E736" s="81" t="s">
        <v>68</v>
      </c>
      <c r="F736" s="81" t="s">
        <v>61</v>
      </c>
      <c r="G736" s="81" t="s">
        <v>117</v>
      </c>
      <c r="H736" s="81">
        <v>1</v>
      </c>
    </row>
    <row r="737" spans="2:8">
      <c r="B737" s="81" t="s">
        <v>2372</v>
      </c>
      <c r="C737" s="81" t="e">
        <v>#REF!</v>
      </c>
      <c r="D737" s="81" t="s">
        <v>1215</v>
      </c>
      <c r="E737" s="81" t="s">
        <v>68</v>
      </c>
      <c r="F737" s="81" t="s">
        <v>61</v>
      </c>
      <c r="G737" s="81" t="s">
        <v>114</v>
      </c>
      <c r="H737" s="81">
        <v>1</v>
      </c>
    </row>
    <row r="738" spans="2:8">
      <c r="B738" s="81" t="s">
        <v>2373</v>
      </c>
      <c r="C738" s="81" t="e">
        <v>#REF!</v>
      </c>
      <c r="D738" s="81" t="s">
        <v>1316</v>
      </c>
      <c r="E738" s="81" t="s">
        <v>75</v>
      </c>
      <c r="F738" s="81" t="s">
        <v>87</v>
      </c>
      <c r="G738" s="81" t="s">
        <v>118</v>
      </c>
      <c r="H738" s="81">
        <v>1</v>
      </c>
    </row>
    <row r="739" spans="2:8">
      <c r="B739" s="81" t="s">
        <v>2374</v>
      </c>
      <c r="C739" s="81" t="e">
        <v>#REF!</v>
      </c>
      <c r="D739" s="81" t="s">
        <v>1316</v>
      </c>
      <c r="E739" s="81" t="s">
        <v>75</v>
      </c>
      <c r="F739" s="81" t="s">
        <v>87</v>
      </c>
      <c r="G739" s="81" t="s">
        <v>114</v>
      </c>
      <c r="H739" s="81">
        <v>1</v>
      </c>
    </row>
    <row r="740" spans="2:8">
      <c r="B740"/>
      <c r="C740"/>
      <c r="D740"/>
      <c r="E740"/>
      <c r="F740"/>
      <c r="G740"/>
      <c r="H740"/>
    </row>
    <row r="741" spans="2:8">
      <c r="B741"/>
      <c r="C741"/>
      <c r="D741"/>
      <c r="E741"/>
      <c r="F741"/>
      <c r="G741"/>
      <c r="H741"/>
    </row>
    <row r="742" spans="2:8">
      <c r="B742"/>
      <c r="C742"/>
      <c r="D742"/>
      <c r="E742"/>
      <c r="F742"/>
      <c r="G742"/>
      <c r="H742"/>
    </row>
    <row r="743" spans="2:8">
      <c r="B743"/>
      <c r="C743"/>
      <c r="D743"/>
      <c r="E743"/>
      <c r="F743"/>
      <c r="G743"/>
      <c r="H743"/>
    </row>
    <row r="744" spans="2:8">
      <c r="B744"/>
      <c r="C744"/>
      <c r="D744"/>
      <c r="E744"/>
      <c r="F744"/>
      <c r="G744"/>
      <c r="H744"/>
    </row>
    <row r="745" spans="2:8">
      <c r="B745"/>
      <c r="C745"/>
      <c r="D745"/>
      <c r="E745"/>
      <c r="F745"/>
      <c r="G745"/>
      <c r="H745"/>
    </row>
    <row r="746" spans="2:8">
      <c r="B746"/>
      <c r="C746"/>
      <c r="D746"/>
      <c r="E746"/>
      <c r="F746"/>
      <c r="G746"/>
      <c r="H746"/>
    </row>
    <row r="747" spans="2:8">
      <c r="B747"/>
      <c r="C747"/>
      <c r="D747"/>
      <c r="E747"/>
      <c r="F747"/>
      <c r="G747"/>
      <c r="H747"/>
    </row>
    <row r="748" spans="2:8">
      <c r="B748"/>
      <c r="C748"/>
      <c r="D748"/>
      <c r="E748"/>
      <c r="F748"/>
      <c r="G748"/>
      <c r="H748"/>
    </row>
    <row r="749" spans="2:8">
      <c r="B749"/>
      <c r="C749"/>
      <c r="D749"/>
      <c r="E749"/>
      <c r="F749"/>
      <c r="G749"/>
      <c r="H749"/>
    </row>
    <row r="750" spans="2:8">
      <c r="B750"/>
      <c r="C750"/>
      <c r="D750"/>
      <c r="E750"/>
      <c r="F750"/>
      <c r="G750"/>
      <c r="H750"/>
    </row>
    <row r="751" spans="2:8">
      <c r="B751"/>
      <c r="C751"/>
      <c r="D751"/>
      <c r="E751"/>
      <c r="F751"/>
      <c r="G751"/>
      <c r="H751"/>
    </row>
    <row r="752" spans="2:8">
      <c r="B752"/>
      <c r="C752"/>
      <c r="D752"/>
      <c r="E752"/>
      <c r="F752"/>
      <c r="G752"/>
      <c r="H752"/>
    </row>
    <row r="753" spans="2:8">
      <c r="B753"/>
      <c r="C753"/>
      <c r="D753"/>
      <c r="E753"/>
      <c r="F753"/>
      <c r="G753"/>
      <c r="H753"/>
    </row>
    <row r="754" spans="2:8">
      <c r="B754"/>
      <c r="C754"/>
      <c r="D754"/>
      <c r="E754"/>
      <c r="F754"/>
      <c r="G754"/>
      <c r="H754"/>
    </row>
    <row r="755" spans="2:8">
      <c r="B755"/>
      <c r="C755"/>
      <c r="D755"/>
      <c r="E755"/>
      <c r="F755"/>
      <c r="G755"/>
      <c r="H755"/>
    </row>
    <row r="756" spans="2:8">
      <c r="B756"/>
      <c r="C756"/>
      <c r="D756"/>
      <c r="E756"/>
      <c r="F756"/>
      <c r="G756"/>
      <c r="H756"/>
    </row>
    <row r="757" spans="2:8">
      <c r="B757"/>
      <c r="C757"/>
      <c r="D757"/>
      <c r="E757"/>
      <c r="F757"/>
      <c r="G757"/>
      <c r="H757"/>
    </row>
    <row r="758" spans="2:8">
      <c r="B758"/>
      <c r="C758"/>
      <c r="D758"/>
      <c r="E758"/>
      <c r="F758"/>
      <c r="G758"/>
      <c r="H758"/>
    </row>
    <row r="759" spans="2:8">
      <c r="B759"/>
      <c r="C759"/>
      <c r="D759"/>
      <c r="E759"/>
      <c r="F759"/>
      <c r="G759"/>
      <c r="H759"/>
    </row>
    <row r="760" spans="2:8">
      <c r="B760"/>
      <c r="C760"/>
      <c r="D760"/>
      <c r="E760"/>
      <c r="F760"/>
      <c r="G760"/>
      <c r="H760"/>
    </row>
    <row r="761" spans="2:8">
      <c r="B761"/>
      <c r="C761"/>
      <c r="D761"/>
      <c r="E761"/>
      <c r="F761"/>
      <c r="G761"/>
      <c r="H761"/>
    </row>
    <row r="762" spans="2:8">
      <c r="B762"/>
      <c r="C762"/>
      <c r="D762"/>
      <c r="E762"/>
      <c r="F762"/>
      <c r="G762"/>
      <c r="H762"/>
    </row>
    <row r="763" spans="2:8">
      <c r="B763"/>
      <c r="C763"/>
      <c r="D763"/>
      <c r="E763"/>
      <c r="F763"/>
      <c r="G763"/>
      <c r="H763"/>
    </row>
    <row r="764" spans="2:8">
      <c r="B764"/>
      <c r="C764"/>
      <c r="D764"/>
      <c r="E764"/>
      <c r="F764"/>
      <c r="G764"/>
      <c r="H764"/>
    </row>
    <row r="765" spans="2:8">
      <c r="B765"/>
      <c r="C765"/>
      <c r="D765"/>
      <c r="E765"/>
      <c r="F765"/>
      <c r="G765"/>
      <c r="H765"/>
    </row>
    <row r="766" spans="2:8">
      <c r="B766"/>
      <c r="C766"/>
      <c r="D766"/>
      <c r="E766"/>
      <c r="F766"/>
      <c r="G766"/>
      <c r="H766"/>
    </row>
    <row r="767" spans="2:8">
      <c r="B767"/>
      <c r="C767"/>
      <c r="D767"/>
      <c r="E767"/>
      <c r="F767"/>
      <c r="G767"/>
      <c r="H767"/>
    </row>
    <row r="768" spans="2:8">
      <c r="B768"/>
      <c r="C768"/>
      <c r="D768"/>
      <c r="E768"/>
      <c r="F768"/>
      <c r="G768"/>
      <c r="H768"/>
    </row>
    <row r="769" spans="2:8">
      <c r="B769"/>
      <c r="C769"/>
      <c r="D769"/>
      <c r="E769"/>
      <c r="F769"/>
      <c r="G769"/>
      <c r="H769"/>
    </row>
    <row r="770" spans="2:8">
      <c r="B770"/>
      <c r="C770"/>
      <c r="D770"/>
      <c r="E770"/>
      <c r="F770"/>
      <c r="G770"/>
      <c r="H770"/>
    </row>
    <row r="771" spans="2:8">
      <c r="B771"/>
      <c r="C771"/>
      <c r="D771"/>
      <c r="E771"/>
      <c r="F771"/>
      <c r="G771"/>
      <c r="H771"/>
    </row>
    <row r="772" spans="2:8">
      <c r="B772"/>
      <c r="C772"/>
      <c r="D772"/>
      <c r="E772"/>
      <c r="F772"/>
      <c r="G772"/>
      <c r="H772"/>
    </row>
    <row r="773" spans="2:8">
      <c r="B773"/>
      <c r="C773"/>
      <c r="D773"/>
      <c r="E773"/>
      <c r="F773"/>
      <c r="G773"/>
      <c r="H773"/>
    </row>
    <row r="774" spans="2:8">
      <c r="B774"/>
      <c r="C774"/>
      <c r="D774"/>
      <c r="E774"/>
      <c r="F774"/>
      <c r="G774"/>
      <c r="H774"/>
    </row>
    <row r="775" spans="2:8">
      <c r="B775"/>
      <c r="C775"/>
      <c r="D775"/>
      <c r="E775"/>
      <c r="F775"/>
      <c r="G775"/>
      <c r="H775"/>
    </row>
    <row r="776" spans="2:8">
      <c r="B776"/>
      <c r="C776"/>
      <c r="D776"/>
      <c r="E776"/>
      <c r="F776"/>
      <c r="G776"/>
      <c r="H776"/>
    </row>
    <row r="777" spans="2:8">
      <c r="B777"/>
      <c r="C777"/>
      <c r="D777"/>
      <c r="E777"/>
      <c r="F777"/>
      <c r="G777"/>
      <c r="H777"/>
    </row>
    <row r="778" spans="2:8">
      <c r="B778"/>
      <c r="C778"/>
      <c r="D778"/>
      <c r="E778"/>
      <c r="F778"/>
      <c r="G778"/>
      <c r="H778"/>
    </row>
    <row r="779" spans="2:8">
      <c r="B779"/>
      <c r="C779"/>
      <c r="D779"/>
      <c r="E779"/>
      <c r="F779"/>
      <c r="G779"/>
      <c r="H779"/>
    </row>
    <row r="780" spans="2:8">
      <c r="B780"/>
      <c r="C780"/>
      <c r="D780"/>
      <c r="E780"/>
      <c r="F780"/>
      <c r="G780"/>
      <c r="H780"/>
    </row>
    <row r="781" spans="2:8">
      <c r="B781"/>
      <c r="C781"/>
      <c r="D781"/>
      <c r="E781"/>
      <c r="F781"/>
      <c r="G781"/>
      <c r="H781"/>
    </row>
    <row r="782" spans="2:8">
      <c r="B782"/>
      <c r="C782"/>
      <c r="D782"/>
      <c r="E782"/>
      <c r="F782"/>
      <c r="G782"/>
      <c r="H782"/>
    </row>
    <row r="783" spans="2:8">
      <c r="B783"/>
      <c r="C783"/>
      <c r="D783"/>
      <c r="E783"/>
      <c r="F783"/>
      <c r="G783"/>
      <c r="H783"/>
    </row>
    <row r="784" spans="2:8">
      <c r="B784"/>
      <c r="C784"/>
      <c r="D784"/>
      <c r="E784"/>
      <c r="F784"/>
      <c r="G784"/>
      <c r="H784"/>
    </row>
    <row r="785" spans="2:8">
      <c r="B785"/>
      <c r="C785"/>
      <c r="D785"/>
      <c r="E785"/>
      <c r="F785"/>
      <c r="G785"/>
      <c r="H785"/>
    </row>
    <row r="786" spans="2:8">
      <c r="B786"/>
      <c r="C786"/>
      <c r="D786"/>
      <c r="E786"/>
      <c r="F786"/>
      <c r="G786"/>
      <c r="H786"/>
    </row>
    <row r="787" spans="2:8">
      <c r="B787"/>
      <c r="C787"/>
      <c r="D787"/>
      <c r="E787"/>
      <c r="F787"/>
      <c r="G787"/>
      <c r="H787"/>
    </row>
    <row r="788" spans="2:8">
      <c r="B788"/>
      <c r="C788"/>
      <c r="D788"/>
      <c r="E788"/>
      <c r="F788"/>
      <c r="G788"/>
      <c r="H788"/>
    </row>
    <row r="789" spans="2:8">
      <c r="B789"/>
      <c r="C789"/>
      <c r="D789"/>
      <c r="E789"/>
      <c r="F789"/>
      <c r="G789"/>
      <c r="H789"/>
    </row>
    <row r="790" spans="2:8">
      <c r="B790"/>
      <c r="C790"/>
      <c r="D790"/>
      <c r="E790"/>
      <c r="F790"/>
      <c r="G790"/>
      <c r="H790"/>
    </row>
    <row r="791" spans="2:8">
      <c r="B791"/>
      <c r="C791"/>
      <c r="D791"/>
      <c r="E791"/>
      <c r="F791"/>
      <c r="G791"/>
      <c r="H791"/>
    </row>
    <row r="792" spans="2:8">
      <c r="B792"/>
      <c r="C792"/>
      <c r="D792"/>
      <c r="E792"/>
      <c r="F792"/>
      <c r="G792"/>
      <c r="H792"/>
    </row>
    <row r="793" spans="2:8">
      <c r="B793"/>
      <c r="C793"/>
      <c r="D793"/>
      <c r="E793"/>
      <c r="F793"/>
      <c r="G793"/>
      <c r="H793"/>
    </row>
    <row r="794" spans="2:8">
      <c r="B794"/>
      <c r="C794"/>
      <c r="D794"/>
      <c r="E794"/>
      <c r="F794"/>
      <c r="G794"/>
      <c r="H794"/>
    </row>
    <row r="795" spans="2:8">
      <c r="B795"/>
      <c r="C795"/>
      <c r="D795"/>
      <c r="E795"/>
      <c r="F795"/>
      <c r="G795"/>
      <c r="H795"/>
    </row>
    <row r="796" spans="2:8">
      <c r="B796"/>
      <c r="C796"/>
      <c r="D796"/>
      <c r="E796"/>
      <c r="F796"/>
      <c r="G796"/>
      <c r="H796"/>
    </row>
    <row r="797" spans="2:8">
      <c r="B797"/>
      <c r="C797"/>
      <c r="D797"/>
      <c r="E797"/>
      <c r="F797"/>
      <c r="G797"/>
      <c r="H797"/>
    </row>
    <row r="798" spans="2:8">
      <c r="B798"/>
      <c r="C798"/>
      <c r="D798"/>
      <c r="E798"/>
      <c r="F798"/>
      <c r="G798"/>
      <c r="H798"/>
    </row>
    <row r="799" spans="2:8">
      <c r="B799"/>
      <c r="C799"/>
      <c r="D799"/>
      <c r="E799"/>
      <c r="F799"/>
      <c r="G799"/>
      <c r="H799"/>
    </row>
    <row r="800" spans="2:8">
      <c r="B800"/>
      <c r="C800"/>
      <c r="D800"/>
      <c r="E800"/>
      <c r="F800"/>
      <c r="G800"/>
      <c r="H80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Sheet1</vt:lpstr>
      <vt:lpstr>عدد الملاعب_بناء على الجداول</vt:lpstr>
      <vt:lpstr>عدد الملاعب</vt:lpstr>
      <vt:lpstr>عدد المباريات</vt:lpstr>
      <vt:lpstr>عدد اللاعبين</vt:lpstr>
      <vt:lpstr>ملخص المجموعات</vt:lpstr>
      <vt:lpstr>بيانات التسجيل</vt:lpstr>
      <vt:lpstr>المدخلات</vt:lpstr>
      <vt:lpstr>عدد الفرق لكل مدينة</vt:lpstr>
      <vt:lpstr>سجل تصفير الفئات</vt:lpstr>
      <vt:lpstr>الحد_الأدنى</vt:lpstr>
      <vt:lpstr>فرق_المباراة</vt:lpstr>
      <vt:lpstr>قائمة_المدن</vt:lpstr>
      <vt:lpstr>ملاعب_الفئات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2026-09-28T16:34:47Z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