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Analysis/Clubs Gap Analysis/"/>
    </mc:Choice>
  </mc:AlternateContent>
  <xr:revisionPtr revIDLastSave="807" documentId="13_ncr:1_{973241F7-B0A8-4B0E-9B8D-D4C79E1A4082}" xr6:coauthVersionLast="47" xr6:coauthVersionMax="47" xr10:uidLastSave="{E2EFB6CA-4678-4448-A6CB-BECD55E490FB}"/>
  <bookViews>
    <workbookView xWindow="-110" yWindow="-110" windowWidth="19420" windowHeight="11500" firstSheet="2" activeTab="2" xr2:uid="{696254E1-FDC9-4707-85DD-EE834AB8F841}"/>
  </bookViews>
  <sheets>
    <sheet name="ملخص المجموعات" sheetId="4" r:id="rId1"/>
    <sheet name="عدد الفرق لكل مدينة" sheetId="1" r:id="rId2"/>
    <sheet name="بيانات التسجيل" sheetId="7" r:id="rId3"/>
    <sheet name="المدخلات" sheetId="5" r:id="rId4"/>
  </sheets>
  <definedNames>
    <definedName name="_xlnm._FilterDatabase" localSheetId="3" hidden="1">المدخلات!$F$2:$I$94</definedName>
    <definedName name="_xlnm._FilterDatabase" localSheetId="2" hidden="1">'بيانات التسجيل'!$G$2:$Q$285</definedName>
    <definedName name="الحد_الأدنى">المدخلات!$N$3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2" i="4" l="1"/>
  <c r="E272" i="4" a="1"/>
  <c r="E272" i="4" s="1"/>
  <c r="D273" i="4"/>
  <c r="E273" i="4" a="1"/>
  <c r="E273" i="4" s="1"/>
  <c r="D274" i="4"/>
  <c r="E274" i="4" a="1"/>
  <c r="E274" i="4" s="1"/>
  <c r="F274" i="4"/>
  <c r="G274" i="4" s="1"/>
  <c r="D592" i="1" a="1"/>
  <c r="D592" i="1" s="1"/>
  <c r="E592" i="1" a="1"/>
  <c r="E592" i="1" s="1"/>
  <c r="F272" i="4" s="1"/>
  <c r="G272" i="4" s="1"/>
  <c r="D593" i="1" a="1"/>
  <c r="D593" i="1" s="1"/>
  <c r="E593" i="1" a="1"/>
  <c r="E593" i="1" s="1"/>
  <c r="F273" i="4" s="1"/>
  <c r="G273" i="4" s="1"/>
  <c r="D594" i="1" a="1"/>
  <c r="D594" i="1" s="1"/>
  <c r="E594" i="1" a="1"/>
  <c r="E594" i="1" s="1"/>
  <c r="D588" i="1" a="1"/>
  <c r="D588" i="1" s="1"/>
  <c r="E588" i="1" a="1"/>
  <c r="E588" i="1" s="1"/>
  <c r="D589" i="1" a="1"/>
  <c r="D589" i="1" s="1"/>
  <c r="E589" i="1" a="1"/>
  <c r="E589" i="1" s="1"/>
  <c r="D590" i="1" a="1"/>
  <c r="D590" i="1" s="1"/>
  <c r="E590" i="1" a="1"/>
  <c r="E590" i="1" s="1"/>
  <c r="D591" i="1" a="1"/>
  <c r="D591" i="1" s="1"/>
  <c r="E591" i="1" a="1"/>
  <c r="E591" i="1" s="1"/>
  <c r="D584" i="1" a="1"/>
  <c r="D584" i="1" s="1"/>
  <c r="E584" i="1" a="1"/>
  <c r="E584" i="1" s="1"/>
  <c r="D585" i="1" a="1"/>
  <c r="D585" i="1" s="1"/>
  <c r="E585" i="1" a="1"/>
  <c r="E585" i="1" s="1"/>
  <c r="D586" i="1" a="1"/>
  <c r="D586" i="1" s="1"/>
  <c r="E586" i="1" a="1"/>
  <c r="E586" i="1" s="1"/>
  <c r="D587" i="1" a="1"/>
  <c r="D587" i="1" s="1"/>
  <c r="E587" i="1" a="1"/>
  <c r="E587" i="1" s="1"/>
  <c r="E177" i="1" a="1"/>
  <c r="E177" i="1" s="1"/>
  <c r="D177" i="1" a="1"/>
  <c r="D177" i="1" s="1"/>
  <c r="E176" i="1" a="1"/>
  <c r="E176" i="1" s="1"/>
  <c r="D176" i="1" a="1"/>
  <c r="D176" i="1" s="1"/>
  <c r="E175" i="1" a="1"/>
  <c r="E175" i="1" s="1"/>
  <c r="D175" i="1" a="1"/>
  <c r="D175" i="1" s="1"/>
  <c r="D330" i="1" a="1"/>
  <c r="D330" i="1" s="1"/>
  <c r="D331" i="1" a="1"/>
  <c r="D331" i="1" s="1"/>
  <c r="D332" i="1" a="1"/>
  <c r="D332" i="1" s="1"/>
  <c r="D333" i="1" a="1"/>
  <c r="D333" i="1" s="1"/>
  <c r="E330" i="1" a="1"/>
  <c r="E330" i="1" s="1"/>
  <c r="E331" i="1" a="1"/>
  <c r="E331" i="1" s="1"/>
  <c r="E332" i="1" a="1"/>
  <c r="E332" i="1" s="1"/>
  <c r="E333" i="1" a="1"/>
  <c r="E333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D583" i="1" a="1"/>
  <c r="D583" i="1" s="1"/>
  <c r="D582" i="1" a="1"/>
  <c r="D582" i="1" s="1"/>
  <c r="D581" i="1" a="1"/>
  <c r="D581" i="1" s="1"/>
  <c r="D580" i="1" a="1"/>
  <c r="D580" i="1" s="1"/>
  <c r="D579" i="1" a="1"/>
  <c r="D579" i="1" s="1"/>
  <c r="D578" i="1" a="1"/>
  <c r="D578" i="1" s="1"/>
  <c r="D577" i="1" a="1"/>
  <c r="D577" i="1" s="1"/>
  <c r="D576" i="1" a="1"/>
  <c r="D576" i="1" s="1"/>
  <c r="D575" i="1" a="1"/>
  <c r="D575" i="1" s="1"/>
  <c r="D574" i="1" a="1"/>
  <c r="D574" i="1" s="1"/>
  <c r="D573" i="1" a="1"/>
  <c r="D573" i="1" s="1"/>
  <c r="D572" i="1" a="1"/>
  <c r="D572" i="1" s="1"/>
  <c r="D571" i="1" a="1"/>
  <c r="D571" i="1" s="1"/>
  <c r="D570" i="1" a="1"/>
  <c r="D570" i="1" s="1"/>
  <c r="D569" i="1" a="1"/>
  <c r="D569" i="1" s="1"/>
  <c r="D568" i="1" a="1"/>
  <c r="D568" i="1" s="1"/>
  <c r="D567" i="1" a="1"/>
  <c r="D567" i="1" s="1"/>
  <c r="D566" i="1" a="1"/>
  <c r="D566" i="1" s="1"/>
  <c r="D565" i="1" a="1"/>
  <c r="D565" i="1" s="1"/>
  <c r="D564" i="1" a="1"/>
  <c r="D564" i="1" s="1"/>
  <c r="D563" i="1" a="1"/>
  <c r="D563" i="1" s="1"/>
  <c r="D562" i="1" a="1"/>
  <c r="D562" i="1" s="1"/>
  <c r="D561" i="1" a="1"/>
  <c r="D561" i="1" s="1"/>
  <c r="D560" i="1" a="1"/>
  <c r="D560" i="1" s="1"/>
  <c r="D559" i="1" a="1"/>
  <c r="D559" i="1" s="1"/>
  <c r="D558" i="1" a="1"/>
  <c r="D558" i="1" s="1"/>
  <c r="D557" i="1" a="1"/>
  <c r="D557" i="1" s="1"/>
  <c r="D556" i="1" a="1"/>
  <c r="D556" i="1" s="1"/>
  <c r="D555" i="1" a="1"/>
  <c r="D555" i="1" s="1"/>
  <c r="D554" i="1" a="1"/>
  <c r="D554" i="1" s="1"/>
  <c r="D553" i="1" a="1"/>
  <c r="D553" i="1" s="1"/>
  <c r="D552" i="1" a="1"/>
  <c r="D552" i="1" s="1"/>
  <c r="D551" i="1" a="1"/>
  <c r="D551" i="1" s="1"/>
  <c r="D550" i="1" a="1"/>
  <c r="D550" i="1" s="1"/>
  <c r="D549" i="1" a="1"/>
  <c r="D549" i="1" s="1"/>
  <c r="D548" i="1" a="1"/>
  <c r="D548" i="1" s="1"/>
  <c r="D547" i="1" a="1"/>
  <c r="D547" i="1" s="1"/>
  <c r="D546" i="1" a="1"/>
  <c r="D546" i="1" s="1"/>
  <c r="D545" i="1" a="1"/>
  <c r="D545" i="1" s="1"/>
  <c r="D544" i="1" a="1"/>
  <c r="D544" i="1" s="1"/>
  <c r="D543" i="1" a="1"/>
  <c r="D543" i="1" s="1"/>
  <c r="D542" i="1" a="1"/>
  <c r="D542" i="1" s="1"/>
  <c r="D541" i="1" a="1"/>
  <c r="D541" i="1" s="1"/>
  <c r="D540" i="1" a="1"/>
  <c r="D540" i="1" s="1"/>
  <c r="D539" i="1" a="1"/>
  <c r="D539" i="1" s="1"/>
  <c r="D538" i="1" a="1"/>
  <c r="D538" i="1" s="1"/>
  <c r="D537" i="1" a="1"/>
  <c r="D537" i="1" s="1"/>
  <c r="D536" i="1" a="1"/>
  <c r="D536" i="1" s="1"/>
  <c r="D535" i="1" a="1"/>
  <c r="D535" i="1" s="1"/>
  <c r="D534" i="1" a="1"/>
  <c r="D534" i="1" s="1"/>
  <c r="D533" i="1" a="1"/>
  <c r="D533" i="1" s="1"/>
  <c r="D532" i="1" a="1"/>
  <c r="D532" i="1" s="1"/>
  <c r="D531" i="1" a="1"/>
  <c r="D531" i="1" s="1"/>
  <c r="D530" i="1" a="1"/>
  <c r="D530" i="1" s="1"/>
  <c r="D529" i="1" a="1"/>
  <c r="D529" i="1" s="1"/>
  <c r="D528" i="1" a="1"/>
  <c r="D528" i="1" s="1"/>
  <c r="D527" i="1" a="1"/>
  <c r="D527" i="1" s="1"/>
  <c r="D526" i="1" a="1"/>
  <c r="D526" i="1" s="1"/>
  <c r="D525" i="1" a="1"/>
  <c r="D525" i="1" s="1"/>
  <c r="D524" i="1" a="1"/>
  <c r="D524" i="1" s="1"/>
  <c r="D523" i="1" a="1"/>
  <c r="D523" i="1" s="1"/>
  <c r="D522" i="1" a="1"/>
  <c r="D522" i="1" s="1"/>
  <c r="D521" i="1" a="1"/>
  <c r="D521" i="1" s="1"/>
  <c r="D520" i="1" a="1"/>
  <c r="D520" i="1" s="1"/>
  <c r="D519" i="1" a="1"/>
  <c r="D519" i="1" s="1"/>
  <c r="D518" i="1" a="1"/>
  <c r="D518" i="1" s="1"/>
  <c r="D517" i="1" a="1"/>
  <c r="D517" i="1" s="1"/>
  <c r="D516" i="1" a="1"/>
  <c r="D516" i="1" s="1"/>
  <c r="D515" i="1" a="1"/>
  <c r="D515" i="1" s="1"/>
  <c r="D514" i="1" a="1"/>
  <c r="D514" i="1" s="1"/>
  <c r="D513" i="1" a="1"/>
  <c r="D513" i="1" s="1"/>
  <c r="D512" i="1" a="1"/>
  <c r="D512" i="1" s="1"/>
  <c r="D511" i="1" a="1"/>
  <c r="D511" i="1" s="1"/>
  <c r="D510" i="1" a="1"/>
  <c r="D510" i="1" s="1"/>
  <c r="D509" i="1" a="1"/>
  <c r="D509" i="1" s="1"/>
  <c r="D508" i="1" a="1"/>
  <c r="D508" i="1" s="1"/>
  <c r="D507" i="1" a="1"/>
  <c r="D507" i="1" s="1"/>
  <c r="D506" i="1" a="1"/>
  <c r="D506" i="1" s="1"/>
  <c r="D505" i="1" a="1"/>
  <c r="D505" i="1" s="1"/>
  <c r="D504" i="1" a="1"/>
  <c r="D504" i="1" s="1"/>
  <c r="D503" i="1" a="1"/>
  <c r="D503" i="1" s="1"/>
  <c r="D502" i="1" a="1"/>
  <c r="D502" i="1" s="1"/>
  <c r="D501" i="1" a="1"/>
  <c r="D501" i="1" s="1"/>
  <c r="D500" i="1" a="1"/>
  <c r="D500" i="1" s="1"/>
  <c r="D499" i="1" a="1"/>
  <c r="D499" i="1" s="1"/>
  <c r="D498" i="1" a="1"/>
  <c r="D498" i="1" s="1"/>
  <c r="D497" i="1" a="1"/>
  <c r="D497" i="1" s="1"/>
  <c r="D496" i="1" a="1"/>
  <c r="D496" i="1" s="1"/>
  <c r="D495" i="1" a="1"/>
  <c r="D495" i="1" s="1"/>
  <c r="D494" i="1" a="1"/>
  <c r="D494" i="1" s="1"/>
  <c r="D493" i="1" a="1"/>
  <c r="D493" i="1" s="1"/>
  <c r="D492" i="1" a="1"/>
  <c r="D492" i="1" s="1"/>
  <c r="D491" i="1" a="1"/>
  <c r="D491" i="1" s="1"/>
  <c r="D490" i="1" a="1"/>
  <c r="D490" i="1" s="1"/>
  <c r="D489" i="1" a="1"/>
  <c r="D489" i="1" s="1"/>
  <c r="D488" i="1" a="1"/>
  <c r="D488" i="1" s="1"/>
  <c r="D487" i="1" a="1"/>
  <c r="D487" i="1" s="1"/>
  <c r="D486" i="1" a="1"/>
  <c r="D486" i="1" s="1"/>
  <c r="D485" i="1" a="1"/>
  <c r="D485" i="1" s="1"/>
  <c r="D484" i="1" a="1"/>
  <c r="D484" i="1" s="1"/>
  <c r="D483" i="1" a="1"/>
  <c r="D483" i="1" s="1"/>
  <c r="D482" i="1" a="1"/>
  <c r="D482" i="1" s="1"/>
  <c r="D481" i="1" a="1"/>
  <c r="D481" i="1" s="1"/>
  <c r="D480" i="1" a="1"/>
  <c r="D480" i="1" s="1"/>
  <c r="D479" i="1" a="1"/>
  <c r="D479" i="1" s="1"/>
  <c r="D478" i="1" a="1"/>
  <c r="D478" i="1" s="1"/>
  <c r="D477" i="1" a="1"/>
  <c r="D477" i="1" s="1"/>
  <c r="D476" i="1" a="1"/>
  <c r="D476" i="1" s="1"/>
  <c r="D475" i="1" a="1"/>
  <c r="D475" i="1" s="1"/>
  <c r="D474" i="1" a="1"/>
  <c r="D474" i="1" s="1"/>
  <c r="D473" i="1" a="1"/>
  <c r="D473" i="1" s="1"/>
  <c r="D472" i="1" a="1"/>
  <c r="D472" i="1" s="1"/>
  <c r="D471" i="1" a="1"/>
  <c r="D471" i="1" s="1"/>
  <c r="D470" i="1" a="1"/>
  <c r="D470" i="1" s="1"/>
  <c r="D469" i="1" a="1"/>
  <c r="D469" i="1" s="1"/>
  <c r="D468" i="1" a="1"/>
  <c r="D468" i="1" s="1"/>
  <c r="D467" i="1" a="1"/>
  <c r="D467" i="1" s="1"/>
  <c r="D466" i="1" a="1"/>
  <c r="D466" i="1" s="1"/>
  <c r="D465" i="1" a="1"/>
  <c r="D465" i="1" s="1"/>
  <c r="D464" i="1" a="1"/>
  <c r="D464" i="1" s="1"/>
  <c r="D463" i="1" a="1"/>
  <c r="D463" i="1" s="1"/>
  <c r="D462" i="1" a="1"/>
  <c r="D462" i="1" s="1"/>
  <c r="D461" i="1" a="1"/>
  <c r="D461" i="1" s="1"/>
  <c r="D460" i="1" a="1"/>
  <c r="D460" i="1" s="1"/>
  <c r="D459" i="1" a="1"/>
  <c r="D459" i="1" s="1"/>
  <c r="D458" i="1" a="1"/>
  <c r="D458" i="1" s="1"/>
  <c r="D457" i="1" a="1"/>
  <c r="D457" i="1" s="1"/>
  <c r="D456" i="1" a="1"/>
  <c r="D456" i="1" s="1"/>
  <c r="D455" i="1" a="1"/>
  <c r="D455" i="1" s="1"/>
  <c r="D454" i="1" a="1"/>
  <c r="D454" i="1" s="1"/>
  <c r="D453" i="1" a="1"/>
  <c r="D453" i="1" s="1"/>
  <c r="D452" i="1" a="1"/>
  <c r="D452" i="1" s="1"/>
  <c r="D451" i="1" a="1"/>
  <c r="D451" i="1" s="1"/>
  <c r="D450" i="1" a="1"/>
  <c r="D450" i="1" s="1"/>
  <c r="D449" i="1" a="1"/>
  <c r="D449" i="1" s="1"/>
  <c r="D448" i="1" a="1"/>
  <c r="D448" i="1" s="1"/>
  <c r="D447" i="1" a="1"/>
  <c r="D447" i="1" s="1"/>
  <c r="D446" i="1" a="1"/>
  <c r="D446" i="1" s="1"/>
  <c r="D445" i="1" a="1"/>
  <c r="D445" i="1" s="1"/>
  <c r="D444" i="1" a="1"/>
  <c r="D444" i="1" s="1"/>
  <c r="D443" i="1" a="1"/>
  <c r="D443" i="1" s="1"/>
  <c r="D442" i="1" a="1"/>
  <c r="D442" i="1" s="1"/>
  <c r="D441" i="1" a="1"/>
  <c r="D441" i="1" s="1"/>
  <c r="D440" i="1" a="1"/>
  <c r="D440" i="1" s="1"/>
  <c r="D439" i="1" a="1"/>
  <c r="D439" i="1" s="1"/>
  <c r="D438" i="1" a="1"/>
  <c r="D438" i="1" s="1"/>
  <c r="D437" i="1" a="1"/>
  <c r="D437" i="1" s="1"/>
  <c r="D436" i="1" a="1"/>
  <c r="D436" i="1" s="1"/>
  <c r="D435" i="1" a="1"/>
  <c r="D435" i="1" s="1"/>
  <c r="D434" i="1" a="1"/>
  <c r="D434" i="1" s="1"/>
  <c r="D433" i="1" a="1"/>
  <c r="D433" i="1" s="1"/>
  <c r="D432" i="1" a="1"/>
  <c r="D432" i="1" s="1"/>
  <c r="D431" i="1" a="1"/>
  <c r="D431" i="1" s="1"/>
  <c r="D430" i="1" a="1"/>
  <c r="D430" i="1" s="1"/>
  <c r="D429" i="1" a="1"/>
  <c r="D429" i="1" s="1"/>
  <c r="D428" i="1" a="1"/>
  <c r="D428" i="1" s="1"/>
  <c r="D427" i="1" a="1"/>
  <c r="D427" i="1" s="1"/>
  <c r="D426" i="1" a="1"/>
  <c r="D426" i="1" s="1"/>
  <c r="D425" i="1" a="1"/>
  <c r="D425" i="1" s="1"/>
  <c r="D424" i="1" a="1"/>
  <c r="D424" i="1" s="1"/>
  <c r="D423" i="1" a="1"/>
  <c r="D423" i="1" s="1"/>
  <c r="D422" i="1" a="1"/>
  <c r="D422" i="1" s="1"/>
  <c r="D421" i="1" a="1"/>
  <c r="D421" i="1" s="1"/>
  <c r="D420" i="1" a="1"/>
  <c r="D420" i="1" s="1"/>
  <c r="D419" i="1" a="1"/>
  <c r="D419" i="1" s="1"/>
  <c r="D418" i="1" a="1"/>
  <c r="D418" i="1" s="1"/>
  <c r="D417" i="1" a="1"/>
  <c r="D417" i="1" s="1"/>
  <c r="D416" i="1" a="1"/>
  <c r="D416" i="1" s="1"/>
  <c r="D415" i="1" a="1"/>
  <c r="D415" i="1" s="1"/>
  <c r="D414" i="1" a="1"/>
  <c r="D414" i="1" s="1"/>
  <c r="D413" i="1" a="1"/>
  <c r="D413" i="1" s="1"/>
  <c r="D412" i="1" a="1"/>
  <c r="D412" i="1" s="1"/>
  <c r="D411" i="1" a="1"/>
  <c r="D411" i="1" s="1"/>
  <c r="D410" i="1" a="1"/>
  <c r="D410" i="1" s="1"/>
  <c r="D409" i="1" a="1"/>
  <c r="D409" i="1" s="1"/>
  <c r="D408" i="1" a="1"/>
  <c r="D408" i="1" s="1"/>
  <c r="D407" i="1" a="1"/>
  <c r="D407" i="1" s="1"/>
  <c r="D406" i="1" a="1"/>
  <c r="D406" i="1" s="1"/>
  <c r="D405" i="1" a="1"/>
  <c r="D405" i="1" s="1"/>
  <c r="D404" i="1" a="1"/>
  <c r="D404" i="1" s="1"/>
  <c r="D403" i="1" a="1"/>
  <c r="D403" i="1" s="1"/>
  <c r="D402" i="1" a="1"/>
  <c r="D402" i="1" s="1"/>
  <c r="D401" i="1" a="1"/>
  <c r="D401" i="1" s="1"/>
  <c r="D400" i="1" a="1"/>
  <c r="D400" i="1" s="1"/>
  <c r="D399" i="1" a="1"/>
  <c r="D399" i="1" s="1"/>
  <c r="D398" i="1" a="1"/>
  <c r="D398" i="1" s="1"/>
  <c r="D397" i="1" a="1"/>
  <c r="D397" i="1" s="1"/>
  <c r="D396" i="1" a="1"/>
  <c r="D396" i="1" s="1"/>
  <c r="D395" i="1" a="1"/>
  <c r="D395" i="1" s="1"/>
  <c r="D394" i="1" a="1"/>
  <c r="D394" i="1" s="1"/>
  <c r="D393" i="1" a="1"/>
  <c r="D393" i="1" s="1"/>
  <c r="D392" i="1" a="1"/>
  <c r="D392" i="1" s="1"/>
  <c r="D391" i="1" a="1"/>
  <c r="D391" i="1" s="1"/>
  <c r="D390" i="1" a="1"/>
  <c r="D390" i="1" s="1"/>
  <c r="D389" i="1" a="1"/>
  <c r="D389" i="1" s="1"/>
  <c r="D388" i="1" a="1"/>
  <c r="D388" i="1" s="1"/>
  <c r="D387" i="1" a="1"/>
  <c r="D387" i="1" s="1"/>
  <c r="D386" i="1" a="1"/>
  <c r="D386" i="1" s="1"/>
  <c r="D385" i="1" a="1"/>
  <c r="D385" i="1" s="1"/>
  <c r="D384" i="1" a="1"/>
  <c r="D384" i="1" s="1"/>
  <c r="D383" i="1" a="1"/>
  <c r="D383" i="1" s="1"/>
  <c r="D382" i="1" a="1"/>
  <c r="D382" i="1" s="1"/>
  <c r="D381" i="1" a="1"/>
  <c r="D381" i="1" s="1"/>
  <c r="D380" i="1" a="1"/>
  <c r="D380" i="1" s="1"/>
  <c r="D379" i="1" a="1"/>
  <c r="D379" i="1" s="1"/>
  <c r="D378" i="1" a="1"/>
  <c r="D378" i="1" s="1"/>
  <c r="D377" i="1" a="1"/>
  <c r="D377" i="1" s="1"/>
  <c r="D376" i="1" a="1"/>
  <c r="D376" i="1" s="1"/>
  <c r="D375" i="1" a="1"/>
  <c r="D375" i="1" s="1"/>
  <c r="D374" i="1" a="1"/>
  <c r="D374" i="1" s="1"/>
  <c r="D373" i="1" a="1"/>
  <c r="D373" i="1" s="1"/>
  <c r="D372" i="1" a="1"/>
  <c r="D372" i="1" s="1"/>
  <c r="D371" i="1" a="1"/>
  <c r="D371" i="1" s="1"/>
  <c r="D370" i="1" a="1"/>
  <c r="D370" i="1" s="1"/>
  <c r="D369" i="1" a="1"/>
  <c r="D369" i="1" s="1"/>
  <c r="D368" i="1" a="1"/>
  <c r="D368" i="1" s="1"/>
  <c r="D367" i="1" a="1"/>
  <c r="D367" i="1" s="1"/>
  <c r="D366" i="1" a="1"/>
  <c r="D366" i="1" s="1"/>
  <c r="D365" i="1" a="1"/>
  <c r="D365" i="1" s="1"/>
  <c r="D364" i="1" a="1"/>
  <c r="D364" i="1" s="1"/>
  <c r="D363" i="1" a="1"/>
  <c r="D363" i="1" s="1"/>
  <c r="D362" i="1" a="1"/>
  <c r="D362" i="1" s="1"/>
  <c r="D361" i="1" a="1"/>
  <c r="D361" i="1" s="1"/>
  <c r="D360" i="1" a="1"/>
  <c r="D360" i="1" s="1"/>
  <c r="D359" i="1" a="1"/>
  <c r="D359" i="1" s="1"/>
  <c r="D358" i="1" a="1"/>
  <c r="D358" i="1" s="1"/>
  <c r="D357" i="1" a="1"/>
  <c r="D357" i="1" s="1"/>
  <c r="D356" i="1" a="1"/>
  <c r="D356" i="1" s="1"/>
  <c r="D355" i="1" a="1"/>
  <c r="D355" i="1" s="1"/>
  <c r="D354" i="1" a="1"/>
  <c r="D354" i="1" s="1"/>
  <c r="D353" i="1" a="1"/>
  <c r="D353" i="1" s="1"/>
  <c r="D352" i="1" a="1"/>
  <c r="D352" i="1" s="1"/>
  <c r="D351" i="1" a="1"/>
  <c r="D351" i="1" s="1"/>
  <c r="D350" i="1" a="1"/>
  <c r="D350" i="1" s="1"/>
  <c r="D349" i="1" a="1"/>
  <c r="D349" i="1" s="1"/>
  <c r="D348" i="1" a="1"/>
  <c r="D348" i="1" s="1"/>
  <c r="D347" i="1" a="1"/>
  <c r="D347" i="1" s="1"/>
  <c r="D346" i="1" a="1"/>
  <c r="D346" i="1" s="1"/>
  <c r="D345" i="1" a="1"/>
  <c r="D345" i="1" s="1"/>
  <c r="D344" i="1" a="1"/>
  <c r="D344" i="1" s="1"/>
  <c r="D343" i="1" a="1"/>
  <c r="D343" i="1" s="1"/>
  <c r="D342" i="1" a="1"/>
  <c r="D342" i="1" s="1"/>
  <c r="D341" i="1" a="1"/>
  <c r="D341" i="1" s="1"/>
  <c r="D340" i="1" a="1"/>
  <c r="D340" i="1" s="1"/>
  <c r="D339" i="1" a="1"/>
  <c r="D339" i="1" s="1"/>
  <c r="D338" i="1" a="1"/>
  <c r="D338" i="1" s="1"/>
  <c r="D337" i="1" a="1"/>
  <c r="D337" i="1" s="1"/>
  <c r="D336" i="1" a="1"/>
  <c r="D336" i="1" s="1"/>
  <c r="D335" i="1" a="1"/>
  <c r="D335" i="1" s="1"/>
  <c r="D334" i="1" a="1"/>
  <c r="D334" i="1" s="1"/>
  <c r="D329" i="1" a="1"/>
  <c r="D329" i="1" s="1"/>
  <c r="D328" i="1" a="1"/>
  <c r="D328" i="1" s="1"/>
  <c r="D327" i="1" a="1"/>
  <c r="D327" i="1" s="1"/>
  <c r="D326" i="1" a="1"/>
  <c r="D326" i="1" s="1"/>
  <c r="D325" i="1" a="1"/>
  <c r="D325" i="1" s="1"/>
  <c r="D324" i="1" a="1"/>
  <c r="D324" i="1" s="1"/>
  <c r="D323" i="1" a="1"/>
  <c r="D323" i="1" s="1"/>
  <c r="D322" i="1" a="1"/>
  <c r="D322" i="1" s="1"/>
  <c r="D321" i="1" a="1"/>
  <c r="D321" i="1" s="1"/>
  <c r="D320" i="1" a="1"/>
  <c r="D320" i="1" s="1"/>
  <c r="D319" i="1" a="1"/>
  <c r="D319" i="1" s="1"/>
  <c r="D318" i="1" a="1"/>
  <c r="D318" i="1" s="1"/>
  <c r="D317" i="1" a="1"/>
  <c r="D317" i="1" s="1"/>
  <c r="D316" i="1" a="1"/>
  <c r="D316" i="1" s="1"/>
  <c r="D315" i="1" a="1"/>
  <c r="D315" i="1" s="1"/>
  <c r="D314" i="1" a="1"/>
  <c r="D314" i="1" s="1"/>
  <c r="D313" i="1" a="1"/>
  <c r="D313" i="1" s="1"/>
  <c r="D312" i="1" a="1"/>
  <c r="D312" i="1" s="1"/>
  <c r="D311" i="1" a="1"/>
  <c r="D311" i="1" s="1"/>
  <c r="D310" i="1" a="1"/>
  <c r="D310" i="1" s="1"/>
  <c r="D309" i="1" a="1"/>
  <c r="D309" i="1" s="1"/>
  <c r="D308" i="1" a="1"/>
  <c r="D308" i="1" s="1"/>
  <c r="D307" i="1" a="1"/>
  <c r="D307" i="1" s="1"/>
  <c r="D306" i="1" a="1"/>
  <c r="D306" i="1" s="1"/>
  <c r="D305" i="1" a="1"/>
  <c r="D305" i="1" s="1"/>
  <c r="D304" i="1" a="1"/>
  <c r="D304" i="1" s="1"/>
  <c r="D303" i="1" a="1"/>
  <c r="D303" i="1" s="1"/>
  <c r="D302" i="1" a="1"/>
  <c r="D302" i="1" s="1"/>
  <c r="D301" i="1" a="1"/>
  <c r="D301" i="1" s="1"/>
  <c r="D300" i="1" a="1"/>
  <c r="D300" i="1" s="1"/>
  <c r="D299" i="1" a="1"/>
  <c r="D299" i="1" s="1"/>
  <c r="D298" i="1" a="1"/>
  <c r="D298" i="1" s="1"/>
  <c r="D297" i="1" a="1"/>
  <c r="D297" i="1" s="1"/>
  <c r="D296" i="1" a="1"/>
  <c r="D296" i="1" s="1"/>
  <c r="D295" i="1" a="1"/>
  <c r="D295" i="1" s="1"/>
  <c r="D294" i="1" a="1"/>
  <c r="D294" i="1" s="1"/>
  <c r="D293" i="1" a="1"/>
  <c r="D293" i="1" s="1"/>
  <c r="D292" i="1" a="1"/>
  <c r="D292" i="1" s="1"/>
  <c r="D291" i="1" a="1"/>
  <c r="D291" i="1" s="1"/>
  <c r="D290" i="1" a="1"/>
  <c r="D290" i="1" s="1"/>
  <c r="D289" i="1" a="1"/>
  <c r="D289" i="1" s="1"/>
  <c r="D288" i="1" a="1"/>
  <c r="D288" i="1" s="1"/>
  <c r="D287" i="1" a="1"/>
  <c r="D287" i="1" s="1"/>
  <c r="D286" i="1" a="1"/>
  <c r="D286" i="1" s="1"/>
  <c r="D285" i="1" a="1"/>
  <c r="D285" i="1" s="1"/>
  <c r="D284" i="1" a="1"/>
  <c r="D284" i="1" s="1"/>
  <c r="D283" i="1" a="1"/>
  <c r="D283" i="1" s="1"/>
  <c r="D282" i="1" a="1"/>
  <c r="D282" i="1" s="1"/>
  <c r="D281" i="1" a="1"/>
  <c r="D281" i="1" s="1"/>
  <c r="D280" i="1" a="1"/>
  <c r="D280" i="1" s="1"/>
  <c r="D279" i="1" a="1"/>
  <c r="D279" i="1" s="1"/>
  <c r="D278" i="1" a="1"/>
  <c r="D278" i="1" s="1"/>
  <c r="D277" i="1" a="1"/>
  <c r="D277" i="1" s="1"/>
  <c r="D276" i="1" a="1"/>
  <c r="D276" i="1" s="1"/>
  <c r="D275" i="1" a="1"/>
  <c r="D275" i="1" s="1"/>
  <c r="D274" i="1" a="1"/>
  <c r="D274" i="1" s="1"/>
  <c r="D273" i="1" a="1"/>
  <c r="D273" i="1" s="1"/>
  <c r="D272" i="1" a="1"/>
  <c r="D272" i="1" s="1"/>
  <c r="D271" i="1" a="1"/>
  <c r="D271" i="1" s="1"/>
  <c r="D270" i="1" a="1"/>
  <c r="D270" i="1" s="1"/>
  <c r="D269" i="1" a="1"/>
  <c r="D269" i="1" s="1"/>
  <c r="D268" i="1" a="1"/>
  <c r="D268" i="1" s="1"/>
  <c r="D267" i="1" a="1"/>
  <c r="D267" i="1" s="1"/>
  <c r="D266" i="1" a="1"/>
  <c r="D266" i="1" s="1"/>
  <c r="D265" i="1" a="1"/>
  <c r="D265" i="1" s="1"/>
  <c r="D264" i="1" a="1"/>
  <c r="D264" i="1" s="1"/>
  <c r="D263" i="1" a="1"/>
  <c r="D263" i="1" s="1"/>
  <c r="D262" i="1" a="1"/>
  <c r="D262" i="1" s="1"/>
  <c r="D261" i="1" a="1"/>
  <c r="D261" i="1" s="1"/>
  <c r="D260" i="1" a="1"/>
  <c r="D260" i="1" s="1"/>
  <c r="D259" i="1" a="1"/>
  <c r="D259" i="1" s="1"/>
  <c r="D258" i="1" a="1"/>
  <c r="D258" i="1" s="1"/>
  <c r="D257" i="1" a="1"/>
  <c r="D257" i="1" s="1"/>
  <c r="D256" i="1" a="1"/>
  <c r="D256" i="1" s="1"/>
  <c r="D255" i="1" a="1"/>
  <c r="D255" i="1" s="1"/>
  <c r="D254" i="1" a="1"/>
  <c r="D254" i="1" s="1"/>
  <c r="D253" i="1" a="1"/>
  <c r="D253" i="1" s="1"/>
  <c r="D252" i="1" a="1"/>
  <c r="D252" i="1" s="1"/>
  <c r="D251" i="1" a="1"/>
  <c r="D251" i="1" s="1"/>
  <c r="D250" i="1" a="1"/>
  <c r="D250" i="1" s="1"/>
  <c r="D249" i="1" a="1"/>
  <c r="D249" i="1" s="1"/>
  <c r="D248" i="1" a="1"/>
  <c r="D248" i="1" s="1"/>
  <c r="D247" i="1" a="1"/>
  <c r="D247" i="1" s="1"/>
  <c r="D246" i="1" a="1"/>
  <c r="D246" i="1" s="1"/>
  <c r="D245" i="1" a="1"/>
  <c r="D245" i="1" s="1"/>
  <c r="D244" i="1" a="1"/>
  <c r="D244" i="1" s="1"/>
  <c r="D243" i="1" a="1"/>
  <c r="D243" i="1" s="1"/>
  <c r="D242" i="1" a="1"/>
  <c r="D242" i="1" s="1"/>
  <c r="D241" i="1" a="1"/>
  <c r="D241" i="1" s="1"/>
  <c r="D240" i="1" a="1"/>
  <c r="D240" i="1" s="1"/>
  <c r="D239" i="1" a="1"/>
  <c r="D239" i="1" s="1"/>
  <c r="D238" i="1" a="1"/>
  <c r="D238" i="1" s="1"/>
  <c r="D237" i="1" a="1"/>
  <c r="D237" i="1" s="1"/>
  <c r="D236" i="1" a="1"/>
  <c r="D236" i="1" s="1"/>
  <c r="D235" i="1" a="1"/>
  <c r="D235" i="1" s="1"/>
  <c r="D234" i="1" a="1"/>
  <c r="D234" i="1" s="1"/>
  <c r="D233" i="1" a="1"/>
  <c r="D233" i="1" s="1"/>
  <c r="D232" i="1" a="1"/>
  <c r="D232" i="1" s="1"/>
  <c r="D231" i="1" a="1"/>
  <c r="D231" i="1" s="1"/>
  <c r="D230" i="1" a="1"/>
  <c r="D230" i="1" s="1"/>
  <c r="D229" i="1" a="1"/>
  <c r="D229" i="1" s="1"/>
  <c r="D228" i="1" a="1"/>
  <c r="D228" i="1" s="1"/>
  <c r="D227" i="1" a="1"/>
  <c r="D227" i="1" s="1"/>
  <c r="D226" i="1" a="1"/>
  <c r="D226" i="1" s="1"/>
  <c r="D225" i="1" a="1"/>
  <c r="D225" i="1" s="1"/>
  <c r="D224" i="1" a="1"/>
  <c r="D224" i="1" s="1"/>
  <c r="D223" i="1" a="1"/>
  <c r="D223" i="1" s="1"/>
  <c r="D222" i="1" a="1"/>
  <c r="D222" i="1" s="1"/>
  <c r="D221" i="1" a="1"/>
  <c r="D221" i="1" s="1"/>
  <c r="D220" i="1" a="1"/>
  <c r="D220" i="1" s="1"/>
  <c r="D219" i="1" a="1"/>
  <c r="D219" i="1" s="1"/>
  <c r="D218" i="1" a="1"/>
  <c r="D218" i="1" s="1"/>
  <c r="D217" i="1" a="1"/>
  <c r="D217" i="1" s="1"/>
  <c r="D216" i="1" a="1"/>
  <c r="D216" i="1" s="1"/>
  <c r="D215" i="1" a="1"/>
  <c r="D215" i="1" s="1"/>
  <c r="D214" i="1" a="1"/>
  <c r="D214" i="1" s="1"/>
  <c r="D213" i="1" a="1"/>
  <c r="D213" i="1" s="1"/>
  <c r="D212" i="1" a="1"/>
  <c r="D212" i="1" s="1"/>
  <c r="D211" i="1" a="1"/>
  <c r="D211" i="1" s="1"/>
  <c r="D210" i="1" a="1"/>
  <c r="D210" i="1" s="1"/>
  <c r="D209" i="1" a="1"/>
  <c r="D209" i="1" s="1"/>
  <c r="D208" i="1" a="1"/>
  <c r="D208" i="1" s="1"/>
  <c r="D207" i="1" a="1"/>
  <c r="D207" i="1" s="1"/>
  <c r="D206" i="1" a="1"/>
  <c r="D206" i="1" s="1"/>
  <c r="D205" i="1" a="1"/>
  <c r="D205" i="1" s="1"/>
  <c r="D204" i="1" a="1"/>
  <c r="D204" i="1" s="1"/>
  <c r="D203" i="1" a="1"/>
  <c r="D203" i="1" s="1"/>
  <c r="D202" i="1" a="1"/>
  <c r="D202" i="1" s="1"/>
  <c r="D201" i="1" a="1"/>
  <c r="D201" i="1" s="1"/>
  <c r="D200" i="1" a="1"/>
  <c r="D200" i="1" s="1"/>
  <c r="D199" i="1" a="1"/>
  <c r="D199" i="1" s="1"/>
  <c r="D198" i="1" a="1"/>
  <c r="D198" i="1" s="1"/>
  <c r="D197" i="1" a="1"/>
  <c r="D197" i="1" s="1"/>
  <c r="D196" i="1" a="1"/>
  <c r="D196" i="1" s="1"/>
  <c r="D195" i="1" a="1"/>
  <c r="D195" i="1" s="1"/>
  <c r="D194" i="1" a="1"/>
  <c r="D194" i="1" s="1"/>
  <c r="D193" i="1" a="1"/>
  <c r="D193" i="1" s="1"/>
  <c r="D192" i="1" a="1"/>
  <c r="D192" i="1" s="1"/>
  <c r="D191" i="1" a="1"/>
  <c r="D191" i="1" s="1"/>
  <c r="D190" i="1" a="1"/>
  <c r="D190" i="1" s="1"/>
  <c r="D189" i="1" a="1"/>
  <c r="D189" i="1" s="1"/>
  <c r="D188" i="1" a="1"/>
  <c r="D188" i="1" s="1"/>
  <c r="D187" i="1" a="1"/>
  <c r="D187" i="1" s="1"/>
  <c r="D186" i="1" a="1"/>
  <c r="D186" i="1" s="1"/>
  <c r="D185" i="1" a="1"/>
  <c r="D185" i="1" s="1"/>
  <c r="D184" i="1" a="1"/>
  <c r="D184" i="1" s="1"/>
  <c r="D183" i="1" a="1"/>
  <c r="D183" i="1" s="1"/>
  <c r="D182" i="1" a="1"/>
  <c r="D182" i="1" s="1"/>
  <c r="D181" i="1" a="1"/>
  <c r="D181" i="1" s="1"/>
  <c r="D180" i="1" a="1"/>
  <c r="D180" i="1" s="1"/>
  <c r="D179" i="1" a="1"/>
  <c r="D179" i="1" s="1"/>
  <c r="D178" i="1" a="1"/>
  <c r="D178" i="1" s="1"/>
  <c r="D174" i="1" a="1"/>
  <c r="D174" i="1" s="1"/>
  <c r="D173" i="1" a="1"/>
  <c r="D173" i="1" s="1"/>
  <c r="D172" i="1" a="1"/>
  <c r="D172" i="1" s="1"/>
  <c r="D171" i="1" a="1"/>
  <c r="D171" i="1" s="1"/>
  <c r="D170" i="1" a="1"/>
  <c r="D170" i="1" s="1"/>
  <c r="D169" i="1" a="1"/>
  <c r="D169" i="1" s="1"/>
  <c r="D168" i="1" a="1"/>
  <c r="D168" i="1" s="1"/>
  <c r="D167" i="1" a="1"/>
  <c r="D167" i="1" s="1"/>
  <c r="D166" i="1" a="1"/>
  <c r="D166" i="1" s="1"/>
  <c r="D165" i="1" a="1"/>
  <c r="D165" i="1" s="1"/>
  <c r="D164" i="1" a="1"/>
  <c r="D164" i="1" s="1"/>
  <c r="D163" i="1" a="1"/>
  <c r="D163" i="1" s="1"/>
  <c r="D162" i="1" a="1"/>
  <c r="D162" i="1" s="1"/>
  <c r="D161" i="1" a="1"/>
  <c r="D161" i="1" s="1"/>
  <c r="D160" i="1" a="1"/>
  <c r="D160" i="1" s="1"/>
  <c r="D159" i="1" a="1"/>
  <c r="D159" i="1" s="1"/>
  <c r="D158" i="1" a="1"/>
  <c r="D158" i="1" s="1"/>
  <c r="D157" i="1" a="1"/>
  <c r="D157" i="1" s="1"/>
  <c r="D156" i="1" a="1"/>
  <c r="D156" i="1" s="1"/>
  <c r="D155" i="1" a="1"/>
  <c r="D155" i="1" s="1"/>
  <c r="D154" i="1" a="1"/>
  <c r="D154" i="1" s="1"/>
  <c r="D153" i="1" a="1"/>
  <c r="D153" i="1" s="1"/>
  <c r="D152" i="1" a="1"/>
  <c r="D152" i="1" s="1"/>
  <c r="D151" i="1" a="1"/>
  <c r="D151" i="1" s="1"/>
  <c r="D150" i="1" a="1"/>
  <c r="D150" i="1" s="1"/>
  <c r="D149" i="1" a="1"/>
  <c r="D149" i="1" s="1"/>
  <c r="D148" i="1" a="1"/>
  <c r="D148" i="1" s="1"/>
  <c r="D147" i="1" a="1"/>
  <c r="D147" i="1" s="1"/>
  <c r="D146" i="1" a="1"/>
  <c r="D146" i="1" s="1"/>
  <c r="D145" i="1" a="1"/>
  <c r="D145" i="1" s="1"/>
  <c r="D144" i="1" a="1"/>
  <c r="D144" i="1" s="1"/>
  <c r="D143" i="1" a="1"/>
  <c r="D143" i="1" s="1"/>
  <c r="D142" i="1" a="1"/>
  <c r="D142" i="1" s="1"/>
  <c r="D141" i="1" a="1"/>
  <c r="D141" i="1" s="1"/>
  <c r="D140" i="1" a="1"/>
  <c r="D140" i="1" s="1"/>
  <c r="D139" i="1" a="1"/>
  <c r="D139" i="1" s="1"/>
  <c r="D138" i="1" a="1"/>
  <c r="D138" i="1" s="1"/>
  <c r="D137" i="1" a="1"/>
  <c r="D137" i="1" s="1"/>
  <c r="D136" i="1" a="1"/>
  <c r="D136" i="1" s="1"/>
  <c r="D135" i="1" a="1"/>
  <c r="D135" i="1" s="1"/>
  <c r="D134" i="1" a="1"/>
  <c r="D134" i="1" s="1"/>
  <c r="D133" i="1" a="1"/>
  <c r="D133" i="1" s="1"/>
  <c r="D132" i="1" a="1"/>
  <c r="D132" i="1" s="1"/>
  <c r="D131" i="1" a="1"/>
  <c r="D131" i="1" s="1"/>
  <c r="D130" i="1" a="1"/>
  <c r="D130" i="1" s="1"/>
  <c r="D129" i="1" a="1"/>
  <c r="D129" i="1" s="1"/>
  <c r="D128" i="1" a="1"/>
  <c r="D128" i="1" s="1"/>
  <c r="D127" i="1" a="1"/>
  <c r="D127" i="1" s="1"/>
  <c r="D126" i="1" a="1"/>
  <c r="D126" i="1" s="1"/>
  <c r="D125" i="1" a="1"/>
  <c r="D125" i="1" s="1"/>
  <c r="D124" i="1" a="1"/>
  <c r="D124" i="1" s="1"/>
  <c r="D123" i="1" a="1"/>
  <c r="D123" i="1" s="1"/>
  <c r="D122" i="1" a="1"/>
  <c r="D122" i="1" s="1"/>
  <c r="D121" i="1" a="1"/>
  <c r="D121" i="1" s="1"/>
  <c r="D120" i="1" a="1"/>
  <c r="D120" i="1" s="1"/>
  <c r="D119" i="1" a="1"/>
  <c r="D119" i="1" s="1"/>
  <c r="D118" i="1" a="1"/>
  <c r="D118" i="1" s="1"/>
  <c r="D117" i="1" a="1"/>
  <c r="D117" i="1" s="1"/>
  <c r="D116" i="1" a="1"/>
  <c r="D116" i="1" s="1"/>
  <c r="D115" i="1" a="1"/>
  <c r="D115" i="1" s="1"/>
  <c r="D114" i="1" a="1"/>
  <c r="D114" i="1" s="1"/>
  <c r="D113" i="1" a="1"/>
  <c r="D113" i="1" s="1"/>
  <c r="D112" i="1" a="1"/>
  <c r="D112" i="1" s="1"/>
  <c r="D111" i="1" a="1"/>
  <c r="D111" i="1" s="1"/>
  <c r="D110" i="1" a="1"/>
  <c r="D110" i="1" s="1"/>
  <c r="D109" i="1" a="1"/>
  <c r="D109" i="1" s="1"/>
  <c r="D108" i="1" a="1"/>
  <c r="D108" i="1" s="1"/>
  <c r="D107" i="1" a="1"/>
  <c r="D107" i="1" s="1"/>
  <c r="D106" i="1" a="1"/>
  <c r="D106" i="1" s="1"/>
  <c r="D105" i="1" a="1"/>
  <c r="D105" i="1" s="1"/>
  <c r="D104" i="1" a="1"/>
  <c r="D104" i="1" s="1"/>
  <c r="D103" i="1" a="1"/>
  <c r="D103" i="1" s="1"/>
  <c r="D102" i="1" a="1"/>
  <c r="D102" i="1" s="1"/>
  <c r="D101" i="1" a="1"/>
  <c r="D101" i="1" s="1"/>
  <c r="D100" i="1" a="1"/>
  <c r="D100" i="1" s="1"/>
  <c r="D99" i="1" a="1"/>
  <c r="D99" i="1" s="1"/>
  <c r="D98" i="1" a="1"/>
  <c r="D98" i="1" s="1"/>
  <c r="D97" i="1" a="1"/>
  <c r="D97" i="1" s="1"/>
  <c r="D96" i="1" a="1"/>
  <c r="D96" i="1" s="1"/>
  <c r="D95" i="1" a="1"/>
  <c r="D95" i="1" s="1"/>
  <c r="D94" i="1" a="1"/>
  <c r="D94" i="1" s="1"/>
  <c r="D93" i="1" a="1"/>
  <c r="D93" i="1" s="1"/>
  <c r="D92" i="1" a="1"/>
  <c r="D92" i="1" s="1"/>
  <c r="D91" i="1" a="1"/>
  <c r="D91" i="1" s="1"/>
  <c r="D90" i="1" a="1"/>
  <c r="D90" i="1" s="1"/>
  <c r="D89" i="1" a="1"/>
  <c r="D89" i="1" s="1"/>
  <c r="D88" i="1" a="1"/>
  <c r="D88" i="1" s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 a="1"/>
  <c r="D80" i="1" s="1"/>
  <c r="D79" i="1" a="1"/>
  <c r="D79" i="1" s="1"/>
  <c r="D78" i="1" a="1"/>
  <c r="D78" i="1" s="1"/>
  <c r="D77" i="1" a="1"/>
  <c r="D77" i="1" s="1"/>
  <c r="D76" i="1" a="1"/>
  <c r="D76" i="1" s="1"/>
  <c r="D75" i="1" a="1"/>
  <c r="D75" i="1" s="1"/>
  <c r="D74" i="1" a="1"/>
  <c r="D74" i="1" s="1"/>
  <c r="D73" i="1" a="1"/>
  <c r="D73" i="1" s="1"/>
  <c r="D72" i="1" a="1"/>
  <c r="D72" i="1" s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 a="1"/>
  <c r="D64" i="1" s="1"/>
  <c r="D63" i="1" a="1"/>
  <c r="D63" i="1" s="1"/>
  <c r="D62" i="1" a="1"/>
  <c r="D62" i="1" s="1"/>
  <c r="D61" i="1" a="1"/>
  <c r="D61" i="1" s="1"/>
  <c r="D60" i="1" a="1"/>
  <c r="D60" i="1" s="1"/>
  <c r="D59" i="1" a="1"/>
  <c r="D59" i="1" s="1"/>
  <c r="D58" i="1" a="1"/>
  <c r="D58" i="1" s="1"/>
  <c r="D57" i="1" a="1"/>
  <c r="D57" i="1" s="1"/>
  <c r="D56" i="1" a="1"/>
  <c r="D56" i="1" s="1"/>
  <c r="D55" i="1" a="1"/>
  <c r="D55" i="1" s="1"/>
  <c r="D54" i="1" a="1"/>
  <c r="D54" i="1" s="1"/>
  <c r="D53" i="1" a="1"/>
  <c r="D53" i="1" s="1"/>
  <c r="D52" i="1" a="1"/>
  <c r="D52" i="1" s="1"/>
  <c r="D51" i="1" a="1"/>
  <c r="D51" i="1" s="1"/>
  <c r="D50" i="1" a="1"/>
  <c r="D50" i="1" s="1"/>
  <c r="D49" i="1" a="1"/>
  <c r="D49" i="1" s="1"/>
  <c r="D48" i="1" a="1"/>
  <c r="D48" i="1" s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2" i="1" a="1"/>
  <c r="D42" i="1" s="1"/>
  <c r="D41" i="1" a="1"/>
  <c r="D41" i="1" s="1"/>
  <c r="D40" i="1" a="1"/>
  <c r="D40" i="1" s="1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D4" i="1" a="1"/>
  <c r="D4" i="1" s="1"/>
  <c r="D3" i="1" a="1"/>
  <c r="D3" i="1" s="1"/>
  <c r="E271" i="4" l="1" a="1"/>
  <c r="E271" i="4" s="1"/>
  <c r="D271" i="4"/>
  <c r="F269" i="4"/>
  <c r="G269" i="4" s="1"/>
  <c r="D268" i="4"/>
  <c r="E268" i="4" a="1"/>
  <c r="E268" i="4" s="1"/>
  <c r="E269" i="4" a="1"/>
  <c r="E269" i="4" s="1"/>
  <c r="D269" i="4"/>
  <c r="F268" i="4"/>
  <c r="G268" i="4" s="1"/>
  <c r="E270" i="4" a="1"/>
  <c r="E270" i="4" s="1"/>
  <c r="D270" i="4"/>
  <c r="F270" i="4"/>
  <c r="G270" i="4" s="1"/>
  <c r="F271" i="4"/>
  <c r="G271" i="4" s="1"/>
  <c r="E258" i="4" a="1"/>
  <c r="E258" i="4" s="1"/>
  <c r="E261" i="4" a="1"/>
  <c r="E261" i="4" s="1"/>
  <c r="D267" i="4"/>
  <c r="E249" i="4" a="1"/>
  <c r="E249" i="4" s="1"/>
  <c r="F254" i="4"/>
  <c r="G254" i="4" s="1"/>
  <c r="D258" i="4"/>
  <c r="E263" i="4" a="1"/>
  <c r="E263" i="4" s="1"/>
  <c r="D249" i="4"/>
  <c r="E254" i="4" a="1"/>
  <c r="E254" i="4" s="1"/>
  <c r="F259" i="4"/>
  <c r="G259" i="4" s="1"/>
  <c r="D263" i="4"/>
  <c r="F250" i="4"/>
  <c r="G250" i="4" s="1"/>
  <c r="D254" i="4"/>
  <c r="E259" i="4" a="1"/>
  <c r="E259" i="4" s="1"/>
  <c r="F264" i="4"/>
  <c r="G264" i="4" s="1"/>
  <c r="E250" i="4" a="1"/>
  <c r="E250" i="4" s="1"/>
  <c r="F255" i="4"/>
  <c r="G255" i="4" s="1"/>
  <c r="D259" i="4"/>
  <c r="E264" i="4" a="1"/>
  <c r="E264" i="4" s="1"/>
  <c r="D250" i="4"/>
  <c r="E255" i="4" a="1"/>
  <c r="E255" i="4" s="1"/>
  <c r="F260" i="4"/>
  <c r="G260" i="4" s="1"/>
  <c r="D264" i="4"/>
  <c r="F251" i="4"/>
  <c r="G251" i="4" s="1"/>
  <c r="D255" i="4"/>
  <c r="E260" i="4" a="1"/>
  <c r="E260" i="4" s="1"/>
  <c r="F265" i="4"/>
  <c r="G265" i="4" s="1"/>
  <c r="E251" i="4" a="1"/>
  <c r="E251" i="4" s="1"/>
  <c r="F256" i="4"/>
  <c r="G256" i="4" s="1"/>
  <c r="D260" i="4"/>
  <c r="E265" i="4" a="1"/>
  <c r="E265" i="4" s="1"/>
  <c r="D251" i="4"/>
  <c r="E256" i="4" a="1"/>
  <c r="E256" i="4" s="1"/>
  <c r="F261" i="4"/>
  <c r="G261" i="4" s="1"/>
  <c r="D265" i="4"/>
  <c r="F252" i="4"/>
  <c r="G252" i="4" s="1"/>
  <c r="D256" i="4"/>
  <c r="F266" i="4"/>
  <c r="G266" i="4" s="1"/>
  <c r="E266" i="4" a="1"/>
  <c r="E266" i="4" s="1"/>
  <c r="D252" i="4"/>
  <c r="E257" i="4" a="1"/>
  <c r="E257" i="4" s="1"/>
  <c r="F262" i="4"/>
  <c r="G262" i="4" s="1"/>
  <c r="D266" i="4"/>
  <c r="E252" i="4" a="1"/>
  <c r="E252" i="4" s="1"/>
  <c r="F257" i="4"/>
  <c r="G257" i="4" s="1"/>
  <c r="D261" i="4"/>
  <c r="F253" i="4"/>
  <c r="G253" i="4" s="1"/>
  <c r="D257" i="4"/>
  <c r="E262" i="4" a="1"/>
  <c r="E262" i="4" s="1"/>
  <c r="F267" i="4"/>
  <c r="G267" i="4" s="1"/>
  <c r="E253" i="4" a="1"/>
  <c r="E253" i="4" s="1"/>
  <c r="F258" i="4"/>
  <c r="G258" i="4" s="1"/>
  <c r="D262" i="4"/>
  <c r="E267" i="4" a="1"/>
  <c r="E267" i="4" s="1"/>
  <c r="F249" i="4"/>
  <c r="G249" i="4" s="1"/>
  <c r="D253" i="4"/>
  <c r="F263" i="4"/>
  <c r="G263" i="4" s="1"/>
  <c r="F235" i="4"/>
  <c r="G235" i="4" s="1"/>
  <c r="F112" i="4"/>
  <c r="G112" i="4" s="1"/>
  <c r="F24" i="4"/>
  <c r="G24" i="4" s="1"/>
  <c r="F71" i="4"/>
  <c r="G71" i="4" s="1"/>
  <c r="F22" i="4"/>
  <c r="G22" i="4" s="1"/>
  <c r="F32" i="4"/>
  <c r="G32" i="4" s="1"/>
  <c r="F68" i="4"/>
  <c r="G68" i="4" s="1"/>
  <c r="F77" i="4"/>
  <c r="G77" i="4" s="1"/>
  <c r="F118" i="4"/>
  <c r="G118" i="4" s="1"/>
  <c r="F184" i="4"/>
  <c r="G184" i="4" s="1"/>
  <c r="F31" i="4"/>
  <c r="G31" i="4" s="1"/>
  <c r="F54" i="4"/>
  <c r="G54" i="4" s="1"/>
  <c r="F141" i="4"/>
  <c r="G141" i="4" s="1"/>
  <c r="F10" i="4"/>
  <c r="G10" i="4" s="1"/>
  <c r="F168" i="4"/>
  <c r="G168" i="4" s="1"/>
  <c r="F134" i="4"/>
  <c r="G134" i="4" s="1"/>
  <c r="F139" i="4"/>
  <c r="G139" i="4" s="1"/>
  <c r="F88" i="4"/>
  <c r="G88" i="4" s="1"/>
  <c r="F86" i="4"/>
  <c r="G86" i="4" s="1"/>
  <c r="F114" i="4"/>
  <c r="G114" i="4" s="1"/>
  <c r="F96" i="4"/>
  <c r="G96" i="4" s="1"/>
  <c r="F53" i="4"/>
  <c r="G53" i="4" s="1"/>
  <c r="F244" i="4"/>
  <c r="G244" i="4" s="1"/>
  <c r="F79" i="4"/>
  <c r="G79" i="4" s="1"/>
  <c r="F210" i="4"/>
  <c r="G210" i="4" s="1"/>
  <c r="F178" i="4"/>
  <c r="G178" i="4" s="1"/>
  <c r="F107" i="4"/>
  <c r="G107" i="4" s="1"/>
  <c r="F113" i="4"/>
  <c r="G113" i="4" s="1"/>
  <c r="F61" i="4"/>
  <c r="G61" i="4" s="1"/>
  <c r="F137" i="4"/>
  <c r="G137" i="4" s="1"/>
  <c r="F36" i="4"/>
  <c r="G36" i="4" s="1"/>
  <c r="F34" i="4"/>
  <c r="G34" i="4" s="1"/>
  <c r="F117" i="4"/>
  <c r="G117" i="4" s="1"/>
  <c r="F64" i="4"/>
  <c r="G64" i="4" s="1"/>
  <c r="F185" i="4"/>
  <c r="G185" i="4" s="1"/>
  <c r="F46" i="4"/>
  <c r="G46" i="4" s="1"/>
  <c r="F38" i="4"/>
  <c r="G38" i="4" s="1"/>
  <c r="F3" i="4"/>
  <c r="F221" i="4"/>
  <c r="G221" i="4" s="1"/>
  <c r="F18" i="4"/>
  <c r="G18" i="4" s="1"/>
  <c r="F42" i="4"/>
  <c r="G42" i="4" s="1"/>
  <c r="F116" i="4"/>
  <c r="G116" i="4" s="1"/>
  <c r="F220" i="4"/>
  <c r="G220" i="4" s="1"/>
  <c r="F132" i="4"/>
  <c r="G132" i="4" s="1"/>
  <c r="F216" i="4"/>
  <c r="G216" i="4" s="1"/>
  <c r="F29" i="4"/>
  <c r="G29" i="4" s="1"/>
  <c r="F143" i="4"/>
  <c r="G143" i="4" s="1"/>
  <c r="F242" i="4"/>
  <c r="G242" i="4" s="1"/>
  <c r="F39" i="4"/>
  <c r="G39" i="4" s="1"/>
  <c r="F149" i="4"/>
  <c r="G149" i="4" s="1"/>
  <c r="F55" i="4"/>
  <c r="G55" i="4" s="1"/>
  <c r="F215" i="4"/>
  <c r="G215" i="4" s="1"/>
  <c r="F91" i="4"/>
  <c r="G91" i="4" s="1"/>
  <c r="F147" i="4"/>
  <c r="G147" i="4" s="1"/>
  <c r="F94" i="4"/>
  <c r="G94" i="4" s="1"/>
  <c r="F59" i="4"/>
  <c r="G59" i="4" s="1"/>
  <c r="F93" i="4"/>
  <c r="G93" i="4" s="1"/>
  <c r="F123" i="4"/>
  <c r="G123" i="4" s="1"/>
  <c r="F198" i="4"/>
  <c r="G198" i="4" s="1"/>
  <c r="F63" i="4"/>
  <c r="G63" i="4" s="1"/>
  <c r="F11" i="4"/>
  <c r="G11" i="4" s="1"/>
  <c r="F236" i="4"/>
  <c r="G236" i="4" s="1"/>
  <c r="F56" i="4"/>
  <c r="G56" i="4" s="1"/>
  <c r="F191" i="4"/>
  <c r="G191" i="4" s="1"/>
  <c r="F181" i="4"/>
  <c r="G181" i="4" s="1"/>
  <c r="F37" i="4"/>
  <c r="G37" i="4" s="1"/>
  <c r="F101" i="4"/>
  <c r="G101" i="4" s="1"/>
  <c r="F100" i="4"/>
  <c r="G100" i="4" s="1"/>
  <c r="F98" i="4"/>
  <c r="G98" i="4" s="1"/>
  <c r="F9" i="4"/>
  <c r="G9" i="4" s="1"/>
  <c r="F188" i="4"/>
  <c r="G188" i="4" s="1"/>
  <c r="F228" i="4"/>
  <c r="G228" i="4" s="1"/>
  <c r="F58" i="4"/>
  <c r="G58" i="4" s="1"/>
  <c r="F195" i="4"/>
  <c r="G195" i="4" s="1"/>
  <c r="F157" i="4"/>
  <c r="G157" i="4" s="1"/>
  <c r="F51" i="4"/>
  <c r="G51" i="4" s="1"/>
  <c r="F50" i="4"/>
  <c r="G50" i="4" s="1"/>
  <c r="F49" i="4"/>
  <c r="G49" i="4" s="1"/>
  <c r="F48" i="4"/>
  <c r="G48" i="4" s="1"/>
  <c r="F47" i="4"/>
  <c r="G47" i="4" s="1"/>
  <c r="F136" i="4"/>
  <c r="G136" i="4" s="1"/>
  <c r="F135" i="4"/>
  <c r="G135" i="4" s="1"/>
  <c r="F131" i="4"/>
  <c r="G131" i="4" s="1"/>
  <c r="F90" i="4"/>
  <c r="G90" i="4" s="1"/>
  <c r="F138" i="4"/>
  <c r="G138" i="4" s="1"/>
  <c r="F146" i="4"/>
  <c r="G146" i="4" s="1"/>
  <c r="F142" i="4"/>
  <c r="G142" i="4" s="1"/>
  <c r="F126" i="4"/>
  <c r="G126" i="4" s="1"/>
  <c r="F85" i="4"/>
  <c r="G85" i="4" s="1"/>
  <c r="F84" i="4"/>
  <c r="G84" i="4" s="1"/>
  <c r="F133" i="4"/>
  <c r="G133" i="4" s="1"/>
  <c r="F104" i="4"/>
  <c r="G104" i="4" s="1"/>
  <c r="F214" i="4"/>
  <c r="G214" i="4" s="1"/>
  <c r="F207" i="4"/>
  <c r="G207" i="4" s="1"/>
  <c r="F159" i="4"/>
  <c r="G159" i="4" s="1"/>
  <c r="F26" i="4"/>
  <c r="G26" i="4" s="1"/>
  <c r="F192" i="4"/>
  <c r="G192" i="4" s="1"/>
  <c r="F5" i="4"/>
  <c r="G5" i="4" s="1"/>
  <c r="F164" i="4"/>
  <c r="G164" i="4" s="1"/>
  <c r="F223" i="4"/>
  <c r="G223" i="4" s="1"/>
  <c r="F62" i="4"/>
  <c r="G62" i="4" s="1"/>
  <c r="F110" i="4"/>
  <c r="G110" i="4" s="1"/>
  <c r="F196" i="4"/>
  <c r="G196" i="4" s="1"/>
  <c r="F4" i="4"/>
  <c r="G4" i="4" s="1"/>
  <c r="E43" i="4" a="1"/>
  <c r="E43" i="4" s="1"/>
  <c r="E73" i="4" a="1"/>
  <c r="E73" i="4" s="1"/>
  <c r="E179" i="4" a="1"/>
  <c r="E179" i="4" s="1"/>
  <c r="E199" i="4" a="1"/>
  <c r="E199" i="4" s="1"/>
  <c r="E3" i="4" a="1"/>
  <c r="E3" i="4" s="1"/>
  <c r="E244" i="4" a="1"/>
  <c r="E244" i="4" s="1"/>
  <c r="E207" i="4" a="1"/>
  <c r="E207" i="4" s="1"/>
  <c r="E219" i="4" a="1"/>
  <c r="E219" i="4" s="1"/>
  <c r="D156" i="4"/>
  <c r="F76" i="4"/>
  <c r="G76" i="4" s="1"/>
  <c r="E248" i="4" a="1"/>
  <c r="E248" i="4" s="1"/>
  <c r="E235" i="4" a="1"/>
  <c r="E235" i="4" s="1"/>
  <c r="E223" i="4" a="1"/>
  <c r="E223" i="4" s="1"/>
  <c r="E198" i="4" a="1"/>
  <c r="E198" i="4" s="1"/>
  <c r="E186" i="4" a="1"/>
  <c r="E186" i="4" s="1"/>
  <c r="E174" i="4" a="1"/>
  <c r="E174" i="4" s="1"/>
  <c r="E149" i="4" a="1"/>
  <c r="E149" i="4" s="1"/>
  <c r="E137" i="4" a="1"/>
  <c r="E137" i="4" s="1"/>
  <c r="E125" i="4" a="1"/>
  <c r="E125" i="4" s="1"/>
  <c r="E90" i="4" a="1"/>
  <c r="E90" i="4" s="1"/>
  <c r="E79" i="4" a="1"/>
  <c r="E79" i="4" s="1"/>
  <c r="E68" i="4" a="1"/>
  <c r="E68" i="4" s="1"/>
  <c r="E57" i="4" a="1"/>
  <c r="E57" i="4" s="1"/>
  <c r="E46" i="4" a="1"/>
  <c r="E46" i="4" s="1"/>
  <c r="E24" i="4" a="1"/>
  <c r="E24" i="4" s="1"/>
  <c r="E14" i="4" a="1"/>
  <c r="E14" i="4" s="1"/>
  <c r="E247" i="4" a="1"/>
  <c r="E247" i="4" s="1"/>
  <c r="E234" i="4" a="1"/>
  <c r="E234" i="4" s="1"/>
  <c r="E222" i="4" a="1"/>
  <c r="E222" i="4" s="1"/>
  <c r="E210" i="4" a="1"/>
  <c r="E210" i="4" s="1"/>
  <c r="E197" i="4" a="1"/>
  <c r="E197" i="4" s="1"/>
  <c r="E185" i="4" a="1"/>
  <c r="E185" i="4" s="1"/>
  <c r="E173" i="4" a="1"/>
  <c r="E173" i="4" s="1"/>
  <c r="E161" i="4" a="1"/>
  <c r="E161" i="4" s="1"/>
  <c r="E148" i="4" a="1"/>
  <c r="E148" i="4" s="1"/>
  <c r="E136" i="4" a="1"/>
  <c r="E136" i="4" s="1"/>
  <c r="E124" i="4" a="1"/>
  <c r="E124" i="4" s="1"/>
  <c r="E112" i="4" a="1"/>
  <c r="E112" i="4" s="1"/>
  <c r="E100" i="4" a="1"/>
  <c r="E100" i="4" s="1"/>
  <c r="E89" i="4" a="1"/>
  <c r="E89" i="4" s="1"/>
  <c r="E78" i="4" a="1"/>
  <c r="E78" i="4" s="1"/>
  <c r="E67" i="4" a="1"/>
  <c r="E67" i="4" s="1"/>
  <c r="E45" i="4" a="1"/>
  <c r="E45" i="4" s="1"/>
  <c r="E35" i="4" a="1"/>
  <c r="E35" i="4" s="1"/>
  <c r="E13" i="4" a="1"/>
  <c r="E13" i="4" s="1"/>
  <c r="E246" i="4" a="1"/>
  <c r="E246" i="4" s="1"/>
  <c r="E209" i="4" a="1"/>
  <c r="E209" i="4" s="1"/>
  <c r="E172" i="4" a="1"/>
  <c r="E172" i="4" s="1"/>
  <c r="E160" i="4" a="1"/>
  <c r="E160" i="4" s="1"/>
  <c r="E135" i="4" a="1"/>
  <c r="E135" i="4" s="1"/>
  <c r="E123" i="4" a="1"/>
  <c r="E123" i="4" s="1"/>
  <c r="E111" i="4" a="1"/>
  <c r="E111" i="4" s="1"/>
  <c r="E99" i="4" a="1"/>
  <c r="E99" i="4" s="1"/>
  <c r="E88" i="4" a="1"/>
  <c r="E88" i="4" s="1"/>
  <c r="E66" i="4" a="1"/>
  <c r="E66" i="4" s="1"/>
  <c r="E56" i="4" a="1"/>
  <c r="E56" i="4" s="1"/>
  <c r="E34" i="4" a="1"/>
  <c r="E34" i="4" s="1"/>
  <c r="E23" i="4" a="1"/>
  <c r="E23" i="4" s="1"/>
  <c r="E12" i="4" a="1"/>
  <c r="E12" i="4" s="1"/>
  <c r="E233" i="4" a="1"/>
  <c r="E233" i="4" s="1"/>
  <c r="E221" i="4" a="1"/>
  <c r="E221" i="4" s="1"/>
  <c r="E184" i="4" a="1"/>
  <c r="E184" i="4" s="1"/>
  <c r="D231" i="4"/>
  <c r="E245" i="4" a="1"/>
  <c r="E245" i="4" s="1"/>
  <c r="E232" i="4" a="1"/>
  <c r="E232" i="4" s="1"/>
  <c r="E220" i="4" a="1"/>
  <c r="E220" i="4" s="1"/>
  <c r="E208" i="4" a="1"/>
  <c r="E208" i="4" s="1"/>
  <c r="E196" i="4" a="1"/>
  <c r="E196" i="4" s="1"/>
  <c r="E183" i="4" a="1"/>
  <c r="E183" i="4" s="1"/>
  <c r="E171" i="4" a="1"/>
  <c r="E171" i="4" s="1"/>
  <c r="E159" i="4" a="1"/>
  <c r="E159" i="4" s="1"/>
  <c r="E147" i="4" a="1"/>
  <c r="E147" i="4" s="1"/>
  <c r="E134" i="4" a="1"/>
  <c r="E134" i="4" s="1"/>
  <c r="E122" i="4" a="1"/>
  <c r="E122" i="4" s="1"/>
  <c r="E110" i="4" a="1"/>
  <c r="E110" i="4" s="1"/>
  <c r="E87" i="4" a="1"/>
  <c r="E87" i="4" s="1"/>
  <c r="E77" i="4" a="1"/>
  <c r="E77" i="4" s="1"/>
  <c r="E55" i="4" a="1"/>
  <c r="E55" i="4" s="1"/>
  <c r="E44" i="4" a="1"/>
  <c r="E44" i="4" s="1"/>
  <c r="E33" i="4" a="1"/>
  <c r="E33" i="4" s="1"/>
  <c r="E22" i="4" a="1"/>
  <c r="E22" i="4" s="1"/>
  <c r="E11" i="4" a="1"/>
  <c r="E11" i="4" s="1"/>
  <c r="E109" i="4" a="1"/>
  <c r="E109" i="4" s="1"/>
  <c r="E98" i="4" a="1"/>
  <c r="E98" i="4" s="1"/>
  <c r="E243" i="4" a="1"/>
  <c r="E243" i="4" s="1"/>
  <c r="E231" i="4" a="1"/>
  <c r="E231" i="4" s="1"/>
  <c r="E218" i="4" a="1"/>
  <c r="E218" i="4" s="1"/>
  <c r="E206" i="4" a="1"/>
  <c r="E206" i="4" s="1"/>
  <c r="E194" i="4" a="1"/>
  <c r="E194" i="4" s="1"/>
  <c r="E182" i="4" a="1"/>
  <c r="E182" i="4" s="1"/>
  <c r="E169" i="4" a="1"/>
  <c r="E169" i="4" s="1"/>
  <c r="E157" i="4" a="1"/>
  <c r="E157" i="4" s="1"/>
  <c r="E145" i="4" a="1"/>
  <c r="E145" i="4" s="1"/>
  <c r="E133" i="4" a="1"/>
  <c r="E133" i="4" s="1"/>
  <c r="E120" i="4" a="1"/>
  <c r="E120" i="4" s="1"/>
  <c r="E108" i="4" a="1"/>
  <c r="E108" i="4" s="1"/>
  <c r="E97" i="4" a="1"/>
  <c r="E97" i="4" s="1"/>
  <c r="E86" i="4" a="1"/>
  <c r="E86" i="4" s="1"/>
  <c r="E75" i="4" a="1"/>
  <c r="E75" i="4" s="1"/>
  <c r="E64" i="4" a="1"/>
  <c r="E64" i="4" s="1"/>
  <c r="E53" i="4" a="1"/>
  <c r="E53" i="4" s="1"/>
  <c r="E31" i="4" a="1"/>
  <c r="E31" i="4" s="1"/>
  <c r="E21" i="4" a="1"/>
  <c r="E21" i="4" s="1"/>
  <c r="E242" i="4" a="1"/>
  <c r="E242" i="4" s="1"/>
  <c r="E230" i="4" a="1"/>
  <c r="E230" i="4" s="1"/>
  <c r="E205" i="4" a="1"/>
  <c r="E205" i="4" s="1"/>
  <c r="E193" i="4" a="1"/>
  <c r="E193" i="4" s="1"/>
  <c r="E181" i="4" a="1"/>
  <c r="E181" i="4" s="1"/>
  <c r="E156" i="4" a="1"/>
  <c r="E156" i="4" s="1"/>
  <c r="E144" i="4" a="1"/>
  <c r="E144" i="4" s="1"/>
  <c r="E132" i="4" a="1"/>
  <c r="E132" i="4" s="1"/>
  <c r="E107" i="4" a="1"/>
  <c r="E107" i="4" s="1"/>
  <c r="E96" i="4" a="1"/>
  <c r="E96" i="4" s="1"/>
  <c r="E85" i="4" a="1"/>
  <c r="E85" i="4" s="1"/>
  <c r="E74" i="4" a="1"/>
  <c r="E74" i="4" s="1"/>
  <c r="E52" i="4" a="1"/>
  <c r="E52" i="4" s="1"/>
  <c r="E42" i="4" a="1"/>
  <c r="E42" i="4" s="1"/>
  <c r="E20" i="4" a="1"/>
  <c r="E20" i="4" s="1"/>
  <c r="E9" i="4" a="1"/>
  <c r="E9" i="4" s="1"/>
  <c r="E146" i="4" a="1"/>
  <c r="E146" i="4" s="1"/>
  <c r="E10" i="4" a="1"/>
  <c r="E10" i="4" s="1"/>
  <c r="E217" i="4" a="1"/>
  <c r="E217" i="4" s="1"/>
  <c r="E143" i="4" a="1"/>
  <c r="E143" i="4" s="1"/>
  <c r="E63" i="4" a="1"/>
  <c r="E63" i="4" s="1"/>
  <c r="E228" i="4" a="1"/>
  <c r="E228" i="4" s="1"/>
  <c r="E195" i="4" a="1"/>
  <c r="E195" i="4" s="1"/>
  <c r="E54" i="4" a="1"/>
  <c r="E54" i="4" s="1"/>
  <c r="E204" i="4" a="1"/>
  <c r="E204" i="4" s="1"/>
  <c r="E131" i="4" a="1"/>
  <c r="E131" i="4" s="1"/>
  <c r="E30" i="4" a="1"/>
  <c r="E30" i="4" s="1"/>
  <c r="E167" i="4" a="1"/>
  <c r="E167" i="4" s="1"/>
  <c r="E118" i="4" a="1"/>
  <c r="E118" i="4" s="1"/>
  <c r="E51" i="4" a="1"/>
  <c r="E51" i="4" s="1"/>
  <c r="E203" i="4" a="1"/>
  <c r="E203" i="4" s="1"/>
  <c r="E141" i="4" a="1"/>
  <c r="E141" i="4" s="1"/>
  <c r="E61" i="4" a="1"/>
  <c r="E61" i="4" s="1"/>
  <c r="E170" i="4" a="1"/>
  <c r="E170" i="4" s="1"/>
  <c r="E65" i="4" a="1"/>
  <c r="E65" i="4" s="1"/>
  <c r="E192" i="4" a="1"/>
  <c r="E192" i="4" s="1"/>
  <c r="E106" i="4" a="1"/>
  <c r="E106" i="4" s="1"/>
  <c r="E8" i="4" a="1"/>
  <c r="E8" i="4" s="1"/>
  <c r="E216" i="4" a="1"/>
  <c r="E216" i="4" s="1"/>
  <c r="E94" i="4" a="1"/>
  <c r="E94" i="4" s="1"/>
  <c r="E40" i="4" a="1"/>
  <c r="E40" i="4" s="1"/>
  <c r="E227" i="4" a="1"/>
  <c r="E227" i="4" s="1"/>
  <c r="E166" i="4" a="1"/>
  <c r="E166" i="4" s="1"/>
  <c r="E105" i="4" a="1"/>
  <c r="E105" i="4" s="1"/>
  <c r="E39" i="4" a="1"/>
  <c r="E39" i="4" s="1"/>
  <c r="E17" i="4" a="1"/>
  <c r="E17" i="4" s="1"/>
  <c r="E7" i="4" a="1"/>
  <c r="E7" i="4" s="1"/>
  <c r="E226" i="4" a="1"/>
  <c r="E226" i="4" s="1"/>
  <c r="E214" i="4" a="1"/>
  <c r="E214" i="4" s="1"/>
  <c r="E202" i="4" a="1"/>
  <c r="E202" i="4" s="1"/>
  <c r="E177" i="4" a="1"/>
  <c r="E177" i="4" s="1"/>
  <c r="E165" i="4" a="1"/>
  <c r="E165" i="4" s="1"/>
  <c r="E153" i="4" a="1"/>
  <c r="E153" i="4" s="1"/>
  <c r="E128" i="4" a="1"/>
  <c r="E128" i="4" s="1"/>
  <c r="E116" i="4" a="1"/>
  <c r="E116" i="4" s="1"/>
  <c r="E104" i="4" a="1"/>
  <c r="E104" i="4" s="1"/>
  <c r="E93" i="4" a="1"/>
  <c r="E93" i="4" s="1"/>
  <c r="E82" i="4" a="1"/>
  <c r="E82" i="4" s="1"/>
  <c r="E71" i="4" a="1"/>
  <c r="E71" i="4" s="1"/>
  <c r="E60" i="4" a="1"/>
  <c r="E60" i="4" s="1"/>
  <c r="E38" i="4" a="1"/>
  <c r="E38" i="4" s="1"/>
  <c r="E28" i="4" a="1"/>
  <c r="E28" i="4" s="1"/>
  <c r="E6" i="4" a="1"/>
  <c r="E6" i="4" s="1"/>
  <c r="E158" i="4" a="1"/>
  <c r="E158" i="4" s="1"/>
  <c r="E32" i="4" a="1"/>
  <c r="E32" i="4" s="1"/>
  <c r="E180" i="4" a="1"/>
  <c r="E180" i="4" s="1"/>
  <c r="E119" i="4" a="1"/>
  <c r="E119" i="4" s="1"/>
  <c r="E19" i="4" a="1"/>
  <c r="E19" i="4" s="1"/>
  <c r="E142" i="4" a="1"/>
  <c r="E142" i="4" s="1"/>
  <c r="E62" i="4" a="1"/>
  <c r="E62" i="4" s="1"/>
  <c r="E29" i="4" a="1"/>
  <c r="E29" i="4" s="1"/>
  <c r="E239" i="4" a="1"/>
  <c r="E239" i="4" s="1"/>
  <c r="E190" i="4" a="1"/>
  <c r="E190" i="4" s="1"/>
  <c r="E154" i="4" a="1"/>
  <c r="E154" i="4" s="1"/>
  <c r="E129" i="4" a="1"/>
  <c r="E129" i="4" s="1"/>
  <c r="E83" i="4" a="1"/>
  <c r="E83" i="4" s="1"/>
  <c r="E50" i="4" a="1"/>
  <c r="E50" i="4" s="1"/>
  <c r="E238" i="4" a="1"/>
  <c r="E238" i="4" s="1"/>
  <c r="E225" i="4" a="1"/>
  <c r="E225" i="4" s="1"/>
  <c r="E213" i="4" a="1"/>
  <c r="E213" i="4" s="1"/>
  <c r="E201" i="4" a="1"/>
  <c r="E201" i="4" s="1"/>
  <c r="E189" i="4" a="1"/>
  <c r="E189" i="4" s="1"/>
  <c r="E176" i="4" a="1"/>
  <c r="E176" i="4" s="1"/>
  <c r="E164" i="4" a="1"/>
  <c r="E164" i="4" s="1"/>
  <c r="E152" i="4" a="1"/>
  <c r="E152" i="4" s="1"/>
  <c r="E140" i="4" a="1"/>
  <c r="E140" i="4" s="1"/>
  <c r="E127" i="4" a="1"/>
  <c r="E127" i="4" s="1"/>
  <c r="E115" i="4" a="1"/>
  <c r="E115" i="4" s="1"/>
  <c r="E103" i="4" a="1"/>
  <c r="E103" i="4" s="1"/>
  <c r="E92" i="4" a="1"/>
  <c r="E92" i="4" s="1"/>
  <c r="E81" i="4" a="1"/>
  <c r="E81" i="4" s="1"/>
  <c r="E59" i="4" a="1"/>
  <c r="E59" i="4" s="1"/>
  <c r="E49" i="4" a="1"/>
  <c r="E49" i="4" s="1"/>
  <c r="E27" i="4" a="1"/>
  <c r="E27" i="4" s="1"/>
  <c r="E16" i="4" a="1"/>
  <c r="E16" i="4" s="1"/>
  <c r="E5" i="4" a="1"/>
  <c r="E5" i="4" s="1"/>
  <c r="E121" i="4" a="1"/>
  <c r="E121" i="4" s="1"/>
  <c r="E76" i="4" a="1"/>
  <c r="E76" i="4" s="1"/>
  <c r="E241" i="4" a="1"/>
  <c r="E241" i="4" s="1"/>
  <c r="E168" i="4" a="1"/>
  <c r="E168" i="4" s="1"/>
  <c r="E95" i="4" a="1"/>
  <c r="E95" i="4" s="1"/>
  <c r="E41" i="4" a="1"/>
  <c r="E41" i="4" s="1"/>
  <c r="E240" i="4" a="1"/>
  <c r="E240" i="4" s="1"/>
  <c r="E191" i="4" a="1"/>
  <c r="E191" i="4" s="1"/>
  <c r="E130" i="4" a="1"/>
  <c r="E130" i="4" s="1"/>
  <c r="E84" i="4" a="1"/>
  <c r="E84" i="4" s="1"/>
  <c r="E18" i="4" a="1"/>
  <c r="E18" i="4" s="1"/>
  <c r="E215" i="4" a="1"/>
  <c r="E215" i="4" s="1"/>
  <c r="E178" i="4" a="1"/>
  <c r="E178" i="4" s="1"/>
  <c r="E117" i="4" a="1"/>
  <c r="E117" i="4" s="1"/>
  <c r="E72" i="4" a="1"/>
  <c r="E72" i="4" s="1"/>
  <c r="D205" i="4"/>
  <c r="E237" i="4" a="1"/>
  <c r="E237" i="4" s="1"/>
  <c r="E212" i="4" a="1"/>
  <c r="E212" i="4" s="1"/>
  <c r="E200" i="4" a="1"/>
  <c r="E200" i="4" s="1"/>
  <c r="E188" i="4" a="1"/>
  <c r="E188" i="4" s="1"/>
  <c r="E163" i="4" a="1"/>
  <c r="E163" i="4" s="1"/>
  <c r="E151" i="4" a="1"/>
  <c r="E151" i="4" s="1"/>
  <c r="E139" i="4" a="1"/>
  <c r="E139" i="4" s="1"/>
  <c r="E114" i="4" a="1"/>
  <c r="E114" i="4" s="1"/>
  <c r="E102" i="4" a="1"/>
  <c r="E102" i="4" s="1"/>
  <c r="E80" i="4" a="1"/>
  <c r="E80" i="4" s="1"/>
  <c r="E70" i="4" a="1"/>
  <c r="E70" i="4" s="1"/>
  <c r="E48" i="4" a="1"/>
  <c r="E48" i="4" s="1"/>
  <c r="E37" i="4" a="1"/>
  <c r="E37" i="4" s="1"/>
  <c r="E26" i="4" a="1"/>
  <c r="E26" i="4" s="1"/>
  <c r="E15" i="4" a="1"/>
  <c r="E15" i="4" s="1"/>
  <c r="E4" i="4" a="1"/>
  <c r="E4" i="4" s="1"/>
  <c r="E229" i="4" a="1"/>
  <c r="E229" i="4" s="1"/>
  <c r="E155" i="4" a="1"/>
  <c r="E155" i="4" s="1"/>
  <c r="E236" i="4" a="1"/>
  <c r="E236" i="4" s="1"/>
  <c r="E224" i="4" a="1"/>
  <c r="E224" i="4" s="1"/>
  <c r="E211" i="4" a="1"/>
  <c r="E211" i="4" s="1"/>
  <c r="E187" i="4" a="1"/>
  <c r="E187" i="4" s="1"/>
  <c r="E175" i="4" a="1"/>
  <c r="E175" i="4" s="1"/>
  <c r="E162" i="4" a="1"/>
  <c r="E162" i="4" s="1"/>
  <c r="E150" i="4" a="1"/>
  <c r="E150" i="4" s="1"/>
  <c r="E138" i="4" a="1"/>
  <c r="E138" i="4" s="1"/>
  <c r="E126" i="4" a="1"/>
  <c r="E126" i="4" s="1"/>
  <c r="E113" i="4" a="1"/>
  <c r="E113" i="4" s="1"/>
  <c r="E101" i="4" a="1"/>
  <c r="E101" i="4" s="1"/>
  <c r="E91" i="4" a="1"/>
  <c r="E91" i="4" s="1"/>
  <c r="E69" i="4" a="1"/>
  <c r="E69" i="4" s="1"/>
  <c r="E58" i="4" a="1"/>
  <c r="E58" i="4" s="1"/>
  <c r="E47" i="4" a="1"/>
  <c r="E47" i="4" s="1"/>
  <c r="E36" i="4" a="1"/>
  <c r="E36" i="4" s="1"/>
  <c r="E25" i="4" a="1"/>
  <c r="E25" i="4" s="1"/>
  <c r="D238" i="4"/>
  <c r="D191" i="4"/>
  <c r="F174" i="4"/>
  <c r="G174" i="4" s="1"/>
  <c r="F111" i="4"/>
  <c r="G111" i="4" s="1"/>
  <c r="D103" i="4"/>
  <c r="D117" i="4"/>
  <c r="D131" i="4"/>
  <c r="D145" i="4"/>
  <c r="F140" i="4"/>
  <c r="G140" i="4" s="1"/>
  <c r="D104" i="4"/>
  <c r="D118" i="4"/>
  <c r="D132" i="4"/>
  <c r="D146" i="4"/>
  <c r="F128" i="4"/>
  <c r="G128" i="4" s="1"/>
  <c r="F144" i="4"/>
  <c r="G144" i="4" s="1"/>
  <c r="D110" i="4"/>
  <c r="D126" i="4"/>
  <c r="D142" i="4"/>
  <c r="F129" i="4"/>
  <c r="G129" i="4" s="1"/>
  <c r="F145" i="4"/>
  <c r="G145" i="4" s="1"/>
  <c r="D111" i="4"/>
  <c r="D127" i="4"/>
  <c r="D143" i="4"/>
  <c r="F130" i="4"/>
  <c r="G130" i="4" s="1"/>
  <c r="D112" i="4"/>
  <c r="D128" i="4"/>
  <c r="D144" i="4"/>
  <c r="F115" i="4"/>
  <c r="G115" i="4" s="1"/>
  <c r="D113" i="4"/>
  <c r="D129" i="4"/>
  <c r="D147" i="4"/>
  <c r="F148" i="4"/>
  <c r="G148" i="4" s="1"/>
  <c r="D114" i="4"/>
  <c r="D130" i="4"/>
  <c r="D148" i="4"/>
  <c r="D115" i="4"/>
  <c r="F150" i="4"/>
  <c r="G150" i="4" s="1"/>
  <c r="D116" i="4"/>
  <c r="D134" i="4"/>
  <c r="D150" i="4"/>
  <c r="F151" i="4"/>
  <c r="G151" i="4" s="1"/>
  <c r="D119" i="4"/>
  <c r="D135" i="4"/>
  <c r="D151" i="4"/>
  <c r="D120" i="4"/>
  <c r="D136" i="4"/>
  <c r="D152" i="4"/>
  <c r="F105" i="4"/>
  <c r="G105" i="4" s="1"/>
  <c r="F121" i="4"/>
  <c r="G121" i="4" s="1"/>
  <c r="D105" i="4"/>
  <c r="D121" i="4"/>
  <c r="D137" i="4"/>
  <c r="F122" i="4"/>
  <c r="G122" i="4" s="1"/>
  <c r="D106" i="4"/>
  <c r="D122" i="4"/>
  <c r="D138" i="4"/>
  <c r="D107" i="4"/>
  <c r="D123" i="4"/>
  <c r="D139" i="4"/>
  <c r="D124" i="4"/>
  <c r="D125" i="4"/>
  <c r="D133" i="4"/>
  <c r="D140" i="4"/>
  <c r="D141" i="4"/>
  <c r="D149" i="4"/>
  <c r="F109" i="4"/>
  <c r="G109" i="4" s="1"/>
  <c r="F124" i="4"/>
  <c r="G124" i="4" s="1"/>
  <c r="D108" i="4"/>
  <c r="D109" i="4"/>
  <c r="D237" i="4"/>
  <c r="D239" i="4"/>
  <c r="D247" i="4"/>
  <c r="F13" i="4"/>
  <c r="G13" i="4" s="1"/>
  <c r="F27" i="4"/>
  <c r="G27" i="4" s="1"/>
  <c r="F41" i="4"/>
  <c r="G41" i="4" s="1"/>
  <c r="D5" i="4"/>
  <c r="D19" i="4"/>
  <c r="D33" i="4"/>
  <c r="D47" i="4"/>
  <c r="F14" i="4"/>
  <c r="G14" i="4" s="1"/>
  <c r="F28" i="4"/>
  <c r="G28" i="4" s="1"/>
  <c r="D6" i="4"/>
  <c r="D20" i="4"/>
  <c r="D34" i="4"/>
  <c r="D48" i="4"/>
  <c r="F45" i="4"/>
  <c r="G45" i="4" s="1"/>
  <c r="D12" i="4"/>
  <c r="D28" i="4"/>
  <c r="D44" i="4"/>
  <c r="D13" i="4"/>
  <c r="D29" i="4"/>
  <c r="D45" i="4"/>
  <c r="F30" i="4"/>
  <c r="G30" i="4" s="1"/>
  <c r="D14" i="4"/>
  <c r="D30" i="4"/>
  <c r="D46" i="4"/>
  <c r="F12" i="4"/>
  <c r="G12" i="4" s="1"/>
  <c r="D15" i="4"/>
  <c r="D31" i="4"/>
  <c r="D49" i="4"/>
  <c r="F15" i="4"/>
  <c r="G15" i="4" s="1"/>
  <c r="D16" i="4"/>
  <c r="D32" i="4"/>
  <c r="D50" i="4"/>
  <c r="F16" i="4"/>
  <c r="G16" i="4" s="1"/>
  <c r="F33" i="4"/>
  <c r="G33" i="4" s="1"/>
  <c r="D17" i="4"/>
  <c r="D35" i="4"/>
  <c r="D51" i="4"/>
  <c r="D18" i="4"/>
  <c r="D36" i="4"/>
  <c r="D52" i="4"/>
  <c r="D3" i="4"/>
  <c r="D21" i="4"/>
  <c r="D37" i="4"/>
  <c r="D4" i="4"/>
  <c r="D22" i="4"/>
  <c r="D38" i="4"/>
  <c r="F20" i="4"/>
  <c r="G20" i="4" s="1"/>
  <c r="D7" i="4"/>
  <c r="D23" i="4"/>
  <c r="D39" i="4"/>
  <c r="F21" i="4"/>
  <c r="G21" i="4" s="1"/>
  <c r="D8" i="4"/>
  <c r="D24" i="4"/>
  <c r="D40" i="4"/>
  <c r="F40" i="4"/>
  <c r="G40" i="4" s="1"/>
  <c r="D9" i="4"/>
  <c r="D25" i="4"/>
  <c r="D41" i="4"/>
  <c r="D178" i="4"/>
  <c r="D194" i="4"/>
  <c r="D179" i="4"/>
  <c r="D195" i="4"/>
  <c r="F180" i="4"/>
  <c r="G180" i="4" s="1"/>
  <c r="D180" i="4"/>
  <c r="D196" i="4"/>
  <c r="D183" i="4"/>
  <c r="D199" i="4"/>
  <c r="F186" i="4"/>
  <c r="G186" i="4" s="1"/>
  <c r="D184" i="4"/>
  <c r="D200" i="4"/>
  <c r="D185" i="4"/>
  <c r="D189" i="4"/>
  <c r="D190" i="4"/>
  <c r="D181" i="4"/>
  <c r="D93" i="4"/>
  <c r="D175" i="4"/>
  <c r="D92" i="4"/>
  <c r="D172" i="4"/>
  <c r="D77" i="4"/>
  <c r="D165" i="4"/>
  <c r="D74" i="4"/>
  <c r="F206" i="4"/>
  <c r="G206" i="4" s="1"/>
  <c r="F237" i="4"/>
  <c r="G237" i="4" s="1"/>
  <c r="D229" i="4"/>
  <c r="D243" i="4"/>
  <c r="D230" i="4"/>
  <c r="D244" i="4"/>
  <c r="F226" i="4"/>
  <c r="G226" i="4" s="1"/>
  <c r="D240" i="4"/>
  <c r="F243" i="4"/>
  <c r="G243" i="4" s="1"/>
  <c r="D225" i="4"/>
  <c r="D241" i="4"/>
  <c r="D226" i="4"/>
  <c r="D242" i="4"/>
  <c r="F229" i="4"/>
  <c r="G229" i="4" s="1"/>
  <c r="D227" i="4"/>
  <c r="D245" i="4"/>
  <c r="D228" i="4"/>
  <c r="D246" i="4"/>
  <c r="D232" i="4"/>
  <c r="D248" i="4"/>
  <c r="D233" i="4"/>
  <c r="F234" i="4"/>
  <c r="G234" i="4" s="1"/>
  <c r="D234" i="4"/>
  <c r="D235" i="4"/>
  <c r="D236" i="4"/>
  <c r="F239" i="4"/>
  <c r="G239" i="4" s="1"/>
  <c r="D223" i="4"/>
  <c r="D157" i="4"/>
  <c r="D59" i="4"/>
  <c r="D222" i="4"/>
  <c r="D58" i="4"/>
  <c r="D201" i="4"/>
  <c r="D215" i="4"/>
  <c r="F224" i="4"/>
  <c r="G224" i="4" s="1"/>
  <c r="D202" i="4"/>
  <c r="D216" i="4"/>
  <c r="D208" i="4"/>
  <c r="D224" i="4"/>
  <c r="D209" i="4"/>
  <c r="D210" i="4"/>
  <c r="D211" i="4"/>
  <c r="D212" i="4"/>
  <c r="D214" i="4"/>
  <c r="D217" i="4"/>
  <c r="D218" i="4"/>
  <c r="F219" i="4"/>
  <c r="G219" i="4" s="1"/>
  <c r="D203" i="4"/>
  <c r="D219" i="4"/>
  <c r="D204" i="4"/>
  <c r="D220" i="4"/>
  <c r="D221" i="4"/>
  <c r="D43" i="4"/>
  <c r="F175" i="4"/>
  <c r="G175" i="4" s="1"/>
  <c r="D213" i="4"/>
  <c r="D42" i="4"/>
  <c r="D159" i="4"/>
  <c r="D173" i="4"/>
  <c r="D160" i="4"/>
  <c r="D174" i="4"/>
  <c r="D158" i="4"/>
  <c r="D176" i="4"/>
  <c r="D161" i="4"/>
  <c r="F162" i="4"/>
  <c r="G162" i="4" s="1"/>
  <c r="D162" i="4"/>
  <c r="D163" i="4"/>
  <c r="D164" i="4"/>
  <c r="F165" i="4"/>
  <c r="G165" i="4" s="1"/>
  <c r="D166" i="4"/>
  <c r="D167" i="4"/>
  <c r="D168" i="4"/>
  <c r="F171" i="4"/>
  <c r="G171" i="4" s="1"/>
  <c r="D153" i="4"/>
  <c r="D169" i="4"/>
  <c r="F172" i="4"/>
  <c r="G172" i="4" s="1"/>
  <c r="D154" i="4"/>
  <c r="D170" i="4"/>
  <c r="D155" i="4"/>
  <c r="D171" i="4"/>
  <c r="D207" i="4"/>
  <c r="D27" i="4"/>
  <c r="F44" i="4"/>
  <c r="G44" i="4" s="1"/>
  <c r="D182" i="4"/>
  <c r="D206" i="4"/>
  <c r="D26" i="4"/>
  <c r="F43" i="4"/>
  <c r="G43" i="4" s="1"/>
  <c r="D11" i="4"/>
  <c r="F25" i="4"/>
  <c r="G25" i="4" s="1"/>
  <c r="F83" i="4"/>
  <c r="G83" i="4" s="1"/>
  <c r="F97" i="4"/>
  <c r="G97" i="4" s="1"/>
  <c r="D61" i="4"/>
  <c r="D75" i="4"/>
  <c r="D89" i="4"/>
  <c r="D62" i="4"/>
  <c r="D76" i="4"/>
  <c r="D90" i="4"/>
  <c r="F78" i="4"/>
  <c r="G78" i="4" s="1"/>
  <c r="D60" i="4"/>
  <c r="D78" i="4"/>
  <c r="D94" i="4"/>
  <c r="D63" i="4"/>
  <c r="D79" i="4"/>
  <c r="D95" i="4"/>
  <c r="F80" i="4"/>
  <c r="G80" i="4" s="1"/>
  <c r="D64" i="4"/>
  <c r="D80" i="4"/>
  <c r="D96" i="4"/>
  <c r="F65" i="4"/>
  <c r="G65" i="4" s="1"/>
  <c r="F81" i="4"/>
  <c r="G81" i="4" s="1"/>
  <c r="D65" i="4"/>
  <c r="D81" i="4"/>
  <c r="D97" i="4"/>
  <c r="F66" i="4"/>
  <c r="G66" i="4" s="1"/>
  <c r="F82" i="4"/>
  <c r="G82" i="4" s="1"/>
  <c r="D66" i="4"/>
  <c r="D82" i="4"/>
  <c r="D98" i="4"/>
  <c r="D67" i="4"/>
  <c r="D83" i="4"/>
  <c r="D99" i="4"/>
  <c r="D68" i="4"/>
  <c r="D84" i="4"/>
  <c r="D100" i="4"/>
  <c r="F87" i="4"/>
  <c r="G87" i="4" s="1"/>
  <c r="D53" i="4"/>
  <c r="D69" i="4"/>
  <c r="D85" i="4"/>
  <c r="D101" i="4"/>
  <c r="F72" i="4"/>
  <c r="G72" i="4" s="1"/>
  <c r="D54" i="4"/>
  <c r="D70" i="4"/>
  <c r="D86" i="4"/>
  <c r="D102" i="4"/>
  <c r="F89" i="4"/>
  <c r="G89" i="4" s="1"/>
  <c r="D55" i="4"/>
  <c r="D71" i="4"/>
  <c r="D87" i="4"/>
  <c r="D56" i="4"/>
  <c r="D72" i="4"/>
  <c r="D88" i="4"/>
  <c r="F75" i="4"/>
  <c r="G75" i="4" s="1"/>
  <c r="D57" i="4"/>
  <c r="D73" i="4"/>
  <c r="D91" i="4"/>
  <c r="D197" i="4"/>
  <c r="D10" i="4"/>
  <c r="D186" i="4"/>
  <c r="D198" i="4"/>
  <c r="D187" i="4"/>
  <c r="F182" i="4"/>
  <c r="G182" i="4" s="1"/>
  <c r="D188" i="4"/>
  <c r="D193" i="4"/>
  <c r="D177" i="4"/>
  <c r="F193" i="4"/>
  <c r="G193" i="4" s="1"/>
  <c r="D192" i="4"/>
  <c r="F177" i="4" l="1"/>
  <c r="G177" i="4" s="1"/>
  <c r="F209" i="4"/>
  <c r="G209" i="4" s="1"/>
  <c r="F190" i="4"/>
  <c r="G190" i="4" s="1"/>
  <c r="F170" i="4"/>
  <c r="G170" i="4" s="1"/>
  <c r="F199" i="4"/>
  <c r="G199" i="4" s="1"/>
  <c r="F233" i="4"/>
  <c r="G233" i="4" s="1"/>
  <c r="F246" i="4"/>
  <c r="G246" i="4" s="1"/>
  <c r="F8" i="4"/>
  <c r="G8" i="4" s="1"/>
  <c r="F169" i="4"/>
  <c r="G169" i="4" s="1"/>
  <c r="F238" i="4"/>
  <c r="G238" i="4" s="1"/>
  <c r="F127" i="4"/>
  <c r="G127" i="4" s="1"/>
  <c r="F17" i="4"/>
  <c r="G17" i="4" s="1"/>
  <c r="F119" i="4"/>
  <c r="G119" i="4" s="1"/>
  <c r="F70" i="4"/>
  <c r="G70" i="4" s="1"/>
  <c r="F240" i="4"/>
  <c r="G240" i="4" s="1"/>
  <c r="F160" i="4"/>
  <c r="G160" i="4" s="1"/>
  <c r="F222" i="4"/>
  <c r="G222" i="4" s="1"/>
  <c r="F158" i="4"/>
  <c r="G158" i="4" s="1"/>
  <c r="F189" i="4"/>
  <c r="G189" i="4" s="1"/>
  <c r="F154" i="4"/>
  <c r="G154" i="4" s="1"/>
  <c r="F7" i="4"/>
  <c r="G7" i="4" s="1"/>
  <c r="F213" i="4"/>
  <c r="G213" i="4" s="1"/>
  <c r="F125" i="4"/>
  <c r="G125" i="4" s="1"/>
  <c r="F155" i="4"/>
  <c r="G155" i="4" s="1"/>
  <c r="F23" i="4"/>
  <c r="G23" i="4" s="1"/>
  <c r="F200" i="4"/>
  <c r="G200" i="4" s="1"/>
  <c r="F201" i="4"/>
  <c r="G201" i="4" s="1"/>
  <c r="F225" i="4"/>
  <c r="G225" i="4" s="1"/>
  <c r="F247" i="4"/>
  <c r="G247" i="4" s="1"/>
  <c r="F161" i="4"/>
  <c r="G161" i="4" s="1"/>
  <c r="F197" i="4"/>
  <c r="G197" i="4" s="1"/>
  <c r="F173" i="4"/>
  <c r="G173" i="4" s="1"/>
  <c r="F95" i="4"/>
  <c r="G95" i="4" s="1"/>
  <c r="F120" i="4"/>
  <c r="G120" i="4" s="1"/>
  <c r="F35" i="4"/>
  <c r="G35" i="4" s="1"/>
  <c r="F73" i="4"/>
  <c r="G73" i="4" s="1"/>
  <c r="F217" i="4"/>
  <c r="G217" i="4" s="1"/>
  <c r="F67" i="4"/>
  <c r="G67" i="4" s="1"/>
  <c r="F194" i="4"/>
  <c r="G194" i="4" s="1"/>
  <c r="F176" i="4"/>
  <c r="G176" i="4" s="1"/>
  <c r="F245" i="4"/>
  <c r="G245" i="4" s="1"/>
  <c r="F52" i="4"/>
  <c r="G52" i="4" s="1"/>
  <c r="F99" i="4"/>
  <c r="G99" i="4" s="1"/>
  <c r="F153" i="4"/>
  <c r="G153" i="4" s="1"/>
  <c r="F167" i="4"/>
  <c r="G167" i="4" s="1"/>
  <c r="F212" i="4"/>
  <c r="G212" i="4" s="1"/>
  <c r="F187" i="4"/>
  <c r="G187" i="4" s="1"/>
  <c r="F106" i="4"/>
  <c r="G106" i="4" s="1"/>
  <c r="F248" i="4"/>
  <c r="G248" i="4" s="1"/>
  <c r="F92" i="4"/>
  <c r="G92" i="4" s="1"/>
  <c r="F183" i="4"/>
  <c r="G183" i="4" s="1"/>
  <c r="F230" i="4"/>
  <c r="G230" i="4" s="1"/>
  <c r="F202" i="4"/>
  <c r="G202" i="4" s="1"/>
  <c r="F211" i="4"/>
  <c r="G211" i="4" s="1"/>
  <c r="F103" i="4"/>
  <c r="G103" i="4" s="1"/>
  <c r="F232" i="4"/>
  <c r="G232" i="4" s="1"/>
  <c r="F208" i="4"/>
  <c r="G208" i="4" s="1"/>
  <c r="F156" i="4"/>
  <c r="G156" i="4" s="1"/>
  <c r="F152" i="4"/>
  <c r="G152" i="4" s="1"/>
  <c r="F19" i="4"/>
  <c r="G19" i="4" s="1"/>
  <c r="F166" i="4"/>
  <c r="G166" i="4" s="1"/>
  <c r="F179" i="4"/>
  <c r="G179" i="4" s="1"/>
  <c r="F227" i="4"/>
  <c r="G227" i="4" s="1"/>
  <c r="F74" i="4"/>
  <c r="G74" i="4" s="1"/>
  <c r="F69" i="4"/>
  <c r="G69" i="4" s="1"/>
  <c r="F102" i="4"/>
  <c r="G102" i="4" s="1"/>
  <c r="F205" i="4"/>
  <c r="G205" i="4" s="1"/>
  <c r="F163" i="4"/>
  <c r="G163" i="4" s="1"/>
  <c r="F57" i="4"/>
  <c r="G57" i="4" s="1"/>
  <c r="F60" i="4"/>
  <c r="G60" i="4" s="1"/>
  <c r="F108" i="4"/>
  <c r="G108" i="4" s="1"/>
  <c r="F231" i="4"/>
  <c r="G231" i="4" s="1"/>
  <c r="F6" i="4"/>
  <c r="G6" i="4" s="1"/>
  <c r="F203" i="4"/>
  <c r="G203" i="4" s="1"/>
  <c r="F218" i="4"/>
  <c r="G218" i="4" s="1"/>
  <c r="F241" i="4"/>
  <c r="G241" i="4" s="1"/>
  <c r="F204" i="4"/>
  <c r="G204" i="4" s="1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tc={5D51EA4E-006C-4F77-950E-027DDA7A71BB}</author>
  </authors>
  <commentList>
    <comment ref="I273" authorId="0" shapeId="0" xr:uid="{5D51EA4E-006C-4F77-950E-027DDA7A71BB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<sst xmlns="http://schemas.openxmlformats.org/spreadsheetml/2006/main" count="4690" uniqueCount="834">
  <si>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</si>
  <si>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</si>
  <si>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</si>
  <si>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</si>
  <si>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</si>
  <si>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</si>
  <si>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</si>
  <si>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تحت 11 - تحت 14</t>
  </si>
  <si>
    <t>مجموعة أبها</t>
  </si>
  <si>
    <t>مجموعة الأحساء</t>
  </si>
  <si>
    <t>مجموعة الباحة</t>
  </si>
  <si>
    <t>مجموعة الجوف</t>
  </si>
  <si>
    <t>مجموعة الحدود الشمالية</t>
  </si>
  <si>
    <t>مجموعة الخرج</t>
  </si>
  <si>
    <t>مجموعة الدوادمي</t>
  </si>
  <si>
    <t>مجموعة الرياض</t>
  </si>
  <si>
    <t>مجموعة الشرقية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</si>
  <si>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</si>
  <si>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</si>
  <si>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</si>
  <si>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</si>
  <si>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</si>
  <si>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</si>
  <si>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</si>
  <si>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</si>
  <si>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</si>
  <si>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</si>
  <si>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</si>
  <si>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</si>
  <si>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</si>
  <si>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</si>
  <si>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</si>
  <si>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</si>
  <si>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</si>
  <si>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</si>
  <si>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</si>
  <si>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</si>
  <si>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</si>
  <si>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</si>
  <si>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</si>
  <si>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</si>
  <si>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</si>
  <si>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</si>
  <si>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</si>
  <si>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مجموعة البكيرية</t>
  </si>
  <si>
    <t>عرعر</t>
  </si>
  <si>
    <t>مجموعة الخفجي</t>
  </si>
  <si>
    <t>الخفجي</t>
  </si>
  <si>
    <t>مجموعة الرس</t>
  </si>
  <si>
    <t>الرس</t>
  </si>
  <si>
    <t>مجموعة المزاحمية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</si>
  <si>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</si>
  <si>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</si>
  <si>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</si>
  <si>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</si>
  <si>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</si>
  <si>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</si>
  <si>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المجاردة</t>
  </si>
  <si>
    <t>مجموعة رابغ</t>
  </si>
  <si>
    <t>رابغ</t>
  </si>
  <si>
    <t>مجموعة النماص</t>
  </si>
  <si>
    <t>مجموعة بقيق</t>
  </si>
  <si>
    <t>بقيق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</si>
  <si>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</si>
  <si>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</si>
  <si>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</si>
  <si>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</si>
  <si>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</si>
  <si>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</si>
  <si>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مجموعة رجال ألمع</t>
  </si>
  <si>
    <t>رجال ألمع</t>
  </si>
  <si>
    <t>مجموعة رفحاء</t>
  </si>
  <si>
    <t>رفحاء</t>
  </si>
  <si>
    <t>مجموعة شرورة</t>
  </si>
  <si>
    <t>شرورة</t>
  </si>
  <si>
    <t>مجموعة شقراء</t>
  </si>
  <si>
    <t>شقراء</t>
  </si>
  <si>
    <t>مجموعة صامطة</t>
  </si>
  <si>
    <t>مجموعة طريف</t>
  </si>
  <si>
    <t>طريف</t>
  </si>
  <si>
    <t>مجموعة عفيف</t>
  </si>
  <si>
    <t>عفيف</t>
  </si>
  <si>
    <t>مجموعة عنيزة</t>
  </si>
  <si>
    <t>مجموعة فرسان</t>
  </si>
  <si>
    <t>فرسان</t>
  </si>
  <si>
    <t>مجموعة قلوة</t>
  </si>
  <si>
    <t>قلوة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</si>
  <si>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</si>
  <si>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</si>
  <si>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</si>
  <si>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</si>
  <si>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</si>
  <si>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</si>
  <si>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</si>
  <si>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</si>
  <si>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</si>
  <si>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</si>
  <si>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</si>
  <si>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</si>
  <si>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</si>
  <si>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</si>
  <si>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</si>
  <si>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أحد رفيدة</t>
  </si>
  <si>
    <t>المبرز</t>
  </si>
  <si>
    <t>العقيق</t>
  </si>
  <si>
    <t>المندق</t>
  </si>
  <si>
    <t>المخواة</t>
  </si>
  <si>
    <t>بلجرشي</t>
  </si>
  <si>
    <t>سكاكا</t>
  </si>
  <si>
    <t>دومة الجندل</t>
  </si>
  <si>
    <t>طبرجل</t>
  </si>
  <si>
    <t>الدلم</t>
  </si>
  <si>
    <t>حوطة بني تميم</t>
  </si>
  <si>
    <t>القويعية</t>
  </si>
  <si>
    <t>المزاحمية</t>
  </si>
  <si>
    <t>ضرما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</si>
  <si>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</si>
  <si>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</si>
  <si>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</si>
  <si>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</si>
  <si>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</si>
  <si>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</si>
  <si>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</si>
  <si>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</si>
  <si>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</si>
  <si>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الخبراء</t>
  </si>
  <si>
    <t>الأسياح</t>
  </si>
  <si>
    <t>صفوى</t>
  </si>
  <si>
    <t>الجارودية</t>
  </si>
  <si>
    <t>الجبيل</t>
  </si>
  <si>
    <t>رأس تنورة</t>
  </si>
  <si>
    <t>الغاط</t>
  </si>
  <si>
    <t>الدرب</t>
  </si>
  <si>
    <t>صبيا</t>
  </si>
  <si>
    <t>صامطة</t>
  </si>
  <si>
    <t>أحد المسارحة</t>
  </si>
  <si>
    <t>ضمد</t>
  </si>
  <si>
    <t>العيدابي</t>
  </si>
  <si>
    <t>حفر الباطن</t>
  </si>
  <si>
    <t>القيصومة</t>
  </si>
  <si>
    <t>المجاردة</t>
  </si>
  <si>
    <t>النماص</t>
  </si>
  <si>
    <t>تنومة</t>
  </si>
  <si>
    <t>بارق</t>
  </si>
  <si>
    <t>مكة المكرمة</t>
  </si>
  <si>
    <t>الجموم</t>
  </si>
  <si>
    <t>بحرة</t>
  </si>
  <si>
    <t>حبونا</t>
  </si>
  <si>
    <t>خباش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</si>
  <si>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</si>
  <si>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</si>
  <si>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</si>
  <si>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</si>
  <si>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</si>
  <si>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</si>
  <si>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</si>
  <si>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</si>
  <si>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</si>
  <si>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</si>
  <si>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</si>
  <si>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</si>
  <si>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</si>
  <si>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</si>
  <si>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</si>
  <si>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</si>
  <si>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</si>
  <si>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</si>
  <si>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</si>
  <si>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</si>
  <si>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</si>
  <si>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</si>
  <si>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</si>
  <si>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</si>
  <si>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</si>
  <si>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</si>
  <si>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</si>
  <si>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</si>
  <si>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</si>
  <si>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</si>
  <si>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</si>
  <si>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</si>
  <si>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</si>
  <si>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</si>
  <si>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</si>
  <si>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</si>
  <si>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</si>
  <si>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</si>
  <si>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</si>
  <si>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</si>
  <si>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</si>
  <si>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</si>
  <si>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</si>
  <si>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</si>
  <si>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</si>
  <si>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</si>
  <si>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</si>
  <si>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</si>
  <si>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</si>
  <si>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ربوع العين</t>
  </si>
  <si>
    <t>جارالله حسين المتعاني</t>
  </si>
  <si>
    <t>ملعب الشهداء</t>
  </si>
  <si>
    <t>الخالدي</t>
  </si>
  <si>
    <t>سمير شعبان المعلم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</si>
  <si>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</si>
  <si>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</si>
  <si>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</si>
  <si>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</si>
  <si>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</si>
  <si>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</si>
  <si>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</si>
  <si>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</si>
  <si>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</si>
  <si>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</si>
  <si>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</si>
  <si>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</si>
  <si>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</si>
  <si>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</si>
  <si>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</si>
  <si>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</si>
  <si>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</si>
  <si>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</si>
  <si>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</si>
  <si>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</si>
  <si>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</si>
  <si>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الشمال</t>
  </si>
  <si>
    <t>ممدوح زاكي العنزي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</si>
  <si>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</si>
  <si>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</si>
  <si>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</si>
  <si>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</si>
  <si>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</si>
  <si>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</si>
  <si>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</si>
  <si>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</si>
  <si>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</si>
  <si>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</si>
  <si>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</si>
  <si>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</si>
  <si>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</si>
  <si>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</si>
  <si>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سعيد عبدالله عسيري</t>
  </si>
  <si>
    <t>نجوم المتنافسين</t>
  </si>
  <si>
    <t>عمر طويرش الشمري</t>
  </si>
  <si>
    <t>التضمان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</si>
  <si>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</si>
  <si>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</si>
  <si>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</si>
  <si>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</si>
  <si>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</si>
  <si>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</si>
  <si>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</si>
  <si>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</si>
  <si>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</si>
  <si>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</si>
  <si>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</si>
  <si>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</si>
  <si>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</si>
  <si>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</si>
  <si>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</si>
  <si>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</si>
  <si>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</si>
  <si>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</si>
  <si>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</si>
  <si>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</si>
  <si>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</si>
  <si>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</si>
  <si>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</si>
  <si>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ألمع</t>
  </si>
  <si>
    <t>عبداللطيف محمد عسيري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</si>
  <si>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</si>
  <si>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</si>
  <si>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</si>
  <si>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</si>
  <si>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</si>
  <si>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</si>
  <si>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</si>
  <si>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</si>
  <si>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</si>
  <si>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</si>
  <si>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</si>
  <si>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</si>
  <si>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</si>
  <si>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</si>
  <si>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</si>
  <si>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</si>
  <si>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</si>
  <si>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</si>
  <si>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</si>
  <si>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</si>
  <si>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</si>
  <si>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</si>
  <si>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</si>
  <si>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</si>
  <si>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</si>
  <si>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</si>
  <si>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</si>
  <si>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يوفنتوس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</si>
  <si>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</si>
  <si>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</si>
  <si>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</si>
  <si>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</si>
  <si>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</si>
  <si>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</si>
  <si>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</si>
  <si>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</si>
  <si>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</si>
  <si>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</si>
  <si>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</si>
  <si>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</si>
  <si>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</si>
  <si>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</si>
  <si>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</si>
  <si>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طارق شوشة 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</si>
  <si>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</si>
  <si>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</si>
  <si>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</si>
  <si>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</si>
  <si>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</si>
  <si>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</si>
  <si>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</si>
  <si>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</si>
  <si>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 xml:space="preserve">مهد جدة 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</si>
  <si>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</si>
  <si>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</si>
  <si>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</si>
  <si>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</si>
  <si>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</si>
  <si>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</si>
  <si>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</si>
  <si>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</si>
  <si>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</si>
  <si>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</si>
  <si>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</si>
  <si>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</si>
  <si>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</si>
  <si>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</si>
  <si>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</si>
  <si>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</si>
  <si>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</si>
  <si>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</si>
  <si>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</si>
  <si>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</si>
  <si>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</si>
  <si>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</si>
  <si>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</si>
  <si>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</si>
  <si>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</si>
  <si>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</si>
  <si>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NEXT GOAL</t>
  </si>
  <si>
    <t>عبدالله حامد الاحمدي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</si>
  <si>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</si>
  <si>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</si>
  <si>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</si>
  <si>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</si>
  <si>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</si>
  <si>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</si>
  <si>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</si>
  <si>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</si>
  <si>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</si>
  <si>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</si>
  <si>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</si>
  <si>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</si>
  <si>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</si>
  <si>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</si>
  <si>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</si>
  <si>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</si>
  <si>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</si>
  <si>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</si>
  <si>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</si>
  <si>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</si>
  <si>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</si>
  <si>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</si>
  <si>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</si>
  <si>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</si>
  <si>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</si>
  <si>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</si>
  <si>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</si>
  <si>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</si>
  <si>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</si>
  <si>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</si>
  <si>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انتر اكاديمي</t>
  </si>
  <si>
    <t>المثنى الجحدلي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</si>
  <si>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</si>
  <si>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</si>
  <si>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</si>
  <si>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</si>
  <si>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</si>
  <si>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</si>
  <si>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</si>
  <si>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>النخيل</t>
  </si>
  <si>
    <t>صديق احمد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</si>
  <si>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</si>
  <si>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</si>
  <si>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</si>
  <si>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</si>
  <si>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</si>
  <si>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</si>
  <si>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العرين </t>
  </si>
  <si>
    <t xml:space="preserve">حسن حسين الوادعي 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</si>
  <si>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</si>
  <si>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</si>
  <si>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</si>
  <si>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</si>
  <si>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</si>
  <si>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</si>
  <si>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</si>
  <si>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</si>
  <si>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بدر الاحمد </t>
  </si>
  <si>
    <t xml:space="preserve">نجوم الاحساء </t>
  </si>
  <si>
    <t xml:space="preserve">عبدالاله العيسى </t>
  </si>
  <si>
    <t>الوطن الرياضي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</si>
  <si>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</si>
  <si>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</si>
  <si>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</si>
  <si>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</si>
  <si>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</si>
  <si>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</si>
  <si>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</si>
  <si>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</si>
  <si>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</si>
  <si>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</si>
  <si>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</si>
  <si>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</si>
  <si>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</si>
  <si>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</si>
  <si>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</si>
  <si>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</si>
  <si>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لؤي الموسوي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</si>
  <si>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</si>
  <si>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</si>
  <si>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</si>
  <si>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</si>
  <si>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</si>
  <si>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>محمد منصور محمد حمدي</t>
  </si>
  <si>
    <t>966540402024</t>
  </si>
  <si>
    <t xml:space="preserve">سهم المهدج </t>
  </si>
  <si>
    <t>مسدف دهل علي قحطاني</t>
  </si>
  <si>
    <t>966538809996</t>
  </si>
  <si>
    <t xml:space="preserve">خليج الطرف </t>
  </si>
  <si>
    <t xml:space="preserve">نجم الجنوب </t>
  </si>
  <si>
    <t>أحمد  محمد  محمد  شراحيلي</t>
  </si>
  <si>
    <t>966508868141</t>
  </si>
  <si>
    <t xml:space="preserve">ميلان هروب </t>
  </si>
  <si>
    <t>حسن احمد حسن غفيري</t>
  </si>
  <si>
    <t>966596255997</t>
  </si>
  <si>
    <t>ملكي الزباره</t>
  </si>
  <si>
    <t>احمد حسين احمد واصلي</t>
  </si>
  <si>
    <t>966551804873</t>
  </si>
  <si>
    <t xml:space="preserve">الوحوش </t>
  </si>
  <si>
    <t>أحمد يحيى عثمان مغفوري</t>
  </si>
  <si>
    <t>966534241659</t>
  </si>
  <si>
    <t>النور</t>
  </si>
  <si>
    <t>النسور</t>
  </si>
  <si>
    <t xml:space="preserve">حبيب عبدالله </t>
  </si>
  <si>
    <t>الازدهار</t>
  </si>
  <si>
    <t xml:space="preserve">سعود احمد </t>
  </si>
  <si>
    <t xml:space="preserve">عربي المباركة </t>
  </si>
  <si>
    <t>أحمد عبدالله عبدالله حمدي</t>
  </si>
  <si>
    <t>966554114281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</si>
  <si>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</si>
  <si>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</si>
  <si>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</si>
  <si>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</si>
  <si>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</si>
  <si>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</si>
  <si>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علي  مفلح احمد شراحيلي</t>
  </si>
  <si>
    <t>966557324598</t>
  </si>
  <si>
    <t>برذرتيم</t>
  </si>
  <si>
    <t>علي موسى عبدالله فقيهي</t>
  </si>
  <si>
    <t>966531815048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</si>
  <si>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</si>
  <si>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</si>
  <si>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</si>
  <si>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</si>
  <si>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</si>
  <si>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</si>
  <si>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</si>
  <si>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</si>
  <si>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</si>
  <si>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الحسين على محمد البهلول</t>
  </si>
  <si>
    <t>966540578756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</si>
  <si>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</si>
  <si>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</si>
  <si>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</si>
  <si>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</si>
  <si>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</si>
  <si>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</si>
  <si>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</si>
  <si>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</si>
  <si>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</si>
  <si>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</si>
  <si>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</si>
  <si>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</si>
  <si>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</si>
  <si>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</si>
  <si>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</si>
  <si>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</si>
  <si>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</si>
  <si>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</si>
  <si>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</si>
  <si>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</si>
  <si>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</si>
  <si>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</si>
  <si>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</si>
  <si>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يحيي غازي يحيي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</si>
  <si>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</si>
  <si>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</si>
  <si>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</si>
  <si>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</si>
  <si>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</si>
  <si>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</si>
  <si>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</si>
  <si>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</si>
  <si>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</si>
  <si>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</si>
  <si>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اسباير</t>
  </si>
  <si>
    <t>خالد الشهري</t>
  </si>
  <si>
    <t xml:space="preserve">الحمادة </t>
  </si>
  <si>
    <t xml:space="preserve">عبدالله محمد 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</si>
  <si>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</si>
  <si>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</si>
  <si>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</si>
  <si>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</si>
  <si>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</si>
  <si>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</si>
  <si>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</si>
  <si>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</si>
  <si>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</si>
  <si>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</si>
  <si>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</si>
  <si>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</si>
  <si>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</si>
  <si>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</si>
  <si>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</si>
  <si>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</si>
  <si>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</si>
  <si>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ابراهيم عبدالله حمدي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</si>
  <si>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</si>
  <si>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</si>
  <si>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</si>
  <si>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</si>
  <si>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</si>
  <si>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 xml:space="preserve">جبران يحيى الجبران </t>
  </si>
  <si>
    <t>HAJRAWY</t>
  </si>
  <si>
    <t xml:space="preserve">سامي صالح العديل </t>
  </si>
  <si>
    <t xml:space="preserve">العدايا </t>
  </si>
  <si>
    <t xml:space="preserve">سعود ابو الفضائل </t>
  </si>
  <si>
    <t xml:space="preserve">الامل بالظبية </t>
  </si>
  <si>
    <t>طلال علي معافا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</si>
  <si>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</si>
  <si>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</si>
  <si>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</si>
  <si>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</si>
  <si>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</si>
  <si>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</si>
  <si>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</si>
  <si>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</si>
  <si>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</si>
  <si>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</si>
  <si>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</si>
  <si>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</si>
  <si>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</si>
  <si>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</si>
  <si>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</si>
  <si>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 xml:space="preserve">علي محمد هزازي </t>
  </si>
  <si>
    <t>ملكي صنبه</t>
  </si>
  <si>
    <t xml:space="preserve">علي محمد عيسى </t>
  </si>
  <si>
    <t xml:space="preserve">النور بالرميلة </t>
  </si>
  <si>
    <t xml:space="preserve">عماد اللويم </t>
  </si>
  <si>
    <t xml:space="preserve">القادسية بصبيا </t>
  </si>
  <si>
    <t>فؤاد عذيق</t>
  </si>
  <si>
    <t xml:space="preserve"> الصواري بالفضول </t>
  </si>
  <si>
    <t>محمد حجي الدحمسي</t>
  </si>
  <si>
    <t>النجوم بجازان</t>
  </si>
  <si>
    <t>محمد سالم الودعاني</t>
  </si>
  <si>
    <t xml:space="preserve">نابولي المباركة </t>
  </si>
  <si>
    <t xml:space="preserve">محمد عبده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</si>
  <si>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</si>
  <si>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</si>
  <si>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</si>
  <si>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</si>
  <si>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</si>
  <si>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موسى كيلاني </t>
  </si>
  <si>
    <t xml:space="preserve">قالكون </t>
  </si>
  <si>
    <t>وافي عبدالعال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</si>
  <si>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</si>
  <si>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</si>
  <si>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</si>
  <si>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</si>
  <si>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</si>
  <si>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</si>
  <si>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</si>
  <si>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</si>
  <si>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</si>
  <si>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</si>
  <si>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</si>
  <si>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</si>
  <si>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</si>
  <si>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</si>
  <si>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</si>
  <si>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</si>
  <si>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</si>
  <si>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</si>
  <si>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</si>
  <si>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</si>
  <si>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</si>
  <si>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</si>
  <si>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</si>
  <si>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</si>
  <si>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</si>
  <si>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أحمد حكمي</t>
  </si>
  <si>
    <t>شباب الاهلي</t>
  </si>
  <si>
    <t>باسم شبعاني</t>
  </si>
  <si>
    <t>عربي الموسم</t>
  </si>
  <si>
    <t xml:space="preserve">حمد عريبي </t>
  </si>
  <si>
    <t>الشهيد</t>
  </si>
  <si>
    <t>حمود النعمي</t>
  </si>
  <si>
    <t xml:space="preserve">السالمية </t>
  </si>
  <si>
    <t>حيدر هادي</t>
  </si>
  <si>
    <t>نجوم الروحاء</t>
  </si>
  <si>
    <t>زكريا هوساوي</t>
  </si>
  <si>
    <t>سانتوس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</si>
  <si>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</si>
  <si>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</si>
  <si>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</si>
  <si>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</si>
  <si>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</si>
  <si>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</si>
  <si>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</si>
  <si>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>علي مسلمي</t>
  </si>
  <si>
    <t xml:space="preserve">سدرة الباحر </t>
  </si>
  <si>
    <t>فيصل هاشم</t>
  </si>
  <si>
    <t xml:space="preserve">تعاون الطرشية </t>
  </si>
  <si>
    <t xml:space="preserve">ماجد خيرات </t>
  </si>
  <si>
    <t xml:space="preserve">متوسطة ابو هريرة </t>
  </si>
  <si>
    <t>محمد الرقيعي</t>
  </si>
  <si>
    <t xml:space="preserve">نبض القوة </t>
  </si>
  <si>
    <t xml:space="preserve">محمد جبر </t>
  </si>
  <si>
    <t>اكاديمية أف 1</t>
  </si>
  <si>
    <t>مسفر المسعودي</t>
  </si>
  <si>
    <t xml:space="preserve">الجاضع </t>
  </si>
  <si>
    <t xml:space="preserve">موسى حكمي </t>
  </si>
  <si>
    <t>البدوي</t>
  </si>
  <si>
    <t>ولي حلوي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</si>
  <si>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</si>
  <si>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</si>
  <si>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</si>
  <si>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</si>
  <si>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</si>
  <si>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</si>
  <si>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</si>
  <si>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</si>
  <si>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</si>
  <si>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</si>
  <si>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</si>
  <si>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نجوم الوادي </t>
  </si>
  <si>
    <t xml:space="preserve">سلمان الدوسري </t>
  </si>
  <si>
    <t xml:space="preserve">النخيل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</si>
  <si>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</si>
  <si>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</si>
  <si>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</si>
  <si>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</si>
  <si>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</si>
  <si>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</si>
  <si>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</si>
  <si>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</si>
  <si>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>النجم الازرق</t>
  </si>
  <si>
    <t xml:space="preserve">محمد العنزي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</si>
  <si>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</si>
  <si>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</si>
  <si>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</si>
  <si>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</si>
  <si>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</si>
  <si>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</si>
  <si>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</si>
  <si>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</si>
  <si>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اكاديمية الجوهرة بالطائف</t>
  </si>
  <si>
    <t>هندي الحارثي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</si>
  <si>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</si>
  <si>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</si>
  <si>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</si>
  <si>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</si>
  <si>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</si>
  <si>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الياس زقزوق</t>
  </si>
  <si>
    <t>اكاديمية الدلم</t>
  </si>
  <si>
    <t>عبدالله المحسن</t>
  </si>
  <si>
    <t>القصيعة ون</t>
  </si>
  <si>
    <t>سعد المطيري</t>
  </si>
  <si>
    <t>مدرسة هارون الرشيد</t>
  </si>
  <si>
    <t>حابس السرحاني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</si>
  <si>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</si>
  <si>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</si>
  <si>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</si>
  <si>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</si>
  <si>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</si>
  <si>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</si>
  <si>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</si>
  <si>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</si>
  <si>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</si>
  <si>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ستار ستييس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</si>
  <si>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</si>
  <si>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</si>
  <si>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</si>
  <si>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</si>
  <si>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</si>
  <si>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</si>
  <si>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</si>
  <si>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</si>
  <si>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</si>
  <si>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</si>
  <si>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</si>
  <si>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</si>
  <si>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</si>
  <si>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</si>
  <si>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</si>
  <si>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</si>
  <si>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</si>
  <si>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</si>
  <si>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</si>
  <si>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</si>
  <si>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</si>
  <si>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</si>
  <si>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</si>
  <si>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موسى الشقيقي</t>
  </si>
  <si>
    <t>البرك</t>
  </si>
  <si>
    <t>عبدالخالق الغبيشي</t>
  </si>
  <si>
    <t>العقيد</t>
  </si>
  <si>
    <t>رامي جحيلان</t>
  </si>
  <si>
    <t>نادي الشعاع الرياضي</t>
  </si>
  <si>
    <t>مديني الزيادي</t>
  </si>
  <si>
    <t>الطموح</t>
  </si>
  <si>
    <t>احمد المنتشري</t>
  </si>
  <si>
    <t>التعاون الذهبي</t>
  </si>
  <si>
    <t>هتان علي هتان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</si>
  <si>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</si>
  <si>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</si>
  <si>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</si>
  <si>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</si>
  <si>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</si>
  <si>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</si>
  <si>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الاتحاد هواة</t>
  </si>
  <si>
    <t>عبدالله حجي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</si>
  <si>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</si>
  <si>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</si>
  <si>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</si>
  <si>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</si>
  <si>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</si>
  <si>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</si>
  <si>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</si>
  <si>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</si>
  <si>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</si>
  <si>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</si>
  <si>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</si>
  <si>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سنبل المبارك</t>
  </si>
  <si>
    <t>الفرسان -حاكمة ابوعريش</t>
  </si>
  <si>
    <t>عبدالله صلوي</t>
  </si>
  <si>
    <t>الكواكب ابو عريش</t>
  </si>
  <si>
    <t xml:space="preserve">مححمد الحسن </t>
  </si>
  <si>
    <t>فريق البعد جونيور</t>
  </si>
  <si>
    <t>محمد العيسى</t>
  </si>
  <si>
    <t>الاسماعيلي الطاهرية</t>
  </si>
  <si>
    <t>احمد الامير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</si>
  <si>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</si>
  <si>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</si>
  <si>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</si>
  <si>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</si>
  <si>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</si>
  <si>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 xml:space="preserve">محمد العباد </t>
  </si>
  <si>
    <t>فريق الطموح</t>
  </si>
  <si>
    <t>محمد موكلي</t>
  </si>
  <si>
    <t>مستقبل الخضراء</t>
  </si>
  <si>
    <t>حيدر السالم</t>
  </si>
  <si>
    <t>اكاديمية الجوهره</t>
  </si>
  <si>
    <t>زايد الحارثي</t>
  </si>
  <si>
    <t>قائم العقم</t>
  </si>
  <si>
    <t>ياسر العبدلي</t>
  </si>
  <si>
    <t>بي فايف</t>
  </si>
  <si>
    <t>تركي البلوي</t>
  </si>
  <si>
    <t xml:space="preserve">البرازيل الوحلة </t>
  </si>
  <si>
    <t>عبدالرحمن مغفوري</t>
  </si>
  <si>
    <t>سر النجوم</t>
  </si>
  <si>
    <t>اصيل العامري</t>
  </si>
  <si>
    <t>النخبة صبيا</t>
  </si>
  <si>
    <t>الوليد البلوي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</si>
  <si>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</si>
  <si>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</si>
  <si>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</si>
  <si>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</si>
  <si>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</si>
  <si>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سالم الشمري</t>
  </si>
  <si>
    <t>LAVER ACADMY</t>
  </si>
  <si>
    <t>يزن الهوساوي</t>
  </si>
  <si>
    <t>اكاديمية الاقوياء الرياضية ينبع</t>
  </si>
  <si>
    <t>اصيل الروسي</t>
  </si>
  <si>
    <t>فريق عبدالرحمن صالح الرشيدي</t>
  </si>
  <si>
    <t>عبدالرحمن صالح الرشيدي</t>
  </si>
  <si>
    <t>نادي ساس الرياضي</t>
  </si>
  <si>
    <t>مثيب مكي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</si>
  <si>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</si>
  <si>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</si>
  <si>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</si>
  <si>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</si>
  <si>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</si>
  <si>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</si>
  <si>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</si>
  <si>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</si>
  <si>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</si>
  <si>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</si>
  <si>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</si>
  <si>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</si>
  <si>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</si>
  <si>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</si>
  <si>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</si>
  <si>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</si>
  <si>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</si>
  <si>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فواز المخلفي</t>
  </si>
  <si>
    <t xml:space="preserve">القلعة </t>
  </si>
  <si>
    <t>محمد الخبراني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</si>
  <si>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</si>
  <si>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</si>
  <si>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</si>
  <si>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</si>
  <si>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</si>
  <si>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</si>
  <si>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</si>
  <si>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</si>
  <si>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</si>
  <si>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</si>
  <si>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</si>
  <si>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</si>
  <si>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</si>
  <si>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</si>
  <si>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</si>
  <si>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مجموعة القريات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</si>
</sst>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4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274" totalsRowShown="0" headerRowDxfId="26" dataDxfId="25">
  <autoFilter ref="B2:G274" xr:uid="{D5714613-7CB3-4778-9CFB-5F2E956CE80E}"/>
  <tableColumns count="6">
    <tableColumn id="1" xr3:uid="{21357364-A1AC-40A0-A103-719BBF35D23E}" name="الفئة" dataDxfId="24"/>
    <tableColumn id="2" xr3:uid="{FED87C10-4531-4310-A0AB-63BF8FB11944}" name="المجموعة" dataDxfId="23"/>
    <tableColumn id="3" xr3:uid="{AE4FCF05-32B9-4C29-8A35-872FE1B3A005}" name="عدد المدن" dataDxfId="22">
      <calculatedColumnFormula>COUNTIFS(تفاصيل_الفرق[الفئة العمرية],ملخص_المجموعات[[#This Row],[الفئة]],تفاصيل_الفرق[المجموعة],ملخص_المجموعات[[#This Row],[المجموعة]])</calculatedColumnFormula>
    </tableColumn>
    <tableColumn id="6" xr3:uid="{FD58C7EE-75CB-499E-85CF-7282CB19CA62}" name="المدن" dataDxfId="21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calculatedColumnFormula>
    </tableColumn>
    <tableColumn id="4" xr3:uid="{EB7BF368-B482-4173-985E-A61BA4F4C980}" name="مجموع الفرق" dataDxfId="20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19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1D678-71F0-44FF-ADB2-214FC277166A}" name="تفاصيل_الفرق" displayName="تفاصيل_الفرق" ref="B2:E594" totalsRowShown="0" headerRowDxfId="18" dataDxfId="17">
  <autoFilter ref="B2:E594" xr:uid="{C701D678-71F0-44FF-ADB2-214FC277166A}"/>
  <tableColumns count="4">
    <tableColumn id="1" xr3:uid="{BA3E5021-A230-4D22-874F-F4F2E40E742F}" name="الفئة العمرية" dataDxfId="16"/>
    <tableColumn id="2" xr3:uid="{125018BC-E7FF-461A-A50D-47C8428F3CCC}" name="المدينة/المحافظة" dataDxfId="15"/>
    <tableColumn id="3" xr3:uid="{CB78D930-6811-46BE-9E54-828AD86943E6}" name="المجموعة" dataDxfId="14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EF5C574A-EDBE-4210-9614-DB0BF5439C78}" name="عدد الفرق" dataDxfId="13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Q285" totalsRowShown="0" headerRowDxfId="45" dataDxfId="44" tableBorderDxfId="43" dataCellStyle="Normal 2">
  <autoFilter ref="B2:Q285" xr:uid="{C98C69F7-A5A5-41A9-9F9D-AF91B174B3C2}"/>
  <sortState xmlns:xlrd2="http://schemas.microsoft.com/office/spreadsheetml/2017/richdata2" ref="B3:Q246">
    <sortCondition ref="B2:B246"/>
  </sortState>
  <tableColumns count="16">
    <tableColumn id="1" xr3:uid="{090AD518-161E-48A1-BB46-837D6EA74252}" name="Entry Id" dataDxfId="42" dataCellStyle="Normal 2"/>
    <tableColumn id="2" xr3:uid="{AC3FCE35-ED74-4BDA-B2C1-71DE81164517}" name="اسم الفريق" dataDxfId="41" dataCellStyle="Normal 2"/>
    <tableColumn id="3" xr3:uid="{BAB92966-1EB1-4C4A-A003-A8F57A08F900}" name="الاسم " dataDxfId="40" dataCellStyle="Normal 2"/>
    <tableColumn id="4" xr3:uid="{41B901FC-6026-4BE2-A9C0-4BA71B6BC5DE}" name="رقم الجوال" dataDxfId="39" dataCellStyle="Normal 2"/>
    <tableColumn id="5" xr3:uid="{9F68BE70-1FDC-4425-9940-DF2CEFD9B032}" name="اسم الملعب" dataDxfId="38" dataCellStyle="Normal 2"/>
    <tableColumn id="6" xr3:uid="{0BB31EF5-FF5E-497E-95C0-AC1316951F24}" name="الصفة" dataDxfId="37" dataCellStyle="Normal 2"/>
    <tableColumn id="7" xr3:uid="{50DE72A8-1E19-4962-9931-E2D97E6E6125}" name="المنطقة" dataDxfId="36" dataCellStyle="Normal 2"/>
    <tableColumn id="8" xr3:uid="{0A336E9A-961E-4220-ADF7-AB5BC3EFC496}" name="المدينة" dataDxfId="35" dataCellStyle="Normal 2"/>
    <tableColumn id="17" xr3:uid="{9A1E561B-D0E7-4011-9527-4DE3A58FAD08}" name="مكتب الوزارة" dataDxfId="34"/>
    <tableColumn id="9" xr3:uid="{313DDC39-AC82-48CC-BCED-A8D8B0B50F10}" name="المشاركة تحت 14" dataDxfId="33" dataCellStyle="Normal 2"/>
    <tableColumn id="10" xr3:uid="{056EB01F-9295-4034-859B-42056695639E}" name="المشاركة تحت 13" dataDxfId="32" dataCellStyle="Normal 2"/>
    <tableColumn id="11" xr3:uid="{0A942E27-C19C-4583-B65B-63FA254B3871}" name="المشاركة تحت 12" dataDxfId="31" dataCellStyle="Normal 2"/>
    <tableColumn id="12" xr3:uid="{4FD6226C-F925-47F1-A13D-AA249B8D9FD0}" name="المشاركة تحت 11" dataDxfId="30" dataCellStyle="Normal 2"/>
    <tableColumn id="13" xr3:uid="{7C0BB045-F917-4504-A7B2-0720DBB4DE2F}" name="المشاركة تحت 9" dataDxfId="29" dataCellStyle="Normal 2"/>
    <tableColumn id="14" xr3:uid="{FD475FF4-5023-4EA1-B10C-9DE555315DBC}" name="المشاركة تحت 7 " dataDxfId="28" dataCellStyle="Normal 2"/>
    <tableColumn id="15" xr3:uid="{43B89F76-F8D8-491F-B6E6-05BED7569326}" name="المشاركة تحت 5" dataDxfId="27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12" dataDxfId="11" tableBorderDxfId="10">
  <autoFilter ref="K2:L9" xr:uid="{CB8954BF-907E-4B78-AA0B-B695FCB5D5AC}"/>
  <tableColumns count="2">
    <tableColumn id="1" xr3:uid="{30FFDE77-56F6-44C2-B6A6-155DCF4CF8DB}" name="الفئة" dataDxfId="9"/>
    <tableColumn id="2" xr3:uid="{86DFE088-41CB-49A5-A5FE-6AC945BFCDB8}" name="مجموعة الفئات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170" totalsRowShown="0" headerRowDxfId="7" dataDxfId="6">
  <autoFilter ref="B2:D170" xr:uid="{C0D9CA94-7B1D-4BB6-9D8F-BBAF4BDFA449}"/>
  <tableColumns count="3">
    <tableColumn id="1" xr3:uid="{230C2C42-A057-407F-B36C-357E7EDD9E62}" name="الفئة العمرية" dataDxfId="5"/>
    <tableColumn id="2" xr3:uid="{DA75C6C1-EEE2-478C-AB61-D44245FEF7F3}" name="المجموعة" dataDxfId="4"/>
    <tableColumn id="3" xr3:uid="{6A5033B9-28EA-44F9-A1C0-ACDB72370A69}" name="المدينة/المحافظة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94" totalsRowShown="0" headerRowDxfId="2">
  <autoFilter ref="F2:I9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73" dT="2026-08-10T09:01:16.13" personId="{CBA31CD8-0BE3-4148-B237-3C9B8E707F32}" id="{5D51EA4E-006C-4F77-950E-027DDA7A71BB}">
    <text>المسقي أصلا، لكن تم تغييرها إلى أبها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G274"/>
  <sheetViews>
    <sheetView rightToLeft="1" workbookViewId="0">
      <pane ySplit="2" topLeftCell="A200" activePane="bottomLeft" state="frozen"/>
      <selection pane="bottomLeft" activeCell="F3" sqref="F3:F271"/>
    </sheetView>
  </sheetViews>
  <sheetFormatPr defaultRowHeight="14.5" x14ac:dyDescent="0.3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27.08984375" style="5" bestFit="1" customWidth="1"/>
    <col min="10" max="16384" width="8.7265625" style="5"/>
  </cols>
  <sheetData>
    <row r="2" spans="2:7" x14ac:dyDescent="0.35">
      <c r="B2" s="3" t="s">
        <v>154</v>
      </c>
      <c r="C2" s="3" t="s">
        <v>0</v>
      </c>
      <c r="D2" s="3" t="s">
        <v>5</v>
      </c>
      <c r="E2" s="3" t="s">
        <v>6</v>
      </c>
      <c r="F2" s="3" t="s">
        <v>157</v>
      </c>
      <c r="G2" s="3" t="s">
        <v>158</v>
      </c>
    </row>
    <row r="3" spans="2:7" x14ac:dyDescent="0.35">
      <c r="B3" s="2" t="s">
        <v>4</v>
      </c>
      <c r="C3" s="5" t="s">
        <v>8</v>
      </c>
      <c r="D3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" s="1">
        <f>MAX(0,الحد_الأدنى-ملخص_المجموعات[[#This Row],[مجموع الفرق]])</f>
        <v>6</v>
      </c>
    </row>
    <row r="4" spans="2:7" x14ac:dyDescent="0.35">
      <c r="B4" s="2" t="s">
        <v>4</v>
      </c>
      <c r="C4" s="5" t="s">
        <v>42</v>
      </c>
      <c r="D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" s="1">
        <f>MAX(0,الحد_الأدنى-ملخص_المجموعات[[#This Row],[مجموع الفرق]])</f>
        <v>0</v>
      </c>
    </row>
    <row r="5" spans="2:7" x14ac:dyDescent="0.35">
      <c r="B5" s="2" t="s">
        <v>4</v>
      </c>
      <c r="C5" s="5" t="s">
        <v>704</v>
      </c>
      <c r="D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5" s="1">
        <f>MAX(0,الحد_الأدنى-ملخص_المجموعات[[#This Row],[مجموع الفرق]])</f>
        <v>2</v>
      </c>
    </row>
    <row r="6" spans="2:7" x14ac:dyDescent="0.35">
      <c r="B6" s="2" t="s">
        <v>4</v>
      </c>
      <c r="C6" s="5" t="s">
        <v>9</v>
      </c>
      <c r="D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6" s="1">
        <f>MAX(0,الحد_الأدنى-ملخص_المجموعات[[#This Row],[مجموع الفرق]])</f>
        <v>1</v>
      </c>
    </row>
    <row r="7" spans="2:7" x14ac:dyDescent="0.35">
      <c r="B7" s="2" t="s">
        <v>4</v>
      </c>
      <c r="C7" s="5" t="s">
        <v>10</v>
      </c>
      <c r="D7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بلجرشي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" s="1">
        <f>MAX(0,الحد_الأدنى-ملخص_المجموعات[[#This Row],[مجموع الفرق]])</f>
        <v>6</v>
      </c>
    </row>
    <row r="8" spans="2:7" x14ac:dyDescent="0.35">
      <c r="B8" s="2" t="s">
        <v>4</v>
      </c>
      <c r="C8" s="5" t="s">
        <v>44</v>
      </c>
      <c r="D8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البدائع، البكيرية، الخبراء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" s="1">
        <f>MAX(0,الحد_الأدنى-ملخص_المجموعات[[#This Row],[مجموع الفرق]])</f>
        <v>6</v>
      </c>
    </row>
    <row r="9" spans="2:7" x14ac:dyDescent="0.35">
      <c r="B9" s="2" t="s">
        <v>4</v>
      </c>
      <c r="C9" s="5" t="s">
        <v>11</v>
      </c>
      <c r="D9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9" s="1">
        <f>MAX(0,الحد_الأدنى-ملخص_المجموعات[[#This Row],[مجموع الفرق]])</f>
        <v>4</v>
      </c>
    </row>
    <row r="10" spans="2:7" x14ac:dyDescent="0.35">
      <c r="B10" s="2" t="s">
        <v>4</v>
      </c>
      <c r="C10" s="5" t="s">
        <v>12</v>
      </c>
      <c r="D1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عرعر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0" s="1">
        <f>MAX(0,الحد_الأدنى-ملخص_المجموعات[[#This Row],[مجموع الفرق]])</f>
        <v>6</v>
      </c>
    </row>
    <row r="11" spans="2:7" x14ac:dyDescent="0.35">
      <c r="B11" s="2" t="s">
        <v>4</v>
      </c>
      <c r="C11" s="5" t="s">
        <v>13</v>
      </c>
      <c r="D11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" s="1">
        <f>MAX(0,الحد_الأدنى-ملخص_المجموعات[[#This Row],[مجموع الفرق]])</f>
        <v>6</v>
      </c>
    </row>
    <row r="12" spans="2:7" x14ac:dyDescent="0.35">
      <c r="B12" s="2" t="s">
        <v>4</v>
      </c>
      <c r="C12" s="5" t="s">
        <v>46</v>
      </c>
      <c r="D1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الخفجي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2" s="1">
        <f>MAX(0,الحد_الأدنى-ملخص_المجموعات[[#This Row],[مجموع الفرق]])</f>
        <v>6</v>
      </c>
    </row>
    <row r="13" spans="2:7" x14ac:dyDescent="0.35">
      <c r="B13" s="2" t="s">
        <v>4</v>
      </c>
      <c r="C13" s="5" t="s">
        <v>63</v>
      </c>
      <c r="D1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" s="1">
        <f>MAX(0,الحد_الأدنى-ملخص_المجموعات[[#This Row],[مجموع الفرق]])</f>
        <v>6</v>
      </c>
    </row>
    <row r="14" spans="2:7" x14ac:dyDescent="0.35">
      <c r="B14" s="2" t="s">
        <v>4</v>
      </c>
      <c r="C14" s="5" t="s">
        <v>14</v>
      </c>
      <c r="D1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" s="1">
        <f>MAX(0,الحد_الأدنى-ملخص_المجموعات[[#This Row],[مجموع الفرق]])</f>
        <v>6</v>
      </c>
    </row>
    <row r="15" spans="2:7" x14ac:dyDescent="0.35">
      <c r="B15" s="2" t="s">
        <v>4</v>
      </c>
      <c r="C15" s="5" t="s">
        <v>48</v>
      </c>
      <c r="D1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الرس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15" s="1">
        <f>MAX(0,الحد_الأدنى-ملخص_المجموعات[[#This Row],[مجموع الفرق]])</f>
        <v>3</v>
      </c>
    </row>
    <row r="16" spans="2:7" x14ac:dyDescent="0.35">
      <c r="B16" s="2" t="s">
        <v>4</v>
      </c>
      <c r="C16" s="5" t="s">
        <v>15</v>
      </c>
      <c r="D1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6" s="1">
        <f>MAX(0,الحد_الأدنى-ملخص_المجموعات[[#This Row],[مجموع الفرق]])</f>
        <v>2</v>
      </c>
    </row>
    <row r="17" spans="2:7" x14ac:dyDescent="0.35">
      <c r="B17" s="2" t="s">
        <v>4</v>
      </c>
      <c r="C17" s="5" t="s">
        <v>51</v>
      </c>
      <c r="D1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7" s="1">
        <f>MAX(0,الحد_الأدنى-ملخص_المجموعات[[#This Row],[مجموع الفرق]])</f>
        <v>6</v>
      </c>
    </row>
    <row r="18" spans="2:7" x14ac:dyDescent="0.35">
      <c r="B18" s="2" t="s">
        <v>4</v>
      </c>
      <c r="C18" s="5" t="s">
        <v>16</v>
      </c>
      <c r="D18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8" s="1">
        <f>MAX(0,الحد_الأدنى-ملخص_المجموعات[[#This Row],[مجموع الفرق]])</f>
        <v>2</v>
      </c>
    </row>
    <row r="19" spans="2:7" x14ac:dyDescent="0.35">
      <c r="B19" s="2" t="s">
        <v>4</v>
      </c>
      <c r="C19" s="5" t="s">
        <v>17</v>
      </c>
      <c r="D1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9" s="1">
        <f>MAX(0,الحد_الأدنى-ملخص_المجموعات[[#This Row],[مجموع الفرق]])</f>
        <v>0</v>
      </c>
    </row>
    <row r="20" spans="2:7" x14ac:dyDescent="0.35">
      <c r="B20" s="2" t="s">
        <v>4</v>
      </c>
      <c r="C20" s="5" t="s">
        <v>19</v>
      </c>
      <c r="D2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بريدة، عيون الجواء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0" s="1">
        <f>MAX(0,الحد_الأدنى-ملخص_المجموعات[[#This Row],[مجموع الفرق]])</f>
        <v>4</v>
      </c>
    </row>
    <row r="21" spans="2:7" x14ac:dyDescent="0.35">
      <c r="B21" s="2" t="s">
        <v>4</v>
      </c>
      <c r="C21" s="5" t="s">
        <v>20</v>
      </c>
      <c r="D21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القطيف، رأس تنورة، صفوى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1" s="1">
        <f>MAX(0,الحد_الأدنى-ملخص_المجموعات[[#This Row],[مجموع الفرق]])</f>
        <v>2</v>
      </c>
    </row>
    <row r="22" spans="2:7" x14ac:dyDescent="0.35">
      <c r="B22" s="2" t="s">
        <v>4</v>
      </c>
      <c r="C22" s="5" t="s">
        <v>21</v>
      </c>
      <c r="D2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2" s="1">
        <f>MAX(0,الحد_الأدنى-ملخص_المجموعات[[#This Row],[مجموع الفرق]])</f>
        <v>5</v>
      </c>
    </row>
    <row r="23" spans="2:7" x14ac:dyDescent="0.35">
      <c r="B23" s="2" t="s">
        <v>4</v>
      </c>
      <c r="C23" s="5" t="s">
        <v>55</v>
      </c>
      <c r="D2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الليث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3" s="1">
        <f>MAX(0,الحد_الأدنى-ملخص_المجموعات[[#This Row],[مجموع الفرق]])</f>
        <v>6</v>
      </c>
    </row>
    <row r="24" spans="2:7" x14ac:dyDescent="0.35">
      <c r="B24" s="2" t="s">
        <v>4</v>
      </c>
      <c r="C24" s="5" t="s">
        <v>57</v>
      </c>
      <c r="D24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بارق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4" s="1">
        <f>MAX(0,الحد_الأدنى-ملخص_المجموعات[[#This Row],[مجموع الفرق]])</f>
        <v>6</v>
      </c>
    </row>
    <row r="25" spans="2:7" x14ac:dyDescent="0.35">
      <c r="B25" s="2" t="s">
        <v>4</v>
      </c>
      <c r="C25" s="5" t="s">
        <v>22</v>
      </c>
      <c r="D25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الغاط، المجمعة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5" s="1">
        <f>MAX(0,الحد_الأدنى-ملخص_المجموعات[[#This Row],[مجموع الفرق]])</f>
        <v>6</v>
      </c>
    </row>
    <row r="26" spans="2:7" x14ac:dyDescent="0.35">
      <c r="B26" s="2" t="s">
        <v>4</v>
      </c>
      <c r="C26" s="5" t="s">
        <v>23</v>
      </c>
      <c r="D2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6" s="1">
        <f>MAX(0,الحد_الأدنى-ملخص_المجموعات[[#This Row],[مجموع الفرق]])</f>
        <v>1</v>
      </c>
    </row>
    <row r="27" spans="2:7" x14ac:dyDescent="0.35">
      <c r="B27" s="2" t="s">
        <v>4</v>
      </c>
      <c r="C27" s="5" t="s">
        <v>50</v>
      </c>
      <c r="D2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المزاحمية، ضرما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7" s="1">
        <f>MAX(0,الحد_الأدنى-ملخص_المجموعات[[#This Row],[مجموع الفرق]])</f>
        <v>6</v>
      </c>
    </row>
    <row r="28" spans="2:7" x14ac:dyDescent="0.35">
      <c r="B28" s="2" t="s">
        <v>4</v>
      </c>
      <c r="C28" s="5" t="s">
        <v>60</v>
      </c>
      <c r="D2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النماص، تنومة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8" s="1">
        <f>MAX(0,الحد_الأدنى-ملخص_المجموعات[[#This Row],[مجموع الفرق]])</f>
        <v>6</v>
      </c>
    </row>
    <row r="29" spans="2:7" x14ac:dyDescent="0.35">
      <c r="B29" s="2" t="s">
        <v>4</v>
      </c>
      <c r="C29" s="5" t="s">
        <v>61</v>
      </c>
      <c r="D2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بقيق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9" s="1">
        <f>MAX(0,الحد_الأدنى-ملخص_المجموعات[[#This Row],[مجموع الفرق]])</f>
        <v>6</v>
      </c>
    </row>
    <row r="30" spans="2:7" x14ac:dyDescent="0.35">
      <c r="B30" s="2" t="s">
        <v>4</v>
      </c>
      <c r="C30" s="5" t="s">
        <v>25</v>
      </c>
      <c r="D3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30" s="1">
        <f>MAX(0,الحد_الأدنى-ملخص_المجموعات[[#This Row],[مجموع الفرق]])</f>
        <v>5</v>
      </c>
    </row>
    <row r="31" spans="2:7" x14ac:dyDescent="0.35">
      <c r="B31" s="2" t="s">
        <v>4</v>
      </c>
      <c r="C31" s="5" t="s">
        <v>64</v>
      </c>
      <c r="D3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1" s="1">
        <f>MAX(0,الحد_الأدنى-ملخص_المجموعات[[#This Row],[مجموع الفرق]])</f>
        <v>6</v>
      </c>
    </row>
    <row r="32" spans="2:7" x14ac:dyDescent="0.35">
      <c r="B32" s="2" t="s">
        <v>4</v>
      </c>
      <c r="C32" s="5" t="s">
        <v>26</v>
      </c>
      <c r="D3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2" s="1">
        <f>MAX(0,الحد_الأدنى-ملخص_المجموعات[[#This Row],[مجموع الفرق]])</f>
        <v>6</v>
      </c>
    </row>
    <row r="33" spans="2:7" x14ac:dyDescent="0.35">
      <c r="B33" s="2" t="s">
        <v>4</v>
      </c>
      <c r="C33" s="5" t="s">
        <v>28</v>
      </c>
      <c r="D3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جيزان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3" s="1">
        <f>MAX(0,الحد_الأدنى-ملخص_المجموعات[[#This Row],[مجموع الفرق]])</f>
        <v>0</v>
      </c>
    </row>
    <row r="34" spans="2:7" x14ac:dyDescent="0.35">
      <c r="B34" s="2" t="s">
        <v>4</v>
      </c>
      <c r="C34" s="5" t="s">
        <v>29</v>
      </c>
      <c r="D3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34" s="1">
        <f>MAX(0,الحد_الأدنى-ملخص_المجموعات[[#This Row],[مجموع الفرق]])</f>
        <v>0</v>
      </c>
    </row>
    <row r="35" spans="2:7" x14ac:dyDescent="0.35">
      <c r="B35" s="2" t="s">
        <v>4</v>
      </c>
      <c r="C35" s="5" t="s">
        <v>31</v>
      </c>
      <c r="D3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35" s="1">
        <f>MAX(0,الحد_الأدنى-ملخص_المجموعات[[#This Row],[مجموع الفرق]])</f>
        <v>4</v>
      </c>
    </row>
    <row r="36" spans="2:7" x14ac:dyDescent="0.35">
      <c r="B36" s="2" t="s">
        <v>4</v>
      </c>
      <c r="C36" s="5" t="s">
        <v>33</v>
      </c>
      <c r="D3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36" s="1">
        <f>MAX(0,الحد_الأدنى-ملخص_المجموعات[[#This Row],[مجموع الفرق]])</f>
        <v>2</v>
      </c>
    </row>
    <row r="37" spans="2:7" x14ac:dyDescent="0.35">
      <c r="B37" s="2" t="s">
        <v>4</v>
      </c>
      <c r="C37" s="5" t="s">
        <v>58</v>
      </c>
      <c r="D3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رابغ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7" s="1">
        <f>MAX(0,الحد_الأدنى-ملخص_المجموعات[[#This Row],[مجموع الفرق]])</f>
        <v>6</v>
      </c>
    </row>
    <row r="38" spans="2:7" x14ac:dyDescent="0.35">
      <c r="B38" s="2" t="s">
        <v>4</v>
      </c>
      <c r="C38" s="5" t="s">
        <v>69</v>
      </c>
      <c r="D3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رجال ألمع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8" s="1">
        <f>MAX(0,الحد_الأدنى-ملخص_المجموعات[[#This Row],[مجموع الفرق]])</f>
        <v>6</v>
      </c>
    </row>
    <row r="39" spans="2:7" x14ac:dyDescent="0.35">
      <c r="B39" s="2" t="s">
        <v>4</v>
      </c>
      <c r="C39" s="5" t="s">
        <v>71</v>
      </c>
      <c r="D3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39" s="1">
        <f>MAX(0,الحد_الأدنى-ملخص_المجموعات[[#This Row],[مجموع الفرق]])</f>
        <v>6</v>
      </c>
    </row>
    <row r="40" spans="2:7" x14ac:dyDescent="0.35">
      <c r="B40" s="2" t="s">
        <v>4</v>
      </c>
      <c r="C40" s="5" t="s">
        <v>73</v>
      </c>
      <c r="D4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شرورة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0" s="1">
        <f>MAX(0,الحد_الأدنى-ملخص_المجموعات[[#This Row],[مجموع الفرق]])</f>
        <v>6</v>
      </c>
    </row>
    <row r="41" spans="2:7" x14ac:dyDescent="0.35">
      <c r="B41" s="2" t="s">
        <v>4</v>
      </c>
      <c r="C41" s="5" t="s">
        <v>75</v>
      </c>
      <c r="D4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شقراء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1" s="1">
        <f>MAX(0,الحد_الأدنى-ملخص_المجموعات[[#This Row],[مجموع الفرق]])</f>
        <v>6</v>
      </c>
    </row>
    <row r="42" spans="2:7" x14ac:dyDescent="0.35">
      <c r="B42" s="2" t="s">
        <v>4</v>
      </c>
      <c r="C42" s="5" t="s">
        <v>77</v>
      </c>
      <c r="D42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أحد المسارحة، صامطة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42" s="1">
        <f>MAX(0,الحد_الأدنى-ملخص_المجموعات[[#This Row],[مجموع الفرق]])</f>
        <v>0</v>
      </c>
    </row>
    <row r="43" spans="2:7" x14ac:dyDescent="0.35">
      <c r="B43" s="2" t="s">
        <v>4</v>
      </c>
      <c r="C43" s="5" t="s">
        <v>66</v>
      </c>
      <c r="D43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العيدابي، صبيا، ضمد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43" s="1">
        <f>MAX(0,الحد_الأدنى-ملخص_المجموعات[[#This Row],[مجموع الفرق]])</f>
        <v>0</v>
      </c>
    </row>
    <row r="44" spans="2:7" x14ac:dyDescent="0.35">
      <c r="B44" s="2" t="s">
        <v>4</v>
      </c>
      <c r="C44" s="5" t="s">
        <v>78</v>
      </c>
      <c r="D4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طريف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4" s="1">
        <f>MAX(0,الحد_الأدنى-ملخص_المجموعات[[#This Row],[مجموع الفرق]])</f>
        <v>6</v>
      </c>
    </row>
    <row r="45" spans="2:7" x14ac:dyDescent="0.35">
      <c r="B45" s="2" t="s">
        <v>4</v>
      </c>
      <c r="C45" s="5" t="s">
        <v>80</v>
      </c>
      <c r="D4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عفيف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5" s="1">
        <f>MAX(0,الحد_الأدنى-ملخص_المجموعات[[#This Row],[مجموع الفرق]])</f>
        <v>6</v>
      </c>
    </row>
    <row r="46" spans="2:7" x14ac:dyDescent="0.35">
      <c r="B46" s="2" t="s">
        <v>4</v>
      </c>
      <c r="C46" s="5" t="s">
        <v>82</v>
      </c>
      <c r="D4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المذنب، عنيزة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6" s="1">
        <f>MAX(0,الحد_الأدنى-ملخص_المجموعات[[#This Row],[مجموع الفرق]])</f>
        <v>6</v>
      </c>
    </row>
    <row r="47" spans="2:7" x14ac:dyDescent="0.35">
      <c r="B47" s="2" t="s">
        <v>4</v>
      </c>
      <c r="C47" s="5" t="s">
        <v>83</v>
      </c>
      <c r="D4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فرسان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7" s="1">
        <f>MAX(0,الحد_الأدنى-ملخص_المجموعات[[#This Row],[مجموع الفرق]])</f>
        <v>6</v>
      </c>
    </row>
    <row r="48" spans="2:7" x14ac:dyDescent="0.35">
      <c r="B48" s="2" t="s">
        <v>4</v>
      </c>
      <c r="C48" s="5" t="s">
        <v>85</v>
      </c>
      <c r="D4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قلوة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8" s="1">
        <f>MAX(0,الحد_الأدنى-ملخص_المجموعات[[#This Row],[مجموع الفرق]])</f>
        <v>6</v>
      </c>
    </row>
    <row r="49" spans="2:7" x14ac:dyDescent="0.35">
      <c r="B49" s="2" t="s">
        <v>4</v>
      </c>
      <c r="C49" s="5" t="s">
        <v>34</v>
      </c>
      <c r="D4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محايل عسير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49" s="1">
        <f>MAX(0,الحد_الأدنى-ملخص_المجموعات[[#This Row],[مجموع الفرق]])</f>
        <v>6</v>
      </c>
    </row>
    <row r="50" spans="2:7" x14ac:dyDescent="0.35">
      <c r="B50" s="2" t="s">
        <v>4</v>
      </c>
      <c r="C50" s="5" t="s">
        <v>35</v>
      </c>
      <c r="D5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50" s="1">
        <f>MAX(0,الحد_الأدنى-ملخص_المجموعات[[#This Row],[مجموع الفرق]])</f>
        <v>0</v>
      </c>
    </row>
    <row r="51" spans="2:7" x14ac:dyDescent="0.35">
      <c r="B51" s="2" t="s">
        <v>4</v>
      </c>
      <c r="C51" s="5" t="s">
        <v>36</v>
      </c>
      <c r="D5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نجران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1" s="1">
        <f>MAX(0,الحد_الأدنى-ملخص_المجموعات[[#This Row],[مجموع الفرق]])</f>
        <v>6</v>
      </c>
    </row>
    <row r="52" spans="2:7" x14ac:dyDescent="0.35">
      <c r="B52" s="2" t="s">
        <v>4</v>
      </c>
      <c r="C52" s="5" t="s">
        <v>88</v>
      </c>
      <c r="D5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وادي الدواسر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52" s="1">
        <f>MAX(0,الحد_الأدنى-ملخص_المجموعات[[#This Row],[مجموع الفرق]])</f>
        <v>4</v>
      </c>
    </row>
    <row r="53" spans="2:7" x14ac:dyDescent="0.35">
      <c r="B53" s="2" t="s">
        <v>4</v>
      </c>
      <c r="C53" s="5" t="s">
        <v>67</v>
      </c>
      <c r="D5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ينبع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3" s="1">
        <f>MAX(0,الحد_الأدنى-ملخص_المجموعات[[#This Row],[مجموع الفرق]])</f>
        <v>6</v>
      </c>
    </row>
    <row r="54" spans="2:7" x14ac:dyDescent="0.35">
      <c r="B54" s="2" t="s">
        <v>150</v>
      </c>
      <c r="C54" s="5" t="s">
        <v>8</v>
      </c>
      <c r="D54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54" s="1">
        <f>MAX(0,الحد_الأدنى-ملخص_المجموعات[[#This Row],[مجموع الفرق]])</f>
        <v>5</v>
      </c>
    </row>
    <row r="55" spans="2:7" x14ac:dyDescent="0.35">
      <c r="B55" s="2" t="s">
        <v>150</v>
      </c>
      <c r="C55" s="5" t="s">
        <v>42</v>
      </c>
      <c r="D5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5" s="1">
        <f>MAX(0,الحد_الأدنى-ملخص_المجموعات[[#This Row],[مجموع الفرق]])</f>
        <v>0</v>
      </c>
    </row>
    <row r="56" spans="2:7" x14ac:dyDescent="0.35">
      <c r="B56" s="2" t="s">
        <v>150</v>
      </c>
      <c r="C56" s="5" t="s">
        <v>704</v>
      </c>
      <c r="D5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56" s="1">
        <f>MAX(0,الحد_الأدنى-ملخص_المجموعات[[#This Row],[مجموع الفرق]])</f>
        <v>3</v>
      </c>
    </row>
    <row r="57" spans="2:7" x14ac:dyDescent="0.35">
      <c r="B57" s="2" t="s">
        <v>150</v>
      </c>
      <c r="C57" s="5" t="s">
        <v>9</v>
      </c>
      <c r="D5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57" s="1">
        <f>MAX(0,الحد_الأدنى-ملخص_المجموعات[[#This Row],[مجموع الفرق]])</f>
        <v>0</v>
      </c>
    </row>
    <row r="58" spans="2:7" x14ac:dyDescent="0.35">
      <c r="B58" s="2" t="s">
        <v>150</v>
      </c>
      <c r="C58" s="5" t="s">
        <v>10</v>
      </c>
      <c r="D58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بلجرشي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8" s="1">
        <f>MAX(0,الحد_الأدنى-ملخص_المجموعات[[#This Row],[مجموع الفرق]])</f>
        <v>6</v>
      </c>
    </row>
    <row r="59" spans="2:7" x14ac:dyDescent="0.35">
      <c r="B59" s="2" t="s">
        <v>150</v>
      </c>
      <c r="C59" s="5" t="s">
        <v>44</v>
      </c>
      <c r="D59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البدائع، البكيرية، الخبراء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59" s="1">
        <f>MAX(0,الحد_الأدنى-ملخص_المجموعات[[#This Row],[مجموع الفرق]])</f>
        <v>6</v>
      </c>
    </row>
    <row r="60" spans="2:7" x14ac:dyDescent="0.35">
      <c r="B60" s="2" t="s">
        <v>150</v>
      </c>
      <c r="C60" s="5" t="s">
        <v>11</v>
      </c>
      <c r="D60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60" s="1">
        <f>MAX(0,الحد_الأدنى-ملخص_المجموعات[[#This Row],[مجموع الفرق]])</f>
        <v>4</v>
      </c>
    </row>
    <row r="61" spans="2:7" x14ac:dyDescent="0.35">
      <c r="B61" s="2" t="s">
        <v>150</v>
      </c>
      <c r="C61" s="5" t="s">
        <v>12</v>
      </c>
      <c r="D6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عرعر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1" s="1">
        <f>MAX(0,الحد_الأدنى-ملخص_المجموعات[[#This Row],[مجموع الفرق]])</f>
        <v>6</v>
      </c>
    </row>
    <row r="62" spans="2:7" x14ac:dyDescent="0.35">
      <c r="B62" s="2" t="s">
        <v>150</v>
      </c>
      <c r="C62" s="5" t="s">
        <v>13</v>
      </c>
      <c r="D62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2" s="1">
        <f>MAX(0,الحد_الأدنى-ملخص_المجموعات[[#This Row],[مجموع الفرق]])</f>
        <v>6</v>
      </c>
    </row>
    <row r="63" spans="2:7" x14ac:dyDescent="0.35">
      <c r="B63" s="2" t="s">
        <v>150</v>
      </c>
      <c r="C63" s="5" t="s">
        <v>46</v>
      </c>
      <c r="D6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الخفجي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3" s="1">
        <f>MAX(0,الحد_الأدنى-ملخص_المجموعات[[#This Row],[مجموع الفرق]])</f>
        <v>6</v>
      </c>
    </row>
    <row r="64" spans="2:7" x14ac:dyDescent="0.35">
      <c r="B64" s="2" t="s">
        <v>150</v>
      </c>
      <c r="C64" s="5" t="s">
        <v>63</v>
      </c>
      <c r="D6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4" s="1">
        <f>MAX(0,الحد_الأدنى-ملخص_المجموعات[[#This Row],[مجموع الفرق]])</f>
        <v>6</v>
      </c>
    </row>
    <row r="65" spans="2:7" x14ac:dyDescent="0.35">
      <c r="B65" s="2" t="s">
        <v>150</v>
      </c>
      <c r="C65" s="5" t="s">
        <v>14</v>
      </c>
      <c r="D6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5" s="1">
        <f>MAX(0,الحد_الأدنى-ملخص_المجموعات[[#This Row],[مجموع الفرق]])</f>
        <v>6</v>
      </c>
    </row>
    <row r="66" spans="2:7" x14ac:dyDescent="0.35">
      <c r="B66" s="2" t="s">
        <v>150</v>
      </c>
      <c r="C66" s="5" t="s">
        <v>48</v>
      </c>
      <c r="D6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الرس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66" s="1">
        <f>MAX(0,الحد_الأدنى-ملخص_المجموعات[[#This Row],[مجموع الفرق]])</f>
        <v>3</v>
      </c>
    </row>
    <row r="67" spans="2:7" x14ac:dyDescent="0.35">
      <c r="B67" s="2" t="s">
        <v>150</v>
      </c>
      <c r="C67" s="5" t="s">
        <v>15</v>
      </c>
      <c r="D6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7" s="1">
        <f>MAX(0,الحد_الأدنى-ملخص_المجموعات[[#This Row],[مجموع الفرق]])</f>
        <v>0</v>
      </c>
    </row>
    <row r="68" spans="2:7" x14ac:dyDescent="0.35">
      <c r="B68" s="2" t="s">
        <v>150</v>
      </c>
      <c r="C68" s="5" t="s">
        <v>51</v>
      </c>
      <c r="D6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68" s="1">
        <f>MAX(0,الحد_الأدنى-ملخص_المجموعات[[#This Row],[مجموع الفرق]])</f>
        <v>6</v>
      </c>
    </row>
    <row r="69" spans="2:7" x14ac:dyDescent="0.35">
      <c r="B69" s="2" t="s">
        <v>150</v>
      </c>
      <c r="C69" s="5" t="s">
        <v>16</v>
      </c>
      <c r="D69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9" s="1">
        <f>MAX(0,الحد_الأدنى-ملخص_المجموعات[[#This Row],[مجموع الفرق]])</f>
        <v>0</v>
      </c>
    </row>
    <row r="70" spans="2:7" x14ac:dyDescent="0.35">
      <c r="B70" s="2" t="s">
        <v>150</v>
      </c>
      <c r="C70" s="5" t="s">
        <v>17</v>
      </c>
      <c r="D7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70" s="1">
        <f>MAX(0,الحد_الأدنى-ملخص_المجموعات[[#This Row],[مجموع الفرق]])</f>
        <v>0</v>
      </c>
    </row>
    <row r="71" spans="2:7" x14ac:dyDescent="0.35">
      <c r="B71" s="2" t="s">
        <v>150</v>
      </c>
      <c r="C71" s="5" t="s">
        <v>19</v>
      </c>
      <c r="D7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بريدة، عيون الجواء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71" s="1">
        <f>MAX(0,الحد_الأدنى-ملخص_المجموعات[[#This Row],[مجموع الفرق]])</f>
        <v>2</v>
      </c>
    </row>
    <row r="72" spans="2:7" x14ac:dyDescent="0.35">
      <c r="B72" s="2" t="s">
        <v>150</v>
      </c>
      <c r="C72" s="5" t="s">
        <v>20</v>
      </c>
      <c r="D72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القطيف، رأس تنورة، صفوى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72" s="1">
        <f>MAX(0,الحد_الأدنى-ملخص_المجموعات[[#This Row],[مجموع الفرق]])</f>
        <v>2</v>
      </c>
    </row>
    <row r="73" spans="2:7" x14ac:dyDescent="0.35">
      <c r="B73" s="2" t="s">
        <v>150</v>
      </c>
      <c r="C73" s="5" t="s">
        <v>21</v>
      </c>
      <c r="D7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73" s="1">
        <f>MAX(0,الحد_الأدنى-ملخص_المجموعات[[#This Row],[مجموع الفرق]])</f>
        <v>4</v>
      </c>
    </row>
    <row r="74" spans="2:7" x14ac:dyDescent="0.35">
      <c r="B74" s="2" t="s">
        <v>150</v>
      </c>
      <c r="C74" s="5" t="s">
        <v>55</v>
      </c>
      <c r="D7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الليث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4" s="1">
        <f>MAX(0,الحد_الأدنى-ملخص_المجموعات[[#This Row],[مجموع الفرق]])</f>
        <v>6</v>
      </c>
    </row>
    <row r="75" spans="2:7" x14ac:dyDescent="0.35">
      <c r="B75" s="2" t="s">
        <v>150</v>
      </c>
      <c r="C75" s="5" t="s">
        <v>57</v>
      </c>
      <c r="D75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بارق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5" s="1">
        <f>MAX(0,الحد_الأدنى-ملخص_المجموعات[[#This Row],[مجموع الفرق]])</f>
        <v>6</v>
      </c>
    </row>
    <row r="76" spans="2:7" x14ac:dyDescent="0.35">
      <c r="B76" s="2" t="s">
        <v>150</v>
      </c>
      <c r="C76" s="5" t="s">
        <v>22</v>
      </c>
      <c r="D7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الغاط، المجمعة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6" s="1">
        <f>MAX(0,الحد_الأدنى-ملخص_المجموعات[[#This Row],[مجموع الفرق]])</f>
        <v>6</v>
      </c>
    </row>
    <row r="77" spans="2:7" x14ac:dyDescent="0.35">
      <c r="B77" s="2" t="s">
        <v>150</v>
      </c>
      <c r="C77" s="5" t="s">
        <v>23</v>
      </c>
      <c r="D7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77" s="1">
        <f>MAX(0,الحد_الأدنى-ملخص_المجموعات[[#This Row],[مجموع الفرق]])</f>
        <v>0</v>
      </c>
    </row>
    <row r="78" spans="2:7" x14ac:dyDescent="0.35">
      <c r="B78" s="2" t="s">
        <v>150</v>
      </c>
      <c r="C78" s="5" t="s">
        <v>50</v>
      </c>
      <c r="D7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المزاحمية، ضرما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8" s="1">
        <f>MAX(0,الحد_الأدنى-ملخص_المجموعات[[#This Row],[مجموع الفرق]])</f>
        <v>6</v>
      </c>
    </row>
    <row r="79" spans="2:7" x14ac:dyDescent="0.35">
      <c r="B79" s="2" t="s">
        <v>150</v>
      </c>
      <c r="C79" s="5" t="s">
        <v>60</v>
      </c>
      <c r="D79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النماص، تنومة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79" s="1">
        <f>MAX(0,الحد_الأدنى-ملخص_المجموعات[[#This Row],[مجموع الفرق]])</f>
        <v>6</v>
      </c>
    </row>
    <row r="80" spans="2:7" x14ac:dyDescent="0.35">
      <c r="B80" s="2" t="s">
        <v>150</v>
      </c>
      <c r="C80" s="5" t="s">
        <v>61</v>
      </c>
      <c r="D8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بقيق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0" s="1">
        <f>MAX(0,الحد_الأدنى-ملخص_المجموعات[[#This Row],[مجموع الفرق]])</f>
        <v>6</v>
      </c>
    </row>
    <row r="81" spans="2:7" x14ac:dyDescent="0.35">
      <c r="B81" s="2" t="s">
        <v>150</v>
      </c>
      <c r="C81" s="5" t="s">
        <v>25</v>
      </c>
      <c r="D8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81" s="1">
        <f>MAX(0,الحد_الأدنى-ملخص_المجموعات[[#This Row],[مجموع الفرق]])</f>
        <v>5</v>
      </c>
    </row>
    <row r="82" spans="2:7" x14ac:dyDescent="0.35">
      <c r="B82" s="2" t="s">
        <v>150</v>
      </c>
      <c r="C82" s="5" t="s">
        <v>64</v>
      </c>
      <c r="D8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2" s="1">
        <f>MAX(0,الحد_الأدنى-ملخص_المجموعات[[#This Row],[مجموع الفرق]])</f>
        <v>6</v>
      </c>
    </row>
    <row r="83" spans="2:7" x14ac:dyDescent="0.35">
      <c r="B83" s="2" t="s">
        <v>150</v>
      </c>
      <c r="C83" s="5" t="s">
        <v>26</v>
      </c>
      <c r="D8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83" s="1">
        <f>MAX(0,الحد_الأدنى-ملخص_المجموعات[[#This Row],[مجموع الفرق]])</f>
        <v>5</v>
      </c>
    </row>
    <row r="84" spans="2:7" x14ac:dyDescent="0.35">
      <c r="B84" s="2" t="s">
        <v>150</v>
      </c>
      <c r="C84" s="5" t="s">
        <v>28</v>
      </c>
      <c r="D8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جيزان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84" s="1">
        <f>MAX(0,الحد_الأدنى-ملخص_المجموعات[[#This Row],[مجموع الفرق]])</f>
        <v>0</v>
      </c>
    </row>
    <row r="85" spans="2:7" x14ac:dyDescent="0.35">
      <c r="B85" s="2" t="s">
        <v>150</v>
      </c>
      <c r="C85" s="5" t="s">
        <v>29</v>
      </c>
      <c r="D8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85" s="1">
        <f>MAX(0,الحد_الأدنى-ملخص_المجموعات[[#This Row],[مجموع الفرق]])</f>
        <v>0</v>
      </c>
    </row>
    <row r="86" spans="2:7" x14ac:dyDescent="0.35">
      <c r="B86" s="2" t="s">
        <v>150</v>
      </c>
      <c r="C86" s="5" t="s">
        <v>31</v>
      </c>
      <c r="D8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86" s="1">
        <f>MAX(0,الحد_الأدنى-ملخص_المجموعات[[#This Row],[مجموع الفرق]])</f>
        <v>3</v>
      </c>
    </row>
    <row r="87" spans="2:7" x14ac:dyDescent="0.35">
      <c r="B87" s="2" t="s">
        <v>150</v>
      </c>
      <c r="C87" s="5" t="s">
        <v>33</v>
      </c>
      <c r="D8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87" s="1">
        <f>MAX(0,الحد_الأدنى-ملخص_المجموعات[[#This Row],[مجموع الفرق]])</f>
        <v>1</v>
      </c>
    </row>
    <row r="88" spans="2:7" x14ac:dyDescent="0.35">
      <c r="B88" s="2" t="s">
        <v>150</v>
      </c>
      <c r="C88" s="5" t="s">
        <v>58</v>
      </c>
      <c r="D8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رابغ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8" s="1">
        <f>MAX(0,الحد_الأدنى-ملخص_المجموعات[[#This Row],[مجموع الفرق]])</f>
        <v>6</v>
      </c>
    </row>
    <row r="89" spans="2:7" x14ac:dyDescent="0.35">
      <c r="B89" s="2" t="s">
        <v>150</v>
      </c>
      <c r="C89" s="5" t="s">
        <v>69</v>
      </c>
      <c r="D8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رجال ألمع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89" s="1">
        <f>MAX(0,الحد_الأدنى-ملخص_المجموعات[[#This Row],[مجموع الفرق]])</f>
        <v>6</v>
      </c>
    </row>
    <row r="90" spans="2:7" x14ac:dyDescent="0.35">
      <c r="B90" s="2" t="s">
        <v>150</v>
      </c>
      <c r="C90" s="5" t="s">
        <v>71</v>
      </c>
      <c r="D9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0" s="1">
        <f>MAX(0,الحد_الأدنى-ملخص_المجموعات[[#This Row],[مجموع الفرق]])</f>
        <v>6</v>
      </c>
    </row>
    <row r="91" spans="2:7" x14ac:dyDescent="0.35">
      <c r="B91" s="2" t="s">
        <v>150</v>
      </c>
      <c r="C91" s="5" t="s">
        <v>73</v>
      </c>
      <c r="D9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شرورة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1" s="1">
        <f>MAX(0,الحد_الأدنى-ملخص_المجموعات[[#This Row],[مجموع الفرق]])</f>
        <v>6</v>
      </c>
    </row>
    <row r="92" spans="2:7" x14ac:dyDescent="0.35">
      <c r="B92" s="2" t="s">
        <v>150</v>
      </c>
      <c r="C92" s="5" t="s">
        <v>75</v>
      </c>
      <c r="D9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شقراء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2" s="1">
        <f>MAX(0,الحد_الأدنى-ملخص_المجموعات[[#This Row],[مجموع الفرق]])</f>
        <v>6</v>
      </c>
    </row>
    <row r="93" spans="2:7" x14ac:dyDescent="0.35">
      <c r="B93" s="2" t="s">
        <v>150</v>
      </c>
      <c r="C93" s="5" t="s">
        <v>77</v>
      </c>
      <c r="D93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أحد المسارحة، صامطة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93" s="1">
        <f>MAX(0,الحد_الأدنى-ملخص_المجموعات[[#This Row],[مجموع الفرق]])</f>
        <v>0</v>
      </c>
    </row>
    <row r="94" spans="2:7" x14ac:dyDescent="0.35">
      <c r="B94" s="2" t="s">
        <v>150</v>
      </c>
      <c r="C94" s="5" t="s">
        <v>66</v>
      </c>
      <c r="D94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العيدابي، صبيا، ضمد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94" s="1">
        <f>MAX(0,الحد_الأدنى-ملخص_المجموعات[[#This Row],[مجموع الفرق]])</f>
        <v>0</v>
      </c>
    </row>
    <row r="95" spans="2:7" x14ac:dyDescent="0.35">
      <c r="B95" s="2" t="s">
        <v>150</v>
      </c>
      <c r="C95" s="5" t="s">
        <v>78</v>
      </c>
      <c r="D9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طريف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5" s="1">
        <f>MAX(0,الحد_الأدنى-ملخص_المجموعات[[#This Row],[مجموع الفرق]])</f>
        <v>6</v>
      </c>
    </row>
    <row r="96" spans="2:7" x14ac:dyDescent="0.35">
      <c r="B96" s="2" t="s">
        <v>150</v>
      </c>
      <c r="C96" s="5" t="s">
        <v>80</v>
      </c>
      <c r="D9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عفيف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6" s="1">
        <f>MAX(0,الحد_الأدنى-ملخص_المجموعات[[#This Row],[مجموع الفرق]])</f>
        <v>6</v>
      </c>
    </row>
    <row r="97" spans="2:7" x14ac:dyDescent="0.35">
      <c r="B97" s="2" t="s">
        <v>150</v>
      </c>
      <c r="C97" s="5" t="s">
        <v>82</v>
      </c>
      <c r="D9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المذنب، عنيزة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7" s="1">
        <f>MAX(0,الحد_الأدنى-ملخص_المجموعات[[#This Row],[مجموع الفرق]])</f>
        <v>6</v>
      </c>
    </row>
    <row r="98" spans="2:7" x14ac:dyDescent="0.35">
      <c r="B98" s="2" t="s">
        <v>150</v>
      </c>
      <c r="C98" s="5" t="s">
        <v>83</v>
      </c>
      <c r="D9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فرسان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8" s="1">
        <f>MAX(0,الحد_الأدنى-ملخص_المجموعات[[#This Row],[مجموع الفرق]])</f>
        <v>6</v>
      </c>
    </row>
    <row r="99" spans="2:7" x14ac:dyDescent="0.35">
      <c r="B99" s="2" t="s">
        <v>150</v>
      </c>
      <c r="C99" s="5" t="s">
        <v>85</v>
      </c>
      <c r="D9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قلوة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99" s="1">
        <f>MAX(0,الحد_الأدنى-ملخص_المجموعات[[#This Row],[مجموع الفرق]])</f>
        <v>6</v>
      </c>
    </row>
    <row r="100" spans="2:7" x14ac:dyDescent="0.35">
      <c r="B100" s="2" t="s">
        <v>150</v>
      </c>
      <c r="C100" s="5" t="s">
        <v>34</v>
      </c>
      <c r="D10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محايل عسير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00" s="1">
        <f>MAX(0,الحد_الأدنى-ملخص_المجموعات[[#This Row],[مجموع الفرق]])</f>
        <v>6</v>
      </c>
    </row>
    <row r="101" spans="2:7" x14ac:dyDescent="0.35">
      <c r="B101" s="2" t="s">
        <v>150</v>
      </c>
      <c r="C101" s="5" t="s">
        <v>35</v>
      </c>
      <c r="D10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01" s="1">
        <f>MAX(0,الحد_الأدنى-ملخص_المجموعات[[#This Row],[مجموع الفرق]])</f>
        <v>0</v>
      </c>
    </row>
    <row r="102" spans="2:7" x14ac:dyDescent="0.35">
      <c r="B102" s="2" t="s">
        <v>150</v>
      </c>
      <c r="C102" s="5" t="s">
        <v>36</v>
      </c>
      <c r="D10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نجران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02" s="1">
        <f>MAX(0,الحد_الأدنى-ملخص_المجموعات[[#This Row],[مجموع الفرق]])</f>
        <v>6</v>
      </c>
    </row>
    <row r="103" spans="2:7" x14ac:dyDescent="0.35">
      <c r="B103" s="2" t="s">
        <v>150</v>
      </c>
      <c r="C103" s="5" t="s">
        <v>88</v>
      </c>
      <c r="D10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وادي الدواسر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03" s="1">
        <f>MAX(0,الحد_الأدنى-ملخص_المجموعات[[#This Row],[مجموع الفرق]])</f>
        <v>4</v>
      </c>
    </row>
    <row r="104" spans="2:7" x14ac:dyDescent="0.35">
      <c r="B104" s="2" t="s">
        <v>150</v>
      </c>
      <c r="C104" s="5" t="s">
        <v>67</v>
      </c>
      <c r="D10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ينبع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04" s="1">
        <f>MAX(0,الحد_الأدنى-ملخص_المجموعات[[#This Row],[مجموع الفرق]])</f>
        <v>6</v>
      </c>
    </row>
    <row r="105" spans="2:7" x14ac:dyDescent="0.35">
      <c r="B105" s="2" t="s">
        <v>151</v>
      </c>
      <c r="C105" s="5" t="s">
        <v>8</v>
      </c>
      <c r="D105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105" s="1">
        <f>MAX(0,الحد_الأدنى-ملخص_المجموعات[[#This Row],[مجموع الفرق]])</f>
        <v>3</v>
      </c>
    </row>
    <row r="106" spans="2:7" x14ac:dyDescent="0.35">
      <c r="B106" s="2" t="s">
        <v>151</v>
      </c>
      <c r="C106" s="5" t="s">
        <v>42</v>
      </c>
      <c r="D10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06" s="1">
        <f>MAX(0,الحد_الأدنى-ملخص_المجموعات[[#This Row],[مجموع الفرق]])</f>
        <v>0</v>
      </c>
    </row>
    <row r="107" spans="2:7" x14ac:dyDescent="0.35">
      <c r="B107" s="2" t="s">
        <v>151</v>
      </c>
      <c r="C107" s="5" t="s">
        <v>704</v>
      </c>
      <c r="D10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107" s="1">
        <f>MAX(0,الحد_الأدنى-ملخص_المجموعات[[#This Row],[مجموع الفرق]])</f>
        <v>3</v>
      </c>
    </row>
    <row r="108" spans="2:7" x14ac:dyDescent="0.35">
      <c r="B108" s="2" t="s">
        <v>151</v>
      </c>
      <c r="C108" s="5" t="s">
        <v>9</v>
      </c>
      <c r="D10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08" s="1">
        <f>MAX(0,الحد_الأدنى-ملخص_المجموعات[[#This Row],[مجموع الفرق]])</f>
        <v>0</v>
      </c>
    </row>
    <row r="109" spans="2:7" x14ac:dyDescent="0.35">
      <c r="B109" s="2" t="s">
        <v>151</v>
      </c>
      <c r="C109" s="5" t="s">
        <v>10</v>
      </c>
      <c r="D109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بلجرشي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09" s="1">
        <f>MAX(0,الحد_الأدنى-ملخص_المجموعات[[#This Row],[مجموع الفرق]])</f>
        <v>4</v>
      </c>
    </row>
    <row r="110" spans="2:7" x14ac:dyDescent="0.35">
      <c r="B110" s="2" t="s">
        <v>151</v>
      </c>
      <c r="C110" s="5" t="s">
        <v>44</v>
      </c>
      <c r="D11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البدائع، البكيرية، الخبراء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0" s="1">
        <f>MAX(0,الحد_الأدنى-ملخص_المجموعات[[#This Row],[مجموع الفرق]])</f>
        <v>6</v>
      </c>
    </row>
    <row r="111" spans="2:7" x14ac:dyDescent="0.35">
      <c r="B111" s="2" t="s">
        <v>151</v>
      </c>
      <c r="C111" s="5" t="s">
        <v>11</v>
      </c>
      <c r="D111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111" s="1">
        <f>MAX(0,الحد_الأدنى-ملخص_المجموعات[[#This Row],[مجموع الفرق]])</f>
        <v>3</v>
      </c>
    </row>
    <row r="112" spans="2:7" x14ac:dyDescent="0.35">
      <c r="B112" s="2" t="s">
        <v>151</v>
      </c>
      <c r="C112" s="5" t="s">
        <v>12</v>
      </c>
      <c r="D11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عرعر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12" s="1">
        <f>MAX(0,الحد_الأدنى-ملخص_المجموعات[[#This Row],[مجموع الفرق]])</f>
        <v>4</v>
      </c>
    </row>
    <row r="113" spans="2:7" x14ac:dyDescent="0.35">
      <c r="B113" s="2" t="s">
        <v>151</v>
      </c>
      <c r="C113" s="5" t="s">
        <v>13</v>
      </c>
      <c r="D113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3" s="1">
        <f>MAX(0,الحد_الأدنى-ملخص_المجموعات[[#This Row],[مجموع الفرق]])</f>
        <v>6</v>
      </c>
    </row>
    <row r="114" spans="2:7" x14ac:dyDescent="0.35">
      <c r="B114" s="2" t="s">
        <v>151</v>
      </c>
      <c r="C114" s="5" t="s">
        <v>46</v>
      </c>
      <c r="D11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الخفجي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4" s="1">
        <f>MAX(0,الحد_الأدنى-ملخص_المجموعات[[#This Row],[مجموع الفرق]])</f>
        <v>6</v>
      </c>
    </row>
    <row r="115" spans="2:7" x14ac:dyDescent="0.35">
      <c r="B115" s="2" t="s">
        <v>151</v>
      </c>
      <c r="C115" s="5" t="s">
        <v>63</v>
      </c>
      <c r="D11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5" s="1">
        <f>MAX(0,الحد_الأدنى-ملخص_المجموعات[[#This Row],[مجموع الفرق]])</f>
        <v>6</v>
      </c>
    </row>
    <row r="116" spans="2:7" x14ac:dyDescent="0.35">
      <c r="B116" s="2" t="s">
        <v>151</v>
      </c>
      <c r="C116" s="5" t="s">
        <v>14</v>
      </c>
      <c r="D11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16" s="1">
        <f>MAX(0,الحد_الأدنى-ملخص_المجموعات[[#This Row],[مجموع الفرق]])</f>
        <v>6</v>
      </c>
    </row>
    <row r="117" spans="2:7" x14ac:dyDescent="0.35">
      <c r="B117" s="2" t="s">
        <v>151</v>
      </c>
      <c r="C117" s="5" t="s">
        <v>48</v>
      </c>
      <c r="D11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الرس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17" s="1">
        <f>MAX(0,الحد_الأدنى-ملخص_المجموعات[[#This Row],[مجموع الفرق]])</f>
        <v>2</v>
      </c>
    </row>
    <row r="118" spans="2:7" x14ac:dyDescent="0.35">
      <c r="B118" s="2" t="s">
        <v>151</v>
      </c>
      <c r="C118" s="5" t="s">
        <v>15</v>
      </c>
      <c r="D11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18" s="1">
        <f>MAX(0,الحد_الأدنى-ملخص_المجموعات[[#This Row],[مجموع الفرق]])</f>
        <v>0</v>
      </c>
    </row>
    <row r="119" spans="2:7" x14ac:dyDescent="0.35">
      <c r="B119" s="2" t="s">
        <v>151</v>
      </c>
      <c r="C119" s="5" t="s">
        <v>51</v>
      </c>
      <c r="D11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19" s="1">
        <f>MAX(0,الحد_الأدنى-ملخص_المجموعات[[#This Row],[مجموع الفرق]])</f>
        <v>5</v>
      </c>
    </row>
    <row r="120" spans="2:7" x14ac:dyDescent="0.35">
      <c r="B120" s="2" t="s">
        <v>151</v>
      </c>
      <c r="C120" s="5" t="s">
        <v>16</v>
      </c>
      <c r="D120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20" s="1">
        <f>MAX(0,الحد_الأدنى-ملخص_المجموعات[[#This Row],[مجموع الفرق]])</f>
        <v>0</v>
      </c>
    </row>
    <row r="121" spans="2:7" x14ac:dyDescent="0.35">
      <c r="B121" s="2" t="s">
        <v>151</v>
      </c>
      <c r="C121" s="5" t="s">
        <v>17</v>
      </c>
      <c r="D12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21" s="1">
        <f>MAX(0,الحد_الأدنى-ملخص_المجموعات[[#This Row],[مجموع الفرق]])</f>
        <v>0</v>
      </c>
    </row>
    <row r="122" spans="2:7" x14ac:dyDescent="0.35">
      <c r="B122" s="2" t="s">
        <v>151</v>
      </c>
      <c r="C122" s="5" t="s">
        <v>19</v>
      </c>
      <c r="D122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بريدة، عيون الجواء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2" s="1">
        <f>MAX(0,الحد_الأدنى-ملخص_المجموعات[[#This Row],[مجموع الفرق]])</f>
        <v>0</v>
      </c>
    </row>
    <row r="123" spans="2:7" x14ac:dyDescent="0.35">
      <c r="B123" s="2" t="s">
        <v>151</v>
      </c>
      <c r="C123" s="5" t="s">
        <v>20</v>
      </c>
      <c r="D123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القطيف، رأس تنورة، صفوى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23" s="1">
        <f>MAX(0,الحد_الأدنى-ملخص_المجموعات[[#This Row],[مجموع الفرق]])</f>
        <v>1</v>
      </c>
    </row>
    <row r="124" spans="2:7" x14ac:dyDescent="0.35">
      <c r="B124" s="2" t="s">
        <v>151</v>
      </c>
      <c r="C124" s="5" t="s">
        <v>21</v>
      </c>
      <c r="D12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24" s="1">
        <f>MAX(0,الحد_الأدنى-ملخص_المجموعات[[#This Row],[مجموع الفرق]])</f>
        <v>2</v>
      </c>
    </row>
    <row r="125" spans="2:7" x14ac:dyDescent="0.35">
      <c r="B125" s="2" t="s">
        <v>151</v>
      </c>
      <c r="C125" s="5" t="s">
        <v>55</v>
      </c>
      <c r="D12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الليث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25" s="1">
        <f>MAX(0,الحد_الأدنى-ملخص_المجموعات[[#This Row],[مجموع الفرق]])</f>
        <v>5</v>
      </c>
    </row>
    <row r="126" spans="2:7" x14ac:dyDescent="0.35">
      <c r="B126" s="2" t="s">
        <v>151</v>
      </c>
      <c r="C126" s="5" t="s">
        <v>57</v>
      </c>
      <c r="D12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بارق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26" s="1">
        <f>MAX(0,الحد_الأدنى-ملخص_المجموعات[[#This Row],[مجموع الفرق]])</f>
        <v>6</v>
      </c>
    </row>
    <row r="127" spans="2:7" x14ac:dyDescent="0.35">
      <c r="B127" s="2" t="s">
        <v>151</v>
      </c>
      <c r="C127" s="5" t="s">
        <v>22</v>
      </c>
      <c r="D12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الغاط، المجمعة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27" s="1">
        <f>MAX(0,الحد_الأدنى-ملخص_المجموعات[[#This Row],[مجموع الفرق]])</f>
        <v>6</v>
      </c>
    </row>
    <row r="128" spans="2:7" x14ac:dyDescent="0.35">
      <c r="B128" s="2" t="s">
        <v>151</v>
      </c>
      <c r="C128" s="5" t="s">
        <v>23</v>
      </c>
      <c r="D12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28" s="1">
        <f>MAX(0,الحد_الأدنى-ملخص_المجموعات[[#This Row],[مجموع الفرق]])</f>
        <v>0</v>
      </c>
    </row>
    <row r="129" spans="2:7" x14ac:dyDescent="0.35">
      <c r="B129" s="2" t="s">
        <v>151</v>
      </c>
      <c r="C129" s="5" t="s">
        <v>50</v>
      </c>
      <c r="D129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المزاحمية، ضرما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29" s="1">
        <f>MAX(0,الحد_الأدنى-ملخص_المجموعات[[#This Row],[مجموع الفرق]])</f>
        <v>6</v>
      </c>
    </row>
    <row r="130" spans="2:7" x14ac:dyDescent="0.35">
      <c r="B130" s="2" t="s">
        <v>151</v>
      </c>
      <c r="C130" s="5" t="s">
        <v>60</v>
      </c>
      <c r="D130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النماص، تنومة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0" s="1">
        <f>MAX(0,الحد_الأدنى-ملخص_المجموعات[[#This Row],[مجموع الفرق]])</f>
        <v>6</v>
      </c>
    </row>
    <row r="131" spans="2:7" x14ac:dyDescent="0.35">
      <c r="B131" s="2" t="s">
        <v>151</v>
      </c>
      <c r="C131" s="5" t="s">
        <v>61</v>
      </c>
      <c r="D13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بقيق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1" s="1">
        <f>MAX(0,الحد_الأدنى-ملخص_المجموعات[[#This Row],[مجموع الفرق]])</f>
        <v>6</v>
      </c>
    </row>
    <row r="132" spans="2:7" x14ac:dyDescent="0.35">
      <c r="B132" s="2" t="s">
        <v>151</v>
      </c>
      <c r="C132" s="5" t="s">
        <v>25</v>
      </c>
      <c r="D13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32" s="1">
        <f>MAX(0,الحد_الأدنى-ملخص_المجموعات[[#This Row],[مجموع الفرق]])</f>
        <v>5</v>
      </c>
    </row>
    <row r="133" spans="2:7" x14ac:dyDescent="0.35">
      <c r="B133" s="2" t="s">
        <v>151</v>
      </c>
      <c r="C133" s="5" t="s">
        <v>64</v>
      </c>
      <c r="D13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3" s="1">
        <f>MAX(0,الحد_الأدنى-ملخص_المجموعات[[#This Row],[مجموع الفرق]])</f>
        <v>6</v>
      </c>
    </row>
    <row r="134" spans="2:7" x14ac:dyDescent="0.35">
      <c r="B134" s="2" t="s">
        <v>151</v>
      </c>
      <c r="C134" s="5" t="s">
        <v>26</v>
      </c>
      <c r="D13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34" s="1">
        <f>MAX(0,الحد_الأدنى-ملخص_المجموعات[[#This Row],[مجموع الفرق]])</f>
        <v>5</v>
      </c>
    </row>
    <row r="135" spans="2:7" x14ac:dyDescent="0.35">
      <c r="B135" s="2" t="s">
        <v>151</v>
      </c>
      <c r="C135" s="5" t="s">
        <v>28</v>
      </c>
      <c r="D13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جيزان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35" s="1">
        <f>MAX(0,الحد_الأدنى-ملخص_المجموعات[[#This Row],[مجموع الفرق]])</f>
        <v>0</v>
      </c>
    </row>
    <row r="136" spans="2:7" x14ac:dyDescent="0.35">
      <c r="B136" s="2" t="s">
        <v>151</v>
      </c>
      <c r="C136" s="5" t="s">
        <v>29</v>
      </c>
      <c r="D13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6" s="1">
        <f>MAX(0,الحد_الأدنى-ملخص_المجموعات[[#This Row],[مجموع الفرق]])</f>
        <v>0</v>
      </c>
    </row>
    <row r="137" spans="2:7" x14ac:dyDescent="0.35">
      <c r="B137" s="2" t="s">
        <v>151</v>
      </c>
      <c r="C137" s="5" t="s">
        <v>31</v>
      </c>
      <c r="D13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37" s="1">
        <f>MAX(0,الحد_الأدنى-ملخص_المجموعات[[#This Row],[مجموع الفرق]])</f>
        <v>2</v>
      </c>
    </row>
    <row r="138" spans="2:7" x14ac:dyDescent="0.35">
      <c r="B138" s="2" t="s">
        <v>151</v>
      </c>
      <c r="C138" s="5" t="s">
        <v>33</v>
      </c>
      <c r="D13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38" s="1">
        <f>MAX(0,الحد_الأدنى-ملخص_المجموعات[[#This Row],[مجموع الفرق]])</f>
        <v>1</v>
      </c>
    </row>
    <row r="139" spans="2:7" x14ac:dyDescent="0.35">
      <c r="B139" s="2" t="s">
        <v>151</v>
      </c>
      <c r="C139" s="5" t="s">
        <v>58</v>
      </c>
      <c r="D13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رابغ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39" s="1">
        <f>MAX(0,الحد_الأدنى-ملخص_المجموعات[[#This Row],[مجموع الفرق]])</f>
        <v>6</v>
      </c>
    </row>
    <row r="140" spans="2:7" x14ac:dyDescent="0.35">
      <c r="B140" s="2" t="s">
        <v>151</v>
      </c>
      <c r="C140" s="5" t="s">
        <v>69</v>
      </c>
      <c r="D14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رجال ألمع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0" s="1">
        <f>MAX(0,الحد_الأدنى-ملخص_المجموعات[[#This Row],[مجموع الفرق]])</f>
        <v>6</v>
      </c>
    </row>
    <row r="141" spans="2:7" x14ac:dyDescent="0.35">
      <c r="B141" s="2" t="s">
        <v>151</v>
      </c>
      <c r="C141" s="5" t="s">
        <v>71</v>
      </c>
      <c r="D14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1" s="1">
        <f>MAX(0,الحد_الأدنى-ملخص_المجموعات[[#This Row],[مجموع الفرق]])</f>
        <v>6</v>
      </c>
    </row>
    <row r="142" spans="2:7" x14ac:dyDescent="0.35">
      <c r="B142" s="2" t="s">
        <v>151</v>
      </c>
      <c r="C142" s="5" t="s">
        <v>73</v>
      </c>
      <c r="D14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شرورة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2" s="1">
        <f>MAX(0,الحد_الأدنى-ملخص_المجموعات[[#This Row],[مجموع الفرق]])</f>
        <v>6</v>
      </c>
    </row>
    <row r="143" spans="2:7" x14ac:dyDescent="0.35">
      <c r="B143" s="2" t="s">
        <v>151</v>
      </c>
      <c r="C143" s="5" t="s">
        <v>75</v>
      </c>
      <c r="D14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شقراء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3" s="1">
        <f>MAX(0,الحد_الأدنى-ملخص_المجموعات[[#This Row],[مجموع الفرق]])</f>
        <v>6</v>
      </c>
    </row>
    <row r="144" spans="2:7" x14ac:dyDescent="0.35">
      <c r="B144" s="2" t="s">
        <v>151</v>
      </c>
      <c r="C144" s="5" t="s">
        <v>77</v>
      </c>
      <c r="D144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أحد المسارحة، صامطة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44" s="1">
        <f>MAX(0,الحد_الأدنى-ملخص_المجموعات[[#This Row],[مجموع الفرق]])</f>
        <v>0</v>
      </c>
    </row>
    <row r="145" spans="2:7" x14ac:dyDescent="0.35">
      <c r="B145" s="2" t="s">
        <v>151</v>
      </c>
      <c r="C145" s="5" t="s">
        <v>66</v>
      </c>
      <c r="D145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العيدابي، صبيا، ضمد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45" s="1">
        <f>MAX(0,الحد_الأدنى-ملخص_المجموعات[[#This Row],[مجموع الفرق]])</f>
        <v>0</v>
      </c>
    </row>
    <row r="146" spans="2:7" x14ac:dyDescent="0.35">
      <c r="B146" s="2" t="s">
        <v>151</v>
      </c>
      <c r="C146" s="5" t="s">
        <v>78</v>
      </c>
      <c r="D14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طريف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6" s="1">
        <f>MAX(0,الحد_الأدنى-ملخص_المجموعات[[#This Row],[مجموع الفرق]])</f>
        <v>6</v>
      </c>
    </row>
    <row r="147" spans="2:7" x14ac:dyDescent="0.35">
      <c r="B147" s="2" t="s">
        <v>151</v>
      </c>
      <c r="C147" s="5" t="s">
        <v>80</v>
      </c>
      <c r="D14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عفيف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7" s="1">
        <f>MAX(0,الحد_الأدنى-ملخص_المجموعات[[#This Row],[مجموع الفرق]])</f>
        <v>6</v>
      </c>
    </row>
    <row r="148" spans="2:7" x14ac:dyDescent="0.35">
      <c r="B148" s="2" t="s">
        <v>151</v>
      </c>
      <c r="C148" s="5" t="s">
        <v>82</v>
      </c>
      <c r="D14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المذنب، عنيزة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8" s="1">
        <f>MAX(0,الحد_الأدنى-ملخص_المجموعات[[#This Row],[مجموع الفرق]])</f>
        <v>6</v>
      </c>
    </row>
    <row r="149" spans="2:7" x14ac:dyDescent="0.35">
      <c r="B149" s="2" t="s">
        <v>151</v>
      </c>
      <c r="C149" s="5" t="s">
        <v>83</v>
      </c>
      <c r="D14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فرسان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49" s="1">
        <f>MAX(0,الحد_الأدنى-ملخص_المجموعات[[#This Row],[مجموع الفرق]])</f>
        <v>6</v>
      </c>
    </row>
    <row r="150" spans="2:7" x14ac:dyDescent="0.35">
      <c r="B150" s="2" t="s">
        <v>151</v>
      </c>
      <c r="C150" s="5" t="s">
        <v>85</v>
      </c>
      <c r="D15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قلوة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0" s="1">
        <f>MAX(0,الحد_الأدنى-ملخص_المجموعات[[#This Row],[مجموع الفرق]])</f>
        <v>6</v>
      </c>
    </row>
    <row r="151" spans="2:7" x14ac:dyDescent="0.35">
      <c r="B151" s="2" t="s">
        <v>151</v>
      </c>
      <c r="C151" s="5" t="s">
        <v>34</v>
      </c>
      <c r="D15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محايل عسير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51" s="1">
        <f>MAX(0,الحد_الأدنى-ملخص_المجموعات[[#This Row],[مجموع الفرق]])</f>
        <v>5</v>
      </c>
    </row>
    <row r="152" spans="2:7" x14ac:dyDescent="0.35">
      <c r="B152" s="2" t="s">
        <v>151</v>
      </c>
      <c r="C152" s="5" t="s">
        <v>35</v>
      </c>
      <c r="D152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52" s="1">
        <f>MAX(0,الحد_الأدنى-ملخص_المجموعات[[#This Row],[مجموع الفرق]])</f>
        <v>0</v>
      </c>
    </row>
    <row r="153" spans="2:7" x14ac:dyDescent="0.35">
      <c r="B153" s="2" t="s">
        <v>151</v>
      </c>
      <c r="C153" s="5" t="s">
        <v>36</v>
      </c>
      <c r="D15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نجران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3" s="1">
        <f>MAX(0,الحد_الأدنى-ملخص_المجموعات[[#This Row],[مجموع الفرق]])</f>
        <v>6</v>
      </c>
    </row>
    <row r="154" spans="2:7" x14ac:dyDescent="0.35">
      <c r="B154" s="2" t="s">
        <v>151</v>
      </c>
      <c r="C154" s="5" t="s">
        <v>88</v>
      </c>
      <c r="D15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وادي الدواسر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4" s="1">
        <f>MAX(0,الحد_الأدنى-ملخص_المجموعات[[#This Row],[مجموع الفرق]])</f>
        <v>6</v>
      </c>
    </row>
    <row r="155" spans="2:7" x14ac:dyDescent="0.35">
      <c r="B155" s="2" t="s">
        <v>151</v>
      </c>
      <c r="C155" s="5" t="s">
        <v>67</v>
      </c>
      <c r="D15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ينبع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5" s="1">
        <f>MAX(0,الحد_الأدنى-ملخص_المجموعات[[#This Row],[مجموع الفرق]])</f>
        <v>6</v>
      </c>
    </row>
    <row r="156" spans="2:7" x14ac:dyDescent="0.35">
      <c r="B156" s="2" t="s">
        <v>152</v>
      </c>
      <c r="C156" s="5" t="s">
        <v>8</v>
      </c>
      <c r="D156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مشيط، رجال ألمع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56" s="1">
        <f>MAX(0,الحد_الأدنى-ملخص_المجموعات[[#This Row],[مجموع الفرق]])</f>
        <v>1</v>
      </c>
    </row>
    <row r="157" spans="2:7" x14ac:dyDescent="0.35">
      <c r="B157" s="2" t="s">
        <v>152</v>
      </c>
      <c r="C157" s="5" t="s">
        <v>704</v>
      </c>
      <c r="D15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أملج، ينبع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7" s="1">
        <f>MAX(0,الحد_الأدنى-ملخص_المجموعات[[#This Row],[مجموع الفرق]])</f>
        <v>6</v>
      </c>
    </row>
    <row r="158" spans="2:7" x14ac:dyDescent="0.35">
      <c r="B158" s="2" t="s">
        <v>152</v>
      </c>
      <c r="C158" s="5" t="s">
        <v>9</v>
      </c>
      <c r="D158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المبرز، بقيق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58" s="1">
        <f>MAX(0,الحد_الأدنى-ملخص_المجموعات[[#This Row],[مجموع الفرق]])</f>
        <v>0</v>
      </c>
    </row>
    <row r="159" spans="2:7" x14ac:dyDescent="0.35">
      <c r="B159" s="2" t="s">
        <v>152</v>
      </c>
      <c r="C159" s="5" t="s">
        <v>10</v>
      </c>
      <c r="D159" s="1">
        <f>COUNTIFS(تفاصيل_الفرق[الفئة العمرية],ملخص_المجموعات[[#This Row],[الفئة]],تفاصيل_الفرق[المجموعة],ملخص_المجموعات[[#This Row],[المجموعة]])</f>
        <v>6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المخواة، المندق، بلجرشي، قلوة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59" s="1">
        <f>MAX(0,الحد_الأدنى-ملخص_المجموعات[[#This Row],[مجموع الفرق]])</f>
        <v>6</v>
      </c>
    </row>
    <row r="160" spans="2:7" x14ac:dyDescent="0.35">
      <c r="B160" s="2" t="s">
        <v>152</v>
      </c>
      <c r="C160" s="5" t="s">
        <v>11</v>
      </c>
      <c r="D160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سكاكا، طبرجل، القريات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0" s="1">
        <f>MAX(0,الحد_الأدنى-ملخص_المجموعات[[#This Row],[مجموع الفرق]])</f>
        <v>0</v>
      </c>
    </row>
    <row r="161" spans="2:7" x14ac:dyDescent="0.35">
      <c r="B161" s="2" t="s">
        <v>152</v>
      </c>
      <c r="C161" s="5" t="s">
        <v>12</v>
      </c>
      <c r="D16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رفحاء، طريف، عرعر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61" s="1">
        <f>MAX(0,الحد_الأدنى-ملخص_المجموعات[[#This Row],[مجموع الفرق]])</f>
        <v>4</v>
      </c>
    </row>
    <row r="162" spans="2:7" x14ac:dyDescent="0.35">
      <c r="B162" s="2" t="s">
        <v>152</v>
      </c>
      <c r="C162" s="5" t="s">
        <v>13</v>
      </c>
      <c r="D162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الدلم، حوطة بني تميم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62" s="1">
        <f>MAX(0,الحد_الأدنى-ملخص_المجموعات[[#This Row],[مجموع الفرق]])</f>
        <v>5</v>
      </c>
    </row>
    <row r="163" spans="2:7" x14ac:dyDescent="0.35">
      <c r="B163" s="2" t="s">
        <v>152</v>
      </c>
      <c r="C163" s="5" t="s">
        <v>14</v>
      </c>
      <c r="D163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الدوادمي، القويعية، عفيف، وادي الدواسر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63" s="1">
        <f>MAX(0,الحد_الأدنى-ملخص_المجموعات[[#This Row],[مجموع الفرق]])</f>
        <v>6</v>
      </c>
    </row>
    <row r="164" spans="2:7" x14ac:dyDescent="0.35">
      <c r="B164" s="2" t="s">
        <v>152</v>
      </c>
      <c r="C164" s="5" t="s">
        <v>15</v>
      </c>
      <c r="D164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الرياض، المزاحمية، ضرما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64" s="1">
        <f>MAX(0,الحد_الأدنى-ملخص_المجموعات[[#This Row],[مجموع الفرق]])</f>
        <v>0</v>
      </c>
    </row>
    <row r="165" spans="2:7" x14ac:dyDescent="0.35">
      <c r="B165" s="2" t="s">
        <v>152</v>
      </c>
      <c r="C165" s="5" t="s">
        <v>16</v>
      </c>
      <c r="D165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65" s="1">
        <f>MAX(0,الحد_الأدنى-ملخص_المجموعات[[#This Row],[مجموع الفرق]])</f>
        <v>0</v>
      </c>
    </row>
    <row r="166" spans="2:7" x14ac:dyDescent="0.35">
      <c r="B166" s="2" t="s">
        <v>152</v>
      </c>
      <c r="C166" s="5" t="s">
        <v>17</v>
      </c>
      <c r="D16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66" s="1">
        <f>MAX(0,الحد_الأدنى-ملخص_المجموعات[[#This Row],[مجموع الفرق]])</f>
        <v>0</v>
      </c>
    </row>
    <row r="167" spans="2:7" x14ac:dyDescent="0.35">
      <c r="B167" s="2" t="s">
        <v>152</v>
      </c>
      <c r="C167" s="5" t="s">
        <v>19</v>
      </c>
      <c r="D167" s="1">
        <f>COUNTIFS(تفاصيل_الفرق[الفئة العمرية],ملخص_المجموعات[[#This Row],[الفئة]],تفاصيل_الفرق[المجموعة],ملخص_المجموعات[[#This Row],[المجموعة]])</f>
        <v>9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البدائع، البكيرية، عيون الجواء، الخبراء، الرس، المذنب، بريدة، عنيزة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67" s="1">
        <f>MAX(0,الحد_الأدنى-ملخص_المجموعات[[#This Row],[مجموع الفرق]])</f>
        <v>0</v>
      </c>
    </row>
    <row r="168" spans="2:7" x14ac:dyDescent="0.35">
      <c r="B168" s="2" t="s">
        <v>152</v>
      </c>
      <c r="C168" s="5" t="s">
        <v>20</v>
      </c>
      <c r="D168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الجبيل، القطيف، رأس تنورة، صفوى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68" s="1">
        <f>MAX(0,الحد_الأدنى-ملخص_المجموعات[[#This Row],[مجموع الفرق]])</f>
        <v>0</v>
      </c>
    </row>
    <row r="169" spans="2:7" x14ac:dyDescent="0.35">
      <c r="B169" s="2" t="s">
        <v>152</v>
      </c>
      <c r="C169" s="5" t="s">
        <v>21</v>
      </c>
      <c r="D169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القنفذة، الليث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9" s="1">
        <f>MAX(0,الحد_الأدنى-ملخص_المجموعات[[#This Row],[مجموع الفرق]])</f>
        <v>0</v>
      </c>
    </row>
    <row r="170" spans="2:7" x14ac:dyDescent="0.35">
      <c r="B170" s="2" t="s">
        <v>152</v>
      </c>
      <c r="C170" s="5" t="s">
        <v>22</v>
      </c>
      <c r="D170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الزلفي، الغاط، المجمعة، شقراء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70" s="1">
        <f>MAX(0,الحد_الأدنى-ملخص_المجموعات[[#This Row],[مجموع الفرق]])</f>
        <v>5</v>
      </c>
    </row>
    <row r="171" spans="2:7" x14ac:dyDescent="0.35">
      <c r="B171" s="2" t="s">
        <v>152</v>
      </c>
      <c r="C171" s="5" t="s">
        <v>23</v>
      </c>
      <c r="D17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71" s="1">
        <f>MAX(0,الحد_الأدنى-ملخص_المجموعات[[#This Row],[مجموع الفرق]])</f>
        <v>0</v>
      </c>
    </row>
    <row r="172" spans="2:7" x14ac:dyDescent="0.35">
      <c r="B172" s="2" t="s">
        <v>152</v>
      </c>
      <c r="C172" s="5" t="s">
        <v>702</v>
      </c>
      <c r="D17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الوجه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72" s="1">
        <f>MAX(0,الحد_الأدنى-ملخص_المجموعات[[#This Row],[مجموع الفرق]])</f>
        <v>5</v>
      </c>
    </row>
    <row r="173" spans="2:7" x14ac:dyDescent="0.35">
      <c r="B173" s="2" t="s">
        <v>152</v>
      </c>
      <c r="C173" s="5" t="s">
        <v>25</v>
      </c>
      <c r="D173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الدرب، بيش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73" s="1">
        <f>MAX(0,الحد_الأدنى-ملخص_المجموعات[[#This Row],[مجموع الفرق]])</f>
        <v>4</v>
      </c>
    </row>
    <row r="174" spans="2:7" x14ac:dyDescent="0.35">
      <c r="B174" s="2" t="s">
        <v>152</v>
      </c>
      <c r="C174" s="5" t="s">
        <v>64</v>
      </c>
      <c r="D17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74" s="1">
        <f>MAX(0,الحد_الأدنى-ملخص_المجموعات[[#This Row],[مجموع الفرق]])</f>
        <v>6</v>
      </c>
    </row>
    <row r="175" spans="2:7" x14ac:dyDescent="0.35">
      <c r="B175" s="2" t="s">
        <v>152</v>
      </c>
      <c r="C175" s="5" t="s">
        <v>26</v>
      </c>
      <c r="D17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75" s="1">
        <f>MAX(0,الحد_الأدنى-ملخص_المجموعات[[#This Row],[مجموع الفرق]])</f>
        <v>5</v>
      </c>
    </row>
    <row r="176" spans="2:7" x14ac:dyDescent="0.35">
      <c r="B176" s="2" t="s">
        <v>152</v>
      </c>
      <c r="C176" s="5" t="s">
        <v>28</v>
      </c>
      <c r="D176" s="1">
        <f>COUNTIFS(تفاصيل_الفرق[الفئة العمرية],ملخص_المجموعات[[#This Row],[الفئة]],تفاصيل_الفرق[المجموعة],ملخص_المجموعات[[#This Row],[المجموعة]])</f>
        <v>7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عريش، أحد المسارحة، العيدابي، جيزان، صامطة، صبيا، ضمد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68</v>
      </c>
      <c r="G176" s="1">
        <f>MAX(0,الحد_الأدنى-ملخص_المجموعات[[#This Row],[مجموع الفرق]])</f>
        <v>0</v>
      </c>
    </row>
    <row r="177" spans="2:7" x14ac:dyDescent="0.35">
      <c r="B177" s="2" t="s">
        <v>152</v>
      </c>
      <c r="C177" s="5" t="s">
        <v>29</v>
      </c>
      <c r="D17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77" s="1">
        <f>MAX(0,الحد_الأدنى-ملخص_المجموعات[[#This Row],[مجموع الفرق]])</f>
        <v>0</v>
      </c>
    </row>
    <row r="178" spans="2:7" x14ac:dyDescent="0.35">
      <c r="B178" s="2" t="s">
        <v>152</v>
      </c>
      <c r="C178" s="5" t="s">
        <v>31</v>
      </c>
      <c r="D17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78" s="1">
        <f>MAX(0,الحد_الأدنى-ملخص_المجموعات[[#This Row],[مجموع الفرق]])</f>
        <v>2</v>
      </c>
    </row>
    <row r="179" spans="2:7" x14ac:dyDescent="0.35">
      <c r="B179" s="2" t="s">
        <v>152</v>
      </c>
      <c r="C179" s="5" t="s">
        <v>33</v>
      </c>
      <c r="D179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79" s="1">
        <f>MAX(0,الحد_الأدنى-ملخص_المجموعات[[#This Row],[مجموع الفرق]])</f>
        <v>1</v>
      </c>
    </row>
    <row r="180" spans="2:7" x14ac:dyDescent="0.35">
      <c r="B180" s="2" t="s">
        <v>152</v>
      </c>
      <c r="C180" s="5" t="s">
        <v>703</v>
      </c>
      <c r="D18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ضباء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80" s="1">
        <f>MAX(0,الحد_الأدنى-ملخص_المجموعات[[#This Row],[مجموع الفرق]])</f>
        <v>6</v>
      </c>
    </row>
    <row r="181" spans="2:7" x14ac:dyDescent="0.35">
      <c r="B181" s="2" t="s">
        <v>152</v>
      </c>
      <c r="C181" s="5" t="s">
        <v>34</v>
      </c>
      <c r="D181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النماص، بارق، تنومة، محايل عسير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81" s="1">
        <f>MAX(0,الحد_الأدنى-ملخص_المجموعات[[#This Row],[مجموع الفرق]])</f>
        <v>5</v>
      </c>
    </row>
    <row r="182" spans="2:7" x14ac:dyDescent="0.35">
      <c r="B182" s="2" t="s">
        <v>152</v>
      </c>
      <c r="C182" s="5" t="s">
        <v>35</v>
      </c>
      <c r="D182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182" s="1">
        <f>MAX(0,الحد_الأدنى-ملخص_المجموعات[[#This Row],[مجموع الفرق]])</f>
        <v>0</v>
      </c>
    </row>
    <row r="183" spans="2:7" x14ac:dyDescent="0.35">
      <c r="B183" s="2" t="s">
        <v>152</v>
      </c>
      <c r="C183" s="5" t="s">
        <v>705</v>
      </c>
      <c r="D18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مهد الذهب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83" s="1">
        <f>MAX(0,الحد_الأدنى-ملخص_المجموعات[[#This Row],[مجموع الفرق]])</f>
        <v>6</v>
      </c>
    </row>
    <row r="184" spans="2:7" x14ac:dyDescent="0.35">
      <c r="B184" s="2" t="s">
        <v>152</v>
      </c>
      <c r="C184" s="5" t="s">
        <v>36</v>
      </c>
      <c r="D184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حبونا، خباش، شرورة، نجران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84" s="1">
        <f>MAX(0,الحد_الأدنى-ملخص_المجموعات[[#This Row],[مجموع الفرق]])</f>
        <v>6</v>
      </c>
    </row>
    <row r="185" spans="2:7" x14ac:dyDescent="0.35">
      <c r="B185" s="2" t="s">
        <v>155</v>
      </c>
      <c r="C185" s="5" t="s">
        <v>8</v>
      </c>
      <c r="D185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مشيط، رجال ألمع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185" s="1">
        <f>MAX(0,الحد_الأدنى-ملخص_المجموعات[[#This Row],[مجموع الفرق]])</f>
        <v>2</v>
      </c>
    </row>
    <row r="186" spans="2:7" x14ac:dyDescent="0.35">
      <c r="B186" s="2" t="s">
        <v>155</v>
      </c>
      <c r="C186" s="5" t="s">
        <v>704</v>
      </c>
      <c r="D18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أملج، ينبع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86" s="1">
        <f>MAX(0,الحد_الأدنى-ملخص_المجموعات[[#This Row],[مجموع الفرق]])</f>
        <v>5</v>
      </c>
    </row>
    <row r="187" spans="2:7" x14ac:dyDescent="0.35">
      <c r="B187" s="2" t="s">
        <v>155</v>
      </c>
      <c r="C187" s="5" t="s">
        <v>9</v>
      </c>
      <c r="D187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87" s="4" t="str" cm="1">
        <f t="array" ref="E18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المبرز، بقيق</v>
      </c>
      <c r="F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87" s="1">
        <f>MAX(0,الحد_الأدنى-ملخص_المجموعات[[#This Row],[مجموع الفرق]])</f>
        <v>0</v>
      </c>
    </row>
    <row r="188" spans="2:7" x14ac:dyDescent="0.35">
      <c r="B188" s="2" t="s">
        <v>155</v>
      </c>
      <c r="C188" s="5" t="s">
        <v>10</v>
      </c>
      <c r="D188" s="1">
        <f>COUNTIFS(تفاصيل_الفرق[الفئة العمرية],ملخص_المجموعات[[#This Row],[الفئة]],تفاصيل_الفرق[المجموعة],ملخص_المجموعات[[#This Row],[المجموعة]])</f>
        <v>6</v>
      </c>
      <c r="E188" s="4" t="str" cm="1">
        <f t="array" ref="E18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المخواة، المندق، بلجرشي، قلوة</v>
      </c>
      <c r="F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88" s="1">
        <f>MAX(0,الحد_الأدنى-ملخص_المجموعات[[#This Row],[مجموع الفرق]])</f>
        <v>5</v>
      </c>
    </row>
    <row r="189" spans="2:7" x14ac:dyDescent="0.35">
      <c r="B189" s="2" t="s">
        <v>155</v>
      </c>
      <c r="C189" s="5" t="s">
        <v>11</v>
      </c>
      <c r="D189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89" s="4" t="str" cm="1">
        <f t="array" ref="E18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سكاكا، طبرجل، القريات</v>
      </c>
      <c r="F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89" s="1">
        <f>MAX(0,الحد_الأدنى-ملخص_المجموعات[[#This Row],[مجموع الفرق]])</f>
        <v>0</v>
      </c>
    </row>
    <row r="190" spans="2:7" x14ac:dyDescent="0.35">
      <c r="B190" s="2" t="s">
        <v>155</v>
      </c>
      <c r="C190" s="5" t="s">
        <v>12</v>
      </c>
      <c r="D19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90" s="4" t="str" cm="1">
        <f t="array" ref="E19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رفحاء، طريف، عرعر</v>
      </c>
      <c r="F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90" s="1">
        <f>MAX(0,الحد_الأدنى-ملخص_المجموعات[[#This Row],[مجموع الفرق]])</f>
        <v>4</v>
      </c>
    </row>
    <row r="191" spans="2:7" x14ac:dyDescent="0.35">
      <c r="B191" s="2" t="s">
        <v>155</v>
      </c>
      <c r="C191" s="5" t="s">
        <v>13</v>
      </c>
      <c r="D19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91" s="4" t="str" cm="1">
        <f t="array" ref="E19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الدلم، حوطة بني تميم</v>
      </c>
      <c r="F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191" s="1">
        <f>MAX(0,الحد_الأدنى-ملخص_المجموعات[[#This Row],[مجموع الفرق]])</f>
        <v>5</v>
      </c>
    </row>
    <row r="192" spans="2:7" x14ac:dyDescent="0.35">
      <c r="B192" s="2" t="s">
        <v>155</v>
      </c>
      <c r="C192" s="5" t="s">
        <v>14</v>
      </c>
      <c r="D192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92" s="4" t="str" cm="1">
        <f t="array" ref="E19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الدوادمي، القويعية، عفيف، وادي الدواسر</v>
      </c>
      <c r="F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192" s="1">
        <f>MAX(0,الحد_الأدنى-ملخص_المجموعات[[#This Row],[مجموع الفرق]])</f>
        <v>6</v>
      </c>
    </row>
    <row r="193" spans="2:7" x14ac:dyDescent="0.35">
      <c r="B193" s="2" t="s">
        <v>155</v>
      </c>
      <c r="C193" s="5" t="s">
        <v>15</v>
      </c>
      <c r="D193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193" s="4" t="str" cm="1">
        <f t="array" ref="E19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الرياض، المزاحمية، ضرما</v>
      </c>
      <c r="F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93" s="1">
        <f>MAX(0,الحد_الأدنى-ملخص_المجموعات[[#This Row],[مجموع الفرق]])</f>
        <v>0</v>
      </c>
    </row>
    <row r="194" spans="2:7" x14ac:dyDescent="0.35">
      <c r="B194" s="2" t="s">
        <v>155</v>
      </c>
      <c r="C194" s="5" t="s">
        <v>16</v>
      </c>
      <c r="D194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94" s="4" t="str" cm="1">
        <f t="array" ref="E19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1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94" s="1">
        <f>MAX(0,الحد_الأدنى-ملخص_المجموعات[[#This Row],[مجموع الفرق]])</f>
        <v>0</v>
      </c>
    </row>
    <row r="195" spans="2:7" x14ac:dyDescent="0.35">
      <c r="B195" s="2" t="s">
        <v>155</v>
      </c>
      <c r="C195" s="5" t="s">
        <v>17</v>
      </c>
      <c r="D19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195" s="4" t="str" cm="1">
        <f t="array" ref="E19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1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95" s="1">
        <f>MAX(0,الحد_الأدنى-ملخص_المجموعات[[#This Row],[مجموع الفرق]])</f>
        <v>0</v>
      </c>
    </row>
    <row r="196" spans="2:7" x14ac:dyDescent="0.35">
      <c r="B196" s="2" t="s">
        <v>155</v>
      </c>
      <c r="C196" s="5" t="s">
        <v>19</v>
      </c>
      <c r="D196" s="1">
        <f>COUNTIFS(تفاصيل_الفرق[الفئة العمرية],ملخص_المجموعات[[#This Row],[الفئة]],تفاصيل_الفرق[المجموعة],ملخص_المجموعات[[#This Row],[المجموعة]])</f>
        <v>9</v>
      </c>
      <c r="E196" s="4" t="str" cm="1">
        <f t="array" ref="E19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البدائع، البكيرية، عيون الجواء، الخبراء، الرس، المذنب، بريدة، عنيزة</v>
      </c>
      <c r="F1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96" s="1">
        <f>MAX(0,الحد_الأدنى-ملخص_المجموعات[[#This Row],[مجموع الفرق]])</f>
        <v>0</v>
      </c>
    </row>
    <row r="197" spans="2:7" x14ac:dyDescent="0.35">
      <c r="B197" s="2" t="s">
        <v>155</v>
      </c>
      <c r="C197" s="5" t="s">
        <v>20</v>
      </c>
      <c r="D197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197" s="4" t="str" cm="1">
        <f t="array" ref="E19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الجبيل، القطيف، رأس تنورة، صفوى</v>
      </c>
      <c r="F1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97" s="1">
        <f>MAX(0,الحد_الأدنى-ملخص_المجموعات[[#This Row],[مجموع الفرق]])</f>
        <v>0</v>
      </c>
    </row>
    <row r="198" spans="2:7" x14ac:dyDescent="0.35">
      <c r="B198" s="2" t="s">
        <v>155</v>
      </c>
      <c r="C198" s="5" t="s">
        <v>21</v>
      </c>
      <c r="D19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198" s="4" t="str" cm="1">
        <f t="array" ref="E19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القنفذة، الليث</v>
      </c>
      <c r="F1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98" s="1">
        <f>MAX(0,الحد_الأدنى-ملخص_المجموعات[[#This Row],[مجموع الفرق]])</f>
        <v>0</v>
      </c>
    </row>
    <row r="199" spans="2:7" x14ac:dyDescent="0.35">
      <c r="B199" s="2" t="s">
        <v>155</v>
      </c>
      <c r="C199" s="5" t="s">
        <v>22</v>
      </c>
      <c r="D199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199" s="4" t="str" cm="1">
        <f t="array" ref="E19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الزلفي، الغاط، المجمعة، شقراء</v>
      </c>
      <c r="F1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199" s="1">
        <f>MAX(0,الحد_الأدنى-ملخص_المجموعات[[#This Row],[مجموع الفرق]])</f>
        <v>4</v>
      </c>
    </row>
    <row r="200" spans="2:7" x14ac:dyDescent="0.35">
      <c r="B200" s="2" t="s">
        <v>155</v>
      </c>
      <c r="C200" s="5" t="s">
        <v>23</v>
      </c>
      <c r="D20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0" s="4" t="str" cm="1">
        <f t="array" ref="E20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2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200" s="1">
        <f>MAX(0,الحد_الأدنى-ملخص_المجموعات[[#This Row],[مجموع الفرق]])</f>
        <v>0</v>
      </c>
    </row>
    <row r="201" spans="2:7" x14ac:dyDescent="0.35">
      <c r="B201" s="2" t="s">
        <v>155</v>
      </c>
      <c r="C201" s="5" t="s">
        <v>702</v>
      </c>
      <c r="D20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1" s="4" t="str" cm="1">
        <f t="array" ref="E20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الوجه</v>
      </c>
      <c r="F2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01" s="1">
        <f>MAX(0,الحد_الأدنى-ملخص_المجموعات[[#This Row],[مجموع الفرق]])</f>
        <v>5</v>
      </c>
    </row>
    <row r="202" spans="2:7" x14ac:dyDescent="0.35">
      <c r="B202" s="2" t="s">
        <v>155</v>
      </c>
      <c r="C202" s="5" t="s">
        <v>25</v>
      </c>
      <c r="D202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02" s="4" t="str" cm="1">
        <f t="array" ref="E20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الدرب، بيش</v>
      </c>
      <c r="F2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02" s="1">
        <f>MAX(0,الحد_الأدنى-ملخص_المجموعات[[#This Row],[مجموع الفرق]])</f>
        <v>4</v>
      </c>
    </row>
    <row r="203" spans="2:7" x14ac:dyDescent="0.35">
      <c r="B203" s="2" t="s">
        <v>155</v>
      </c>
      <c r="C203" s="5" t="s">
        <v>64</v>
      </c>
      <c r="D20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3" s="4" t="str" cm="1">
        <f t="array" ref="E20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2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03" s="1">
        <f>MAX(0,الحد_الأدنى-ملخص_المجموعات[[#This Row],[مجموع الفرق]])</f>
        <v>6</v>
      </c>
    </row>
    <row r="204" spans="2:7" x14ac:dyDescent="0.35">
      <c r="B204" s="2" t="s">
        <v>155</v>
      </c>
      <c r="C204" s="5" t="s">
        <v>26</v>
      </c>
      <c r="D20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4" s="4" t="str" cm="1">
        <f t="array" ref="E20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2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04" s="1">
        <f>MAX(0,الحد_الأدنى-ملخص_المجموعات[[#This Row],[مجموع الفرق]])</f>
        <v>5</v>
      </c>
    </row>
    <row r="205" spans="2:7" x14ac:dyDescent="0.35">
      <c r="B205" s="2" t="s">
        <v>155</v>
      </c>
      <c r="C205" s="5" t="s">
        <v>28</v>
      </c>
      <c r="D205" s="1">
        <f>COUNTIFS(تفاصيل_الفرق[الفئة العمرية],ملخص_المجموعات[[#This Row],[الفئة]],تفاصيل_الفرق[المجموعة],ملخص_المجموعات[[#This Row],[المجموعة]])</f>
        <v>7</v>
      </c>
      <c r="E205" s="4" t="str" cm="1">
        <f t="array" ref="E20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عريش، أحد المسارحة، العيدابي، جيزان، صامطة، صبيا، ضمد</v>
      </c>
      <c r="F2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G205" s="1">
        <f>MAX(0,الحد_الأدنى-ملخص_المجموعات[[#This Row],[مجموع الفرق]])</f>
        <v>0</v>
      </c>
    </row>
    <row r="206" spans="2:7" x14ac:dyDescent="0.35">
      <c r="B206" s="2" t="s">
        <v>155</v>
      </c>
      <c r="C206" s="5" t="s">
        <v>29</v>
      </c>
      <c r="D20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6" s="4" t="str" cm="1">
        <f t="array" ref="E20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2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06" s="1">
        <f>MAX(0,الحد_الأدنى-ملخص_المجموعات[[#This Row],[مجموع الفرق]])</f>
        <v>0</v>
      </c>
    </row>
    <row r="207" spans="2:7" x14ac:dyDescent="0.35">
      <c r="B207" s="2" t="s">
        <v>155</v>
      </c>
      <c r="C207" s="5" t="s">
        <v>31</v>
      </c>
      <c r="D20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7" s="4" t="str" cm="1">
        <f t="array" ref="E20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2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07" s="1">
        <f>MAX(0,الحد_الأدنى-ملخص_المجموعات[[#This Row],[مجموع الفرق]])</f>
        <v>2</v>
      </c>
    </row>
    <row r="208" spans="2:7" x14ac:dyDescent="0.35">
      <c r="B208" s="2" t="s">
        <v>155</v>
      </c>
      <c r="C208" s="5" t="s">
        <v>33</v>
      </c>
      <c r="D208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08" s="4" t="str" cm="1">
        <f t="array" ref="E20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2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08" s="1">
        <f>MAX(0,الحد_الأدنى-ملخص_المجموعات[[#This Row],[مجموع الفرق]])</f>
        <v>0</v>
      </c>
    </row>
    <row r="209" spans="2:7" x14ac:dyDescent="0.35">
      <c r="B209" s="2" t="s">
        <v>155</v>
      </c>
      <c r="C209" s="5" t="s">
        <v>703</v>
      </c>
      <c r="D20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09" s="4" t="str" cm="1">
        <f t="array" ref="E20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ضباء</v>
      </c>
      <c r="F2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09" s="1">
        <f>MAX(0,الحد_الأدنى-ملخص_المجموعات[[#This Row],[مجموع الفرق]])</f>
        <v>6</v>
      </c>
    </row>
    <row r="210" spans="2:7" x14ac:dyDescent="0.35">
      <c r="B210" s="2" t="s">
        <v>155</v>
      </c>
      <c r="C210" s="5" t="s">
        <v>34</v>
      </c>
      <c r="D210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210" s="4" t="str" cm="1">
        <f t="array" ref="E21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النماص، بارق، تنومة، محايل عسير</v>
      </c>
      <c r="F2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10" s="1">
        <f>MAX(0,الحد_الأدنى-ملخص_المجموعات[[#This Row],[مجموع الفرق]])</f>
        <v>5</v>
      </c>
    </row>
    <row r="211" spans="2:7" x14ac:dyDescent="0.35">
      <c r="B211" s="2" t="s">
        <v>155</v>
      </c>
      <c r="C211" s="5" t="s">
        <v>35</v>
      </c>
      <c r="D21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11" s="4" t="str" cm="1">
        <f t="array" ref="E21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2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211" s="1">
        <f>MAX(0,الحد_الأدنى-ملخص_المجموعات[[#This Row],[مجموع الفرق]])</f>
        <v>0</v>
      </c>
    </row>
    <row r="212" spans="2:7" x14ac:dyDescent="0.35">
      <c r="B212" s="2" t="s">
        <v>155</v>
      </c>
      <c r="C212" s="5" t="s">
        <v>705</v>
      </c>
      <c r="D21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12" s="4" t="str" cm="1">
        <f t="array" ref="E21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مهد الذهب</v>
      </c>
      <c r="F2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12" s="1">
        <f>MAX(0,الحد_الأدنى-ملخص_المجموعات[[#This Row],[مجموع الفرق]])</f>
        <v>6</v>
      </c>
    </row>
    <row r="213" spans="2:7" x14ac:dyDescent="0.35">
      <c r="B213" s="2" t="s">
        <v>155</v>
      </c>
      <c r="C213" s="5" t="s">
        <v>36</v>
      </c>
      <c r="D213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13" s="4" t="str" cm="1">
        <f t="array" ref="E21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حبونا، خباش، شرورة، نجران</v>
      </c>
      <c r="F2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13" s="1">
        <f>MAX(0,الحد_الأدنى-ملخص_المجموعات[[#This Row],[مجموع الفرق]])</f>
        <v>4</v>
      </c>
    </row>
    <row r="214" spans="2:7" x14ac:dyDescent="0.35">
      <c r="B214" s="2" t="s">
        <v>156</v>
      </c>
      <c r="C214" s="5" t="s">
        <v>8</v>
      </c>
      <c r="D214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14" s="4" t="str" cm="1">
        <f t="array" ref="E21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مشيط، رجال ألمع</v>
      </c>
      <c r="F2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214" s="1">
        <f>MAX(0,الحد_الأدنى-ملخص_المجموعات[[#This Row],[مجموع الفرق]])</f>
        <v>3</v>
      </c>
    </row>
    <row r="215" spans="2:7" x14ac:dyDescent="0.35">
      <c r="B215" s="2" t="s">
        <v>156</v>
      </c>
      <c r="C215" s="5" t="s">
        <v>704</v>
      </c>
      <c r="D215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15" s="4" t="str" cm="1">
        <f t="array" ref="E21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أملج، ينبع</v>
      </c>
      <c r="F2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15" s="1">
        <f>MAX(0,الحد_الأدنى-ملخص_المجموعات[[#This Row],[مجموع الفرق]])</f>
        <v>6</v>
      </c>
    </row>
    <row r="216" spans="2:7" x14ac:dyDescent="0.35">
      <c r="B216" s="2" t="s">
        <v>156</v>
      </c>
      <c r="C216" s="5" t="s">
        <v>9</v>
      </c>
      <c r="D216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16" s="4" t="str" cm="1">
        <f t="array" ref="E21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المبرز، بقيق</v>
      </c>
      <c r="F2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16" s="1">
        <f>MAX(0,الحد_الأدنى-ملخص_المجموعات[[#This Row],[مجموع الفرق]])</f>
        <v>0</v>
      </c>
    </row>
    <row r="217" spans="2:7" x14ac:dyDescent="0.35">
      <c r="B217" s="2" t="s">
        <v>156</v>
      </c>
      <c r="C217" s="5" t="s">
        <v>10</v>
      </c>
      <c r="D217" s="1">
        <f>COUNTIFS(تفاصيل_الفرق[الفئة العمرية],ملخص_المجموعات[[#This Row],[الفئة]],تفاصيل_الفرق[المجموعة],ملخص_المجموعات[[#This Row],[المجموعة]])</f>
        <v>6</v>
      </c>
      <c r="E217" s="4" t="str" cm="1">
        <f t="array" ref="E21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المخواة، المندق، بلجرشي، قلوة</v>
      </c>
      <c r="F2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17" s="1">
        <f>MAX(0,الحد_الأدنى-ملخص_المجموعات[[#This Row],[مجموع الفرق]])</f>
        <v>4</v>
      </c>
    </row>
    <row r="218" spans="2:7" x14ac:dyDescent="0.35">
      <c r="B218" s="2" t="s">
        <v>156</v>
      </c>
      <c r="C218" s="5" t="s">
        <v>11</v>
      </c>
      <c r="D218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18" s="4" t="str" cm="1">
        <f t="array" ref="E21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سكاكا، طبرجل، القريات</v>
      </c>
      <c r="F2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18" s="1">
        <f>MAX(0,الحد_الأدنى-ملخص_المجموعات[[#This Row],[مجموع الفرق]])</f>
        <v>1</v>
      </c>
    </row>
    <row r="219" spans="2:7" x14ac:dyDescent="0.35">
      <c r="B219" s="2" t="s">
        <v>156</v>
      </c>
      <c r="C219" s="5" t="s">
        <v>12</v>
      </c>
      <c r="D219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19" s="4" t="str" cm="1">
        <f t="array" ref="E21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رفحاء، طريف، عرعر</v>
      </c>
      <c r="F2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19" s="1">
        <f>MAX(0,الحد_الأدنى-ملخص_المجموعات[[#This Row],[مجموع الفرق]])</f>
        <v>5</v>
      </c>
    </row>
    <row r="220" spans="2:7" x14ac:dyDescent="0.35">
      <c r="B220" s="2" t="s">
        <v>156</v>
      </c>
      <c r="C220" s="5" t="s">
        <v>13</v>
      </c>
      <c r="D22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20" s="4" t="str" cm="1">
        <f t="array" ref="E22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الدلم، حوطة بني تميم</v>
      </c>
      <c r="F2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20" s="1">
        <f>MAX(0,الحد_الأدنى-ملخص_المجموعات[[#This Row],[مجموع الفرق]])</f>
        <v>5</v>
      </c>
    </row>
    <row r="221" spans="2:7" x14ac:dyDescent="0.35">
      <c r="B221" s="2" t="s">
        <v>156</v>
      </c>
      <c r="C221" s="5" t="s">
        <v>14</v>
      </c>
      <c r="D221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21" s="4" t="str" cm="1">
        <f t="array" ref="E22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الدوادمي، القويعية، عفيف، وادي الدواسر</v>
      </c>
      <c r="F2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21" s="1">
        <f>MAX(0,الحد_الأدنى-ملخص_المجموعات[[#This Row],[مجموع الفرق]])</f>
        <v>6</v>
      </c>
    </row>
    <row r="222" spans="2:7" x14ac:dyDescent="0.35">
      <c r="B222" s="2" t="s">
        <v>156</v>
      </c>
      <c r="C222" s="5" t="s">
        <v>15</v>
      </c>
      <c r="D222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22" s="4" t="str" cm="1">
        <f t="array" ref="E22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الرياض، المزاحمية، ضرما</v>
      </c>
      <c r="F2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222" s="1">
        <f>MAX(0,الحد_الأدنى-ملخص_المجموعات[[#This Row],[مجموع الفرق]])</f>
        <v>0</v>
      </c>
    </row>
    <row r="223" spans="2:7" x14ac:dyDescent="0.35">
      <c r="B223" s="2" t="s">
        <v>156</v>
      </c>
      <c r="C223" s="5" t="s">
        <v>16</v>
      </c>
      <c r="D223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23" s="4" t="str" cm="1">
        <f t="array" ref="E22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2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23" s="1">
        <f>MAX(0,الحد_الأدنى-ملخص_المجموعات[[#This Row],[مجموع الفرق]])</f>
        <v>0</v>
      </c>
    </row>
    <row r="224" spans="2:7" x14ac:dyDescent="0.35">
      <c r="B224" s="2" t="s">
        <v>156</v>
      </c>
      <c r="C224" s="5" t="s">
        <v>17</v>
      </c>
      <c r="D22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24" s="4" t="str" cm="1">
        <f t="array" ref="E22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2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224" s="1">
        <f>MAX(0,الحد_الأدنى-ملخص_المجموعات[[#This Row],[مجموع الفرق]])</f>
        <v>0</v>
      </c>
    </row>
    <row r="225" spans="2:7" x14ac:dyDescent="0.35">
      <c r="B225" s="2" t="s">
        <v>156</v>
      </c>
      <c r="C225" s="5" t="s">
        <v>19</v>
      </c>
      <c r="D225" s="1">
        <f>COUNTIFS(تفاصيل_الفرق[الفئة العمرية],ملخص_المجموعات[[#This Row],[الفئة]],تفاصيل_الفرق[المجموعة],ملخص_المجموعات[[#This Row],[المجموعة]])</f>
        <v>9</v>
      </c>
      <c r="E225" s="4" t="str" cm="1">
        <f t="array" ref="E22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البدائع، البكيرية، عيون الجواء، الخبراء، الرس، المذنب، بريدة، عنيزة</v>
      </c>
      <c r="F2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225" s="1">
        <f>MAX(0,الحد_الأدنى-ملخص_المجموعات[[#This Row],[مجموع الفرق]])</f>
        <v>0</v>
      </c>
    </row>
    <row r="226" spans="2:7" x14ac:dyDescent="0.35">
      <c r="B226" s="2" t="s">
        <v>156</v>
      </c>
      <c r="C226" s="5" t="s">
        <v>20</v>
      </c>
      <c r="D226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226" s="4" t="str" cm="1">
        <f t="array" ref="E22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الجبيل، القطيف، رأس تنورة، صفوى</v>
      </c>
      <c r="F2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226" s="1">
        <f>MAX(0,الحد_الأدنى-ملخص_المجموعات[[#This Row],[مجموع الفرق]])</f>
        <v>0</v>
      </c>
    </row>
    <row r="227" spans="2:7" x14ac:dyDescent="0.35">
      <c r="B227" s="2" t="s">
        <v>156</v>
      </c>
      <c r="C227" s="5" t="s">
        <v>21</v>
      </c>
      <c r="D22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27" s="4" t="str" cm="1">
        <f t="array" ref="E22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القنفذة، الليث</v>
      </c>
      <c r="F2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227" s="1">
        <f>MAX(0,الحد_الأدنى-ملخص_المجموعات[[#This Row],[مجموع الفرق]])</f>
        <v>0</v>
      </c>
    </row>
    <row r="228" spans="2:7" x14ac:dyDescent="0.35">
      <c r="B228" s="2" t="s">
        <v>156</v>
      </c>
      <c r="C228" s="5" t="s">
        <v>22</v>
      </c>
      <c r="D228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28" s="4" t="str" cm="1">
        <f t="array" ref="E22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الزلفي، الغاط، المجمعة، شقراء</v>
      </c>
      <c r="F2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28" s="1">
        <f>MAX(0,الحد_الأدنى-ملخص_المجموعات[[#This Row],[مجموع الفرق]])</f>
        <v>6</v>
      </c>
    </row>
    <row r="229" spans="2:7" x14ac:dyDescent="0.35">
      <c r="B229" s="2" t="s">
        <v>156</v>
      </c>
      <c r="C229" s="5" t="s">
        <v>23</v>
      </c>
      <c r="D22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29" s="4" t="str" cm="1">
        <f t="array" ref="E22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2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29" s="1">
        <f>MAX(0,الحد_الأدنى-ملخص_المجموعات[[#This Row],[مجموع الفرق]])</f>
        <v>1</v>
      </c>
    </row>
    <row r="230" spans="2:7" x14ac:dyDescent="0.35">
      <c r="B230" s="2" t="s">
        <v>156</v>
      </c>
      <c r="C230" s="5" t="s">
        <v>702</v>
      </c>
      <c r="D23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0" s="4" t="str" cm="1">
        <f t="array" ref="E23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الوجه</v>
      </c>
      <c r="F2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30" s="1">
        <f>MAX(0,الحد_الأدنى-ملخص_المجموعات[[#This Row],[مجموع الفرق]])</f>
        <v>5</v>
      </c>
    </row>
    <row r="231" spans="2:7" x14ac:dyDescent="0.35">
      <c r="B231" s="2" t="s">
        <v>156</v>
      </c>
      <c r="C231" s="5" t="s">
        <v>25</v>
      </c>
      <c r="D231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31" s="4" t="str" cm="1">
        <f t="array" ref="E23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الدرب، بيش</v>
      </c>
      <c r="F2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31" s="1">
        <f>MAX(0,الحد_الأدنى-ملخص_المجموعات[[#This Row],[مجموع الفرق]])</f>
        <v>4</v>
      </c>
    </row>
    <row r="232" spans="2:7" x14ac:dyDescent="0.35">
      <c r="B232" s="2" t="s">
        <v>156</v>
      </c>
      <c r="C232" s="5" t="s">
        <v>64</v>
      </c>
      <c r="D23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2" s="4" t="str" cm="1">
        <f t="array" ref="E23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2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32" s="1">
        <f>MAX(0,الحد_الأدنى-ملخص_المجموعات[[#This Row],[مجموع الفرق]])</f>
        <v>6</v>
      </c>
    </row>
    <row r="233" spans="2:7" x14ac:dyDescent="0.35">
      <c r="B233" s="2" t="s">
        <v>156</v>
      </c>
      <c r="C233" s="5" t="s">
        <v>26</v>
      </c>
      <c r="D23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3" s="4" t="str" cm="1">
        <f t="array" ref="E23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2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33" s="1">
        <f>MAX(0,الحد_الأدنى-ملخص_المجموعات[[#This Row],[مجموع الفرق]])</f>
        <v>4</v>
      </c>
    </row>
    <row r="234" spans="2:7" x14ac:dyDescent="0.35">
      <c r="B234" s="2" t="s">
        <v>156</v>
      </c>
      <c r="C234" s="5" t="s">
        <v>28</v>
      </c>
      <c r="D234" s="1">
        <f>COUNTIFS(تفاصيل_الفرق[الفئة العمرية],ملخص_المجموعات[[#This Row],[الفئة]],تفاصيل_الفرق[المجموعة],ملخص_المجموعات[[#This Row],[المجموعة]])</f>
        <v>7</v>
      </c>
      <c r="E234" s="4" t="str" cm="1">
        <f t="array" ref="E23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عريش، أحد المسارحة، العيدابي، جيزان، صامطة، صبيا، ضمد</v>
      </c>
      <c r="F2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63</v>
      </c>
      <c r="G234" s="1">
        <f>MAX(0,الحد_الأدنى-ملخص_المجموعات[[#This Row],[مجموع الفرق]])</f>
        <v>0</v>
      </c>
    </row>
    <row r="235" spans="2:7" x14ac:dyDescent="0.35">
      <c r="B235" s="2" t="s">
        <v>156</v>
      </c>
      <c r="C235" s="5" t="s">
        <v>29</v>
      </c>
      <c r="D23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5" s="4" t="str" cm="1">
        <f t="array" ref="E23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2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235" s="1">
        <f>MAX(0,الحد_الأدنى-ملخص_المجموعات[[#This Row],[مجموع الفرق]])</f>
        <v>0</v>
      </c>
    </row>
    <row r="236" spans="2:7" x14ac:dyDescent="0.35">
      <c r="B236" s="2" t="s">
        <v>156</v>
      </c>
      <c r="C236" s="5" t="s">
        <v>31</v>
      </c>
      <c r="D236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6" s="4" t="str" cm="1">
        <f t="array" ref="E23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2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236" s="1">
        <f>MAX(0,الحد_الأدنى-ملخص_المجموعات[[#This Row],[مجموع الفرق]])</f>
        <v>3</v>
      </c>
    </row>
    <row r="237" spans="2:7" x14ac:dyDescent="0.35">
      <c r="B237" s="2" t="s">
        <v>156</v>
      </c>
      <c r="C237" s="5" t="s">
        <v>33</v>
      </c>
      <c r="D237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37" s="4" t="str" cm="1">
        <f t="array" ref="E23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2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37" s="1">
        <f>MAX(0,الحد_الأدنى-ملخص_المجموعات[[#This Row],[مجموع الفرق]])</f>
        <v>1</v>
      </c>
    </row>
    <row r="238" spans="2:7" x14ac:dyDescent="0.35">
      <c r="B238" s="2" t="s">
        <v>156</v>
      </c>
      <c r="C238" s="5" t="s">
        <v>703</v>
      </c>
      <c r="D23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38" s="4" t="str" cm="1">
        <f t="array" ref="E23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ضباء</v>
      </c>
      <c r="F2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38" s="1">
        <f>MAX(0,الحد_الأدنى-ملخص_المجموعات[[#This Row],[مجموع الفرق]])</f>
        <v>5</v>
      </c>
    </row>
    <row r="239" spans="2:7" x14ac:dyDescent="0.35">
      <c r="B239" s="2" t="s">
        <v>156</v>
      </c>
      <c r="C239" s="5" t="s">
        <v>34</v>
      </c>
      <c r="D239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239" s="4" t="str" cm="1">
        <f t="array" ref="E23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النماص، بارق، تنومة، محايل عسير</v>
      </c>
      <c r="F2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39" s="1">
        <f>MAX(0,الحد_الأدنى-ملخص_المجموعات[[#This Row],[مجموع الفرق]])</f>
        <v>6</v>
      </c>
    </row>
    <row r="240" spans="2:7" x14ac:dyDescent="0.35">
      <c r="B240" s="2" t="s">
        <v>156</v>
      </c>
      <c r="C240" s="5" t="s">
        <v>35</v>
      </c>
      <c r="D240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40" s="4" t="str" cm="1">
        <f t="array" ref="E24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2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240" s="1">
        <f>MAX(0,الحد_الأدنى-ملخص_المجموعات[[#This Row],[مجموع الفرق]])</f>
        <v>0</v>
      </c>
    </row>
    <row r="241" spans="2:7" x14ac:dyDescent="0.35">
      <c r="B241" s="2" t="s">
        <v>156</v>
      </c>
      <c r="C241" s="5" t="s">
        <v>705</v>
      </c>
      <c r="D24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41" s="4" t="str" cm="1">
        <f t="array" ref="E24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مهد الذهب</v>
      </c>
      <c r="F2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41" s="1">
        <f>MAX(0,الحد_الأدنى-ملخص_المجموعات[[#This Row],[مجموع الفرق]])</f>
        <v>6</v>
      </c>
    </row>
    <row r="242" spans="2:7" x14ac:dyDescent="0.35">
      <c r="B242" s="2" t="s">
        <v>156</v>
      </c>
      <c r="C242" s="5" t="s">
        <v>36</v>
      </c>
      <c r="D242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42" s="4" t="str" cm="1">
        <f t="array" ref="E24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حبونا، خباش، شرورة، نجران</v>
      </c>
      <c r="F2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42" s="1">
        <f>MAX(0,الحد_الأدنى-ملخص_المجموعات[[#This Row],[مجموع الفرق]])</f>
        <v>5</v>
      </c>
    </row>
    <row r="243" spans="2:7" x14ac:dyDescent="0.35">
      <c r="B243" s="2" t="s">
        <v>153</v>
      </c>
      <c r="C243" s="5" t="s">
        <v>8</v>
      </c>
      <c r="D243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43" s="4" t="str" cm="1">
        <f t="array" ref="E24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أبها، أحد رفيدة، خميس مشيط، رجال ألمع</v>
      </c>
      <c r="F2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243" s="1">
        <f>MAX(0,الحد_الأدنى-ملخص_المجموعات[[#This Row],[مجموع الفرق]])</f>
        <v>3</v>
      </c>
    </row>
    <row r="244" spans="2:7" x14ac:dyDescent="0.35">
      <c r="B244" s="2" t="s">
        <v>153</v>
      </c>
      <c r="C244" s="5" t="s">
        <v>704</v>
      </c>
      <c r="D244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44" s="4" t="str" cm="1">
        <f t="array" ref="E24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أملج، ينبع</v>
      </c>
      <c r="F2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44" s="1">
        <f>MAX(0,الحد_الأدنى-ملخص_المجموعات[[#This Row],[مجموع الفرق]])</f>
        <v>5</v>
      </c>
    </row>
    <row r="245" spans="2:7" x14ac:dyDescent="0.35">
      <c r="B245" s="2" t="s">
        <v>153</v>
      </c>
      <c r="C245" s="5" t="s">
        <v>9</v>
      </c>
      <c r="D245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45" s="4" t="str" cm="1">
        <f t="array" ref="E24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الأحساء، المبرز، بقيق</v>
      </c>
      <c r="F2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45" s="1">
        <f>MAX(0,الحد_الأدنى-ملخص_المجموعات[[#This Row],[مجموع الفرق]])</f>
        <v>0</v>
      </c>
    </row>
    <row r="246" spans="2:7" x14ac:dyDescent="0.35">
      <c r="B246" s="2" t="s">
        <v>153</v>
      </c>
      <c r="C246" s="5" t="s">
        <v>10</v>
      </c>
      <c r="D246" s="1">
        <f>COUNTIFS(تفاصيل_الفرق[الفئة العمرية],ملخص_المجموعات[[#This Row],[الفئة]],تفاصيل_الفرق[المجموعة],ملخص_المجموعات[[#This Row],[المجموعة]])</f>
        <v>6</v>
      </c>
      <c r="E246" s="4" t="str" cm="1">
        <f t="array" ref="E24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الباحة، العقيق، المخواة، المندق، بلجرشي، قلوة</v>
      </c>
      <c r="F2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46" s="1">
        <f>MAX(0,الحد_الأدنى-ملخص_المجموعات[[#This Row],[مجموع الفرق]])</f>
        <v>5</v>
      </c>
    </row>
    <row r="247" spans="2:7" x14ac:dyDescent="0.35">
      <c r="B247" s="2" t="s">
        <v>153</v>
      </c>
      <c r="C247" s="5" t="s">
        <v>11</v>
      </c>
      <c r="D247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47" s="4" t="str" cm="1">
        <f t="array" ref="E24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دومة الجندل، سكاكا، طبرجل، القريات</v>
      </c>
      <c r="F2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47" s="1">
        <f>MAX(0,الحد_الأدنى-ملخص_المجموعات[[#This Row],[مجموع الفرق]])</f>
        <v>1</v>
      </c>
    </row>
    <row r="248" spans="2:7" x14ac:dyDescent="0.35">
      <c r="B248" s="2" t="s">
        <v>153</v>
      </c>
      <c r="C248" s="5" t="s">
        <v>12</v>
      </c>
      <c r="D248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48" s="4" t="str" cm="1">
        <f t="array" ref="E24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رفحاء، طريف، عرعر</v>
      </c>
      <c r="F2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</v>
      </c>
      <c r="G248" s="1">
        <f>MAX(0,الحد_الأدنى-ملخص_المجموعات[[#This Row],[مجموع الفرق]])</f>
        <v>3</v>
      </c>
    </row>
    <row r="249" spans="2:7" x14ac:dyDescent="0.35">
      <c r="B249" s="2" t="s">
        <v>153</v>
      </c>
      <c r="C249" s="5" t="s">
        <v>13</v>
      </c>
      <c r="D249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49" s="4" t="str" cm="1">
        <f t="array" ref="E24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الخرج، الدلم، حوطة بني تميم</v>
      </c>
      <c r="F2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49" s="1">
        <f>MAX(0,الحد_الأدنى-ملخص_المجموعات[[#This Row],[مجموع الفرق]])</f>
        <v>4</v>
      </c>
    </row>
    <row r="250" spans="2:7" x14ac:dyDescent="0.35">
      <c r="B250" s="2" t="s">
        <v>153</v>
      </c>
      <c r="C250" s="5" t="s">
        <v>14</v>
      </c>
      <c r="D250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50" s="4" t="str" cm="1">
        <f t="array" ref="E25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الدوادمي، القويعية، عفيف، وادي الدواسر</v>
      </c>
      <c r="F2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50" s="1">
        <f>MAX(0,الحد_الأدنى-ملخص_المجموعات[[#This Row],[مجموع الفرق]])</f>
        <v>5</v>
      </c>
    </row>
    <row r="251" spans="2:7" x14ac:dyDescent="0.35">
      <c r="B251" s="2" t="s">
        <v>153</v>
      </c>
      <c r="C251" s="5" t="s">
        <v>15</v>
      </c>
      <c r="D251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51" s="4" t="str" cm="1">
        <f t="array" ref="E25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الرياض، المزاحمية، ضرما</v>
      </c>
      <c r="F2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251" s="1">
        <f>MAX(0,الحد_الأدنى-ملخص_المجموعات[[#This Row],[مجموع الفرق]])</f>
        <v>0</v>
      </c>
    </row>
    <row r="252" spans="2:7" x14ac:dyDescent="0.35">
      <c r="B252" s="2" t="s">
        <v>153</v>
      </c>
      <c r="C252" s="5" t="s">
        <v>16</v>
      </c>
      <c r="D252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52" s="4" t="str" cm="1">
        <f t="array" ref="E25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الخبر، الدمام، الظهران، سيهات</v>
      </c>
      <c r="F2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52" s="1">
        <f>MAX(0,الحد_الأدنى-ملخص_المجموعات[[#This Row],[مجموع الفرق]])</f>
        <v>2</v>
      </c>
    </row>
    <row r="253" spans="2:7" x14ac:dyDescent="0.35">
      <c r="B253" s="2" t="s">
        <v>153</v>
      </c>
      <c r="C253" s="5" t="s">
        <v>17</v>
      </c>
      <c r="D25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53" s="4" t="str" cm="1">
        <f t="array" ref="E25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الطائف</v>
      </c>
      <c r="F2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253" s="1">
        <f>MAX(0,الحد_الأدنى-ملخص_المجموعات[[#This Row],[مجموع الفرق]])</f>
        <v>0</v>
      </c>
    </row>
    <row r="254" spans="2:7" x14ac:dyDescent="0.35">
      <c r="B254" s="2" t="s">
        <v>153</v>
      </c>
      <c r="C254" s="5" t="s">
        <v>19</v>
      </c>
      <c r="D254" s="1">
        <f>COUNTIFS(تفاصيل_الفرق[الفئة العمرية],ملخص_المجموعات[[#This Row],[الفئة]],تفاصيل_الفرق[المجموعة],ملخص_المجموعات[[#This Row],[المجموعة]])</f>
        <v>9</v>
      </c>
      <c r="E254" s="4" t="str" cm="1">
        <f t="array" ref="E25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الأسياح، البدائع، البكيرية، عيون الجواء، الخبراء، الرس، المذنب، بريدة، عنيزة</v>
      </c>
      <c r="F2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254" s="1">
        <f>MAX(0,الحد_الأدنى-ملخص_المجموعات[[#This Row],[مجموع الفرق]])</f>
        <v>0</v>
      </c>
    </row>
    <row r="255" spans="2:7" x14ac:dyDescent="0.35">
      <c r="B255" s="2" t="s">
        <v>153</v>
      </c>
      <c r="C255" s="5" t="s">
        <v>20</v>
      </c>
      <c r="D255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255" s="4" t="str" cm="1">
        <f t="array" ref="E25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الجارودية، الجبيل، القطيف، رأس تنورة، صفوى</v>
      </c>
      <c r="F2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55" s="1">
        <f>MAX(0,الحد_الأدنى-ملخص_المجموعات[[#This Row],[مجموع الفرق]])</f>
        <v>2</v>
      </c>
    </row>
    <row r="256" spans="2:7" x14ac:dyDescent="0.35">
      <c r="B256" s="2" t="s">
        <v>153</v>
      </c>
      <c r="C256" s="5" t="s">
        <v>21</v>
      </c>
      <c r="D25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56" s="4" t="str" cm="1">
        <f t="array" ref="E25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القنفذة، الليث</v>
      </c>
      <c r="F2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56" s="1">
        <f>MAX(0,الحد_الأدنى-ملخص_المجموعات[[#This Row],[مجموع الفرق]])</f>
        <v>0</v>
      </c>
    </row>
    <row r="257" spans="2:7" x14ac:dyDescent="0.35">
      <c r="B257" s="2" t="s">
        <v>153</v>
      </c>
      <c r="C257" s="5" t="s">
        <v>22</v>
      </c>
      <c r="D257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57" s="4" t="str" cm="1">
        <f t="array" ref="E25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الزلفي، الغاط، المجمعة، شقراء</v>
      </c>
      <c r="F2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0</v>
      </c>
      <c r="G257" s="1">
        <f>MAX(0,الحد_الأدنى-ملخص_المجموعات[[#This Row],[مجموع الفرق]])</f>
        <v>6</v>
      </c>
    </row>
    <row r="258" spans="2:7" x14ac:dyDescent="0.35">
      <c r="B258" s="2" t="s">
        <v>153</v>
      </c>
      <c r="C258" s="5" t="s">
        <v>23</v>
      </c>
      <c r="D258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58" s="4" t="str" cm="1">
        <f t="array" ref="E25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المدينة المنورة</v>
      </c>
      <c r="F2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258" s="1">
        <f>MAX(0,الحد_الأدنى-ملخص_المجموعات[[#This Row],[مجموع الفرق]])</f>
        <v>0</v>
      </c>
    </row>
    <row r="259" spans="2:7" x14ac:dyDescent="0.35">
      <c r="B259" s="2" t="s">
        <v>153</v>
      </c>
      <c r="C259" s="5" t="s">
        <v>702</v>
      </c>
      <c r="D259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59" s="4" t="str" cm="1">
        <f t="array" ref="E25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الوجه</v>
      </c>
      <c r="F2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59" s="1">
        <f>MAX(0,الحد_الأدنى-ملخص_المجموعات[[#This Row],[مجموع الفرق]])</f>
        <v>5</v>
      </c>
    </row>
    <row r="260" spans="2:7" x14ac:dyDescent="0.35">
      <c r="B260" s="2" t="s">
        <v>153</v>
      </c>
      <c r="C260" s="5" t="s">
        <v>25</v>
      </c>
      <c r="D260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60" s="4" t="str" cm="1">
        <f t="array" ref="E26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الدرب، بيش</v>
      </c>
      <c r="F2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60" s="1">
        <f>MAX(0,الحد_الأدنى-ملخص_المجموعات[[#This Row],[مجموع الفرق]])</f>
        <v>4</v>
      </c>
    </row>
    <row r="261" spans="2:7" x14ac:dyDescent="0.35">
      <c r="B261" s="2" t="s">
        <v>153</v>
      </c>
      <c r="C261" s="5" t="s">
        <v>64</v>
      </c>
      <c r="D261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1" s="4" t="str" cm="1">
        <f t="array" ref="E26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بيشة</v>
      </c>
      <c r="F2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61" s="1">
        <f>MAX(0,الحد_الأدنى-ملخص_المجموعات[[#This Row],[مجموع الفرق]])</f>
        <v>5</v>
      </c>
    </row>
    <row r="262" spans="2:7" x14ac:dyDescent="0.35">
      <c r="B262" s="2" t="s">
        <v>153</v>
      </c>
      <c r="C262" s="5" t="s">
        <v>26</v>
      </c>
      <c r="D26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2" s="4" t="str" cm="1">
        <f t="array" ref="E26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تبوك</v>
      </c>
      <c r="F2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</v>
      </c>
      <c r="G262" s="1">
        <f>MAX(0,الحد_الأدنى-ملخص_المجموعات[[#This Row],[مجموع الفرق]])</f>
        <v>4</v>
      </c>
    </row>
    <row r="263" spans="2:7" x14ac:dyDescent="0.35">
      <c r="B263" s="2" t="s">
        <v>153</v>
      </c>
      <c r="C263" s="5" t="s">
        <v>28</v>
      </c>
      <c r="D263" s="1">
        <f>COUNTIFS(تفاصيل_الفرق[الفئة العمرية],ملخص_المجموعات[[#This Row],[الفئة]],تفاصيل_الفرق[المجموعة],ملخص_المجموعات[[#This Row],[المجموعة]])</f>
        <v>7</v>
      </c>
      <c r="E263" s="4" t="str" cm="1">
        <f t="array" ref="E26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أبو عريش، أحد المسارحة، العيدابي، جيزان، صامطة، صبيا، ضمد</v>
      </c>
      <c r="F2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63</v>
      </c>
      <c r="G263" s="1">
        <f>MAX(0,الحد_الأدنى-ملخص_المجموعات[[#This Row],[مجموع الفرق]])</f>
        <v>0</v>
      </c>
    </row>
    <row r="264" spans="2:7" x14ac:dyDescent="0.35">
      <c r="B264" s="2" t="s">
        <v>153</v>
      </c>
      <c r="C264" s="5" t="s">
        <v>29</v>
      </c>
      <c r="D26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4" s="4" t="str" cm="1">
        <f t="array" ref="E26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جدة</v>
      </c>
      <c r="F2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264" s="1">
        <f>MAX(0,الحد_الأدنى-ملخص_المجموعات[[#This Row],[مجموع الفرق]])</f>
        <v>0</v>
      </c>
    </row>
    <row r="265" spans="2:7" x14ac:dyDescent="0.35">
      <c r="B265" s="2" t="s">
        <v>153</v>
      </c>
      <c r="C265" s="5" t="s">
        <v>31</v>
      </c>
      <c r="D265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5" s="4" t="str" cm="1">
        <f t="array" ref="E265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حائل</v>
      </c>
      <c r="F2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65" s="1">
        <f>MAX(0,الحد_الأدنى-ملخص_المجموعات[[#This Row],[مجموع الفرق]])</f>
        <v>2</v>
      </c>
    </row>
    <row r="266" spans="2:7" x14ac:dyDescent="0.35">
      <c r="B266" s="2" t="s">
        <v>153</v>
      </c>
      <c r="C266" s="5" t="s">
        <v>33</v>
      </c>
      <c r="D266" s="1">
        <f>COUNTIFS(تفاصيل_الفرق[الفئة العمرية],ملخص_المجموعات[[#This Row],[الفئة]],تفاصيل_الفرق[المجموعة],ملخص_المجموعات[[#This Row],[المجموعة]])</f>
        <v>2</v>
      </c>
      <c r="E266" s="4" t="str" cm="1">
        <f t="array" ref="E266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القيصومة، حفر الباطن</v>
      </c>
      <c r="F2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266" s="1">
        <f>MAX(0,الحد_الأدنى-ملخص_المجموعات[[#This Row],[مجموع الفرق]])</f>
        <v>1</v>
      </c>
    </row>
    <row r="267" spans="2:7" x14ac:dyDescent="0.35">
      <c r="B267" s="2" t="s">
        <v>153</v>
      </c>
      <c r="C267" s="5" t="s">
        <v>703</v>
      </c>
      <c r="D267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67" s="4" t="str" cm="1">
        <f t="array" ref="E267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ضباء</v>
      </c>
      <c r="F2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67" s="1">
        <f>MAX(0,الحد_الأدنى-ملخص_المجموعات[[#This Row],[مجموع الفرق]])</f>
        <v>5</v>
      </c>
    </row>
    <row r="268" spans="2:7" x14ac:dyDescent="0.35">
      <c r="B268" s="2" t="s">
        <v>153</v>
      </c>
      <c r="C268" s="5" t="s">
        <v>34</v>
      </c>
      <c r="D268" s="1">
        <f>COUNTIFS(تفاصيل_الفرق[الفئة العمرية],ملخص_المجموعات[[#This Row],[الفئة]],تفاصيل_الفرق[المجموعة],ملخص_المجموعات[[#This Row],[المجموعة]])</f>
        <v>5</v>
      </c>
      <c r="E268" s="4" t="str" cm="1">
        <f t="array" ref="E268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المجاردة، النماص، بارق، تنومة، محايل عسير</v>
      </c>
      <c r="F2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68" s="1">
        <f>MAX(0,الحد_الأدنى-ملخص_المجموعات[[#This Row],[مجموع الفرق]])</f>
        <v>5</v>
      </c>
    </row>
    <row r="269" spans="2:7" x14ac:dyDescent="0.35">
      <c r="B269" s="2" t="s">
        <v>153</v>
      </c>
      <c r="C269" s="5" t="s">
        <v>35</v>
      </c>
      <c r="D269" s="1">
        <f>COUNTIFS(تفاصيل_الفرق[الفئة العمرية],ملخص_المجموعات[[#This Row],[الفئة]],تفاصيل_الفرق[المجموعة],ملخص_المجموعات[[#This Row],[المجموعة]])</f>
        <v>3</v>
      </c>
      <c r="E269" s="4" t="str" cm="1">
        <f t="array" ref="E269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الجموم، بحرة، مكة المكرمة</v>
      </c>
      <c r="F2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269" s="1">
        <f>MAX(0,الحد_الأدنى-ملخص_المجموعات[[#This Row],[مجموع الفرق]])</f>
        <v>0</v>
      </c>
    </row>
    <row r="270" spans="2:7" x14ac:dyDescent="0.35">
      <c r="B270" s="2" t="s">
        <v>153</v>
      </c>
      <c r="C270" s="5" t="s">
        <v>705</v>
      </c>
      <c r="D270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70" s="4" t="str" cm="1">
        <f t="array" ref="E270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مهد الذهب</v>
      </c>
      <c r="F2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70" s="1">
        <f>MAX(0,الحد_الأدنى-ملخص_المجموعات[[#This Row],[مجموع الفرق]])</f>
        <v>5</v>
      </c>
    </row>
    <row r="271" spans="2:7" x14ac:dyDescent="0.35">
      <c r="B271" s="2" t="s">
        <v>153</v>
      </c>
      <c r="C271" s="5" t="s">
        <v>36</v>
      </c>
      <c r="D271" s="1">
        <f>COUNTIFS(تفاصيل_الفرق[الفئة العمرية],ملخص_المجموعات[[#This Row],[الفئة]],تفاصيل_الفرق[المجموعة],ملخص_المجموعات[[#This Row],[المجموعة]])</f>
        <v>4</v>
      </c>
      <c r="E271" s="4" t="str" cm="1">
        <f t="array" ref="E271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حبونا، خباش، شرورة، نجران</v>
      </c>
      <c r="F2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</v>
      </c>
      <c r="G271" s="1">
        <f>MAX(0,الحد_الأدنى-ملخص_المجموعات[[#This Row],[مجموع الفرق]])</f>
        <v>2</v>
      </c>
    </row>
    <row r="272" spans="2:7" x14ac:dyDescent="0.35">
      <c r="B272" s="2" t="s">
        <v>4</v>
      </c>
      <c r="C272" s="5" t="s">
        <v>833</v>
      </c>
      <c r="D272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72" s="4" t="str" cm="1">
        <f t="array" ref="E272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القريات</v>
      </c>
      <c r="F2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72" s="1">
        <f>MAX(0,الحد_الأدنى-ملخص_المجموعات[[#This Row],[مجموع الفرق]])</f>
        <v>5</v>
      </c>
    </row>
    <row r="273" spans="2:7" x14ac:dyDescent="0.35">
      <c r="B273" s="2" t="s">
        <v>150</v>
      </c>
      <c r="C273" s="5" t="s">
        <v>833</v>
      </c>
      <c r="D273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73" s="4" t="str" cm="1">
        <f t="array" ref="E273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القريات</v>
      </c>
      <c r="F2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73" s="1">
        <f>MAX(0,الحد_الأدنى-ملخص_المجموعات[[#This Row],[مجموع الفرق]])</f>
        <v>5</v>
      </c>
    </row>
    <row r="274" spans="2:7" x14ac:dyDescent="0.35">
      <c r="B274" s="2" t="s">
        <v>151</v>
      </c>
      <c r="C274" s="5" t="s">
        <v>833</v>
      </c>
      <c r="D274" s="1">
        <f>COUNTIFS(تفاصيل_الفرق[الفئة العمرية],ملخص_المجموعات[[#This Row],[الفئة]],تفاصيل_الفرق[المجموعة],ملخص_المجموعات[[#This Row],[المجموعة]])</f>
        <v>1</v>
      </c>
      <c r="E274" s="4" t="str" cm="1">
        <f t="array" ref="E274">_xlfn.TEXTJOIN("، ",TRUE,IF((تفاصيل_الفرق[الفئة العمرية]=ملخص_المجموعات[[#This Row],[الفئة]])*(تفاصيل_الفرق[المجموعة]=ملخص_المجموعات[[#This Row],[المجموعة]]),تفاصيل_الفرق[المدينة/المحافظة],""))</f>
        <v>القريات</v>
      </c>
      <c r="F2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</v>
      </c>
      <c r="G274" s="1">
        <f>MAX(0,الحد_الأدنى-ملخص_المجموعات[[#This Row],[مجموع الفرق]])</f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18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F3:G274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F1D-8FB9-4A6C-9518-3732E171E21C}">
  <dimension ref="B2:E594"/>
  <sheetViews>
    <sheetView rightToLeft="1" workbookViewId="0">
      <selection activeCell="E3" sqref="E3:E583"/>
    </sheetView>
  </sheetViews>
  <sheetFormatPr defaultRowHeight="14.5" x14ac:dyDescent="0.35"/>
  <cols>
    <col min="1" max="1" width="8.7265625" style="5"/>
    <col min="2" max="2" width="13.54296875" style="5" bestFit="1" customWidth="1"/>
    <col min="3" max="3" width="16.26953125" style="5" bestFit="1" customWidth="1"/>
    <col min="4" max="4" width="16.54296875" style="5" bestFit="1" customWidth="1"/>
    <col min="5" max="5" width="30.36328125" style="2" customWidth="1"/>
    <col min="6" max="16384" width="8.7265625" style="5"/>
  </cols>
  <sheetData>
    <row r="2" spans="2:5" x14ac:dyDescent="0.35">
      <c r="B2" s="3" t="s">
        <v>1</v>
      </c>
      <c r="C2" s="3" t="s">
        <v>2</v>
      </c>
      <c r="D2" s="3" t="s">
        <v>0</v>
      </c>
      <c r="E2" s="3" t="s">
        <v>3</v>
      </c>
    </row>
    <row r="3" spans="2:5" x14ac:dyDescent="0.35">
      <c r="B3" s="5" t="s">
        <v>4</v>
      </c>
      <c r="C3" s="5" t="s">
        <v>91</v>
      </c>
      <c r="D3" s="5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" spans="2:5" x14ac:dyDescent="0.35">
      <c r="B4" s="5" t="s">
        <v>150</v>
      </c>
      <c r="C4" s="5" t="s">
        <v>91</v>
      </c>
      <c r="D4" s="5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" spans="2:5" x14ac:dyDescent="0.35">
      <c r="B5" s="5" t="s">
        <v>151</v>
      </c>
      <c r="C5" s="5" t="s">
        <v>91</v>
      </c>
      <c r="D5" s="5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" spans="2:5" x14ac:dyDescent="0.35">
      <c r="B6" s="5" t="s">
        <v>152</v>
      </c>
      <c r="C6" s="5" t="s">
        <v>91</v>
      </c>
      <c r="D6" s="5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7" spans="2:5" x14ac:dyDescent="0.35">
      <c r="B7" s="5" t="s">
        <v>155</v>
      </c>
      <c r="C7" s="5" t="s">
        <v>91</v>
      </c>
      <c r="D7" s="5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" spans="2:5" x14ac:dyDescent="0.35">
      <c r="B8" s="5" t="s">
        <v>156</v>
      </c>
      <c r="C8" s="5" t="s">
        <v>91</v>
      </c>
      <c r="D8" s="5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9" spans="2:5" x14ac:dyDescent="0.35">
      <c r="B9" s="5" t="s">
        <v>153</v>
      </c>
      <c r="C9" s="5" t="s">
        <v>91</v>
      </c>
      <c r="D9" s="5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0" spans="2:5" x14ac:dyDescent="0.35">
      <c r="B10" s="5" t="s">
        <v>4</v>
      </c>
      <c r="C10" s="5" t="s">
        <v>43</v>
      </c>
      <c r="D10" s="5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1" spans="2:5" x14ac:dyDescent="0.35">
      <c r="B11" s="5" t="s">
        <v>150</v>
      </c>
      <c r="C11" s="5" t="s">
        <v>43</v>
      </c>
      <c r="D11" s="5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2" spans="2:5" x14ac:dyDescent="0.35">
      <c r="B12" s="5" t="s">
        <v>151</v>
      </c>
      <c r="C12" s="5" t="s">
        <v>43</v>
      </c>
      <c r="D12" s="5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3" spans="2:5" x14ac:dyDescent="0.35">
      <c r="B13" s="5" t="s">
        <v>152</v>
      </c>
      <c r="C13" s="5" t="s">
        <v>43</v>
      </c>
      <c r="D13" s="5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4" spans="2:5" x14ac:dyDescent="0.35">
      <c r="B14" s="5" t="s">
        <v>155</v>
      </c>
      <c r="C14" s="5" t="s">
        <v>43</v>
      </c>
      <c r="D14" s="5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5" spans="2:5" x14ac:dyDescent="0.35">
      <c r="B15" s="5" t="s">
        <v>156</v>
      </c>
      <c r="C15" s="5" t="s">
        <v>43</v>
      </c>
      <c r="D15" s="5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16" spans="2:5" x14ac:dyDescent="0.35">
      <c r="B16" s="5" t="s">
        <v>153</v>
      </c>
      <c r="C16" s="5" t="s">
        <v>43</v>
      </c>
      <c r="D16" s="5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17" spans="2:5" x14ac:dyDescent="0.35">
      <c r="B17" s="5" t="s">
        <v>4</v>
      </c>
      <c r="C17" s="5" t="s">
        <v>135</v>
      </c>
      <c r="D17" s="5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18" spans="2:5" x14ac:dyDescent="0.35">
      <c r="B18" s="5" t="s">
        <v>150</v>
      </c>
      <c r="C18" s="5" t="s">
        <v>135</v>
      </c>
      <c r="D18" s="5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19" spans="2:5" x14ac:dyDescent="0.35">
      <c r="B19" s="5" t="s">
        <v>151</v>
      </c>
      <c r="C19" s="5" t="s">
        <v>135</v>
      </c>
      <c r="D19" s="5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20" spans="2:5" x14ac:dyDescent="0.35">
      <c r="B20" s="5" t="s">
        <v>152</v>
      </c>
      <c r="C20" s="5" t="s">
        <v>135</v>
      </c>
      <c r="D20" s="5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21" spans="2:5" x14ac:dyDescent="0.35">
      <c r="B21" s="5" t="s">
        <v>155</v>
      </c>
      <c r="C21" s="5" t="s">
        <v>135</v>
      </c>
      <c r="D21" s="5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22" spans="2:5" x14ac:dyDescent="0.35">
      <c r="B22" s="5" t="s">
        <v>156</v>
      </c>
      <c r="C22" s="5" t="s">
        <v>135</v>
      </c>
      <c r="D22" s="5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</row>
    <row r="23" spans="2:5" x14ac:dyDescent="0.35">
      <c r="B23" s="5" t="s">
        <v>153</v>
      </c>
      <c r="C23" s="5" t="s">
        <v>135</v>
      </c>
      <c r="D23" s="5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</row>
    <row r="24" spans="2:5" x14ac:dyDescent="0.35">
      <c r="B24" s="5" t="s">
        <v>4</v>
      </c>
      <c r="C24" s="5" t="s">
        <v>102</v>
      </c>
      <c r="D24" s="5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5" spans="2:5" x14ac:dyDescent="0.35">
      <c r="B25" s="5" t="s">
        <v>150</v>
      </c>
      <c r="C25" s="5" t="s">
        <v>102</v>
      </c>
      <c r="D25" s="5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" spans="2:5" x14ac:dyDescent="0.35">
      <c r="B26" s="5" t="s">
        <v>151</v>
      </c>
      <c r="C26" s="5" t="s">
        <v>102</v>
      </c>
      <c r="D26" s="5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" spans="2:5" x14ac:dyDescent="0.35">
      <c r="B27" s="5" t="s">
        <v>152</v>
      </c>
      <c r="C27" s="5" t="s">
        <v>102</v>
      </c>
      <c r="D27" s="5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" spans="2:5" x14ac:dyDescent="0.35">
      <c r="B28" s="5" t="s">
        <v>155</v>
      </c>
      <c r="C28" s="5" t="s">
        <v>102</v>
      </c>
      <c r="D28" s="5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" spans="2:5" x14ac:dyDescent="0.35">
      <c r="B29" s="5" t="s">
        <v>156</v>
      </c>
      <c r="C29" s="5" t="s">
        <v>102</v>
      </c>
      <c r="D29" s="5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0" spans="2:5" x14ac:dyDescent="0.35">
      <c r="B30" s="5" t="s">
        <v>153</v>
      </c>
      <c r="C30" s="5" t="s">
        <v>102</v>
      </c>
      <c r="D30" s="5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" spans="2:5" x14ac:dyDescent="0.35">
      <c r="B31" s="5" t="s">
        <v>4</v>
      </c>
      <c r="C31" s="5" t="s">
        <v>92</v>
      </c>
      <c r="D31" s="5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2" spans="2:5" x14ac:dyDescent="0.35">
      <c r="B32" s="5" t="s">
        <v>150</v>
      </c>
      <c r="C32" s="5" t="s">
        <v>92</v>
      </c>
      <c r="D32" s="5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33" spans="2:5" x14ac:dyDescent="0.35">
      <c r="B33" s="5" t="s">
        <v>151</v>
      </c>
      <c r="C33" s="5" t="s">
        <v>92</v>
      </c>
      <c r="D33" s="5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</row>
    <row r="34" spans="2:5" x14ac:dyDescent="0.35">
      <c r="B34" s="5" t="s">
        <v>152</v>
      </c>
      <c r="C34" s="5" t="s">
        <v>92</v>
      </c>
      <c r="D34" s="5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</row>
    <row r="35" spans="2:5" x14ac:dyDescent="0.35">
      <c r="B35" s="5" t="s">
        <v>155</v>
      </c>
      <c r="C35" s="5" t="s">
        <v>92</v>
      </c>
      <c r="D35" s="5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</row>
    <row r="36" spans="2:5" x14ac:dyDescent="0.35">
      <c r="B36" s="5" t="s">
        <v>156</v>
      </c>
      <c r="C36" s="5" t="s">
        <v>92</v>
      </c>
      <c r="D36" s="5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</row>
    <row r="37" spans="2:5" x14ac:dyDescent="0.35">
      <c r="B37" s="5" t="s">
        <v>153</v>
      </c>
      <c r="C37" s="5" t="s">
        <v>92</v>
      </c>
      <c r="D37" s="5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</row>
    <row r="38" spans="2:5" x14ac:dyDescent="0.35">
      <c r="B38" s="5" t="s">
        <v>4</v>
      </c>
      <c r="C38" s="5" t="s">
        <v>126</v>
      </c>
      <c r="D38" s="5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9" spans="2:5" x14ac:dyDescent="0.35">
      <c r="B39" s="5" t="s">
        <v>150</v>
      </c>
      <c r="C39" s="5" t="s">
        <v>126</v>
      </c>
      <c r="D39" s="5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" spans="2:5" x14ac:dyDescent="0.35">
      <c r="B40" s="5" t="s">
        <v>151</v>
      </c>
      <c r="C40" s="5" t="s">
        <v>126</v>
      </c>
      <c r="D40" s="5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" spans="2:5" x14ac:dyDescent="0.35">
      <c r="B41" s="5" t="s">
        <v>152</v>
      </c>
      <c r="C41" s="5" t="s">
        <v>126</v>
      </c>
      <c r="D41" s="5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" spans="2:5" x14ac:dyDescent="0.35">
      <c r="B42" s="5" t="s">
        <v>155</v>
      </c>
      <c r="C42" s="5" t="s">
        <v>126</v>
      </c>
      <c r="D42" s="5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" spans="2:5" x14ac:dyDescent="0.35">
      <c r="B43" s="5" t="s">
        <v>156</v>
      </c>
      <c r="C43" s="5" t="s">
        <v>126</v>
      </c>
      <c r="D43" s="5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" spans="2:5" x14ac:dyDescent="0.35">
      <c r="B44" s="5" t="s">
        <v>153</v>
      </c>
      <c r="C44" s="5" t="s">
        <v>126</v>
      </c>
      <c r="D44" s="5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" spans="2:5" x14ac:dyDescent="0.35">
      <c r="B45" s="5" t="s">
        <v>4</v>
      </c>
      <c r="C45" s="5" t="s">
        <v>93</v>
      </c>
      <c r="D45" s="5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6" spans="2:5" x14ac:dyDescent="0.35">
      <c r="B46" s="5" t="s">
        <v>150</v>
      </c>
      <c r="C46" s="5" t="s">
        <v>93</v>
      </c>
      <c r="D46" s="5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" spans="2:5" x14ac:dyDescent="0.35">
      <c r="B47" s="5" t="s">
        <v>151</v>
      </c>
      <c r="C47" s="5" t="s">
        <v>93</v>
      </c>
      <c r="D47" s="5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" spans="2:5" x14ac:dyDescent="0.35">
      <c r="B48" s="5" t="s">
        <v>152</v>
      </c>
      <c r="C48" s="5" t="s">
        <v>93</v>
      </c>
      <c r="D48" s="5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" spans="2:5" x14ac:dyDescent="0.35">
      <c r="B49" s="5" t="s">
        <v>155</v>
      </c>
      <c r="C49" s="5" t="s">
        <v>93</v>
      </c>
      <c r="D49" s="5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" spans="2:5" x14ac:dyDescent="0.35">
      <c r="B50" s="5" t="s">
        <v>156</v>
      </c>
      <c r="C50" s="5" t="s">
        <v>93</v>
      </c>
      <c r="D50" s="5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1" spans="2:5" x14ac:dyDescent="0.35">
      <c r="B51" s="5" t="s">
        <v>153</v>
      </c>
      <c r="C51" s="5" t="s">
        <v>93</v>
      </c>
      <c r="D51" s="5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" spans="2:5" x14ac:dyDescent="0.35">
      <c r="B52" s="5" t="s">
        <v>4</v>
      </c>
      <c r="C52" s="5" t="s">
        <v>123</v>
      </c>
      <c r="D52" s="5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" spans="2:5" x14ac:dyDescent="0.35">
      <c r="B53" s="5" t="s">
        <v>150</v>
      </c>
      <c r="C53" s="5" t="s">
        <v>123</v>
      </c>
      <c r="D53" s="5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4" spans="2:5" x14ac:dyDescent="0.35">
      <c r="B54" s="5" t="s">
        <v>151</v>
      </c>
      <c r="C54" s="5" t="s">
        <v>123</v>
      </c>
      <c r="D54" s="5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" spans="2:5" x14ac:dyDescent="0.35">
      <c r="B55" s="5" t="s">
        <v>152</v>
      </c>
      <c r="C55" s="5" t="s">
        <v>123</v>
      </c>
      <c r="D55" s="5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" spans="2:5" x14ac:dyDescent="0.35">
      <c r="B56" s="5" t="s">
        <v>155</v>
      </c>
      <c r="C56" s="5" t="s">
        <v>123</v>
      </c>
      <c r="D56" s="5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" spans="2:5" x14ac:dyDescent="0.35">
      <c r="B57" s="5" t="s">
        <v>156</v>
      </c>
      <c r="C57" s="5" t="s">
        <v>123</v>
      </c>
      <c r="D57" s="5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8" spans="2:5" x14ac:dyDescent="0.35">
      <c r="B58" s="5" t="s">
        <v>153</v>
      </c>
      <c r="C58" s="5" t="s">
        <v>123</v>
      </c>
      <c r="D58" s="5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9" spans="2:5" x14ac:dyDescent="0.35">
      <c r="B59" s="5" t="s">
        <v>4</v>
      </c>
      <c r="C59" s="5" t="s">
        <v>122</v>
      </c>
      <c r="D59" s="5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0" spans="2:5" x14ac:dyDescent="0.35">
      <c r="B60" s="5" t="s">
        <v>150</v>
      </c>
      <c r="C60" s="5" t="s">
        <v>122</v>
      </c>
      <c r="D60" s="5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1" spans="2:5" x14ac:dyDescent="0.35">
      <c r="B61" s="5" t="s">
        <v>151</v>
      </c>
      <c r="C61" s="5" t="s">
        <v>122</v>
      </c>
      <c r="D61" s="5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2" spans="2:5" x14ac:dyDescent="0.35">
      <c r="B62" s="5" t="s">
        <v>152</v>
      </c>
      <c r="C62" s="5" t="s">
        <v>122</v>
      </c>
      <c r="D62" s="5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3" spans="2:5" x14ac:dyDescent="0.35">
      <c r="B63" s="5" t="s">
        <v>155</v>
      </c>
      <c r="C63" s="5" t="s">
        <v>122</v>
      </c>
      <c r="D63" s="5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4" spans="2:5" x14ac:dyDescent="0.35">
      <c r="B64" s="5" t="s">
        <v>156</v>
      </c>
      <c r="C64" s="5" t="s">
        <v>122</v>
      </c>
      <c r="D64" s="5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5" spans="2:5" x14ac:dyDescent="0.35">
      <c r="B65" s="5" t="s">
        <v>153</v>
      </c>
      <c r="C65" s="5" t="s">
        <v>122</v>
      </c>
      <c r="D65" s="5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66" spans="2:5" x14ac:dyDescent="0.35">
      <c r="B66" s="5" t="s">
        <v>4</v>
      </c>
      <c r="C66" s="5" t="s">
        <v>128</v>
      </c>
      <c r="D66" s="5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7" spans="2:5" x14ac:dyDescent="0.35">
      <c r="B67" s="5" t="s">
        <v>150</v>
      </c>
      <c r="C67" s="5" t="s">
        <v>128</v>
      </c>
      <c r="D67" s="5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8" spans="2:5" x14ac:dyDescent="0.35">
      <c r="B68" s="5" t="s">
        <v>151</v>
      </c>
      <c r="C68" s="5" t="s">
        <v>128</v>
      </c>
      <c r="D68" s="5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69" spans="2:5" x14ac:dyDescent="0.35">
      <c r="B69" s="5" t="s">
        <v>152</v>
      </c>
      <c r="C69" s="5" t="s">
        <v>128</v>
      </c>
      <c r="D69" s="5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0" spans="2:5" x14ac:dyDescent="0.35">
      <c r="B70" s="5" t="s">
        <v>155</v>
      </c>
      <c r="C70" s="5" t="s">
        <v>128</v>
      </c>
      <c r="D70" s="5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1" spans="2:5" x14ac:dyDescent="0.35">
      <c r="B71" s="5" t="s">
        <v>156</v>
      </c>
      <c r="C71" s="5" t="s">
        <v>128</v>
      </c>
      <c r="D71" s="5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2" spans="2:5" x14ac:dyDescent="0.35">
      <c r="B72" s="5" t="s">
        <v>153</v>
      </c>
      <c r="C72" s="5" t="s">
        <v>128</v>
      </c>
      <c r="D72" s="5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3" spans="2:5" x14ac:dyDescent="0.35">
      <c r="B73" s="5" t="s">
        <v>152</v>
      </c>
      <c r="C73" s="5" t="s">
        <v>129</v>
      </c>
      <c r="D73" s="5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4" spans="2:5" x14ac:dyDescent="0.35">
      <c r="B74" s="5" t="s">
        <v>155</v>
      </c>
      <c r="C74" s="5" t="s">
        <v>129</v>
      </c>
      <c r="D74" s="5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5" spans="2:5" x14ac:dyDescent="0.35">
      <c r="B75" s="5" t="s">
        <v>156</v>
      </c>
      <c r="C75" s="5" t="s">
        <v>129</v>
      </c>
      <c r="D75" s="5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6" spans="2:5" x14ac:dyDescent="0.35">
      <c r="B76" s="5" t="s">
        <v>153</v>
      </c>
      <c r="C76" s="5" t="s">
        <v>129</v>
      </c>
      <c r="D76" s="5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7" spans="2:5" x14ac:dyDescent="0.35">
      <c r="B77" s="5" t="s">
        <v>4</v>
      </c>
      <c r="C77" s="5" t="s">
        <v>145</v>
      </c>
      <c r="D77" s="5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8" spans="2:5" x14ac:dyDescent="0.35">
      <c r="B78" s="5" t="s">
        <v>150</v>
      </c>
      <c r="C78" s="5" t="s">
        <v>145</v>
      </c>
      <c r="D78" s="5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79" spans="2:5" x14ac:dyDescent="0.35">
      <c r="B79" s="5" t="s">
        <v>151</v>
      </c>
      <c r="C79" s="5" t="s">
        <v>145</v>
      </c>
      <c r="D79" s="5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0" spans="2:5" x14ac:dyDescent="0.35">
      <c r="B80" s="5" t="s">
        <v>152</v>
      </c>
      <c r="C80" s="5" t="s">
        <v>145</v>
      </c>
      <c r="D80" s="5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1" spans="2:5" x14ac:dyDescent="0.35">
      <c r="B81" s="5" t="s">
        <v>155</v>
      </c>
      <c r="C81" s="5" t="s">
        <v>145</v>
      </c>
      <c r="D81" s="5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2" spans="2:5" x14ac:dyDescent="0.35">
      <c r="B82" s="5" t="s">
        <v>156</v>
      </c>
      <c r="C82" s="5" t="s">
        <v>145</v>
      </c>
      <c r="D82" s="5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3" spans="2:5" x14ac:dyDescent="0.35">
      <c r="B83" s="5" t="s">
        <v>153</v>
      </c>
      <c r="C83" s="5" t="s">
        <v>145</v>
      </c>
      <c r="D83" s="5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4" spans="2:5" x14ac:dyDescent="0.35">
      <c r="B84" s="5" t="s">
        <v>152</v>
      </c>
      <c r="C84" s="5" t="s">
        <v>149</v>
      </c>
      <c r="D84" s="5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5" spans="2:5" x14ac:dyDescent="0.35">
      <c r="B85" s="5" t="s">
        <v>155</v>
      </c>
      <c r="C85" s="5" t="s">
        <v>149</v>
      </c>
      <c r="D85" s="5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86" spans="2:5" x14ac:dyDescent="0.35">
      <c r="B86" s="5" t="s">
        <v>156</v>
      </c>
      <c r="C86" s="5" t="s">
        <v>149</v>
      </c>
      <c r="D86" s="5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7" spans="2:5" x14ac:dyDescent="0.35">
      <c r="B87" s="5" t="s">
        <v>153</v>
      </c>
      <c r="C87" s="5" t="s">
        <v>149</v>
      </c>
      <c r="D87" s="5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88" spans="2:5" x14ac:dyDescent="0.35">
      <c r="B88" s="5" t="s">
        <v>4</v>
      </c>
      <c r="C88" s="5" t="s">
        <v>117</v>
      </c>
      <c r="D88" s="5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89" spans="2:5" x14ac:dyDescent="0.35">
      <c r="B89" s="5" t="s">
        <v>150</v>
      </c>
      <c r="C89" s="5" t="s">
        <v>117</v>
      </c>
      <c r="D89" s="5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90" spans="2:5" x14ac:dyDescent="0.35">
      <c r="B90" s="5" t="s">
        <v>151</v>
      </c>
      <c r="C90" s="5" t="s">
        <v>117</v>
      </c>
      <c r="D90" s="5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91" spans="2:5" x14ac:dyDescent="0.35">
      <c r="B91" s="5" t="s">
        <v>152</v>
      </c>
      <c r="C91" s="5" t="s">
        <v>117</v>
      </c>
      <c r="D91" s="5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92" spans="2:5" x14ac:dyDescent="0.35">
      <c r="B92" s="5" t="s">
        <v>155</v>
      </c>
      <c r="C92" s="5" t="s">
        <v>117</v>
      </c>
      <c r="D92" s="5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93" spans="2:5" x14ac:dyDescent="0.35">
      <c r="B93" s="5" t="s">
        <v>156</v>
      </c>
      <c r="C93" s="5" t="s">
        <v>117</v>
      </c>
      <c r="D93" s="5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94" spans="2:5" x14ac:dyDescent="0.35">
      <c r="B94" s="5" t="s">
        <v>153</v>
      </c>
      <c r="C94" s="5" t="s">
        <v>117</v>
      </c>
      <c r="D94" s="5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95" spans="2:5" x14ac:dyDescent="0.35">
      <c r="B95" s="5" t="s">
        <v>4</v>
      </c>
      <c r="C95" s="5" t="s">
        <v>125</v>
      </c>
      <c r="D95" s="5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96" spans="2:5" x14ac:dyDescent="0.35">
      <c r="B96" s="5" t="s">
        <v>150</v>
      </c>
      <c r="C96" s="5" t="s">
        <v>125</v>
      </c>
      <c r="D96" s="5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97" spans="2:5" x14ac:dyDescent="0.35">
      <c r="B97" s="5" t="s">
        <v>151</v>
      </c>
      <c r="C97" s="5" t="s">
        <v>125</v>
      </c>
      <c r="D97" s="5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البكيرية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98" spans="2:5" x14ac:dyDescent="0.35">
      <c r="B98" s="5" t="s">
        <v>152</v>
      </c>
      <c r="C98" s="5" t="s">
        <v>125</v>
      </c>
      <c r="D98" s="5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99" spans="2:5" x14ac:dyDescent="0.35">
      <c r="B99" s="5" t="s">
        <v>155</v>
      </c>
      <c r="C99" s="5" t="s">
        <v>125</v>
      </c>
      <c r="D99" s="5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0" spans="2:5" x14ac:dyDescent="0.35">
      <c r="B100" s="5" t="s">
        <v>156</v>
      </c>
      <c r="C100" s="5" t="s">
        <v>125</v>
      </c>
      <c r="D100" s="5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1" spans="2:5" x14ac:dyDescent="0.35">
      <c r="B101" s="5" t="s">
        <v>153</v>
      </c>
      <c r="C101" s="5" t="s">
        <v>125</v>
      </c>
      <c r="D101" s="5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2" spans="2:5" x14ac:dyDescent="0.35">
      <c r="B102" s="5" t="s">
        <v>4</v>
      </c>
      <c r="C102" s="5" t="s">
        <v>95</v>
      </c>
      <c r="D102" s="5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3" spans="2:5" x14ac:dyDescent="0.35">
      <c r="B103" s="5" t="s">
        <v>150</v>
      </c>
      <c r="C103" s="5" t="s">
        <v>95</v>
      </c>
      <c r="D103" s="5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4" spans="2:5" x14ac:dyDescent="0.35">
      <c r="B104" s="5" t="s">
        <v>151</v>
      </c>
      <c r="C104" s="5" t="s">
        <v>95</v>
      </c>
      <c r="D104" s="5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05" spans="2:5" x14ac:dyDescent="0.35">
      <c r="B105" s="5" t="s">
        <v>152</v>
      </c>
      <c r="C105" s="5" t="s">
        <v>95</v>
      </c>
      <c r="D105" s="5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06" spans="2:5" x14ac:dyDescent="0.35">
      <c r="B106" s="5" t="s">
        <v>155</v>
      </c>
      <c r="C106" s="5" t="s">
        <v>95</v>
      </c>
      <c r="D106" s="5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07" spans="2:5" x14ac:dyDescent="0.35">
      <c r="B107" s="5" t="s">
        <v>156</v>
      </c>
      <c r="C107" s="5" t="s">
        <v>95</v>
      </c>
      <c r="D107" s="5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08" spans="2:5" x14ac:dyDescent="0.35">
      <c r="B108" s="5" t="s">
        <v>153</v>
      </c>
      <c r="C108" s="5" t="s">
        <v>95</v>
      </c>
      <c r="D108" s="5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09" spans="2:5" x14ac:dyDescent="0.35">
      <c r="B109" s="5" t="s">
        <v>4</v>
      </c>
      <c r="C109" s="5" t="s">
        <v>47</v>
      </c>
      <c r="D109" s="5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0" spans="2:5" x14ac:dyDescent="0.35">
      <c r="B110" s="5" t="s">
        <v>150</v>
      </c>
      <c r="C110" s="5" t="s">
        <v>47</v>
      </c>
      <c r="D110" s="5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1" spans="2:5" x14ac:dyDescent="0.35">
      <c r="B111" s="5" t="s">
        <v>151</v>
      </c>
      <c r="C111" s="5" t="s">
        <v>47</v>
      </c>
      <c r="D111" s="5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2" spans="2:5" x14ac:dyDescent="0.35">
      <c r="B112" s="5" t="s">
        <v>4</v>
      </c>
      <c r="C112" s="5" t="s">
        <v>132</v>
      </c>
      <c r="D112" s="5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3" spans="2:5" x14ac:dyDescent="0.35">
      <c r="B113" s="5" t="s">
        <v>150</v>
      </c>
      <c r="C113" s="5" t="s">
        <v>132</v>
      </c>
      <c r="D113" s="5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4" spans="2:5" x14ac:dyDescent="0.35">
      <c r="B114" s="5" t="s">
        <v>151</v>
      </c>
      <c r="C114" s="5" t="s">
        <v>132</v>
      </c>
      <c r="D114" s="5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5" spans="2:5" x14ac:dyDescent="0.35">
      <c r="B115" s="5" t="s">
        <v>152</v>
      </c>
      <c r="C115" s="5" t="s">
        <v>132</v>
      </c>
      <c r="D115" s="5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6" spans="2:5" x14ac:dyDescent="0.35">
      <c r="B116" s="5" t="s">
        <v>155</v>
      </c>
      <c r="C116" s="5" t="s">
        <v>132</v>
      </c>
      <c r="D116" s="5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7" spans="2:5" x14ac:dyDescent="0.35">
      <c r="B117" s="5" t="s">
        <v>156</v>
      </c>
      <c r="C117" s="5" t="s">
        <v>132</v>
      </c>
      <c r="D117" s="5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8" spans="2:5" x14ac:dyDescent="0.35">
      <c r="B118" s="5" t="s">
        <v>153</v>
      </c>
      <c r="C118" s="5" t="s">
        <v>132</v>
      </c>
      <c r="D118" s="5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19" spans="2:5" x14ac:dyDescent="0.35">
      <c r="B119" s="5" t="s">
        <v>4</v>
      </c>
      <c r="C119" s="5" t="s">
        <v>111</v>
      </c>
      <c r="D119" s="5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0" spans="2:5" x14ac:dyDescent="0.35">
      <c r="B120" s="5" t="s">
        <v>150</v>
      </c>
      <c r="C120" s="5" t="s">
        <v>111</v>
      </c>
      <c r="D120" s="5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1" spans="2:5" x14ac:dyDescent="0.35">
      <c r="B121" s="5" t="s">
        <v>151</v>
      </c>
      <c r="C121" s="5" t="s">
        <v>111</v>
      </c>
      <c r="D121" s="5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2" spans="2:5" x14ac:dyDescent="0.35">
      <c r="B122" s="5" t="s">
        <v>152</v>
      </c>
      <c r="C122" s="5" t="s">
        <v>111</v>
      </c>
      <c r="D122" s="5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3" spans="2:5" x14ac:dyDescent="0.35">
      <c r="B123" s="5" t="s">
        <v>155</v>
      </c>
      <c r="C123" s="5" t="s">
        <v>111</v>
      </c>
      <c r="D123" s="5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4" spans="2:5" x14ac:dyDescent="0.35">
      <c r="B124" s="5" t="s">
        <v>156</v>
      </c>
      <c r="C124" s="5" t="s">
        <v>111</v>
      </c>
      <c r="D124" s="5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25" spans="2:5" x14ac:dyDescent="0.35">
      <c r="B125" s="5" t="s">
        <v>153</v>
      </c>
      <c r="C125" s="5" t="s">
        <v>111</v>
      </c>
      <c r="D125" s="5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26" spans="2:5" x14ac:dyDescent="0.35">
      <c r="B126" s="5" t="s">
        <v>4</v>
      </c>
      <c r="C126" s="5" t="s">
        <v>118</v>
      </c>
      <c r="D126" s="5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127" spans="2:5" x14ac:dyDescent="0.35">
      <c r="B127" s="5" t="s">
        <v>150</v>
      </c>
      <c r="C127" s="5" t="s">
        <v>118</v>
      </c>
      <c r="D127" s="5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28" spans="2:5" x14ac:dyDescent="0.35">
      <c r="B128" s="5" t="s">
        <v>151</v>
      </c>
      <c r="C128" s="5" t="s">
        <v>118</v>
      </c>
      <c r="D128" s="5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129" spans="2:5" x14ac:dyDescent="0.35">
      <c r="B129" s="5" t="s">
        <v>152</v>
      </c>
      <c r="C129" s="5" t="s">
        <v>118</v>
      </c>
      <c r="D129" s="5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130" spans="2:5" x14ac:dyDescent="0.35">
      <c r="B130" s="5" t="s">
        <v>155</v>
      </c>
      <c r="C130" s="5" t="s">
        <v>118</v>
      </c>
      <c r="D130" s="5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131" spans="2:5" x14ac:dyDescent="0.35">
      <c r="B131" s="5" t="s">
        <v>156</v>
      </c>
      <c r="C131" s="5" t="s">
        <v>118</v>
      </c>
      <c r="D131" s="5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32" spans="2:5" x14ac:dyDescent="0.35">
      <c r="B132" s="5" t="s">
        <v>153</v>
      </c>
      <c r="C132" s="5" t="s">
        <v>118</v>
      </c>
      <c r="D132" s="5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133" spans="2:5" x14ac:dyDescent="0.35">
      <c r="B133" s="5" t="s">
        <v>4</v>
      </c>
      <c r="C133" s="5" t="s">
        <v>54</v>
      </c>
      <c r="D133" s="5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4" spans="2:5" x14ac:dyDescent="0.35">
      <c r="B134" s="5" t="s">
        <v>150</v>
      </c>
      <c r="C134" s="5" t="s">
        <v>54</v>
      </c>
      <c r="D134" s="5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5" spans="2:5" x14ac:dyDescent="0.35">
      <c r="B135" s="5" t="s">
        <v>151</v>
      </c>
      <c r="C135" s="5" t="s">
        <v>54</v>
      </c>
      <c r="D135" s="5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6" spans="2:5" x14ac:dyDescent="0.35">
      <c r="B136" s="5" t="s">
        <v>152</v>
      </c>
      <c r="C136" s="5" t="s">
        <v>54</v>
      </c>
      <c r="D136" s="5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7" spans="2:5" x14ac:dyDescent="0.35">
      <c r="B137" s="5" t="s">
        <v>155</v>
      </c>
      <c r="C137" s="5" t="s">
        <v>54</v>
      </c>
      <c r="D137" s="5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8" spans="2:5" x14ac:dyDescent="0.35">
      <c r="B138" s="5" t="s">
        <v>156</v>
      </c>
      <c r="C138" s="5" t="s">
        <v>54</v>
      </c>
      <c r="D138" s="5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39" spans="2:5" x14ac:dyDescent="0.35">
      <c r="B139" s="5" t="s">
        <v>153</v>
      </c>
      <c r="C139" s="5" t="s">
        <v>54</v>
      </c>
      <c r="D139" s="5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40" spans="2:5" x14ac:dyDescent="0.35">
      <c r="B140" s="5" t="s">
        <v>4</v>
      </c>
      <c r="C140" s="5" t="s">
        <v>49</v>
      </c>
      <c r="D140" s="5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141" spans="2:5" x14ac:dyDescent="0.35">
      <c r="B141" s="5" t="s">
        <v>150</v>
      </c>
      <c r="C141" s="5" t="s">
        <v>49</v>
      </c>
      <c r="D141" s="5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142" spans="2:5" x14ac:dyDescent="0.35">
      <c r="B142" s="5" t="s">
        <v>151</v>
      </c>
      <c r="C142" s="5" t="s">
        <v>49</v>
      </c>
      <c r="D142" s="5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43" spans="2:5" x14ac:dyDescent="0.35">
      <c r="B143" s="5" t="s">
        <v>152</v>
      </c>
      <c r="C143" s="5" t="s">
        <v>49</v>
      </c>
      <c r="D143" s="5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144" spans="2:5" x14ac:dyDescent="0.35">
      <c r="B144" s="5" t="s">
        <v>155</v>
      </c>
      <c r="C144" s="5" t="s">
        <v>49</v>
      </c>
      <c r="D144" s="5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145" spans="2:5" x14ac:dyDescent="0.35">
      <c r="B145" s="5" t="s">
        <v>156</v>
      </c>
      <c r="C145" s="5" t="s">
        <v>49</v>
      </c>
      <c r="D145" s="5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46" spans="2:5" x14ac:dyDescent="0.35">
      <c r="B146" s="5" t="s">
        <v>153</v>
      </c>
      <c r="C146" s="5" t="s">
        <v>49</v>
      </c>
      <c r="D146" s="5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47" spans="2:5" x14ac:dyDescent="0.35">
      <c r="B147" s="5" t="s">
        <v>4</v>
      </c>
      <c r="C147" s="5" t="s">
        <v>38</v>
      </c>
      <c r="D147" s="5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48" spans="2:5" x14ac:dyDescent="0.35">
      <c r="B148" s="5" t="s">
        <v>150</v>
      </c>
      <c r="C148" s="5" t="s">
        <v>38</v>
      </c>
      <c r="D148" s="5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149" spans="2:5" x14ac:dyDescent="0.35">
      <c r="B149" s="5" t="s">
        <v>151</v>
      </c>
      <c r="C149" s="5" t="s">
        <v>38</v>
      </c>
      <c r="D149" s="5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</row>
    <row r="150" spans="2:5" x14ac:dyDescent="0.35">
      <c r="B150" s="5" t="s">
        <v>152</v>
      </c>
      <c r="C150" s="5" t="s">
        <v>38</v>
      </c>
      <c r="D150" s="5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</row>
    <row r="151" spans="2:5" x14ac:dyDescent="0.35">
      <c r="B151" s="5" t="s">
        <v>155</v>
      </c>
      <c r="C151" s="5" t="s">
        <v>38</v>
      </c>
      <c r="D151" s="5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</row>
    <row r="152" spans="2:5" x14ac:dyDescent="0.35">
      <c r="B152" s="5" t="s">
        <v>156</v>
      </c>
      <c r="C152" s="5" t="s">
        <v>38</v>
      </c>
      <c r="D152" s="5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153" spans="2:5" x14ac:dyDescent="0.35">
      <c r="B153" s="5" t="s">
        <v>153</v>
      </c>
      <c r="C153" s="5" t="s">
        <v>38</v>
      </c>
      <c r="D153" s="5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154" spans="2:5" x14ac:dyDescent="0.35">
      <c r="B154" s="5" t="s">
        <v>4</v>
      </c>
      <c r="C154" s="5" t="s">
        <v>52</v>
      </c>
      <c r="D154" s="5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55" spans="2:5" x14ac:dyDescent="0.35">
      <c r="B155" s="5" t="s">
        <v>150</v>
      </c>
      <c r="C155" s="5" t="s">
        <v>52</v>
      </c>
      <c r="D155" s="5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56" spans="2:5" x14ac:dyDescent="0.35">
      <c r="B156" s="5" t="s">
        <v>151</v>
      </c>
      <c r="C156" s="5" t="s">
        <v>52</v>
      </c>
      <c r="D156" s="5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57" spans="2:5" x14ac:dyDescent="0.35">
      <c r="B157" s="5" t="s">
        <v>152</v>
      </c>
      <c r="C157" s="5" t="s">
        <v>52</v>
      </c>
      <c r="D157" s="5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58" spans="2:5" x14ac:dyDescent="0.35">
      <c r="B158" s="5" t="s">
        <v>155</v>
      </c>
      <c r="C158" s="5" t="s">
        <v>52</v>
      </c>
      <c r="D158" s="5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59" spans="2:5" x14ac:dyDescent="0.35">
      <c r="B159" s="5" t="s">
        <v>156</v>
      </c>
      <c r="C159" s="5" t="s">
        <v>52</v>
      </c>
      <c r="D159" s="5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60" spans="2:5" x14ac:dyDescent="0.35">
      <c r="B160" s="5" t="s">
        <v>153</v>
      </c>
      <c r="C160" s="5" t="s">
        <v>52</v>
      </c>
      <c r="D160" s="5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61" spans="2:5" x14ac:dyDescent="0.35">
      <c r="B161" s="5" t="s">
        <v>4</v>
      </c>
      <c r="C161" s="5" t="s">
        <v>18</v>
      </c>
      <c r="D161" s="5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162" spans="2:5" x14ac:dyDescent="0.35">
      <c r="B162" s="5" t="s">
        <v>150</v>
      </c>
      <c r="C162" s="5" t="s">
        <v>18</v>
      </c>
      <c r="D162" s="5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163" spans="2:5" x14ac:dyDescent="0.35">
      <c r="B163" s="5" t="s">
        <v>151</v>
      </c>
      <c r="C163" s="5" t="s">
        <v>18</v>
      </c>
      <c r="D163" s="5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164" spans="2:5" x14ac:dyDescent="0.35">
      <c r="B164" s="5" t="s">
        <v>152</v>
      </c>
      <c r="C164" s="5" t="s">
        <v>18</v>
      </c>
      <c r="D164" s="5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165" spans="2:5" x14ac:dyDescent="0.35">
      <c r="B165" s="5" t="s">
        <v>155</v>
      </c>
      <c r="C165" s="5" t="s">
        <v>18</v>
      </c>
      <c r="D165" s="5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166" spans="2:5" x14ac:dyDescent="0.35">
      <c r="B166" s="5" t="s">
        <v>156</v>
      </c>
      <c r="C166" s="5" t="s">
        <v>18</v>
      </c>
      <c r="D166" s="5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</row>
    <row r="167" spans="2:5" x14ac:dyDescent="0.35">
      <c r="B167" s="5" t="s">
        <v>153</v>
      </c>
      <c r="C167" s="5" t="s">
        <v>18</v>
      </c>
      <c r="D167" s="5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</row>
    <row r="168" spans="2:5" x14ac:dyDescent="0.35">
      <c r="B168" s="5" t="s">
        <v>4</v>
      </c>
      <c r="C168" s="5" t="s">
        <v>116</v>
      </c>
      <c r="D168" s="5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69" spans="2:5" x14ac:dyDescent="0.35">
      <c r="B169" s="5" t="s">
        <v>150</v>
      </c>
      <c r="C169" s="5" t="s">
        <v>116</v>
      </c>
      <c r="D169" s="5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0" spans="2:5" x14ac:dyDescent="0.35">
      <c r="B170" s="5" t="s">
        <v>151</v>
      </c>
      <c r="C170" s="5" t="s">
        <v>116</v>
      </c>
      <c r="D170" s="5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1" spans="2:5" x14ac:dyDescent="0.35">
      <c r="B171" s="5" t="s">
        <v>152</v>
      </c>
      <c r="C171" s="5" t="s">
        <v>116</v>
      </c>
      <c r="D171" s="5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2" spans="2:5" x14ac:dyDescent="0.35">
      <c r="B172" s="5" t="s">
        <v>155</v>
      </c>
      <c r="C172" s="5" t="s">
        <v>116</v>
      </c>
      <c r="D172" s="5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3" spans="2:5" x14ac:dyDescent="0.35">
      <c r="B173" s="5" t="s">
        <v>156</v>
      </c>
      <c r="C173" s="5" t="s">
        <v>116</v>
      </c>
      <c r="D173" s="5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4" spans="2:5" x14ac:dyDescent="0.35">
      <c r="B174" s="5" t="s">
        <v>153</v>
      </c>
      <c r="C174" s="5" t="s">
        <v>116</v>
      </c>
      <c r="D174" s="5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5" spans="2:5" x14ac:dyDescent="0.35">
      <c r="B175" s="5" t="s">
        <v>4</v>
      </c>
      <c r="C175" s="5" t="s">
        <v>104</v>
      </c>
      <c r="D175" s="5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6" spans="2:5" x14ac:dyDescent="0.35">
      <c r="B176" s="5" t="s">
        <v>150</v>
      </c>
      <c r="C176" s="5" t="s">
        <v>104</v>
      </c>
      <c r="D176" s="5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7" spans="2:5" x14ac:dyDescent="0.35">
      <c r="B177" s="5" t="s">
        <v>151</v>
      </c>
      <c r="C177" s="5" t="s">
        <v>104</v>
      </c>
      <c r="D177" s="5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78" spans="2:5" x14ac:dyDescent="0.35">
      <c r="B178" s="5" t="s">
        <v>152</v>
      </c>
      <c r="C178" s="5" t="s">
        <v>104</v>
      </c>
      <c r="D178" s="5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79" spans="2:5" x14ac:dyDescent="0.35">
      <c r="B179" s="5" t="s">
        <v>155</v>
      </c>
      <c r="C179" s="5" t="s">
        <v>104</v>
      </c>
      <c r="D179" s="5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80" spans="2:5" x14ac:dyDescent="0.35">
      <c r="B180" s="5" t="s">
        <v>156</v>
      </c>
      <c r="C180" s="5" t="s">
        <v>104</v>
      </c>
      <c r="D180" s="5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81" spans="2:5" x14ac:dyDescent="0.35">
      <c r="B181" s="5" t="s">
        <v>153</v>
      </c>
      <c r="C181" s="5" t="s">
        <v>104</v>
      </c>
      <c r="D181" s="5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2" spans="2:5" x14ac:dyDescent="0.35">
      <c r="B182" s="5" t="s">
        <v>4</v>
      </c>
      <c r="C182" s="5" t="s">
        <v>137</v>
      </c>
      <c r="D182" s="5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3" spans="2:5" x14ac:dyDescent="0.35">
      <c r="B183" s="5" t="s">
        <v>150</v>
      </c>
      <c r="C183" s="5" t="s">
        <v>137</v>
      </c>
      <c r="D183" s="5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4" spans="2:5" x14ac:dyDescent="0.35">
      <c r="B184" s="5" t="s">
        <v>151</v>
      </c>
      <c r="C184" s="5" t="s">
        <v>137</v>
      </c>
      <c r="D184" s="5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5" spans="2:5" x14ac:dyDescent="0.35">
      <c r="B185" s="5" t="s">
        <v>152</v>
      </c>
      <c r="C185" s="5" t="s">
        <v>137</v>
      </c>
      <c r="D185" s="5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6" spans="2:5" x14ac:dyDescent="0.35">
      <c r="B186" s="5" t="s">
        <v>155</v>
      </c>
      <c r="C186" s="5" t="s">
        <v>137</v>
      </c>
      <c r="D186" s="5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7" spans="2:5" x14ac:dyDescent="0.35">
      <c r="B187" s="5" t="s">
        <v>156</v>
      </c>
      <c r="C187" s="5" t="s">
        <v>137</v>
      </c>
      <c r="D187" s="5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8" spans="2:5" x14ac:dyDescent="0.35">
      <c r="B188" s="5" t="s">
        <v>153</v>
      </c>
      <c r="C188" s="5" t="s">
        <v>137</v>
      </c>
      <c r="D188" s="5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89" spans="2:5" x14ac:dyDescent="0.35">
      <c r="B189" s="5" t="s">
        <v>4</v>
      </c>
      <c r="C189" s="5" t="s">
        <v>131</v>
      </c>
      <c r="D189" s="5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0" spans="2:5" x14ac:dyDescent="0.35">
      <c r="B190" s="5" t="s">
        <v>150</v>
      </c>
      <c r="C190" s="5" t="s">
        <v>131</v>
      </c>
      <c r="D190" s="5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1" spans="2:5" x14ac:dyDescent="0.35">
      <c r="B191" s="5" t="s">
        <v>151</v>
      </c>
      <c r="C191" s="5" t="s">
        <v>131</v>
      </c>
      <c r="D191" s="5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2" spans="2:5" x14ac:dyDescent="0.35">
      <c r="B192" s="5" t="s">
        <v>152</v>
      </c>
      <c r="C192" s="5" t="s">
        <v>131</v>
      </c>
      <c r="D192" s="5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3" spans="2:5" x14ac:dyDescent="0.35">
      <c r="B193" s="5" t="s">
        <v>155</v>
      </c>
      <c r="C193" s="5" t="s">
        <v>131</v>
      </c>
      <c r="D193" s="5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194" spans="2:5" x14ac:dyDescent="0.35">
      <c r="B194" s="5" t="s">
        <v>156</v>
      </c>
      <c r="C194" s="5" t="s">
        <v>131</v>
      </c>
      <c r="D194" s="5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5" spans="2:5" x14ac:dyDescent="0.35">
      <c r="B195" s="5" t="s">
        <v>153</v>
      </c>
      <c r="C195" s="5" t="s">
        <v>131</v>
      </c>
      <c r="D195" s="5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196" spans="2:5" x14ac:dyDescent="0.35">
      <c r="B196" s="5" t="s">
        <v>4</v>
      </c>
      <c r="C196" s="5" t="s">
        <v>98</v>
      </c>
      <c r="D196" s="5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97" spans="2:5" x14ac:dyDescent="0.35">
      <c r="B197" s="5" t="s">
        <v>150</v>
      </c>
      <c r="C197" s="5" t="s">
        <v>98</v>
      </c>
      <c r="D197" s="5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198" spans="2:5" x14ac:dyDescent="0.35">
      <c r="B198" s="5" t="s">
        <v>151</v>
      </c>
      <c r="C198" s="5" t="s">
        <v>98</v>
      </c>
      <c r="D198" s="5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199" spans="2:5" x14ac:dyDescent="0.35">
      <c r="B199" s="5" t="s">
        <v>152</v>
      </c>
      <c r="C199" s="5" t="s">
        <v>98</v>
      </c>
      <c r="D199" s="5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200" spans="2:5" x14ac:dyDescent="0.35">
      <c r="B200" s="5" t="s">
        <v>155</v>
      </c>
      <c r="C200" s="5" t="s">
        <v>98</v>
      </c>
      <c r="D200" s="5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201" spans="2:5" x14ac:dyDescent="0.35">
      <c r="B201" s="5" t="s">
        <v>156</v>
      </c>
      <c r="C201" s="5" t="s">
        <v>98</v>
      </c>
      <c r="D201" s="5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202" spans="2:5" x14ac:dyDescent="0.35">
      <c r="B202" s="5" t="s">
        <v>153</v>
      </c>
      <c r="C202" s="5" t="s">
        <v>98</v>
      </c>
      <c r="D202" s="5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203" spans="2:5" x14ac:dyDescent="0.35">
      <c r="B203" s="5" t="s">
        <v>4</v>
      </c>
      <c r="C203" s="5" t="s">
        <v>53</v>
      </c>
      <c r="D203" s="5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04" spans="2:5" x14ac:dyDescent="0.35">
      <c r="B204" s="5" t="s">
        <v>150</v>
      </c>
      <c r="C204" s="5" t="s">
        <v>53</v>
      </c>
      <c r="D204" s="5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205" spans="2:5" x14ac:dyDescent="0.35">
      <c r="B205" s="5" t="s">
        <v>151</v>
      </c>
      <c r="C205" s="5" t="s">
        <v>53</v>
      </c>
      <c r="D205" s="5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206" spans="2:5" x14ac:dyDescent="0.35">
      <c r="B206" s="5" t="s">
        <v>152</v>
      </c>
      <c r="C206" s="5" t="s">
        <v>53</v>
      </c>
      <c r="D206" s="5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207" spans="2:5" x14ac:dyDescent="0.35">
      <c r="B207" s="5" t="s">
        <v>155</v>
      </c>
      <c r="C207" s="5" t="s">
        <v>53</v>
      </c>
      <c r="D207" s="5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208" spans="2:5" x14ac:dyDescent="0.35">
      <c r="B208" s="5" t="s">
        <v>156</v>
      </c>
      <c r="C208" s="5" t="s">
        <v>53</v>
      </c>
      <c r="D208" s="5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209" spans="2:5" x14ac:dyDescent="0.35">
      <c r="B209" s="5" t="s">
        <v>153</v>
      </c>
      <c r="C209" s="5" t="s">
        <v>53</v>
      </c>
      <c r="D209" s="5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210" spans="2:5" x14ac:dyDescent="0.35">
      <c r="B210" s="5" t="s">
        <v>152</v>
      </c>
      <c r="C210" s="5" t="s">
        <v>113</v>
      </c>
      <c r="D210" s="5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1" spans="2:5" x14ac:dyDescent="0.35">
      <c r="B211" s="5" t="s">
        <v>155</v>
      </c>
      <c r="C211" s="5" t="s">
        <v>113</v>
      </c>
      <c r="D211" s="5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2" spans="2:5" x14ac:dyDescent="0.35">
      <c r="B212" s="5" t="s">
        <v>156</v>
      </c>
      <c r="C212" s="5" t="s">
        <v>113</v>
      </c>
      <c r="D212" s="5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3" spans="2:5" x14ac:dyDescent="0.35">
      <c r="B213" s="5" t="s">
        <v>153</v>
      </c>
      <c r="C213" s="5" t="s">
        <v>113</v>
      </c>
      <c r="D213" s="5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4" spans="2:5" x14ac:dyDescent="0.35">
      <c r="B214" s="5" t="s">
        <v>4</v>
      </c>
      <c r="C214" s="5" t="s">
        <v>139</v>
      </c>
      <c r="D214" s="5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5" spans="2:5" x14ac:dyDescent="0.35">
      <c r="B215" s="5" t="s">
        <v>150</v>
      </c>
      <c r="C215" s="5" t="s">
        <v>139</v>
      </c>
      <c r="D215" s="5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6" spans="2:5" x14ac:dyDescent="0.35">
      <c r="B216" s="5" t="s">
        <v>151</v>
      </c>
      <c r="C216" s="5" t="s">
        <v>139</v>
      </c>
      <c r="D216" s="5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7" spans="2:5" x14ac:dyDescent="0.35">
      <c r="B217" s="5" t="s">
        <v>152</v>
      </c>
      <c r="C217" s="5" t="s">
        <v>139</v>
      </c>
      <c r="D217" s="5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8" spans="2:5" x14ac:dyDescent="0.35">
      <c r="B218" s="5" t="s">
        <v>155</v>
      </c>
      <c r="C218" s="5" t="s">
        <v>139</v>
      </c>
      <c r="D218" s="5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19" spans="2:5" x14ac:dyDescent="0.35">
      <c r="B219" s="5" t="s">
        <v>156</v>
      </c>
      <c r="C219" s="5" t="s">
        <v>139</v>
      </c>
      <c r="D219" s="5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20" spans="2:5" x14ac:dyDescent="0.35">
      <c r="B220" s="5" t="s">
        <v>153</v>
      </c>
      <c r="C220" s="5" t="s">
        <v>139</v>
      </c>
      <c r="D220" s="5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21" spans="2:5" x14ac:dyDescent="0.35">
      <c r="B221" s="5" t="s">
        <v>4</v>
      </c>
      <c r="C221" s="5" t="s">
        <v>56</v>
      </c>
      <c r="D221" s="5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22" spans="2:5" x14ac:dyDescent="0.35">
      <c r="B222" s="5" t="s">
        <v>150</v>
      </c>
      <c r="C222" s="5" t="s">
        <v>56</v>
      </c>
      <c r="D222" s="5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23" spans="2:5" x14ac:dyDescent="0.35">
      <c r="B223" s="5" t="s">
        <v>151</v>
      </c>
      <c r="C223" s="5" t="s">
        <v>56</v>
      </c>
      <c r="D223" s="5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24" spans="2:5" x14ac:dyDescent="0.35">
      <c r="B224" s="5" t="s">
        <v>152</v>
      </c>
      <c r="C224" s="5" t="s">
        <v>56</v>
      </c>
      <c r="D224" s="5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25" spans="2:5" x14ac:dyDescent="0.35">
      <c r="B225" s="5" t="s">
        <v>155</v>
      </c>
      <c r="C225" s="5" t="s">
        <v>56</v>
      </c>
      <c r="D225" s="5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26" spans="2:5" x14ac:dyDescent="0.35">
      <c r="B226" s="5" t="s">
        <v>156</v>
      </c>
      <c r="C226" s="5" t="s">
        <v>56</v>
      </c>
      <c r="D226" s="5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27" spans="2:5" x14ac:dyDescent="0.35">
      <c r="B227" s="5" t="s">
        <v>153</v>
      </c>
      <c r="C227" s="5" t="s">
        <v>56</v>
      </c>
      <c r="D227" s="5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228" spans="2:5" x14ac:dyDescent="0.35">
      <c r="B228" s="5" t="s">
        <v>4</v>
      </c>
      <c r="C228" s="5" t="s">
        <v>103</v>
      </c>
      <c r="D228" s="5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29" spans="2:5" x14ac:dyDescent="0.35">
      <c r="B229" s="5" t="s">
        <v>150</v>
      </c>
      <c r="C229" s="5" t="s">
        <v>103</v>
      </c>
      <c r="D229" s="5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0" spans="2:5" x14ac:dyDescent="0.35">
      <c r="B230" s="5" t="s">
        <v>151</v>
      </c>
      <c r="C230" s="5" t="s">
        <v>103</v>
      </c>
      <c r="D230" s="5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1" spans="2:5" x14ac:dyDescent="0.35">
      <c r="B231" s="5" t="s">
        <v>152</v>
      </c>
      <c r="C231" s="5" t="s">
        <v>103</v>
      </c>
      <c r="D231" s="5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2" spans="2:5" x14ac:dyDescent="0.35">
      <c r="B232" s="5" t="s">
        <v>155</v>
      </c>
      <c r="C232" s="5" t="s">
        <v>103</v>
      </c>
      <c r="D232" s="5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3" spans="2:5" x14ac:dyDescent="0.35">
      <c r="B233" s="5" t="s">
        <v>156</v>
      </c>
      <c r="C233" s="5" t="s">
        <v>103</v>
      </c>
      <c r="D233" s="5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4" spans="2:5" x14ac:dyDescent="0.35">
      <c r="B234" s="5" t="s">
        <v>153</v>
      </c>
      <c r="C234" s="5" t="s">
        <v>103</v>
      </c>
      <c r="D234" s="5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5" spans="2:5" x14ac:dyDescent="0.35">
      <c r="B235" s="5" t="s">
        <v>4</v>
      </c>
      <c r="C235" s="5" t="s">
        <v>140</v>
      </c>
      <c r="D235" s="5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6" spans="2:5" x14ac:dyDescent="0.35">
      <c r="B236" s="5" t="s">
        <v>150</v>
      </c>
      <c r="C236" s="5" t="s">
        <v>140</v>
      </c>
      <c r="D236" s="5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7" spans="2:5" x14ac:dyDescent="0.35">
      <c r="B237" s="5" t="s">
        <v>151</v>
      </c>
      <c r="C237" s="5" t="s">
        <v>140</v>
      </c>
      <c r="D237" s="5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8" spans="2:5" x14ac:dyDescent="0.35">
      <c r="B238" s="5" t="s">
        <v>152</v>
      </c>
      <c r="C238" s="5" t="s">
        <v>140</v>
      </c>
      <c r="D238" s="5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39" spans="2:5" x14ac:dyDescent="0.35">
      <c r="B239" s="5" t="s">
        <v>155</v>
      </c>
      <c r="C239" s="5" t="s">
        <v>140</v>
      </c>
      <c r="D239" s="5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0" spans="2:5" x14ac:dyDescent="0.35">
      <c r="B240" s="5" t="s">
        <v>156</v>
      </c>
      <c r="C240" s="5" t="s">
        <v>140</v>
      </c>
      <c r="D240" s="5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1" spans="2:5" x14ac:dyDescent="0.35">
      <c r="B241" s="5" t="s">
        <v>153</v>
      </c>
      <c r="C241" s="5" t="s">
        <v>140</v>
      </c>
      <c r="D241" s="5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2" spans="2:5" x14ac:dyDescent="0.35">
      <c r="B242" s="5" t="s">
        <v>4</v>
      </c>
      <c r="C242" s="5" t="s">
        <v>99</v>
      </c>
      <c r="D242" s="5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3" spans="2:5" x14ac:dyDescent="0.35">
      <c r="B243" s="5" t="s">
        <v>150</v>
      </c>
      <c r="C243" s="5" t="s">
        <v>99</v>
      </c>
      <c r="D243" s="5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4" spans="2:5" x14ac:dyDescent="0.35">
      <c r="B244" s="5" t="s">
        <v>151</v>
      </c>
      <c r="C244" s="5" t="s">
        <v>99</v>
      </c>
      <c r="D244" s="5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5" spans="2:5" x14ac:dyDescent="0.35">
      <c r="B245" s="5" t="s">
        <v>152</v>
      </c>
      <c r="C245" s="5" t="s">
        <v>99</v>
      </c>
      <c r="D245" s="5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6" spans="2:5" x14ac:dyDescent="0.35">
      <c r="B246" s="5" t="s">
        <v>155</v>
      </c>
      <c r="C246" s="5" t="s">
        <v>99</v>
      </c>
      <c r="D246" s="5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7" spans="2:5" x14ac:dyDescent="0.35">
      <c r="B247" s="5" t="s">
        <v>156</v>
      </c>
      <c r="C247" s="5" t="s">
        <v>99</v>
      </c>
      <c r="D247" s="5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8" spans="2:5" x14ac:dyDescent="0.35">
      <c r="B248" s="5" t="s">
        <v>153</v>
      </c>
      <c r="C248" s="5" t="s">
        <v>99</v>
      </c>
      <c r="D248" s="5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49" spans="2:5" x14ac:dyDescent="0.35">
      <c r="B249" s="5" t="s">
        <v>152</v>
      </c>
      <c r="C249" s="5" t="s">
        <v>106</v>
      </c>
      <c r="D249" s="5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50" spans="2:5" x14ac:dyDescent="0.35">
      <c r="B250" s="5" t="s">
        <v>155</v>
      </c>
      <c r="C250" s="5" t="s">
        <v>106</v>
      </c>
      <c r="D250" s="5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51" spans="2:5" x14ac:dyDescent="0.35">
      <c r="B251" s="5" t="s">
        <v>156</v>
      </c>
      <c r="C251" s="5" t="s">
        <v>106</v>
      </c>
      <c r="D251" s="5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52" spans="2:5" x14ac:dyDescent="0.35">
      <c r="B252" s="5" t="s">
        <v>153</v>
      </c>
      <c r="C252" s="5" t="s">
        <v>106</v>
      </c>
      <c r="D252" s="5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53" spans="2:5" x14ac:dyDescent="0.35">
      <c r="B253" s="5" t="s">
        <v>4</v>
      </c>
      <c r="C253" s="5" t="s">
        <v>24</v>
      </c>
      <c r="D253" s="5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254" spans="2:5" x14ac:dyDescent="0.35">
      <c r="B254" s="5" t="s">
        <v>150</v>
      </c>
      <c r="C254" s="5" t="s">
        <v>24</v>
      </c>
      <c r="D254" s="5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255" spans="2:5" x14ac:dyDescent="0.35">
      <c r="B255" s="5" t="s">
        <v>151</v>
      </c>
      <c r="C255" s="5" t="s">
        <v>24</v>
      </c>
      <c r="D255" s="5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256" spans="2:5" x14ac:dyDescent="0.35">
      <c r="B256" s="5" t="s">
        <v>152</v>
      </c>
      <c r="C256" s="5" t="s">
        <v>24</v>
      </c>
      <c r="D256" s="5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</row>
    <row r="257" spans="2:5" x14ac:dyDescent="0.35">
      <c r="B257" s="5" t="s">
        <v>155</v>
      </c>
      <c r="C257" s="5" t="s">
        <v>24</v>
      </c>
      <c r="D257" s="5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</row>
    <row r="258" spans="2:5" x14ac:dyDescent="0.35">
      <c r="B258" s="5" t="s">
        <v>156</v>
      </c>
      <c r="C258" s="5" t="s">
        <v>24</v>
      </c>
      <c r="D258" s="5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259" spans="2:5" x14ac:dyDescent="0.35">
      <c r="B259" s="5" t="s">
        <v>153</v>
      </c>
      <c r="C259" s="5" t="s">
        <v>24</v>
      </c>
      <c r="D259" s="5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260" spans="2:5" x14ac:dyDescent="0.35">
      <c r="B260" s="5" t="s">
        <v>4</v>
      </c>
      <c r="C260" s="5" t="s">
        <v>124</v>
      </c>
      <c r="D260" s="5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1" spans="2:5" x14ac:dyDescent="0.35">
      <c r="B261" s="5" t="s">
        <v>150</v>
      </c>
      <c r="C261" s="5" t="s">
        <v>124</v>
      </c>
      <c r="D261" s="5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2" spans="2:5" x14ac:dyDescent="0.35">
      <c r="B262" s="5" t="s">
        <v>151</v>
      </c>
      <c r="C262" s="5" t="s">
        <v>124</v>
      </c>
      <c r="D262" s="5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3" spans="2:5" x14ac:dyDescent="0.35">
      <c r="B263" s="5" t="s">
        <v>152</v>
      </c>
      <c r="C263" s="5" t="s">
        <v>124</v>
      </c>
      <c r="D263" s="5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4" spans="2:5" x14ac:dyDescent="0.35">
      <c r="B264" s="5" t="s">
        <v>155</v>
      </c>
      <c r="C264" s="5" t="s">
        <v>124</v>
      </c>
      <c r="D264" s="5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5" spans="2:5" x14ac:dyDescent="0.35">
      <c r="B265" s="5" t="s">
        <v>156</v>
      </c>
      <c r="C265" s="5" t="s">
        <v>124</v>
      </c>
      <c r="D265" s="5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6" spans="2:5" x14ac:dyDescent="0.35">
      <c r="B266" s="5" t="s">
        <v>153</v>
      </c>
      <c r="C266" s="5" t="s">
        <v>124</v>
      </c>
      <c r="D266" s="5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7" spans="2:5" x14ac:dyDescent="0.35">
      <c r="B267" s="5" t="s">
        <v>4</v>
      </c>
      <c r="C267" s="5" t="s">
        <v>114</v>
      </c>
      <c r="D267" s="5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8" spans="2:5" x14ac:dyDescent="0.35">
      <c r="B268" s="5" t="s">
        <v>150</v>
      </c>
      <c r="C268" s="5" t="s">
        <v>114</v>
      </c>
      <c r="D268" s="5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69" spans="2:5" x14ac:dyDescent="0.35">
      <c r="B269" s="5" t="s">
        <v>151</v>
      </c>
      <c r="C269" s="5" t="s">
        <v>114</v>
      </c>
      <c r="D269" s="5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0" spans="2:5" x14ac:dyDescent="0.35">
      <c r="B270" s="5" t="s">
        <v>152</v>
      </c>
      <c r="C270" s="5" t="s">
        <v>114</v>
      </c>
      <c r="D270" s="5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1" spans="2:5" x14ac:dyDescent="0.35">
      <c r="B271" s="5" t="s">
        <v>155</v>
      </c>
      <c r="C271" s="5" t="s">
        <v>114</v>
      </c>
      <c r="D271" s="5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2" spans="2:5" x14ac:dyDescent="0.35">
      <c r="B272" s="5" t="s">
        <v>156</v>
      </c>
      <c r="C272" s="5" t="s">
        <v>114</v>
      </c>
      <c r="D272" s="5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3" spans="2:5" x14ac:dyDescent="0.35">
      <c r="B273" s="5" t="s">
        <v>153</v>
      </c>
      <c r="C273" s="5" t="s">
        <v>114</v>
      </c>
      <c r="D273" s="5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4" spans="2:5" x14ac:dyDescent="0.35">
      <c r="B274" s="5" t="s">
        <v>152</v>
      </c>
      <c r="C274" s="5" t="s">
        <v>105</v>
      </c>
      <c r="D274" s="5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5" spans="2:5" x14ac:dyDescent="0.35">
      <c r="B275" s="5" t="s">
        <v>155</v>
      </c>
      <c r="C275" s="5" t="s">
        <v>105</v>
      </c>
      <c r="D275" s="5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6" spans="2:5" x14ac:dyDescent="0.35">
      <c r="B276" s="5" t="s">
        <v>156</v>
      </c>
      <c r="C276" s="5" t="s">
        <v>105</v>
      </c>
      <c r="D276" s="5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7" spans="2:5" x14ac:dyDescent="0.35">
      <c r="B277" s="5" t="s">
        <v>153</v>
      </c>
      <c r="C277" s="5" t="s">
        <v>105</v>
      </c>
      <c r="D277" s="5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8" spans="2:5" x14ac:dyDescent="0.35">
      <c r="B278" s="5" t="s">
        <v>4</v>
      </c>
      <c r="C278" s="5" t="s">
        <v>141</v>
      </c>
      <c r="D278" s="5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79" spans="2:5" x14ac:dyDescent="0.35">
      <c r="B279" s="5" t="s">
        <v>150</v>
      </c>
      <c r="C279" s="5" t="s">
        <v>141</v>
      </c>
      <c r="D279" s="5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0" spans="2:5" x14ac:dyDescent="0.35">
      <c r="B280" s="5" t="s">
        <v>151</v>
      </c>
      <c r="C280" s="5" t="s">
        <v>141</v>
      </c>
      <c r="D280" s="5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1" spans="2:5" x14ac:dyDescent="0.35">
      <c r="B281" s="5" t="s">
        <v>152</v>
      </c>
      <c r="C281" s="5" t="s">
        <v>141</v>
      </c>
      <c r="D281" s="5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2" spans="2:5" x14ac:dyDescent="0.35">
      <c r="B282" s="5" t="s">
        <v>155</v>
      </c>
      <c r="C282" s="5" t="s">
        <v>141</v>
      </c>
      <c r="D282" s="5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3" spans="2:5" x14ac:dyDescent="0.35">
      <c r="B283" s="5" t="s">
        <v>156</v>
      </c>
      <c r="C283" s="5" t="s">
        <v>141</v>
      </c>
      <c r="D283" s="5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4" spans="2:5" x14ac:dyDescent="0.35">
      <c r="B284" s="5" t="s">
        <v>153</v>
      </c>
      <c r="C284" s="5" t="s">
        <v>141</v>
      </c>
      <c r="D284" s="5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5" spans="2:5" x14ac:dyDescent="0.35">
      <c r="B285" s="5" t="s">
        <v>4</v>
      </c>
      <c r="C285" s="5" t="s">
        <v>143</v>
      </c>
      <c r="D285" s="5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6" spans="2:5" x14ac:dyDescent="0.35">
      <c r="B286" s="5" t="s">
        <v>150</v>
      </c>
      <c r="C286" s="5" t="s">
        <v>143</v>
      </c>
      <c r="D286" s="5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7" spans="2:5" x14ac:dyDescent="0.35">
      <c r="B287" s="5" t="s">
        <v>151</v>
      </c>
      <c r="C287" s="5" t="s">
        <v>143</v>
      </c>
      <c r="D287" s="5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المجاردة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8" spans="2:5" x14ac:dyDescent="0.35">
      <c r="B288" s="5" t="s">
        <v>152</v>
      </c>
      <c r="C288" s="5" t="s">
        <v>143</v>
      </c>
      <c r="D288" s="5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89" spans="2:5" x14ac:dyDescent="0.35">
      <c r="B289" s="5" t="s">
        <v>155</v>
      </c>
      <c r="C289" s="5" t="s">
        <v>143</v>
      </c>
      <c r="D289" s="5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0" spans="2:5" x14ac:dyDescent="0.35">
      <c r="B290" s="5" t="s">
        <v>156</v>
      </c>
      <c r="C290" s="5" t="s">
        <v>143</v>
      </c>
      <c r="D290" s="5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1" spans="2:5" x14ac:dyDescent="0.35">
      <c r="B291" s="5" t="s">
        <v>153</v>
      </c>
      <c r="C291" s="5" t="s">
        <v>143</v>
      </c>
      <c r="D291" s="5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2" spans="2:5" x14ac:dyDescent="0.35">
      <c r="B292" s="5" t="s">
        <v>4</v>
      </c>
      <c r="C292" s="5" t="s">
        <v>146</v>
      </c>
      <c r="D292" s="5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3" spans="2:5" x14ac:dyDescent="0.35">
      <c r="B293" s="5" t="s">
        <v>150</v>
      </c>
      <c r="C293" s="5" t="s">
        <v>146</v>
      </c>
      <c r="D293" s="5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4" spans="2:5" x14ac:dyDescent="0.35">
      <c r="B294" s="5" t="s">
        <v>151</v>
      </c>
      <c r="C294" s="5" t="s">
        <v>146</v>
      </c>
      <c r="D294" s="5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5" spans="2:5" x14ac:dyDescent="0.35">
      <c r="B295" s="5" t="s">
        <v>152</v>
      </c>
      <c r="C295" s="5" t="s">
        <v>146</v>
      </c>
      <c r="D295" s="5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6" spans="2:5" x14ac:dyDescent="0.35">
      <c r="B296" s="5" t="s">
        <v>155</v>
      </c>
      <c r="C296" s="5" t="s">
        <v>146</v>
      </c>
      <c r="D296" s="5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7" spans="2:5" x14ac:dyDescent="0.35">
      <c r="B297" s="5" t="s">
        <v>156</v>
      </c>
      <c r="C297" s="5" t="s">
        <v>146</v>
      </c>
      <c r="D297" s="5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8" spans="2:5" x14ac:dyDescent="0.35">
      <c r="B298" s="5" t="s">
        <v>153</v>
      </c>
      <c r="C298" s="5" t="s">
        <v>146</v>
      </c>
      <c r="D298" s="5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299" spans="2:5" x14ac:dyDescent="0.35">
      <c r="B299" s="5" t="s">
        <v>4</v>
      </c>
      <c r="C299" s="5" t="s">
        <v>120</v>
      </c>
      <c r="D299" s="5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00" spans="2:5" x14ac:dyDescent="0.35">
      <c r="B300" s="5" t="s">
        <v>150</v>
      </c>
      <c r="C300" s="5" t="s">
        <v>120</v>
      </c>
      <c r="D300" s="5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01" spans="2:5" x14ac:dyDescent="0.35">
      <c r="B301" s="5" t="s">
        <v>151</v>
      </c>
      <c r="C301" s="5" t="s">
        <v>120</v>
      </c>
      <c r="D301" s="5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302" spans="2:5" x14ac:dyDescent="0.35">
      <c r="B302" s="5" t="s">
        <v>152</v>
      </c>
      <c r="C302" s="5" t="s">
        <v>120</v>
      </c>
      <c r="D302" s="5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303" spans="2:5" x14ac:dyDescent="0.35">
      <c r="B303" s="5" t="s">
        <v>155</v>
      </c>
      <c r="C303" s="5" t="s">
        <v>120</v>
      </c>
      <c r="D303" s="5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304" spans="2:5" x14ac:dyDescent="0.35">
      <c r="B304" s="5" t="s">
        <v>156</v>
      </c>
      <c r="C304" s="5" t="s">
        <v>120</v>
      </c>
      <c r="D304" s="5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05" spans="2:5" x14ac:dyDescent="0.35">
      <c r="B305" s="5" t="s">
        <v>153</v>
      </c>
      <c r="C305" s="5" t="s">
        <v>120</v>
      </c>
      <c r="D305" s="5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06" spans="2:5" x14ac:dyDescent="0.35">
      <c r="B306" s="5" t="s">
        <v>4</v>
      </c>
      <c r="C306" s="5" t="s">
        <v>62</v>
      </c>
      <c r="D306" s="5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بقيق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07" spans="2:5" x14ac:dyDescent="0.35">
      <c r="B307" s="5" t="s">
        <v>150</v>
      </c>
      <c r="C307" s="5" t="s">
        <v>62</v>
      </c>
      <c r="D307" s="5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بقيق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08" spans="2:5" x14ac:dyDescent="0.35">
      <c r="B308" s="5" t="s">
        <v>151</v>
      </c>
      <c r="C308" s="5" t="s">
        <v>62</v>
      </c>
      <c r="D308" s="5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بقيق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09" spans="2:5" x14ac:dyDescent="0.35">
      <c r="B309" s="5" t="s">
        <v>152</v>
      </c>
      <c r="C309" s="5" t="s">
        <v>62</v>
      </c>
      <c r="D309" s="5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0" spans="2:5" x14ac:dyDescent="0.35">
      <c r="B310" s="5" t="s">
        <v>155</v>
      </c>
      <c r="C310" s="5" t="s">
        <v>62</v>
      </c>
      <c r="D310" s="5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1" spans="2:5" x14ac:dyDescent="0.35">
      <c r="B311" s="5" t="s">
        <v>156</v>
      </c>
      <c r="C311" s="5" t="s">
        <v>62</v>
      </c>
      <c r="D311" s="5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2" spans="2:5" x14ac:dyDescent="0.35">
      <c r="B312" s="5" t="s">
        <v>153</v>
      </c>
      <c r="C312" s="5" t="s">
        <v>62</v>
      </c>
      <c r="D312" s="5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3" spans="2:5" x14ac:dyDescent="0.35">
      <c r="B313" s="5" t="s">
        <v>4</v>
      </c>
      <c r="C313" s="5" t="s">
        <v>107</v>
      </c>
      <c r="D313" s="5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4" spans="2:5" x14ac:dyDescent="0.35">
      <c r="B314" s="5" t="s">
        <v>150</v>
      </c>
      <c r="C314" s="5" t="s">
        <v>107</v>
      </c>
      <c r="D314" s="5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5" spans="2:5" x14ac:dyDescent="0.35">
      <c r="B315" s="5" t="s">
        <v>151</v>
      </c>
      <c r="C315" s="5" t="s">
        <v>107</v>
      </c>
      <c r="D315" s="5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6" spans="2:5" x14ac:dyDescent="0.35">
      <c r="B316" s="5" t="s">
        <v>152</v>
      </c>
      <c r="C316" s="5" t="s">
        <v>107</v>
      </c>
      <c r="D316" s="5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7" spans="2:5" x14ac:dyDescent="0.35">
      <c r="B317" s="5" t="s">
        <v>155</v>
      </c>
      <c r="C317" s="5" t="s">
        <v>107</v>
      </c>
      <c r="D317" s="5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8" spans="2:5" x14ac:dyDescent="0.35">
      <c r="B318" s="5" t="s">
        <v>156</v>
      </c>
      <c r="C318" s="5" t="s">
        <v>107</v>
      </c>
      <c r="D318" s="5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19" spans="2:5" x14ac:dyDescent="0.35">
      <c r="B319" s="5" t="s">
        <v>153</v>
      </c>
      <c r="C319" s="5" t="s">
        <v>107</v>
      </c>
      <c r="D319" s="5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20" spans="2:5" x14ac:dyDescent="0.35">
      <c r="B320" s="5" t="s">
        <v>4</v>
      </c>
      <c r="C320" s="5" t="s">
        <v>39</v>
      </c>
      <c r="D320" s="5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21" spans="2:5" x14ac:dyDescent="0.35">
      <c r="B321" s="5" t="s">
        <v>150</v>
      </c>
      <c r="C321" s="5" t="s">
        <v>39</v>
      </c>
      <c r="D321" s="5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22" spans="2:5" x14ac:dyDescent="0.35">
      <c r="B322" s="5" t="s">
        <v>151</v>
      </c>
      <c r="C322" s="5" t="s">
        <v>39</v>
      </c>
      <c r="D322" s="5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23" spans="2:5" x14ac:dyDescent="0.35">
      <c r="B323" s="5" t="s">
        <v>152</v>
      </c>
      <c r="C323" s="5" t="s">
        <v>39</v>
      </c>
      <c r="D323" s="5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24" spans="2:5" x14ac:dyDescent="0.35">
      <c r="B324" s="5" t="s">
        <v>155</v>
      </c>
      <c r="C324" s="5" t="s">
        <v>39</v>
      </c>
      <c r="D324" s="5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25" spans="2:5" x14ac:dyDescent="0.35">
      <c r="B325" s="5" t="s">
        <v>156</v>
      </c>
      <c r="C325" s="5" t="s">
        <v>39</v>
      </c>
      <c r="D325" s="5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26" spans="2:5" x14ac:dyDescent="0.35">
      <c r="B326" s="5" t="s">
        <v>153</v>
      </c>
      <c r="C326" s="5" t="s">
        <v>39</v>
      </c>
      <c r="D326" s="5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27" spans="2:5" x14ac:dyDescent="0.35">
      <c r="B327" s="5" t="s">
        <v>4</v>
      </c>
      <c r="C327" s="5" t="s">
        <v>65</v>
      </c>
      <c r="D327" s="5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28" spans="2:5" x14ac:dyDescent="0.35">
      <c r="B328" s="5" t="s">
        <v>150</v>
      </c>
      <c r="C328" s="5" t="s">
        <v>65</v>
      </c>
      <c r="D328" s="5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29" spans="2:5" x14ac:dyDescent="0.35">
      <c r="B329" s="5" t="s">
        <v>151</v>
      </c>
      <c r="C329" s="5" t="s">
        <v>65</v>
      </c>
      <c r="D329" s="5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30" spans="2:5" x14ac:dyDescent="0.35">
      <c r="B330" s="5" t="s">
        <v>152</v>
      </c>
      <c r="C330" s="5" t="s">
        <v>65</v>
      </c>
      <c r="D330" s="5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31" spans="2:5" x14ac:dyDescent="0.35">
      <c r="B331" s="5" t="s">
        <v>155</v>
      </c>
      <c r="C331" s="5" t="s">
        <v>65</v>
      </c>
      <c r="D331" s="5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32" spans="2:5" x14ac:dyDescent="0.35">
      <c r="B332" s="5" t="s">
        <v>156</v>
      </c>
      <c r="C332" s="5" t="s">
        <v>65</v>
      </c>
      <c r="D332" s="5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33" spans="2:5" x14ac:dyDescent="0.35">
      <c r="B333" s="5" t="s">
        <v>153</v>
      </c>
      <c r="C333" s="5" t="s">
        <v>65</v>
      </c>
      <c r="D333" s="5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34" spans="2:5" x14ac:dyDescent="0.35">
      <c r="B334" s="5" t="s">
        <v>4</v>
      </c>
      <c r="C334" s="5" t="s">
        <v>27</v>
      </c>
      <c r="D334" s="5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35" spans="2:5" x14ac:dyDescent="0.35">
      <c r="B335" s="5" t="s">
        <v>150</v>
      </c>
      <c r="C335" s="5" t="s">
        <v>27</v>
      </c>
      <c r="D335" s="5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36" spans="2:5" x14ac:dyDescent="0.35">
      <c r="B336" s="5" t="s">
        <v>151</v>
      </c>
      <c r="C336" s="5" t="s">
        <v>27</v>
      </c>
      <c r="D336" s="5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37" spans="2:5" x14ac:dyDescent="0.35">
      <c r="B337" s="5" t="s">
        <v>152</v>
      </c>
      <c r="C337" s="5" t="s">
        <v>27</v>
      </c>
      <c r="D337" s="5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38" spans="2:5" x14ac:dyDescent="0.35">
      <c r="B338" s="5" t="s">
        <v>155</v>
      </c>
      <c r="C338" s="5" t="s">
        <v>27</v>
      </c>
      <c r="D338" s="5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39" spans="2:5" x14ac:dyDescent="0.35">
      <c r="B339" s="5" t="s">
        <v>156</v>
      </c>
      <c r="C339" s="5" t="s">
        <v>27</v>
      </c>
      <c r="D339" s="5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40" spans="2:5" x14ac:dyDescent="0.35">
      <c r="B340" s="5" t="s">
        <v>153</v>
      </c>
      <c r="C340" s="5" t="s">
        <v>27</v>
      </c>
      <c r="D340" s="5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41" spans="2:5" x14ac:dyDescent="0.35">
      <c r="B341" s="5" t="s">
        <v>4</v>
      </c>
      <c r="C341" s="5" t="s">
        <v>142</v>
      </c>
      <c r="D341" s="5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2" spans="2:5" x14ac:dyDescent="0.35">
      <c r="B342" s="5" t="s">
        <v>150</v>
      </c>
      <c r="C342" s="5" t="s">
        <v>142</v>
      </c>
      <c r="D342" s="5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3" spans="2:5" x14ac:dyDescent="0.35">
      <c r="B343" s="5" t="s">
        <v>151</v>
      </c>
      <c r="C343" s="5" t="s">
        <v>142</v>
      </c>
      <c r="D343" s="5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4" spans="2:5" x14ac:dyDescent="0.35">
      <c r="B344" s="5" t="s">
        <v>152</v>
      </c>
      <c r="C344" s="5" t="s">
        <v>142</v>
      </c>
      <c r="D344" s="5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5" spans="2:5" x14ac:dyDescent="0.35">
      <c r="B345" s="5" t="s">
        <v>155</v>
      </c>
      <c r="C345" s="5" t="s">
        <v>142</v>
      </c>
      <c r="D345" s="5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6" spans="2:5" x14ac:dyDescent="0.35">
      <c r="B346" s="5" t="s">
        <v>156</v>
      </c>
      <c r="C346" s="5" t="s">
        <v>142</v>
      </c>
      <c r="D346" s="5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7" spans="2:5" x14ac:dyDescent="0.35">
      <c r="B347" s="5" t="s">
        <v>153</v>
      </c>
      <c r="C347" s="5" t="s">
        <v>142</v>
      </c>
      <c r="D347" s="5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48" spans="2:5" x14ac:dyDescent="0.35">
      <c r="B348" s="5" t="s">
        <v>4</v>
      </c>
      <c r="C348" s="5" t="s">
        <v>501</v>
      </c>
      <c r="D348" s="5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349" spans="2:5" x14ac:dyDescent="0.35">
      <c r="B349" s="5" t="s">
        <v>150</v>
      </c>
      <c r="C349" s="5" t="s">
        <v>501</v>
      </c>
      <c r="D349" s="5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350" spans="2:5" x14ac:dyDescent="0.35">
      <c r="B350" s="5" t="s">
        <v>151</v>
      </c>
      <c r="C350" s="5" t="s">
        <v>501</v>
      </c>
      <c r="D350" s="5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351" spans="2:5" x14ac:dyDescent="0.35">
      <c r="B351" s="5" t="s">
        <v>152</v>
      </c>
      <c r="C351" s="5" t="s">
        <v>501</v>
      </c>
      <c r="D351" s="5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352" spans="2:5" x14ac:dyDescent="0.35">
      <c r="B352" s="5" t="s">
        <v>155</v>
      </c>
      <c r="C352" s="5" t="s">
        <v>501</v>
      </c>
      <c r="D352" s="5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353" spans="2:5" x14ac:dyDescent="0.35">
      <c r="B353" s="5" t="s">
        <v>156</v>
      </c>
      <c r="C353" s="5" t="s">
        <v>501</v>
      </c>
      <c r="D353" s="5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</row>
    <row r="354" spans="2:5" x14ac:dyDescent="0.35">
      <c r="B354" s="5" t="s">
        <v>153</v>
      </c>
      <c r="C354" s="5" t="s">
        <v>501</v>
      </c>
      <c r="D354" s="5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</row>
    <row r="355" spans="2:5" x14ac:dyDescent="0.35">
      <c r="B355" s="5" t="s">
        <v>4</v>
      </c>
      <c r="C355" s="5" t="s">
        <v>30</v>
      </c>
      <c r="D355" s="5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</row>
    <row r="356" spans="2:5" x14ac:dyDescent="0.35">
      <c r="B356" s="5" t="s">
        <v>150</v>
      </c>
      <c r="C356" s="5" t="s">
        <v>30</v>
      </c>
      <c r="D356" s="5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</row>
    <row r="357" spans="2:5" x14ac:dyDescent="0.35">
      <c r="B357" s="5" t="s">
        <v>151</v>
      </c>
      <c r="C357" s="5" t="s">
        <v>30</v>
      </c>
      <c r="D357" s="5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</row>
    <row r="358" spans="2:5" x14ac:dyDescent="0.35">
      <c r="B358" s="5" t="s">
        <v>152</v>
      </c>
      <c r="C358" s="5" t="s">
        <v>30</v>
      </c>
      <c r="D358" s="5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</row>
    <row r="359" spans="2:5" x14ac:dyDescent="0.35">
      <c r="B359" s="5" t="s">
        <v>155</v>
      </c>
      <c r="C359" s="5" t="s">
        <v>30</v>
      </c>
      <c r="D359" s="5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</row>
    <row r="360" spans="2:5" x14ac:dyDescent="0.35">
      <c r="B360" s="5" t="s">
        <v>156</v>
      </c>
      <c r="C360" s="5" t="s">
        <v>30</v>
      </c>
      <c r="D360" s="5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</row>
    <row r="361" spans="2:5" x14ac:dyDescent="0.35">
      <c r="B361" s="5" t="s">
        <v>153</v>
      </c>
      <c r="C361" s="5" t="s">
        <v>30</v>
      </c>
      <c r="D361" s="5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</row>
    <row r="362" spans="2:5" x14ac:dyDescent="0.35">
      <c r="B362" s="5" t="s">
        <v>4</v>
      </c>
      <c r="C362" s="5" t="s">
        <v>32</v>
      </c>
      <c r="D362" s="5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63" spans="2:5" x14ac:dyDescent="0.35">
      <c r="B363" s="5" t="s">
        <v>150</v>
      </c>
      <c r="C363" s="5" t="s">
        <v>32</v>
      </c>
      <c r="D363" s="5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64" spans="2:5" x14ac:dyDescent="0.35">
      <c r="B364" s="5" t="s">
        <v>151</v>
      </c>
      <c r="C364" s="5" t="s">
        <v>32</v>
      </c>
      <c r="D364" s="5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65" spans="2:5" x14ac:dyDescent="0.35">
      <c r="B365" s="5" t="s">
        <v>152</v>
      </c>
      <c r="C365" s="5" t="s">
        <v>32</v>
      </c>
      <c r="D365" s="5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66" spans="2:5" x14ac:dyDescent="0.35">
      <c r="B366" s="5" t="s">
        <v>155</v>
      </c>
      <c r="C366" s="5" t="s">
        <v>32</v>
      </c>
      <c r="D366" s="5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67" spans="2:5" x14ac:dyDescent="0.35">
      <c r="B367" s="5" t="s">
        <v>156</v>
      </c>
      <c r="C367" s="5" t="s">
        <v>32</v>
      </c>
      <c r="D367" s="5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68" spans="2:5" x14ac:dyDescent="0.35">
      <c r="B368" s="5" t="s">
        <v>153</v>
      </c>
      <c r="C368" s="5" t="s">
        <v>32</v>
      </c>
      <c r="D368" s="5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69" spans="2:5" x14ac:dyDescent="0.35">
      <c r="B369" s="5" t="s">
        <v>152</v>
      </c>
      <c r="C369" s="5" t="s">
        <v>147</v>
      </c>
      <c r="D369" s="5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70" spans="2:5" x14ac:dyDescent="0.35">
      <c r="B370" s="5" t="s">
        <v>155</v>
      </c>
      <c r="C370" s="5" t="s">
        <v>147</v>
      </c>
      <c r="D370" s="5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71" spans="2:5" x14ac:dyDescent="0.35">
      <c r="B371" s="5" t="s">
        <v>156</v>
      </c>
      <c r="C371" s="5" t="s">
        <v>147</v>
      </c>
      <c r="D371" s="5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72" spans="2:5" x14ac:dyDescent="0.35">
      <c r="B372" s="5" t="s">
        <v>153</v>
      </c>
      <c r="C372" s="5" t="s">
        <v>147</v>
      </c>
      <c r="D372" s="5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73" spans="2:5" x14ac:dyDescent="0.35">
      <c r="B373" s="5" t="s">
        <v>4</v>
      </c>
      <c r="C373" s="5" t="s">
        <v>138</v>
      </c>
      <c r="D373" s="5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374" spans="2:5" x14ac:dyDescent="0.35">
      <c r="B374" s="5" t="s">
        <v>150</v>
      </c>
      <c r="C374" s="5" t="s">
        <v>138</v>
      </c>
      <c r="D374" s="5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75" spans="2:5" x14ac:dyDescent="0.35">
      <c r="B375" s="5" t="s">
        <v>151</v>
      </c>
      <c r="C375" s="5" t="s">
        <v>138</v>
      </c>
      <c r="D375" s="5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76" spans="2:5" x14ac:dyDescent="0.35">
      <c r="B376" s="5" t="s">
        <v>152</v>
      </c>
      <c r="C376" s="5" t="s">
        <v>138</v>
      </c>
      <c r="D376" s="5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77" spans="2:5" x14ac:dyDescent="0.35">
      <c r="B377" s="5" t="s">
        <v>155</v>
      </c>
      <c r="C377" s="5" t="s">
        <v>138</v>
      </c>
      <c r="D377" s="5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</row>
    <row r="378" spans="2:5" x14ac:dyDescent="0.35">
      <c r="B378" s="5" t="s">
        <v>156</v>
      </c>
      <c r="C378" s="5" t="s">
        <v>138</v>
      </c>
      <c r="D378" s="5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79" spans="2:5" x14ac:dyDescent="0.35">
      <c r="B379" s="5" t="s">
        <v>153</v>
      </c>
      <c r="C379" s="5" t="s">
        <v>138</v>
      </c>
      <c r="D379" s="5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</row>
    <row r="380" spans="2:5" x14ac:dyDescent="0.35">
      <c r="B380" s="5" t="s">
        <v>152</v>
      </c>
      <c r="C380" s="5" t="s">
        <v>112</v>
      </c>
      <c r="D380" s="5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1" spans="2:5" x14ac:dyDescent="0.35">
      <c r="B381" s="5" t="s">
        <v>155</v>
      </c>
      <c r="C381" s="5" t="s">
        <v>112</v>
      </c>
      <c r="D381" s="5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2" spans="2:5" x14ac:dyDescent="0.35">
      <c r="B382" s="5" t="s">
        <v>156</v>
      </c>
      <c r="C382" s="5" t="s">
        <v>112</v>
      </c>
      <c r="D382" s="5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3" spans="2:5" x14ac:dyDescent="0.35">
      <c r="B383" s="5" t="s">
        <v>153</v>
      </c>
      <c r="C383" s="5" t="s">
        <v>112</v>
      </c>
      <c r="D383" s="5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4" spans="2:5" x14ac:dyDescent="0.35">
      <c r="B384" s="5" t="s">
        <v>152</v>
      </c>
      <c r="C384" s="5" t="s">
        <v>148</v>
      </c>
      <c r="D384" s="5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5" spans="2:5" x14ac:dyDescent="0.35">
      <c r="B385" s="5" t="s">
        <v>155</v>
      </c>
      <c r="C385" s="5" t="s">
        <v>148</v>
      </c>
      <c r="D385" s="5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6" spans="2:5" x14ac:dyDescent="0.35">
      <c r="B386" s="5" t="s">
        <v>156</v>
      </c>
      <c r="C386" s="5" t="s">
        <v>148</v>
      </c>
      <c r="D386" s="5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7" spans="2:5" x14ac:dyDescent="0.35">
      <c r="B387" s="5" t="s">
        <v>153</v>
      </c>
      <c r="C387" s="5" t="s">
        <v>148</v>
      </c>
      <c r="D387" s="5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8" spans="2:5" x14ac:dyDescent="0.35">
      <c r="B388" s="5" t="s">
        <v>4</v>
      </c>
      <c r="C388" s="5" t="s">
        <v>101</v>
      </c>
      <c r="D388" s="5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389" spans="2:5" x14ac:dyDescent="0.35">
      <c r="B389" s="5" t="s">
        <v>150</v>
      </c>
      <c r="C389" s="5" t="s">
        <v>101</v>
      </c>
      <c r="D389" s="5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90" spans="2:5" x14ac:dyDescent="0.35">
      <c r="B390" s="5" t="s">
        <v>151</v>
      </c>
      <c r="C390" s="5" t="s">
        <v>101</v>
      </c>
      <c r="D390" s="5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91" spans="2:5" x14ac:dyDescent="0.35">
      <c r="B391" s="5" t="s">
        <v>152</v>
      </c>
      <c r="C391" s="5" t="s">
        <v>101</v>
      </c>
      <c r="D391" s="5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392" spans="2:5" x14ac:dyDescent="0.35">
      <c r="B392" s="5" t="s">
        <v>155</v>
      </c>
      <c r="C392" s="5" t="s">
        <v>101</v>
      </c>
      <c r="D392" s="5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93" spans="2:5" x14ac:dyDescent="0.35">
      <c r="B393" s="5" t="s">
        <v>156</v>
      </c>
      <c r="C393" s="5" t="s">
        <v>101</v>
      </c>
      <c r="D393" s="5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94" spans="2:5" x14ac:dyDescent="0.35">
      <c r="B394" s="5" t="s">
        <v>153</v>
      </c>
      <c r="C394" s="5" t="s">
        <v>101</v>
      </c>
      <c r="D394" s="5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395" spans="2:5" x14ac:dyDescent="0.35">
      <c r="B395" s="5" t="s">
        <v>4</v>
      </c>
      <c r="C395" s="5" t="s">
        <v>109</v>
      </c>
      <c r="D395" s="5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96" spans="2:5" x14ac:dyDescent="0.35">
      <c r="B396" s="5" t="s">
        <v>150</v>
      </c>
      <c r="C396" s="5" t="s">
        <v>109</v>
      </c>
      <c r="D396" s="5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97" spans="2:5" x14ac:dyDescent="0.35">
      <c r="B397" s="5" t="s">
        <v>151</v>
      </c>
      <c r="C397" s="5" t="s">
        <v>109</v>
      </c>
      <c r="D397" s="5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98" spans="2:5" x14ac:dyDescent="0.35">
      <c r="B398" s="5" t="s">
        <v>152</v>
      </c>
      <c r="C398" s="5" t="s">
        <v>109</v>
      </c>
      <c r="D398" s="5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399" spans="2:5" x14ac:dyDescent="0.35">
      <c r="B399" s="5" t="s">
        <v>155</v>
      </c>
      <c r="C399" s="5" t="s">
        <v>109</v>
      </c>
      <c r="D399" s="5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00" spans="2:5" x14ac:dyDescent="0.35">
      <c r="B400" s="5" t="s">
        <v>156</v>
      </c>
      <c r="C400" s="5" t="s">
        <v>109</v>
      </c>
      <c r="D400" s="5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01" spans="2:5" x14ac:dyDescent="0.35">
      <c r="B401" s="5" t="s">
        <v>153</v>
      </c>
      <c r="C401" s="5" t="s">
        <v>109</v>
      </c>
      <c r="D401" s="5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02" spans="2:5" x14ac:dyDescent="0.35">
      <c r="B402" s="5" t="s">
        <v>4</v>
      </c>
      <c r="C402" s="5" t="s">
        <v>130</v>
      </c>
      <c r="D402" s="5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3" spans="2:5" x14ac:dyDescent="0.35">
      <c r="B403" s="5" t="s">
        <v>150</v>
      </c>
      <c r="C403" s="5" t="s">
        <v>130</v>
      </c>
      <c r="D403" s="5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4" spans="2:5" x14ac:dyDescent="0.35">
      <c r="B404" s="5" t="s">
        <v>151</v>
      </c>
      <c r="C404" s="5" t="s">
        <v>130</v>
      </c>
      <c r="D404" s="5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5" spans="2:5" x14ac:dyDescent="0.35">
      <c r="B405" s="5" t="s">
        <v>152</v>
      </c>
      <c r="C405" s="5" t="s">
        <v>130</v>
      </c>
      <c r="D405" s="5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6" spans="2:5" x14ac:dyDescent="0.35">
      <c r="B406" s="5" t="s">
        <v>155</v>
      </c>
      <c r="C406" s="5" t="s">
        <v>130</v>
      </c>
      <c r="D406" s="5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7" spans="2:5" x14ac:dyDescent="0.35">
      <c r="B407" s="5" t="s">
        <v>156</v>
      </c>
      <c r="C407" s="5" t="s">
        <v>130</v>
      </c>
      <c r="D407" s="5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8" spans="2:5" x14ac:dyDescent="0.35">
      <c r="B408" s="5" t="s">
        <v>153</v>
      </c>
      <c r="C408" s="5" t="s">
        <v>130</v>
      </c>
      <c r="D408" s="5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09" spans="2:5" x14ac:dyDescent="0.35">
      <c r="B409" s="5" t="s">
        <v>4</v>
      </c>
      <c r="C409" s="5" t="s">
        <v>59</v>
      </c>
      <c r="D409" s="5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رابغ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0" spans="2:5" x14ac:dyDescent="0.35">
      <c r="B410" s="5" t="s">
        <v>150</v>
      </c>
      <c r="C410" s="5" t="s">
        <v>59</v>
      </c>
      <c r="D410" s="5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رابغ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1" spans="2:5" x14ac:dyDescent="0.35">
      <c r="B411" s="5" t="s">
        <v>151</v>
      </c>
      <c r="C411" s="5" t="s">
        <v>59</v>
      </c>
      <c r="D411" s="5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رابغ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2" spans="2:5" x14ac:dyDescent="0.35">
      <c r="B412" s="5" t="s">
        <v>4</v>
      </c>
      <c r="C412" s="5" t="s">
        <v>70</v>
      </c>
      <c r="D412" s="5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رجال ألمع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3" spans="2:5" x14ac:dyDescent="0.35">
      <c r="B413" s="5" t="s">
        <v>150</v>
      </c>
      <c r="C413" s="5" t="s">
        <v>70</v>
      </c>
      <c r="D413" s="5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رجال ألمع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4" spans="2:5" x14ac:dyDescent="0.35">
      <c r="B414" s="5" t="s">
        <v>151</v>
      </c>
      <c r="C414" s="5" t="s">
        <v>70</v>
      </c>
      <c r="D414" s="5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رجال ألمع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5" spans="2:5" x14ac:dyDescent="0.35">
      <c r="B415" s="5" t="s">
        <v>152</v>
      </c>
      <c r="C415" s="5" t="s">
        <v>70</v>
      </c>
      <c r="D415" s="5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16" spans="2:5" x14ac:dyDescent="0.35">
      <c r="B416" s="5" t="s">
        <v>155</v>
      </c>
      <c r="C416" s="5" t="s">
        <v>70</v>
      </c>
      <c r="D416" s="5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17" spans="2:5" x14ac:dyDescent="0.35">
      <c r="B417" s="5" t="s">
        <v>156</v>
      </c>
      <c r="C417" s="5" t="s">
        <v>70</v>
      </c>
      <c r="D417" s="5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8" spans="2:5" x14ac:dyDescent="0.35">
      <c r="B418" s="5" t="s">
        <v>153</v>
      </c>
      <c r="C418" s="5" t="s">
        <v>70</v>
      </c>
      <c r="D418" s="5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19" spans="2:5" x14ac:dyDescent="0.35">
      <c r="B419" s="5" t="s">
        <v>4</v>
      </c>
      <c r="C419" s="5" t="s">
        <v>72</v>
      </c>
      <c r="D419" s="5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رفحاء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0" spans="2:5" x14ac:dyDescent="0.35">
      <c r="B420" s="5" t="s">
        <v>150</v>
      </c>
      <c r="C420" s="5" t="s">
        <v>72</v>
      </c>
      <c r="D420" s="5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رفحاء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1" spans="2:5" x14ac:dyDescent="0.35">
      <c r="B421" s="5" t="s">
        <v>151</v>
      </c>
      <c r="C421" s="5" t="s">
        <v>72</v>
      </c>
      <c r="D421" s="5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رفحاء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2" spans="2:5" x14ac:dyDescent="0.35">
      <c r="B422" s="5" t="s">
        <v>152</v>
      </c>
      <c r="C422" s="5" t="s">
        <v>72</v>
      </c>
      <c r="D422" s="5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3" spans="2:5" x14ac:dyDescent="0.35">
      <c r="B423" s="5" t="s">
        <v>155</v>
      </c>
      <c r="C423" s="5" t="s">
        <v>72</v>
      </c>
      <c r="D423" s="5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4" spans="2:5" x14ac:dyDescent="0.35">
      <c r="B424" s="5" t="s">
        <v>156</v>
      </c>
      <c r="C424" s="5" t="s">
        <v>72</v>
      </c>
      <c r="D424" s="5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25" spans="2:5" x14ac:dyDescent="0.35">
      <c r="B425" s="5" t="s">
        <v>153</v>
      </c>
      <c r="C425" s="5" t="s">
        <v>72</v>
      </c>
      <c r="D425" s="5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26" spans="2:5" x14ac:dyDescent="0.35">
      <c r="B426" s="5" t="s">
        <v>4</v>
      </c>
      <c r="C426" s="5" t="s">
        <v>108</v>
      </c>
      <c r="D426" s="5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27" spans="2:5" x14ac:dyDescent="0.35">
      <c r="B427" s="5" t="s">
        <v>150</v>
      </c>
      <c r="C427" s="5" t="s">
        <v>108</v>
      </c>
      <c r="D427" s="5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28" spans="2:5" x14ac:dyDescent="0.35">
      <c r="B428" s="5" t="s">
        <v>151</v>
      </c>
      <c r="C428" s="5" t="s">
        <v>108</v>
      </c>
      <c r="D428" s="5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429" spans="2:5" x14ac:dyDescent="0.35">
      <c r="B429" s="5" t="s">
        <v>152</v>
      </c>
      <c r="C429" s="5" t="s">
        <v>108</v>
      </c>
      <c r="D429" s="5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430" spans="2:5" x14ac:dyDescent="0.35">
      <c r="B430" s="5" t="s">
        <v>155</v>
      </c>
      <c r="C430" s="5" t="s">
        <v>108</v>
      </c>
      <c r="D430" s="5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431" spans="2:5" x14ac:dyDescent="0.35">
      <c r="B431" s="5" t="s">
        <v>156</v>
      </c>
      <c r="C431" s="5" t="s">
        <v>108</v>
      </c>
      <c r="D431" s="5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432" spans="2:5" x14ac:dyDescent="0.35">
      <c r="B432" s="5" t="s">
        <v>153</v>
      </c>
      <c r="C432" s="5" t="s">
        <v>108</v>
      </c>
      <c r="D432" s="5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433" spans="2:5" x14ac:dyDescent="0.35">
      <c r="B433" s="5" t="s">
        <v>4</v>
      </c>
      <c r="C433" s="5" t="s">
        <v>119</v>
      </c>
      <c r="D433" s="5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4" spans="2:5" x14ac:dyDescent="0.35">
      <c r="B434" s="5" t="s">
        <v>150</v>
      </c>
      <c r="C434" s="5" t="s">
        <v>119</v>
      </c>
      <c r="D434" s="5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5" spans="2:5" x14ac:dyDescent="0.35">
      <c r="B435" s="5" t="s">
        <v>151</v>
      </c>
      <c r="C435" s="5" t="s">
        <v>119</v>
      </c>
      <c r="D435" s="5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6" spans="2:5" x14ac:dyDescent="0.35">
      <c r="B436" s="5" t="s">
        <v>152</v>
      </c>
      <c r="C436" s="5" t="s">
        <v>119</v>
      </c>
      <c r="D436" s="5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7" spans="2:5" x14ac:dyDescent="0.35">
      <c r="B437" s="5" t="s">
        <v>155</v>
      </c>
      <c r="C437" s="5" t="s">
        <v>119</v>
      </c>
      <c r="D437" s="5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8" spans="2:5" x14ac:dyDescent="0.35">
      <c r="B438" s="5" t="s">
        <v>156</v>
      </c>
      <c r="C438" s="5" t="s">
        <v>119</v>
      </c>
      <c r="D438" s="5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39" spans="2:5" x14ac:dyDescent="0.35">
      <c r="B439" s="5" t="s">
        <v>153</v>
      </c>
      <c r="C439" s="5" t="s">
        <v>119</v>
      </c>
      <c r="D439" s="5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الشرقية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0" spans="2:5" x14ac:dyDescent="0.35">
      <c r="B440" s="5" t="s">
        <v>4</v>
      </c>
      <c r="C440" s="5" t="s">
        <v>74</v>
      </c>
      <c r="D440" s="5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1" spans="2:5" x14ac:dyDescent="0.35">
      <c r="B441" s="5" t="s">
        <v>150</v>
      </c>
      <c r="C441" s="5" t="s">
        <v>74</v>
      </c>
      <c r="D441" s="5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2" spans="2:5" x14ac:dyDescent="0.35">
      <c r="B442" s="5" t="s">
        <v>151</v>
      </c>
      <c r="C442" s="5" t="s">
        <v>74</v>
      </c>
      <c r="D442" s="5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3" spans="2:5" x14ac:dyDescent="0.35">
      <c r="B443" s="5" t="s">
        <v>152</v>
      </c>
      <c r="C443" s="5" t="s">
        <v>74</v>
      </c>
      <c r="D443" s="5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4" spans="2:5" x14ac:dyDescent="0.35">
      <c r="B444" s="5" t="s">
        <v>155</v>
      </c>
      <c r="C444" s="5" t="s">
        <v>74</v>
      </c>
      <c r="D444" s="5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5" spans="2:5" x14ac:dyDescent="0.35">
      <c r="B445" s="5" t="s">
        <v>156</v>
      </c>
      <c r="C445" s="5" t="s">
        <v>74</v>
      </c>
      <c r="D445" s="5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6" spans="2:5" x14ac:dyDescent="0.35">
      <c r="B446" s="5" t="s">
        <v>153</v>
      </c>
      <c r="C446" s="5" t="s">
        <v>74</v>
      </c>
      <c r="D446" s="5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7" spans="2:5" x14ac:dyDescent="0.35">
      <c r="B447" s="5" t="s">
        <v>4</v>
      </c>
      <c r="C447" s="5" t="s">
        <v>76</v>
      </c>
      <c r="D447" s="5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شقراء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8" spans="2:5" x14ac:dyDescent="0.35">
      <c r="B448" s="5" t="s">
        <v>150</v>
      </c>
      <c r="C448" s="5" t="s">
        <v>76</v>
      </c>
      <c r="D448" s="5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شقراء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49" spans="2:5" x14ac:dyDescent="0.35">
      <c r="B449" s="5" t="s">
        <v>151</v>
      </c>
      <c r="C449" s="5" t="s">
        <v>76</v>
      </c>
      <c r="D449" s="5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شقراء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0" spans="2:5" x14ac:dyDescent="0.35">
      <c r="B450" s="5" t="s">
        <v>152</v>
      </c>
      <c r="C450" s="5" t="s">
        <v>76</v>
      </c>
      <c r="D450" s="5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1" spans="2:5" x14ac:dyDescent="0.35">
      <c r="B451" s="5" t="s">
        <v>155</v>
      </c>
      <c r="C451" s="5" t="s">
        <v>76</v>
      </c>
      <c r="D451" s="5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2" spans="2:5" x14ac:dyDescent="0.35">
      <c r="B452" s="5" t="s">
        <v>156</v>
      </c>
      <c r="C452" s="5" t="s">
        <v>76</v>
      </c>
      <c r="D452" s="5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3" spans="2:5" x14ac:dyDescent="0.35">
      <c r="B453" s="5" t="s">
        <v>153</v>
      </c>
      <c r="C453" s="5" t="s">
        <v>76</v>
      </c>
      <c r="D453" s="5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54" spans="2:5" x14ac:dyDescent="0.35">
      <c r="B454" s="5" t="s">
        <v>4</v>
      </c>
      <c r="C454" s="5" t="s">
        <v>134</v>
      </c>
      <c r="D454" s="5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</row>
    <row r="455" spans="2:5" x14ac:dyDescent="0.35">
      <c r="B455" s="5" t="s">
        <v>150</v>
      </c>
      <c r="C455" s="5" t="s">
        <v>134</v>
      </c>
      <c r="D455" s="5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</row>
    <row r="456" spans="2:5" x14ac:dyDescent="0.35">
      <c r="B456" s="5" t="s">
        <v>151</v>
      </c>
      <c r="C456" s="5" t="s">
        <v>134</v>
      </c>
      <c r="D456" s="5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</row>
    <row r="457" spans="2:5" x14ac:dyDescent="0.35">
      <c r="B457" s="5" t="s">
        <v>152</v>
      </c>
      <c r="C457" s="5" t="s">
        <v>134</v>
      </c>
      <c r="D457" s="5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458" spans="2:5" x14ac:dyDescent="0.35">
      <c r="B458" s="5" t="s">
        <v>155</v>
      </c>
      <c r="C458" s="5" t="s">
        <v>134</v>
      </c>
      <c r="D458" s="5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459" spans="2:5" x14ac:dyDescent="0.35">
      <c r="B459" s="5" t="s">
        <v>156</v>
      </c>
      <c r="C459" s="5" t="s">
        <v>134</v>
      </c>
      <c r="D459" s="5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460" spans="2:5" x14ac:dyDescent="0.35">
      <c r="B460" s="5" t="s">
        <v>153</v>
      </c>
      <c r="C460" s="5" t="s">
        <v>134</v>
      </c>
      <c r="D460" s="5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461" spans="2:5" x14ac:dyDescent="0.35">
      <c r="B461" s="5" t="s">
        <v>4</v>
      </c>
      <c r="C461" s="5" t="s">
        <v>133</v>
      </c>
      <c r="D461" s="5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</row>
    <row r="462" spans="2:5" x14ac:dyDescent="0.35">
      <c r="B462" s="5" t="s">
        <v>150</v>
      </c>
      <c r="C462" s="5" t="s">
        <v>133</v>
      </c>
      <c r="D462" s="5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</row>
    <row r="463" spans="2:5" x14ac:dyDescent="0.35">
      <c r="B463" s="5" t="s">
        <v>151</v>
      </c>
      <c r="C463" s="5" t="s">
        <v>133</v>
      </c>
      <c r="D463" s="5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</row>
    <row r="464" spans="2:5" x14ac:dyDescent="0.35">
      <c r="B464" s="5" t="s">
        <v>152</v>
      </c>
      <c r="C464" s="5" t="s">
        <v>133</v>
      </c>
      <c r="D464" s="5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</row>
    <row r="465" spans="2:5" x14ac:dyDescent="0.35">
      <c r="B465" s="5" t="s">
        <v>155</v>
      </c>
      <c r="C465" s="5" t="s">
        <v>133</v>
      </c>
      <c r="D465" s="5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</row>
    <row r="466" spans="2:5" x14ac:dyDescent="0.35">
      <c r="B466" s="5" t="s">
        <v>156</v>
      </c>
      <c r="C466" s="5" t="s">
        <v>133</v>
      </c>
      <c r="D466" s="5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</row>
    <row r="467" spans="2:5" x14ac:dyDescent="0.35">
      <c r="B467" s="5" t="s">
        <v>153</v>
      </c>
      <c r="C467" s="5" t="s">
        <v>133</v>
      </c>
      <c r="D467" s="5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</row>
    <row r="468" spans="2:5" x14ac:dyDescent="0.35">
      <c r="B468" s="5" t="s">
        <v>4</v>
      </c>
      <c r="C468" s="5" t="s">
        <v>127</v>
      </c>
      <c r="D468" s="5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69" spans="2:5" x14ac:dyDescent="0.35">
      <c r="B469" s="5" t="s">
        <v>150</v>
      </c>
      <c r="C469" s="5" t="s">
        <v>127</v>
      </c>
      <c r="D469" s="5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0" spans="2:5" x14ac:dyDescent="0.35">
      <c r="B470" s="5" t="s">
        <v>151</v>
      </c>
      <c r="C470" s="5" t="s">
        <v>127</v>
      </c>
      <c r="D470" s="5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1" spans="2:5" x14ac:dyDescent="0.35">
      <c r="B471" s="5" t="s">
        <v>152</v>
      </c>
      <c r="C471" s="5" t="s">
        <v>127</v>
      </c>
      <c r="D471" s="5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2" spans="2:5" x14ac:dyDescent="0.35">
      <c r="B472" s="5" t="s">
        <v>155</v>
      </c>
      <c r="C472" s="5" t="s">
        <v>127</v>
      </c>
      <c r="D472" s="5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3" spans="2:5" x14ac:dyDescent="0.35">
      <c r="B473" s="5" t="s">
        <v>156</v>
      </c>
      <c r="C473" s="5" t="s">
        <v>127</v>
      </c>
      <c r="D473" s="5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4" spans="2:5" x14ac:dyDescent="0.35">
      <c r="B474" s="5" t="s">
        <v>153</v>
      </c>
      <c r="C474" s="5" t="s">
        <v>127</v>
      </c>
      <c r="D474" s="5" t="str" cm="1">
        <f t="array" ref="D4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74" s="2" cm="1">
        <f t="array" ref="E4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5" spans="2:5" x14ac:dyDescent="0.35">
      <c r="B475" s="5" t="s">
        <v>4</v>
      </c>
      <c r="C475" s="5" t="s">
        <v>115</v>
      </c>
      <c r="D475" s="5" t="str" cm="1">
        <f t="array" ref="D4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475" s="2" cm="1">
        <f t="array" ref="E4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6" spans="2:5" x14ac:dyDescent="0.35">
      <c r="B476" s="5" t="s">
        <v>150</v>
      </c>
      <c r="C476" s="5" t="s">
        <v>115</v>
      </c>
      <c r="D476" s="5" t="str" cm="1">
        <f t="array" ref="D4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476" s="2" cm="1">
        <f t="array" ref="E4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7" spans="2:5" x14ac:dyDescent="0.35">
      <c r="B477" s="5" t="s">
        <v>151</v>
      </c>
      <c r="C477" s="5" t="s">
        <v>115</v>
      </c>
      <c r="D477" s="5" t="str" cm="1">
        <f t="array" ref="D4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المزاحمية</v>
      </c>
      <c r="E477" s="2" cm="1">
        <f t="array" ref="E4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8" spans="2:5" x14ac:dyDescent="0.35">
      <c r="B478" s="5" t="s">
        <v>152</v>
      </c>
      <c r="C478" s="5" t="s">
        <v>115</v>
      </c>
      <c r="D478" s="5" t="str" cm="1">
        <f t="array" ref="D4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78" s="2" cm="1">
        <f t="array" ref="E4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79" spans="2:5" x14ac:dyDescent="0.35">
      <c r="B479" s="5" t="s">
        <v>155</v>
      </c>
      <c r="C479" s="5" t="s">
        <v>115</v>
      </c>
      <c r="D479" s="5" t="str" cm="1">
        <f t="array" ref="D4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79" s="2" cm="1">
        <f t="array" ref="E4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80" spans="2:5" x14ac:dyDescent="0.35">
      <c r="B480" s="5" t="s">
        <v>156</v>
      </c>
      <c r="C480" s="5" t="s">
        <v>115</v>
      </c>
      <c r="D480" s="5" t="str" cm="1">
        <f t="array" ref="D4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80" s="2" cm="1">
        <f t="array" ref="E4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81" spans="2:5" x14ac:dyDescent="0.35">
      <c r="B481" s="5" t="s">
        <v>153</v>
      </c>
      <c r="C481" s="5" t="s">
        <v>115</v>
      </c>
      <c r="D481" s="5" t="str" cm="1">
        <f t="array" ref="D4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81" s="2" cm="1">
        <f t="array" ref="E4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82" spans="2:5" x14ac:dyDescent="0.35">
      <c r="B482" s="5" t="s">
        <v>4</v>
      </c>
      <c r="C482" s="5" t="s">
        <v>136</v>
      </c>
      <c r="D482" s="5" t="str" cm="1">
        <f t="array" ref="D4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82" s="2" cm="1">
        <f t="array" ref="E4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83" spans="2:5" x14ac:dyDescent="0.35">
      <c r="B483" s="5" t="s">
        <v>150</v>
      </c>
      <c r="C483" s="5" t="s">
        <v>136</v>
      </c>
      <c r="D483" s="5" t="str" cm="1">
        <f t="array" ref="D4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83" s="2" cm="1">
        <f t="array" ref="E4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4" spans="2:5" x14ac:dyDescent="0.35">
      <c r="B484" s="5" t="s">
        <v>151</v>
      </c>
      <c r="C484" s="5" t="s">
        <v>136</v>
      </c>
      <c r="D484" s="5" t="str" cm="1">
        <f t="array" ref="D4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484" s="2" cm="1">
        <f t="array" ref="E4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5" spans="2:5" x14ac:dyDescent="0.35">
      <c r="B485" s="5" t="s">
        <v>152</v>
      </c>
      <c r="C485" s="5" t="s">
        <v>136</v>
      </c>
      <c r="D485" s="5" t="str" cm="1">
        <f t="array" ref="D4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85" s="2" cm="1">
        <f t="array" ref="E4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6" spans="2:5" x14ac:dyDescent="0.35">
      <c r="B486" s="5" t="s">
        <v>155</v>
      </c>
      <c r="C486" s="5" t="s">
        <v>136</v>
      </c>
      <c r="D486" s="5" t="str" cm="1">
        <f t="array" ref="D4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86" s="2" cm="1">
        <f t="array" ref="E4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7" spans="2:5" x14ac:dyDescent="0.35">
      <c r="B487" s="5" t="s">
        <v>156</v>
      </c>
      <c r="C487" s="5" t="s">
        <v>136</v>
      </c>
      <c r="D487" s="5" t="str" cm="1">
        <f t="array" ref="D4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87" s="2" cm="1">
        <f t="array" ref="E4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8" spans="2:5" x14ac:dyDescent="0.35">
      <c r="B488" s="5" t="s">
        <v>153</v>
      </c>
      <c r="C488" s="5" t="s">
        <v>136</v>
      </c>
      <c r="D488" s="5" t="str" cm="1">
        <f t="array" ref="D4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488" s="2" cm="1">
        <f t="array" ref="E4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489" spans="2:5" x14ac:dyDescent="0.35">
      <c r="B489" s="5" t="s">
        <v>152</v>
      </c>
      <c r="C489" s="5" t="s">
        <v>110</v>
      </c>
      <c r="D489" s="5" t="str" cm="1">
        <f t="array" ref="D4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89" s="2" cm="1">
        <f t="array" ref="E4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0" spans="2:5" x14ac:dyDescent="0.35">
      <c r="B490" s="5" t="s">
        <v>155</v>
      </c>
      <c r="C490" s="5" t="s">
        <v>110</v>
      </c>
      <c r="D490" s="5" t="str" cm="1">
        <f t="array" ref="D4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90" s="2" cm="1">
        <f t="array" ref="E4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1" spans="2:5" x14ac:dyDescent="0.35">
      <c r="B491" s="5" t="s">
        <v>156</v>
      </c>
      <c r="C491" s="5" t="s">
        <v>110</v>
      </c>
      <c r="D491" s="5" t="str" cm="1">
        <f t="array" ref="D4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91" s="2" cm="1">
        <f t="array" ref="E4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2" spans="2:5" x14ac:dyDescent="0.35">
      <c r="B492" s="5" t="s">
        <v>153</v>
      </c>
      <c r="C492" s="5" t="s">
        <v>110</v>
      </c>
      <c r="D492" s="5" t="str" cm="1">
        <f t="array" ref="D4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492" s="2" cm="1">
        <f t="array" ref="E4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3" spans="2:5" x14ac:dyDescent="0.35">
      <c r="B493" s="5" t="s">
        <v>4</v>
      </c>
      <c r="C493" s="5" t="s">
        <v>79</v>
      </c>
      <c r="D493" s="5" t="str" cm="1">
        <f t="array" ref="D4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طريف</v>
      </c>
      <c r="E493" s="2" cm="1">
        <f t="array" ref="E4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4" spans="2:5" x14ac:dyDescent="0.35">
      <c r="B494" s="5" t="s">
        <v>150</v>
      </c>
      <c r="C494" s="5" t="s">
        <v>79</v>
      </c>
      <c r="D494" s="5" t="str" cm="1">
        <f t="array" ref="D4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طريف</v>
      </c>
      <c r="E494" s="2" cm="1">
        <f t="array" ref="E4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5" spans="2:5" x14ac:dyDescent="0.35">
      <c r="B495" s="5" t="s">
        <v>151</v>
      </c>
      <c r="C495" s="5" t="s">
        <v>79</v>
      </c>
      <c r="D495" s="5" t="str" cm="1">
        <f t="array" ref="D4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طريف</v>
      </c>
      <c r="E495" s="2" cm="1">
        <f t="array" ref="E4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6" spans="2:5" x14ac:dyDescent="0.35">
      <c r="B496" s="5" t="s">
        <v>152</v>
      </c>
      <c r="C496" s="5" t="s">
        <v>79</v>
      </c>
      <c r="D496" s="5" t="str" cm="1">
        <f t="array" ref="D4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96" s="2" cm="1">
        <f t="array" ref="E4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7" spans="2:5" x14ac:dyDescent="0.35">
      <c r="B497" s="5" t="s">
        <v>155</v>
      </c>
      <c r="C497" s="5" t="s">
        <v>79</v>
      </c>
      <c r="D497" s="5" t="str" cm="1">
        <f t="array" ref="D4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97" s="2" cm="1">
        <f t="array" ref="E4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8" spans="2:5" x14ac:dyDescent="0.35">
      <c r="B498" s="5" t="s">
        <v>156</v>
      </c>
      <c r="C498" s="5" t="s">
        <v>79</v>
      </c>
      <c r="D498" s="5" t="str" cm="1">
        <f t="array" ref="D4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98" s="2" cm="1">
        <f t="array" ref="E4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499" spans="2:5" x14ac:dyDescent="0.35">
      <c r="B499" s="5" t="s">
        <v>153</v>
      </c>
      <c r="C499" s="5" t="s">
        <v>79</v>
      </c>
      <c r="D499" s="5" t="str" cm="1">
        <f t="array" ref="D4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99" s="2" cm="1">
        <f t="array" ref="E4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0" spans="2:5" x14ac:dyDescent="0.35">
      <c r="B500" s="5" t="s">
        <v>4</v>
      </c>
      <c r="C500" s="5" t="s">
        <v>45</v>
      </c>
      <c r="D500" s="5" t="str" cm="1">
        <f t="array" ref="D5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0" s="2" cm="1">
        <f t="array" ref="E5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1" spans="2:5" x14ac:dyDescent="0.35">
      <c r="B501" s="5" t="s">
        <v>150</v>
      </c>
      <c r="C501" s="5" t="s">
        <v>45</v>
      </c>
      <c r="D501" s="5" t="str" cm="1">
        <f t="array" ref="D5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1" s="2" cm="1">
        <f t="array" ref="E5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2" spans="2:5" x14ac:dyDescent="0.35">
      <c r="B502" s="5" t="s">
        <v>151</v>
      </c>
      <c r="C502" s="5" t="s">
        <v>45</v>
      </c>
      <c r="D502" s="5" t="str" cm="1">
        <f t="array" ref="D5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2" s="2" cm="1">
        <f t="array" ref="E5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03" spans="2:5" x14ac:dyDescent="0.35">
      <c r="B503" s="5" t="s">
        <v>152</v>
      </c>
      <c r="C503" s="5" t="s">
        <v>45</v>
      </c>
      <c r="D503" s="5" t="str" cm="1">
        <f t="array" ref="D5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3" s="2" cm="1">
        <f t="array" ref="E5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04" spans="2:5" x14ac:dyDescent="0.35">
      <c r="B504" s="5" t="s">
        <v>155</v>
      </c>
      <c r="C504" s="5" t="s">
        <v>45</v>
      </c>
      <c r="D504" s="5" t="str" cm="1">
        <f t="array" ref="D5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4" s="2" cm="1">
        <f t="array" ref="E5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05" spans="2:5" x14ac:dyDescent="0.35">
      <c r="B505" s="5" t="s">
        <v>156</v>
      </c>
      <c r="C505" s="5" t="s">
        <v>45</v>
      </c>
      <c r="D505" s="5" t="str" cm="1">
        <f t="array" ref="D5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5" s="2" cm="1">
        <f t="array" ref="E5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06" spans="2:5" x14ac:dyDescent="0.35">
      <c r="B506" s="5" t="s">
        <v>153</v>
      </c>
      <c r="C506" s="5" t="s">
        <v>45</v>
      </c>
      <c r="D506" s="5" t="str" cm="1">
        <f t="array" ref="D5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506" s="2" cm="1">
        <f t="array" ref="E5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07" spans="2:5" x14ac:dyDescent="0.35">
      <c r="B507" s="5" t="s">
        <v>4</v>
      </c>
      <c r="C507" s="5" t="s">
        <v>81</v>
      </c>
      <c r="D507" s="5" t="str" cm="1">
        <f t="array" ref="D5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507" s="2" cm="1">
        <f t="array" ref="E5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8" spans="2:5" x14ac:dyDescent="0.35">
      <c r="B508" s="5" t="s">
        <v>150</v>
      </c>
      <c r="C508" s="5" t="s">
        <v>81</v>
      </c>
      <c r="D508" s="5" t="str" cm="1">
        <f t="array" ref="D5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508" s="2" cm="1">
        <f t="array" ref="E5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09" spans="2:5" x14ac:dyDescent="0.35">
      <c r="B509" s="5" t="s">
        <v>151</v>
      </c>
      <c r="C509" s="5" t="s">
        <v>81</v>
      </c>
      <c r="D509" s="5" t="str" cm="1">
        <f t="array" ref="D5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509" s="2" cm="1">
        <f t="array" ref="E5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0" spans="2:5" x14ac:dyDescent="0.35">
      <c r="B510" s="5" t="s">
        <v>152</v>
      </c>
      <c r="C510" s="5" t="s">
        <v>81</v>
      </c>
      <c r="D510" s="5" t="str" cm="1">
        <f t="array" ref="D5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10" s="2" cm="1">
        <f t="array" ref="E5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1" spans="2:5" x14ac:dyDescent="0.35">
      <c r="B511" s="5" t="s">
        <v>155</v>
      </c>
      <c r="C511" s="5" t="s">
        <v>81</v>
      </c>
      <c r="D511" s="5" t="str" cm="1">
        <f t="array" ref="D5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11" s="2" cm="1">
        <f t="array" ref="E5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2" spans="2:5" x14ac:dyDescent="0.35">
      <c r="B512" s="5" t="s">
        <v>156</v>
      </c>
      <c r="C512" s="5" t="s">
        <v>81</v>
      </c>
      <c r="D512" s="5" t="str" cm="1">
        <f t="array" ref="D5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12" s="2" cm="1">
        <f t="array" ref="E5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3" spans="2:5" x14ac:dyDescent="0.35">
      <c r="B513" s="5" t="s">
        <v>153</v>
      </c>
      <c r="C513" s="5" t="s">
        <v>81</v>
      </c>
      <c r="D513" s="5" t="str" cm="1">
        <f t="array" ref="D5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13" s="2" cm="1">
        <f t="array" ref="E5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4" spans="2:5" x14ac:dyDescent="0.35">
      <c r="B514" s="5" t="s">
        <v>4</v>
      </c>
      <c r="C514" s="5" t="s">
        <v>121</v>
      </c>
      <c r="D514" s="5" t="str" cm="1">
        <f t="array" ref="D5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514" s="2" cm="1">
        <f t="array" ref="E5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5" spans="2:5" x14ac:dyDescent="0.35">
      <c r="B515" s="5" t="s">
        <v>150</v>
      </c>
      <c r="C515" s="5" t="s">
        <v>121</v>
      </c>
      <c r="D515" s="5" t="str" cm="1">
        <f t="array" ref="D5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515" s="2" cm="1">
        <f t="array" ref="E5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6" spans="2:5" x14ac:dyDescent="0.35">
      <c r="B516" s="5" t="s">
        <v>151</v>
      </c>
      <c r="C516" s="5" t="s">
        <v>121</v>
      </c>
      <c r="D516" s="5" t="str" cm="1">
        <f t="array" ref="D5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عنيزة</v>
      </c>
      <c r="E516" s="2" cm="1">
        <f t="array" ref="E5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7" spans="2:5" x14ac:dyDescent="0.35">
      <c r="B517" s="5" t="s">
        <v>152</v>
      </c>
      <c r="C517" s="5" t="s">
        <v>121</v>
      </c>
      <c r="D517" s="5" t="str" cm="1">
        <f t="array" ref="D5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17" s="2" cm="1">
        <f t="array" ref="E5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8" spans="2:5" x14ac:dyDescent="0.35">
      <c r="B518" s="5" t="s">
        <v>155</v>
      </c>
      <c r="C518" s="5" t="s">
        <v>121</v>
      </c>
      <c r="D518" s="5" t="str" cm="1">
        <f t="array" ref="D5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18" s="2" cm="1">
        <f t="array" ref="E5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19" spans="2:5" x14ac:dyDescent="0.35">
      <c r="B519" s="5" t="s">
        <v>156</v>
      </c>
      <c r="C519" s="5" t="s">
        <v>121</v>
      </c>
      <c r="D519" s="5" t="str" cm="1">
        <f t="array" ref="D5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19" s="2" cm="1">
        <f t="array" ref="E5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0" spans="2:5" x14ac:dyDescent="0.35">
      <c r="B520" s="5" t="s">
        <v>153</v>
      </c>
      <c r="C520" s="5" t="s">
        <v>121</v>
      </c>
      <c r="D520" s="5" t="str" cm="1">
        <f t="array" ref="D5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20" s="2" cm="1">
        <f t="array" ref="E5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1" spans="2:5" x14ac:dyDescent="0.35">
      <c r="B521" s="5" t="s">
        <v>4</v>
      </c>
      <c r="C521" s="5" t="s">
        <v>149</v>
      </c>
      <c r="D521" s="5" t="str" cm="1">
        <f t="array" ref="D5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21" s="2" cm="1">
        <f t="array" ref="E5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2" spans="2:5" x14ac:dyDescent="0.35">
      <c r="B522" s="5" t="s">
        <v>150</v>
      </c>
      <c r="C522" s="5" t="s">
        <v>149</v>
      </c>
      <c r="D522" s="5" t="str" cm="1">
        <f t="array" ref="D5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22" s="2" cm="1">
        <f t="array" ref="E5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3" spans="2:5" x14ac:dyDescent="0.35">
      <c r="B523" s="5" t="s">
        <v>151</v>
      </c>
      <c r="C523" s="5" t="s">
        <v>149</v>
      </c>
      <c r="D523" s="5" t="str" cm="1">
        <f t="array" ref="D5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523" s="2" cm="1">
        <f t="array" ref="E5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24" spans="2:5" x14ac:dyDescent="0.35">
      <c r="B524" s="5" t="s">
        <v>4</v>
      </c>
      <c r="C524" s="5" t="s">
        <v>84</v>
      </c>
      <c r="D524" s="5" t="str" cm="1">
        <f t="array" ref="D5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524" s="2" cm="1">
        <f t="array" ref="E5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25" spans="2:5" x14ac:dyDescent="0.35">
      <c r="B525" s="5" t="s">
        <v>150</v>
      </c>
      <c r="C525" s="5" t="s">
        <v>84</v>
      </c>
      <c r="D525" s="5" t="str" cm="1">
        <f t="array" ref="D5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525" s="2" cm="1">
        <f t="array" ref="E5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26" spans="2:5" x14ac:dyDescent="0.35">
      <c r="B526" s="5" t="s">
        <v>151</v>
      </c>
      <c r="C526" s="5" t="s">
        <v>84</v>
      </c>
      <c r="D526" s="5" t="str" cm="1">
        <f t="array" ref="D5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526" s="2" cm="1">
        <f t="array" ref="E5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27" spans="2:5" x14ac:dyDescent="0.35">
      <c r="B527" s="5" t="s">
        <v>4</v>
      </c>
      <c r="C527" s="5" t="s">
        <v>86</v>
      </c>
      <c r="D527" s="5" t="str" cm="1">
        <f t="array" ref="D5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قلوة</v>
      </c>
      <c r="E527" s="2" cm="1">
        <f t="array" ref="E5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28" spans="2:5" x14ac:dyDescent="0.35">
      <c r="B528" s="5" t="s">
        <v>150</v>
      </c>
      <c r="C528" s="5" t="s">
        <v>86</v>
      </c>
      <c r="D528" s="5" t="str" cm="1">
        <f t="array" ref="D5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قلوة</v>
      </c>
      <c r="E528" s="2" cm="1">
        <f t="array" ref="E5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29" spans="2:5" x14ac:dyDescent="0.35">
      <c r="B529" s="5" t="s">
        <v>151</v>
      </c>
      <c r="C529" s="5" t="s">
        <v>86</v>
      </c>
      <c r="D529" s="5" t="str" cm="1">
        <f t="array" ref="D5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قلوة</v>
      </c>
      <c r="E529" s="2" cm="1">
        <f t="array" ref="E5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0" spans="2:5" x14ac:dyDescent="0.35">
      <c r="B530" s="5" t="s">
        <v>152</v>
      </c>
      <c r="C530" s="5" t="s">
        <v>86</v>
      </c>
      <c r="D530" s="5" t="str" cm="1">
        <f t="array" ref="D5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30" s="2" cm="1">
        <f t="array" ref="E5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1" spans="2:5" x14ac:dyDescent="0.35">
      <c r="B531" s="5" t="s">
        <v>155</v>
      </c>
      <c r="C531" s="5" t="s">
        <v>86</v>
      </c>
      <c r="D531" s="5" t="str" cm="1">
        <f t="array" ref="D5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31" s="2" cm="1">
        <f t="array" ref="E5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2" spans="2:5" x14ac:dyDescent="0.35">
      <c r="B532" s="5" t="s">
        <v>156</v>
      </c>
      <c r="C532" s="5" t="s">
        <v>86</v>
      </c>
      <c r="D532" s="5" t="str" cm="1">
        <f t="array" ref="D5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32" s="2" cm="1">
        <f t="array" ref="E5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3" spans="2:5" x14ac:dyDescent="0.35">
      <c r="B533" s="5" t="s">
        <v>153</v>
      </c>
      <c r="C533" s="5" t="s">
        <v>86</v>
      </c>
      <c r="D533" s="5" t="str" cm="1">
        <f t="array" ref="D5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33" s="2" cm="1">
        <f t="array" ref="E5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4" spans="2:5" x14ac:dyDescent="0.35">
      <c r="B534" s="5" t="s">
        <v>4</v>
      </c>
      <c r="C534" s="5" t="s">
        <v>41</v>
      </c>
      <c r="D534" s="5" t="str" cm="1">
        <f t="array" ref="D5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4" s="2" cm="1">
        <f t="array" ref="E5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5" spans="2:5" x14ac:dyDescent="0.35">
      <c r="B535" s="5" t="s">
        <v>150</v>
      </c>
      <c r="C535" s="5" t="s">
        <v>41</v>
      </c>
      <c r="D535" s="5" t="str" cm="1">
        <f t="array" ref="D5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5" s="2" cm="1">
        <f t="array" ref="E5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36" spans="2:5" x14ac:dyDescent="0.35">
      <c r="B536" s="5" t="s">
        <v>151</v>
      </c>
      <c r="C536" s="5" t="s">
        <v>41</v>
      </c>
      <c r="D536" s="5" t="str" cm="1">
        <f t="array" ref="D5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6" s="2" cm="1">
        <f t="array" ref="E5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37" spans="2:5" x14ac:dyDescent="0.35">
      <c r="B537" s="5" t="s">
        <v>152</v>
      </c>
      <c r="C537" s="5" t="s">
        <v>41</v>
      </c>
      <c r="D537" s="5" t="str" cm="1">
        <f t="array" ref="D5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7" s="2" cm="1">
        <f t="array" ref="E5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38" spans="2:5" x14ac:dyDescent="0.35">
      <c r="B538" s="5" t="s">
        <v>155</v>
      </c>
      <c r="C538" s="5" t="s">
        <v>41</v>
      </c>
      <c r="D538" s="5" t="str" cm="1">
        <f t="array" ref="D5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8" s="2" cm="1">
        <f t="array" ref="E5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39" spans="2:5" x14ac:dyDescent="0.35">
      <c r="B539" s="5" t="s">
        <v>156</v>
      </c>
      <c r="C539" s="5" t="s">
        <v>41</v>
      </c>
      <c r="D539" s="5" t="str" cm="1">
        <f t="array" ref="D5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39" s="2" cm="1">
        <f t="array" ref="E5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40" spans="2:5" x14ac:dyDescent="0.35">
      <c r="B540" s="5" t="s">
        <v>153</v>
      </c>
      <c r="C540" s="5" t="s">
        <v>41</v>
      </c>
      <c r="D540" s="5" t="str" cm="1">
        <f t="array" ref="D5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540" s="2" cm="1">
        <f t="array" ref="E5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41" spans="2:5" x14ac:dyDescent="0.35">
      <c r="B541" s="5" t="s">
        <v>4</v>
      </c>
      <c r="C541" s="5" t="s">
        <v>144</v>
      </c>
      <c r="D541" s="5" t="str" cm="1">
        <f t="array" ref="D5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1" s="2" cm="1">
        <f t="array" ref="E5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542" spans="2:5" x14ac:dyDescent="0.35">
      <c r="B542" s="5" t="s">
        <v>150</v>
      </c>
      <c r="C542" s="5" t="s">
        <v>144</v>
      </c>
      <c r="D542" s="5" t="str" cm="1">
        <f t="array" ref="D5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2" s="2" cm="1">
        <f t="array" ref="E5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</row>
    <row r="543" spans="2:5" x14ac:dyDescent="0.35">
      <c r="B543" s="5" t="s">
        <v>151</v>
      </c>
      <c r="C543" s="5" t="s">
        <v>144</v>
      </c>
      <c r="D543" s="5" t="str" cm="1">
        <f t="array" ref="D5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3" s="2" cm="1">
        <f t="array" ref="E5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</row>
    <row r="544" spans="2:5" x14ac:dyDescent="0.35">
      <c r="B544" s="5" t="s">
        <v>152</v>
      </c>
      <c r="C544" s="5" t="s">
        <v>144</v>
      </c>
      <c r="D544" s="5" t="str" cm="1">
        <f t="array" ref="D5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4" s="2" cm="1">
        <f t="array" ref="E5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545" spans="2:5" x14ac:dyDescent="0.35">
      <c r="B545" s="5" t="s">
        <v>155</v>
      </c>
      <c r="C545" s="5" t="s">
        <v>144</v>
      </c>
      <c r="D545" s="5" t="str" cm="1">
        <f t="array" ref="D5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5" s="2" cm="1">
        <f t="array" ref="E5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</row>
    <row r="546" spans="2:5" x14ac:dyDescent="0.35">
      <c r="B546" s="5" t="s">
        <v>156</v>
      </c>
      <c r="C546" s="5" t="s">
        <v>144</v>
      </c>
      <c r="D546" s="5" t="str" cm="1">
        <f t="array" ref="D5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6" s="2" cm="1">
        <f t="array" ref="E5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</row>
    <row r="547" spans="2:5" x14ac:dyDescent="0.35">
      <c r="B547" s="5" t="s">
        <v>153</v>
      </c>
      <c r="C547" s="5" t="s">
        <v>144</v>
      </c>
      <c r="D547" s="5" t="str" cm="1">
        <f t="array" ref="D5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547" s="2" cm="1">
        <f t="array" ref="E5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</row>
    <row r="548" spans="2:5" x14ac:dyDescent="0.35">
      <c r="B548" s="5" t="s">
        <v>4</v>
      </c>
      <c r="C548" s="5" t="s">
        <v>87</v>
      </c>
      <c r="D548" s="5" t="str" cm="1">
        <f t="array" ref="D5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48" s="2" cm="1">
        <f t="array" ref="E5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49" spans="2:5" x14ac:dyDescent="0.35">
      <c r="B549" s="5" t="s">
        <v>150</v>
      </c>
      <c r="C549" s="5" t="s">
        <v>87</v>
      </c>
      <c r="D549" s="5" t="str" cm="1">
        <f t="array" ref="D5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49" s="2" cm="1">
        <f t="array" ref="E5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0" spans="2:5" x14ac:dyDescent="0.35">
      <c r="B550" s="5" t="s">
        <v>151</v>
      </c>
      <c r="C550" s="5" t="s">
        <v>87</v>
      </c>
      <c r="D550" s="5" t="str" cm="1">
        <f t="array" ref="D5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50" s="2" cm="1">
        <f t="array" ref="E5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1" spans="2:5" x14ac:dyDescent="0.35">
      <c r="B551" s="5" t="s">
        <v>152</v>
      </c>
      <c r="C551" s="5" t="s">
        <v>87</v>
      </c>
      <c r="D551" s="5" t="str" cm="1">
        <f t="array" ref="D5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51" s="2" cm="1">
        <f t="array" ref="E5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2" spans="2:5" x14ac:dyDescent="0.35">
      <c r="B552" s="5" t="s">
        <v>155</v>
      </c>
      <c r="C552" s="5" t="s">
        <v>87</v>
      </c>
      <c r="D552" s="5" t="str" cm="1">
        <f t="array" ref="D5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52" s="2" cm="1">
        <f t="array" ref="E5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53" spans="2:5" x14ac:dyDescent="0.35">
      <c r="B553" s="5" t="s">
        <v>156</v>
      </c>
      <c r="C553" s="5" t="s">
        <v>87</v>
      </c>
      <c r="D553" s="5" t="str" cm="1">
        <f t="array" ref="D5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53" s="2" cm="1">
        <f t="array" ref="E5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54" spans="2:5" x14ac:dyDescent="0.35">
      <c r="B554" s="5" t="s">
        <v>153</v>
      </c>
      <c r="C554" s="5" t="s">
        <v>87</v>
      </c>
      <c r="D554" s="5" t="str" cm="1">
        <f t="array" ref="D5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554" s="2" cm="1">
        <f t="array" ref="E5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555" spans="2:5" x14ac:dyDescent="0.35">
      <c r="B555" s="5" t="s">
        <v>4</v>
      </c>
      <c r="C555" s="5" t="s">
        <v>89</v>
      </c>
      <c r="D555" s="5" t="str" cm="1">
        <f t="array" ref="D5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555" s="2" cm="1">
        <f t="array" ref="E5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56" spans="2:5" x14ac:dyDescent="0.35">
      <c r="B556" s="5" t="s">
        <v>150</v>
      </c>
      <c r="C556" s="5" t="s">
        <v>89</v>
      </c>
      <c r="D556" s="5" t="str" cm="1">
        <f t="array" ref="D5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556" s="2" cm="1">
        <f t="array" ref="E5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</row>
    <row r="557" spans="2:5" x14ac:dyDescent="0.35">
      <c r="B557" s="5" t="s">
        <v>151</v>
      </c>
      <c r="C557" s="5" t="s">
        <v>89</v>
      </c>
      <c r="D557" s="5" t="str" cm="1">
        <f t="array" ref="D5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557" s="2" cm="1">
        <f t="array" ref="E5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8" spans="2:5" x14ac:dyDescent="0.35">
      <c r="B558" s="5" t="s">
        <v>152</v>
      </c>
      <c r="C558" s="5" t="s">
        <v>89</v>
      </c>
      <c r="D558" s="5" t="str" cm="1">
        <f t="array" ref="D5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58" s="2" cm="1">
        <f t="array" ref="E5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59" spans="2:5" x14ac:dyDescent="0.35">
      <c r="B559" s="5" t="s">
        <v>155</v>
      </c>
      <c r="C559" s="5" t="s">
        <v>89</v>
      </c>
      <c r="D559" s="5" t="str" cm="1">
        <f t="array" ref="D5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59" s="2" cm="1">
        <f t="array" ref="E5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0" spans="2:5" x14ac:dyDescent="0.35">
      <c r="B560" s="5" t="s">
        <v>156</v>
      </c>
      <c r="C560" s="5" t="s">
        <v>89</v>
      </c>
      <c r="D560" s="5" t="str" cm="1">
        <f t="array" ref="D5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60" s="2" cm="1">
        <f t="array" ref="E5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1" spans="2:5" x14ac:dyDescent="0.35">
      <c r="B561" s="5" t="s">
        <v>153</v>
      </c>
      <c r="C561" s="5" t="s">
        <v>89</v>
      </c>
      <c r="D561" s="5" t="str" cm="1">
        <f t="array" ref="D5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561" s="2" cm="1">
        <f t="array" ref="E5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62" spans="2:5" x14ac:dyDescent="0.35">
      <c r="B562" s="5" t="s">
        <v>4</v>
      </c>
      <c r="C562" s="5" t="s">
        <v>68</v>
      </c>
      <c r="D562" s="5" t="str" cm="1">
        <f t="array" ref="D5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562" s="2" cm="1">
        <f t="array" ref="E5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3" spans="2:5" x14ac:dyDescent="0.35">
      <c r="B563" s="5" t="s">
        <v>150</v>
      </c>
      <c r="C563" s="5" t="s">
        <v>68</v>
      </c>
      <c r="D563" s="5" t="str" cm="1">
        <f t="array" ref="D5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563" s="2" cm="1">
        <f t="array" ref="E5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4" spans="2:5" x14ac:dyDescent="0.35">
      <c r="B564" s="5" t="s">
        <v>151</v>
      </c>
      <c r="C564" s="5" t="s">
        <v>68</v>
      </c>
      <c r="D564" s="5" t="str" cm="1">
        <f t="array" ref="D5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564" s="2" cm="1">
        <f t="array" ref="E5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5" spans="2:5" x14ac:dyDescent="0.35">
      <c r="B565" s="5" t="s">
        <v>4</v>
      </c>
      <c r="C565" s="5" t="s">
        <v>606</v>
      </c>
      <c r="D565" s="5" t="str" cm="1">
        <f t="array" ref="D5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65" s="2" cm="1">
        <f t="array" ref="E5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</row>
    <row r="566" spans="2:5" x14ac:dyDescent="0.35">
      <c r="B566" s="5" t="s">
        <v>150</v>
      </c>
      <c r="C566" s="5" t="s">
        <v>606</v>
      </c>
      <c r="D566" s="5" t="str" cm="1">
        <f t="array" ref="D5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66" s="2" cm="1">
        <f t="array" ref="E5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567" spans="2:5" x14ac:dyDescent="0.35">
      <c r="B567" s="5" t="s">
        <v>151</v>
      </c>
      <c r="C567" s="5" t="s">
        <v>606</v>
      </c>
      <c r="D567" s="5" t="str" cm="1">
        <f t="array" ref="D5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67" s="2" cm="1">
        <f t="array" ref="E5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</row>
    <row r="568" spans="2:5" x14ac:dyDescent="0.35">
      <c r="B568" s="5" t="s">
        <v>152</v>
      </c>
      <c r="C568" s="5" t="s">
        <v>606</v>
      </c>
      <c r="D568" s="5" t="str" cm="1">
        <f t="array" ref="D5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68" s="2" cm="1">
        <f t="array" ref="E5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69" spans="2:5" x14ac:dyDescent="0.35">
      <c r="B569" s="5" t="s">
        <v>155</v>
      </c>
      <c r="C569" s="5" t="s">
        <v>606</v>
      </c>
      <c r="D569" s="5" t="str" cm="1">
        <f t="array" ref="D5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69" s="2" cm="1">
        <f t="array" ref="E5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0" spans="2:5" x14ac:dyDescent="0.35">
      <c r="B570" s="5" t="s">
        <v>156</v>
      </c>
      <c r="C570" s="5" t="s">
        <v>606</v>
      </c>
      <c r="D570" s="5" t="str" cm="1">
        <f t="array" ref="D5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70" s="2" cm="1">
        <f t="array" ref="E5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71" spans="2:5" x14ac:dyDescent="0.35">
      <c r="B571" s="5" t="s">
        <v>153</v>
      </c>
      <c r="C571" s="5" t="s">
        <v>606</v>
      </c>
      <c r="D571" s="5" t="str" cm="1">
        <f t="array" ref="D5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71" s="2" cm="1">
        <f t="array" ref="E5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72" spans="2:5" x14ac:dyDescent="0.35">
      <c r="B572" s="5" t="s">
        <v>152</v>
      </c>
      <c r="C572" s="5" t="s">
        <v>701</v>
      </c>
      <c r="D572" s="5" t="str" cm="1">
        <f t="array" ref="D5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572" s="2" cm="1">
        <f t="array" ref="E5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3" spans="2:5" x14ac:dyDescent="0.35">
      <c r="B573" s="5" t="s">
        <v>155</v>
      </c>
      <c r="C573" s="5" t="s">
        <v>701</v>
      </c>
      <c r="D573" s="5" t="str" cm="1">
        <f t="array" ref="D5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573" s="2" cm="1">
        <f t="array" ref="E5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4" spans="2:5" x14ac:dyDescent="0.35">
      <c r="B574" s="5" t="s">
        <v>156</v>
      </c>
      <c r="C574" s="5" t="s">
        <v>701</v>
      </c>
      <c r="D574" s="5" t="str" cm="1">
        <f t="array" ref="D5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574" s="2" cm="1">
        <f t="array" ref="E5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5" spans="2:5" x14ac:dyDescent="0.35">
      <c r="B575" s="5" t="s">
        <v>153</v>
      </c>
      <c r="C575" s="5" t="s">
        <v>701</v>
      </c>
      <c r="D575" s="5" t="str" cm="1">
        <f t="array" ref="D5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575" s="2" cm="1">
        <f t="array" ref="E5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6" spans="2:5" x14ac:dyDescent="0.35">
      <c r="B576" s="5" t="s">
        <v>152</v>
      </c>
      <c r="C576" s="5" t="s">
        <v>362</v>
      </c>
      <c r="D576" s="5" t="str" cm="1">
        <f t="array" ref="D5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576" s="2" cm="1">
        <f t="array" ref="E5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77" spans="2:5" x14ac:dyDescent="0.35">
      <c r="B577" s="5" t="s">
        <v>155</v>
      </c>
      <c r="C577" s="5" t="s">
        <v>362</v>
      </c>
      <c r="D577" s="5" t="str" cm="1">
        <f t="array" ref="D5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577" s="2" cm="1">
        <f t="array" ref="E5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78" spans="2:5" x14ac:dyDescent="0.35">
      <c r="B578" s="5" t="s">
        <v>156</v>
      </c>
      <c r="C578" s="5" t="s">
        <v>362</v>
      </c>
      <c r="D578" s="5" t="str" cm="1">
        <f t="array" ref="D5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578" s="2" cm="1">
        <f t="array" ref="E5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79" spans="2:5" x14ac:dyDescent="0.35">
      <c r="B579" s="5" t="s">
        <v>153</v>
      </c>
      <c r="C579" s="5" t="s">
        <v>362</v>
      </c>
      <c r="D579" s="5" t="str" cm="1">
        <f t="array" ref="D5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579" s="2" cm="1">
        <f t="array" ref="E5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0" spans="2:5" x14ac:dyDescent="0.35">
      <c r="B580" s="5" t="s">
        <v>152</v>
      </c>
      <c r="C580" s="5" t="s">
        <v>264</v>
      </c>
      <c r="D580" s="5" t="str" cm="1">
        <f t="array" ref="D5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580" s="2" cm="1">
        <f t="array" ref="E5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81" spans="2:5" x14ac:dyDescent="0.35">
      <c r="B581" s="5" t="s">
        <v>155</v>
      </c>
      <c r="C581" s="5" t="s">
        <v>264</v>
      </c>
      <c r="D581" s="5" t="str" cm="1">
        <f t="array" ref="D5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581" s="2" cm="1">
        <f t="array" ref="E5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82" spans="2:5" x14ac:dyDescent="0.35">
      <c r="B582" s="5" t="s">
        <v>156</v>
      </c>
      <c r="C582" s="5" t="s">
        <v>264</v>
      </c>
      <c r="D582" s="5" t="str" cm="1">
        <f t="array" ref="D5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582" s="2" cm="1">
        <f t="array" ref="E5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83" spans="2:5" x14ac:dyDescent="0.35">
      <c r="B583" s="5" t="s">
        <v>153</v>
      </c>
      <c r="C583" s="5" t="s">
        <v>264</v>
      </c>
      <c r="D583" s="5" t="str" cm="1">
        <f t="array" ref="D5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583" s="2" cm="1">
        <f t="array" ref="E5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4" spans="2:5" x14ac:dyDescent="0.35">
      <c r="B584" s="5" t="s">
        <v>152</v>
      </c>
      <c r="C584" s="5" t="s">
        <v>800</v>
      </c>
      <c r="D584" s="5" t="str" cm="1">
        <f t="array" ref="D5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584" s="18" cm="1">
        <f t="array" ref="E5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5" spans="2:5" x14ac:dyDescent="0.35">
      <c r="B585" s="5" t="s">
        <v>155</v>
      </c>
      <c r="C585" s="5" t="s">
        <v>800</v>
      </c>
      <c r="D585" s="5" t="str" cm="1">
        <f t="array" ref="D5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585" s="18" cm="1">
        <f t="array" ref="E5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6" spans="2:5" x14ac:dyDescent="0.35">
      <c r="B586" s="5" t="s">
        <v>156</v>
      </c>
      <c r="C586" s="5" t="s">
        <v>800</v>
      </c>
      <c r="D586" s="5" t="str" cm="1">
        <f t="array" ref="D5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586" s="18" cm="1">
        <f t="array" ref="E5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7" spans="2:5" x14ac:dyDescent="0.35">
      <c r="B587" s="5" t="s">
        <v>153</v>
      </c>
      <c r="C587" s="5" t="s">
        <v>800</v>
      </c>
      <c r="D587" s="5" t="str" cm="1">
        <f t="array" ref="D5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الجوف</v>
      </c>
      <c r="E587" s="18" cm="1">
        <f t="array" ref="E5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88" spans="2:5" x14ac:dyDescent="0.35">
      <c r="B588" s="5" t="s">
        <v>152</v>
      </c>
      <c r="C588" s="5" t="s">
        <v>68</v>
      </c>
      <c r="D588" s="5" t="str" cm="1">
        <f t="array" ref="D5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88" s="18" cm="1">
        <f t="array" ref="E5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89" spans="2:5" x14ac:dyDescent="0.35">
      <c r="B589" s="5" t="s">
        <v>155</v>
      </c>
      <c r="C589" s="5" t="s">
        <v>68</v>
      </c>
      <c r="D589" s="5" t="str" cm="1">
        <f t="array" ref="D5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89" s="18" cm="1">
        <f t="array" ref="E5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90" spans="2:5" x14ac:dyDescent="0.35">
      <c r="B590" s="5" t="s">
        <v>156</v>
      </c>
      <c r="C590" s="5" t="s">
        <v>68</v>
      </c>
      <c r="D590" s="5" t="str" cm="1">
        <f t="array" ref="D5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90" s="18" cm="1">
        <f t="array" ref="E5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</row>
    <row r="591" spans="2:5" x14ac:dyDescent="0.35">
      <c r="B591" s="5" t="s">
        <v>153</v>
      </c>
      <c r="C591" s="5" t="s">
        <v>68</v>
      </c>
      <c r="D591" s="5" t="str" cm="1">
        <f t="array" ref="D5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591" s="18" cm="1">
        <f t="array" ref="E5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92" spans="2:5" x14ac:dyDescent="0.35">
      <c r="B592" s="5" t="s">
        <v>4</v>
      </c>
      <c r="C592" s="5" t="s">
        <v>800</v>
      </c>
      <c r="D592" s="5" t="str" cm="1">
        <f t="array" ref="D5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592" s="18" cm="1">
        <f t="array" ref="E5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93" spans="2:5" x14ac:dyDescent="0.35">
      <c r="B593" s="5" t="s">
        <v>150</v>
      </c>
      <c r="C593" s="5" t="s">
        <v>800</v>
      </c>
      <c r="D593" s="5" t="str" cm="1">
        <f t="array" ref="D5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593" s="18" cm="1">
        <f t="array" ref="E5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  <row r="594" spans="2:5" x14ac:dyDescent="0.35">
      <c r="B594" s="5" t="s">
        <v>151</v>
      </c>
      <c r="C594" s="5" t="s">
        <v>800</v>
      </c>
      <c r="D594" s="5" t="str" cm="1">
        <f t="array" ref="D5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594" s="18" cm="1">
        <f t="array" ref="E5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</row>
  </sheetData>
  <dataValidations count="1">
    <dataValidation type="list" allowBlank="1" showInputMessage="1" showErrorMessage="1" sqref="B3:B1048576" xr:uid="{B8CACFB9-49D7-4A24-925C-36CD96FDEACE}">
      <formula1>"تحت 5, تحت 7, تحت 9, تحت 11, تحت 12, تحت 13, تحت 14"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M285"/>
  <sheetViews>
    <sheetView rightToLeft="1" tabSelected="1" zoomScale="55" zoomScaleNormal="55" workbookViewId="0">
      <pane ySplit="2" topLeftCell="A246" activePane="bottomLeft" state="frozen"/>
      <selection pane="bottomLeft" activeCell="J283" sqref="J283"/>
    </sheetView>
  </sheetViews>
  <sheetFormatPr defaultColWidth="9" defaultRowHeight="14.5" x14ac:dyDescent="0.35"/>
  <cols>
    <col min="2" max="2" width="16.453125" style="15" customWidth="1"/>
    <col min="3" max="3" width="19.1796875" style="15" customWidth="1"/>
    <col min="4" max="4" width="23" style="15" customWidth="1"/>
    <col min="5" max="5" width="19" style="15" customWidth="1"/>
    <col min="6" max="6" width="27.26953125" style="15" customWidth="1"/>
    <col min="7" max="7" width="11.81640625" style="15" customWidth="1"/>
    <col min="8" max="10" width="20" style="15" customWidth="1"/>
    <col min="11" max="11" width="22" style="15" customWidth="1"/>
    <col min="12" max="12" width="21.453125" style="15" customWidth="1"/>
    <col min="13" max="13" width="21.36328125" style="15" customWidth="1"/>
    <col min="14" max="17" width="22.54296875" style="15" customWidth="1"/>
    <col min="18" max="18" width="41.453125" customWidth="1"/>
  </cols>
  <sheetData>
    <row r="2" spans="2:221" ht="18.5" x14ac:dyDescent="0.35">
      <c r="B2" s="9" t="s">
        <v>161</v>
      </c>
      <c r="C2" s="10" t="s">
        <v>162</v>
      </c>
      <c r="D2" s="10" t="s">
        <v>163</v>
      </c>
      <c r="E2" s="10" t="s">
        <v>164</v>
      </c>
      <c r="F2" s="10" t="s">
        <v>165</v>
      </c>
      <c r="G2" s="10" t="s">
        <v>166</v>
      </c>
      <c r="H2" s="10" t="s">
        <v>167</v>
      </c>
      <c r="I2" s="10" t="s">
        <v>90</v>
      </c>
      <c r="J2" s="10" t="s">
        <v>706</v>
      </c>
      <c r="K2" s="10" t="s">
        <v>168</v>
      </c>
      <c r="L2" s="10" t="s">
        <v>169</v>
      </c>
      <c r="M2" s="10" t="s">
        <v>170</v>
      </c>
      <c r="N2" s="10" t="s">
        <v>171</v>
      </c>
      <c r="O2" s="10" t="s">
        <v>172</v>
      </c>
      <c r="P2" s="10" t="s">
        <v>173</v>
      </c>
      <c r="Q2" s="11" t="s">
        <v>174</v>
      </c>
    </row>
    <row r="3" spans="2:221" s="13" customFormat="1" ht="14" customHeight="1" x14ac:dyDescent="0.35">
      <c r="B3" s="12">
        <v>1</v>
      </c>
      <c r="C3" s="12" t="s">
        <v>175</v>
      </c>
      <c r="D3" s="12" t="s">
        <v>176</v>
      </c>
      <c r="E3" s="12">
        <v>562311110</v>
      </c>
      <c r="F3" s="12" t="s">
        <v>177</v>
      </c>
      <c r="G3" s="12" t="s">
        <v>700</v>
      </c>
      <c r="H3" s="12" t="s">
        <v>96</v>
      </c>
      <c r="I3" s="12" t="s">
        <v>118</v>
      </c>
      <c r="J3" s="12" t="s">
        <v>96</v>
      </c>
      <c r="K3" s="12">
        <v>0</v>
      </c>
      <c r="L3" s="12">
        <v>0</v>
      </c>
      <c r="M3" s="12">
        <v>1</v>
      </c>
      <c r="N3" s="12">
        <v>1</v>
      </c>
      <c r="O3" s="12">
        <v>1</v>
      </c>
      <c r="P3" s="12">
        <v>0</v>
      </c>
      <c r="Q3" s="12">
        <v>0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</row>
    <row r="4" spans="2:221" ht="14" customHeight="1" x14ac:dyDescent="0.35">
      <c r="B4" s="12">
        <v>2</v>
      </c>
      <c r="C4" s="12" t="s">
        <v>178</v>
      </c>
      <c r="D4" s="12" t="s">
        <v>179</v>
      </c>
      <c r="E4" s="12">
        <v>539099199</v>
      </c>
      <c r="F4" s="12" t="s">
        <v>180</v>
      </c>
      <c r="G4" s="12" t="s">
        <v>181</v>
      </c>
      <c r="H4" s="12" t="s">
        <v>38</v>
      </c>
      <c r="I4" s="12" t="s">
        <v>38</v>
      </c>
      <c r="J4" s="12" t="s">
        <v>38</v>
      </c>
      <c r="K4" s="12">
        <v>1</v>
      </c>
      <c r="L4" s="12">
        <v>1</v>
      </c>
      <c r="M4" s="12">
        <v>1</v>
      </c>
      <c r="N4" s="12">
        <v>1</v>
      </c>
      <c r="O4" s="12">
        <v>0</v>
      </c>
      <c r="P4" s="12">
        <v>0</v>
      </c>
      <c r="Q4" s="12">
        <v>0</v>
      </c>
    </row>
    <row r="5" spans="2:221" ht="14" customHeight="1" x14ac:dyDescent="0.35">
      <c r="B5" s="12">
        <v>3</v>
      </c>
      <c r="C5" s="12" t="s">
        <v>182</v>
      </c>
      <c r="D5" s="12" t="s">
        <v>183</v>
      </c>
      <c r="E5" s="12">
        <v>544394481</v>
      </c>
      <c r="F5" s="12" t="s">
        <v>184</v>
      </c>
      <c r="G5" s="12" t="s">
        <v>181</v>
      </c>
      <c r="H5" s="12" t="s">
        <v>97</v>
      </c>
      <c r="I5" s="12" t="s">
        <v>120</v>
      </c>
      <c r="J5" s="12" t="s">
        <v>97</v>
      </c>
      <c r="K5" s="12">
        <v>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2:221" ht="14" customHeight="1" x14ac:dyDescent="0.35">
      <c r="B6" s="12">
        <v>4</v>
      </c>
      <c r="C6" s="12" t="s">
        <v>185</v>
      </c>
      <c r="D6" s="12" t="s">
        <v>186</v>
      </c>
      <c r="E6" s="12">
        <v>546496199</v>
      </c>
      <c r="F6" s="12" t="s">
        <v>185</v>
      </c>
      <c r="G6" s="12" t="s">
        <v>181</v>
      </c>
      <c r="H6" s="12" t="s">
        <v>97</v>
      </c>
      <c r="I6" s="12" t="s">
        <v>120</v>
      </c>
      <c r="J6" s="12" t="s">
        <v>97</v>
      </c>
      <c r="K6" s="12">
        <v>0</v>
      </c>
      <c r="L6" s="12">
        <v>1</v>
      </c>
      <c r="M6" s="12">
        <v>0</v>
      </c>
      <c r="N6" s="12">
        <v>1</v>
      </c>
      <c r="O6" s="12">
        <v>0</v>
      </c>
      <c r="P6" s="12">
        <v>0</v>
      </c>
      <c r="Q6" s="12">
        <v>0</v>
      </c>
    </row>
    <row r="7" spans="2:221" ht="14" customHeight="1" x14ac:dyDescent="0.35">
      <c r="B7" s="12">
        <v>5</v>
      </c>
      <c r="C7" s="12" t="s">
        <v>149</v>
      </c>
      <c r="D7" s="12" t="s">
        <v>187</v>
      </c>
      <c r="E7" s="12">
        <v>508279319</v>
      </c>
      <c r="F7" s="12" t="s">
        <v>123</v>
      </c>
      <c r="G7" s="12" t="s">
        <v>181</v>
      </c>
      <c r="H7" s="12" t="s">
        <v>97</v>
      </c>
      <c r="I7" s="12" t="s">
        <v>149</v>
      </c>
      <c r="J7" s="12" t="s">
        <v>49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1</v>
      </c>
      <c r="Q7" s="12">
        <v>1</v>
      </c>
    </row>
    <row r="8" spans="2:221" ht="14" customHeight="1" x14ac:dyDescent="0.35">
      <c r="B8" s="12">
        <v>6</v>
      </c>
      <c r="C8" s="12" t="s">
        <v>188</v>
      </c>
      <c r="D8" s="12" t="s">
        <v>189</v>
      </c>
      <c r="E8" s="12">
        <v>564110010</v>
      </c>
      <c r="F8" s="12" t="s">
        <v>180</v>
      </c>
      <c r="G8" s="12" t="s">
        <v>181</v>
      </c>
      <c r="H8" s="12" t="s">
        <v>38</v>
      </c>
      <c r="I8" s="12" t="s">
        <v>38</v>
      </c>
      <c r="J8" s="12" t="s">
        <v>38</v>
      </c>
      <c r="K8" s="12">
        <v>1</v>
      </c>
      <c r="L8" s="12">
        <v>1</v>
      </c>
      <c r="M8" s="12">
        <v>1</v>
      </c>
      <c r="N8" s="12">
        <v>1</v>
      </c>
      <c r="O8" s="12">
        <v>0</v>
      </c>
      <c r="P8" s="12">
        <v>0</v>
      </c>
      <c r="Q8" s="12">
        <v>0</v>
      </c>
    </row>
    <row r="9" spans="2:221" ht="14" customHeight="1" x14ac:dyDescent="0.35">
      <c r="B9" s="12">
        <v>7</v>
      </c>
      <c r="C9" s="12" t="s">
        <v>190</v>
      </c>
      <c r="D9" s="12" t="s">
        <v>191</v>
      </c>
      <c r="E9" s="12" t="s">
        <v>192</v>
      </c>
      <c r="F9" s="12" t="s">
        <v>193</v>
      </c>
      <c r="G9" s="12" t="s">
        <v>700</v>
      </c>
      <c r="H9" s="12" t="s">
        <v>96</v>
      </c>
      <c r="I9" s="12" t="s">
        <v>98</v>
      </c>
      <c r="J9" s="12" t="s">
        <v>98</v>
      </c>
      <c r="K9" s="12">
        <v>0</v>
      </c>
      <c r="L9" s="12">
        <v>1</v>
      </c>
      <c r="M9" s="12">
        <v>1</v>
      </c>
      <c r="N9" s="12">
        <v>1</v>
      </c>
      <c r="O9" s="12">
        <v>1</v>
      </c>
      <c r="P9" s="12">
        <v>0</v>
      </c>
      <c r="Q9" s="12">
        <v>0</v>
      </c>
    </row>
    <row r="10" spans="2:221" ht="14" customHeight="1" x14ac:dyDescent="0.35">
      <c r="B10" s="12">
        <v>8</v>
      </c>
      <c r="C10" s="12" t="s">
        <v>194</v>
      </c>
      <c r="D10" s="12" t="s">
        <v>195</v>
      </c>
      <c r="E10" s="12" t="s">
        <v>196</v>
      </c>
      <c r="F10" s="12" t="s">
        <v>197</v>
      </c>
      <c r="G10" s="12" t="s">
        <v>181</v>
      </c>
      <c r="H10" s="12" t="s">
        <v>38</v>
      </c>
      <c r="I10" s="12" t="s">
        <v>38</v>
      </c>
      <c r="J10" s="12" t="s">
        <v>38</v>
      </c>
      <c r="K10" s="12">
        <v>1</v>
      </c>
      <c r="L10" s="12">
        <v>1</v>
      </c>
      <c r="M10" s="12">
        <v>0</v>
      </c>
      <c r="N10" s="12">
        <v>2</v>
      </c>
      <c r="O10" s="12">
        <v>0</v>
      </c>
      <c r="P10" s="12">
        <v>0</v>
      </c>
      <c r="Q10" s="12">
        <v>0</v>
      </c>
    </row>
    <row r="11" spans="2:221" ht="14" customHeight="1" x14ac:dyDescent="0.35">
      <c r="B11" s="12">
        <v>9</v>
      </c>
      <c r="C11" s="12" t="s">
        <v>198</v>
      </c>
      <c r="D11" s="12" t="s">
        <v>199</v>
      </c>
      <c r="E11" s="12">
        <v>582506321</v>
      </c>
      <c r="F11" s="12" t="s">
        <v>200</v>
      </c>
      <c r="G11" s="12" t="s">
        <v>181</v>
      </c>
      <c r="H11" s="12" t="s">
        <v>144</v>
      </c>
      <c r="I11" s="12" t="s">
        <v>56</v>
      </c>
      <c r="J11" s="12" t="s">
        <v>144</v>
      </c>
      <c r="K11" s="12">
        <v>1</v>
      </c>
      <c r="L11" s="12">
        <v>1</v>
      </c>
      <c r="M11" s="12">
        <v>1</v>
      </c>
      <c r="N11" s="12">
        <v>1</v>
      </c>
      <c r="O11" s="12">
        <v>1</v>
      </c>
      <c r="P11" s="12">
        <v>0</v>
      </c>
      <c r="Q11" s="12">
        <v>0</v>
      </c>
    </row>
    <row r="12" spans="2:221" ht="14" customHeight="1" x14ac:dyDescent="0.35">
      <c r="B12" s="12">
        <v>10</v>
      </c>
      <c r="C12" s="12" t="s">
        <v>201</v>
      </c>
      <c r="D12" s="12" t="s">
        <v>202</v>
      </c>
      <c r="E12" s="12">
        <v>560797959</v>
      </c>
      <c r="F12" s="12" t="s">
        <v>201</v>
      </c>
      <c r="G12" s="12" t="s">
        <v>181</v>
      </c>
      <c r="H12" s="12" t="s">
        <v>27</v>
      </c>
      <c r="I12" s="12" t="s">
        <v>701</v>
      </c>
      <c r="J12" s="12" t="s">
        <v>27</v>
      </c>
      <c r="K12" s="12">
        <v>1</v>
      </c>
      <c r="L12" s="12">
        <v>1</v>
      </c>
      <c r="M12" s="12">
        <v>1</v>
      </c>
      <c r="N12" s="12">
        <v>1</v>
      </c>
      <c r="O12" s="12">
        <v>0</v>
      </c>
      <c r="P12" s="12">
        <v>0</v>
      </c>
      <c r="Q12" s="12">
        <v>0</v>
      </c>
    </row>
    <row r="13" spans="2:221" ht="14" customHeight="1" x14ac:dyDescent="0.35">
      <c r="B13" s="12">
        <v>11</v>
      </c>
      <c r="C13" s="12" t="s">
        <v>203</v>
      </c>
      <c r="D13" s="12" t="s">
        <v>204</v>
      </c>
      <c r="E13" s="12">
        <v>57867222</v>
      </c>
      <c r="F13" s="12" t="s">
        <v>502</v>
      </c>
      <c r="G13" s="12" t="s">
        <v>181</v>
      </c>
      <c r="H13" s="12" t="s">
        <v>94</v>
      </c>
      <c r="I13" s="12" t="s">
        <v>108</v>
      </c>
      <c r="J13" s="12" t="s">
        <v>94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</row>
    <row r="14" spans="2:221" ht="14" customHeight="1" x14ac:dyDescent="0.35">
      <c r="B14" s="12">
        <v>12</v>
      </c>
      <c r="C14" s="12" t="s">
        <v>205</v>
      </c>
      <c r="D14" s="12" t="s">
        <v>206</v>
      </c>
      <c r="E14" s="12">
        <v>505221717</v>
      </c>
      <c r="F14" s="12" t="s">
        <v>207</v>
      </c>
      <c r="G14" s="12" t="s">
        <v>700</v>
      </c>
      <c r="H14" s="12" t="s">
        <v>87</v>
      </c>
      <c r="I14" s="12" t="s">
        <v>87</v>
      </c>
      <c r="J14" s="12" t="s">
        <v>87</v>
      </c>
      <c r="K14" s="12">
        <v>1</v>
      </c>
      <c r="L14" s="12">
        <v>1</v>
      </c>
      <c r="M14" s="12">
        <v>1</v>
      </c>
      <c r="N14" s="12">
        <v>0</v>
      </c>
      <c r="O14" s="12">
        <v>0</v>
      </c>
      <c r="P14" s="12">
        <v>0</v>
      </c>
      <c r="Q14" s="12">
        <v>0</v>
      </c>
    </row>
    <row r="15" spans="2:221" ht="14" customHeight="1" x14ac:dyDescent="0.35">
      <c r="B15" s="12">
        <v>13</v>
      </c>
      <c r="C15" s="12" t="s">
        <v>208</v>
      </c>
      <c r="D15" s="12" t="s">
        <v>209</v>
      </c>
      <c r="E15" s="12">
        <v>503605980</v>
      </c>
      <c r="F15" s="12" t="s">
        <v>210</v>
      </c>
      <c r="G15" s="12" t="s">
        <v>700</v>
      </c>
      <c r="H15" s="12" t="s">
        <v>38</v>
      </c>
      <c r="I15" s="12" t="s">
        <v>38</v>
      </c>
      <c r="J15" s="12" t="s">
        <v>38</v>
      </c>
      <c r="K15" s="12">
        <v>0</v>
      </c>
      <c r="L15" s="12">
        <v>1</v>
      </c>
      <c r="M15" s="12">
        <v>2</v>
      </c>
      <c r="N15" s="12">
        <v>2</v>
      </c>
      <c r="O15" s="12">
        <v>3</v>
      </c>
      <c r="P15" s="12">
        <v>2</v>
      </c>
      <c r="Q15" s="12">
        <v>0</v>
      </c>
    </row>
    <row r="16" spans="2:221" ht="14" customHeight="1" x14ac:dyDescent="0.35">
      <c r="B16" s="12">
        <v>14</v>
      </c>
      <c r="C16" s="12" t="s">
        <v>211</v>
      </c>
      <c r="D16" s="12" t="s">
        <v>212</v>
      </c>
      <c r="E16" s="12">
        <v>550558414</v>
      </c>
      <c r="F16" s="12" t="s">
        <v>213</v>
      </c>
      <c r="G16" s="12" t="s">
        <v>181</v>
      </c>
      <c r="H16" s="12" t="s">
        <v>96</v>
      </c>
      <c r="I16" s="12" t="s">
        <v>98</v>
      </c>
      <c r="J16" s="12" t="s">
        <v>98</v>
      </c>
      <c r="K16" s="12">
        <v>1</v>
      </c>
      <c r="L16" s="12">
        <v>0</v>
      </c>
      <c r="M16" s="12">
        <v>1</v>
      </c>
      <c r="N16" s="12">
        <v>1</v>
      </c>
      <c r="O16" s="12">
        <v>0</v>
      </c>
      <c r="P16" s="12">
        <v>0</v>
      </c>
      <c r="Q16" s="12">
        <v>0</v>
      </c>
    </row>
    <row r="17" spans="2:17" ht="14" customHeight="1" x14ac:dyDescent="0.35">
      <c r="B17" s="12">
        <v>15</v>
      </c>
      <c r="C17" s="12" t="s">
        <v>214</v>
      </c>
      <c r="D17" s="12" t="s">
        <v>215</v>
      </c>
      <c r="E17" s="12">
        <v>530603397</v>
      </c>
      <c r="F17" s="12" t="s">
        <v>214</v>
      </c>
      <c r="G17" s="12" t="s">
        <v>181</v>
      </c>
      <c r="H17" s="12" t="s">
        <v>144</v>
      </c>
      <c r="I17" s="12" t="s">
        <v>18</v>
      </c>
      <c r="J17" s="12" t="s">
        <v>18</v>
      </c>
      <c r="K17" s="12">
        <v>1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2:17" ht="14" customHeight="1" x14ac:dyDescent="0.35">
      <c r="B18" s="12">
        <v>16</v>
      </c>
      <c r="C18" s="12" t="s">
        <v>216</v>
      </c>
      <c r="D18" s="12" t="s">
        <v>217</v>
      </c>
      <c r="E18" s="12">
        <v>531609486</v>
      </c>
      <c r="F18" s="12" t="s">
        <v>218</v>
      </c>
      <c r="G18" s="12" t="s">
        <v>181</v>
      </c>
      <c r="H18" s="12" t="s">
        <v>32</v>
      </c>
      <c r="I18" s="12" t="s">
        <v>32</v>
      </c>
      <c r="J18" s="12" t="s">
        <v>32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</row>
    <row r="19" spans="2:17" ht="17" x14ac:dyDescent="0.35">
      <c r="B19" s="12">
        <v>17</v>
      </c>
      <c r="C19" s="12" t="s">
        <v>219</v>
      </c>
      <c r="D19" s="12" t="s">
        <v>220</v>
      </c>
      <c r="E19" s="12">
        <v>542146212</v>
      </c>
      <c r="F19" s="12" t="s">
        <v>219</v>
      </c>
      <c r="G19" s="12" t="s">
        <v>700</v>
      </c>
      <c r="H19" s="12" t="s">
        <v>38</v>
      </c>
      <c r="I19" s="12" t="s">
        <v>38</v>
      </c>
      <c r="J19" s="12" t="s">
        <v>38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</row>
    <row r="20" spans="2:17" ht="17" x14ac:dyDescent="0.35">
      <c r="B20" s="12">
        <v>18</v>
      </c>
      <c r="C20" s="12" t="s">
        <v>221</v>
      </c>
      <c r="D20" s="12" t="s">
        <v>222</v>
      </c>
      <c r="E20" s="12">
        <v>533560034</v>
      </c>
      <c r="F20" s="12" t="s">
        <v>223</v>
      </c>
      <c r="G20" s="12" t="s">
        <v>700</v>
      </c>
      <c r="H20" s="12" t="s">
        <v>38</v>
      </c>
      <c r="I20" s="12" t="s">
        <v>38</v>
      </c>
      <c r="J20" s="12" t="s">
        <v>38</v>
      </c>
      <c r="K20" s="12">
        <v>0</v>
      </c>
      <c r="L20" s="12">
        <v>1</v>
      </c>
      <c r="M20" s="12">
        <v>1</v>
      </c>
      <c r="N20" s="12">
        <v>1</v>
      </c>
      <c r="O20" s="12">
        <v>0</v>
      </c>
      <c r="P20" s="12">
        <v>0</v>
      </c>
      <c r="Q20" s="12">
        <v>0</v>
      </c>
    </row>
    <row r="21" spans="2:17" ht="17" x14ac:dyDescent="0.35">
      <c r="B21" s="12">
        <v>19</v>
      </c>
      <c r="C21" s="12" t="s">
        <v>224</v>
      </c>
      <c r="D21" s="12" t="s">
        <v>225</v>
      </c>
      <c r="E21" s="12">
        <v>597566966</v>
      </c>
      <c r="F21" s="12" t="s">
        <v>226</v>
      </c>
      <c r="G21" s="12" t="s">
        <v>700</v>
      </c>
      <c r="H21" s="12" t="s">
        <v>227</v>
      </c>
      <c r="I21" s="12" t="s">
        <v>45</v>
      </c>
      <c r="J21" s="12" t="s">
        <v>227</v>
      </c>
      <c r="K21" s="12">
        <v>1</v>
      </c>
      <c r="L21" s="12">
        <v>1</v>
      </c>
      <c r="M21" s="12">
        <v>2</v>
      </c>
      <c r="N21" s="12">
        <v>2</v>
      </c>
      <c r="O21" s="12">
        <v>2</v>
      </c>
      <c r="P21" s="12">
        <v>0</v>
      </c>
      <c r="Q21" s="12">
        <v>0</v>
      </c>
    </row>
    <row r="22" spans="2:17" ht="17" x14ac:dyDescent="0.35">
      <c r="B22" s="12">
        <v>20</v>
      </c>
      <c r="C22" s="12" t="s">
        <v>228</v>
      </c>
      <c r="D22" s="12" t="s">
        <v>229</v>
      </c>
      <c r="E22" s="12">
        <v>549090796</v>
      </c>
      <c r="F22" s="12" t="s">
        <v>230</v>
      </c>
      <c r="G22" s="12" t="s">
        <v>700</v>
      </c>
      <c r="H22" s="12" t="s">
        <v>96</v>
      </c>
      <c r="I22" s="12" t="s">
        <v>98</v>
      </c>
      <c r="J22" s="12" t="s">
        <v>98</v>
      </c>
      <c r="K22" s="12">
        <v>0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</row>
    <row r="23" spans="2:17" ht="17" x14ac:dyDescent="0.35">
      <c r="B23" s="12">
        <v>21</v>
      </c>
      <c r="C23" s="12" t="s">
        <v>231</v>
      </c>
      <c r="D23" s="12" t="s">
        <v>232</v>
      </c>
      <c r="E23" s="12">
        <v>533515111</v>
      </c>
      <c r="F23" s="12" t="s">
        <v>233</v>
      </c>
      <c r="G23" s="12" t="s">
        <v>181</v>
      </c>
      <c r="H23" s="12" t="s">
        <v>97</v>
      </c>
      <c r="I23" s="12" t="s">
        <v>49</v>
      </c>
      <c r="J23" s="12" t="s">
        <v>49</v>
      </c>
      <c r="K23" s="12">
        <v>0</v>
      </c>
      <c r="L23" s="12">
        <v>0</v>
      </c>
      <c r="M23" s="12">
        <v>1</v>
      </c>
      <c r="N23" s="12">
        <v>1</v>
      </c>
      <c r="O23" s="12">
        <v>1</v>
      </c>
      <c r="P23" s="12">
        <v>0</v>
      </c>
      <c r="Q23" s="12">
        <v>0</v>
      </c>
    </row>
    <row r="24" spans="2:17" ht="17" x14ac:dyDescent="0.35">
      <c r="B24" s="12">
        <v>22</v>
      </c>
      <c r="C24" s="12" t="s">
        <v>234</v>
      </c>
      <c r="D24" s="12" t="s">
        <v>235</v>
      </c>
      <c r="E24" s="12">
        <v>558512190</v>
      </c>
      <c r="F24" s="12" t="s">
        <v>234</v>
      </c>
      <c r="G24" s="12" t="s">
        <v>181</v>
      </c>
      <c r="H24" s="12" t="s">
        <v>94</v>
      </c>
      <c r="I24" s="12" t="s">
        <v>109</v>
      </c>
      <c r="J24" s="12" t="s">
        <v>94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1</v>
      </c>
      <c r="Q24" s="12">
        <v>1</v>
      </c>
    </row>
    <row r="25" spans="2:17" ht="17" x14ac:dyDescent="0.35">
      <c r="B25" s="12">
        <v>23</v>
      </c>
      <c r="C25" s="12" t="s">
        <v>236</v>
      </c>
      <c r="D25" s="12" t="s">
        <v>237</v>
      </c>
      <c r="E25" s="12">
        <v>560059223</v>
      </c>
      <c r="F25" s="12" t="s">
        <v>238</v>
      </c>
      <c r="G25" s="12" t="s">
        <v>181</v>
      </c>
      <c r="H25" s="12" t="s">
        <v>96</v>
      </c>
      <c r="I25" s="12" t="s">
        <v>92</v>
      </c>
      <c r="J25" s="12" t="s">
        <v>92</v>
      </c>
      <c r="K25" s="12">
        <v>1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2:17" ht="17" x14ac:dyDescent="0.35">
      <c r="B26" s="12">
        <v>24</v>
      </c>
      <c r="C26" s="12" t="s">
        <v>239</v>
      </c>
      <c r="D26" s="12" t="s">
        <v>240</v>
      </c>
      <c r="E26" s="12">
        <v>568126667</v>
      </c>
      <c r="F26" s="12" t="s">
        <v>239</v>
      </c>
      <c r="G26" s="12" t="s">
        <v>700</v>
      </c>
      <c r="H26" s="12" t="s">
        <v>100</v>
      </c>
      <c r="I26" s="12" t="s">
        <v>41</v>
      </c>
      <c r="J26" s="12" t="s">
        <v>100</v>
      </c>
      <c r="K26" s="12">
        <v>1</v>
      </c>
      <c r="L26" s="12">
        <v>0</v>
      </c>
      <c r="M26" s="12">
        <v>1</v>
      </c>
      <c r="N26" s="12">
        <v>1</v>
      </c>
      <c r="O26" s="12">
        <v>1</v>
      </c>
      <c r="P26" s="12">
        <v>0</v>
      </c>
      <c r="Q26" s="12">
        <v>0</v>
      </c>
    </row>
    <row r="27" spans="2:17" ht="17" x14ac:dyDescent="0.35">
      <c r="B27" s="12">
        <v>25</v>
      </c>
      <c r="C27" s="12" t="s">
        <v>241</v>
      </c>
      <c r="D27" s="12" t="s">
        <v>242</v>
      </c>
      <c r="E27" s="12">
        <v>533311052</v>
      </c>
      <c r="F27" s="12" t="s">
        <v>243</v>
      </c>
      <c r="G27" s="12" t="s">
        <v>181</v>
      </c>
      <c r="H27" s="12" t="s">
        <v>227</v>
      </c>
      <c r="I27" s="12" t="s">
        <v>72</v>
      </c>
      <c r="J27" s="12" t="s">
        <v>227</v>
      </c>
      <c r="K27" s="12">
        <v>1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2:17" ht="17" x14ac:dyDescent="0.35">
      <c r="B28" s="12">
        <v>26</v>
      </c>
      <c r="C28" s="12" t="s">
        <v>244</v>
      </c>
      <c r="D28" s="12" t="s">
        <v>245</v>
      </c>
      <c r="E28" s="12">
        <v>507302025</v>
      </c>
      <c r="F28" s="12" t="s">
        <v>244</v>
      </c>
      <c r="G28" s="12" t="s">
        <v>181</v>
      </c>
      <c r="H28" s="12" t="s">
        <v>27</v>
      </c>
      <c r="I28" s="12" t="s">
        <v>27</v>
      </c>
      <c r="J28" s="12" t="s">
        <v>27</v>
      </c>
      <c r="K28" s="12">
        <v>1</v>
      </c>
      <c r="L28" s="12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2:17" ht="17" x14ac:dyDescent="0.35">
      <c r="B29" s="12">
        <v>27</v>
      </c>
      <c r="C29" s="12" t="s">
        <v>246</v>
      </c>
      <c r="D29" s="12" t="s">
        <v>247</v>
      </c>
      <c r="E29" s="12">
        <v>550445443</v>
      </c>
      <c r="F29" s="12" t="s">
        <v>248</v>
      </c>
      <c r="G29" s="12" t="s">
        <v>700</v>
      </c>
      <c r="H29" s="12" t="s">
        <v>144</v>
      </c>
      <c r="I29" s="12" t="s">
        <v>30</v>
      </c>
      <c r="J29" s="12" t="s">
        <v>30</v>
      </c>
      <c r="K29" s="12">
        <v>0</v>
      </c>
      <c r="L29" s="12">
        <v>0</v>
      </c>
      <c r="M29" s="12">
        <v>0</v>
      </c>
      <c r="N29" s="12">
        <v>1</v>
      </c>
      <c r="O29" s="12">
        <v>1</v>
      </c>
      <c r="P29" s="12">
        <v>0</v>
      </c>
      <c r="Q29" s="12">
        <v>0</v>
      </c>
    </row>
    <row r="30" spans="2:17" ht="17" x14ac:dyDescent="0.35">
      <c r="B30" s="12">
        <v>28</v>
      </c>
      <c r="C30" s="12" t="s">
        <v>249</v>
      </c>
      <c r="D30" s="12" t="s">
        <v>250</v>
      </c>
      <c r="E30" s="12">
        <v>566989990</v>
      </c>
      <c r="F30" s="12" t="s">
        <v>249</v>
      </c>
      <c r="G30" s="12" t="s">
        <v>700</v>
      </c>
      <c r="H30" s="12" t="s">
        <v>24</v>
      </c>
      <c r="I30" s="12" t="s">
        <v>24</v>
      </c>
      <c r="J30" s="12" t="s">
        <v>24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P30" s="12">
        <v>1</v>
      </c>
      <c r="Q30" s="12">
        <v>1</v>
      </c>
    </row>
    <row r="31" spans="2:17" ht="17" x14ac:dyDescent="0.35">
      <c r="B31" s="12">
        <v>29</v>
      </c>
      <c r="C31" s="12" t="s">
        <v>251</v>
      </c>
      <c r="D31" s="12" t="s">
        <v>252</v>
      </c>
      <c r="E31" s="12" t="s">
        <v>207</v>
      </c>
      <c r="F31" s="12" t="s">
        <v>253</v>
      </c>
      <c r="G31" s="12" t="s">
        <v>181</v>
      </c>
      <c r="H31" s="12" t="s">
        <v>38</v>
      </c>
      <c r="I31" s="12" t="s">
        <v>38</v>
      </c>
      <c r="J31" s="12" t="s">
        <v>38</v>
      </c>
      <c r="K31" s="12">
        <v>1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</row>
    <row r="32" spans="2:17" ht="17" x14ac:dyDescent="0.35">
      <c r="B32" s="12">
        <v>30</v>
      </c>
      <c r="C32" s="12" t="s">
        <v>254</v>
      </c>
      <c r="D32" s="12" t="s">
        <v>255</v>
      </c>
      <c r="E32" s="12">
        <v>533777202</v>
      </c>
      <c r="F32" s="12" t="s">
        <v>180</v>
      </c>
      <c r="G32" s="12" t="s">
        <v>700</v>
      </c>
      <c r="H32" s="12" t="s">
        <v>38</v>
      </c>
      <c r="I32" s="12" t="s">
        <v>38</v>
      </c>
      <c r="J32" s="12" t="s">
        <v>38</v>
      </c>
      <c r="K32" s="12">
        <v>0</v>
      </c>
      <c r="L32" s="12">
        <v>0</v>
      </c>
      <c r="M32" s="12">
        <v>1</v>
      </c>
      <c r="N32" s="12">
        <v>0</v>
      </c>
      <c r="O32" s="12">
        <v>0</v>
      </c>
      <c r="P32" s="12">
        <v>0</v>
      </c>
      <c r="Q32" s="12">
        <v>0</v>
      </c>
    </row>
    <row r="33" spans="2:18" ht="17" x14ac:dyDescent="0.35">
      <c r="B33" s="12">
        <v>31</v>
      </c>
      <c r="C33" s="12" t="s">
        <v>256</v>
      </c>
      <c r="D33" s="12" t="s">
        <v>257</v>
      </c>
      <c r="E33" s="12">
        <v>500992928</v>
      </c>
      <c r="F33" s="12" t="s">
        <v>258</v>
      </c>
      <c r="G33" s="12" t="s">
        <v>700</v>
      </c>
      <c r="H33" s="12" t="s">
        <v>227</v>
      </c>
      <c r="I33" s="12" t="s">
        <v>45</v>
      </c>
      <c r="J33" s="12" t="s">
        <v>227</v>
      </c>
      <c r="K33" s="12">
        <v>1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2:18" ht="17" x14ac:dyDescent="0.35">
      <c r="B34" s="12">
        <v>32</v>
      </c>
      <c r="C34" s="12" t="s">
        <v>259</v>
      </c>
      <c r="D34" s="12" t="s">
        <v>260</v>
      </c>
      <c r="E34" s="12">
        <v>558381111</v>
      </c>
      <c r="F34" s="12" t="s">
        <v>261</v>
      </c>
      <c r="G34" s="12" t="s">
        <v>700</v>
      </c>
      <c r="H34" s="12" t="s">
        <v>38</v>
      </c>
      <c r="I34" s="12" t="s">
        <v>38</v>
      </c>
      <c r="J34" s="12" t="s">
        <v>38</v>
      </c>
      <c r="K34" s="12">
        <v>1</v>
      </c>
      <c r="L34" s="12">
        <v>0</v>
      </c>
      <c r="M34" s="12">
        <v>1</v>
      </c>
      <c r="N34" s="12">
        <v>2</v>
      </c>
      <c r="O34" s="12">
        <v>1</v>
      </c>
      <c r="P34" s="12">
        <v>0</v>
      </c>
      <c r="Q34" s="12">
        <v>0</v>
      </c>
    </row>
    <row r="35" spans="2:18" ht="17" x14ac:dyDescent="0.35">
      <c r="B35" s="12">
        <v>33</v>
      </c>
      <c r="C35" s="12" t="s">
        <v>262</v>
      </c>
      <c r="D35" s="12" t="s">
        <v>263</v>
      </c>
      <c r="E35" s="12">
        <v>500705735</v>
      </c>
      <c r="F35" s="12" t="s">
        <v>264</v>
      </c>
      <c r="G35" s="12" t="s">
        <v>181</v>
      </c>
      <c r="H35" s="12" t="s">
        <v>24</v>
      </c>
      <c r="I35" s="12" t="s">
        <v>264</v>
      </c>
      <c r="J35" s="12" t="s">
        <v>24</v>
      </c>
      <c r="K35" s="12">
        <v>1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2:18" ht="17" x14ac:dyDescent="0.35">
      <c r="B36" s="12">
        <v>34</v>
      </c>
      <c r="C36" s="12" t="s">
        <v>265</v>
      </c>
      <c r="D36" s="12" t="s">
        <v>266</v>
      </c>
      <c r="E36" s="12">
        <v>557771151</v>
      </c>
      <c r="F36" s="12" t="s">
        <v>207</v>
      </c>
      <c r="G36" s="12" t="s">
        <v>700</v>
      </c>
      <c r="H36" s="12" t="s">
        <v>144</v>
      </c>
      <c r="I36" s="12" t="s">
        <v>30</v>
      </c>
      <c r="J36" s="12" t="s">
        <v>30</v>
      </c>
      <c r="K36" s="12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2:18" ht="17" x14ac:dyDescent="0.35">
      <c r="B37" s="12">
        <v>35</v>
      </c>
      <c r="C37" s="12" t="s">
        <v>267</v>
      </c>
      <c r="D37" s="12" t="s">
        <v>268</v>
      </c>
      <c r="E37" s="12">
        <v>541325858</v>
      </c>
      <c r="F37" s="12" t="s">
        <v>267</v>
      </c>
      <c r="G37" s="12" t="s">
        <v>181</v>
      </c>
      <c r="H37" s="12" t="s">
        <v>100</v>
      </c>
      <c r="I37" s="12" t="s">
        <v>70</v>
      </c>
      <c r="J37" s="12" t="s">
        <v>100</v>
      </c>
      <c r="K37" s="12">
        <v>0</v>
      </c>
      <c r="L37" s="12">
        <v>0</v>
      </c>
      <c r="M37" s="12">
        <v>1</v>
      </c>
      <c r="N37" s="12">
        <v>1</v>
      </c>
      <c r="O37" s="12">
        <v>0</v>
      </c>
      <c r="P37" s="12">
        <v>0</v>
      </c>
      <c r="Q37" s="12">
        <v>0</v>
      </c>
    </row>
    <row r="38" spans="2:18" ht="17" x14ac:dyDescent="0.35">
      <c r="B38" s="12">
        <v>36</v>
      </c>
      <c r="C38" s="12" t="s">
        <v>38</v>
      </c>
      <c r="D38" s="12" t="s">
        <v>269</v>
      </c>
      <c r="E38" s="12">
        <v>500008200</v>
      </c>
      <c r="F38" s="12" t="s">
        <v>270</v>
      </c>
      <c r="G38" s="12" t="s">
        <v>181</v>
      </c>
      <c r="H38" s="12" t="s">
        <v>38</v>
      </c>
      <c r="I38" s="12" t="s">
        <v>38</v>
      </c>
      <c r="J38" s="12" t="s">
        <v>38</v>
      </c>
      <c r="K38" s="12">
        <v>1</v>
      </c>
      <c r="L38" s="12">
        <v>1</v>
      </c>
      <c r="M38" s="12">
        <v>1</v>
      </c>
      <c r="N38" s="12">
        <v>1</v>
      </c>
      <c r="O38" s="12">
        <v>0</v>
      </c>
      <c r="P38" s="12">
        <v>0</v>
      </c>
      <c r="Q38" s="12">
        <v>0</v>
      </c>
    </row>
    <row r="39" spans="2:18" ht="17" x14ac:dyDescent="0.35">
      <c r="B39" s="12">
        <v>37</v>
      </c>
      <c r="C39" s="12" t="s">
        <v>271</v>
      </c>
      <c r="D39" s="12" t="s">
        <v>272</v>
      </c>
      <c r="E39" s="12">
        <v>500426629</v>
      </c>
      <c r="F39" s="12" t="s">
        <v>273</v>
      </c>
      <c r="G39" s="12" t="s">
        <v>700</v>
      </c>
      <c r="H39" s="12" t="s">
        <v>38</v>
      </c>
      <c r="I39" s="12" t="s">
        <v>38</v>
      </c>
      <c r="J39" s="12" t="s">
        <v>38</v>
      </c>
      <c r="K39" s="12">
        <v>0</v>
      </c>
      <c r="L39" s="12">
        <v>0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</row>
    <row r="40" spans="2:18" ht="17" x14ac:dyDescent="0.35">
      <c r="B40" s="12">
        <v>38</v>
      </c>
      <c r="C40" s="12" t="s">
        <v>274</v>
      </c>
      <c r="D40" s="12" t="s">
        <v>275</v>
      </c>
      <c r="E40" s="12">
        <v>547639991</v>
      </c>
      <c r="F40" s="12" t="s">
        <v>276</v>
      </c>
      <c r="G40" s="12" t="s">
        <v>700</v>
      </c>
      <c r="H40" s="12" t="s">
        <v>96</v>
      </c>
      <c r="I40" s="12" t="s">
        <v>118</v>
      </c>
      <c r="J40" s="12" t="s">
        <v>96</v>
      </c>
      <c r="K40" s="12">
        <v>0</v>
      </c>
      <c r="L40" s="12">
        <v>1</v>
      </c>
      <c r="M40" s="12">
        <v>1</v>
      </c>
      <c r="N40" s="12">
        <v>1</v>
      </c>
      <c r="O40" s="12">
        <v>1</v>
      </c>
      <c r="P40" s="12">
        <v>1</v>
      </c>
      <c r="Q40" s="12">
        <v>0</v>
      </c>
    </row>
    <row r="41" spans="2:18" ht="17" x14ac:dyDescent="0.35">
      <c r="B41" s="12">
        <v>39</v>
      </c>
      <c r="C41" s="12" t="s">
        <v>277</v>
      </c>
      <c r="D41" s="12" t="s">
        <v>278</v>
      </c>
      <c r="E41" s="12">
        <v>597611102</v>
      </c>
      <c r="F41" s="12" t="s">
        <v>277</v>
      </c>
      <c r="G41" s="12" t="s">
        <v>181</v>
      </c>
      <c r="H41" s="12" t="s">
        <v>96</v>
      </c>
      <c r="I41" s="12" t="s">
        <v>98</v>
      </c>
      <c r="J41" s="12" t="s">
        <v>98</v>
      </c>
      <c r="K41" s="12">
        <v>0</v>
      </c>
      <c r="L41" s="12">
        <v>1</v>
      </c>
      <c r="M41" s="12">
        <v>1</v>
      </c>
      <c r="N41" s="12">
        <v>1</v>
      </c>
      <c r="O41" s="12">
        <v>0</v>
      </c>
      <c r="P41" s="12">
        <v>0</v>
      </c>
      <c r="Q41" s="12">
        <v>0</v>
      </c>
    </row>
    <row r="42" spans="2:18" ht="17" x14ac:dyDescent="0.35">
      <c r="B42" s="12">
        <v>40</v>
      </c>
      <c r="C42" s="12" t="s">
        <v>279</v>
      </c>
      <c r="D42" s="12" t="s">
        <v>280</v>
      </c>
      <c r="E42" s="12">
        <v>555969798</v>
      </c>
      <c r="F42" s="12" t="s">
        <v>281</v>
      </c>
      <c r="G42" s="12" t="s">
        <v>700</v>
      </c>
      <c r="H42" s="12" t="s">
        <v>100</v>
      </c>
      <c r="I42" s="12" t="s">
        <v>101</v>
      </c>
      <c r="J42" s="12" t="s">
        <v>100</v>
      </c>
      <c r="K42" s="12">
        <v>1</v>
      </c>
      <c r="L42" s="12">
        <v>1</v>
      </c>
      <c r="M42" s="12">
        <v>0</v>
      </c>
      <c r="N42" s="12">
        <v>1</v>
      </c>
      <c r="O42" s="12">
        <v>1</v>
      </c>
      <c r="P42" s="12">
        <v>0</v>
      </c>
      <c r="Q42" s="12">
        <v>0</v>
      </c>
    </row>
    <row r="43" spans="2:18" ht="17" x14ac:dyDescent="0.35">
      <c r="B43" s="12">
        <v>41</v>
      </c>
      <c r="C43" s="12" t="s">
        <v>282</v>
      </c>
      <c r="D43" s="12" t="s">
        <v>283</v>
      </c>
      <c r="E43" s="12">
        <v>530384363</v>
      </c>
      <c r="F43" s="12" t="s">
        <v>282</v>
      </c>
      <c r="G43" s="12" t="s">
        <v>181</v>
      </c>
      <c r="H43" s="12" t="s">
        <v>94</v>
      </c>
      <c r="I43" s="12" t="s">
        <v>108</v>
      </c>
      <c r="J43" s="12" t="s">
        <v>94</v>
      </c>
      <c r="K43" s="12">
        <v>1</v>
      </c>
      <c r="L43" s="12">
        <v>0</v>
      </c>
      <c r="M43" s="12">
        <v>1</v>
      </c>
      <c r="N43" s="12">
        <v>1</v>
      </c>
      <c r="O43" s="12">
        <v>0</v>
      </c>
      <c r="P43" s="12">
        <v>0</v>
      </c>
      <c r="Q43" s="12">
        <v>0</v>
      </c>
    </row>
    <row r="44" spans="2:18" ht="17" x14ac:dyDescent="0.35">
      <c r="B44" s="12">
        <v>42</v>
      </c>
      <c r="C44" s="12" t="s">
        <v>284</v>
      </c>
      <c r="D44" s="12" t="s">
        <v>285</v>
      </c>
      <c r="E44" s="12">
        <v>503172526</v>
      </c>
      <c r="F44" s="12" t="s">
        <v>286</v>
      </c>
      <c r="G44" s="12" t="s">
        <v>181</v>
      </c>
      <c r="H44" s="12" t="s">
        <v>32</v>
      </c>
      <c r="I44" s="12" t="s">
        <v>32</v>
      </c>
      <c r="J44" s="12" t="s">
        <v>32</v>
      </c>
      <c r="K44" s="12">
        <v>1</v>
      </c>
      <c r="L44" s="12">
        <v>1</v>
      </c>
      <c r="M44" s="12">
        <v>1</v>
      </c>
      <c r="N44" s="12">
        <v>1</v>
      </c>
      <c r="O44" s="12">
        <v>1</v>
      </c>
      <c r="P44" s="12">
        <v>1</v>
      </c>
      <c r="Q44" s="12">
        <v>0</v>
      </c>
    </row>
    <row r="45" spans="2:18" ht="17" x14ac:dyDescent="0.35">
      <c r="B45" s="12">
        <v>43</v>
      </c>
      <c r="C45" s="12" t="s">
        <v>287</v>
      </c>
      <c r="D45" s="12" t="s">
        <v>288</v>
      </c>
      <c r="E45" s="12">
        <v>507685732</v>
      </c>
      <c r="F45" s="12" t="s">
        <v>207</v>
      </c>
      <c r="G45" s="12" t="s">
        <v>700</v>
      </c>
      <c r="H45" s="12" t="s">
        <v>96</v>
      </c>
      <c r="I45" s="12" t="s">
        <v>138</v>
      </c>
      <c r="J45" s="12" t="s">
        <v>138</v>
      </c>
      <c r="K45" s="12">
        <v>1</v>
      </c>
      <c r="L45" s="12">
        <v>1</v>
      </c>
      <c r="M45" s="12">
        <v>2</v>
      </c>
      <c r="N45" s="12">
        <v>1</v>
      </c>
      <c r="O45" s="12">
        <v>1</v>
      </c>
      <c r="P45" s="12">
        <v>1</v>
      </c>
      <c r="Q45" s="12">
        <v>1</v>
      </c>
    </row>
    <row r="46" spans="2:18" ht="17" x14ac:dyDescent="0.35">
      <c r="B46" s="12">
        <v>44</v>
      </c>
      <c r="C46" s="12" t="s">
        <v>289</v>
      </c>
      <c r="D46" s="12" t="s">
        <v>290</v>
      </c>
      <c r="E46" s="12">
        <v>550313771</v>
      </c>
      <c r="F46" s="12" t="s">
        <v>289</v>
      </c>
      <c r="G46" s="12" t="s">
        <v>181</v>
      </c>
      <c r="H46" s="12" t="s">
        <v>96</v>
      </c>
      <c r="I46" s="12" t="s">
        <v>118</v>
      </c>
      <c r="J46" s="12" t="s">
        <v>96</v>
      </c>
      <c r="K46" s="12">
        <v>1</v>
      </c>
      <c r="L46" s="12">
        <v>1</v>
      </c>
      <c r="M46" s="12">
        <v>2</v>
      </c>
      <c r="N46" s="12">
        <v>2</v>
      </c>
      <c r="O46" s="12">
        <v>3</v>
      </c>
      <c r="P46" s="12">
        <v>2</v>
      </c>
      <c r="Q46" s="12">
        <v>2</v>
      </c>
    </row>
    <row r="47" spans="2:18" ht="17" x14ac:dyDescent="0.35">
      <c r="B47" s="12">
        <v>45</v>
      </c>
      <c r="C47" s="12" t="s">
        <v>291</v>
      </c>
      <c r="D47" s="12" t="s">
        <v>292</v>
      </c>
      <c r="E47" s="12">
        <v>504981449</v>
      </c>
      <c r="F47" s="12" t="s">
        <v>293</v>
      </c>
      <c r="G47" s="12" t="s">
        <v>181</v>
      </c>
      <c r="H47" s="12" t="s">
        <v>96</v>
      </c>
      <c r="I47" s="12" t="s">
        <v>117</v>
      </c>
      <c r="J47" s="12" t="s">
        <v>96</v>
      </c>
      <c r="K47" s="12">
        <v>1</v>
      </c>
      <c r="L47" s="12">
        <v>1</v>
      </c>
      <c r="M47" s="12">
        <v>2</v>
      </c>
      <c r="N47" s="12">
        <v>2</v>
      </c>
      <c r="O47" s="12">
        <v>2</v>
      </c>
      <c r="P47" s="12">
        <v>1</v>
      </c>
      <c r="Q47" s="12">
        <v>0</v>
      </c>
    </row>
    <row r="48" spans="2:18" ht="17" x14ac:dyDescent="0.35">
      <c r="B48" s="12">
        <v>46</v>
      </c>
      <c r="C48" s="12" t="s">
        <v>294</v>
      </c>
      <c r="D48" s="12" t="s">
        <v>295</v>
      </c>
      <c r="E48" s="12">
        <v>591008981</v>
      </c>
      <c r="F48" s="12" t="s">
        <v>294</v>
      </c>
      <c r="G48" s="12" t="s">
        <v>181</v>
      </c>
      <c r="H48" s="12" t="s">
        <v>96</v>
      </c>
      <c r="I48" s="12" t="s">
        <v>92</v>
      </c>
      <c r="J48" s="12" t="s">
        <v>92</v>
      </c>
      <c r="K48" s="12">
        <v>1</v>
      </c>
      <c r="L48" s="12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5"/>
    </row>
    <row r="49" spans="2:18" ht="17" x14ac:dyDescent="0.35">
      <c r="B49" s="12">
        <v>47</v>
      </c>
      <c r="C49" s="12" t="s">
        <v>296</v>
      </c>
      <c r="D49" s="12" t="s">
        <v>297</v>
      </c>
      <c r="E49" s="12">
        <v>509352326</v>
      </c>
      <c r="F49" s="12" t="s">
        <v>298</v>
      </c>
      <c r="G49" s="12" t="s">
        <v>700</v>
      </c>
      <c r="H49" s="12" t="s">
        <v>144</v>
      </c>
      <c r="I49" s="12" t="s">
        <v>30</v>
      </c>
      <c r="J49" s="12" t="s">
        <v>30</v>
      </c>
      <c r="K49" s="12">
        <v>1</v>
      </c>
      <c r="L49" s="12">
        <v>0</v>
      </c>
      <c r="M49" s="12">
        <v>1</v>
      </c>
      <c r="N49" s="12">
        <v>1</v>
      </c>
      <c r="O49" s="12">
        <v>0</v>
      </c>
      <c r="P49" s="12">
        <v>0</v>
      </c>
      <c r="Q49" s="12">
        <v>0</v>
      </c>
      <c r="R49" s="15"/>
    </row>
    <row r="50" spans="2:18" ht="17" x14ac:dyDescent="0.35">
      <c r="B50" s="12">
        <v>48</v>
      </c>
      <c r="C50" s="12" t="s">
        <v>296</v>
      </c>
      <c r="D50" s="12" t="s">
        <v>297</v>
      </c>
      <c r="E50" s="12">
        <v>509352326</v>
      </c>
      <c r="F50" s="12" t="s">
        <v>299</v>
      </c>
      <c r="G50" s="12" t="s">
        <v>700</v>
      </c>
      <c r="H50" s="12" t="s">
        <v>96</v>
      </c>
      <c r="I50" s="12" t="s">
        <v>117</v>
      </c>
      <c r="J50" s="12" t="s">
        <v>96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</row>
    <row r="51" spans="2:18" ht="17" x14ac:dyDescent="0.35">
      <c r="B51" s="12">
        <v>49</v>
      </c>
      <c r="C51" s="12" t="s">
        <v>300</v>
      </c>
      <c r="D51" s="12" t="s">
        <v>301</v>
      </c>
      <c r="E51" s="12">
        <v>559366026</v>
      </c>
      <c r="F51" s="12" t="s">
        <v>302</v>
      </c>
      <c r="G51" s="12" t="s">
        <v>700</v>
      </c>
      <c r="H51" s="12" t="s">
        <v>38</v>
      </c>
      <c r="I51" s="12" t="s">
        <v>38</v>
      </c>
      <c r="J51" s="12" t="s">
        <v>38</v>
      </c>
      <c r="K51" s="12">
        <v>1</v>
      </c>
      <c r="L51" s="12">
        <v>1</v>
      </c>
      <c r="M51" s="12">
        <v>1</v>
      </c>
      <c r="N51" s="12">
        <v>1</v>
      </c>
      <c r="O51" s="12">
        <v>0</v>
      </c>
      <c r="P51" s="12">
        <v>0</v>
      </c>
      <c r="Q51" s="12">
        <v>0</v>
      </c>
    </row>
    <row r="52" spans="2:18" ht="17" x14ac:dyDescent="0.35">
      <c r="B52" s="12">
        <v>50</v>
      </c>
      <c r="C52" s="12" t="s">
        <v>303</v>
      </c>
      <c r="D52" s="12" t="s">
        <v>304</v>
      </c>
      <c r="E52" s="12">
        <v>566780780</v>
      </c>
      <c r="F52" s="12" t="s">
        <v>305</v>
      </c>
      <c r="G52" s="12" t="s">
        <v>700</v>
      </c>
      <c r="H52" s="12" t="s">
        <v>38</v>
      </c>
      <c r="I52" s="12" t="s">
        <v>38</v>
      </c>
      <c r="J52" s="12" t="s">
        <v>38</v>
      </c>
      <c r="K52" s="12">
        <v>0</v>
      </c>
      <c r="L52" s="12">
        <v>1</v>
      </c>
      <c r="M52" s="12">
        <v>1</v>
      </c>
      <c r="N52" s="12">
        <v>2</v>
      </c>
      <c r="O52" s="12">
        <v>2</v>
      </c>
      <c r="P52" s="12">
        <v>2</v>
      </c>
      <c r="Q52" s="12">
        <v>1</v>
      </c>
    </row>
    <row r="53" spans="2:18" ht="17" x14ac:dyDescent="0.35">
      <c r="B53" s="12">
        <v>51</v>
      </c>
      <c r="C53" s="12" t="s">
        <v>306</v>
      </c>
      <c r="D53" s="12" t="s">
        <v>307</v>
      </c>
      <c r="E53" s="12">
        <v>550228585</v>
      </c>
      <c r="F53" s="12" t="s">
        <v>306</v>
      </c>
      <c r="G53" s="12" t="s">
        <v>700</v>
      </c>
      <c r="H53" s="12" t="s">
        <v>97</v>
      </c>
      <c r="I53" s="12" t="s">
        <v>49</v>
      </c>
      <c r="J53" s="12" t="s">
        <v>49</v>
      </c>
      <c r="K53" s="12">
        <v>1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5"/>
    </row>
    <row r="54" spans="2:18" ht="17" x14ac:dyDescent="0.35">
      <c r="B54" s="12">
        <v>52</v>
      </c>
      <c r="C54" s="12" t="s">
        <v>308</v>
      </c>
      <c r="D54" s="12" t="s">
        <v>309</v>
      </c>
      <c r="E54" s="12">
        <v>50774773</v>
      </c>
      <c r="F54" s="12" t="s">
        <v>310</v>
      </c>
      <c r="G54" s="12" t="s">
        <v>181</v>
      </c>
      <c r="H54" s="12" t="s">
        <v>40</v>
      </c>
      <c r="I54" s="12" t="s">
        <v>134</v>
      </c>
      <c r="J54" s="12" t="s">
        <v>40</v>
      </c>
      <c r="K54" s="12">
        <v>1</v>
      </c>
      <c r="L54" s="12">
        <v>1</v>
      </c>
      <c r="M54" s="12">
        <v>1</v>
      </c>
      <c r="N54" s="12">
        <v>1</v>
      </c>
      <c r="O54" s="12">
        <v>0</v>
      </c>
      <c r="P54" s="12">
        <v>0</v>
      </c>
      <c r="Q54" s="12">
        <v>0</v>
      </c>
    </row>
    <row r="55" spans="2:18" ht="17" x14ac:dyDescent="0.35">
      <c r="B55" s="12">
        <v>53</v>
      </c>
      <c r="C55" s="12" t="s">
        <v>311</v>
      </c>
      <c r="D55" s="12" t="s">
        <v>312</v>
      </c>
      <c r="E55" s="12">
        <v>565448323</v>
      </c>
      <c r="F55" s="12" t="s">
        <v>207</v>
      </c>
      <c r="G55" s="12" t="s">
        <v>181</v>
      </c>
      <c r="H55" s="12" t="s">
        <v>144</v>
      </c>
      <c r="I55" s="12" t="s">
        <v>144</v>
      </c>
      <c r="J55" s="12" t="s">
        <v>144</v>
      </c>
      <c r="K55" s="12">
        <v>1</v>
      </c>
      <c r="L55" s="12">
        <v>1</v>
      </c>
      <c r="M55" s="12">
        <v>1</v>
      </c>
      <c r="N55" s="12">
        <v>1</v>
      </c>
      <c r="O55" s="12">
        <v>1</v>
      </c>
      <c r="P55" s="12">
        <v>1</v>
      </c>
      <c r="Q55" s="12">
        <v>1</v>
      </c>
      <c r="R55" s="15"/>
    </row>
    <row r="56" spans="2:18" ht="17" x14ac:dyDescent="0.35">
      <c r="B56" s="12">
        <v>54</v>
      </c>
      <c r="C56" s="12" t="s">
        <v>313</v>
      </c>
      <c r="D56" s="12" t="s">
        <v>314</v>
      </c>
      <c r="E56" s="12">
        <v>551141914</v>
      </c>
      <c r="F56" s="12" t="s">
        <v>313</v>
      </c>
      <c r="G56" s="12" t="s">
        <v>700</v>
      </c>
      <c r="H56" s="12" t="s">
        <v>144</v>
      </c>
      <c r="I56" s="12" t="s">
        <v>30</v>
      </c>
      <c r="J56" s="12" t="s">
        <v>30</v>
      </c>
      <c r="K56" s="12">
        <v>1</v>
      </c>
      <c r="L56" s="12">
        <v>1</v>
      </c>
      <c r="M56" s="12">
        <v>1</v>
      </c>
      <c r="N56" s="12">
        <v>1</v>
      </c>
      <c r="O56" s="12">
        <v>1</v>
      </c>
      <c r="P56" s="12">
        <v>1</v>
      </c>
      <c r="Q56" s="12">
        <v>1</v>
      </c>
      <c r="R56" s="15"/>
    </row>
    <row r="57" spans="2:18" ht="17" x14ac:dyDescent="0.35">
      <c r="B57" s="12">
        <v>55</v>
      </c>
      <c r="C57" s="12" t="s">
        <v>315</v>
      </c>
      <c r="D57" s="12" t="s">
        <v>316</v>
      </c>
      <c r="E57" s="12">
        <v>559777633</v>
      </c>
      <c r="F57" s="12" t="s">
        <v>317</v>
      </c>
      <c r="G57" s="12" t="s">
        <v>181</v>
      </c>
      <c r="H57" s="12" t="s">
        <v>24</v>
      </c>
      <c r="I57" s="12" t="s">
        <v>24</v>
      </c>
      <c r="J57" s="12" t="s">
        <v>24</v>
      </c>
      <c r="K57" s="12">
        <v>1</v>
      </c>
      <c r="L57" s="12">
        <v>1</v>
      </c>
      <c r="M57" s="12">
        <v>2</v>
      </c>
      <c r="N57" s="12">
        <v>2</v>
      </c>
      <c r="O57" s="12">
        <v>3</v>
      </c>
      <c r="P57" s="12">
        <v>3</v>
      </c>
      <c r="Q57" s="12">
        <v>4</v>
      </c>
    </row>
    <row r="58" spans="2:18" ht="17" x14ac:dyDescent="0.35">
      <c r="B58" s="12">
        <v>56</v>
      </c>
      <c r="C58" s="12" t="s">
        <v>318</v>
      </c>
      <c r="D58" s="12" t="s">
        <v>319</v>
      </c>
      <c r="E58" s="12">
        <v>539839414</v>
      </c>
      <c r="F58" s="12" t="s">
        <v>320</v>
      </c>
      <c r="G58" s="12" t="s">
        <v>700</v>
      </c>
      <c r="H58" s="12" t="s">
        <v>144</v>
      </c>
      <c r="I58" s="12" t="s">
        <v>30</v>
      </c>
      <c r="J58" s="12" t="s">
        <v>30</v>
      </c>
      <c r="K58" s="12">
        <v>1</v>
      </c>
      <c r="L58" s="12">
        <v>0</v>
      </c>
      <c r="M58" s="12">
        <v>1</v>
      </c>
      <c r="N58" s="12">
        <v>1</v>
      </c>
      <c r="O58" s="12">
        <v>1</v>
      </c>
      <c r="P58" s="12">
        <v>1</v>
      </c>
      <c r="Q58" s="12">
        <v>1</v>
      </c>
    </row>
    <row r="59" spans="2:18" ht="17" x14ac:dyDescent="0.35">
      <c r="B59" s="12">
        <v>57</v>
      </c>
      <c r="C59" s="12" t="s">
        <v>321</v>
      </c>
      <c r="D59" s="12" t="s">
        <v>260</v>
      </c>
      <c r="E59" s="12">
        <v>560680411</v>
      </c>
      <c r="F59" s="12" t="s">
        <v>207</v>
      </c>
      <c r="G59" s="12" t="s">
        <v>700</v>
      </c>
      <c r="H59" s="12" t="s">
        <v>144</v>
      </c>
      <c r="I59" s="12" t="s">
        <v>30</v>
      </c>
      <c r="J59" s="12" t="s">
        <v>30</v>
      </c>
      <c r="K59" s="12">
        <v>0</v>
      </c>
      <c r="L59" s="12">
        <v>0</v>
      </c>
      <c r="M59" s="12">
        <v>1</v>
      </c>
      <c r="N59" s="12">
        <v>2</v>
      </c>
      <c r="O59" s="12">
        <v>1</v>
      </c>
      <c r="P59" s="12">
        <v>0</v>
      </c>
      <c r="Q59" s="12">
        <v>0</v>
      </c>
    </row>
    <row r="60" spans="2:18" ht="17" x14ac:dyDescent="0.35">
      <c r="B60" s="12">
        <v>58</v>
      </c>
      <c r="C60" s="12" t="s">
        <v>322</v>
      </c>
      <c r="D60" s="12" t="s">
        <v>323</v>
      </c>
      <c r="E60" s="12">
        <v>555232556</v>
      </c>
      <c r="F60" s="12" t="s">
        <v>324</v>
      </c>
      <c r="G60" s="12" t="s">
        <v>700</v>
      </c>
      <c r="H60" s="12" t="s">
        <v>38</v>
      </c>
      <c r="I60" s="12" t="s">
        <v>38</v>
      </c>
      <c r="J60" s="12" t="s">
        <v>38</v>
      </c>
      <c r="K60" s="12">
        <v>1</v>
      </c>
      <c r="L60" s="12">
        <v>1</v>
      </c>
      <c r="M60" s="12">
        <v>1</v>
      </c>
      <c r="N60" s="12">
        <v>1</v>
      </c>
      <c r="O60" s="12">
        <v>1</v>
      </c>
      <c r="P60" s="12">
        <v>1</v>
      </c>
      <c r="Q60" s="12">
        <v>1</v>
      </c>
      <c r="R60" s="15"/>
    </row>
    <row r="61" spans="2:18" ht="17" x14ac:dyDescent="0.35">
      <c r="B61" s="12">
        <v>59</v>
      </c>
      <c r="C61" s="12" t="s">
        <v>325</v>
      </c>
      <c r="D61" s="12" t="s">
        <v>326</v>
      </c>
      <c r="E61" s="12">
        <v>509966696</v>
      </c>
      <c r="F61" s="12" t="s">
        <v>207</v>
      </c>
      <c r="G61" s="12" t="s">
        <v>181</v>
      </c>
      <c r="H61" s="12" t="s">
        <v>96</v>
      </c>
      <c r="I61" s="12" t="s">
        <v>118</v>
      </c>
      <c r="J61" s="12" t="s">
        <v>96</v>
      </c>
      <c r="K61" s="12">
        <v>1</v>
      </c>
      <c r="L61" s="12">
        <v>1</v>
      </c>
      <c r="M61" s="12">
        <v>1</v>
      </c>
      <c r="N61" s="12">
        <v>1</v>
      </c>
      <c r="O61" s="12">
        <v>0</v>
      </c>
      <c r="P61" s="12">
        <v>0</v>
      </c>
      <c r="Q61" s="12">
        <v>0</v>
      </c>
    </row>
    <row r="62" spans="2:18" ht="17" x14ac:dyDescent="0.35">
      <c r="B62" s="12">
        <v>60</v>
      </c>
      <c r="C62" s="12" t="s">
        <v>327</v>
      </c>
      <c r="D62" s="12" t="s">
        <v>328</v>
      </c>
      <c r="E62" s="12">
        <v>550206999</v>
      </c>
      <c r="F62" s="12" t="s">
        <v>329</v>
      </c>
      <c r="G62" s="12" t="s">
        <v>700</v>
      </c>
      <c r="H62" s="12" t="s">
        <v>144</v>
      </c>
      <c r="I62" s="12" t="s">
        <v>30</v>
      </c>
      <c r="J62" s="12" t="s">
        <v>30</v>
      </c>
      <c r="K62" s="12">
        <v>1</v>
      </c>
      <c r="L62" s="12">
        <v>1</v>
      </c>
      <c r="M62" s="12">
        <v>2</v>
      </c>
      <c r="N62" s="12">
        <v>2</v>
      </c>
      <c r="O62" s="12">
        <v>3</v>
      </c>
      <c r="P62" s="12">
        <v>3</v>
      </c>
      <c r="Q62" s="12">
        <v>4</v>
      </c>
    </row>
    <row r="63" spans="2:18" ht="17" x14ac:dyDescent="0.35">
      <c r="B63" s="12">
        <v>61</v>
      </c>
      <c r="C63" s="12" t="s">
        <v>330</v>
      </c>
      <c r="D63" s="12" t="s">
        <v>331</v>
      </c>
      <c r="E63" s="12">
        <v>505821403</v>
      </c>
      <c r="F63" s="12" t="s">
        <v>178</v>
      </c>
      <c r="G63" s="12" t="s">
        <v>700</v>
      </c>
      <c r="H63" s="12" t="s">
        <v>96</v>
      </c>
      <c r="I63" s="12" t="s">
        <v>98</v>
      </c>
      <c r="J63" s="12" t="s">
        <v>98</v>
      </c>
      <c r="K63" s="12">
        <v>0</v>
      </c>
      <c r="L63" s="12">
        <v>0</v>
      </c>
      <c r="M63" s="12">
        <v>1</v>
      </c>
      <c r="N63" s="12">
        <v>1</v>
      </c>
      <c r="O63" s="12">
        <v>1</v>
      </c>
      <c r="P63" s="12">
        <v>1</v>
      </c>
      <c r="Q63" s="12">
        <v>1</v>
      </c>
    </row>
    <row r="64" spans="2:18" ht="17" x14ac:dyDescent="0.35">
      <c r="B64" s="12">
        <v>62</v>
      </c>
      <c r="C64" s="12" t="s">
        <v>332</v>
      </c>
      <c r="D64" s="12" t="s">
        <v>333</v>
      </c>
      <c r="E64" s="12">
        <v>508999801</v>
      </c>
      <c r="F64" s="12" t="s">
        <v>334</v>
      </c>
      <c r="G64" s="12" t="s">
        <v>700</v>
      </c>
      <c r="H64" s="12" t="s">
        <v>96</v>
      </c>
      <c r="I64" s="12" t="s">
        <v>117</v>
      </c>
      <c r="J64" s="12" t="s">
        <v>96</v>
      </c>
      <c r="K64" s="12">
        <v>0</v>
      </c>
      <c r="L64" s="12">
        <v>0</v>
      </c>
      <c r="M64" s="12">
        <v>2</v>
      </c>
      <c r="N64" s="12">
        <v>1</v>
      </c>
      <c r="O64" s="12">
        <v>0</v>
      </c>
      <c r="P64" s="12">
        <v>0</v>
      </c>
      <c r="Q64" s="12">
        <v>0</v>
      </c>
    </row>
    <row r="65" spans="2:17" ht="17" x14ac:dyDescent="0.35">
      <c r="B65" s="12">
        <v>63</v>
      </c>
      <c r="C65" s="12" t="s">
        <v>335</v>
      </c>
      <c r="D65" s="12" t="s">
        <v>336</v>
      </c>
      <c r="E65" s="12">
        <v>501918000</v>
      </c>
      <c r="F65" s="12" t="s">
        <v>337</v>
      </c>
      <c r="G65" s="12" t="s">
        <v>700</v>
      </c>
      <c r="H65" s="12" t="s">
        <v>96</v>
      </c>
      <c r="I65" s="12" t="s">
        <v>117</v>
      </c>
      <c r="J65" s="12" t="s">
        <v>96</v>
      </c>
      <c r="K65" s="12">
        <v>0</v>
      </c>
      <c r="L65" s="12">
        <v>1</v>
      </c>
      <c r="M65" s="12">
        <v>2</v>
      </c>
      <c r="N65" s="12">
        <v>2</v>
      </c>
      <c r="O65" s="12">
        <v>3</v>
      </c>
      <c r="P65" s="12">
        <v>3</v>
      </c>
      <c r="Q65" s="12">
        <v>1</v>
      </c>
    </row>
    <row r="66" spans="2:17" ht="17" x14ac:dyDescent="0.35">
      <c r="B66" s="12">
        <v>64</v>
      </c>
      <c r="C66" s="12" t="s">
        <v>338</v>
      </c>
      <c r="D66" s="12" t="s">
        <v>336</v>
      </c>
      <c r="E66" s="12">
        <v>501918000</v>
      </c>
      <c r="F66" s="12" t="s">
        <v>207</v>
      </c>
      <c r="G66" s="12" t="s">
        <v>700</v>
      </c>
      <c r="H66" s="12" t="s">
        <v>96</v>
      </c>
      <c r="I66" s="12" t="s">
        <v>92</v>
      </c>
      <c r="J66" s="12" t="s">
        <v>92</v>
      </c>
      <c r="K66" s="12">
        <v>0</v>
      </c>
      <c r="L66" s="12">
        <v>0</v>
      </c>
      <c r="M66" s="12">
        <v>1</v>
      </c>
      <c r="N66" s="12">
        <v>1</v>
      </c>
      <c r="O66" s="12">
        <v>2</v>
      </c>
      <c r="P66" s="12">
        <v>1</v>
      </c>
      <c r="Q66" s="12">
        <v>0</v>
      </c>
    </row>
    <row r="67" spans="2:17" ht="17" x14ac:dyDescent="0.35">
      <c r="B67" s="12">
        <v>65</v>
      </c>
      <c r="C67" s="12" t="s">
        <v>339</v>
      </c>
      <c r="D67" s="12" t="s">
        <v>340</v>
      </c>
      <c r="E67" s="12">
        <v>531246862</v>
      </c>
      <c r="F67" s="12" t="s">
        <v>341</v>
      </c>
      <c r="G67" s="12" t="s">
        <v>700</v>
      </c>
      <c r="H67" s="12" t="s">
        <v>97</v>
      </c>
      <c r="I67" s="12" t="s">
        <v>49</v>
      </c>
      <c r="J67" s="12" t="s">
        <v>49</v>
      </c>
      <c r="K67" s="12">
        <v>1</v>
      </c>
      <c r="L67" s="12">
        <v>1</v>
      </c>
      <c r="M67" s="12">
        <v>1</v>
      </c>
      <c r="N67" s="12">
        <v>1</v>
      </c>
      <c r="O67" s="12">
        <v>1</v>
      </c>
      <c r="P67" s="12">
        <v>1</v>
      </c>
      <c r="Q67" s="12">
        <v>1</v>
      </c>
    </row>
    <row r="68" spans="2:17" ht="17" x14ac:dyDescent="0.35">
      <c r="B68" s="12">
        <v>66</v>
      </c>
      <c r="C68" s="12" t="s">
        <v>342</v>
      </c>
      <c r="D68" s="12" t="s">
        <v>343</v>
      </c>
      <c r="E68" s="12">
        <v>559505959</v>
      </c>
      <c r="F68" s="12" t="s">
        <v>344</v>
      </c>
      <c r="G68" s="12" t="s">
        <v>700</v>
      </c>
      <c r="H68" s="12" t="s">
        <v>96</v>
      </c>
      <c r="I68" s="12" t="s">
        <v>138</v>
      </c>
      <c r="J68" s="12" t="s">
        <v>138</v>
      </c>
      <c r="K68" s="12">
        <v>1</v>
      </c>
      <c r="L68" s="12">
        <v>1</v>
      </c>
      <c r="M68" s="12">
        <v>1</v>
      </c>
      <c r="N68" s="12">
        <v>1</v>
      </c>
      <c r="O68" s="12">
        <v>1</v>
      </c>
      <c r="P68" s="12">
        <v>1</v>
      </c>
      <c r="Q68" s="12">
        <v>1</v>
      </c>
    </row>
    <row r="69" spans="2:17" ht="17" x14ac:dyDescent="0.35">
      <c r="B69" s="12">
        <v>67</v>
      </c>
      <c r="C69" s="12" t="s">
        <v>345</v>
      </c>
      <c r="D69" s="12" t="s">
        <v>346</v>
      </c>
      <c r="E69" s="12">
        <v>560553521</v>
      </c>
      <c r="F69" s="12" t="s">
        <v>347</v>
      </c>
      <c r="G69" s="12" t="s">
        <v>700</v>
      </c>
      <c r="H69" s="12" t="s">
        <v>96</v>
      </c>
      <c r="I69" s="12" t="s">
        <v>92</v>
      </c>
      <c r="J69" s="12" t="s">
        <v>92</v>
      </c>
      <c r="K69" s="12">
        <v>1</v>
      </c>
      <c r="L69" s="12">
        <v>1</v>
      </c>
      <c r="M69" s="12">
        <v>2</v>
      </c>
      <c r="N69" s="12">
        <v>2</v>
      </c>
      <c r="O69" s="12">
        <v>3</v>
      </c>
      <c r="P69" s="12">
        <v>2</v>
      </c>
      <c r="Q69" s="12">
        <v>2</v>
      </c>
    </row>
    <row r="70" spans="2:17" ht="17" x14ac:dyDescent="0.35">
      <c r="B70" s="12">
        <v>68</v>
      </c>
      <c r="C70" s="12" t="s">
        <v>348</v>
      </c>
      <c r="D70" s="12" t="s">
        <v>349</v>
      </c>
      <c r="E70" s="12">
        <v>532492333</v>
      </c>
      <c r="F70" s="12" t="s">
        <v>207</v>
      </c>
      <c r="G70" s="12" t="s">
        <v>350</v>
      </c>
      <c r="H70" s="12" t="s">
        <v>24</v>
      </c>
      <c r="I70" s="12" t="s">
        <v>24</v>
      </c>
      <c r="J70" s="12" t="s">
        <v>24</v>
      </c>
      <c r="K70" s="12">
        <v>1</v>
      </c>
      <c r="L70" s="12">
        <v>0</v>
      </c>
      <c r="M70" s="12">
        <v>1</v>
      </c>
      <c r="N70" s="12">
        <v>1</v>
      </c>
      <c r="O70" s="12">
        <v>1</v>
      </c>
      <c r="P70" s="12">
        <v>0</v>
      </c>
      <c r="Q70" s="12">
        <v>0</v>
      </c>
    </row>
    <row r="71" spans="2:17" ht="17" x14ac:dyDescent="0.35">
      <c r="B71" s="12">
        <v>69</v>
      </c>
      <c r="C71" s="12" t="s">
        <v>351</v>
      </c>
      <c r="D71" s="12" t="s">
        <v>352</v>
      </c>
      <c r="E71" s="12">
        <v>505923214</v>
      </c>
      <c r="F71" s="12" t="s">
        <v>353</v>
      </c>
      <c r="G71" s="12" t="s">
        <v>181</v>
      </c>
      <c r="H71" s="12" t="s">
        <v>96</v>
      </c>
      <c r="I71" s="12" t="s">
        <v>92</v>
      </c>
      <c r="J71" s="12" t="s">
        <v>92</v>
      </c>
      <c r="K71" s="12">
        <v>1</v>
      </c>
      <c r="L71" s="12">
        <v>1</v>
      </c>
      <c r="M71" s="12">
        <v>2</v>
      </c>
      <c r="N71" s="12">
        <v>2</v>
      </c>
      <c r="O71" s="12">
        <v>2</v>
      </c>
      <c r="P71" s="12">
        <v>2</v>
      </c>
      <c r="Q71" s="12">
        <v>0</v>
      </c>
    </row>
    <row r="72" spans="2:17" ht="17" x14ac:dyDescent="0.35">
      <c r="B72" s="12">
        <v>70</v>
      </c>
      <c r="C72" s="12" t="s">
        <v>354</v>
      </c>
      <c r="D72" s="12" t="s">
        <v>355</v>
      </c>
      <c r="E72" s="12">
        <v>597190992</v>
      </c>
      <c r="F72" s="12" t="s">
        <v>305</v>
      </c>
      <c r="G72" s="12" t="s">
        <v>700</v>
      </c>
      <c r="H72" s="12" t="s">
        <v>144</v>
      </c>
      <c r="I72" s="12" t="s">
        <v>30</v>
      </c>
      <c r="J72" s="12" t="s">
        <v>30</v>
      </c>
      <c r="K72" s="12">
        <v>1</v>
      </c>
      <c r="L72" s="12">
        <v>0</v>
      </c>
      <c r="M72" s="12">
        <v>1</v>
      </c>
      <c r="N72" s="12">
        <v>0</v>
      </c>
      <c r="O72" s="12">
        <v>0</v>
      </c>
      <c r="P72" s="12">
        <v>0</v>
      </c>
      <c r="Q72" s="12">
        <v>0</v>
      </c>
    </row>
    <row r="73" spans="2:17" ht="17" x14ac:dyDescent="0.35">
      <c r="B73" s="12">
        <v>71</v>
      </c>
      <c r="C73" s="12" t="s">
        <v>356</v>
      </c>
      <c r="D73" s="12" t="s">
        <v>357</v>
      </c>
      <c r="E73" s="12">
        <v>561646725</v>
      </c>
      <c r="F73" s="12" t="s">
        <v>358</v>
      </c>
      <c r="G73" s="12" t="s">
        <v>700</v>
      </c>
      <c r="H73" s="12" t="s">
        <v>144</v>
      </c>
      <c r="I73" s="12" t="s">
        <v>144</v>
      </c>
      <c r="J73" s="12" t="s">
        <v>144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  <c r="P73" s="12">
        <v>1</v>
      </c>
      <c r="Q73" s="12">
        <v>1</v>
      </c>
    </row>
    <row r="74" spans="2:17" ht="17" x14ac:dyDescent="0.35">
      <c r="B74" s="12">
        <v>72</v>
      </c>
      <c r="C74" s="12" t="s">
        <v>359</v>
      </c>
      <c r="D74" s="12" t="s">
        <v>360</v>
      </c>
      <c r="E74" s="12">
        <v>559900567</v>
      </c>
      <c r="F74" s="12" t="s">
        <v>361</v>
      </c>
      <c r="G74" s="12" t="s">
        <v>700</v>
      </c>
      <c r="H74" s="12" t="s">
        <v>38</v>
      </c>
      <c r="I74" s="12" t="s">
        <v>38</v>
      </c>
      <c r="J74" s="12" t="s">
        <v>38</v>
      </c>
      <c r="K74" s="12">
        <v>1</v>
      </c>
      <c r="L74" s="12">
        <v>0</v>
      </c>
      <c r="M74" s="12">
        <v>1</v>
      </c>
      <c r="N74" s="12">
        <v>1</v>
      </c>
      <c r="O74" s="12">
        <v>1</v>
      </c>
      <c r="P74" s="12">
        <v>1</v>
      </c>
      <c r="Q74" s="12">
        <v>1</v>
      </c>
    </row>
    <row r="75" spans="2:17" ht="17" x14ac:dyDescent="0.35">
      <c r="B75" s="12">
        <v>73</v>
      </c>
      <c r="C75" s="12" t="s">
        <v>362</v>
      </c>
      <c r="D75" s="12" t="s">
        <v>363</v>
      </c>
      <c r="E75" s="12">
        <v>532676668</v>
      </c>
      <c r="F75" s="12" t="s">
        <v>364</v>
      </c>
      <c r="G75" s="12" t="s">
        <v>181</v>
      </c>
      <c r="H75" s="12" t="s">
        <v>27</v>
      </c>
      <c r="I75" s="12" t="s">
        <v>362</v>
      </c>
      <c r="J75" s="12" t="s">
        <v>27</v>
      </c>
      <c r="K75" s="12">
        <v>1</v>
      </c>
      <c r="L75" s="12">
        <v>1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</row>
    <row r="76" spans="2:17" ht="17" x14ac:dyDescent="0.35">
      <c r="B76" s="12">
        <v>74</v>
      </c>
      <c r="C76" s="12" t="s">
        <v>365</v>
      </c>
      <c r="D76" s="12" t="s">
        <v>366</v>
      </c>
      <c r="E76" s="12">
        <v>555770708</v>
      </c>
      <c r="F76" s="12" t="s">
        <v>207</v>
      </c>
      <c r="G76" s="12" t="s">
        <v>700</v>
      </c>
      <c r="H76" s="12" t="s">
        <v>144</v>
      </c>
      <c r="I76" s="12" t="s">
        <v>144</v>
      </c>
      <c r="J76" s="12" t="s">
        <v>144</v>
      </c>
      <c r="K76" s="12">
        <v>1</v>
      </c>
      <c r="L76" s="12">
        <v>1</v>
      </c>
      <c r="M76" s="12">
        <v>1</v>
      </c>
      <c r="N76" s="12">
        <v>1</v>
      </c>
      <c r="O76" s="12">
        <v>2</v>
      </c>
      <c r="P76" s="12">
        <v>2</v>
      </c>
      <c r="Q76" s="12">
        <v>1</v>
      </c>
    </row>
    <row r="77" spans="2:17" ht="17" x14ac:dyDescent="0.35">
      <c r="B77" s="12">
        <v>75</v>
      </c>
      <c r="C77" s="12" t="s">
        <v>367</v>
      </c>
      <c r="D77" s="12" t="s">
        <v>368</v>
      </c>
      <c r="E77" s="12">
        <v>552244348</v>
      </c>
      <c r="F77" s="12" t="s">
        <v>369</v>
      </c>
      <c r="G77" s="12" t="s">
        <v>181</v>
      </c>
      <c r="H77" s="12" t="s">
        <v>144</v>
      </c>
      <c r="I77" s="12" t="s">
        <v>18</v>
      </c>
      <c r="J77" s="12" t="s">
        <v>18</v>
      </c>
      <c r="K77" s="12">
        <v>1</v>
      </c>
      <c r="L77" s="12">
        <v>1</v>
      </c>
      <c r="M77" s="12">
        <v>1</v>
      </c>
      <c r="N77" s="12">
        <v>1</v>
      </c>
      <c r="O77" s="12">
        <v>1</v>
      </c>
      <c r="P77" s="12">
        <v>1</v>
      </c>
      <c r="Q77" s="12">
        <v>1</v>
      </c>
    </row>
    <row r="78" spans="2:17" ht="17" x14ac:dyDescent="0.35">
      <c r="B78" s="12">
        <v>76</v>
      </c>
      <c r="C78" s="12" t="s">
        <v>370</v>
      </c>
      <c r="D78" s="12" t="s">
        <v>371</v>
      </c>
      <c r="E78" s="12">
        <v>558880147</v>
      </c>
      <c r="F78" s="12" t="s">
        <v>372</v>
      </c>
      <c r="G78" s="12" t="s">
        <v>700</v>
      </c>
      <c r="H78" s="12" t="s">
        <v>24</v>
      </c>
      <c r="I78" s="12" t="s">
        <v>24</v>
      </c>
      <c r="J78" s="12" t="s">
        <v>24</v>
      </c>
      <c r="K78" s="12">
        <v>1</v>
      </c>
      <c r="L78" s="12">
        <v>1</v>
      </c>
      <c r="M78" s="12">
        <v>2</v>
      </c>
      <c r="N78" s="12">
        <v>1</v>
      </c>
      <c r="O78" s="12">
        <v>0</v>
      </c>
      <c r="P78" s="12">
        <v>0</v>
      </c>
      <c r="Q78" s="12">
        <v>0</v>
      </c>
    </row>
    <row r="79" spans="2:17" ht="17" x14ac:dyDescent="0.35">
      <c r="B79" s="12">
        <v>77</v>
      </c>
      <c r="C79" s="12" t="s">
        <v>373</v>
      </c>
      <c r="D79" s="12" t="s">
        <v>374</v>
      </c>
      <c r="E79" s="12">
        <v>543644757</v>
      </c>
      <c r="F79" s="12" t="s">
        <v>375</v>
      </c>
      <c r="G79" s="12" t="s">
        <v>700</v>
      </c>
      <c r="H79" s="12" t="s">
        <v>144</v>
      </c>
      <c r="I79" s="12" t="s">
        <v>30</v>
      </c>
      <c r="J79" s="12" t="s">
        <v>30</v>
      </c>
      <c r="K79" s="12">
        <v>1</v>
      </c>
      <c r="L79" s="12">
        <v>0</v>
      </c>
      <c r="M79" s="12">
        <v>2</v>
      </c>
      <c r="N79" s="12">
        <v>0</v>
      </c>
      <c r="O79" s="12">
        <v>0</v>
      </c>
      <c r="P79" s="12">
        <v>0</v>
      </c>
      <c r="Q79" s="12">
        <v>0</v>
      </c>
    </row>
    <row r="80" spans="2:17" ht="17" x14ac:dyDescent="0.35">
      <c r="B80" s="12">
        <v>78</v>
      </c>
      <c r="C80" s="12" t="s">
        <v>376</v>
      </c>
      <c r="D80" s="12" t="s">
        <v>377</v>
      </c>
      <c r="E80" s="12">
        <v>510301850</v>
      </c>
      <c r="F80" s="12" t="s">
        <v>207</v>
      </c>
      <c r="G80" s="12" t="s">
        <v>700</v>
      </c>
      <c r="H80" s="12" t="s">
        <v>24</v>
      </c>
      <c r="I80" s="12" t="s">
        <v>24</v>
      </c>
      <c r="J80" s="12" t="s">
        <v>24</v>
      </c>
      <c r="K80" s="12">
        <v>0</v>
      </c>
      <c r="L80" s="12">
        <v>0</v>
      </c>
      <c r="M80" s="12">
        <v>1</v>
      </c>
      <c r="N80" s="12">
        <v>1</v>
      </c>
      <c r="O80" s="12">
        <v>1</v>
      </c>
      <c r="P80" s="12">
        <v>0</v>
      </c>
      <c r="Q80" s="12">
        <v>0</v>
      </c>
    </row>
    <row r="81" spans="2:17" ht="17" x14ac:dyDescent="0.35">
      <c r="B81" s="12">
        <v>79</v>
      </c>
      <c r="C81" s="12" t="s">
        <v>378</v>
      </c>
      <c r="D81" s="12" t="s">
        <v>379</v>
      </c>
      <c r="E81" s="12">
        <v>542890420</v>
      </c>
      <c r="F81" s="12" t="s">
        <v>207</v>
      </c>
      <c r="G81" s="12" t="s">
        <v>350</v>
      </c>
      <c r="H81" s="12" t="s">
        <v>38</v>
      </c>
      <c r="I81" s="12" t="s">
        <v>38</v>
      </c>
      <c r="J81" s="12" t="s">
        <v>38</v>
      </c>
      <c r="K81" s="12">
        <v>0</v>
      </c>
      <c r="L81" s="12">
        <v>0</v>
      </c>
      <c r="M81" s="12">
        <v>1</v>
      </c>
      <c r="N81" s="12">
        <v>1</v>
      </c>
      <c r="O81" s="12">
        <v>1</v>
      </c>
      <c r="P81" s="12">
        <v>1</v>
      </c>
      <c r="Q81" s="12">
        <v>0</v>
      </c>
    </row>
    <row r="82" spans="2:17" ht="17" x14ac:dyDescent="0.35">
      <c r="B82" s="12">
        <v>80</v>
      </c>
      <c r="C82" s="12" t="s">
        <v>380</v>
      </c>
      <c r="D82" s="12" t="s">
        <v>381</v>
      </c>
      <c r="E82" s="12">
        <v>508472424</v>
      </c>
      <c r="F82" s="12" t="s">
        <v>207</v>
      </c>
      <c r="G82" s="12" t="s">
        <v>350</v>
      </c>
      <c r="H82" s="12" t="s">
        <v>144</v>
      </c>
      <c r="I82" s="12" t="s">
        <v>30</v>
      </c>
      <c r="J82" s="12" t="s">
        <v>30</v>
      </c>
      <c r="K82" s="12">
        <v>0</v>
      </c>
      <c r="L82" s="12">
        <v>0</v>
      </c>
      <c r="M82" s="12">
        <v>0</v>
      </c>
      <c r="N82" s="12">
        <v>1</v>
      </c>
      <c r="O82" s="12">
        <v>1</v>
      </c>
      <c r="P82" s="12">
        <v>1</v>
      </c>
      <c r="Q82" s="12">
        <v>1</v>
      </c>
    </row>
    <row r="83" spans="2:17" ht="17" x14ac:dyDescent="0.35">
      <c r="B83" s="12">
        <v>81</v>
      </c>
      <c r="C83" s="12" t="s">
        <v>382</v>
      </c>
      <c r="D83" s="12" t="s">
        <v>383</v>
      </c>
      <c r="E83" s="12">
        <v>505219942</v>
      </c>
      <c r="F83" s="12" t="s">
        <v>384</v>
      </c>
      <c r="G83" s="12" t="s">
        <v>700</v>
      </c>
      <c r="H83" s="12" t="s">
        <v>38</v>
      </c>
      <c r="I83" s="12" t="s">
        <v>38</v>
      </c>
      <c r="J83" s="12" t="s">
        <v>38</v>
      </c>
      <c r="K83" s="12">
        <v>0</v>
      </c>
      <c r="L83" s="12">
        <v>0</v>
      </c>
      <c r="M83" s="12">
        <v>1</v>
      </c>
      <c r="N83" s="12">
        <v>0</v>
      </c>
      <c r="O83" s="12">
        <v>0</v>
      </c>
      <c r="P83" s="12">
        <v>0</v>
      </c>
      <c r="Q83" s="12">
        <v>0</v>
      </c>
    </row>
    <row r="84" spans="2:17" ht="17" x14ac:dyDescent="0.35">
      <c r="B84" s="12">
        <v>82</v>
      </c>
      <c r="C84" s="12" t="s">
        <v>385</v>
      </c>
      <c r="D84" s="12" t="s">
        <v>386</v>
      </c>
      <c r="E84" s="12">
        <v>540782434</v>
      </c>
      <c r="F84" s="12" t="s">
        <v>207</v>
      </c>
      <c r="G84" s="12" t="s">
        <v>350</v>
      </c>
      <c r="H84" s="12" t="s">
        <v>144</v>
      </c>
      <c r="I84" s="12" t="s">
        <v>144</v>
      </c>
      <c r="J84" s="12" t="s">
        <v>144</v>
      </c>
      <c r="K84" s="12">
        <v>1</v>
      </c>
      <c r="L84" s="12">
        <v>1</v>
      </c>
      <c r="M84" s="12">
        <v>1</v>
      </c>
      <c r="N84" s="12">
        <v>1</v>
      </c>
      <c r="O84" s="12">
        <v>1</v>
      </c>
      <c r="P84" s="12">
        <v>1</v>
      </c>
      <c r="Q84" s="12">
        <v>1</v>
      </c>
    </row>
    <row r="85" spans="2:17" ht="17" x14ac:dyDescent="0.35">
      <c r="B85" s="12">
        <v>83</v>
      </c>
      <c r="C85" s="12" t="s">
        <v>387</v>
      </c>
      <c r="D85" s="12" t="s">
        <v>388</v>
      </c>
      <c r="E85" s="12">
        <v>500003870</v>
      </c>
      <c r="F85" s="12" t="s">
        <v>207</v>
      </c>
      <c r="G85" s="12" t="s">
        <v>350</v>
      </c>
      <c r="H85" s="12" t="s">
        <v>144</v>
      </c>
      <c r="I85" s="12" t="s">
        <v>30</v>
      </c>
      <c r="J85" s="12" t="s">
        <v>30</v>
      </c>
      <c r="K85" s="12">
        <v>1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2:17" ht="17" x14ac:dyDescent="0.35">
      <c r="B86" s="12">
        <v>84</v>
      </c>
      <c r="C86" s="12" t="s">
        <v>389</v>
      </c>
      <c r="D86" s="12" t="s">
        <v>390</v>
      </c>
      <c r="E86" s="12">
        <v>555939613</v>
      </c>
      <c r="F86" s="12" t="s">
        <v>207</v>
      </c>
      <c r="G86" s="12" t="s">
        <v>350</v>
      </c>
      <c r="H86" s="12" t="s">
        <v>100</v>
      </c>
      <c r="I86" s="12" t="s">
        <v>65</v>
      </c>
      <c r="J86" s="12" t="s">
        <v>100</v>
      </c>
      <c r="K86" s="12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2:17" ht="17" x14ac:dyDescent="0.35">
      <c r="B87" s="12">
        <v>85</v>
      </c>
      <c r="C87" s="12" t="s">
        <v>391</v>
      </c>
      <c r="D87" s="12" t="s">
        <v>392</v>
      </c>
      <c r="E87" s="12">
        <v>560071810</v>
      </c>
      <c r="F87" s="12" t="s">
        <v>305</v>
      </c>
      <c r="G87" s="12" t="s">
        <v>350</v>
      </c>
      <c r="H87" s="12" t="s">
        <v>24</v>
      </c>
      <c r="I87" s="12" t="s">
        <v>24</v>
      </c>
      <c r="J87" s="12" t="s">
        <v>24</v>
      </c>
      <c r="K87" s="12">
        <v>0</v>
      </c>
      <c r="L87" s="12">
        <v>0</v>
      </c>
      <c r="M87" s="12">
        <v>0</v>
      </c>
      <c r="N87" s="12">
        <v>0</v>
      </c>
      <c r="O87" s="12">
        <v>1</v>
      </c>
      <c r="P87" s="12">
        <v>0</v>
      </c>
      <c r="Q87" s="12">
        <v>0</v>
      </c>
    </row>
    <row r="88" spans="2:17" ht="17" x14ac:dyDescent="0.35">
      <c r="B88" s="12">
        <v>86</v>
      </c>
      <c r="C88" s="12" t="s">
        <v>393</v>
      </c>
      <c r="D88" s="12" t="s">
        <v>394</v>
      </c>
      <c r="E88" s="12">
        <v>537560942</v>
      </c>
      <c r="F88" s="12" t="s">
        <v>207</v>
      </c>
      <c r="G88" s="12" t="s">
        <v>350</v>
      </c>
      <c r="H88" s="12" t="s">
        <v>38</v>
      </c>
      <c r="I88" s="12" t="s">
        <v>38</v>
      </c>
      <c r="J88" s="12" t="s">
        <v>38</v>
      </c>
      <c r="K88" s="12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</row>
    <row r="89" spans="2:17" ht="17" x14ac:dyDescent="0.35">
      <c r="B89" s="12">
        <v>87</v>
      </c>
      <c r="C89" s="12" t="s">
        <v>395</v>
      </c>
      <c r="D89" s="12" t="s">
        <v>396</v>
      </c>
      <c r="E89" s="12">
        <v>558122658</v>
      </c>
      <c r="F89" s="12" t="s">
        <v>305</v>
      </c>
      <c r="G89" s="12" t="s">
        <v>350</v>
      </c>
      <c r="H89" s="12" t="s">
        <v>38</v>
      </c>
      <c r="I89" s="12" t="s">
        <v>38</v>
      </c>
      <c r="J89" s="12" t="s">
        <v>38</v>
      </c>
      <c r="K89" s="12">
        <v>1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</row>
    <row r="90" spans="2:17" ht="17" x14ac:dyDescent="0.35">
      <c r="B90" s="12">
        <v>88</v>
      </c>
      <c r="C90" s="12" t="s">
        <v>397</v>
      </c>
      <c r="D90" s="12" t="s">
        <v>398</v>
      </c>
      <c r="E90" s="12">
        <v>506882257</v>
      </c>
      <c r="F90" s="12" t="s">
        <v>207</v>
      </c>
      <c r="G90" s="12" t="s">
        <v>350</v>
      </c>
      <c r="H90" s="12" t="s">
        <v>87</v>
      </c>
      <c r="I90" s="12" t="s">
        <v>87</v>
      </c>
      <c r="J90" s="12" t="s">
        <v>87</v>
      </c>
      <c r="K90" s="12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</row>
    <row r="91" spans="2:17" ht="17" x14ac:dyDescent="0.35">
      <c r="B91" s="12">
        <v>89</v>
      </c>
      <c r="C91" s="12" t="s">
        <v>400</v>
      </c>
      <c r="D91" s="12" t="s">
        <v>401</v>
      </c>
      <c r="E91" s="12">
        <v>566580588</v>
      </c>
      <c r="F91" s="12" t="s">
        <v>207</v>
      </c>
      <c r="G91" s="12" t="s">
        <v>350</v>
      </c>
      <c r="H91" s="12" t="s">
        <v>27</v>
      </c>
      <c r="I91" s="12" t="s">
        <v>606</v>
      </c>
      <c r="J91" s="12" t="s">
        <v>27</v>
      </c>
      <c r="K91" s="12">
        <v>0</v>
      </c>
      <c r="L91" s="12">
        <v>0</v>
      </c>
      <c r="M91" s="12">
        <v>1</v>
      </c>
      <c r="N91" s="12">
        <v>0</v>
      </c>
      <c r="O91" s="12">
        <v>0</v>
      </c>
      <c r="P91" s="12">
        <v>0</v>
      </c>
      <c r="Q91" s="12">
        <v>0</v>
      </c>
    </row>
    <row r="92" spans="2:17" ht="17" x14ac:dyDescent="0.35">
      <c r="B92" s="12">
        <v>90</v>
      </c>
      <c r="C92" s="12" t="s">
        <v>402</v>
      </c>
      <c r="D92" s="12" t="s">
        <v>403</v>
      </c>
      <c r="E92" s="12">
        <v>545585613</v>
      </c>
      <c r="F92" s="12" t="s">
        <v>305</v>
      </c>
      <c r="G92" s="12" t="s">
        <v>350</v>
      </c>
      <c r="H92" s="12" t="s">
        <v>40</v>
      </c>
      <c r="I92" s="12" t="s">
        <v>135</v>
      </c>
      <c r="J92" s="12" t="s">
        <v>40</v>
      </c>
      <c r="K92" s="12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  <row r="93" spans="2:17" ht="17" x14ac:dyDescent="0.35">
      <c r="B93" s="12">
        <v>91</v>
      </c>
      <c r="C93" s="12" t="s">
        <v>404</v>
      </c>
      <c r="D93" s="12" t="s">
        <v>405</v>
      </c>
      <c r="E93" s="12">
        <v>567232330</v>
      </c>
      <c r="F93" s="12" t="s">
        <v>305</v>
      </c>
      <c r="G93" s="12" t="s">
        <v>350</v>
      </c>
      <c r="H93" s="12" t="s">
        <v>96</v>
      </c>
      <c r="I93" s="12" t="s">
        <v>92</v>
      </c>
      <c r="J93" s="12" t="s">
        <v>92</v>
      </c>
      <c r="K93" s="12">
        <v>1</v>
      </c>
      <c r="L93" s="12">
        <v>1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</row>
    <row r="94" spans="2:17" ht="17" x14ac:dyDescent="0.35">
      <c r="B94" s="12">
        <v>92</v>
      </c>
      <c r="C94" s="12" t="s">
        <v>406</v>
      </c>
      <c r="D94" s="12" t="s">
        <v>407</v>
      </c>
      <c r="E94" s="12">
        <v>548071024</v>
      </c>
      <c r="F94" s="12" t="s">
        <v>207</v>
      </c>
      <c r="G94" s="12" t="s">
        <v>350</v>
      </c>
      <c r="H94" s="12" t="s">
        <v>96</v>
      </c>
      <c r="I94" s="12" t="s">
        <v>92</v>
      </c>
      <c r="J94" s="12" t="s">
        <v>92</v>
      </c>
      <c r="K94" s="12">
        <v>1</v>
      </c>
      <c r="L94" s="12">
        <v>1</v>
      </c>
      <c r="M94" s="12">
        <v>0</v>
      </c>
      <c r="N94" s="12">
        <v>1</v>
      </c>
      <c r="O94" s="12">
        <v>0</v>
      </c>
      <c r="P94" s="12">
        <v>0</v>
      </c>
      <c r="Q94" s="12">
        <v>0</v>
      </c>
    </row>
    <row r="95" spans="2:17" ht="17" x14ac:dyDescent="0.35">
      <c r="B95" s="12">
        <v>93</v>
      </c>
      <c r="C95" s="12" t="s">
        <v>408</v>
      </c>
      <c r="D95" s="12" t="s">
        <v>409</v>
      </c>
      <c r="E95" s="12">
        <v>504855301</v>
      </c>
      <c r="F95" s="12" t="s">
        <v>305</v>
      </c>
      <c r="G95" s="12" t="s">
        <v>350</v>
      </c>
      <c r="H95" s="12" t="s">
        <v>96</v>
      </c>
      <c r="I95" s="12" t="s">
        <v>92</v>
      </c>
      <c r="J95" s="12" t="s">
        <v>92</v>
      </c>
      <c r="K95" s="12">
        <v>1</v>
      </c>
      <c r="L95" s="12">
        <v>1</v>
      </c>
      <c r="M95" s="12">
        <v>1</v>
      </c>
      <c r="N95" s="12">
        <v>1</v>
      </c>
      <c r="O95" s="12">
        <v>1</v>
      </c>
      <c r="P95" s="12">
        <v>0</v>
      </c>
      <c r="Q95" s="12">
        <v>0</v>
      </c>
    </row>
    <row r="96" spans="2:17" ht="17" x14ac:dyDescent="0.35">
      <c r="B96" s="12">
        <v>94</v>
      </c>
      <c r="C96" s="12" t="s">
        <v>410</v>
      </c>
      <c r="D96" s="12" t="s">
        <v>411</v>
      </c>
      <c r="E96" s="12">
        <v>505929798</v>
      </c>
      <c r="F96" s="12" t="s">
        <v>305</v>
      </c>
      <c r="G96" s="12" t="s">
        <v>350</v>
      </c>
      <c r="H96" s="12" t="s">
        <v>96</v>
      </c>
      <c r="I96" s="12" t="s">
        <v>92</v>
      </c>
      <c r="J96" s="12" t="s">
        <v>92</v>
      </c>
      <c r="K96" s="12">
        <v>1</v>
      </c>
      <c r="L96" s="12">
        <v>1</v>
      </c>
      <c r="M96" s="12">
        <v>1</v>
      </c>
      <c r="N96" s="12">
        <v>1</v>
      </c>
      <c r="O96" s="12">
        <v>0</v>
      </c>
      <c r="P96" s="12">
        <v>0</v>
      </c>
      <c r="Q96" s="12">
        <v>0</v>
      </c>
    </row>
    <row r="97" spans="2:17" ht="17" x14ac:dyDescent="0.35">
      <c r="B97" s="12">
        <v>95</v>
      </c>
      <c r="C97" s="12" t="s">
        <v>412</v>
      </c>
      <c r="D97" s="12" t="s">
        <v>413</v>
      </c>
      <c r="E97" s="12">
        <v>540795210</v>
      </c>
      <c r="F97" s="12" t="s">
        <v>207</v>
      </c>
      <c r="G97" s="12" t="s">
        <v>350</v>
      </c>
      <c r="H97" s="12" t="s">
        <v>96</v>
      </c>
      <c r="I97" s="12" t="s">
        <v>92</v>
      </c>
      <c r="J97" s="12" t="s">
        <v>92</v>
      </c>
      <c r="K97" s="12">
        <v>1</v>
      </c>
      <c r="L97" s="12">
        <v>1</v>
      </c>
      <c r="M97" s="12">
        <v>0</v>
      </c>
      <c r="N97" s="12">
        <v>1</v>
      </c>
      <c r="O97" s="12">
        <v>0</v>
      </c>
      <c r="P97" s="12">
        <v>0</v>
      </c>
      <c r="Q97" s="12">
        <v>0</v>
      </c>
    </row>
    <row r="98" spans="2:17" ht="17" x14ac:dyDescent="0.35">
      <c r="B98" s="12">
        <v>96</v>
      </c>
      <c r="C98" s="12" t="s">
        <v>414</v>
      </c>
      <c r="D98" s="12" t="s">
        <v>415</v>
      </c>
      <c r="E98" s="12">
        <v>544474405</v>
      </c>
      <c r="F98" s="12" t="s">
        <v>207</v>
      </c>
      <c r="G98" s="12" t="s">
        <v>350</v>
      </c>
      <c r="H98" s="12" t="s">
        <v>96</v>
      </c>
      <c r="I98" s="12" t="s">
        <v>92</v>
      </c>
      <c r="J98" s="12" t="s">
        <v>92</v>
      </c>
      <c r="K98" s="12">
        <v>1</v>
      </c>
      <c r="L98" s="12">
        <v>1</v>
      </c>
      <c r="M98" s="12">
        <v>1</v>
      </c>
      <c r="N98" s="12">
        <v>1</v>
      </c>
      <c r="O98" s="12">
        <v>0</v>
      </c>
      <c r="P98" s="12">
        <v>0</v>
      </c>
      <c r="Q98" s="12">
        <v>0</v>
      </c>
    </row>
    <row r="99" spans="2:17" ht="17" x14ac:dyDescent="0.35">
      <c r="B99" s="12">
        <v>97</v>
      </c>
      <c r="C99" s="12" t="s">
        <v>416</v>
      </c>
      <c r="D99" s="12" t="s">
        <v>417</v>
      </c>
      <c r="E99" s="12">
        <v>503118340</v>
      </c>
      <c r="F99" s="12" t="s">
        <v>305</v>
      </c>
      <c r="G99" s="12" t="s">
        <v>350</v>
      </c>
      <c r="H99" s="12" t="s">
        <v>38</v>
      </c>
      <c r="I99" s="12" t="s">
        <v>38</v>
      </c>
      <c r="J99" s="12" t="s">
        <v>38</v>
      </c>
      <c r="K99" s="12">
        <v>1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</row>
    <row r="100" spans="2:17" ht="17" x14ac:dyDescent="0.35">
      <c r="B100" s="12">
        <v>98</v>
      </c>
      <c r="C100" s="12" t="s">
        <v>418</v>
      </c>
      <c r="D100" s="12" t="s">
        <v>419</v>
      </c>
      <c r="E100" s="12">
        <v>555519604</v>
      </c>
      <c r="F100" s="12" t="s">
        <v>207</v>
      </c>
      <c r="G100" s="12" t="s">
        <v>350</v>
      </c>
      <c r="H100" s="12" t="s">
        <v>144</v>
      </c>
      <c r="I100" s="12" t="s">
        <v>144</v>
      </c>
      <c r="J100" s="12" t="s">
        <v>144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  <c r="P100" s="12">
        <v>1</v>
      </c>
      <c r="Q100" s="12">
        <v>1</v>
      </c>
    </row>
    <row r="101" spans="2:17" ht="17" x14ac:dyDescent="0.35">
      <c r="B101" s="12">
        <v>99</v>
      </c>
      <c r="C101" s="12" t="s">
        <v>420</v>
      </c>
      <c r="D101" s="12" t="s">
        <v>421</v>
      </c>
      <c r="E101" s="12">
        <v>504921358</v>
      </c>
      <c r="F101" s="12" t="s">
        <v>207</v>
      </c>
      <c r="G101" s="12" t="s">
        <v>350</v>
      </c>
      <c r="H101" s="12" t="s">
        <v>96</v>
      </c>
      <c r="I101" s="12" t="s">
        <v>92</v>
      </c>
      <c r="J101" s="12" t="s">
        <v>92</v>
      </c>
      <c r="K101" s="12">
        <v>1</v>
      </c>
      <c r="L101" s="12">
        <v>1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</row>
    <row r="102" spans="2:17" ht="17" x14ac:dyDescent="0.35">
      <c r="B102" s="12">
        <v>100</v>
      </c>
      <c r="C102" s="12" t="s">
        <v>422</v>
      </c>
      <c r="D102" s="12" t="s">
        <v>423</v>
      </c>
      <c r="E102" s="12">
        <v>506924761</v>
      </c>
      <c r="F102" s="12" t="s">
        <v>305</v>
      </c>
      <c r="G102" s="12" t="s">
        <v>350</v>
      </c>
      <c r="H102" s="12" t="s">
        <v>96</v>
      </c>
      <c r="I102" s="12" t="s">
        <v>92</v>
      </c>
      <c r="J102" s="12" t="s">
        <v>92</v>
      </c>
      <c r="K102" s="12">
        <v>1</v>
      </c>
      <c r="L102" s="12">
        <v>1</v>
      </c>
      <c r="M102" s="12">
        <v>1</v>
      </c>
      <c r="N102" s="12">
        <v>1</v>
      </c>
      <c r="O102" s="12">
        <v>1</v>
      </c>
      <c r="P102" s="12">
        <v>1</v>
      </c>
      <c r="Q102" s="12">
        <v>1</v>
      </c>
    </row>
    <row r="103" spans="2:17" ht="17" x14ac:dyDescent="0.35">
      <c r="B103" s="12">
        <v>101</v>
      </c>
      <c r="C103" s="12" t="s">
        <v>424</v>
      </c>
      <c r="D103" s="12" t="s">
        <v>425</v>
      </c>
      <c r="E103" s="12">
        <v>555903375</v>
      </c>
      <c r="F103" s="12" t="s">
        <v>305</v>
      </c>
      <c r="G103" s="12" t="s">
        <v>350</v>
      </c>
      <c r="H103" s="12" t="s">
        <v>96</v>
      </c>
      <c r="I103" s="12" t="s">
        <v>92</v>
      </c>
      <c r="J103" s="12" t="s">
        <v>92</v>
      </c>
      <c r="K103" s="12">
        <v>1</v>
      </c>
      <c r="L103" s="12">
        <v>1</v>
      </c>
      <c r="M103" s="12">
        <v>1</v>
      </c>
      <c r="N103" s="12">
        <v>1</v>
      </c>
      <c r="O103" s="12">
        <v>1</v>
      </c>
      <c r="P103" s="12">
        <v>0</v>
      </c>
      <c r="Q103" s="12">
        <v>0</v>
      </c>
    </row>
    <row r="104" spans="2:17" ht="17" x14ac:dyDescent="0.35">
      <c r="B104" s="12">
        <v>102</v>
      </c>
      <c r="C104" s="12" t="s">
        <v>426</v>
      </c>
      <c r="D104" s="12" t="s">
        <v>427</v>
      </c>
      <c r="E104" s="12">
        <v>500073369</v>
      </c>
      <c r="F104" s="12" t="s">
        <v>305</v>
      </c>
      <c r="G104" s="12" t="s">
        <v>350</v>
      </c>
      <c r="H104" s="12" t="s">
        <v>96</v>
      </c>
      <c r="I104" s="12" t="s">
        <v>92</v>
      </c>
      <c r="J104" s="12" t="s">
        <v>92</v>
      </c>
      <c r="K104" s="12">
        <v>0</v>
      </c>
      <c r="L104" s="12">
        <v>1</v>
      </c>
      <c r="M104" s="12">
        <v>1</v>
      </c>
      <c r="N104" s="12">
        <v>1</v>
      </c>
      <c r="O104" s="12">
        <v>0</v>
      </c>
      <c r="P104" s="12">
        <v>0</v>
      </c>
      <c r="Q104" s="12">
        <v>0</v>
      </c>
    </row>
    <row r="105" spans="2:17" ht="17" x14ac:dyDescent="0.35">
      <c r="B105" s="12">
        <v>103</v>
      </c>
      <c r="C105" s="12" t="s">
        <v>428</v>
      </c>
      <c r="D105" s="12" t="s">
        <v>429</v>
      </c>
      <c r="E105" s="12">
        <v>8690563678</v>
      </c>
      <c r="F105" s="12" t="s">
        <v>305</v>
      </c>
      <c r="G105" s="12" t="s">
        <v>350</v>
      </c>
      <c r="H105" s="12" t="s">
        <v>38</v>
      </c>
      <c r="I105" s="12" t="s">
        <v>38</v>
      </c>
      <c r="J105" s="12" t="s">
        <v>38</v>
      </c>
      <c r="K105" s="12">
        <v>1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</row>
    <row r="106" spans="2:17" ht="17" x14ac:dyDescent="0.35">
      <c r="B106" s="12">
        <v>104</v>
      </c>
      <c r="C106" s="12" t="s">
        <v>430</v>
      </c>
      <c r="D106" s="12" t="s">
        <v>503</v>
      </c>
      <c r="E106" s="12"/>
      <c r="F106" s="12"/>
      <c r="G106" s="12" t="s">
        <v>350</v>
      </c>
      <c r="H106" s="12" t="s">
        <v>40</v>
      </c>
      <c r="I106" s="12" t="s">
        <v>135</v>
      </c>
      <c r="J106" s="12" t="s">
        <v>40</v>
      </c>
      <c r="K106" s="12">
        <v>1</v>
      </c>
      <c r="L106" s="12">
        <v>1</v>
      </c>
      <c r="M106" s="12">
        <v>1</v>
      </c>
      <c r="N106" s="12">
        <v>1</v>
      </c>
      <c r="O106" s="12">
        <v>1</v>
      </c>
      <c r="P106" s="12">
        <v>1</v>
      </c>
      <c r="Q106" s="12">
        <v>1</v>
      </c>
    </row>
    <row r="107" spans="2:17" ht="17" x14ac:dyDescent="0.35">
      <c r="B107" s="12">
        <v>105</v>
      </c>
      <c r="C107" s="12" t="s">
        <v>431</v>
      </c>
      <c r="D107" s="12" t="s">
        <v>504</v>
      </c>
      <c r="E107" s="12"/>
      <c r="F107" s="12" t="s">
        <v>305</v>
      </c>
      <c r="G107" s="12" t="s">
        <v>350</v>
      </c>
      <c r="H107" s="12" t="s">
        <v>40</v>
      </c>
      <c r="I107" s="12" t="s">
        <v>135</v>
      </c>
      <c r="J107" s="12" t="s">
        <v>40</v>
      </c>
      <c r="K107" s="12">
        <v>1</v>
      </c>
      <c r="L107" s="12">
        <v>1</v>
      </c>
      <c r="M107" s="12">
        <v>1</v>
      </c>
      <c r="N107" s="12">
        <v>1</v>
      </c>
      <c r="O107" s="12">
        <v>1</v>
      </c>
      <c r="P107" s="12">
        <v>1</v>
      </c>
      <c r="Q107" s="12">
        <v>1</v>
      </c>
    </row>
    <row r="108" spans="2:17" ht="17" x14ac:dyDescent="0.35">
      <c r="B108" s="12">
        <v>106</v>
      </c>
      <c r="C108" s="12" t="s">
        <v>432</v>
      </c>
      <c r="D108" s="12" t="s">
        <v>433</v>
      </c>
      <c r="E108" s="12" t="s">
        <v>434</v>
      </c>
      <c r="F108" s="12" t="s">
        <v>305</v>
      </c>
      <c r="G108" s="12" t="s">
        <v>350</v>
      </c>
      <c r="H108" s="12" t="s">
        <v>40</v>
      </c>
      <c r="I108" s="12" t="s">
        <v>134</v>
      </c>
      <c r="J108" s="12" t="s">
        <v>40</v>
      </c>
      <c r="K108" s="12">
        <v>1</v>
      </c>
      <c r="L108" s="12">
        <v>1</v>
      </c>
      <c r="M108" s="12">
        <v>1</v>
      </c>
      <c r="N108" s="12">
        <v>1</v>
      </c>
      <c r="O108" s="12">
        <v>1</v>
      </c>
      <c r="P108" s="12">
        <v>1</v>
      </c>
      <c r="Q108" s="12">
        <v>1</v>
      </c>
    </row>
    <row r="109" spans="2:17" ht="17" x14ac:dyDescent="0.35">
      <c r="B109" s="12">
        <v>107</v>
      </c>
      <c r="C109" s="12" t="s">
        <v>435</v>
      </c>
      <c r="D109" s="12" t="s">
        <v>436</v>
      </c>
      <c r="E109" s="12" t="s">
        <v>437</v>
      </c>
      <c r="F109" s="12" t="s">
        <v>305</v>
      </c>
      <c r="G109" s="12" t="s">
        <v>350</v>
      </c>
      <c r="H109" s="12" t="s">
        <v>40</v>
      </c>
      <c r="I109" s="12" t="s">
        <v>43</v>
      </c>
      <c r="J109" s="12" t="s">
        <v>40</v>
      </c>
      <c r="K109" s="12">
        <v>1</v>
      </c>
      <c r="L109" s="12">
        <v>1</v>
      </c>
      <c r="M109" s="12">
        <v>1</v>
      </c>
      <c r="N109" s="12">
        <v>1</v>
      </c>
      <c r="O109" s="12">
        <v>1</v>
      </c>
      <c r="P109" s="12">
        <v>1</v>
      </c>
      <c r="Q109" s="12">
        <v>1</v>
      </c>
    </row>
    <row r="110" spans="2:17" ht="17" x14ac:dyDescent="0.35">
      <c r="B110" s="12">
        <v>108</v>
      </c>
      <c r="C110" s="12" t="s">
        <v>438</v>
      </c>
      <c r="D110" s="12" t="s">
        <v>505</v>
      </c>
      <c r="E110" s="12"/>
      <c r="F110" s="12" t="s">
        <v>305</v>
      </c>
      <c r="G110" s="12" t="s">
        <v>350</v>
      </c>
      <c r="H110" s="12" t="s">
        <v>96</v>
      </c>
      <c r="I110" s="12" t="s">
        <v>92</v>
      </c>
      <c r="J110" s="12" t="s">
        <v>92</v>
      </c>
      <c r="K110" s="12">
        <v>1</v>
      </c>
      <c r="L110" s="12">
        <v>1</v>
      </c>
      <c r="M110" s="12">
        <v>1</v>
      </c>
      <c r="N110" s="12">
        <v>0</v>
      </c>
      <c r="O110" s="12">
        <v>1</v>
      </c>
      <c r="P110" s="12">
        <v>0</v>
      </c>
      <c r="Q110" s="12">
        <v>0</v>
      </c>
    </row>
    <row r="111" spans="2:17" ht="17" x14ac:dyDescent="0.35">
      <c r="B111" s="12">
        <v>109</v>
      </c>
      <c r="C111" s="12" t="s">
        <v>439</v>
      </c>
      <c r="D111" s="12" t="s">
        <v>440</v>
      </c>
      <c r="E111" s="12" t="s">
        <v>441</v>
      </c>
      <c r="F111" s="12" t="s">
        <v>305</v>
      </c>
      <c r="G111" s="12" t="s">
        <v>350</v>
      </c>
      <c r="H111" s="12" t="s">
        <v>40</v>
      </c>
      <c r="I111" s="12" t="s">
        <v>135</v>
      </c>
      <c r="J111" s="12" t="s">
        <v>40</v>
      </c>
      <c r="K111" s="12">
        <v>1</v>
      </c>
      <c r="L111" s="12">
        <v>1</v>
      </c>
      <c r="M111" s="12">
        <v>1</v>
      </c>
      <c r="N111" s="12">
        <v>1</v>
      </c>
      <c r="O111" s="12">
        <v>1</v>
      </c>
      <c r="P111" s="12">
        <v>1</v>
      </c>
      <c r="Q111" s="12">
        <v>1</v>
      </c>
    </row>
    <row r="112" spans="2:17" ht="17" x14ac:dyDescent="0.35">
      <c r="B112" s="12">
        <v>110</v>
      </c>
      <c r="C112" s="12" t="s">
        <v>442</v>
      </c>
      <c r="D112" s="12" t="s">
        <v>443</v>
      </c>
      <c r="E112" s="12" t="s">
        <v>444</v>
      </c>
      <c r="F112" s="12" t="s">
        <v>305</v>
      </c>
      <c r="G112" s="12" t="s">
        <v>350</v>
      </c>
      <c r="H112" s="12" t="s">
        <v>40</v>
      </c>
      <c r="I112" s="12" t="s">
        <v>39</v>
      </c>
      <c r="J112" s="12" t="s">
        <v>40</v>
      </c>
      <c r="K112" s="12">
        <v>1</v>
      </c>
      <c r="L112" s="12">
        <v>1</v>
      </c>
      <c r="M112" s="12">
        <v>1</v>
      </c>
      <c r="N112" s="12">
        <v>1</v>
      </c>
      <c r="O112" s="12">
        <v>1</v>
      </c>
      <c r="P112" s="12">
        <v>1</v>
      </c>
      <c r="Q112" s="12">
        <v>1</v>
      </c>
    </row>
    <row r="113" spans="2:17" ht="17" x14ac:dyDescent="0.35">
      <c r="B113" s="12">
        <v>111</v>
      </c>
      <c r="C113" s="12" t="s">
        <v>445</v>
      </c>
      <c r="D113" s="12" t="s">
        <v>446</v>
      </c>
      <c r="E113" s="12" t="s">
        <v>447</v>
      </c>
      <c r="F113" s="12" t="s">
        <v>305</v>
      </c>
      <c r="G113" s="12" t="s">
        <v>350</v>
      </c>
      <c r="H113" s="12" t="s">
        <v>40</v>
      </c>
      <c r="I113" s="12" t="s">
        <v>43</v>
      </c>
      <c r="J113" s="12" t="s">
        <v>40</v>
      </c>
      <c r="K113" s="12">
        <v>1</v>
      </c>
      <c r="L113" s="12">
        <v>1</v>
      </c>
      <c r="M113" s="12">
        <v>1</v>
      </c>
      <c r="N113" s="12">
        <v>1</v>
      </c>
      <c r="O113" s="12">
        <v>1</v>
      </c>
      <c r="P113" s="12">
        <v>1</v>
      </c>
      <c r="Q113" s="12">
        <v>1</v>
      </c>
    </row>
    <row r="114" spans="2:17" ht="17" x14ac:dyDescent="0.35">
      <c r="B114" s="12">
        <v>112</v>
      </c>
      <c r="C114" s="12" t="s">
        <v>448</v>
      </c>
      <c r="D114" s="12" t="s">
        <v>449</v>
      </c>
      <c r="E114" s="12" t="s">
        <v>450</v>
      </c>
      <c r="F114" s="12" t="s">
        <v>305</v>
      </c>
      <c r="G114" s="12" t="s">
        <v>350</v>
      </c>
      <c r="H114" s="12" t="s">
        <v>40</v>
      </c>
      <c r="I114" s="12" t="s">
        <v>135</v>
      </c>
      <c r="J114" s="12" t="s">
        <v>40</v>
      </c>
      <c r="K114" s="12">
        <v>1</v>
      </c>
      <c r="L114" s="12">
        <v>1</v>
      </c>
      <c r="M114" s="12">
        <v>1</v>
      </c>
      <c r="N114" s="12">
        <v>1</v>
      </c>
      <c r="O114" s="12">
        <v>1</v>
      </c>
      <c r="P114" s="12">
        <v>1</v>
      </c>
      <c r="Q114" s="12">
        <v>1</v>
      </c>
    </row>
    <row r="115" spans="2:17" ht="17" x14ac:dyDescent="0.35">
      <c r="B115" s="12">
        <v>113</v>
      </c>
      <c r="C115" s="12" t="s">
        <v>451</v>
      </c>
      <c r="D115" s="12" t="s">
        <v>403</v>
      </c>
      <c r="E115" s="12"/>
      <c r="F115" s="12" t="s">
        <v>305</v>
      </c>
      <c r="G115" s="12" t="s">
        <v>350</v>
      </c>
      <c r="H115" s="12" t="s">
        <v>96</v>
      </c>
      <c r="I115" s="12" t="s">
        <v>92</v>
      </c>
      <c r="J115" s="12" t="s">
        <v>92</v>
      </c>
      <c r="K115" s="12">
        <v>0</v>
      </c>
      <c r="L115" s="12">
        <v>1</v>
      </c>
      <c r="M115" s="12">
        <v>1</v>
      </c>
      <c r="N115" s="12">
        <v>1</v>
      </c>
      <c r="O115" s="12">
        <v>0</v>
      </c>
      <c r="P115" s="12">
        <v>0</v>
      </c>
      <c r="Q115" s="12">
        <v>0</v>
      </c>
    </row>
    <row r="116" spans="2:17" ht="17" x14ac:dyDescent="0.35">
      <c r="B116" s="12">
        <v>114</v>
      </c>
      <c r="C116" s="12" t="s">
        <v>452</v>
      </c>
      <c r="D116" s="12" t="s">
        <v>453</v>
      </c>
      <c r="E116" s="12"/>
      <c r="F116" s="12" t="s">
        <v>305</v>
      </c>
      <c r="G116" s="12" t="s">
        <v>350</v>
      </c>
      <c r="H116" s="12" t="s">
        <v>96</v>
      </c>
      <c r="I116" s="12" t="s">
        <v>92</v>
      </c>
      <c r="J116" s="12" t="s">
        <v>92</v>
      </c>
      <c r="K116" s="12">
        <v>1</v>
      </c>
      <c r="L116" s="12">
        <v>1</v>
      </c>
      <c r="M116" s="12">
        <v>1</v>
      </c>
      <c r="N116" s="12">
        <v>1</v>
      </c>
      <c r="O116" s="12">
        <v>1</v>
      </c>
      <c r="P116" s="12">
        <v>1</v>
      </c>
      <c r="Q116" s="12">
        <v>0</v>
      </c>
    </row>
    <row r="117" spans="2:17" ht="17" x14ac:dyDescent="0.35">
      <c r="B117" s="12">
        <v>115</v>
      </c>
      <c r="C117" s="12" t="s">
        <v>454</v>
      </c>
      <c r="D117" s="12" t="s">
        <v>455</v>
      </c>
      <c r="E117" s="12"/>
      <c r="F117" s="12" t="s">
        <v>305</v>
      </c>
      <c r="G117" s="12" t="s">
        <v>350</v>
      </c>
      <c r="H117" s="12" t="s">
        <v>96</v>
      </c>
      <c r="I117" s="12" t="s">
        <v>92</v>
      </c>
      <c r="J117" s="12" t="s">
        <v>92</v>
      </c>
      <c r="K117" s="12">
        <v>1</v>
      </c>
      <c r="L117" s="12">
        <v>1</v>
      </c>
      <c r="M117" s="12">
        <v>1</v>
      </c>
      <c r="N117" s="12">
        <v>1</v>
      </c>
      <c r="O117" s="12">
        <v>1</v>
      </c>
      <c r="P117" s="12">
        <v>0</v>
      </c>
      <c r="Q117" s="12">
        <v>0</v>
      </c>
    </row>
    <row r="118" spans="2:17" ht="17" x14ac:dyDescent="0.35">
      <c r="B118" s="12">
        <v>116</v>
      </c>
      <c r="C118" s="12" t="s">
        <v>456</v>
      </c>
      <c r="D118" s="12" t="s">
        <v>457</v>
      </c>
      <c r="E118" s="12" t="s">
        <v>458</v>
      </c>
      <c r="F118" s="12" t="s">
        <v>305</v>
      </c>
      <c r="G118" s="12" t="s">
        <v>350</v>
      </c>
      <c r="H118" s="12" t="s">
        <v>40</v>
      </c>
      <c r="I118" s="12" t="s">
        <v>134</v>
      </c>
      <c r="J118" s="12" t="s">
        <v>40</v>
      </c>
      <c r="K118" s="12">
        <v>1</v>
      </c>
      <c r="L118" s="12">
        <v>1</v>
      </c>
      <c r="M118" s="12">
        <v>1</v>
      </c>
      <c r="N118" s="12">
        <v>1</v>
      </c>
      <c r="O118" s="12">
        <v>1</v>
      </c>
      <c r="P118" s="12">
        <v>1</v>
      </c>
      <c r="Q118" s="12">
        <v>1</v>
      </c>
    </row>
    <row r="119" spans="2:17" ht="17" x14ac:dyDescent="0.35">
      <c r="B119" s="12">
        <v>117</v>
      </c>
      <c r="C119" s="12" t="s">
        <v>459</v>
      </c>
      <c r="D119" s="12" t="s">
        <v>460</v>
      </c>
      <c r="E119" s="12" t="s">
        <v>461</v>
      </c>
      <c r="F119" s="12" t="s">
        <v>305</v>
      </c>
      <c r="G119" s="12" t="s">
        <v>350</v>
      </c>
      <c r="H119" s="12" t="s">
        <v>40</v>
      </c>
      <c r="I119" s="12" t="s">
        <v>501</v>
      </c>
      <c r="J119" s="12" t="s">
        <v>40</v>
      </c>
      <c r="K119" s="12">
        <v>1</v>
      </c>
      <c r="L119" s="12">
        <v>1</v>
      </c>
      <c r="M119" s="12">
        <v>1</v>
      </c>
      <c r="N119" s="12">
        <v>1</v>
      </c>
      <c r="O119" s="12">
        <v>1</v>
      </c>
      <c r="P119" s="12">
        <v>1</v>
      </c>
      <c r="Q119" s="12">
        <v>1</v>
      </c>
    </row>
    <row r="120" spans="2:17" ht="17" x14ac:dyDescent="0.35">
      <c r="B120" s="12">
        <v>118</v>
      </c>
      <c r="C120" s="12" t="s">
        <v>462</v>
      </c>
      <c r="D120" s="12" t="s">
        <v>463</v>
      </c>
      <c r="E120" s="12" t="s">
        <v>464</v>
      </c>
      <c r="F120" s="12" t="s">
        <v>305</v>
      </c>
      <c r="G120" s="12" t="s">
        <v>350</v>
      </c>
      <c r="H120" s="12" t="s">
        <v>40</v>
      </c>
      <c r="I120" s="12" t="s">
        <v>135</v>
      </c>
      <c r="J120" s="12" t="s">
        <v>40</v>
      </c>
      <c r="K120" s="12">
        <v>1</v>
      </c>
      <c r="L120" s="12">
        <v>1</v>
      </c>
      <c r="M120" s="12">
        <v>1</v>
      </c>
      <c r="N120" s="12">
        <v>1</v>
      </c>
      <c r="O120" s="12">
        <v>1</v>
      </c>
      <c r="P120" s="12">
        <v>1</v>
      </c>
      <c r="Q120" s="12">
        <v>1</v>
      </c>
    </row>
    <row r="121" spans="2:17" ht="17" x14ac:dyDescent="0.35">
      <c r="B121" s="12">
        <v>119</v>
      </c>
      <c r="C121" s="12" t="s">
        <v>506</v>
      </c>
      <c r="D121" s="12" t="s">
        <v>465</v>
      </c>
      <c r="E121" s="12" t="s">
        <v>466</v>
      </c>
      <c r="F121" s="12" t="s">
        <v>207</v>
      </c>
      <c r="G121" s="12" t="s">
        <v>350</v>
      </c>
      <c r="H121" s="12" t="s">
        <v>40</v>
      </c>
      <c r="I121" s="12" t="s">
        <v>135</v>
      </c>
      <c r="J121" s="12" t="s">
        <v>40</v>
      </c>
      <c r="K121" s="12">
        <v>1</v>
      </c>
      <c r="L121" s="12">
        <v>1</v>
      </c>
      <c r="M121" s="12">
        <v>1</v>
      </c>
      <c r="N121" s="12">
        <v>1</v>
      </c>
      <c r="O121" s="12">
        <v>1</v>
      </c>
      <c r="P121" s="12">
        <v>1</v>
      </c>
      <c r="Q121" s="12">
        <v>1</v>
      </c>
    </row>
    <row r="122" spans="2:17" ht="17" x14ac:dyDescent="0.35">
      <c r="B122" s="12">
        <v>120</v>
      </c>
      <c r="C122" s="12" t="s">
        <v>467</v>
      </c>
      <c r="D122" s="12"/>
      <c r="E122" s="12"/>
      <c r="F122" s="12" t="s">
        <v>207</v>
      </c>
      <c r="G122" s="12" t="s">
        <v>350</v>
      </c>
      <c r="H122" s="12" t="s">
        <v>96</v>
      </c>
      <c r="I122" s="12" t="s">
        <v>92</v>
      </c>
      <c r="J122" s="12" t="s">
        <v>92</v>
      </c>
      <c r="K122" s="12">
        <v>1</v>
      </c>
      <c r="L122" s="12">
        <v>1</v>
      </c>
      <c r="M122" s="12">
        <v>1</v>
      </c>
      <c r="N122" s="12">
        <v>1</v>
      </c>
      <c r="O122" s="12">
        <v>1</v>
      </c>
      <c r="P122" s="12">
        <v>1</v>
      </c>
      <c r="Q122" s="12">
        <v>0</v>
      </c>
    </row>
    <row r="123" spans="2:17" ht="17" x14ac:dyDescent="0.35">
      <c r="B123" s="12">
        <v>121</v>
      </c>
      <c r="C123" s="12" t="s">
        <v>507</v>
      </c>
      <c r="D123" s="12" t="s">
        <v>468</v>
      </c>
      <c r="E123" s="12" t="s">
        <v>469</v>
      </c>
      <c r="F123" s="12" t="s">
        <v>305</v>
      </c>
      <c r="G123" s="12" t="s">
        <v>350</v>
      </c>
      <c r="H123" s="12" t="s">
        <v>40</v>
      </c>
      <c r="I123" s="12" t="s">
        <v>135</v>
      </c>
      <c r="J123" s="12" t="s">
        <v>40</v>
      </c>
      <c r="K123" s="12">
        <v>1</v>
      </c>
      <c r="L123" s="12">
        <v>1</v>
      </c>
      <c r="M123" s="12">
        <v>1</v>
      </c>
      <c r="N123" s="12">
        <v>1</v>
      </c>
      <c r="O123" s="12">
        <v>1</v>
      </c>
      <c r="P123" s="12">
        <v>1</v>
      </c>
      <c r="Q123" s="12">
        <v>1</v>
      </c>
    </row>
    <row r="124" spans="2:17" ht="17" x14ac:dyDescent="0.35">
      <c r="B124" s="12">
        <v>122</v>
      </c>
      <c r="C124" s="12" t="s">
        <v>470</v>
      </c>
      <c r="D124" s="12" t="s">
        <v>471</v>
      </c>
      <c r="E124" s="12" t="s">
        <v>472</v>
      </c>
      <c r="F124" s="12" t="s">
        <v>305</v>
      </c>
      <c r="G124" s="12" t="s">
        <v>350</v>
      </c>
      <c r="H124" s="12" t="s">
        <v>40</v>
      </c>
      <c r="I124" s="12" t="s">
        <v>135</v>
      </c>
      <c r="J124" s="12" t="s">
        <v>40</v>
      </c>
      <c r="K124" s="12">
        <v>1</v>
      </c>
      <c r="L124" s="12">
        <v>1</v>
      </c>
      <c r="M124" s="12">
        <v>1</v>
      </c>
      <c r="N124" s="12">
        <v>1</v>
      </c>
      <c r="O124" s="12">
        <v>1</v>
      </c>
      <c r="P124" s="12">
        <v>1</v>
      </c>
      <c r="Q124" s="12">
        <v>1</v>
      </c>
    </row>
    <row r="125" spans="2:17" ht="17" x14ac:dyDescent="0.35">
      <c r="B125" s="12">
        <v>123</v>
      </c>
      <c r="C125" s="12" t="s">
        <v>473</v>
      </c>
      <c r="D125" s="12"/>
      <c r="E125" s="12"/>
      <c r="F125" s="12" t="s">
        <v>305</v>
      </c>
      <c r="G125" s="12" t="s">
        <v>350</v>
      </c>
      <c r="H125" s="12" t="s">
        <v>96</v>
      </c>
      <c r="I125" s="12" t="s">
        <v>92</v>
      </c>
      <c r="J125" s="12" t="s">
        <v>92</v>
      </c>
      <c r="K125" s="12">
        <v>1</v>
      </c>
      <c r="L125" s="12">
        <v>1</v>
      </c>
      <c r="M125" s="12">
        <v>1</v>
      </c>
      <c r="N125" s="12">
        <v>1</v>
      </c>
      <c r="O125" s="12">
        <v>1</v>
      </c>
      <c r="P125" s="12">
        <v>0</v>
      </c>
      <c r="Q125" s="12">
        <v>0</v>
      </c>
    </row>
    <row r="126" spans="2:17" ht="17" x14ac:dyDescent="0.35">
      <c r="B126" s="12">
        <v>124</v>
      </c>
      <c r="C126" s="12" t="s">
        <v>474</v>
      </c>
      <c r="D126" s="12" t="s">
        <v>475</v>
      </c>
      <c r="E126" s="12" t="s">
        <v>476</v>
      </c>
      <c r="F126" s="12" t="s">
        <v>305</v>
      </c>
      <c r="G126" s="12" t="s">
        <v>350</v>
      </c>
      <c r="H126" s="12" t="s">
        <v>40</v>
      </c>
      <c r="I126" s="12" t="s">
        <v>501</v>
      </c>
      <c r="J126" s="12" t="s">
        <v>40</v>
      </c>
      <c r="K126" s="12">
        <v>1</v>
      </c>
      <c r="L126" s="12">
        <v>1</v>
      </c>
      <c r="M126" s="12">
        <v>1</v>
      </c>
      <c r="N126" s="12">
        <v>1</v>
      </c>
      <c r="O126" s="12">
        <v>1</v>
      </c>
      <c r="P126" s="12">
        <v>1</v>
      </c>
      <c r="Q126" s="12">
        <v>1</v>
      </c>
    </row>
    <row r="127" spans="2:17" ht="17" x14ac:dyDescent="0.35">
      <c r="B127" s="12">
        <v>125</v>
      </c>
      <c r="C127" s="12" t="s">
        <v>477</v>
      </c>
      <c r="D127" s="12" t="s">
        <v>465</v>
      </c>
      <c r="E127" s="12" t="s">
        <v>466</v>
      </c>
      <c r="F127" s="12" t="s">
        <v>305</v>
      </c>
      <c r="G127" s="12" t="s">
        <v>350</v>
      </c>
      <c r="H127" s="12" t="s">
        <v>40</v>
      </c>
      <c r="I127" s="12" t="s">
        <v>135</v>
      </c>
      <c r="J127" s="12" t="s">
        <v>40</v>
      </c>
      <c r="K127" s="12">
        <v>1</v>
      </c>
      <c r="L127" s="12">
        <v>1</v>
      </c>
      <c r="M127" s="12">
        <v>1</v>
      </c>
      <c r="N127" s="12">
        <v>1</v>
      </c>
      <c r="O127" s="12">
        <v>1</v>
      </c>
      <c r="P127" s="12">
        <v>1</v>
      </c>
      <c r="Q127" s="12">
        <v>1</v>
      </c>
    </row>
    <row r="128" spans="2:17" ht="17" x14ac:dyDescent="0.35">
      <c r="B128" s="12">
        <v>126</v>
      </c>
      <c r="C128" s="12" t="s">
        <v>478</v>
      </c>
      <c r="D128" s="12" t="s">
        <v>479</v>
      </c>
      <c r="E128" s="12" t="s">
        <v>480</v>
      </c>
      <c r="F128" s="12" t="s">
        <v>305</v>
      </c>
      <c r="G128" s="12" t="s">
        <v>350</v>
      </c>
      <c r="H128" s="12" t="s">
        <v>40</v>
      </c>
      <c r="I128" s="12" t="s">
        <v>133</v>
      </c>
      <c r="J128" s="12" t="s">
        <v>40</v>
      </c>
      <c r="K128" s="12">
        <v>1</v>
      </c>
      <c r="L128" s="12">
        <v>1</v>
      </c>
      <c r="M128" s="12">
        <v>1</v>
      </c>
      <c r="N128" s="12">
        <v>1</v>
      </c>
      <c r="O128" s="12">
        <v>1</v>
      </c>
      <c r="P128" s="12">
        <v>1</v>
      </c>
      <c r="Q128" s="12">
        <v>1</v>
      </c>
    </row>
    <row r="129" spans="2:17" ht="17" x14ac:dyDescent="0.35">
      <c r="B129" s="12">
        <v>127</v>
      </c>
      <c r="C129" s="12" t="s">
        <v>481</v>
      </c>
      <c r="D129" s="12" t="s">
        <v>482</v>
      </c>
      <c r="E129" s="12" t="s">
        <v>483</v>
      </c>
      <c r="F129" s="12" t="s">
        <v>305</v>
      </c>
      <c r="G129" s="12" t="s">
        <v>350</v>
      </c>
      <c r="H129" s="12" t="s">
        <v>40</v>
      </c>
      <c r="I129" s="12" t="s">
        <v>135</v>
      </c>
      <c r="J129" s="12" t="s">
        <v>40</v>
      </c>
      <c r="K129" s="12">
        <v>1</v>
      </c>
      <c r="L129" s="12">
        <v>1</v>
      </c>
      <c r="M129" s="12">
        <v>1</v>
      </c>
      <c r="N129" s="12">
        <v>1</v>
      </c>
      <c r="O129" s="12">
        <v>1</v>
      </c>
      <c r="P129" s="12">
        <v>1</v>
      </c>
      <c r="Q129" s="12">
        <v>1</v>
      </c>
    </row>
    <row r="130" spans="2:17" ht="17" x14ac:dyDescent="0.35">
      <c r="B130" s="12">
        <v>128</v>
      </c>
      <c r="C130" s="12" t="s">
        <v>484</v>
      </c>
      <c r="D130" s="12" t="s">
        <v>485</v>
      </c>
      <c r="E130" s="12" t="s">
        <v>486</v>
      </c>
      <c r="F130" s="12" t="s">
        <v>305</v>
      </c>
      <c r="G130" s="12" t="s">
        <v>350</v>
      </c>
      <c r="H130" s="12" t="s">
        <v>40</v>
      </c>
      <c r="I130" s="12" t="s">
        <v>43</v>
      </c>
      <c r="J130" s="12" t="s">
        <v>40</v>
      </c>
      <c r="K130" s="12">
        <v>1</v>
      </c>
      <c r="L130" s="12">
        <v>1</v>
      </c>
      <c r="M130" s="12">
        <v>1</v>
      </c>
      <c r="N130" s="12">
        <v>1</v>
      </c>
      <c r="O130" s="12">
        <v>1</v>
      </c>
      <c r="P130" s="12">
        <v>1</v>
      </c>
      <c r="Q130" s="12">
        <v>1</v>
      </c>
    </row>
    <row r="131" spans="2:17" ht="17" x14ac:dyDescent="0.35">
      <c r="B131" s="12">
        <v>129</v>
      </c>
      <c r="C131" s="12" t="s">
        <v>487</v>
      </c>
      <c r="D131" s="12" t="s">
        <v>488</v>
      </c>
      <c r="E131" s="12" t="s">
        <v>489</v>
      </c>
      <c r="F131" s="12" t="s">
        <v>207</v>
      </c>
      <c r="G131" s="12" t="s">
        <v>350</v>
      </c>
      <c r="H131" s="12" t="s">
        <v>96</v>
      </c>
      <c r="I131" s="12" t="s">
        <v>92</v>
      </c>
      <c r="J131" s="12" t="s">
        <v>92</v>
      </c>
      <c r="K131" s="12">
        <v>0</v>
      </c>
      <c r="L131" s="12">
        <v>1</v>
      </c>
      <c r="M131" s="12">
        <v>0</v>
      </c>
      <c r="N131" s="12">
        <v>1</v>
      </c>
      <c r="O131" s="12">
        <v>0</v>
      </c>
      <c r="P131" s="12">
        <v>0</v>
      </c>
      <c r="Q131" s="12">
        <v>0</v>
      </c>
    </row>
    <row r="132" spans="2:17" ht="17" x14ac:dyDescent="0.35">
      <c r="B132" s="12">
        <v>130</v>
      </c>
      <c r="C132" s="12" t="s">
        <v>490</v>
      </c>
      <c r="D132" s="12" t="s">
        <v>491</v>
      </c>
      <c r="E132" s="12">
        <v>547480334</v>
      </c>
      <c r="F132" s="12" t="s">
        <v>305</v>
      </c>
      <c r="G132" s="12" t="s">
        <v>181</v>
      </c>
      <c r="H132" s="12" t="s">
        <v>144</v>
      </c>
      <c r="I132" s="12" t="s">
        <v>144</v>
      </c>
      <c r="J132" s="12" t="s">
        <v>144</v>
      </c>
      <c r="K132" s="12">
        <v>1</v>
      </c>
      <c r="L132" s="12">
        <v>0</v>
      </c>
      <c r="M132" s="12">
        <v>1</v>
      </c>
      <c r="N132" s="12">
        <v>1</v>
      </c>
      <c r="O132" s="12">
        <v>1</v>
      </c>
      <c r="P132" s="12">
        <v>1</v>
      </c>
      <c r="Q132" s="12">
        <v>0</v>
      </c>
    </row>
    <row r="133" spans="2:17" ht="17" x14ac:dyDescent="0.35">
      <c r="B133" s="12">
        <v>131</v>
      </c>
      <c r="C133" s="12" t="s">
        <v>492</v>
      </c>
      <c r="D133" s="12" t="s">
        <v>493</v>
      </c>
      <c r="E133" s="12">
        <v>551259595</v>
      </c>
      <c r="F133" s="12" t="s">
        <v>305</v>
      </c>
      <c r="G133" s="12" t="s">
        <v>181</v>
      </c>
      <c r="H133" s="12" t="s">
        <v>32</v>
      </c>
      <c r="I133" s="12" t="s">
        <v>32</v>
      </c>
      <c r="J133" s="12" t="s">
        <v>32</v>
      </c>
      <c r="K133" s="12">
        <v>1</v>
      </c>
      <c r="L133" s="12">
        <v>1</v>
      </c>
      <c r="M133" s="12">
        <v>1</v>
      </c>
      <c r="N133" s="12">
        <v>1</v>
      </c>
      <c r="O133" s="12">
        <v>1</v>
      </c>
      <c r="P133" s="12">
        <v>1</v>
      </c>
      <c r="Q133" s="12">
        <v>1</v>
      </c>
    </row>
    <row r="134" spans="2:17" ht="17" x14ac:dyDescent="0.35">
      <c r="B134" s="12">
        <v>132</v>
      </c>
      <c r="C134" s="12" t="s">
        <v>494</v>
      </c>
      <c r="D134" s="12" t="s">
        <v>495</v>
      </c>
      <c r="E134" s="12">
        <v>593780900</v>
      </c>
      <c r="F134" s="12" t="s">
        <v>494</v>
      </c>
      <c r="G134" s="12" t="s">
        <v>700</v>
      </c>
      <c r="H134" s="12" t="s">
        <v>100</v>
      </c>
      <c r="I134" s="12" t="s">
        <v>101</v>
      </c>
      <c r="J134" s="12" t="s">
        <v>100</v>
      </c>
      <c r="K134" s="12">
        <v>1</v>
      </c>
      <c r="L134" s="12">
        <v>1</v>
      </c>
      <c r="M134" s="12">
        <v>2</v>
      </c>
      <c r="N134" s="12">
        <v>2</v>
      </c>
      <c r="O134" s="12">
        <v>2</v>
      </c>
      <c r="P134" s="12">
        <v>1</v>
      </c>
      <c r="Q134" s="12">
        <v>0</v>
      </c>
    </row>
    <row r="135" spans="2:17" ht="17" x14ac:dyDescent="0.35">
      <c r="B135" s="12">
        <v>133</v>
      </c>
      <c r="C135" s="12" t="s">
        <v>496</v>
      </c>
      <c r="D135" s="12" t="s">
        <v>497</v>
      </c>
      <c r="E135" s="12">
        <v>532634501</v>
      </c>
      <c r="F135" s="12" t="s">
        <v>498</v>
      </c>
      <c r="G135" s="12" t="s">
        <v>181</v>
      </c>
      <c r="H135" s="12" t="s">
        <v>40</v>
      </c>
      <c r="I135" s="12" t="s">
        <v>136</v>
      </c>
      <c r="J135" s="12" t="s">
        <v>40</v>
      </c>
      <c r="K135" s="12">
        <v>1</v>
      </c>
      <c r="L135" s="12">
        <v>1</v>
      </c>
      <c r="M135" s="12">
        <v>1</v>
      </c>
      <c r="N135" s="12">
        <v>1</v>
      </c>
      <c r="O135" s="12">
        <v>1</v>
      </c>
      <c r="P135" s="12">
        <v>1</v>
      </c>
      <c r="Q135" s="12">
        <v>0</v>
      </c>
    </row>
    <row r="136" spans="2:17" ht="17" x14ac:dyDescent="0.35">
      <c r="B136" s="12">
        <v>134</v>
      </c>
      <c r="C136" s="12" t="s">
        <v>499</v>
      </c>
      <c r="D136" s="12" t="s">
        <v>500</v>
      </c>
      <c r="E136" s="12">
        <v>583210955</v>
      </c>
      <c r="F136" s="12" t="s">
        <v>305</v>
      </c>
      <c r="G136" s="12" t="s">
        <v>700</v>
      </c>
      <c r="H136" s="12" t="s">
        <v>87</v>
      </c>
      <c r="I136" s="12" t="s">
        <v>87</v>
      </c>
      <c r="J136" s="12" t="s">
        <v>87</v>
      </c>
      <c r="K136" s="12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</row>
    <row r="137" spans="2:17" ht="17" x14ac:dyDescent="0.35">
      <c r="B137" s="12">
        <v>135</v>
      </c>
      <c r="C137" s="12" t="s">
        <v>508</v>
      </c>
      <c r="D137" s="12" t="s">
        <v>509</v>
      </c>
      <c r="E137" s="12">
        <v>546403008</v>
      </c>
      <c r="F137" s="12" t="s">
        <v>298</v>
      </c>
      <c r="G137" s="12" t="s">
        <v>700</v>
      </c>
      <c r="H137" s="12" t="s">
        <v>144</v>
      </c>
      <c r="I137" s="12" t="s">
        <v>30</v>
      </c>
      <c r="J137" s="12" t="s">
        <v>30</v>
      </c>
      <c r="K137" s="12">
        <v>1</v>
      </c>
      <c r="L137" s="12">
        <v>1</v>
      </c>
      <c r="M137" s="12">
        <v>0</v>
      </c>
      <c r="N137" s="12">
        <v>1</v>
      </c>
      <c r="O137" s="12">
        <v>1</v>
      </c>
      <c r="P137" s="12">
        <v>1</v>
      </c>
      <c r="Q137" s="12">
        <v>0</v>
      </c>
    </row>
    <row r="138" spans="2:17" ht="17" x14ac:dyDescent="0.35">
      <c r="B138" s="12">
        <v>136</v>
      </c>
      <c r="C138" s="12" t="s">
        <v>510</v>
      </c>
      <c r="D138" s="12" t="s">
        <v>511</v>
      </c>
      <c r="E138" s="12">
        <v>544122128</v>
      </c>
      <c r="F138" s="12" t="s">
        <v>512</v>
      </c>
      <c r="G138" s="12" t="s">
        <v>700</v>
      </c>
      <c r="H138" s="12" t="s">
        <v>38</v>
      </c>
      <c r="I138" s="12" t="s">
        <v>38</v>
      </c>
      <c r="J138" s="12" t="s">
        <v>38</v>
      </c>
      <c r="K138" s="12">
        <v>1</v>
      </c>
      <c r="L138" s="12">
        <v>0</v>
      </c>
      <c r="M138" s="12">
        <v>1</v>
      </c>
      <c r="N138" s="12">
        <v>1</v>
      </c>
      <c r="O138" s="12">
        <v>1</v>
      </c>
      <c r="P138" s="12">
        <v>1</v>
      </c>
      <c r="Q138" s="12">
        <v>1</v>
      </c>
    </row>
    <row r="139" spans="2:17" ht="17" x14ac:dyDescent="0.35">
      <c r="B139" s="12">
        <v>137</v>
      </c>
      <c r="C139" s="12" t="s">
        <v>513</v>
      </c>
      <c r="D139" s="12" t="s">
        <v>514</v>
      </c>
      <c r="E139" s="12">
        <v>590203553</v>
      </c>
      <c r="F139" s="12" t="s">
        <v>399</v>
      </c>
      <c r="G139" s="12" t="s">
        <v>700</v>
      </c>
      <c r="H139" s="12" t="s">
        <v>87</v>
      </c>
      <c r="I139" s="12" t="s">
        <v>87</v>
      </c>
      <c r="J139" s="12" t="s">
        <v>87</v>
      </c>
      <c r="K139" s="12">
        <v>1</v>
      </c>
      <c r="L139" s="12">
        <v>0</v>
      </c>
      <c r="M139" s="12">
        <v>1</v>
      </c>
      <c r="N139" s="12">
        <v>0</v>
      </c>
      <c r="O139" s="12">
        <v>0</v>
      </c>
      <c r="P139" s="12">
        <v>0</v>
      </c>
      <c r="Q139" s="12">
        <v>0</v>
      </c>
    </row>
    <row r="140" spans="2:17" ht="17" x14ac:dyDescent="0.35">
      <c r="B140" s="12">
        <v>138</v>
      </c>
      <c r="C140" s="12" t="s">
        <v>515</v>
      </c>
      <c r="D140" s="12" t="s">
        <v>516</v>
      </c>
      <c r="E140" s="12">
        <v>541715198</v>
      </c>
      <c r="F140" s="12" t="s">
        <v>305</v>
      </c>
      <c r="G140" s="12" t="s">
        <v>700</v>
      </c>
      <c r="H140" s="12" t="s">
        <v>96</v>
      </c>
      <c r="I140" s="12" t="s">
        <v>118</v>
      </c>
      <c r="J140" s="12" t="s">
        <v>96</v>
      </c>
      <c r="K140" s="12">
        <v>1</v>
      </c>
      <c r="L140" s="12">
        <v>1</v>
      </c>
      <c r="M140" s="12">
        <v>1</v>
      </c>
      <c r="N140" s="12">
        <v>1</v>
      </c>
      <c r="O140" s="12">
        <v>1</v>
      </c>
      <c r="P140" s="12">
        <v>1</v>
      </c>
      <c r="Q140" s="12">
        <v>1</v>
      </c>
    </row>
    <row r="141" spans="2:17" ht="17" x14ac:dyDescent="0.35">
      <c r="B141" s="12">
        <v>139</v>
      </c>
      <c r="C141" s="12" t="s">
        <v>517</v>
      </c>
      <c r="D141" s="12" t="s">
        <v>518</v>
      </c>
      <c r="E141" s="12">
        <v>505121592</v>
      </c>
      <c r="F141" s="12" t="s">
        <v>517</v>
      </c>
      <c r="G141" s="12" t="s">
        <v>181</v>
      </c>
      <c r="H141" s="12" t="s">
        <v>38</v>
      </c>
      <c r="I141" s="12" t="s">
        <v>131</v>
      </c>
      <c r="J141" s="12" t="s">
        <v>52</v>
      </c>
      <c r="K141" s="12">
        <v>0</v>
      </c>
      <c r="L141" s="12">
        <v>0</v>
      </c>
      <c r="M141" s="12">
        <v>1</v>
      </c>
      <c r="N141" s="12">
        <v>0</v>
      </c>
      <c r="O141" s="12">
        <v>0</v>
      </c>
      <c r="P141" s="12">
        <v>0</v>
      </c>
      <c r="Q141" s="12">
        <v>0</v>
      </c>
    </row>
    <row r="142" spans="2:17" ht="17" x14ac:dyDescent="0.35">
      <c r="B142" s="12">
        <v>140</v>
      </c>
      <c r="C142" s="12" t="s">
        <v>519</v>
      </c>
      <c r="D142" s="12" t="s">
        <v>520</v>
      </c>
      <c r="E142" s="12">
        <v>504888908</v>
      </c>
      <c r="F142" s="12" t="s">
        <v>519</v>
      </c>
      <c r="G142" s="12" t="s">
        <v>181</v>
      </c>
      <c r="H142" s="12" t="s">
        <v>97</v>
      </c>
      <c r="I142" s="12" t="s">
        <v>120</v>
      </c>
      <c r="J142" s="12" t="s">
        <v>97</v>
      </c>
      <c r="K142" s="12">
        <v>1</v>
      </c>
      <c r="L142" s="12">
        <v>1</v>
      </c>
      <c r="M142" s="12">
        <v>1</v>
      </c>
      <c r="N142" s="12">
        <v>1</v>
      </c>
      <c r="O142" s="12">
        <v>0</v>
      </c>
      <c r="P142" s="12">
        <v>0</v>
      </c>
      <c r="Q142" s="12">
        <v>0</v>
      </c>
    </row>
    <row r="143" spans="2:17" ht="17" x14ac:dyDescent="0.35">
      <c r="B143" s="12">
        <v>141</v>
      </c>
      <c r="C143" s="12" t="s">
        <v>521</v>
      </c>
      <c r="D143" s="12" t="s">
        <v>522</v>
      </c>
      <c r="E143" s="12">
        <v>503041496</v>
      </c>
      <c r="F143" s="12" t="s">
        <v>207</v>
      </c>
      <c r="G143" s="12" t="s">
        <v>350</v>
      </c>
      <c r="H143" s="12" t="s">
        <v>144</v>
      </c>
      <c r="I143" s="12" t="s">
        <v>18</v>
      </c>
      <c r="J143" s="12" t="s">
        <v>18</v>
      </c>
      <c r="K143" s="12">
        <v>0</v>
      </c>
      <c r="L143" s="12">
        <v>1</v>
      </c>
      <c r="M143" s="12">
        <v>0</v>
      </c>
      <c r="N143" s="12">
        <v>1</v>
      </c>
      <c r="O143" s="12">
        <v>1</v>
      </c>
      <c r="P143" s="12">
        <v>0</v>
      </c>
      <c r="Q143" s="12">
        <v>0</v>
      </c>
    </row>
    <row r="144" spans="2:17" ht="17" x14ac:dyDescent="0.35">
      <c r="B144" s="12">
        <v>142</v>
      </c>
      <c r="C144" s="12" t="s">
        <v>523</v>
      </c>
      <c r="D144" s="12" t="s">
        <v>524</v>
      </c>
      <c r="E144" s="12">
        <v>568608087</v>
      </c>
      <c r="F144" s="12" t="s">
        <v>523</v>
      </c>
      <c r="G144" s="12" t="s">
        <v>181</v>
      </c>
      <c r="H144" s="12" t="s">
        <v>40</v>
      </c>
      <c r="I144" s="12" t="s">
        <v>501</v>
      </c>
      <c r="J144" s="12" t="s">
        <v>40</v>
      </c>
      <c r="K144" s="12">
        <v>0</v>
      </c>
      <c r="L144" s="12">
        <v>0</v>
      </c>
      <c r="M144" s="12">
        <v>2</v>
      </c>
      <c r="N144" s="12">
        <v>2</v>
      </c>
      <c r="O144" s="12">
        <v>2</v>
      </c>
      <c r="P144" s="12">
        <v>0</v>
      </c>
      <c r="Q144" s="12">
        <v>0</v>
      </c>
    </row>
    <row r="145" spans="2:17" ht="17" x14ac:dyDescent="0.35">
      <c r="B145" s="12">
        <v>143</v>
      </c>
      <c r="C145" s="12" t="s">
        <v>525</v>
      </c>
      <c r="D145" s="12" t="s">
        <v>526</v>
      </c>
      <c r="E145" s="12">
        <v>503101442</v>
      </c>
      <c r="F145" s="12" t="s">
        <v>527</v>
      </c>
      <c r="G145" s="12" t="s">
        <v>700</v>
      </c>
      <c r="H145" s="12" t="s">
        <v>144</v>
      </c>
      <c r="I145" s="12" t="s">
        <v>18</v>
      </c>
      <c r="J145" s="12" t="s">
        <v>18</v>
      </c>
      <c r="K145" s="12">
        <v>1</v>
      </c>
      <c r="L145" s="12">
        <v>1</v>
      </c>
      <c r="M145" s="12">
        <v>1</v>
      </c>
      <c r="N145" s="12">
        <v>1</v>
      </c>
      <c r="O145" s="12">
        <v>1</v>
      </c>
      <c r="P145" s="12">
        <v>1</v>
      </c>
      <c r="Q145" s="12">
        <v>1</v>
      </c>
    </row>
    <row r="146" spans="2:17" ht="17" x14ac:dyDescent="0.35">
      <c r="B146" s="12">
        <v>144</v>
      </c>
      <c r="C146" s="12" t="s">
        <v>528</v>
      </c>
      <c r="D146" s="12" t="s">
        <v>529</v>
      </c>
      <c r="E146" s="12">
        <v>545908100</v>
      </c>
      <c r="F146" s="12" t="s">
        <v>530</v>
      </c>
      <c r="G146" s="12" t="s">
        <v>700</v>
      </c>
      <c r="H146" s="12" t="s">
        <v>97</v>
      </c>
      <c r="I146" s="12" t="s">
        <v>120</v>
      </c>
      <c r="J146" s="12" t="s">
        <v>97</v>
      </c>
      <c r="K146" s="12">
        <v>0</v>
      </c>
      <c r="L146" s="12">
        <v>1</v>
      </c>
      <c r="M146" s="12">
        <v>1</v>
      </c>
      <c r="N146" s="12">
        <v>1</v>
      </c>
      <c r="O146" s="12">
        <v>3</v>
      </c>
      <c r="P146" s="12">
        <v>1</v>
      </c>
      <c r="Q146" s="12">
        <v>0</v>
      </c>
    </row>
    <row r="147" spans="2:17" ht="17" x14ac:dyDescent="0.35">
      <c r="B147" s="12">
        <v>145</v>
      </c>
      <c r="C147" s="12" t="s">
        <v>531</v>
      </c>
      <c r="D147" s="12" t="s">
        <v>532</v>
      </c>
      <c r="E147" s="12">
        <v>507575082</v>
      </c>
      <c r="F147" s="12" t="s">
        <v>305</v>
      </c>
      <c r="G147" s="12" t="s">
        <v>350</v>
      </c>
      <c r="H147" s="12" t="s">
        <v>40</v>
      </c>
      <c r="I147" s="12" t="s">
        <v>133</v>
      </c>
      <c r="J147" s="12" t="s">
        <v>40</v>
      </c>
      <c r="K147" s="12">
        <v>1</v>
      </c>
      <c r="L147" s="12">
        <v>1</v>
      </c>
      <c r="M147" s="12">
        <v>1</v>
      </c>
      <c r="N147" s="12">
        <v>1</v>
      </c>
      <c r="O147" s="12">
        <v>1</v>
      </c>
      <c r="P147" s="12">
        <v>1</v>
      </c>
      <c r="Q147" s="12">
        <v>1</v>
      </c>
    </row>
    <row r="148" spans="2:17" ht="17" x14ac:dyDescent="0.35">
      <c r="B148" s="12">
        <v>146</v>
      </c>
      <c r="C148" s="12" t="s">
        <v>533</v>
      </c>
      <c r="D148" s="12" t="s">
        <v>534</v>
      </c>
      <c r="E148" s="12">
        <v>590059965</v>
      </c>
      <c r="F148" s="12" t="s">
        <v>305</v>
      </c>
      <c r="G148" s="12" t="s">
        <v>350</v>
      </c>
      <c r="H148" s="12" t="s">
        <v>40</v>
      </c>
      <c r="I148" s="12" t="s">
        <v>133</v>
      </c>
      <c r="J148" s="12" t="s">
        <v>40</v>
      </c>
      <c r="K148" s="12">
        <v>1</v>
      </c>
      <c r="L148" s="12">
        <v>1</v>
      </c>
      <c r="M148" s="12">
        <v>1</v>
      </c>
      <c r="N148" s="12">
        <v>1</v>
      </c>
      <c r="O148" s="12">
        <v>1</v>
      </c>
      <c r="P148" s="12">
        <v>1</v>
      </c>
      <c r="Q148" s="12">
        <v>1</v>
      </c>
    </row>
    <row r="149" spans="2:17" ht="17" x14ac:dyDescent="0.35">
      <c r="B149" s="12">
        <v>147</v>
      </c>
      <c r="C149" s="12" t="s">
        <v>535</v>
      </c>
      <c r="D149" s="12" t="s">
        <v>536</v>
      </c>
      <c r="E149" s="12">
        <v>550401868</v>
      </c>
      <c r="F149" s="12" t="s">
        <v>305</v>
      </c>
      <c r="G149" s="12" t="s">
        <v>350</v>
      </c>
      <c r="H149" s="12" t="s">
        <v>40</v>
      </c>
      <c r="I149" s="12" t="s">
        <v>134</v>
      </c>
      <c r="J149" s="12" t="s">
        <v>40</v>
      </c>
      <c r="K149" s="12">
        <v>1</v>
      </c>
      <c r="L149" s="12">
        <v>1</v>
      </c>
      <c r="M149" s="12">
        <v>1</v>
      </c>
      <c r="N149" s="12">
        <v>1</v>
      </c>
      <c r="O149" s="12">
        <v>1</v>
      </c>
      <c r="P149" s="12">
        <v>0</v>
      </c>
      <c r="Q149" s="12">
        <v>0</v>
      </c>
    </row>
    <row r="150" spans="2:17" ht="17" x14ac:dyDescent="0.35">
      <c r="B150" s="12">
        <v>148</v>
      </c>
      <c r="C150" s="12" t="s">
        <v>537</v>
      </c>
      <c r="D150" s="12" t="s">
        <v>538</v>
      </c>
      <c r="E150" s="12">
        <v>504403817</v>
      </c>
      <c r="F150" s="12" t="s">
        <v>305</v>
      </c>
      <c r="G150" s="12" t="s">
        <v>350</v>
      </c>
      <c r="H150" s="12" t="s">
        <v>40</v>
      </c>
      <c r="I150" s="12" t="s">
        <v>133</v>
      </c>
      <c r="J150" s="12" t="s">
        <v>40</v>
      </c>
      <c r="K150" s="12">
        <v>1</v>
      </c>
      <c r="L150" s="12">
        <v>1</v>
      </c>
      <c r="M150" s="12">
        <v>1</v>
      </c>
      <c r="N150" s="12">
        <v>1</v>
      </c>
      <c r="O150" s="12">
        <v>1</v>
      </c>
      <c r="P150" s="12">
        <v>1</v>
      </c>
      <c r="Q150" s="12">
        <v>1</v>
      </c>
    </row>
    <row r="151" spans="2:17" ht="17" x14ac:dyDescent="0.35">
      <c r="B151" s="12">
        <v>149</v>
      </c>
      <c r="C151" s="12" t="s">
        <v>539</v>
      </c>
      <c r="D151" s="12" t="s">
        <v>540</v>
      </c>
      <c r="E151" s="12">
        <v>507766299</v>
      </c>
      <c r="F151" s="12" t="s">
        <v>305</v>
      </c>
      <c r="G151" s="12" t="s">
        <v>350</v>
      </c>
      <c r="H151" s="12" t="s">
        <v>40</v>
      </c>
      <c r="I151" s="12" t="s">
        <v>133</v>
      </c>
      <c r="J151" s="12" t="s">
        <v>40</v>
      </c>
      <c r="K151" s="12">
        <v>1</v>
      </c>
      <c r="L151" s="12">
        <v>1</v>
      </c>
      <c r="M151" s="12">
        <v>1</v>
      </c>
      <c r="N151" s="12">
        <v>1</v>
      </c>
      <c r="O151" s="12">
        <v>1</v>
      </c>
      <c r="P151" s="12">
        <v>1</v>
      </c>
      <c r="Q151" s="12">
        <v>1</v>
      </c>
    </row>
    <row r="152" spans="2:17" ht="17" x14ac:dyDescent="0.35">
      <c r="B152" s="12">
        <v>150</v>
      </c>
      <c r="C152" s="12" t="s">
        <v>541</v>
      </c>
      <c r="D152" s="12" t="s">
        <v>542</v>
      </c>
      <c r="E152" s="12">
        <v>554537230</v>
      </c>
      <c r="F152" s="12" t="s">
        <v>305</v>
      </c>
      <c r="G152" s="12" t="s">
        <v>350</v>
      </c>
      <c r="H152" s="12" t="s">
        <v>40</v>
      </c>
      <c r="I152" s="12" t="s">
        <v>43</v>
      </c>
      <c r="J152" s="12" t="s">
        <v>40</v>
      </c>
      <c r="K152" s="12">
        <v>1</v>
      </c>
      <c r="L152" s="12">
        <v>1</v>
      </c>
      <c r="M152" s="12">
        <v>1</v>
      </c>
      <c r="N152" s="12">
        <v>1</v>
      </c>
      <c r="O152" s="12">
        <v>1</v>
      </c>
      <c r="P152" s="12">
        <v>1</v>
      </c>
      <c r="Q152" s="12">
        <v>1</v>
      </c>
    </row>
    <row r="153" spans="2:17" ht="17" x14ac:dyDescent="0.35">
      <c r="B153" s="12">
        <v>151</v>
      </c>
      <c r="C153" s="12" t="s">
        <v>543</v>
      </c>
      <c r="D153" s="12" t="s">
        <v>544</v>
      </c>
      <c r="E153" s="12">
        <v>58348882</v>
      </c>
      <c r="F153" s="12" t="s">
        <v>305</v>
      </c>
      <c r="G153" s="12" t="s">
        <v>350</v>
      </c>
      <c r="H153" s="12" t="s">
        <v>96</v>
      </c>
      <c r="I153" s="12" t="s">
        <v>92</v>
      </c>
      <c r="J153" s="12" t="s">
        <v>92</v>
      </c>
      <c r="K153" s="12">
        <v>1</v>
      </c>
      <c r="L153" s="12">
        <v>0</v>
      </c>
      <c r="M153" s="12">
        <v>1</v>
      </c>
      <c r="N153" s="12">
        <v>0</v>
      </c>
      <c r="O153" s="12">
        <v>0</v>
      </c>
      <c r="P153" s="12">
        <v>0</v>
      </c>
      <c r="Q153" s="12">
        <v>0</v>
      </c>
    </row>
    <row r="154" spans="2:17" ht="17" x14ac:dyDescent="0.35">
      <c r="B154" s="12">
        <v>152</v>
      </c>
      <c r="C154" s="12" t="s">
        <v>545</v>
      </c>
      <c r="D154" s="12" t="s">
        <v>546</v>
      </c>
      <c r="E154" s="12">
        <v>506786649</v>
      </c>
      <c r="F154" s="12" t="s">
        <v>305</v>
      </c>
      <c r="G154" s="12" t="s">
        <v>350</v>
      </c>
      <c r="H154" s="12" t="s">
        <v>40</v>
      </c>
      <c r="I154" s="12" t="s">
        <v>501</v>
      </c>
      <c r="J154" s="12" t="s">
        <v>40</v>
      </c>
      <c r="K154" s="12">
        <v>1</v>
      </c>
      <c r="L154" s="12">
        <v>1</v>
      </c>
      <c r="M154" s="12">
        <v>1</v>
      </c>
      <c r="N154" s="12">
        <v>1</v>
      </c>
      <c r="O154" s="12">
        <v>1</v>
      </c>
      <c r="P154" s="12">
        <v>1</v>
      </c>
      <c r="Q154" s="12">
        <v>1</v>
      </c>
    </row>
    <row r="155" spans="2:17" ht="17" x14ac:dyDescent="0.35">
      <c r="B155" s="12">
        <v>153</v>
      </c>
      <c r="C155" s="12" t="s">
        <v>547</v>
      </c>
      <c r="D155" s="12" t="s">
        <v>548</v>
      </c>
      <c r="E155" s="12">
        <v>505424744</v>
      </c>
      <c r="F155" s="12" t="s">
        <v>305</v>
      </c>
      <c r="G155" s="12" t="s">
        <v>350</v>
      </c>
      <c r="H155" s="12" t="s">
        <v>40</v>
      </c>
      <c r="I155" s="12" t="s">
        <v>133</v>
      </c>
      <c r="J155" s="12" t="s">
        <v>40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  <c r="P155" s="12">
        <v>1</v>
      </c>
      <c r="Q155" s="12">
        <v>1</v>
      </c>
    </row>
    <row r="156" spans="2:17" ht="17" x14ac:dyDescent="0.35">
      <c r="B156" s="12">
        <v>154</v>
      </c>
      <c r="C156" s="12" t="s">
        <v>549</v>
      </c>
      <c r="D156" s="12" t="s">
        <v>550</v>
      </c>
      <c r="E156" s="12">
        <v>558947547</v>
      </c>
      <c r="F156" s="12" t="s">
        <v>305</v>
      </c>
      <c r="G156" s="12" t="s">
        <v>350</v>
      </c>
      <c r="H156" s="12" t="s">
        <v>144</v>
      </c>
      <c r="I156" s="12" t="s">
        <v>18</v>
      </c>
      <c r="J156" s="12" t="s">
        <v>18</v>
      </c>
      <c r="K156" s="12">
        <v>1</v>
      </c>
      <c r="L156" s="12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</row>
    <row r="157" spans="2:17" ht="17" x14ac:dyDescent="0.35">
      <c r="B157" s="12">
        <v>155</v>
      </c>
      <c r="C157" s="12" t="s">
        <v>551</v>
      </c>
      <c r="D157" s="12" t="s">
        <v>552</v>
      </c>
      <c r="E157" s="12">
        <v>551351433</v>
      </c>
      <c r="F157" s="12" t="s">
        <v>305</v>
      </c>
      <c r="G157" s="12" t="s">
        <v>350</v>
      </c>
      <c r="H157" s="12" t="s">
        <v>40</v>
      </c>
      <c r="I157" s="12" t="s">
        <v>134</v>
      </c>
      <c r="J157" s="12" t="s">
        <v>40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  <c r="P157" s="12">
        <v>1</v>
      </c>
      <c r="Q157" s="12">
        <v>1</v>
      </c>
    </row>
    <row r="158" spans="2:17" ht="17" x14ac:dyDescent="0.35">
      <c r="B158" s="12">
        <v>156</v>
      </c>
      <c r="C158" s="12" t="s">
        <v>553</v>
      </c>
      <c r="D158" s="12" t="s">
        <v>554</v>
      </c>
      <c r="E158" s="12">
        <v>507826500</v>
      </c>
      <c r="F158" s="12" t="s">
        <v>305</v>
      </c>
      <c r="G158" s="12" t="s">
        <v>350</v>
      </c>
      <c r="H158" s="12" t="s">
        <v>40</v>
      </c>
      <c r="I158" s="12" t="s">
        <v>134</v>
      </c>
      <c r="J158" s="12" t="s">
        <v>40</v>
      </c>
      <c r="K158" s="12">
        <v>1</v>
      </c>
      <c r="L158" s="12">
        <v>1</v>
      </c>
      <c r="M158" s="12">
        <v>1</v>
      </c>
      <c r="N158" s="12">
        <v>1</v>
      </c>
      <c r="O158" s="12">
        <v>1</v>
      </c>
      <c r="P158" s="12">
        <v>1</v>
      </c>
      <c r="Q158" s="12">
        <v>1</v>
      </c>
    </row>
    <row r="159" spans="2:17" ht="17" x14ac:dyDescent="0.35">
      <c r="B159" s="12">
        <v>157</v>
      </c>
      <c r="C159" s="12" t="s">
        <v>555</v>
      </c>
      <c r="D159" s="12" t="s">
        <v>556</v>
      </c>
      <c r="E159" s="12">
        <v>563244400</v>
      </c>
      <c r="F159" s="12" t="s">
        <v>305</v>
      </c>
      <c r="G159" s="12" t="s">
        <v>350</v>
      </c>
      <c r="H159" s="12" t="s">
        <v>96</v>
      </c>
      <c r="I159" s="12" t="s">
        <v>92</v>
      </c>
      <c r="J159" s="12" t="s">
        <v>92</v>
      </c>
      <c r="K159" s="12">
        <v>1</v>
      </c>
      <c r="L159" s="12">
        <v>1</v>
      </c>
      <c r="M159" s="12">
        <v>0</v>
      </c>
      <c r="N159" s="12">
        <v>1</v>
      </c>
      <c r="O159" s="12">
        <v>0</v>
      </c>
      <c r="P159" s="12">
        <v>0</v>
      </c>
      <c r="Q159" s="12">
        <v>0</v>
      </c>
    </row>
    <row r="160" spans="2:17" ht="17" x14ac:dyDescent="0.35">
      <c r="B160" s="12">
        <v>158</v>
      </c>
      <c r="C160" s="12" t="s">
        <v>557</v>
      </c>
      <c r="D160" s="12" t="s">
        <v>558</v>
      </c>
      <c r="E160" s="12">
        <v>535320370</v>
      </c>
      <c r="F160" s="12" t="s">
        <v>305</v>
      </c>
      <c r="G160" s="12" t="s">
        <v>350</v>
      </c>
      <c r="H160" s="12" t="s">
        <v>40</v>
      </c>
      <c r="I160" s="12" t="s">
        <v>133</v>
      </c>
      <c r="J160" s="12" t="s">
        <v>40</v>
      </c>
      <c r="K160" s="12">
        <v>1</v>
      </c>
      <c r="L160" s="12">
        <v>1</v>
      </c>
      <c r="M160" s="12">
        <v>1</v>
      </c>
      <c r="N160" s="12">
        <v>1</v>
      </c>
      <c r="O160" s="12">
        <v>1</v>
      </c>
      <c r="P160" s="12">
        <v>1</v>
      </c>
      <c r="Q160" s="12">
        <v>1</v>
      </c>
    </row>
    <row r="161" spans="2:17" ht="17" x14ac:dyDescent="0.35">
      <c r="B161" s="12">
        <v>159</v>
      </c>
      <c r="C161" s="12" t="s">
        <v>559</v>
      </c>
      <c r="D161" s="12" t="s">
        <v>560</v>
      </c>
      <c r="E161" s="12">
        <v>5533332423</v>
      </c>
      <c r="F161" s="12" t="s">
        <v>559</v>
      </c>
      <c r="G161" s="12" t="s">
        <v>181</v>
      </c>
      <c r="H161" s="12" t="s">
        <v>97</v>
      </c>
      <c r="I161" s="12" t="s">
        <v>149</v>
      </c>
      <c r="J161" s="12" t="s">
        <v>49</v>
      </c>
      <c r="K161" s="12">
        <v>1</v>
      </c>
      <c r="L161" s="12">
        <v>0</v>
      </c>
      <c r="M161" s="12">
        <v>1</v>
      </c>
      <c r="N161" s="12">
        <v>0</v>
      </c>
      <c r="O161" s="12">
        <v>0</v>
      </c>
      <c r="P161" s="12">
        <v>0</v>
      </c>
      <c r="Q161" s="12">
        <v>0</v>
      </c>
    </row>
    <row r="162" spans="2:17" ht="17" x14ac:dyDescent="0.35">
      <c r="B162" s="12">
        <v>160</v>
      </c>
      <c r="C162" s="12" t="s">
        <v>561</v>
      </c>
      <c r="D162" s="12" t="s">
        <v>562</v>
      </c>
      <c r="E162" s="12">
        <v>562574033</v>
      </c>
      <c r="F162" s="12" t="s">
        <v>207</v>
      </c>
      <c r="G162" s="12" t="s">
        <v>350</v>
      </c>
      <c r="H162" s="12" t="s">
        <v>96</v>
      </c>
      <c r="I162" s="12" t="s">
        <v>92</v>
      </c>
      <c r="J162" s="12" t="s">
        <v>92</v>
      </c>
      <c r="K162" s="12">
        <v>0</v>
      </c>
      <c r="L162" s="12">
        <v>1</v>
      </c>
      <c r="M162" s="12">
        <v>1</v>
      </c>
      <c r="N162" s="12">
        <v>1</v>
      </c>
      <c r="O162" s="12">
        <v>1</v>
      </c>
      <c r="P162" s="12">
        <v>0</v>
      </c>
      <c r="Q162" s="12">
        <v>0</v>
      </c>
    </row>
    <row r="163" spans="2:17" ht="17" x14ac:dyDescent="0.35">
      <c r="B163" s="12">
        <v>161</v>
      </c>
      <c r="C163" s="12" t="s">
        <v>563</v>
      </c>
      <c r="D163" s="12" t="s">
        <v>564</v>
      </c>
      <c r="E163" s="12">
        <v>550137384</v>
      </c>
      <c r="F163" s="12" t="s">
        <v>305</v>
      </c>
      <c r="G163" s="12" t="s">
        <v>350</v>
      </c>
      <c r="H163" s="12" t="s">
        <v>40</v>
      </c>
      <c r="I163" s="12" t="s">
        <v>134</v>
      </c>
      <c r="J163" s="12" t="s">
        <v>40</v>
      </c>
      <c r="K163" s="12">
        <v>1</v>
      </c>
      <c r="L163" s="12">
        <v>1</v>
      </c>
      <c r="M163" s="12">
        <v>1</v>
      </c>
      <c r="N163" s="12">
        <v>1</v>
      </c>
      <c r="O163" s="12">
        <v>1</v>
      </c>
      <c r="P163" s="12">
        <v>1</v>
      </c>
      <c r="Q163" s="12">
        <v>1</v>
      </c>
    </row>
    <row r="164" spans="2:17" ht="17" x14ac:dyDescent="0.35">
      <c r="B164" s="12">
        <v>162</v>
      </c>
      <c r="C164" s="12" t="s">
        <v>565</v>
      </c>
      <c r="D164" s="12" t="s">
        <v>566</v>
      </c>
      <c r="E164" s="12">
        <v>557744413</v>
      </c>
      <c r="F164" s="12" t="s">
        <v>305</v>
      </c>
      <c r="G164" s="12" t="s">
        <v>350</v>
      </c>
      <c r="H164" s="12" t="s">
        <v>40</v>
      </c>
      <c r="I164" s="12" t="s">
        <v>43</v>
      </c>
      <c r="J164" s="12" t="s">
        <v>40</v>
      </c>
      <c r="K164" s="12">
        <v>1</v>
      </c>
      <c r="L164" s="12">
        <v>1</v>
      </c>
      <c r="M164" s="12">
        <v>1</v>
      </c>
      <c r="N164" s="12">
        <v>1</v>
      </c>
      <c r="O164" s="12">
        <v>1</v>
      </c>
      <c r="P164" s="12">
        <v>1</v>
      </c>
      <c r="Q164" s="12">
        <v>1</v>
      </c>
    </row>
    <row r="165" spans="2:17" ht="17" x14ac:dyDescent="0.35">
      <c r="B165" s="12">
        <v>163</v>
      </c>
      <c r="C165" s="12" t="s">
        <v>567</v>
      </c>
      <c r="D165" s="12" t="s">
        <v>568</v>
      </c>
      <c r="E165" s="12">
        <v>503022452</v>
      </c>
      <c r="F165" s="12" t="s">
        <v>305</v>
      </c>
      <c r="G165" s="12" t="s">
        <v>350</v>
      </c>
      <c r="H165" s="12" t="s">
        <v>96</v>
      </c>
      <c r="I165" s="12" t="s">
        <v>92</v>
      </c>
      <c r="J165" s="12" t="s">
        <v>92</v>
      </c>
      <c r="K165" s="12">
        <v>0</v>
      </c>
      <c r="L165" s="12">
        <v>1</v>
      </c>
      <c r="M165" s="12">
        <v>1</v>
      </c>
      <c r="N165" s="12">
        <v>1</v>
      </c>
      <c r="O165" s="12">
        <v>0</v>
      </c>
      <c r="P165" s="12">
        <v>0</v>
      </c>
      <c r="Q165" s="12">
        <v>0</v>
      </c>
    </row>
    <row r="166" spans="2:17" ht="17" x14ac:dyDescent="0.35">
      <c r="B166" s="12">
        <v>164</v>
      </c>
      <c r="C166" s="12" t="s">
        <v>569</v>
      </c>
      <c r="D166" s="12" t="s">
        <v>570</v>
      </c>
      <c r="E166" s="12">
        <v>532077323</v>
      </c>
      <c r="F166" s="12" t="s">
        <v>305</v>
      </c>
      <c r="G166" s="12" t="s">
        <v>350</v>
      </c>
      <c r="H166" s="12" t="s">
        <v>40</v>
      </c>
      <c r="I166" s="12" t="s">
        <v>133</v>
      </c>
      <c r="J166" s="12" t="s">
        <v>40</v>
      </c>
      <c r="K166" s="12">
        <v>1</v>
      </c>
      <c r="L166" s="12">
        <v>1</v>
      </c>
      <c r="M166" s="12">
        <v>1</v>
      </c>
      <c r="N166" s="12">
        <v>1</v>
      </c>
      <c r="O166" s="12">
        <v>1</v>
      </c>
      <c r="P166" s="12">
        <v>1</v>
      </c>
      <c r="Q166" s="12">
        <v>1</v>
      </c>
    </row>
    <row r="167" spans="2:17" ht="17" x14ac:dyDescent="0.35">
      <c r="B167" s="12">
        <v>165</v>
      </c>
      <c r="C167" s="12" t="s">
        <v>571</v>
      </c>
      <c r="D167" s="12" t="s">
        <v>572</v>
      </c>
      <c r="E167" s="12">
        <v>597705077</v>
      </c>
      <c r="F167" s="12" t="s">
        <v>207</v>
      </c>
      <c r="G167" s="12" t="s">
        <v>350</v>
      </c>
      <c r="H167" s="12" t="s">
        <v>96</v>
      </c>
      <c r="I167" s="12" t="s">
        <v>92</v>
      </c>
      <c r="J167" s="12" t="s">
        <v>92</v>
      </c>
      <c r="K167" s="12">
        <v>1</v>
      </c>
      <c r="L167" s="12">
        <v>1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</row>
    <row r="168" spans="2:17" ht="17" x14ac:dyDescent="0.35">
      <c r="B168" s="12">
        <v>166</v>
      </c>
      <c r="C168" s="12" t="s">
        <v>573</v>
      </c>
      <c r="D168" s="12" t="s">
        <v>574</v>
      </c>
      <c r="E168" s="12">
        <v>507572755</v>
      </c>
      <c r="F168" s="12" t="s">
        <v>207</v>
      </c>
      <c r="G168" s="12" t="s">
        <v>350</v>
      </c>
      <c r="H168" s="12" t="s">
        <v>40</v>
      </c>
      <c r="I168" s="12" t="s">
        <v>501</v>
      </c>
      <c r="J168" s="12" t="s">
        <v>40</v>
      </c>
      <c r="K168" s="12">
        <v>1</v>
      </c>
      <c r="L168" s="12">
        <v>1</v>
      </c>
      <c r="M168" s="12">
        <v>1</v>
      </c>
      <c r="N168" s="12">
        <v>1</v>
      </c>
      <c r="O168" s="12">
        <v>1</v>
      </c>
      <c r="P168" s="12">
        <v>1</v>
      </c>
      <c r="Q168" s="12">
        <v>1</v>
      </c>
    </row>
    <row r="169" spans="2:17" ht="17" x14ac:dyDescent="0.35">
      <c r="B169" s="12">
        <v>167</v>
      </c>
      <c r="C169" s="12" t="s">
        <v>575</v>
      </c>
      <c r="D169" s="12" t="s">
        <v>576</v>
      </c>
      <c r="E169" s="12">
        <v>558014024</v>
      </c>
      <c r="F169" s="12" t="s">
        <v>305</v>
      </c>
      <c r="G169" s="12" t="s">
        <v>350</v>
      </c>
      <c r="H169" s="12" t="s">
        <v>40</v>
      </c>
      <c r="I169" s="12" t="s">
        <v>134</v>
      </c>
      <c r="J169" s="12" t="s">
        <v>40</v>
      </c>
      <c r="K169" s="12">
        <v>1</v>
      </c>
      <c r="L169" s="12">
        <v>1</v>
      </c>
      <c r="M169" s="12">
        <v>1</v>
      </c>
      <c r="N169" s="12">
        <v>1</v>
      </c>
      <c r="O169" s="12">
        <v>1</v>
      </c>
      <c r="P169" s="12">
        <v>1</v>
      </c>
      <c r="Q169" s="12">
        <v>1</v>
      </c>
    </row>
    <row r="170" spans="2:17" ht="17" x14ac:dyDescent="0.35">
      <c r="B170" s="12">
        <v>168</v>
      </c>
      <c r="C170" s="12" t="s">
        <v>577</v>
      </c>
      <c r="D170" s="12" t="s">
        <v>578</v>
      </c>
      <c r="E170" s="12">
        <v>505923229</v>
      </c>
      <c r="F170" s="12" t="s">
        <v>305</v>
      </c>
      <c r="G170" s="12" t="s">
        <v>350</v>
      </c>
      <c r="H170" s="12" t="s">
        <v>40</v>
      </c>
      <c r="I170" s="12" t="s">
        <v>134</v>
      </c>
      <c r="J170" s="12" t="s">
        <v>40</v>
      </c>
      <c r="K170" s="12">
        <v>1</v>
      </c>
      <c r="L170" s="12">
        <v>1</v>
      </c>
      <c r="M170" s="12">
        <v>1</v>
      </c>
      <c r="N170" s="12">
        <v>1</v>
      </c>
      <c r="O170" s="12">
        <v>1</v>
      </c>
      <c r="P170" s="12">
        <v>1</v>
      </c>
      <c r="Q170" s="12">
        <v>1</v>
      </c>
    </row>
    <row r="171" spans="2:17" ht="17" x14ac:dyDescent="0.35">
      <c r="B171" s="12">
        <v>169</v>
      </c>
      <c r="C171" s="12" t="s">
        <v>579</v>
      </c>
      <c r="D171" s="12" t="s">
        <v>580</v>
      </c>
      <c r="E171" s="12">
        <v>500588768</v>
      </c>
      <c r="F171" s="12" t="s">
        <v>305</v>
      </c>
      <c r="G171" s="12" t="s">
        <v>350</v>
      </c>
      <c r="H171" s="12" t="s">
        <v>40</v>
      </c>
      <c r="I171" s="12" t="s">
        <v>133</v>
      </c>
      <c r="J171" s="12" t="s">
        <v>40</v>
      </c>
      <c r="K171" s="12">
        <v>1</v>
      </c>
      <c r="L171" s="12">
        <v>1</v>
      </c>
      <c r="M171" s="12">
        <v>1</v>
      </c>
      <c r="N171" s="12">
        <v>1</v>
      </c>
      <c r="O171" s="12">
        <v>1</v>
      </c>
      <c r="P171" s="12">
        <v>1</v>
      </c>
      <c r="Q171" s="12">
        <v>1</v>
      </c>
    </row>
    <row r="172" spans="2:17" ht="17" x14ac:dyDescent="0.35">
      <c r="B172" s="12">
        <v>170</v>
      </c>
      <c r="C172" s="12" t="s">
        <v>581</v>
      </c>
      <c r="D172" s="12" t="s">
        <v>582</v>
      </c>
      <c r="E172" s="12">
        <v>507767350</v>
      </c>
      <c r="F172" s="12" t="s">
        <v>305</v>
      </c>
      <c r="G172" s="12" t="s">
        <v>350</v>
      </c>
      <c r="H172" s="12" t="s">
        <v>40</v>
      </c>
      <c r="I172" s="12" t="s">
        <v>134</v>
      </c>
      <c r="J172" s="12" t="s">
        <v>40</v>
      </c>
      <c r="K172" s="12">
        <v>1</v>
      </c>
      <c r="L172" s="12">
        <v>1</v>
      </c>
      <c r="M172" s="12">
        <v>1</v>
      </c>
      <c r="N172" s="12">
        <v>1</v>
      </c>
      <c r="O172" s="12">
        <v>1</v>
      </c>
      <c r="P172" s="12">
        <v>1</v>
      </c>
      <c r="Q172" s="12">
        <v>1</v>
      </c>
    </row>
    <row r="173" spans="2:17" ht="17" x14ac:dyDescent="0.35">
      <c r="B173" s="12">
        <v>171</v>
      </c>
      <c r="C173" s="12" t="s">
        <v>583</v>
      </c>
      <c r="D173" s="12" t="s">
        <v>584</v>
      </c>
      <c r="E173" s="12">
        <v>541979707</v>
      </c>
      <c r="F173" s="12" t="s">
        <v>305</v>
      </c>
      <c r="G173" s="12" t="s">
        <v>350</v>
      </c>
      <c r="H173" s="12" t="s">
        <v>144</v>
      </c>
      <c r="I173" s="12" t="s">
        <v>18</v>
      </c>
      <c r="J173" s="12" t="s">
        <v>18</v>
      </c>
      <c r="K173" s="12">
        <v>1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</row>
    <row r="174" spans="2:17" ht="17" x14ac:dyDescent="0.35">
      <c r="B174" s="12">
        <v>172</v>
      </c>
      <c r="C174" s="12" t="s">
        <v>585</v>
      </c>
      <c r="D174" s="12" t="s">
        <v>586</v>
      </c>
      <c r="E174" s="12" t="s">
        <v>305</v>
      </c>
      <c r="F174" s="12" t="s">
        <v>122</v>
      </c>
      <c r="G174" s="12" t="s">
        <v>181</v>
      </c>
      <c r="H174" s="12" t="s">
        <v>97</v>
      </c>
      <c r="I174" s="12" t="s">
        <v>122</v>
      </c>
      <c r="J174" s="12" t="s">
        <v>49</v>
      </c>
      <c r="K174" s="12">
        <v>1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</row>
    <row r="175" spans="2:17" ht="17" x14ac:dyDescent="0.35">
      <c r="B175" s="12">
        <v>173</v>
      </c>
      <c r="C175" s="12" t="s">
        <v>97</v>
      </c>
      <c r="D175" s="12" t="s">
        <v>587</v>
      </c>
      <c r="E175" s="12">
        <v>533920891</v>
      </c>
      <c r="F175" s="12" t="s">
        <v>97</v>
      </c>
      <c r="G175" s="12" t="s">
        <v>181</v>
      </c>
      <c r="H175" s="12" t="s">
        <v>97</v>
      </c>
      <c r="I175" s="12" t="s">
        <v>49</v>
      </c>
      <c r="J175" s="12" t="s">
        <v>49</v>
      </c>
      <c r="K175" s="12">
        <v>1</v>
      </c>
      <c r="L175" s="12">
        <v>1</v>
      </c>
      <c r="M175" s="12">
        <v>2</v>
      </c>
      <c r="N175" s="12">
        <v>2</v>
      </c>
      <c r="O175" s="12">
        <v>1</v>
      </c>
      <c r="P175" s="12">
        <v>1</v>
      </c>
      <c r="Q175" s="12">
        <v>1</v>
      </c>
    </row>
    <row r="176" spans="2:17" ht="17" x14ac:dyDescent="0.35">
      <c r="B176" s="12">
        <v>174</v>
      </c>
      <c r="C176" s="12" t="s">
        <v>588</v>
      </c>
      <c r="D176" s="12" t="s">
        <v>589</v>
      </c>
      <c r="E176" s="12">
        <v>505769181</v>
      </c>
      <c r="F176" s="12" t="s">
        <v>588</v>
      </c>
      <c r="G176" s="12" t="s">
        <v>181</v>
      </c>
      <c r="H176" s="12" t="s">
        <v>97</v>
      </c>
      <c r="I176" s="12" t="s">
        <v>49</v>
      </c>
      <c r="J176" s="12" t="s">
        <v>49</v>
      </c>
      <c r="K176" s="12">
        <v>1</v>
      </c>
      <c r="L176" s="12">
        <v>1</v>
      </c>
      <c r="M176" s="12">
        <v>1</v>
      </c>
      <c r="N176" s="12">
        <v>1</v>
      </c>
      <c r="O176" s="12">
        <v>1</v>
      </c>
      <c r="P176" s="12">
        <v>1</v>
      </c>
      <c r="Q176" s="12">
        <v>1</v>
      </c>
    </row>
    <row r="177" spans="2:17" ht="17" x14ac:dyDescent="0.35">
      <c r="B177" s="12">
        <v>175</v>
      </c>
      <c r="C177" s="12" t="s">
        <v>590</v>
      </c>
      <c r="D177" s="12" t="s">
        <v>591</v>
      </c>
      <c r="E177" s="12">
        <v>543332042</v>
      </c>
      <c r="F177" s="12" t="s">
        <v>590</v>
      </c>
      <c r="G177" s="12" t="s">
        <v>700</v>
      </c>
      <c r="H177" s="12" t="s">
        <v>97</v>
      </c>
      <c r="I177" s="12" t="s">
        <v>49</v>
      </c>
      <c r="J177" s="12" t="s">
        <v>49</v>
      </c>
      <c r="K177" s="12">
        <v>0</v>
      </c>
      <c r="L177" s="12">
        <v>0</v>
      </c>
      <c r="M177" s="12">
        <v>1</v>
      </c>
      <c r="N177" s="12">
        <v>0</v>
      </c>
      <c r="O177" s="12">
        <v>0</v>
      </c>
      <c r="P177" s="12">
        <v>0</v>
      </c>
      <c r="Q177" s="12">
        <v>0</v>
      </c>
    </row>
    <row r="178" spans="2:17" ht="17" x14ac:dyDescent="0.35">
      <c r="B178" s="12">
        <v>176</v>
      </c>
      <c r="C178" s="12" t="s">
        <v>592</v>
      </c>
      <c r="D178" s="12" t="s">
        <v>593</v>
      </c>
      <c r="E178" s="12">
        <v>581520094</v>
      </c>
      <c r="F178" s="12" t="s">
        <v>305</v>
      </c>
      <c r="G178" s="12" t="s">
        <v>700</v>
      </c>
      <c r="H178" s="12" t="s">
        <v>144</v>
      </c>
      <c r="I178" s="12" t="s">
        <v>30</v>
      </c>
      <c r="J178" s="12" t="s">
        <v>30</v>
      </c>
      <c r="K178" s="12">
        <v>0</v>
      </c>
      <c r="L178" s="12">
        <v>0</v>
      </c>
      <c r="M178" s="12">
        <v>1</v>
      </c>
      <c r="N178" s="12">
        <v>2</v>
      </c>
      <c r="O178" s="12">
        <v>2</v>
      </c>
      <c r="P178" s="12">
        <v>2</v>
      </c>
      <c r="Q178" s="12">
        <v>2</v>
      </c>
    </row>
    <row r="179" spans="2:17" ht="17" x14ac:dyDescent="0.35">
      <c r="B179" s="12">
        <v>177</v>
      </c>
      <c r="C179" s="12" t="s">
        <v>594</v>
      </c>
      <c r="D179" s="12" t="s">
        <v>595</v>
      </c>
      <c r="E179" s="12">
        <v>565157685</v>
      </c>
      <c r="F179" s="12" t="s">
        <v>596</v>
      </c>
      <c r="G179" s="12" t="s">
        <v>700</v>
      </c>
      <c r="H179" s="12" t="s">
        <v>144</v>
      </c>
      <c r="I179" s="12" t="s">
        <v>30</v>
      </c>
      <c r="J179" s="12" t="s">
        <v>30</v>
      </c>
      <c r="K179" s="12">
        <v>0</v>
      </c>
      <c r="L179" s="12">
        <v>1</v>
      </c>
      <c r="M179" s="12">
        <v>0</v>
      </c>
      <c r="N179" s="12">
        <v>1</v>
      </c>
      <c r="O179" s="12">
        <v>1</v>
      </c>
      <c r="P179" s="12">
        <v>0</v>
      </c>
      <c r="Q179" s="12">
        <v>0</v>
      </c>
    </row>
    <row r="180" spans="2:17" ht="17" x14ac:dyDescent="0.35">
      <c r="B180" s="12">
        <v>178</v>
      </c>
      <c r="C180" s="12" t="s">
        <v>597</v>
      </c>
      <c r="D180" s="12" t="s">
        <v>598</v>
      </c>
      <c r="E180" s="12">
        <v>506107375</v>
      </c>
      <c r="F180" s="12" t="s">
        <v>599</v>
      </c>
      <c r="G180" s="12" t="s">
        <v>700</v>
      </c>
      <c r="H180" s="12" t="s">
        <v>97</v>
      </c>
      <c r="I180" s="12" t="s">
        <v>49</v>
      </c>
      <c r="J180" s="12" t="s">
        <v>49</v>
      </c>
      <c r="K180" s="12">
        <v>0</v>
      </c>
      <c r="L180" s="12">
        <v>1</v>
      </c>
      <c r="M180" s="12">
        <v>1</v>
      </c>
      <c r="N180" s="12">
        <v>1</v>
      </c>
      <c r="O180" s="12">
        <v>0</v>
      </c>
      <c r="P180" s="12">
        <v>0</v>
      </c>
      <c r="Q180" s="12">
        <v>0</v>
      </c>
    </row>
    <row r="181" spans="2:17" ht="17" x14ac:dyDescent="0.35">
      <c r="B181" s="12">
        <v>179</v>
      </c>
      <c r="C181" s="12" t="s">
        <v>600</v>
      </c>
      <c r="D181" s="12" t="s">
        <v>601</v>
      </c>
      <c r="E181" s="12">
        <v>552262899</v>
      </c>
      <c r="F181" s="12" t="s">
        <v>305</v>
      </c>
      <c r="G181" s="12" t="s">
        <v>700</v>
      </c>
      <c r="H181" s="12" t="s">
        <v>24</v>
      </c>
      <c r="I181" s="12" t="s">
        <v>24</v>
      </c>
      <c r="J181" s="12" t="s">
        <v>24</v>
      </c>
      <c r="K181" s="12">
        <v>1</v>
      </c>
      <c r="L181" s="12">
        <v>1</v>
      </c>
      <c r="M181" s="12">
        <v>1</v>
      </c>
      <c r="N181" s="12">
        <v>2</v>
      </c>
      <c r="O181" s="12">
        <v>1</v>
      </c>
      <c r="P181" s="12">
        <v>1</v>
      </c>
      <c r="Q181" s="12">
        <v>0</v>
      </c>
    </row>
    <row r="182" spans="2:17" ht="17" x14ac:dyDescent="0.35">
      <c r="B182" s="12">
        <v>180</v>
      </c>
      <c r="C182" s="12" t="s">
        <v>602</v>
      </c>
      <c r="D182" s="12" t="s">
        <v>603</v>
      </c>
      <c r="E182" s="12">
        <v>504868259</v>
      </c>
      <c r="F182" s="12" t="s">
        <v>305</v>
      </c>
      <c r="G182" s="12" t="s">
        <v>700</v>
      </c>
      <c r="H182" s="12" t="s">
        <v>38</v>
      </c>
      <c r="I182" s="12" t="s">
        <v>38</v>
      </c>
      <c r="J182" s="12" t="s">
        <v>38</v>
      </c>
      <c r="K182" s="12">
        <v>0</v>
      </c>
      <c r="L182" s="12">
        <v>0</v>
      </c>
      <c r="M182" s="12">
        <v>1</v>
      </c>
      <c r="N182" s="12">
        <v>0</v>
      </c>
      <c r="O182" s="12">
        <v>0</v>
      </c>
      <c r="P182" s="12">
        <v>0</v>
      </c>
      <c r="Q182" s="12">
        <v>0</v>
      </c>
    </row>
    <row r="183" spans="2:17" ht="17" x14ac:dyDescent="0.35">
      <c r="B183" s="12">
        <v>181</v>
      </c>
      <c r="C183" s="12" t="s">
        <v>604</v>
      </c>
      <c r="D183" s="12" t="s">
        <v>605</v>
      </c>
      <c r="E183" s="12">
        <v>551021335</v>
      </c>
      <c r="F183" s="12" t="s">
        <v>604</v>
      </c>
      <c r="G183" s="12" t="s">
        <v>181</v>
      </c>
      <c r="H183" s="12" t="s">
        <v>27</v>
      </c>
      <c r="I183" s="12" t="s">
        <v>606</v>
      </c>
      <c r="J183" s="12" t="s">
        <v>27</v>
      </c>
      <c r="K183" s="12">
        <v>0</v>
      </c>
      <c r="L183" s="12">
        <v>0</v>
      </c>
      <c r="M183" s="12">
        <v>0</v>
      </c>
      <c r="N183" s="12">
        <v>0</v>
      </c>
      <c r="O183" s="12">
        <v>3</v>
      </c>
      <c r="P183" s="12">
        <v>3</v>
      </c>
      <c r="Q183" s="12">
        <v>4</v>
      </c>
    </row>
    <row r="184" spans="2:17" ht="17" x14ac:dyDescent="0.35">
      <c r="B184" s="12">
        <v>182</v>
      </c>
      <c r="C184" s="12" t="s">
        <v>607</v>
      </c>
      <c r="D184" s="12" t="s">
        <v>608</v>
      </c>
      <c r="E184" s="12">
        <v>503980009</v>
      </c>
      <c r="F184" s="12" t="s">
        <v>305</v>
      </c>
      <c r="G184" s="12" t="s">
        <v>350</v>
      </c>
      <c r="H184" s="12" t="s">
        <v>97</v>
      </c>
      <c r="I184" s="12" t="s">
        <v>120</v>
      </c>
      <c r="J184" s="12" t="s">
        <v>97</v>
      </c>
      <c r="K184" s="12">
        <v>1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</row>
    <row r="185" spans="2:17" ht="17" x14ac:dyDescent="0.35">
      <c r="B185" s="12">
        <v>183</v>
      </c>
      <c r="C185" s="12" t="s">
        <v>609</v>
      </c>
      <c r="D185" s="12" t="s">
        <v>610</v>
      </c>
      <c r="E185" s="12">
        <v>564717792</v>
      </c>
      <c r="F185" s="12" t="s">
        <v>305</v>
      </c>
      <c r="G185" s="12" t="s">
        <v>350</v>
      </c>
      <c r="H185" s="12" t="s">
        <v>40</v>
      </c>
      <c r="I185" s="12" t="s">
        <v>501</v>
      </c>
      <c r="J185" s="12" t="s">
        <v>40</v>
      </c>
      <c r="K185" s="12">
        <v>1</v>
      </c>
      <c r="L185" s="12">
        <v>1</v>
      </c>
      <c r="M185" s="12">
        <v>1</v>
      </c>
      <c r="N185" s="12">
        <v>1</v>
      </c>
      <c r="O185" s="12">
        <v>1</v>
      </c>
      <c r="P185" s="12">
        <v>0</v>
      </c>
      <c r="Q185" s="12">
        <v>0</v>
      </c>
    </row>
    <row r="186" spans="2:17" ht="17" x14ac:dyDescent="0.35">
      <c r="B186" s="12">
        <v>184</v>
      </c>
      <c r="C186" s="12" t="s">
        <v>611</v>
      </c>
      <c r="D186" s="12" t="s">
        <v>612</v>
      </c>
      <c r="E186" s="12">
        <v>5588881523</v>
      </c>
      <c r="F186" s="12" t="s">
        <v>305</v>
      </c>
      <c r="G186" s="12" t="s">
        <v>350</v>
      </c>
      <c r="H186" s="12" t="s">
        <v>40</v>
      </c>
      <c r="I186" s="12" t="s">
        <v>133</v>
      </c>
      <c r="J186" s="12" t="s">
        <v>40</v>
      </c>
      <c r="K186" s="12">
        <v>0</v>
      </c>
      <c r="L186" s="12">
        <v>0</v>
      </c>
      <c r="M186" s="12">
        <v>1</v>
      </c>
      <c r="N186" s="12">
        <v>1</v>
      </c>
      <c r="O186" s="12">
        <v>1</v>
      </c>
      <c r="P186" s="12">
        <v>1</v>
      </c>
      <c r="Q186" s="12">
        <v>1</v>
      </c>
    </row>
    <row r="187" spans="2:17" ht="17" x14ac:dyDescent="0.35">
      <c r="B187" s="12">
        <v>185</v>
      </c>
      <c r="C187" s="12" t="s">
        <v>613</v>
      </c>
      <c r="D187" s="12" t="s">
        <v>614</v>
      </c>
      <c r="E187" s="12">
        <v>557399155</v>
      </c>
      <c r="F187" s="12" t="s">
        <v>305</v>
      </c>
      <c r="G187" s="12" t="s">
        <v>350</v>
      </c>
      <c r="H187" s="12" t="s">
        <v>40</v>
      </c>
      <c r="I187" s="12" t="s">
        <v>134</v>
      </c>
      <c r="J187" s="12" t="s">
        <v>40</v>
      </c>
      <c r="K187" s="12">
        <v>1</v>
      </c>
      <c r="L187" s="12">
        <v>1</v>
      </c>
      <c r="M187" s="12">
        <v>1</v>
      </c>
      <c r="N187" s="12">
        <v>1</v>
      </c>
      <c r="O187" s="12">
        <v>1</v>
      </c>
      <c r="P187" s="12">
        <v>1</v>
      </c>
      <c r="Q187" s="12">
        <v>1</v>
      </c>
    </row>
    <row r="188" spans="2:17" ht="17" x14ac:dyDescent="0.35">
      <c r="B188" s="12">
        <v>186</v>
      </c>
      <c r="C188" s="12" t="s">
        <v>615</v>
      </c>
      <c r="D188" s="12" t="s">
        <v>616</v>
      </c>
      <c r="E188" s="12">
        <v>532397118</v>
      </c>
      <c r="F188" s="12" t="s">
        <v>305</v>
      </c>
      <c r="G188" s="12" t="s">
        <v>350</v>
      </c>
      <c r="H188" s="12" t="s">
        <v>40</v>
      </c>
      <c r="I188" s="12" t="s">
        <v>133</v>
      </c>
      <c r="J188" s="12" t="s">
        <v>40</v>
      </c>
      <c r="K188" s="12">
        <v>0</v>
      </c>
      <c r="L188" s="12">
        <v>0</v>
      </c>
      <c r="M188" s="12">
        <v>1</v>
      </c>
      <c r="N188" s="12">
        <v>1</v>
      </c>
      <c r="O188" s="12">
        <v>1</v>
      </c>
      <c r="P188" s="12">
        <v>1</v>
      </c>
      <c r="Q188" s="12">
        <v>1</v>
      </c>
    </row>
    <row r="189" spans="2:17" ht="17" x14ac:dyDescent="0.35">
      <c r="B189" s="12">
        <v>187</v>
      </c>
      <c r="C189" s="12" t="s">
        <v>617</v>
      </c>
      <c r="D189" s="12" t="s">
        <v>618</v>
      </c>
      <c r="E189" s="12">
        <v>501738972</v>
      </c>
      <c r="F189" s="12" t="s">
        <v>305</v>
      </c>
      <c r="G189" s="12" t="s">
        <v>350</v>
      </c>
      <c r="H189" s="12" t="s">
        <v>40</v>
      </c>
      <c r="I189" s="12" t="s">
        <v>133</v>
      </c>
      <c r="J189" s="12" t="s">
        <v>40</v>
      </c>
      <c r="K189" s="12">
        <v>0</v>
      </c>
      <c r="L189" s="12">
        <v>0</v>
      </c>
      <c r="M189" s="12">
        <v>1</v>
      </c>
      <c r="N189" s="12">
        <v>1</v>
      </c>
      <c r="O189" s="12">
        <v>1</v>
      </c>
      <c r="P189" s="12">
        <v>1</v>
      </c>
      <c r="Q189" s="12">
        <v>1</v>
      </c>
    </row>
    <row r="190" spans="2:17" ht="17" x14ac:dyDescent="0.35">
      <c r="B190" s="12">
        <v>188</v>
      </c>
      <c r="C190" s="12" t="s">
        <v>619</v>
      </c>
      <c r="D190" s="12" t="s">
        <v>620</v>
      </c>
      <c r="E190" s="12">
        <v>506562141</v>
      </c>
      <c r="F190" s="12" t="s">
        <v>305</v>
      </c>
      <c r="G190" s="12" t="s">
        <v>350</v>
      </c>
      <c r="H190" s="12" t="s">
        <v>144</v>
      </c>
      <c r="I190" s="12" t="s">
        <v>144</v>
      </c>
      <c r="J190" s="12" t="s">
        <v>144</v>
      </c>
      <c r="K190" s="12">
        <v>1</v>
      </c>
      <c r="L190" s="12">
        <v>1</v>
      </c>
      <c r="M190" s="12">
        <v>1</v>
      </c>
      <c r="N190" s="12">
        <v>1</v>
      </c>
      <c r="O190" s="12">
        <v>1</v>
      </c>
      <c r="P190" s="12">
        <v>0</v>
      </c>
      <c r="Q190" s="12">
        <v>0</v>
      </c>
    </row>
    <row r="191" spans="2:17" ht="17" x14ac:dyDescent="0.35">
      <c r="B191" s="12">
        <v>189</v>
      </c>
      <c r="C191" s="12" t="s">
        <v>621</v>
      </c>
      <c r="D191" s="12" t="s">
        <v>622</v>
      </c>
      <c r="E191" s="12">
        <v>533252040</v>
      </c>
      <c r="F191" s="12" t="s">
        <v>305</v>
      </c>
      <c r="G191" s="12" t="s">
        <v>350</v>
      </c>
      <c r="H191" s="12" t="s">
        <v>40</v>
      </c>
      <c r="I191" s="12" t="s">
        <v>501</v>
      </c>
      <c r="J191" s="12" t="s">
        <v>40</v>
      </c>
      <c r="K191" s="12">
        <v>1</v>
      </c>
      <c r="L191" s="12">
        <v>1</v>
      </c>
      <c r="M191" s="12">
        <v>1</v>
      </c>
      <c r="N191" s="12">
        <v>1</v>
      </c>
      <c r="O191" s="12">
        <v>1</v>
      </c>
      <c r="P191" s="12">
        <v>1</v>
      </c>
      <c r="Q191" s="12">
        <v>1</v>
      </c>
    </row>
    <row r="192" spans="2:17" ht="17" x14ac:dyDescent="0.35">
      <c r="B192" s="12">
        <v>190</v>
      </c>
      <c r="C192" s="12" t="s">
        <v>623</v>
      </c>
      <c r="D192" s="12" t="s">
        <v>624</v>
      </c>
      <c r="E192" s="12">
        <v>509764227</v>
      </c>
      <c r="F192" s="12" t="s">
        <v>207</v>
      </c>
      <c r="G192" s="12" t="s">
        <v>350</v>
      </c>
      <c r="H192" s="12" t="s">
        <v>40</v>
      </c>
      <c r="I192" s="12" t="s">
        <v>501</v>
      </c>
      <c r="J192" s="12" t="s">
        <v>40</v>
      </c>
      <c r="K192" s="12">
        <v>0</v>
      </c>
      <c r="L192" s="12">
        <v>1</v>
      </c>
      <c r="M192" s="12">
        <v>1</v>
      </c>
      <c r="N192" s="12">
        <v>1</v>
      </c>
      <c r="O192" s="12">
        <v>1</v>
      </c>
      <c r="P192" s="12">
        <v>1</v>
      </c>
      <c r="Q192" s="12">
        <v>1</v>
      </c>
    </row>
    <row r="193" spans="2:17" ht="17" x14ac:dyDescent="0.35">
      <c r="B193" s="12">
        <v>191</v>
      </c>
      <c r="C193" s="12" t="s">
        <v>625</v>
      </c>
      <c r="D193" s="12" t="s">
        <v>626</v>
      </c>
      <c r="E193" s="12">
        <v>53699596</v>
      </c>
      <c r="F193" s="12" t="s">
        <v>207</v>
      </c>
      <c r="G193" s="12" t="s">
        <v>350</v>
      </c>
      <c r="H193" s="12" t="s">
        <v>40</v>
      </c>
      <c r="I193" s="12" t="s">
        <v>133</v>
      </c>
      <c r="J193" s="12" t="s">
        <v>40</v>
      </c>
      <c r="K193" s="12">
        <v>1</v>
      </c>
      <c r="L193" s="12">
        <v>1</v>
      </c>
      <c r="M193" s="12">
        <v>1</v>
      </c>
      <c r="N193" s="12">
        <v>1</v>
      </c>
      <c r="O193" s="12">
        <v>1</v>
      </c>
      <c r="P193" s="12">
        <v>1</v>
      </c>
      <c r="Q193" s="12">
        <v>1</v>
      </c>
    </row>
    <row r="194" spans="2:17" ht="17" x14ac:dyDescent="0.35">
      <c r="B194" s="12">
        <v>192</v>
      </c>
      <c r="C194" s="12" t="s">
        <v>646</v>
      </c>
      <c r="D194" s="12" t="s">
        <v>627</v>
      </c>
      <c r="E194" s="12">
        <v>543039491</v>
      </c>
      <c r="F194" s="12" t="s">
        <v>305</v>
      </c>
      <c r="G194" s="12" t="s">
        <v>350</v>
      </c>
      <c r="H194" s="12" t="s">
        <v>144</v>
      </c>
      <c r="I194" s="12" t="s">
        <v>18</v>
      </c>
      <c r="J194" s="12" t="s">
        <v>18</v>
      </c>
      <c r="K194" s="12">
        <v>1</v>
      </c>
      <c r="L194" s="12">
        <v>1</v>
      </c>
      <c r="M194" s="12">
        <v>1</v>
      </c>
      <c r="N194" s="12">
        <v>1</v>
      </c>
      <c r="O194" s="12">
        <v>1</v>
      </c>
      <c r="P194" s="12">
        <v>1</v>
      </c>
      <c r="Q194" s="12">
        <v>1</v>
      </c>
    </row>
    <row r="195" spans="2:17" ht="17" x14ac:dyDescent="0.35">
      <c r="B195" s="12">
        <v>193</v>
      </c>
      <c r="C195" s="12" t="s">
        <v>628</v>
      </c>
      <c r="D195" s="12" t="s">
        <v>629</v>
      </c>
      <c r="E195" s="12">
        <v>552140454</v>
      </c>
      <c r="F195" s="12" t="s">
        <v>305</v>
      </c>
      <c r="G195" s="12" t="s">
        <v>350</v>
      </c>
      <c r="H195" s="12" t="s">
        <v>40</v>
      </c>
      <c r="I195" s="12" t="s">
        <v>134</v>
      </c>
      <c r="J195" s="12" t="s">
        <v>40</v>
      </c>
      <c r="K195" s="12">
        <v>1</v>
      </c>
      <c r="L195" s="12">
        <v>1</v>
      </c>
      <c r="M195" s="12">
        <v>1</v>
      </c>
      <c r="N195" s="12">
        <v>1</v>
      </c>
      <c r="O195" s="12">
        <v>1</v>
      </c>
      <c r="P195" s="12">
        <v>1</v>
      </c>
      <c r="Q195" s="12">
        <v>1</v>
      </c>
    </row>
    <row r="196" spans="2:17" ht="17" x14ac:dyDescent="0.35">
      <c r="B196" s="12">
        <v>194</v>
      </c>
      <c r="C196" s="12" t="s">
        <v>630</v>
      </c>
      <c r="D196" s="12" t="s">
        <v>631</v>
      </c>
      <c r="E196" s="12">
        <v>55011836</v>
      </c>
      <c r="F196" s="12" t="s">
        <v>305</v>
      </c>
      <c r="G196" s="12" t="s">
        <v>350</v>
      </c>
      <c r="H196" s="12" t="s">
        <v>40</v>
      </c>
      <c r="I196" s="12" t="s">
        <v>133</v>
      </c>
      <c r="J196" s="12" t="s">
        <v>40</v>
      </c>
      <c r="K196" s="12">
        <v>0</v>
      </c>
      <c r="L196" s="12">
        <v>0</v>
      </c>
      <c r="M196" s="12">
        <v>1</v>
      </c>
      <c r="N196" s="12">
        <v>1</v>
      </c>
      <c r="O196" s="12">
        <v>1</v>
      </c>
      <c r="P196" s="12">
        <v>1</v>
      </c>
      <c r="Q196" s="12">
        <v>1</v>
      </c>
    </row>
    <row r="197" spans="2:17" ht="17" x14ac:dyDescent="0.35">
      <c r="B197" s="12">
        <v>195</v>
      </c>
      <c r="C197" s="12" t="s">
        <v>632</v>
      </c>
      <c r="D197" s="12" t="s">
        <v>633</v>
      </c>
      <c r="E197" s="12">
        <v>550404704</v>
      </c>
      <c r="F197" s="12" t="s">
        <v>305</v>
      </c>
      <c r="G197" s="12" t="s">
        <v>350</v>
      </c>
      <c r="H197" s="12" t="s">
        <v>40</v>
      </c>
      <c r="I197" s="12" t="s">
        <v>134</v>
      </c>
      <c r="J197" s="12" t="s">
        <v>40</v>
      </c>
      <c r="K197" s="12">
        <v>1</v>
      </c>
      <c r="L197" s="12">
        <v>1</v>
      </c>
      <c r="M197" s="12">
        <v>1</v>
      </c>
      <c r="N197" s="12">
        <v>1</v>
      </c>
      <c r="O197" s="12">
        <v>1</v>
      </c>
      <c r="P197" s="12">
        <v>1</v>
      </c>
      <c r="Q197" s="12">
        <v>1</v>
      </c>
    </row>
    <row r="198" spans="2:17" ht="17" x14ac:dyDescent="0.35">
      <c r="B198" s="12">
        <v>196</v>
      </c>
      <c r="C198" s="12" t="s">
        <v>634</v>
      </c>
      <c r="D198" s="12" t="s">
        <v>635</v>
      </c>
      <c r="E198" s="12">
        <v>504130474</v>
      </c>
      <c r="F198" s="12" t="s">
        <v>305</v>
      </c>
      <c r="G198" s="12" t="s">
        <v>350</v>
      </c>
      <c r="H198" s="12" t="s">
        <v>97</v>
      </c>
      <c r="I198" s="12" t="s">
        <v>121</v>
      </c>
      <c r="J198" s="12" t="s">
        <v>97</v>
      </c>
      <c r="K198" s="12">
        <v>1</v>
      </c>
      <c r="L198" s="12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</row>
    <row r="199" spans="2:17" ht="17" x14ac:dyDescent="0.35">
      <c r="B199" s="12">
        <v>197</v>
      </c>
      <c r="C199" s="12" t="s">
        <v>636</v>
      </c>
      <c r="D199" s="12" t="s">
        <v>637</v>
      </c>
      <c r="E199" s="12">
        <v>562894210</v>
      </c>
      <c r="F199" s="12" t="s">
        <v>305</v>
      </c>
      <c r="G199" s="12" t="s">
        <v>350</v>
      </c>
      <c r="H199" s="12" t="s">
        <v>97</v>
      </c>
      <c r="I199" s="12" t="s">
        <v>123</v>
      </c>
      <c r="J199" s="12" t="s">
        <v>97</v>
      </c>
      <c r="K199" s="12">
        <v>0</v>
      </c>
      <c r="L199" s="12">
        <v>0</v>
      </c>
      <c r="M199" s="12">
        <v>1</v>
      </c>
      <c r="N199" s="12">
        <v>0</v>
      </c>
      <c r="O199" s="12">
        <v>0</v>
      </c>
      <c r="P199" s="12">
        <v>0</v>
      </c>
      <c r="Q199" s="12">
        <v>0</v>
      </c>
    </row>
    <row r="200" spans="2:17" ht="17" x14ac:dyDescent="0.35">
      <c r="B200" s="12">
        <v>198</v>
      </c>
      <c r="C200" s="12" t="s">
        <v>638</v>
      </c>
      <c r="D200" s="12" t="s">
        <v>639</v>
      </c>
      <c r="E200" s="12">
        <v>555877209</v>
      </c>
      <c r="F200" s="12" t="s">
        <v>305</v>
      </c>
      <c r="G200" s="12" t="s">
        <v>350</v>
      </c>
      <c r="H200" s="12" t="s">
        <v>144</v>
      </c>
      <c r="I200" s="12" t="s">
        <v>144</v>
      </c>
      <c r="J200" s="12" t="s">
        <v>144</v>
      </c>
      <c r="K200" s="12">
        <v>1</v>
      </c>
      <c r="L200" s="12">
        <v>1</v>
      </c>
      <c r="M200" s="12">
        <v>1</v>
      </c>
      <c r="N200" s="12">
        <v>1</v>
      </c>
      <c r="O200" s="12">
        <v>1</v>
      </c>
      <c r="P200" s="12">
        <v>1</v>
      </c>
      <c r="Q200" s="12">
        <v>1</v>
      </c>
    </row>
    <row r="201" spans="2:17" ht="17" x14ac:dyDescent="0.35">
      <c r="B201" s="12">
        <v>199</v>
      </c>
      <c r="C201" s="12" t="s">
        <v>640</v>
      </c>
      <c r="D201" s="12" t="s">
        <v>641</v>
      </c>
      <c r="E201" s="12">
        <v>55768909</v>
      </c>
      <c r="F201" s="12" t="s">
        <v>305</v>
      </c>
      <c r="G201" s="12" t="s">
        <v>350</v>
      </c>
      <c r="H201" s="12" t="s">
        <v>40</v>
      </c>
      <c r="I201" s="12" t="s">
        <v>134</v>
      </c>
      <c r="J201" s="12" t="s">
        <v>40</v>
      </c>
      <c r="K201" s="12">
        <v>1</v>
      </c>
      <c r="L201" s="12">
        <v>1</v>
      </c>
      <c r="M201" s="12">
        <v>1</v>
      </c>
      <c r="N201" s="12">
        <v>1</v>
      </c>
      <c r="O201" s="12">
        <v>1</v>
      </c>
      <c r="P201" s="12">
        <v>1</v>
      </c>
      <c r="Q201" s="12">
        <v>1</v>
      </c>
    </row>
    <row r="202" spans="2:17" ht="17" x14ac:dyDescent="0.35">
      <c r="B202" s="12">
        <v>200</v>
      </c>
      <c r="C202" s="12" t="s">
        <v>642</v>
      </c>
      <c r="D202" s="12" t="s">
        <v>643</v>
      </c>
      <c r="E202" s="12">
        <v>557444435</v>
      </c>
      <c r="F202" s="12" t="s">
        <v>305</v>
      </c>
      <c r="G202" s="12" t="s">
        <v>350</v>
      </c>
      <c r="H202" s="12" t="s">
        <v>40</v>
      </c>
      <c r="I202" s="12" t="s">
        <v>134</v>
      </c>
      <c r="J202" s="12" t="s">
        <v>40</v>
      </c>
      <c r="K202" s="12">
        <v>1</v>
      </c>
      <c r="L202" s="12">
        <v>1</v>
      </c>
      <c r="M202" s="12">
        <v>1</v>
      </c>
      <c r="N202" s="12">
        <v>1</v>
      </c>
      <c r="O202" s="12">
        <v>1</v>
      </c>
      <c r="P202" s="12">
        <v>1</v>
      </c>
      <c r="Q202" s="12">
        <v>1</v>
      </c>
    </row>
    <row r="203" spans="2:17" ht="17" x14ac:dyDescent="0.35">
      <c r="B203" s="12">
        <v>201</v>
      </c>
      <c r="C203" s="12" t="s">
        <v>644</v>
      </c>
      <c r="D203" s="12" t="s">
        <v>645</v>
      </c>
      <c r="E203" s="12">
        <v>534933757</v>
      </c>
      <c r="F203" s="12" t="s">
        <v>305</v>
      </c>
      <c r="G203" s="12" t="s">
        <v>350</v>
      </c>
      <c r="H203" s="12" t="s">
        <v>40</v>
      </c>
      <c r="I203" s="12" t="s">
        <v>134</v>
      </c>
      <c r="J203" s="12" t="s">
        <v>40</v>
      </c>
      <c r="K203" s="12">
        <v>1</v>
      </c>
      <c r="L203" s="12">
        <v>1</v>
      </c>
      <c r="M203" s="12">
        <v>1</v>
      </c>
      <c r="N203" s="12">
        <v>1</v>
      </c>
      <c r="O203" s="12">
        <v>1</v>
      </c>
      <c r="P203" s="12">
        <v>1</v>
      </c>
      <c r="Q203" s="12">
        <v>1</v>
      </c>
    </row>
    <row r="204" spans="2:17" ht="17" x14ac:dyDescent="0.35">
      <c r="B204" s="12">
        <v>202</v>
      </c>
      <c r="C204" s="12" t="s">
        <v>647</v>
      </c>
      <c r="D204" s="12" t="s">
        <v>648</v>
      </c>
      <c r="E204" s="12">
        <v>507769877</v>
      </c>
      <c r="F204" s="12" t="s">
        <v>649</v>
      </c>
      <c r="G204" s="12" t="s">
        <v>700</v>
      </c>
      <c r="H204" s="12" t="s">
        <v>40</v>
      </c>
      <c r="I204" s="12" t="s">
        <v>133</v>
      </c>
      <c r="J204" s="12" t="s">
        <v>40</v>
      </c>
      <c r="K204" s="12">
        <v>1</v>
      </c>
      <c r="L204" s="12">
        <v>1</v>
      </c>
      <c r="M204" s="12">
        <v>1</v>
      </c>
      <c r="N204" s="12">
        <v>1</v>
      </c>
      <c r="O204" s="12">
        <v>1</v>
      </c>
      <c r="P204" s="12">
        <v>1</v>
      </c>
      <c r="Q204" s="12">
        <v>1</v>
      </c>
    </row>
    <row r="205" spans="2:17" ht="17" x14ac:dyDescent="0.35">
      <c r="B205" s="12">
        <v>203</v>
      </c>
      <c r="C205" s="12" t="s">
        <v>650</v>
      </c>
      <c r="D205" s="12" t="s">
        <v>651</v>
      </c>
      <c r="E205" s="12">
        <v>562060445</v>
      </c>
      <c r="F205" s="12" t="s">
        <v>652</v>
      </c>
      <c r="G205" s="12" t="s">
        <v>181</v>
      </c>
      <c r="H205" s="12" t="s">
        <v>96</v>
      </c>
      <c r="I205" s="12" t="s">
        <v>98</v>
      </c>
      <c r="J205" s="12" t="s">
        <v>98</v>
      </c>
      <c r="K205" s="12">
        <v>1</v>
      </c>
      <c r="L205" s="12">
        <v>1</v>
      </c>
      <c r="M205" s="12">
        <v>1</v>
      </c>
      <c r="N205" s="12">
        <v>1</v>
      </c>
      <c r="O205" s="12">
        <v>1</v>
      </c>
      <c r="P205" s="12">
        <v>1</v>
      </c>
      <c r="Q205" s="12">
        <v>1</v>
      </c>
    </row>
    <row r="206" spans="2:17" ht="17" x14ac:dyDescent="0.35">
      <c r="B206" s="12">
        <v>204</v>
      </c>
      <c r="C206" s="12" t="s">
        <v>653</v>
      </c>
      <c r="D206" s="12" t="s">
        <v>654</v>
      </c>
      <c r="E206" s="12">
        <v>547092178</v>
      </c>
      <c r="F206" s="12" t="s">
        <v>305</v>
      </c>
      <c r="G206" s="12" t="s">
        <v>700</v>
      </c>
      <c r="H206" s="12" t="s">
        <v>24</v>
      </c>
      <c r="I206" s="12" t="s">
        <v>24</v>
      </c>
      <c r="J206" s="12" t="s">
        <v>24</v>
      </c>
      <c r="K206" s="12">
        <v>0</v>
      </c>
      <c r="L206" s="12">
        <v>0</v>
      </c>
      <c r="M206" s="12">
        <v>1</v>
      </c>
      <c r="N206" s="12">
        <v>1</v>
      </c>
      <c r="O206" s="12">
        <v>0</v>
      </c>
      <c r="P206" s="12">
        <v>0</v>
      </c>
      <c r="Q206" s="12">
        <v>0</v>
      </c>
    </row>
    <row r="207" spans="2:17" ht="17" x14ac:dyDescent="0.35">
      <c r="B207" s="12">
        <v>205</v>
      </c>
      <c r="C207" s="12" t="s">
        <v>655</v>
      </c>
      <c r="D207" s="12" t="s">
        <v>656</v>
      </c>
      <c r="E207" s="12">
        <v>564983603</v>
      </c>
      <c r="F207" s="12" t="s">
        <v>657</v>
      </c>
      <c r="G207" s="12" t="s">
        <v>700</v>
      </c>
      <c r="H207" s="12" t="s">
        <v>38</v>
      </c>
      <c r="I207" s="12" t="s">
        <v>89</v>
      </c>
      <c r="J207" s="12" t="s">
        <v>89</v>
      </c>
      <c r="K207" s="12">
        <v>1</v>
      </c>
      <c r="L207" s="12">
        <v>0</v>
      </c>
      <c r="M207" s="12">
        <v>0</v>
      </c>
      <c r="N207" s="12">
        <v>0</v>
      </c>
      <c r="O207" s="12">
        <v>0</v>
      </c>
      <c r="P207" s="12">
        <v>2</v>
      </c>
      <c r="Q207" s="12">
        <v>2</v>
      </c>
    </row>
    <row r="208" spans="2:17" ht="17" x14ac:dyDescent="0.35">
      <c r="B208" s="12">
        <v>206</v>
      </c>
      <c r="C208" s="12" t="s">
        <v>658</v>
      </c>
      <c r="D208" s="12" t="s">
        <v>659</v>
      </c>
      <c r="E208" s="12">
        <v>55343180</v>
      </c>
      <c r="F208" s="12" t="s">
        <v>305</v>
      </c>
      <c r="G208" s="12" t="s">
        <v>700</v>
      </c>
      <c r="H208" s="12" t="s">
        <v>144</v>
      </c>
      <c r="I208" s="12" t="s">
        <v>30</v>
      </c>
      <c r="J208" s="12" t="s">
        <v>30</v>
      </c>
      <c r="K208" s="12">
        <v>0</v>
      </c>
      <c r="L208" s="12">
        <v>1</v>
      </c>
      <c r="M208" s="12">
        <v>0</v>
      </c>
      <c r="N208" s="12">
        <v>1</v>
      </c>
      <c r="O208" s="12">
        <v>0</v>
      </c>
      <c r="P208" s="12">
        <v>0</v>
      </c>
      <c r="Q208" s="12">
        <v>0</v>
      </c>
    </row>
    <row r="209" spans="2:17" ht="17" x14ac:dyDescent="0.35">
      <c r="B209" s="12">
        <v>207</v>
      </c>
      <c r="C209" s="12" t="s">
        <v>660</v>
      </c>
      <c r="D209" s="12" t="s">
        <v>661</v>
      </c>
      <c r="E209" s="12">
        <v>551086669</v>
      </c>
      <c r="F209" s="12" t="s">
        <v>662</v>
      </c>
      <c r="G209" s="12" t="s">
        <v>700</v>
      </c>
      <c r="H209" s="12" t="s">
        <v>96</v>
      </c>
      <c r="I209" s="12" t="s">
        <v>138</v>
      </c>
      <c r="J209" s="12" t="s">
        <v>138</v>
      </c>
      <c r="K209" s="12">
        <v>1</v>
      </c>
      <c r="L209" s="12">
        <v>1</v>
      </c>
      <c r="M209" s="12">
        <v>1</v>
      </c>
      <c r="N209" s="12">
        <v>1</v>
      </c>
      <c r="O209" s="12">
        <v>1</v>
      </c>
      <c r="P209" s="12">
        <v>1</v>
      </c>
      <c r="Q209" s="12">
        <v>0</v>
      </c>
    </row>
    <row r="210" spans="2:17" ht="17" x14ac:dyDescent="0.35">
      <c r="B210" s="12">
        <v>208</v>
      </c>
      <c r="C210" s="12" t="s">
        <v>663</v>
      </c>
      <c r="D210" s="12" t="s">
        <v>664</v>
      </c>
      <c r="E210" s="12">
        <v>535535146</v>
      </c>
      <c r="F210" s="12" t="s">
        <v>665</v>
      </c>
      <c r="G210" s="12" t="s">
        <v>700</v>
      </c>
      <c r="H210" s="12" t="s">
        <v>96</v>
      </c>
      <c r="I210" s="12" t="s">
        <v>138</v>
      </c>
      <c r="J210" s="12" t="s">
        <v>138</v>
      </c>
      <c r="K210" s="12">
        <v>1</v>
      </c>
      <c r="L210" s="12">
        <v>1</v>
      </c>
      <c r="M210" s="12">
        <v>1</v>
      </c>
      <c r="N210" s="12">
        <v>1</v>
      </c>
      <c r="O210" s="12">
        <v>1</v>
      </c>
      <c r="P210" s="12">
        <v>1</v>
      </c>
      <c r="Q210" s="12">
        <v>1</v>
      </c>
    </row>
    <row r="211" spans="2:17" ht="17" x14ac:dyDescent="0.35">
      <c r="B211" s="12">
        <v>209</v>
      </c>
      <c r="C211" s="12" t="s">
        <v>666</v>
      </c>
      <c r="D211" s="12" t="s">
        <v>667</v>
      </c>
      <c r="E211" s="12">
        <v>569670759</v>
      </c>
      <c r="F211" s="12" t="s">
        <v>666</v>
      </c>
      <c r="G211" s="12" t="s">
        <v>181</v>
      </c>
      <c r="H211" s="12" t="s">
        <v>96</v>
      </c>
      <c r="I211" s="12" t="s">
        <v>138</v>
      </c>
      <c r="J211" s="12" t="s">
        <v>138</v>
      </c>
      <c r="K211" s="12">
        <v>1</v>
      </c>
      <c r="L211" s="12">
        <v>1</v>
      </c>
      <c r="M211" s="12">
        <v>1</v>
      </c>
      <c r="N211" s="12">
        <v>1</v>
      </c>
      <c r="O211" s="12">
        <v>1</v>
      </c>
      <c r="P211" s="12">
        <v>1</v>
      </c>
      <c r="Q211" s="12">
        <v>1</v>
      </c>
    </row>
    <row r="212" spans="2:17" ht="17" x14ac:dyDescent="0.35">
      <c r="B212" s="12">
        <v>210</v>
      </c>
      <c r="C212" s="12" t="s">
        <v>668</v>
      </c>
      <c r="D212" s="12" t="s">
        <v>669</v>
      </c>
      <c r="E212" s="12">
        <v>560056156</v>
      </c>
      <c r="F212" s="12" t="s">
        <v>305</v>
      </c>
      <c r="G212" s="12" t="s">
        <v>350</v>
      </c>
      <c r="H212" s="12" t="s">
        <v>144</v>
      </c>
      <c r="I212" s="12" t="s">
        <v>53</v>
      </c>
      <c r="J212" s="12" t="s">
        <v>144</v>
      </c>
      <c r="K212" s="12">
        <v>1</v>
      </c>
      <c r="L212" s="12">
        <v>1</v>
      </c>
      <c r="M212" s="12">
        <v>1</v>
      </c>
      <c r="N212" s="12">
        <v>1</v>
      </c>
      <c r="O212" s="12">
        <v>1</v>
      </c>
      <c r="P212" s="12">
        <v>0</v>
      </c>
      <c r="Q212" s="12">
        <v>0</v>
      </c>
    </row>
    <row r="213" spans="2:17" ht="17" x14ac:dyDescent="0.35">
      <c r="B213" s="12">
        <v>211</v>
      </c>
      <c r="C213" s="12" t="s">
        <v>670</v>
      </c>
      <c r="D213" s="12" t="s">
        <v>671</v>
      </c>
      <c r="E213" s="12">
        <v>504577997</v>
      </c>
      <c r="F213" s="12" t="s">
        <v>207</v>
      </c>
      <c r="G213" s="12" t="s">
        <v>350</v>
      </c>
      <c r="H213" s="12" t="s">
        <v>40</v>
      </c>
      <c r="I213" s="12" t="s">
        <v>133</v>
      </c>
      <c r="J213" s="12" t="s">
        <v>40</v>
      </c>
      <c r="K213" s="12">
        <v>0</v>
      </c>
      <c r="L213" s="12">
        <v>1</v>
      </c>
      <c r="M213" s="12">
        <v>1</v>
      </c>
      <c r="N213" s="12">
        <v>1</v>
      </c>
      <c r="O213" s="12">
        <v>1</v>
      </c>
      <c r="P213" s="12">
        <v>1</v>
      </c>
      <c r="Q213" s="12">
        <v>1</v>
      </c>
    </row>
    <row r="214" spans="2:17" ht="17" x14ac:dyDescent="0.35">
      <c r="B214" s="12">
        <v>212</v>
      </c>
      <c r="C214" s="12" t="s">
        <v>672</v>
      </c>
      <c r="D214" s="12" t="s">
        <v>673</v>
      </c>
      <c r="E214" s="12">
        <v>50652952</v>
      </c>
      <c r="F214" s="12" t="s">
        <v>207</v>
      </c>
      <c r="G214" s="12" t="s">
        <v>350</v>
      </c>
      <c r="H214" s="12" t="s">
        <v>144</v>
      </c>
      <c r="I214" s="12" t="s">
        <v>53</v>
      </c>
      <c r="J214" s="12" t="s">
        <v>144</v>
      </c>
      <c r="K214" s="12">
        <v>0</v>
      </c>
      <c r="L214" s="12">
        <v>1</v>
      </c>
      <c r="M214" s="12">
        <v>1</v>
      </c>
      <c r="N214" s="12">
        <v>1</v>
      </c>
      <c r="O214" s="12">
        <v>1</v>
      </c>
      <c r="P214" s="12">
        <v>0</v>
      </c>
      <c r="Q214" s="12">
        <v>0</v>
      </c>
    </row>
    <row r="215" spans="2:17" ht="17" x14ac:dyDescent="0.35">
      <c r="B215" s="12">
        <v>213</v>
      </c>
      <c r="C215" s="12" t="s">
        <v>674</v>
      </c>
      <c r="D215" s="12" t="s">
        <v>675</v>
      </c>
      <c r="E215" s="12">
        <v>555531479</v>
      </c>
      <c r="F215" s="12" t="s">
        <v>207</v>
      </c>
      <c r="G215" s="12" t="s">
        <v>350</v>
      </c>
      <c r="H215" s="12" t="s">
        <v>144</v>
      </c>
      <c r="I215" s="12" t="s">
        <v>53</v>
      </c>
      <c r="J215" s="12" t="s">
        <v>144</v>
      </c>
      <c r="K215" s="12">
        <v>1</v>
      </c>
      <c r="L215" s="12">
        <v>1</v>
      </c>
      <c r="M215" s="12">
        <v>1</v>
      </c>
      <c r="N215" s="12">
        <v>1</v>
      </c>
      <c r="O215" s="12">
        <v>0</v>
      </c>
      <c r="P215" s="12">
        <v>0</v>
      </c>
      <c r="Q215" s="12">
        <v>0</v>
      </c>
    </row>
    <row r="216" spans="2:17" ht="17" x14ac:dyDescent="0.35">
      <c r="B216" s="12">
        <v>214</v>
      </c>
      <c r="C216" s="12" t="s">
        <v>676</v>
      </c>
      <c r="D216" s="12" t="s">
        <v>677</v>
      </c>
      <c r="E216" s="12">
        <v>555721800</v>
      </c>
      <c r="F216" s="12" t="s">
        <v>207</v>
      </c>
      <c r="G216" s="12" t="s">
        <v>350</v>
      </c>
      <c r="H216" s="12" t="s">
        <v>144</v>
      </c>
      <c r="I216" s="12" t="s">
        <v>18</v>
      </c>
      <c r="J216" s="12" t="s">
        <v>18</v>
      </c>
      <c r="K216" s="12">
        <v>1</v>
      </c>
      <c r="L216" s="12">
        <v>1</v>
      </c>
      <c r="M216" s="12">
        <v>1</v>
      </c>
      <c r="N216" s="12">
        <v>1</v>
      </c>
      <c r="O216" s="12">
        <v>1</v>
      </c>
      <c r="P216" s="12">
        <v>1</v>
      </c>
      <c r="Q216" s="12">
        <v>0</v>
      </c>
    </row>
    <row r="217" spans="2:17" ht="17" x14ac:dyDescent="0.35">
      <c r="B217" s="12">
        <v>215</v>
      </c>
      <c r="C217" s="12" t="s">
        <v>678</v>
      </c>
      <c r="D217" s="12" t="s">
        <v>679</v>
      </c>
      <c r="E217" s="12">
        <v>543040905</v>
      </c>
      <c r="F217" s="12" t="s">
        <v>305</v>
      </c>
      <c r="G217" s="12" t="s">
        <v>350</v>
      </c>
      <c r="H217" s="12" t="s">
        <v>144</v>
      </c>
      <c r="I217" s="12" t="s">
        <v>18</v>
      </c>
      <c r="J217" s="12" t="s">
        <v>18</v>
      </c>
      <c r="K217" s="12">
        <v>1</v>
      </c>
      <c r="L217" s="12">
        <v>1</v>
      </c>
      <c r="M217" s="12">
        <v>1</v>
      </c>
      <c r="N217" s="12">
        <v>1</v>
      </c>
      <c r="O217" s="12">
        <v>1</v>
      </c>
      <c r="P217" s="12">
        <v>1</v>
      </c>
      <c r="Q217" s="12">
        <v>1</v>
      </c>
    </row>
    <row r="218" spans="2:17" ht="17" x14ac:dyDescent="0.35">
      <c r="B218" s="12">
        <v>216</v>
      </c>
      <c r="C218" s="12" t="s">
        <v>680</v>
      </c>
      <c r="D218" s="12" t="s">
        <v>681</v>
      </c>
      <c r="E218" s="12">
        <v>508878096</v>
      </c>
      <c r="F218" s="12" t="s">
        <v>207</v>
      </c>
      <c r="G218" s="12" t="s">
        <v>350</v>
      </c>
      <c r="H218" s="12" t="s">
        <v>144</v>
      </c>
      <c r="I218" s="12" t="s">
        <v>30</v>
      </c>
      <c r="J218" s="12" t="s">
        <v>30</v>
      </c>
      <c r="K218" s="12">
        <v>1</v>
      </c>
      <c r="L218" s="12">
        <v>1</v>
      </c>
      <c r="M218" s="12"/>
      <c r="N218" s="12">
        <v>1</v>
      </c>
      <c r="O218" s="12">
        <v>1</v>
      </c>
      <c r="P218" s="12">
        <v>1</v>
      </c>
      <c r="Q218" s="12">
        <v>1</v>
      </c>
    </row>
    <row r="219" spans="2:17" ht="17" x14ac:dyDescent="0.35">
      <c r="B219" s="12">
        <v>217</v>
      </c>
      <c r="C219" s="12" t="s">
        <v>682</v>
      </c>
      <c r="D219" s="12" t="s">
        <v>683</v>
      </c>
      <c r="E219" s="12">
        <v>504337718</v>
      </c>
      <c r="F219" s="12" t="s">
        <v>305</v>
      </c>
      <c r="G219" s="12" t="s">
        <v>350</v>
      </c>
      <c r="H219" s="12" t="s">
        <v>144</v>
      </c>
      <c r="I219" s="12" t="s">
        <v>30</v>
      </c>
      <c r="J219" s="12" t="s">
        <v>30</v>
      </c>
      <c r="K219" s="12">
        <v>0</v>
      </c>
      <c r="L219" s="12">
        <v>0</v>
      </c>
      <c r="M219" s="12">
        <v>0</v>
      </c>
      <c r="N219" s="12">
        <v>1</v>
      </c>
      <c r="O219" s="12">
        <v>0</v>
      </c>
      <c r="P219" s="12">
        <v>0</v>
      </c>
      <c r="Q219" s="12">
        <v>0</v>
      </c>
    </row>
    <row r="220" spans="2:17" ht="17" x14ac:dyDescent="0.35">
      <c r="B220" s="12">
        <v>218</v>
      </c>
      <c r="C220" s="12" t="s">
        <v>684</v>
      </c>
      <c r="D220" s="12" t="s">
        <v>685</v>
      </c>
      <c r="E220" s="12">
        <v>555106645</v>
      </c>
      <c r="F220" s="12" t="s">
        <v>305</v>
      </c>
      <c r="G220" s="12" t="s">
        <v>350</v>
      </c>
      <c r="H220" s="12" t="s">
        <v>38</v>
      </c>
      <c r="I220" s="12" t="s">
        <v>111</v>
      </c>
      <c r="J220" s="12" t="s">
        <v>95</v>
      </c>
      <c r="K220" s="12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</row>
    <row r="221" spans="2:17" ht="17" x14ac:dyDescent="0.35">
      <c r="B221" s="12">
        <v>219</v>
      </c>
      <c r="C221" s="12" t="s">
        <v>686</v>
      </c>
      <c r="D221" s="12" t="s">
        <v>687</v>
      </c>
      <c r="E221" s="12">
        <v>599090195</v>
      </c>
      <c r="F221" s="12" t="s">
        <v>305</v>
      </c>
      <c r="G221" s="12" t="s">
        <v>350</v>
      </c>
      <c r="H221" s="12" t="s">
        <v>97</v>
      </c>
      <c r="I221" s="12" t="s">
        <v>120</v>
      </c>
      <c r="J221" s="12" t="s">
        <v>97</v>
      </c>
      <c r="K221" s="12">
        <v>0</v>
      </c>
      <c r="L221" s="12">
        <v>0</v>
      </c>
      <c r="M221" s="12">
        <v>1</v>
      </c>
      <c r="N221" s="12">
        <v>0</v>
      </c>
      <c r="O221" s="12">
        <v>1</v>
      </c>
      <c r="P221" s="12">
        <v>0</v>
      </c>
      <c r="Q221" s="12">
        <v>0</v>
      </c>
    </row>
    <row r="222" spans="2:17" ht="17" x14ac:dyDescent="0.35">
      <c r="B222" s="12">
        <v>220</v>
      </c>
      <c r="C222" s="12" t="s">
        <v>688</v>
      </c>
      <c r="D222" s="12" t="s">
        <v>689</v>
      </c>
      <c r="E222" s="12">
        <v>555391345</v>
      </c>
      <c r="F222" s="12" t="s">
        <v>207</v>
      </c>
      <c r="G222" s="12" t="s">
        <v>350</v>
      </c>
      <c r="H222" s="12" t="s">
        <v>94</v>
      </c>
      <c r="I222" s="12" t="s">
        <v>108</v>
      </c>
      <c r="J222" s="12" t="s">
        <v>94</v>
      </c>
      <c r="K222" s="12">
        <v>0</v>
      </c>
      <c r="L222" s="12">
        <v>1</v>
      </c>
      <c r="M222" s="12">
        <v>1</v>
      </c>
      <c r="N222" s="12">
        <v>0</v>
      </c>
      <c r="O222" s="12">
        <v>0</v>
      </c>
      <c r="P222" s="12">
        <v>0</v>
      </c>
      <c r="Q222" s="12">
        <v>0</v>
      </c>
    </row>
    <row r="223" spans="2:17" ht="17" x14ac:dyDescent="0.35">
      <c r="B223" s="12">
        <v>221</v>
      </c>
      <c r="C223" s="12" t="s">
        <v>690</v>
      </c>
      <c r="D223" s="12" t="s">
        <v>691</v>
      </c>
      <c r="E223" s="12">
        <v>592080007</v>
      </c>
      <c r="F223" s="12" t="s">
        <v>305</v>
      </c>
      <c r="G223" s="12" t="s">
        <v>350</v>
      </c>
      <c r="H223" s="12" t="s">
        <v>38</v>
      </c>
      <c r="I223" s="12" t="s">
        <v>38</v>
      </c>
      <c r="J223" s="12" t="s">
        <v>38</v>
      </c>
      <c r="K223" s="12">
        <v>1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</row>
    <row r="224" spans="2:17" ht="17" x14ac:dyDescent="0.35">
      <c r="B224" s="12">
        <v>222</v>
      </c>
      <c r="C224" s="12" t="s">
        <v>692</v>
      </c>
      <c r="D224" s="12" t="s">
        <v>693</v>
      </c>
      <c r="E224" s="12">
        <v>580008374</v>
      </c>
      <c r="F224" s="12" t="s">
        <v>694</v>
      </c>
      <c r="G224" s="12" t="s">
        <v>181</v>
      </c>
      <c r="H224" s="12" t="s">
        <v>96</v>
      </c>
      <c r="I224" s="12" t="s">
        <v>98</v>
      </c>
      <c r="J224" s="12" t="s">
        <v>98</v>
      </c>
      <c r="K224" s="12">
        <v>0</v>
      </c>
      <c r="L224" s="12">
        <v>1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</row>
    <row r="225" spans="2:17" ht="17" x14ac:dyDescent="0.35">
      <c r="B225" s="12">
        <v>223</v>
      </c>
      <c r="C225" s="12" t="s">
        <v>695</v>
      </c>
      <c r="D225" s="12" t="s">
        <v>696</v>
      </c>
      <c r="E225" s="12">
        <v>546505524</v>
      </c>
      <c r="F225" s="12" t="s">
        <v>305</v>
      </c>
      <c r="G225" s="12" t="s">
        <v>350</v>
      </c>
      <c r="H225" s="12" t="s">
        <v>38</v>
      </c>
      <c r="I225" s="12" t="s">
        <v>38</v>
      </c>
      <c r="J225" s="12" t="s">
        <v>38</v>
      </c>
      <c r="K225" s="12">
        <v>0</v>
      </c>
      <c r="L225" s="12">
        <v>0</v>
      </c>
      <c r="M225" s="12">
        <v>1</v>
      </c>
      <c r="N225" s="12">
        <v>1</v>
      </c>
      <c r="O225" s="12">
        <v>1</v>
      </c>
      <c r="P225" s="12">
        <v>0</v>
      </c>
      <c r="Q225" s="12">
        <v>0</v>
      </c>
    </row>
    <row r="226" spans="2:17" ht="17" x14ac:dyDescent="0.35">
      <c r="B226" s="12">
        <v>224</v>
      </c>
      <c r="C226" s="12" t="s">
        <v>697</v>
      </c>
      <c r="D226" s="12" t="s">
        <v>698</v>
      </c>
      <c r="E226" s="12">
        <v>503708977</v>
      </c>
      <c r="F226" s="12" t="s">
        <v>527</v>
      </c>
      <c r="G226" s="12" t="s">
        <v>181</v>
      </c>
      <c r="H226" s="12" t="s">
        <v>144</v>
      </c>
      <c r="I226" s="12" t="s">
        <v>18</v>
      </c>
      <c r="J226" s="12" t="s">
        <v>18</v>
      </c>
      <c r="K226" s="12">
        <v>1</v>
      </c>
      <c r="L226" s="12">
        <v>1</v>
      </c>
      <c r="M226" s="12">
        <v>1</v>
      </c>
      <c r="N226" s="12">
        <v>1</v>
      </c>
      <c r="O226" s="12">
        <v>1</v>
      </c>
      <c r="P226" s="12">
        <v>1</v>
      </c>
      <c r="Q226" s="12">
        <v>1</v>
      </c>
    </row>
    <row r="227" spans="2:17" ht="17" x14ac:dyDescent="0.35">
      <c r="B227" s="12">
        <v>225</v>
      </c>
      <c r="C227" s="12" t="s">
        <v>699</v>
      </c>
      <c r="D227" s="12" t="s">
        <v>603</v>
      </c>
      <c r="E227" s="12">
        <v>504868259</v>
      </c>
      <c r="F227" s="12" t="s">
        <v>207</v>
      </c>
      <c r="G227" s="12" t="s">
        <v>700</v>
      </c>
      <c r="H227" s="12" t="s">
        <v>38</v>
      </c>
      <c r="I227" s="12" t="s">
        <v>52</v>
      </c>
      <c r="J227" s="12" t="s">
        <v>52</v>
      </c>
      <c r="K227" s="12">
        <v>0</v>
      </c>
      <c r="L227" s="12">
        <v>0</v>
      </c>
      <c r="M227" s="12">
        <v>1</v>
      </c>
      <c r="N227" s="12">
        <v>1</v>
      </c>
      <c r="O227" s="12">
        <v>1</v>
      </c>
      <c r="P227" s="12">
        <v>0</v>
      </c>
      <c r="Q227" s="12">
        <v>0</v>
      </c>
    </row>
    <row r="228" spans="2:17" ht="17" x14ac:dyDescent="0.35">
      <c r="B228" s="14">
        <v>226</v>
      </c>
      <c r="C228" s="14" t="s">
        <v>707</v>
      </c>
      <c r="D228" s="14" t="s">
        <v>708</v>
      </c>
      <c r="E228" s="14">
        <v>530282832</v>
      </c>
      <c r="F228" s="14" t="s">
        <v>709</v>
      </c>
      <c r="G228" s="14" t="s">
        <v>700</v>
      </c>
      <c r="H228" s="14" t="s">
        <v>93</v>
      </c>
      <c r="I228" s="14" t="s">
        <v>104</v>
      </c>
      <c r="J228" s="12" t="s">
        <v>93</v>
      </c>
      <c r="K228" s="12">
        <v>0</v>
      </c>
      <c r="L228" s="12">
        <v>1</v>
      </c>
      <c r="M228" s="12">
        <v>1</v>
      </c>
      <c r="N228" s="12">
        <v>0</v>
      </c>
      <c r="O228" s="12">
        <v>1</v>
      </c>
      <c r="P228" s="12">
        <v>0</v>
      </c>
      <c r="Q228" s="12">
        <v>0</v>
      </c>
    </row>
    <row r="229" spans="2:17" ht="17" x14ac:dyDescent="0.35">
      <c r="B229" s="14">
        <v>227</v>
      </c>
      <c r="C229" s="14" t="s">
        <v>710</v>
      </c>
      <c r="D229" s="14" t="s">
        <v>711</v>
      </c>
      <c r="E229" s="14">
        <v>561040409</v>
      </c>
      <c r="F229" s="14" t="s">
        <v>710</v>
      </c>
      <c r="G229" s="14" t="s">
        <v>700</v>
      </c>
      <c r="H229" s="14" t="s">
        <v>93</v>
      </c>
      <c r="I229" s="14" t="s">
        <v>93</v>
      </c>
      <c r="J229" s="12" t="s">
        <v>93</v>
      </c>
      <c r="K229" s="12">
        <v>1</v>
      </c>
      <c r="L229" s="12">
        <v>1</v>
      </c>
      <c r="M229" s="12">
        <v>0</v>
      </c>
      <c r="N229" s="12">
        <v>0</v>
      </c>
      <c r="O229" s="12">
        <v>1</v>
      </c>
      <c r="P229" s="12">
        <v>0</v>
      </c>
      <c r="Q229" s="12">
        <v>0</v>
      </c>
    </row>
    <row r="230" spans="2:17" ht="17" x14ac:dyDescent="0.35">
      <c r="B230" s="14">
        <v>228</v>
      </c>
      <c r="C230" s="14" t="s">
        <v>712</v>
      </c>
      <c r="D230" s="14" t="s">
        <v>713</v>
      </c>
      <c r="E230" s="14">
        <v>531210933</v>
      </c>
      <c r="F230" s="14" t="s">
        <v>207</v>
      </c>
      <c r="G230" s="14" t="s">
        <v>700</v>
      </c>
      <c r="H230" s="14" t="s">
        <v>97</v>
      </c>
      <c r="I230" s="14" t="s">
        <v>120</v>
      </c>
      <c r="J230" s="12" t="s">
        <v>97</v>
      </c>
      <c r="K230" s="12">
        <v>0</v>
      </c>
      <c r="L230" s="12">
        <v>0</v>
      </c>
      <c r="M230" s="12">
        <v>1</v>
      </c>
      <c r="N230" s="12">
        <v>1</v>
      </c>
      <c r="O230" s="12">
        <v>0</v>
      </c>
      <c r="P230" s="12">
        <v>0</v>
      </c>
      <c r="Q230" s="12">
        <v>0</v>
      </c>
    </row>
    <row r="231" spans="2:17" ht="17" x14ac:dyDescent="0.35">
      <c r="B231" s="14">
        <v>229</v>
      </c>
      <c r="C231" s="14" t="s">
        <v>714</v>
      </c>
      <c r="D231" s="14" t="s">
        <v>715</v>
      </c>
      <c r="E231" s="14">
        <v>556046415</v>
      </c>
      <c r="F231" s="14" t="s">
        <v>305</v>
      </c>
      <c r="G231" s="14" t="s">
        <v>700</v>
      </c>
      <c r="H231" s="14" t="s">
        <v>144</v>
      </c>
      <c r="I231" s="14" t="s">
        <v>30</v>
      </c>
      <c r="J231" s="12" t="s">
        <v>30</v>
      </c>
      <c r="K231" s="12">
        <v>1</v>
      </c>
      <c r="L231" s="12">
        <v>1</v>
      </c>
      <c r="M231" s="12">
        <v>1</v>
      </c>
      <c r="N231" s="12">
        <v>1</v>
      </c>
      <c r="O231" s="12">
        <v>2</v>
      </c>
      <c r="P231" s="12">
        <v>2</v>
      </c>
      <c r="Q231" s="12">
        <v>1</v>
      </c>
    </row>
    <row r="232" spans="2:17" ht="17" x14ac:dyDescent="0.35">
      <c r="B232" s="14">
        <v>230</v>
      </c>
      <c r="C232" s="14" t="s">
        <v>716</v>
      </c>
      <c r="D232" s="14" t="s">
        <v>717</v>
      </c>
      <c r="E232" s="14">
        <v>565885126</v>
      </c>
      <c r="F232" s="14" t="s">
        <v>716</v>
      </c>
      <c r="G232" s="14" t="s">
        <v>181</v>
      </c>
      <c r="H232" s="14" t="s">
        <v>96</v>
      </c>
      <c r="I232" s="14" t="s">
        <v>98</v>
      </c>
      <c r="J232" s="12" t="s">
        <v>98</v>
      </c>
      <c r="K232" s="12">
        <v>1</v>
      </c>
      <c r="L232" s="12">
        <v>1</v>
      </c>
      <c r="M232" s="12">
        <v>1</v>
      </c>
      <c r="N232" s="12">
        <v>0</v>
      </c>
      <c r="O232" s="12">
        <v>0</v>
      </c>
      <c r="P232" s="12">
        <v>0</v>
      </c>
      <c r="Q232" s="12">
        <v>0</v>
      </c>
    </row>
    <row r="233" spans="2:17" ht="17" x14ac:dyDescent="0.35">
      <c r="B233" s="14">
        <v>231</v>
      </c>
      <c r="C233" s="14" t="s">
        <v>718</v>
      </c>
      <c r="D233" s="14" t="s">
        <v>719</v>
      </c>
      <c r="E233" s="14">
        <v>560404898</v>
      </c>
      <c r="F233" s="14" t="s">
        <v>207</v>
      </c>
      <c r="G233" s="14" t="s">
        <v>350</v>
      </c>
      <c r="H233" s="14" t="s">
        <v>96</v>
      </c>
      <c r="I233" s="14" t="s">
        <v>92</v>
      </c>
      <c r="J233" s="12" t="s">
        <v>92</v>
      </c>
      <c r="K233" s="12">
        <v>0</v>
      </c>
      <c r="L233" s="12">
        <v>1</v>
      </c>
      <c r="M233" s="12">
        <v>0</v>
      </c>
      <c r="N233" s="12">
        <v>1</v>
      </c>
      <c r="O233" s="12">
        <v>0</v>
      </c>
      <c r="P233" s="12">
        <v>0</v>
      </c>
      <c r="Q233" s="12">
        <v>0</v>
      </c>
    </row>
    <row r="234" spans="2:17" ht="17" x14ac:dyDescent="0.35">
      <c r="B234" s="14">
        <v>232</v>
      </c>
      <c r="C234" s="14" t="s">
        <v>720</v>
      </c>
      <c r="D234" s="14" t="s">
        <v>721</v>
      </c>
      <c r="E234" s="14">
        <v>508665628</v>
      </c>
      <c r="F234" s="14" t="s">
        <v>207</v>
      </c>
      <c r="G234" s="14" t="s">
        <v>350</v>
      </c>
      <c r="H234" s="14" t="s">
        <v>144</v>
      </c>
      <c r="I234" s="14" t="s">
        <v>53</v>
      </c>
      <c r="J234" s="12" t="s">
        <v>144</v>
      </c>
      <c r="K234" s="12">
        <v>0</v>
      </c>
      <c r="L234" s="12">
        <v>1</v>
      </c>
      <c r="M234" s="12">
        <v>1</v>
      </c>
      <c r="N234" s="12">
        <v>1</v>
      </c>
      <c r="O234" s="12">
        <v>1</v>
      </c>
      <c r="P234" s="12">
        <v>1</v>
      </c>
      <c r="Q234" s="12">
        <v>1</v>
      </c>
    </row>
    <row r="235" spans="2:17" ht="17" x14ac:dyDescent="0.35">
      <c r="B235" s="14">
        <v>233</v>
      </c>
      <c r="C235" s="14" t="s">
        <v>722</v>
      </c>
      <c r="D235" s="14" t="s">
        <v>723</v>
      </c>
      <c r="E235" s="14">
        <v>556435560</v>
      </c>
      <c r="F235" s="14" t="s">
        <v>207</v>
      </c>
      <c r="G235" s="14" t="s">
        <v>350</v>
      </c>
      <c r="H235" s="14" t="s">
        <v>144</v>
      </c>
      <c r="I235" s="14" t="s">
        <v>53</v>
      </c>
      <c r="J235" s="12" t="s">
        <v>144</v>
      </c>
      <c r="K235" s="12">
        <v>1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</row>
    <row r="236" spans="2:17" ht="17" x14ac:dyDescent="0.35">
      <c r="B236" s="14">
        <v>234</v>
      </c>
      <c r="C236" s="14" t="s">
        <v>724</v>
      </c>
      <c r="D236" s="14" t="s">
        <v>725</v>
      </c>
      <c r="E236" s="14">
        <v>556613563</v>
      </c>
      <c r="F236" s="14" t="s">
        <v>207</v>
      </c>
      <c r="G236" s="14" t="s">
        <v>350</v>
      </c>
      <c r="H236" s="14" t="s">
        <v>144</v>
      </c>
      <c r="I236" s="14" t="s">
        <v>53</v>
      </c>
      <c r="J236" s="12" t="s">
        <v>144</v>
      </c>
      <c r="K236" s="12">
        <v>1</v>
      </c>
      <c r="L236" s="12">
        <v>1</v>
      </c>
      <c r="M236" s="12">
        <v>1</v>
      </c>
      <c r="N236" s="12">
        <v>0</v>
      </c>
      <c r="O236" s="12">
        <v>0</v>
      </c>
      <c r="P236" s="12">
        <v>0</v>
      </c>
      <c r="Q236" s="12">
        <v>0</v>
      </c>
    </row>
    <row r="237" spans="2:17" ht="17" x14ac:dyDescent="0.35">
      <c r="B237" s="14">
        <v>235</v>
      </c>
      <c r="C237" s="14" t="s">
        <v>726</v>
      </c>
      <c r="D237" s="14" t="s">
        <v>727</v>
      </c>
      <c r="E237" s="14">
        <v>535352410</v>
      </c>
      <c r="F237" s="14" t="s">
        <v>207</v>
      </c>
      <c r="G237" s="14" t="s">
        <v>350</v>
      </c>
      <c r="H237" s="14" t="s">
        <v>24</v>
      </c>
      <c r="I237" s="14" t="s">
        <v>24</v>
      </c>
      <c r="J237" s="12" t="s">
        <v>24</v>
      </c>
      <c r="K237" s="12">
        <v>1</v>
      </c>
      <c r="L237" s="12">
        <v>0</v>
      </c>
      <c r="M237" s="12">
        <v>1</v>
      </c>
      <c r="N237" s="12">
        <v>0</v>
      </c>
      <c r="O237" s="12">
        <v>0</v>
      </c>
      <c r="P237" s="12">
        <v>0</v>
      </c>
      <c r="Q237" s="12">
        <v>0</v>
      </c>
    </row>
    <row r="238" spans="2:17" ht="17" x14ac:dyDescent="0.35">
      <c r="B238" s="14">
        <v>236</v>
      </c>
      <c r="C238" s="14" t="s">
        <v>728</v>
      </c>
      <c r="D238" s="14" t="s">
        <v>729</v>
      </c>
      <c r="E238" s="14">
        <v>559946660</v>
      </c>
      <c r="F238" s="14" t="s">
        <v>207</v>
      </c>
      <c r="G238" s="14" t="s">
        <v>350</v>
      </c>
      <c r="H238" s="14" t="s">
        <v>144</v>
      </c>
      <c r="I238" s="14" t="s">
        <v>53</v>
      </c>
      <c r="J238" s="12" t="s">
        <v>144</v>
      </c>
      <c r="K238" s="12">
        <v>1</v>
      </c>
      <c r="L238" s="12">
        <v>1</v>
      </c>
      <c r="M238" s="12">
        <v>1</v>
      </c>
      <c r="N238" s="12">
        <v>1</v>
      </c>
      <c r="O238" s="12">
        <v>0</v>
      </c>
      <c r="P238" s="12">
        <v>0</v>
      </c>
      <c r="Q238" s="12">
        <v>0</v>
      </c>
    </row>
    <row r="239" spans="2:17" ht="17" x14ac:dyDescent="0.35">
      <c r="B239" s="14">
        <v>237</v>
      </c>
      <c r="C239" s="14" t="s">
        <v>730</v>
      </c>
      <c r="D239" s="14" t="s">
        <v>731</v>
      </c>
      <c r="E239" s="14">
        <v>550424299</v>
      </c>
      <c r="F239" s="14" t="s">
        <v>207</v>
      </c>
      <c r="G239" s="14" t="s">
        <v>350</v>
      </c>
      <c r="H239" s="14" t="s">
        <v>144</v>
      </c>
      <c r="I239" s="14" t="s">
        <v>18</v>
      </c>
      <c r="J239" s="12" t="s">
        <v>18</v>
      </c>
      <c r="K239" s="12">
        <v>0</v>
      </c>
      <c r="L239" s="12">
        <v>1</v>
      </c>
      <c r="M239" s="12">
        <v>1</v>
      </c>
      <c r="N239" s="12">
        <v>1</v>
      </c>
      <c r="O239" s="12">
        <v>0</v>
      </c>
      <c r="P239" s="12">
        <v>0</v>
      </c>
      <c r="Q239" s="12">
        <v>0</v>
      </c>
    </row>
    <row r="240" spans="2:17" ht="17" x14ac:dyDescent="0.35">
      <c r="B240" s="14">
        <v>238</v>
      </c>
      <c r="C240" s="14" t="s">
        <v>732</v>
      </c>
      <c r="D240" s="14" t="s">
        <v>733</v>
      </c>
      <c r="E240" s="14">
        <v>551191791</v>
      </c>
      <c r="F240" s="14" t="s">
        <v>207</v>
      </c>
      <c r="G240" s="14" t="s">
        <v>350</v>
      </c>
      <c r="H240" s="14" t="s">
        <v>40</v>
      </c>
      <c r="I240" s="14" t="s">
        <v>39</v>
      </c>
      <c r="J240" s="12" t="s">
        <v>40</v>
      </c>
      <c r="K240" s="12">
        <v>1</v>
      </c>
      <c r="L240" s="12">
        <v>1</v>
      </c>
      <c r="M240" s="12">
        <v>1</v>
      </c>
      <c r="N240" s="12">
        <v>1</v>
      </c>
      <c r="O240" s="12">
        <v>0</v>
      </c>
      <c r="P240" s="12">
        <v>0</v>
      </c>
      <c r="Q240" s="12">
        <v>0</v>
      </c>
    </row>
    <row r="241" spans="2:17" ht="17" x14ac:dyDescent="0.35">
      <c r="B241" s="14">
        <v>239</v>
      </c>
      <c r="C241" s="14" t="s">
        <v>734</v>
      </c>
      <c r="D241" s="14" t="s">
        <v>735</v>
      </c>
      <c r="E241" s="14">
        <v>554268528</v>
      </c>
      <c r="F241" s="14" t="s">
        <v>207</v>
      </c>
      <c r="G241" s="14" t="s">
        <v>350</v>
      </c>
      <c r="H241" s="14" t="s">
        <v>144</v>
      </c>
      <c r="I241" s="14" t="s">
        <v>53</v>
      </c>
      <c r="J241" s="12" t="s">
        <v>144</v>
      </c>
      <c r="K241" s="12">
        <v>1</v>
      </c>
      <c r="L241" s="12">
        <v>1</v>
      </c>
      <c r="M241" s="12">
        <v>1</v>
      </c>
      <c r="N241" s="12">
        <v>1</v>
      </c>
      <c r="O241" s="12">
        <v>1</v>
      </c>
      <c r="P241" s="12">
        <v>1</v>
      </c>
      <c r="Q241" s="12">
        <v>0</v>
      </c>
    </row>
    <row r="242" spans="2:17" ht="17" x14ac:dyDescent="0.35">
      <c r="B242" s="14">
        <v>240</v>
      </c>
      <c r="C242" s="14" t="s">
        <v>736</v>
      </c>
      <c r="D242" s="14" t="s">
        <v>737</v>
      </c>
      <c r="E242" s="14">
        <v>500265545</v>
      </c>
      <c r="F242" s="14" t="s">
        <v>207</v>
      </c>
      <c r="G242" s="14" t="s">
        <v>350</v>
      </c>
      <c r="H242" s="14" t="s">
        <v>27</v>
      </c>
      <c r="I242" s="14" t="s">
        <v>27</v>
      </c>
      <c r="J242" s="12" t="s">
        <v>27</v>
      </c>
      <c r="K242" s="12">
        <v>1</v>
      </c>
      <c r="L242" s="12">
        <v>1</v>
      </c>
      <c r="M242" s="12">
        <v>1</v>
      </c>
      <c r="N242" s="12">
        <v>1</v>
      </c>
      <c r="O242" s="12">
        <v>1</v>
      </c>
      <c r="P242" s="12">
        <v>1</v>
      </c>
      <c r="Q242" s="12">
        <v>0</v>
      </c>
    </row>
    <row r="243" spans="2:17" ht="17" x14ac:dyDescent="0.35">
      <c r="B243" s="14">
        <v>241</v>
      </c>
      <c r="C243" s="14" t="s">
        <v>738</v>
      </c>
      <c r="D243" s="14" t="s">
        <v>739</v>
      </c>
      <c r="E243" s="14">
        <v>509245807</v>
      </c>
      <c r="F243" s="14" t="s">
        <v>207</v>
      </c>
      <c r="G243" s="14" t="s">
        <v>350</v>
      </c>
      <c r="H243" s="14" t="s">
        <v>144</v>
      </c>
      <c r="I243" s="14" t="s">
        <v>144</v>
      </c>
      <c r="J243" s="12" t="s">
        <v>144</v>
      </c>
      <c r="K243" s="12">
        <v>1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</row>
    <row r="244" spans="2:17" ht="17" x14ac:dyDescent="0.35">
      <c r="B244" s="14">
        <v>242</v>
      </c>
      <c r="C244" s="14" t="s">
        <v>740</v>
      </c>
      <c r="D244" s="14" t="s">
        <v>741</v>
      </c>
      <c r="E244" s="14">
        <v>534641409</v>
      </c>
      <c r="F244" s="14" t="s">
        <v>207</v>
      </c>
      <c r="G244" s="14" t="s">
        <v>350</v>
      </c>
      <c r="H244" s="14" t="s">
        <v>40</v>
      </c>
      <c r="I244" s="14" t="s">
        <v>43</v>
      </c>
      <c r="J244" s="12" t="s">
        <v>40</v>
      </c>
      <c r="K244" s="12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</row>
    <row r="245" spans="2:17" ht="17" x14ac:dyDescent="0.35">
      <c r="B245" s="14">
        <v>243</v>
      </c>
      <c r="C245" s="14" t="s">
        <v>742</v>
      </c>
      <c r="D245" s="14" t="s">
        <v>743</v>
      </c>
      <c r="E245" s="14">
        <v>571133686</v>
      </c>
      <c r="F245" s="14" t="s">
        <v>207</v>
      </c>
      <c r="G245" s="14" t="s">
        <v>350</v>
      </c>
      <c r="H245" s="14" t="s">
        <v>144</v>
      </c>
      <c r="I245" s="14" t="s">
        <v>144</v>
      </c>
      <c r="J245" s="12" t="s">
        <v>144</v>
      </c>
      <c r="K245" s="12">
        <v>1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</row>
    <row r="246" spans="2:17" ht="17" x14ac:dyDescent="0.35">
      <c r="B246" s="17">
        <v>244</v>
      </c>
      <c r="C246" s="17" t="s">
        <v>744</v>
      </c>
      <c r="D246" s="17" t="s">
        <v>745</v>
      </c>
      <c r="E246" s="17">
        <v>555299927</v>
      </c>
      <c r="F246" s="17" t="s">
        <v>207</v>
      </c>
      <c r="G246" s="14" t="s">
        <v>350</v>
      </c>
      <c r="H246" s="17" t="s">
        <v>38</v>
      </c>
      <c r="I246" s="17" t="s">
        <v>38</v>
      </c>
      <c r="J246" s="16" t="s">
        <v>38</v>
      </c>
      <c r="K246" s="12">
        <v>0</v>
      </c>
      <c r="L246" s="12">
        <v>0</v>
      </c>
      <c r="M246" s="12">
        <v>1</v>
      </c>
      <c r="N246" s="12">
        <v>0</v>
      </c>
      <c r="O246" s="12">
        <v>0</v>
      </c>
      <c r="P246" s="12">
        <v>0</v>
      </c>
      <c r="Q246" s="12">
        <v>0</v>
      </c>
    </row>
    <row r="247" spans="2:17" ht="17" x14ac:dyDescent="0.35">
      <c r="B247" s="14">
        <v>245</v>
      </c>
      <c r="C247" s="14" t="s">
        <v>749</v>
      </c>
      <c r="D247" s="14" t="s">
        <v>750</v>
      </c>
      <c r="E247" s="14">
        <v>555148355</v>
      </c>
      <c r="F247" s="14" t="s">
        <v>751</v>
      </c>
      <c r="G247" s="14" t="s">
        <v>700</v>
      </c>
      <c r="H247" s="14" t="s">
        <v>97</v>
      </c>
      <c r="I247" s="14" t="s">
        <v>120</v>
      </c>
      <c r="J247" s="12" t="s">
        <v>97</v>
      </c>
      <c r="K247" s="14">
        <v>0</v>
      </c>
      <c r="L247" s="14">
        <v>0</v>
      </c>
      <c r="M247" s="14">
        <v>1</v>
      </c>
      <c r="N247" s="14">
        <v>0</v>
      </c>
      <c r="O247" s="14">
        <v>0</v>
      </c>
      <c r="P247" s="14">
        <v>0</v>
      </c>
      <c r="Q247" s="14">
        <v>0</v>
      </c>
    </row>
    <row r="248" spans="2:17" ht="17" x14ac:dyDescent="0.35">
      <c r="B248" s="14">
        <v>246</v>
      </c>
      <c r="C248" s="14" t="s">
        <v>752</v>
      </c>
      <c r="D248" s="14" t="s">
        <v>753</v>
      </c>
      <c r="E248" s="14">
        <v>505798389</v>
      </c>
      <c r="F248" s="14" t="s">
        <v>207</v>
      </c>
      <c r="G248" s="14" t="s">
        <v>350</v>
      </c>
      <c r="H248" s="14" t="s">
        <v>40</v>
      </c>
      <c r="I248" s="14" t="s">
        <v>133</v>
      </c>
      <c r="J248" s="12" t="s">
        <v>40</v>
      </c>
      <c r="K248" s="14">
        <v>1</v>
      </c>
      <c r="L248" s="14">
        <v>1</v>
      </c>
      <c r="M248" s="14"/>
      <c r="N248" s="14">
        <v>1</v>
      </c>
      <c r="O248" s="14">
        <v>1</v>
      </c>
      <c r="P248" s="14">
        <v>1</v>
      </c>
      <c r="Q248" s="14">
        <v>1</v>
      </c>
    </row>
    <row r="249" spans="2:17" ht="17" x14ac:dyDescent="0.35">
      <c r="B249" s="14">
        <v>247</v>
      </c>
      <c r="C249" s="14" t="s">
        <v>754</v>
      </c>
      <c r="D249" s="14" t="s">
        <v>755</v>
      </c>
      <c r="E249" s="14">
        <v>557169383</v>
      </c>
      <c r="F249" s="14" t="s">
        <v>305</v>
      </c>
      <c r="G249" s="14" t="s">
        <v>350</v>
      </c>
      <c r="H249" s="14" t="s">
        <v>40</v>
      </c>
      <c r="I249" s="14" t="s">
        <v>43</v>
      </c>
      <c r="J249" s="12" t="s">
        <v>40</v>
      </c>
      <c r="K249" s="14">
        <v>1</v>
      </c>
      <c r="L249" s="14">
        <v>1</v>
      </c>
      <c r="M249" s="14">
        <v>1</v>
      </c>
      <c r="N249" s="14">
        <v>1</v>
      </c>
      <c r="O249" s="14">
        <v>1</v>
      </c>
      <c r="P249" s="14">
        <v>1</v>
      </c>
      <c r="Q249" s="14">
        <v>1</v>
      </c>
    </row>
    <row r="250" spans="2:17" ht="17" x14ac:dyDescent="0.35">
      <c r="B250" s="14">
        <v>248</v>
      </c>
      <c r="C250" s="14" t="s">
        <v>756</v>
      </c>
      <c r="D250" s="14" t="s">
        <v>757</v>
      </c>
      <c r="E250" s="14">
        <v>55772778</v>
      </c>
      <c r="F250" s="14" t="s">
        <v>305</v>
      </c>
      <c r="G250" s="14" t="s">
        <v>350</v>
      </c>
      <c r="H250" s="14" t="s">
        <v>40</v>
      </c>
      <c r="I250" s="14" t="s">
        <v>43</v>
      </c>
      <c r="J250" s="12" t="s">
        <v>40</v>
      </c>
      <c r="K250" s="14">
        <v>1</v>
      </c>
      <c r="L250" s="14">
        <v>1</v>
      </c>
      <c r="M250" s="14">
        <v>1</v>
      </c>
      <c r="N250" s="14">
        <v>1</v>
      </c>
      <c r="O250" s="14">
        <v>1</v>
      </c>
      <c r="P250" s="14">
        <v>1</v>
      </c>
      <c r="Q250" s="14">
        <v>1</v>
      </c>
    </row>
    <row r="251" spans="2:17" ht="17" x14ac:dyDescent="0.35">
      <c r="B251" s="14">
        <v>249</v>
      </c>
      <c r="C251" s="14" t="s">
        <v>758</v>
      </c>
      <c r="D251" s="14" t="s">
        <v>759</v>
      </c>
      <c r="E251" s="14">
        <v>503600005</v>
      </c>
      <c r="F251" s="14" t="s">
        <v>305</v>
      </c>
      <c r="G251" s="14" t="s">
        <v>350</v>
      </c>
      <c r="H251" s="14" t="s">
        <v>144</v>
      </c>
      <c r="I251" s="14" t="s">
        <v>30</v>
      </c>
      <c r="J251" s="12" t="s">
        <v>30</v>
      </c>
      <c r="K251" s="14">
        <v>1</v>
      </c>
      <c r="L251" s="14">
        <v>1</v>
      </c>
      <c r="M251" s="14">
        <v>1</v>
      </c>
      <c r="N251" s="14">
        <v>0</v>
      </c>
      <c r="O251" s="14">
        <v>0</v>
      </c>
      <c r="P251" s="14">
        <v>0</v>
      </c>
      <c r="Q251" s="14">
        <v>0</v>
      </c>
    </row>
    <row r="252" spans="2:17" ht="17" x14ac:dyDescent="0.35">
      <c r="B252" s="14">
        <v>250</v>
      </c>
      <c r="C252" s="14" t="s">
        <v>760</v>
      </c>
      <c r="D252" s="14" t="s">
        <v>761</v>
      </c>
      <c r="E252" s="14">
        <v>506358986</v>
      </c>
      <c r="F252" s="14" t="s">
        <v>305</v>
      </c>
      <c r="G252" s="14" t="s">
        <v>350</v>
      </c>
      <c r="H252" s="14" t="s">
        <v>40</v>
      </c>
      <c r="I252" s="14" t="s">
        <v>133</v>
      </c>
      <c r="J252" s="12" t="s">
        <v>40</v>
      </c>
      <c r="K252" s="14">
        <v>1</v>
      </c>
      <c r="L252" s="14">
        <v>1</v>
      </c>
      <c r="M252" s="14">
        <v>1</v>
      </c>
      <c r="N252" s="14">
        <v>1</v>
      </c>
      <c r="O252" s="14">
        <v>1</v>
      </c>
      <c r="P252" s="14">
        <v>1</v>
      </c>
      <c r="Q252" s="14">
        <v>1</v>
      </c>
    </row>
    <row r="253" spans="2:17" ht="17" x14ac:dyDescent="0.35">
      <c r="B253" s="14">
        <v>251</v>
      </c>
      <c r="C253" s="14" t="s">
        <v>762</v>
      </c>
      <c r="D253" s="14" t="s">
        <v>763</v>
      </c>
      <c r="E253" s="14">
        <v>544421129</v>
      </c>
      <c r="F253" s="14" t="s">
        <v>305</v>
      </c>
      <c r="G253" s="14" t="s">
        <v>350</v>
      </c>
      <c r="H253" s="14" t="s">
        <v>144</v>
      </c>
      <c r="I253" s="14" t="s">
        <v>144</v>
      </c>
      <c r="J253" s="12" t="s">
        <v>144</v>
      </c>
      <c r="K253" s="14">
        <v>1</v>
      </c>
      <c r="L253" s="14">
        <v>1</v>
      </c>
      <c r="M253" s="14">
        <v>1</v>
      </c>
      <c r="N253" s="14">
        <v>1</v>
      </c>
      <c r="O253" s="14">
        <v>1</v>
      </c>
      <c r="P253" s="14">
        <v>1</v>
      </c>
      <c r="Q253" s="14">
        <v>1</v>
      </c>
    </row>
    <row r="254" spans="2:17" ht="17" x14ac:dyDescent="0.35">
      <c r="B254" s="14">
        <v>252</v>
      </c>
      <c r="C254" s="14" t="s">
        <v>764</v>
      </c>
      <c r="D254" s="14" t="s">
        <v>765</v>
      </c>
      <c r="E254" s="14">
        <v>531831837</v>
      </c>
      <c r="F254" s="14" t="s">
        <v>305</v>
      </c>
      <c r="G254" s="14" t="s">
        <v>350</v>
      </c>
      <c r="H254" s="14" t="s">
        <v>40</v>
      </c>
      <c r="I254" s="14" t="s">
        <v>135</v>
      </c>
      <c r="J254" s="12" t="s">
        <v>40</v>
      </c>
      <c r="K254" s="14">
        <v>1</v>
      </c>
      <c r="L254" s="14">
        <v>1</v>
      </c>
      <c r="M254" s="14">
        <v>1</v>
      </c>
      <c r="N254" s="14">
        <v>1</v>
      </c>
      <c r="O254" s="14">
        <v>1</v>
      </c>
      <c r="P254" s="14">
        <v>1</v>
      </c>
      <c r="Q254" s="14">
        <v>1</v>
      </c>
    </row>
    <row r="255" spans="2:17" ht="17" x14ac:dyDescent="0.35">
      <c r="B255" s="14">
        <v>253</v>
      </c>
      <c r="C255" s="14" t="s">
        <v>766</v>
      </c>
      <c r="D255" s="14" t="s">
        <v>767</v>
      </c>
      <c r="E255" s="14">
        <v>501909778</v>
      </c>
      <c r="F255" s="14" t="s">
        <v>305</v>
      </c>
      <c r="G255" s="14" t="s">
        <v>350</v>
      </c>
      <c r="H255" s="14" t="s">
        <v>96</v>
      </c>
      <c r="I255" s="14" t="s">
        <v>92</v>
      </c>
      <c r="J255" s="12" t="s">
        <v>92</v>
      </c>
      <c r="K255" s="14">
        <v>1</v>
      </c>
      <c r="L255" s="14">
        <v>1</v>
      </c>
      <c r="M255" s="14">
        <v>1</v>
      </c>
      <c r="N255" s="14">
        <v>1</v>
      </c>
      <c r="O255" s="14">
        <v>1</v>
      </c>
      <c r="P255" s="14">
        <v>0</v>
      </c>
      <c r="Q255" s="14">
        <v>0</v>
      </c>
    </row>
    <row r="256" spans="2:17" ht="17" x14ac:dyDescent="0.35">
      <c r="B256" s="14">
        <v>254</v>
      </c>
      <c r="C256" s="14" t="s">
        <v>768</v>
      </c>
      <c r="D256" s="14" t="s">
        <v>769</v>
      </c>
      <c r="E256" s="14">
        <v>556985170</v>
      </c>
      <c r="F256" s="14" t="s">
        <v>305</v>
      </c>
      <c r="G256" s="14" t="s">
        <v>350</v>
      </c>
      <c r="H256" s="14" t="s">
        <v>40</v>
      </c>
      <c r="I256" s="14" t="s">
        <v>133</v>
      </c>
      <c r="J256" s="12" t="s">
        <v>40</v>
      </c>
      <c r="K256" s="14">
        <v>1</v>
      </c>
      <c r="L256" s="14">
        <v>1</v>
      </c>
      <c r="M256" s="14">
        <v>1</v>
      </c>
      <c r="N256" s="14">
        <v>1</v>
      </c>
      <c r="O256" s="14">
        <v>1</v>
      </c>
      <c r="P256" s="14">
        <v>0</v>
      </c>
      <c r="Q256" s="14">
        <v>0</v>
      </c>
    </row>
    <row r="257" spans="2:17" ht="17" x14ac:dyDescent="0.35">
      <c r="B257" s="14">
        <v>255</v>
      </c>
      <c r="C257" s="14" t="s">
        <v>770</v>
      </c>
      <c r="D257" s="14" t="s">
        <v>771</v>
      </c>
      <c r="E257" s="14">
        <v>535189141</v>
      </c>
      <c r="F257" s="14" t="s">
        <v>305</v>
      </c>
      <c r="G257" s="14" t="s">
        <v>350</v>
      </c>
      <c r="H257" s="14" t="s">
        <v>40</v>
      </c>
      <c r="I257" s="14" t="s">
        <v>43</v>
      </c>
      <c r="J257" s="12" t="s">
        <v>40</v>
      </c>
      <c r="K257" s="14">
        <v>1</v>
      </c>
      <c r="L257" s="14">
        <v>1</v>
      </c>
      <c r="M257" s="14">
        <v>1</v>
      </c>
      <c r="N257" s="14">
        <v>1</v>
      </c>
      <c r="O257" s="14">
        <v>1</v>
      </c>
      <c r="P257" s="14">
        <v>1</v>
      </c>
      <c r="Q257" s="14">
        <v>1</v>
      </c>
    </row>
    <row r="258" spans="2:17" ht="17" x14ac:dyDescent="0.35">
      <c r="B258" s="14">
        <v>256</v>
      </c>
      <c r="C258" s="14" t="s">
        <v>772</v>
      </c>
      <c r="D258" s="14" t="s">
        <v>773</v>
      </c>
      <c r="E258" s="14">
        <v>555721800</v>
      </c>
      <c r="F258" s="14" t="s">
        <v>305</v>
      </c>
      <c r="G258" s="14" t="s">
        <v>350</v>
      </c>
      <c r="H258" s="14" t="s">
        <v>144</v>
      </c>
      <c r="I258" s="14" t="s">
        <v>18</v>
      </c>
      <c r="J258" s="12" t="s">
        <v>18</v>
      </c>
      <c r="K258" s="14">
        <v>1</v>
      </c>
      <c r="L258" s="14">
        <v>1</v>
      </c>
      <c r="M258" s="14">
        <v>1</v>
      </c>
      <c r="N258" s="14">
        <v>1</v>
      </c>
      <c r="O258" s="14">
        <v>1</v>
      </c>
      <c r="P258" s="14">
        <v>1</v>
      </c>
      <c r="Q258" s="14">
        <v>0</v>
      </c>
    </row>
    <row r="259" spans="2:17" ht="17" x14ac:dyDescent="0.35">
      <c r="B259" s="14">
        <v>257</v>
      </c>
      <c r="C259" s="14" t="s">
        <v>774</v>
      </c>
      <c r="D259" s="14" t="s">
        <v>775</v>
      </c>
      <c r="E259" s="14">
        <v>548048548</v>
      </c>
      <c r="F259" s="14" t="s">
        <v>207</v>
      </c>
      <c r="G259" s="14" t="s">
        <v>350</v>
      </c>
      <c r="H259" s="14" t="s">
        <v>40</v>
      </c>
      <c r="I259" s="14" t="s">
        <v>501</v>
      </c>
      <c r="J259" s="12" t="s">
        <v>40</v>
      </c>
      <c r="K259" s="14">
        <v>1</v>
      </c>
      <c r="L259" s="14">
        <v>1</v>
      </c>
      <c r="M259" s="14">
        <v>1</v>
      </c>
      <c r="N259" s="14">
        <v>1</v>
      </c>
      <c r="O259" s="14">
        <v>1</v>
      </c>
      <c r="P259" s="14">
        <v>1</v>
      </c>
      <c r="Q259" s="14">
        <v>1</v>
      </c>
    </row>
    <row r="260" spans="2:17" ht="17" x14ac:dyDescent="0.35">
      <c r="B260" s="14">
        <v>258</v>
      </c>
      <c r="C260" s="14" t="s">
        <v>776</v>
      </c>
      <c r="D260" s="14" t="s">
        <v>777</v>
      </c>
      <c r="E260" s="14">
        <v>50434447</v>
      </c>
      <c r="F260" s="14" t="s">
        <v>305</v>
      </c>
      <c r="G260" s="14" t="s">
        <v>350</v>
      </c>
      <c r="H260" s="14" t="s">
        <v>144</v>
      </c>
      <c r="I260" s="14" t="s">
        <v>30</v>
      </c>
      <c r="J260" s="12" t="s">
        <v>30</v>
      </c>
      <c r="K260" s="14">
        <v>1</v>
      </c>
      <c r="L260" s="14">
        <v>1</v>
      </c>
      <c r="M260" s="14">
        <v>1</v>
      </c>
      <c r="N260" s="14">
        <v>1</v>
      </c>
      <c r="O260" s="14">
        <v>1</v>
      </c>
      <c r="P260" s="14">
        <v>1</v>
      </c>
      <c r="Q260" s="14">
        <v>1</v>
      </c>
    </row>
    <row r="261" spans="2:17" ht="17" x14ac:dyDescent="0.35">
      <c r="B261" s="14">
        <v>259</v>
      </c>
      <c r="C261" s="14" t="s">
        <v>778</v>
      </c>
      <c r="D261" s="14" t="s">
        <v>779</v>
      </c>
      <c r="E261" s="14">
        <v>532267329</v>
      </c>
      <c r="F261" s="14" t="s">
        <v>305</v>
      </c>
      <c r="G261" s="14" t="s">
        <v>350</v>
      </c>
      <c r="H261" s="14" t="s">
        <v>40</v>
      </c>
      <c r="I261" s="14" t="s">
        <v>135</v>
      </c>
      <c r="J261" s="12" t="s">
        <v>40</v>
      </c>
      <c r="K261" s="14">
        <v>1</v>
      </c>
      <c r="L261" s="14">
        <v>1</v>
      </c>
      <c r="M261" s="14">
        <v>1</v>
      </c>
      <c r="N261" s="14">
        <v>1</v>
      </c>
      <c r="O261" s="14">
        <v>1</v>
      </c>
      <c r="P261" s="14">
        <v>1</v>
      </c>
      <c r="Q261" s="14">
        <v>1</v>
      </c>
    </row>
    <row r="262" spans="2:17" ht="17" x14ac:dyDescent="0.35">
      <c r="B262" s="14">
        <v>260</v>
      </c>
      <c r="C262" s="14" t="s">
        <v>780</v>
      </c>
      <c r="D262" s="14" t="s">
        <v>781</v>
      </c>
      <c r="E262" s="14">
        <v>564490015</v>
      </c>
      <c r="F262" s="14" t="s">
        <v>305</v>
      </c>
      <c r="G262" s="14" t="s">
        <v>350</v>
      </c>
      <c r="H262" s="14" t="s">
        <v>144</v>
      </c>
      <c r="I262" s="14" t="s">
        <v>18</v>
      </c>
      <c r="J262" s="12" t="s">
        <v>18</v>
      </c>
      <c r="K262" s="14">
        <v>1</v>
      </c>
      <c r="L262" s="14">
        <v>1</v>
      </c>
      <c r="M262" s="14">
        <v>1</v>
      </c>
      <c r="N262" s="14">
        <v>1</v>
      </c>
      <c r="O262" s="14">
        <v>1</v>
      </c>
      <c r="P262" s="14">
        <v>1</v>
      </c>
      <c r="Q262" s="14">
        <v>1</v>
      </c>
    </row>
    <row r="263" spans="2:17" ht="17" x14ac:dyDescent="0.35">
      <c r="B263" s="14">
        <v>261</v>
      </c>
      <c r="C263" s="14" t="s">
        <v>782</v>
      </c>
      <c r="D263" s="14" t="s">
        <v>783</v>
      </c>
      <c r="E263" s="14">
        <v>535566238</v>
      </c>
      <c r="F263" s="14" t="s">
        <v>305</v>
      </c>
      <c r="G263" s="14" t="s">
        <v>350</v>
      </c>
      <c r="H263" s="14" t="s">
        <v>40</v>
      </c>
      <c r="I263" s="14" t="s">
        <v>133</v>
      </c>
      <c r="J263" s="12" t="s">
        <v>40</v>
      </c>
      <c r="K263" s="14">
        <v>1</v>
      </c>
      <c r="L263" s="14">
        <v>1</v>
      </c>
      <c r="M263" s="14">
        <v>1</v>
      </c>
      <c r="N263" s="14">
        <v>1</v>
      </c>
      <c r="O263" s="14">
        <v>1</v>
      </c>
      <c r="P263" s="14">
        <v>1</v>
      </c>
      <c r="Q263" s="14">
        <v>1</v>
      </c>
    </row>
    <row r="264" spans="2:17" ht="17" x14ac:dyDescent="0.35">
      <c r="B264" s="14">
        <v>262</v>
      </c>
      <c r="C264" s="14" t="s">
        <v>784</v>
      </c>
      <c r="D264" s="14" t="s">
        <v>785</v>
      </c>
      <c r="E264" s="14">
        <v>595147684</v>
      </c>
      <c r="F264" s="14" t="s">
        <v>305</v>
      </c>
      <c r="G264" s="14" t="s">
        <v>350</v>
      </c>
      <c r="H264" s="14" t="s">
        <v>144</v>
      </c>
      <c r="I264" s="14" t="s">
        <v>145</v>
      </c>
      <c r="J264" s="12" t="s">
        <v>144</v>
      </c>
      <c r="K264" s="14">
        <v>1</v>
      </c>
      <c r="L264" s="14">
        <v>1</v>
      </c>
      <c r="M264" s="14">
        <v>1</v>
      </c>
      <c r="N264" s="14">
        <v>1</v>
      </c>
      <c r="O264" s="14">
        <v>1</v>
      </c>
      <c r="P264" s="14">
        <v>0</v>
      </c>
      <c r="Q264" s="14">
        <v>0</v>
      </c>
    </row>
    <row r="265" spans="2:17" ht="17" x14ac:dyDescent="0.35">
      <c r="B265" s="14">
        <v>263</v>
      </c>
      <c r="C265" s="14" t="s">
        <v>786</v>
      </c>
      <c r="D265" s="14" t="s">
        <v>787</v>
      </c>
      <c r="E265" s="14">
        <v>599376684</v>
      </c>
      <c r="F265" s="14" t="s">
        <v>305</v>
      </c>
      <c r="G265" s="14" t="s">
        <v>350</v>
      </c>
      <c r="H265" s="14" t="s">
        <v>144</v>
      </c>
      <c r="I265" s="14" t="s">
        <v>30</v>
      </c>
      <c r="J265" s="12" t="s">
        <v>30</v>
      </c>
      <c r="K265" s="14">
        <v>0</v>
      </c>
      <c r="L265" s="14">
        <v>1</v>
      </c>
      <c r="M265" s="14">
        <v>1</v>
      </c>
      <c r="N265" s="14">
        <v>1</v>
      </c>
      <c r="O265" s="14">
        <v>1</v>
      </c>
      <c r="P265" s="14">
        <v>1</v>
      </c>
      <c r="Q265" s="14">
        <v>1</v>
      </c>
    </row>
    <row r="266" spans="2:17" ht="17" x14ac:dyDescent="0.35">
      <c r="B266" s="14">
        <v>264</v>
      </c>
      <c r="C266" s="14" t="s">
        <v>788</v>
      </c>
      <c r="D266" s="14" t="s">
        <v>789</v>
      </c>
      <c r="E266" s="14">
        <v>548014000</v>
      </c>
      <c r="F266" s="14" t="s">
        <v>305</v>
      </c>
      <c r="G266" s="14" t="s">
        <v>350</v>
      </c>
      <c r="H266" s="14" t="s">
        <v>38</v>
      </c>
      <c r="I266" s="14" t="s">
        <v>95</v>
      </c>
      <c r="J266" s="12" t="s">
        <v>95</v>
      </c>
      <c r="K266" s="14">
        <v>1</v>
      </c>
      <c r="L266" s="14">
        <v>1</v>
      </c>
      <c r="M266" s="14">
        <v>1</v>
      </c>
      <c r="N266" s="14">
        <v>1</v>
      </c>
      <c r="O266" s="14">
        <v>0</v>
      </c>
      <c r="P266" s="14">
        <v>0</v>
      </c>
      <c r="Q266" s="14">
        <v>0</v>
      </c>
    </row>
    <row r="267" spans="2:17" ht="17" x14ac:dyDescent="0.35">
      <c r="B267" s="14">
        <v>265</v>
      </c>
      <c r="C267" s="14" t="s">
        <v>790</v>
      </c>
      <c r="D267" s="14" t="s">
        <v>791</v>
      </c>
      <c r="E267" s="14">
        <v>501610902</v>
      </c>
      <c r="F267" s="14" t="s">
        <v>207</v>
      </c>
      <c r="G267" s="14" t="s">
        <v>350</v>
      </c>
      <c r="H267" s="14" t="s">
        <v>144</v>
      </c>
      <c r="I267" s="14" t="s">
        <v>30</v>
      </c>
      <c r="J267" s="12" t="s">
        <v>30</v>
      </c>
      <c r="K267" s="14">
        <v>1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</row>
    <row r="268" spans="2:17" ht="17" x14ac:dyDescent="0.35">
      <c r="B268" s="14">
        <v>266</v>
      </c>
      <c r="C268" s="14" t="s">
        <v>792</v>
      </c>
      <c r="D268" s="14" t="s">
        <v>793</v>
      </c>
      <c r="E268" s="14">
        <v>554070943</v>
      </c>
      <c r="F268" s="14" t="s">
        <v>305</v>
      </c>
      <c r="G268" s="14" t="s">
        <v>350</v>
      </c>
      <c r="H268" s="14" t="s">
        <v>24</v>
      </c>
      <c r="I268" s="14" t="s">
        <v>68</v>
      </c>
      <c r="J268" s="12" t="s">
        <v>24</v>
      </c>
      <c r="K268" s="14">
        <v>1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</row>
    <row r="269" spans="2:17" ht="17" x14ac:dyDescent="0.35">
      <c r="B269" s="14">
        <v>267</v>
      </c>
      <c r="C269" s="14" t="s">
        <v>794</v>
      </c>
      <c r="D269" s="14" t="s">
        <v>795</v>
      </c>
      <c r="E269" s="14">
        <v>500832987</v>
      </c>
      <c r="F269" s="14" t="s">
        <v>305</v>
      </c>
      <c r="G269" s="14" t="s">
        <v>350</v>
      </c>
      <c r="H269" s="14" t="s">
        <v>32</v>
      </c>
      <c r="I269" s="14" t="s">
        <v>32</v>
      </c>
      <c r="J269" s="12" t="s">
        <v>32</v>
      </c>
      <c r="K269" s="14">
        <v>1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</row>
    <row r="270" spans="2:17" ht="17" x14ac:dyDescent="0.35">
      <c r="B270" s="14">
        <v>268</v>
      </c>
      <c r="C270" s="14" t="s">
        <v>796</v>
      </c>
      <c r="D270" s="14" t="s">
        <v>797</v>
      </c>
      <c r="E270" s="14">
        <v>511103949</v>
      </c>
      <c r="F270" s="14" t="s">
        <v>305</v>
      </c>
      <c r="G270" s="14" t="s">
        <v>350</v>
      </c>
      <c r="H270" s="14" t="s">
        <v>38</v>
      </c>
      <c r="I270" s="14" t="s">
        <v>38</v>
      </c>
      <c r="J270" s="12" t="s">
        <v>38</v>
      </c>
      <c r="K270" s="14">
        <v>0</v>
      </c>
      <c r="L270" s="14">
        <v>1</v>
      </c>
      <c r="M270" s="14">
        <v>1</v>
      </c>
      <c r="N270" s="14">
        <v>1</v>
      </c>
      <c r="O270" s="14">
        <v>0</v>
      </c>
      <c r="P270" s="14">
        <v>0</v>
      </c>
      <c r="Q270" s="14">
        <v>0</v>
      </c>
    </row>
    <row r="271" spans="2:17" ht="17" x14ac:dyDescent="0.35">
      <c r="B271" s="14">
        <v>269</v>
      </c>
      <c r="C271" s="14" t="s">
        <v>798</v>
      </c>
      <c r="D271" s="14" t="s">
        <v>799</v>
      </c>
      <c r="E271" s="14">
        <v>504662488</v>
      </c>
      <c r="F271" s="14" t="s">
        <v>207</v>
      </c>
      <c r="G271" s="14" t="s">
        <v>350</v>
      </c>
      <c r="H271" s="14" t="s">
        <v>94</v>
      </c>
      <c r="I271" s="14" t="s">
        <v>800</v>
      </c>
      <c r="J271" s="12" t="s">
        <v>94</v>
      </c>
      <c r="K271" s="14">
        <v>1</v>
      </c>
      <c r="L271" s="14">
        <v>1</v>
      </c>
      <c r="M271" s="14">
        <v>1</v>
      </c>
      <c r="N271" s="14">
        <v>1</v>
      </c>
      <c r="O271" s="14">
        <v>1</v>
      </c>
      <c r="P271" s="14">
        <v>1</v>
      </c>
      <c r="Q271" s="14">
        <v>1</v>
      </c>
    </row>
    <row r="272" spans="2:17" ht="17" x14ac:dyDescent="0.35">
      <c r="B272" s="14">
        <v>270</v>
      </c>
      <c r="C272" s="14" t="s">
        <v>801</v>
      </c>
      <c r="D272" s="14" t="s">
        <v>802</v>
      </c>
      <c r="E272" s="14">
        <v>546970007</v>
      </c>
      <c r="F272" s="14" t="s">
        <v>207</v>
      </c>
      <c r="G272" s="14" t="s">
        <v>181</v>
      </c>
      <c r="H272" s="14" t="s">
        <v>32</v>
      </c>
      <c r="I272" s="14" t="s">
        <v>32</v>
      </c>
      <c r="J272" s="12" t="s">
        <v>32</v>
      </c>
      <c r="K272" s="14">
        <v>0</v>
      </c>
      <c r="L272" s="14">
        <v>0</v>
      </c>
      <c r="M272" s="14">
        <v>1</v>
      </c>
      <c r="N272" s="14">
        <v>1</v>
      </c>
      <c r="O272" s="14">
        <v>1</v>
      </c>
      <c r="P272" s="14">
        <v>0</v>
      </c>
      <c r="Q272" s="14">
        <v>0</v>
      </c>
    </row>
    <row r="273" spans="2:17" ht="17" x14ac:dyDescent="0.35">
      <c r="B273" s="14">
        <v>271</v>
      </c>
      <c r="C273" s="14" t="s">
        <v>803</v>
      </c>
      <c r="D273" s="14" t="s">
        <v>804</v>
      </c>
      <c r="E273" s="14">
        <v>542225868</v>
      </c>
      <c r="F273" s="14" t="s">
        <v>805</v>
      </c>
      <c r="G273" s="14" t="s">
        <v>700</v>
      </c>
      <c r="H273" s="14" t="s">
        <v>100</v>
      </c>
      <c r="I273" s="14" t="s">
        <v>91</v>
      </c>
      <c r="J273" s="12" t="s">
        <v>100</v>
      </c>
      <c r="K273" s="14">
        <v>1</v>
      </c>
      <c r="L273" s="14">
        <v>1</v>
      </c>
      <c r="M273" s="14">
        <v>1</v>
      </c>
      <c r="N273" s="14">
        <v>1</v>
      </c>
      <c r="O273" s="14">
        <v>0</v>
      </c>
      <c r="P273" s="14">
        <v>0</v>
      </c>
      <c r="Q273" s="14">
        <v>0</v>
      </c>
    </row>
    <row r="274" spans="2:17" ht="17" x14ac:dyDescent="0.35">
      <c r="B274" s="14">
        <v>272</v>
      </c>
      <c r="C274" s="14" t="s">
        <v>806</v>
      </c>
      <c r="D274" s="14" t="s">
        <v>807</v>
      </c>
      <c r="E274" s="14">
        <v>565541685</v>
      </c>
      <c r="F274" s="14" t="s">
        <v>806</v>
      </c>
      <c r="G274" s="14" t="s">
        <v>700</v>
      </c>
      <c r="H274" s="14" t="s">
        <v>144</v>
      </c>
      <c r="I274" s="14" t="s">
        <v>144</v>
      </c>
      <c r="J274" s="12" t="s">
        <v>144</v>
      </c>
      <c r="K274" s="14">
        <v>1</v>
      </c>
      <c r="L274" s="14">
        <v>1</v>
      </c>
      <c r="M274" s="14">
        <v>1</v>
      </c>
      <c r="N274" s="14">
        <v>1</v>
      </c>
      <c r="O274" s="14">
        <v>2</v>
      </c>
      <c r="P274" s="14">
        <v>2</v>
      </c>
      <c r="Q274" s="14">
        <v>2</v>
      </c>
    </row>
    <row r="275" spans="2:17" ht="17" x14ac:dyDescent="0.35">
      <c r="B275" s="14">
        <v>273</v>
      </c>
      <c r="C275" s="14" t="s">
        <v>808</v>
      </c>
      <c r="D275" s="14" t="s">
        <v>809</v>
      </c>
      <c r="E275" s="14">
        <v>503289999</v>
      </c>
      <c r="F275" s="14" t="s">
        <v>810</v>
      </c>
      <c r="G275" s="14" t="s">
        <v>700</v>
      </c>
      <c r="H275" s="14" t="s">
        <v>97</v>
      </c>
      <c r="I275" s="14" t="s">
        <v>120</v>
      </c>
      <c r="J275" s="12" t="s">
        <v>97</v>
      </c>
      <c r="K275" s="14">
        <v>0</v>
      </c>
      <c r="L275" s="14">
        <v>1</v>
      </c>
      <c r="M275" s="14">
        <v>2</v>
      </c>
      <c r="N275" s="14">
        <v>2</v>
      </c>
      <c r="O275" s="14">
        <v>2</v>
      </c>
      <c r="P275" s="14">
        <v>2</v>
      </c>
      <c r="Q275" s="14">
        <v>1</v>
      </c>
    </row>
    <row r="276" spans="2:17" ht="17" x14ac:dyDescent="0.35">
      <c r="B276" s="14">
        <v>274</v>
      </c>
      <c r="C276" s="14" t="s">
        <v>811</v>
      </c>
      <c r="D276" s="14" t="s">
        <v>812</v>
      </c>
      <c r="E276" s="14">
        <v>553739637</v>
      </c>
      <c r="F276" s="14" t="s">
        <v>813</v>
      </c>
      <c r="G276" s="14" t="s">
        <v>700</v>
      </c>
      <c r="H276" s="14" t="s">
        <v>94</v>
      </c>
      <c r="I276" s="14" t="s">
        <v>108</v>
      </c>
      <c r="J276" s="12" t="s">
        <v>94</v>
      </c>
      <c r="K276" s="14">
        <v>1</v>
      </c>
      <c r="L276" s="14">
        <v>1</v>
      </c>
      <c r="M276" s="14">
        <v>1</v>
      </c>
      <c r="N276" s="14">
        <v>2</v>
      </c>
      <c r="O276" s="14">
        <v>1</v>
      </c>
      <c r="P276" s="14">
        <v>0</v>
      </c>
      <c r="Q276" s="14">
        <v>0</v>
      </c>
    </row>
    <row r="277" spans="2:17" ht="17" x14ac:dyDescent="0.35">
      <c r="B277" s="14">
        <v>275</v>
      </c>
      <c r="C277" s="14" t="s">
        <v>814</v>
      </c>
      <c r="D277" s="14" t="s">
        <v>815</v>
      </c>
      <c r="E277" s="14">
        <v>553339989</v>
      </c>
      <c r="F277" s="14" t="s">
        <v>207</v>
      </c>
      <c r="G277" s="14" t="s">
        <v>350</v>
      </c>
      <c r="H277" s="14" t="s">
        <v>24</v>
      </c>
      <c r="I277" s="14" t="s">
        <v>24</v>
      </c>
      <c r="J277" s="12" t="s">
        <v>24</v>
      </c>
      <c r="K277" s="14">
        <v>1</v>
      </c>
      <c r="L277" s="14"/>
      <c r="M277" s="14">
        <v>1</v>
      </c>
      <c r="N277" s="14">
        <v>1</v>
      </c>
      <c r="O277" s="14">
        <v>1</v>
      </c>
      <c r="P277" s="14"/>
      <c r="Q277" s="14"/>
    </row>
    <row r="278" spans="2:17" ht="17" x14ac:dyDescent="0.35">
      <c r="B278" s="14">
        <v>276</v>
      </c>
      <c r="C278" s="14" t="s">
        <v>816</v>
      </c>
      <c r="D278" s="14" t="s">
        <v>817</v>
      </c>
      <c r="E278" s="14">
        <v>53660183</v>
      </c>
      <c r="F278" s="14" t="s">
        <v>207</v>
      </c>
      <c r="G278" s="14" t="s">
        <v>350</v>
      </c>
      <c r="H278" s="14" t="s">
        <v>40</v>
      </c>
      <c r="I278" s="14" t="s">
        <v>43</v>
      </c>
      <c r="J278" s="12" t="s">
        <v>40</v>
      </c>
      <c r="K278" s="14">
        <v>1</v>
      </c>
      <c r="L278" s="14">
        <v>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</row>
    <row r="279" spans="2:17" ht="17" x14ac:dyDescent="0.35">
      <c r="B279" s="14">
        <v>277</v>
      </c>
      <c r="C279" s="14" t="s">
        <v>818</v>
      </c>
      <c r="D279" s="14" t="s">
        <v>819</v>
      </c>
      <c r="E279" s="14">
        <v>552660308</v>
      </c>
      <c r="F279" s="14" t="s">
        <v>305</v>
      </c>
      <c r="G279" s="14" t="s">
        <v>350</v>
      </c>
      <c r="H279" s="14" t="s">
        <v>144</v>
      </c>
      <c r="I279" s="14" t="s">
        <v>30</v>
      </c>
      <c r="J279" s="12" t="s">
        <v>30</v>
      </c>
      <c r="K279" s="14">
        <v>1</v>
      </c>
      <c r="L279" s="14">
        <v>1</v>
      </c>
      <c r="M279" s="14">
        <v>1</v>
      </c>
      <c r="N279" s="14">
        <v>1</v>
      </c>
      <c r="O279" s="14">
        <v>1</v>
      </c>
      <c r="P279" s="14">
        <v>1</v>
      </c>
      <c r="Q279" s="14">
        <v>1</v>
      </c>
    </row>
    <row r="280" spans="2:17" ht="17" x14ac:dyDescent="0.35">
      <c r="B280" s="14">
        <v>278</v>
      </c>
      <c r="C280" s="14" t="s">
        <v>820</v>
      </c>
      <c r="D280" s="14" t="s">
        <v>821</v>
      </c>
      <c r="E280" s="14">
        <v>550595695</v>
      </c>
      <c r="F280" s="14" t="s">
        <v>207</v>
      </c>
      <c r="G280" s="14" t="s">
        <v>350</v>
      </c>
      <c r="H280" s="14" t="s">
        <v>24</v>
      </c>
      <c r="I280" s="14" t="s">
        <v>24</v>
      </c>
      <c r="J280" s="12" t="s">
        <v>24</v>
      </c>
      <c r="K280" s="14">
        <v>1</v>
      </c>
      <c r="L280" s="14">
        <v>1</v>
      </c>
      <c r="M280" s="14">
        <v>1</v>
      </c>
      <c r="N280" s="14">
        <v>1</v>
      </c>
      <c r="O280" s="14">
        <v>1</v>
      </c>
      <c r="P280" s="14">
        <v>1</v>
      </c>
      <c r="Q280" s="14">
        <v>0</v>
      </c>
    </row>
    <row r="281" spans="2:17" ht="17" x14ac:dyDescent="0.35">
      <c r="B281" s="14">
        <v>279</v>
      </c>
      <c r="C281" s="14" t="s">
        <v>822</v>
      </c>
      <c r="D281" s="14" t="s">
        <v>823</v>
      </c>
      <c r="E281" s="14">
        <v>534714440</v>
      </c>
      <c r="F281" s="14" t="s">
        <v>305</v>
      </c>
      <c r="G281" s="14" t="s">
        <v>350</v>
      </c>
      <c r="H281" s="14" t="s">
        <v>38</v>
      </c>
      <c r="I281" s="14" t="s">
        <v>38</v>
      </c>
      <c r="J281" s="12" t="s">
        <v>38</v>
      </c>
      <c r="K281" s="14">
        <v>0</v>
      </c>
      <c r="L281" s="14">
        <v>0</v>
      </c>
      <c r="M281" s="14">
        <v>1</v>
      </c>
      <c r="N281" s="14">
        <v>0</v>
      </c>
      <c r="O281" s="14">
        <v>0</v>
      </c>
      <c r="P281" s="14">
        <v>0</v>
      </c>
      <c r="Q281" s="14">
        <v>0</v>
      </c>
    </row>
    <row r="282" spans="2:17" ht="17" x14ac:dyDescent="0.35">
      <c r="B282" s="14">
        <v>280</v>
      </c>
      <c r="C282" s="14" t="s">
        <v>824</v>
      </c>
      <c r="D282" s="14" t="s">
        <v>825</v>
      </c>
      <c r="E282" s="14">
        <v>539030809</v>
      </c>
      <c r="F282" s="14" t="s">
        <v>826</v>
      </c>
      <c r="G282" s="14" t="s">
        <v>181</v>
      </c>
      <c r="H282" s="14" t="s">
        <v>96</v>
      </c>
      <c r="I282" s="14" t="s">
        <v>98</v>
      </c>
      <c r="J282" s="12" t="s">
        <v>98</v>
      </c>
      <c r="K282" s="14">
        <v>1</v>
      </c>
      <c r="L282" s="14">
        <v>1</v>
      </c>
      <c r="M282" s="14">
        <v>1</v>
      </c>
      <c r="N282" s="14">
        <v>1</v>
      </c>
      <c r="O282" s="14">
        <v>1</v>
      </c>
      <c r="P282" s="14">
        <v>1</v>
      </c>
      <c r="Q282" s="14">
        <v>1</v>
      </c>
    </row>
    <row r="283" spans="2:17" ht="17" x14ac:dyDescent="0.35">
      <c r="B283" s="14">
        <v>281</v>
      </c>
      <c r="C283" s="14" t="s">
        <v>827</v>
      </c>
      <c r="D283" s="14" t="s">
        <v>828</v>
      </c>
      <c r="E283" s="14">
        <v>596326699</v>
      </c>
      <c r="F283" s="14" t="s">
        <v>827</v>
      </c>
      <c r="G283" s="14" t="s">
        <v>181</v>
      </c>
      <c r="H283" s="14" t="s">
        <v>96</v>
      </c>
      <c r="I283" s="14" t="s">
        <v>98</v>
      </c>
      <c r="J283" s="12" t="s">
        <v>98</v>
      </c>
      <c r="K283" s="14">
        <v>0</v>
      </c>
      <c r="L283" s="14">
        <v>1</v>
      </c>
      <c r="M283" s="14">
        <v>1</v>
      </c>
      <c r="N283" s="14">
        <v>1</v>
      </c>
      <c r="O283" s="14">
        <v>0</v>
      </c>
      <c r="P283" s="14">
        <v>0</v>
      </c>
      <c r="Q283" s="14">
        <v>0</v>
      </c>
    </row>
    <row r="284" spans="2:17" ht="17" x14ac:dyDescent="0.35">
      <c r="B284" s="14">
        <v>282</v>
      </c>
      <c r="C284" s="14" t="s">
        <v>829</v>
      </c>
      <c r="D284" s="14" t="s">
        <v>830</v>
      </c>
      <c r="E284" s="14">
        <v>564975590</v>
      </c>
      <c r="F284" s="14" t="s">
        <v>829</v>
      </c>
      <c r="G284" s="14" t="s">
        <v>700</v>
      </c>
      <c r="H284" s="14" t="s">
        <v>96</v>
      </c>
      <c r="I284" s="14" t="s">
        <v>92</v>
      </c>
      <c r="J284" s="12" t="s">
        <v>92</v>
      </c>
      <c r="K284" s="14">
        <v>0</v>
      </c>
      <c r="L284" s="14">
        <v>0</v>
      </c>
      <c r="M284" s="14">
        <v>0</v>
      </c>
      <c r="N284" s="14">
        <v>2</v>
      </c>
      <c r="O284" s="14">
        <v>2</v>
      </c>
      <c r="P284" s="14">
        <v>2</v>
      </c>
      <c r="Q284" s="14">
        <v>2</v>
      </c>
    </row>
    <row r="285" spans="2:17" ht="17" x14ac:dyDescent="0.35">
      <c r="B285" s="17">
        <v>283</v>
      </c>
      <c r="C285" s="17" t="s">
        <v>831</v>
      </c>
      <c r="D285" s="17" t="s">
        <v>832</v>
      </c>
      <c r="E285" s="17">
        <v>565546688</v>
      </c>
      <c r="F285" s="17" t="s">
        <v>305</v>
      </c>
      <c r="G285" s="14" t="s">
        <v>350</v>
      </c>
      <c r="H285" s="17" t="s">
        <v>40</v>
      </c>
      <c r="I285" s="17" t="s">
        <v>135</v>
      </c>
      <c r="J285" s="16" t="s">
        <v>40</v>
      </c>
      <c r="K285" s="17">
        <v>1</v>
      </c>
      <c r="L285" s="17">
        <v>1</v>
      </c>
      <c r="M285" s="17">
        <v>1</v>
      </c>
      <c r="N285" s="17">
        <v>1</v>
      </c>
      <c r="O285" s="17">
        <v>1</v>
      </c>
      <c r="P285" s="17">
        <v>1</v>
      </c>
      <c r="Q285" s="17">
        <v>1</v>
      </c>
    </row>
  </sheetData>
  <phoneticPr fontId="7" type="noConversion"/>
  <dataValidations count="1">
    <dataValidation type="list" allowBlank="1" showInputMessage="1" showErrorMessage="1" sqref="G3:G285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J3:J1048576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H3:H1048576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R170"/>
  <sheetViews>
    <sheetView rightToLeft="1" topLeftCell="A139" workbookViewId="0">
      <selection activeCell="D164" sqref="D164"/>
    </sheetView>
  </sheetViews>
  <sheetFormatPr defaultRowHeight="14.5" x14ac:dyDescent="0.3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22.5429687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6384" width="8.7265625" style="5"/>
  </cols>
  <sheetData>
    <row r="2" spans="1:18" s="2" customFormat="1" x14ac:dyDescent="0.35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167</v>
      </c>
      <c r="I2" s="8" t="s">
        <v>746</v>
      </c>
      <c r="J2" s="3"/>
      <c r="K2" s="3" t="s">
        <v>154</v>
      </c>
      <c r="L2" s="3" t="s">
        <v>160</v>
      </c>
      <c r="N2" s="6" t="s">
        <v>159</v>
      </c>
      <c r="P2" t="s">
        <v>747</v>
      </c>
      <c r="R2" t="s">
        <v>748</v>
      </c>
    </row>
    <row r="3" spans="1:18" x14ac:dyDescent="0.35">
      <c r="B3" s="5" t="s">
        <v>7</v>
      </c>
      <c r="C3" s="5" t="s">
        <v>8</v>
      </c>
      <c r="D3" s="5" t="s">
        <v>91</v>
      </c>
      <c r="F3" t="s">
        <v>7</v>
      </c>
      <c r="G3" t="s">
        <v>8</v>
      </c>
      <c r="H3" t="s">
        <v>100</v>
      </c>
      <c r="I3" t="s">
        <v>100</v>
      </c>
      <c r="K3" s="5" t="s">
        <v>4</v>
      </c>
      <c r="L3" s="5" t="s">
        <v>37</v>
      </c>
      <c r="N3" s="7">
        <v>6</v>
      </c>
      <c r="P3" t="s">
        <v>227</v>
      </c>
      <c r="R3" t="s">
        <v>92</v>
      </c>
    </row>
    <row r="4" spans="1:18" x14ac:dyDescent="0.35">
      <c r="B4" s="5" t="s">
        <v>7</v>
      </c>
      <c r="C4" s="5" t="s">
        <v>8</v>
      </c>
      <c r="D4" s="5" t="s">
        <v>101</v>
      </c>
      <c r="F4" t="s">
        <v>7</v>
      </c>
      <c r="G4" t="s">
        <v>9</v>
      </c>
      <c r="H4" t="s">
        <v>96</v>
      </c>
      <c r="I4" t="s">
        <v>92</v>
      </c>
      <c r="K4" s="5" t="s">
        <v>150</v>
      </c>
      <c r="L4" s="5" t="s">
        <v>37</v>
      </c>
      <c r="P4" t="s">
        <v>96</v>
      </c>
      <c r="R4" t="s">
        <v>93</v>
      </c>
    </row>
    <row r="5" spans="1:18" x14ac:dyDescent="0.35">
      <c r="B5" s="5" t="s">
        <v>7</v>
      </c>
      <c r="C5" s="5" t="s">
        <v>8</v>
      </c>
      <c r="D5" s="5" t="s">
        <v>102</v>
      </c>
      <c r="F5" t="s">
        <v>7</v>
      </c>
      <c r="G5" t="s">
        <v>10</v>
      </c>
      <c r="H5" t="s">
        <v>93</v>
      </c>
      <c r="I5" t="s">
        <v>93</v>
      </c>
      <c r="K5" s="5" t="s">
        <v>151</v>
      </c>
      <c r="L5" s="5" t="s">
        <v>37</v>
      </c>
      <c r="P5" t="s">
        <v>32</v>
      </c>
      <c r="R5" t="s">
        <v>94</v>
      </c>
    </row>
    <row r="6" spans="1:18" x14ac:dyDescent="0.35">
      <c r="B6" s="5" t="s">
        <v>7</v>
      </c>
      <c r="C6" s="5" t="s">
        <v>8</v>
      </c>
      <c r="D6" s="5" t="s">
        <v>70</v>
      </c>
      <c r="F6" t="s">
        <v>7</v>
      </c>
      <c r="G6" t="s">
        <v>11</v>
      </c>
      <c r="H6" t="s">
        <v>94</v>
      </c>
      <c r="I6" t="s">
        <v>94</v>
      </c>
      <c r="K6" s="5" t="s">
        <v>152</v>
      </c>
      <c r="L6" s="5" t="s">
        <v>7</v>
      </c>
      <c r="P6" t="s">
        <v>27</v>
      </c>
      <c r="R6" t="s">
        <v>227</v>
      </c>
    </row>
    <row r="7" spans="1:18" x14ac:dyDescent="0.35">
      <c r="B7" s="5" t="s">
        <v>7</v>
      </c>
      <c r="C7" s="5" t="s">
        <v>9</v>
      </c>
      <c r="D7" s="5" t="s">
        <v>92</v>
      </c>
      <c r="F7" t="s">
        <v>7</v>
      </c>
      <c r="G7" t="s">
        <v>12</v>
      </c>
      <c r="H7" t="s">
        <v>227</v>
      </c>
      <c r="I7" t="s">
        <v>227</v>
      </c>
      <c r="K7" s="5" t="s">
        <v>155</v>
      </c>
      <c r="L7" s="5" t="s">
        <v>7</v>
      </c>
      <c r="P7" t="s">
        <v>94</v>
      </c>
      <c r="R7" t="s">
        <v>49</v>
      </c>
    </row>
    <row r="8" spans="1:18" x14ac:dyDescent="0.35">
      <c r="B8" s="5" t="s">
        <v>7</v>
      </c>
      <c r="C8" s="5" t="s">
        <v>9</v>
      </c>
      <c r="D8" s="5" t="s">
        <v>103</v>
      </c>
      <c r="F8" t="s">
        <v>7</v>
      </c>
      <c r="G8" t="s">
        <v>13</v>
      </c>
      <c r="H8" t="s">
        <v>38</v>
      </c>
      <c r="I8" t="s">
        <v>95</v>
      </c>
      <c r="K8" s="5" t="s">
        <v>156</v>
      </c>
      <c r="L8" s="5" t="s">
        <v>7</v>
      </c>
      <c r="P8" t="s">
        <v>38</v>
      </c>
      <c r="R8" t="s">
        <v>38</v>
      </c>
    </row>
    <row r="9" spans="1:18" x14ac:dyDescent="0.35">
      <c r="B9" s="5" t="s">
        <v>7</v>
      </c>
      <c r="C9" s="5" t="s">
        <v>9</v>
      </c>
      <c r="D9" s="5" t="s">
        <v>62</v>
      </c>
      <c r="F9" t="s">
        <v>7</v>
      </c>
      <c r="G9" t="s">
        <v>14</v>
      </c>
      <c r="H9" t="s">
        <v>38</v>
      </c>
      <c r="I9" t="s">
        <v>54</v>
      </c>
      <c r="K9" s="5" t="s">
        <v>153</v>
      </c>
      <c r="L9" s="5" t="s">
        <v>7</v>
      </c>
      <c r="P9" t="s">
        <v>97</v>
      </c>
      <c r="R9" t="s">
        <v>52</v>
      </c>
    </row>
    <row r="10" spans="1:18" x14ac:dyDescent="0.35">
      <c r="B10" s="5" t="s">
        <v>7</v>
      </c>
      <c r="C10" s="5" t="s">
        <v>10</v>
      </c>
      <c r="D10" s="5" t="s">
        <v>93</v>
      </c>
      <c r="F10" t="s">
        <v>7</v>
      </c>
      <c r="G10" t="s">
        <v>14</v>
      </c>
      <c r="H10" t="s">
        <v>38</v>
      </c>
      <c r="I10" t="s">
        <v>89</v>
      </c>
      <c r="P10" t="s">
        <v>24</v>
      </c>
      <c r="R10" t="s">
        <v>96</v>
      </c>
    </row>
    <row r="11" spans="1:18" x14ac:dyDescent="0.35">
      <c r="B11" s="5" t="s">
        <v>7</v>
      </c>
      <c r="C11" s="5" t="s">
        <v>10</v>
      </c>
      <c r="D11" s="5" t="s">
        <v>104</v>
      </c>
      <c r="F11" t="s">
        <v>7</v>
      </c>
      <c r="G11" t="s">
        <v>15</v>
      </c>
      <c r="H11" t="s">
        <v>38</v>
      </c>
      <c r="I11" t="s">
        <v>38</v>
      </c>
      <c r="P11" t="s">
        <v>144</v>
      </c>
      <c r="R11" t="s">
        <v>18</v>
      </c>
    </row>
    <row r="12" spans="1:18" x14ac:dyDescent="0.35">
      <c r="B12" s="5" t="s">
        <v>7</v>
      </c>
      <c r="C12" s="5" t="s">
        <v>10</v>
      </c>
      <c r="D12" s="5" t="s">
        <v>105</v>
      </c>
      <c r="F12" t="s">
        <v>7</v>
      </c>
      <c r="G12" t="s">
        <v>16</v>
      </c>
      <c r="H12" t="s">
        <v>96</v>
      </c>
      <c r="I12" t="s">
        <v>96</v>
      </c>
      <c r="P12" t="s">
        <v>40</v>
      </c>
      <c r="R12" t="s">
        <v>97</v>
      </c>
    </row>
    <row r="13" spans="1:18" x14ac:dyDescent="0.35">
      <c r="B13" s="5" t="s">
        <v>7</v>
      </c>
      <c r="C13" s="5" t="s">
        <v>10</v>
      </c>
      <c r="D13" s="5" t="s">
        <v>106</v>
      </c>
      <c r="F13" t="s">
        <v>7</v>
      </c>
      <c r="G13" t="s">
        <v>16</v>
      </c>
      <c r="H13" t="s">
        <v>96</v>
      </c>
      <c r="I13" t="s">
        <v>98</v>
      </c>
      <c r="P13" t="s">
        <v>93</v>
      </c>
      <c r="R13" t="s">
        <v>98</v>
      </c>
    </row>
    <row r="14" spans="1:18" x14ac:dyDescent="0.35">
      <c r="B14" s="5" t="s">
        <v>7</v>
      </c>
      <c r="C14" s="5" t="s">
        <v>10</v>
      </c>
      <c r="D14" s="5" t="s">
        <v>86</v>
      </c>
      <c r="F14" t="s">
        <v>7</v>
      </c>
      <c r="G14" t="s">
        <v>17</v>
      </c>
      <c r="H14" t="s">
        <v>144</v>
      </c>
      <c r="I14" t="s">
        <v>18</v>
      </c>
      <c r="P14" t="s">
        <v>87</v>
      </c>
      <c r="R14" t="s">
        <v>24</v>
      </c>
    </row>
    <row r="15" spans="1:18" x14ac:dyDescent="0.35">
      <c r="B15" s="5" t="s">
        <v>7</v>
      </c>
      <c r="C15" s="5" t="s">
        <v>10</v>
      </c>
      <c r="D15" s="5" t="s">
        <v>107</v>
      </c>
      <c r="F15" t="s">
        <v>7</v>
      </c>
      <c r="G15" t="s">
        <v>19</v>
      </c>
      <c r="H15" t="s">
        <v>97</v>
      </c>
      <c r="I15" t="s">
        <v>97</v>
      </c>
      <c r="P15" t="s">
        <v>100</v>
      </c>
      <c r="R15" t="s">
        <v>27</v>
      </c>
    </row>
    <row r="16" spans="1:18" x14ac:dyDescent="0.35">
      <c r="B16" s="5" t="s">
        <v>7</v>
      </c>
      <c r="C16" s="5" t="s">
        <v>11</v>
      </c>
      <c r="D16" s="5" t="s">
        <v>108</v>
      </c>
      <c r="F16" t="s">
        <v>7</v>
      </c>
      <c r="G16" t="s">
        <v>19</v>
      </c>
      <c r="H16" t="s">
        <v>97</v>
      </c>
      <c r="I16" t="s">
        <v>49</v>
      </c>
      <c r="P16"/>
      <c r="R16" t="s">
        <v>40</v>
      </c>
    </row>
    <row r="17" spans="2:18" x14ac:dyDescent="0.35">
      <c r="B17" s="5" t="s">
        <v>7</v>
      </c>
      <c r="C17" s="5" t="s">
        <v>11</v>
      </c>
      <c r="D17" s="5" t="s">
        <v>109</v>
      </c>
      <c r="F17" t="s">
        <v>7</v>
      </c>
      <c r="G17" t="s">
        <v>20</v>
      </c>
      <c r="H17" t="s">
        <v>96</v>
      </c>
      <c r="I17" t="s">
        <v>98</v>
      </c>
      <c r="P17"/>
      <c r="R17" t="s">
        <v>30</v>
      </c>
    </row>
    <row r="18" spans="2:18" x14ac:dyDescent="0.35">
      <c r="B18" s="5" t="s">
        <v>7</v>
      </c>
      <c r="C18" s="5" t="s">
        <v>11</v>
      </c>
      <c r="D18" s="5" t="s">
        <v>110</v>
      </c>
      <c r="F18" t="s">
        <v>7</v>
      </c>
      <c r="G18" t="s">
        <v>20</v>
      </c>
      <c r="H18" t="s">
        <v>96</v>
      </c>
      <c r="I18" t="s">
        <v>96</v>
      </c>
      <c r="P18"/>
      <c r="R18" t="s">
        <v>32</v>
      </c>
    </row>
    <row r="19" spans="2:18" x14ac:dyDescent="0.35">
      <c r="B19" s="5" t="s">
        <v>7</v>
      </c>
      <c r="C19" s="5" t="s">
        <v>11</v>
      </c>
      <c r="D19" s="5" t="s">
        <v>800</v>
      </c>
      <c r="F19" t="s">
        <v>7</v>
      </c>
      <c r="G19" t="s">
        <v>21</v>
      </c>
      <c r="H19" t="s">
        <v>144</v>
      </c>
      <c r="I19" t="s">
        <v>144</v>
      </c>
      <c r="P19"/>
      <c r="R19" t="s">
        <v>138</v>
      </c>
    </row>
    <row r="20" spans="2:18" x14ac:dyDescent="0.35">
      <c r="B20" s="5" t="s">
        <v>7</v>
      </c>
      <c r="C20" s="5" t="s">
        <v>12</v>
      </c>
      <c r="D20" s="5" t="s">
        <v>45</v>
      </c>
      <c r="F20" t="s">
        <v>7</v>
      </c>
      <c r="G20" t="s">
        <v>22</v>
      </c>
      <c r="H20" t="s">
        <v>38</v>
      </c>
      <c r="I20" t="s">
        <v>99</v>
      </c>
      <c r="P20"/>
      <c r="R20" t="s">
        <v>100</v>
      </c>
    </row>
    <row r="21" spans="2:18" x14ac:dyDescent="0.35">
      <c r="B21" s="5" t="s">
        <v>7</v>
      </c>
      <c r="C21" s="5" t="s">
        <v>12</v>
      </c>
      <c r="D21" s="5" t="s">
        <v>79</v>
      </c>
      <c r="F21" t="s">
        <v>7</v>
      </c>
      <c r="G21" t="s">
        <v>22</v>
      </c>
      <c r="H21" t="s">
        <v>38</v>
      </c>
      <c r="I21" t="s">
        <v>52</v>
      </c>
      <c r="P21"/>
      <c r="R21" t="s">
        <v>144</v>
      </c>
    </row>
    <row r="22" spans="2:18" x14ac:dyDescent="0.35">
      <c r="B22" s="5" t="s">
        <v>7</v>
      </c>
      <c r="C22" s="5" t="s">
        <v>12</v>
      </c>
      <c r="D22" s="5" t="s">
        <v>72</v>
      </c>
      <c r="F22" t="s">
        <v>7</v>
      </c>
      <c r="G22" t="s">
        <v>22</v>
      </c>
      <c r="H22" t="s">
        <v>38</v>
      </c>
      <c r="I22" t="s">
        <v>76</v>
      </c>
      <c r="P22"/>
      <c r="R22" t="s">
        <v>87</v>
      </c>
    </row>
    <row r="23" spans="2:18" x14ac:dyDescent="0.35">
      <c r="B23" s="5" t="s">
        <v>7</v>
      </c>
      <c r="C23" s="5" t="s">
        <v>13</v>
      </c>
      <c r="D23" s="5" t="s">
        <v>95</v>
      </c>
      <c r="F23" t="s">
        <v>7</v>
      </c>
      <c r="G23" t="s">
        <v>23</v>
      </c>
      <c r="H23" t="s">
        <v>24</v>
      </c>
      <c r="I23" t="s">
        <v>24</v>
      </c>
      <c r="P23"/>
      <c r="R23" t="s">
        <v>89</v>
      </c>
    </row>
    <row r="24" spans="2:18" x14ac:dyDescent="0.35">
      <c r="B24" s="5" t="s">
        <v>7</v>
      </c>
      <c r="C24" s="5" t="s">
        <v>13</v>
      </c>
      <c r="D24" s="5" t="s">
        <v>111</v>
      </c>
      <c r="F24" t="s">
        <v>7</v>
      </c>
      <c r="G24" t="s">
        <v>25</v>
      </c>
      <c r="H24" t="s">
        <v>40</v>
      </c>
      <c r="I24" t="s">
        <v>40</v>
      </c>
      <c r="P24"/>
      <c r="R24" t="s">
        <v>95</v>
      </c>
    </row>
    <row r="25" spans="2:18" x14ac:dyDescent="0.35">
      <c r="B25" s="5" t="s">
        <v>7</v>
      </c>
      <c r="C25" s="5" t="s">
        <v>13</v>
      </c>
      <c r="D25" s="5" t="s">
        <v>112</v>
      </c>
      <c r="F25" t="s">
        <v>7</v>
      </c>
      <c r="G25" t="s">
        <v>26</v>
      </c>
      <c r="H25" t="s">
        <v>27</v>
      </c>
      <c r="I25" t="s">
        <v>27</v>
      </c>
      <c r="P25"/>
      <c r="R25" t="s">
        <v>54</v>
      </c>
    </row>
    <row r="26" spans="2:18" x14ac:dyDescent="0.35">
      <c r="B26" s="5" t="s">
        <v>7</v>
      </c>
      <c r="C26" s="5" t="s">
        <v>14</v>
      </c>
      <c r="D26" s="5" t="s">
        <v>113</v>
      </c>
      <c r="F26" t="s">
        <v>7</v>
      </c>
      <c r="G26" t="s">
        <v>28</v>
      </c>
      <c r="H26" t="s">
        <v>40</v>
      </c>
      <c r="I26" t="s">
        <v>40</v>
      </c>
      <c r="P26"/>
      <c r="R26" t="s">
        <v>76</v>
      </c>
    </row>
    <row r="27" spans="2:18" x14ac:dyDescent="0.35">
      <c r="B27" s="5" t="s">
        <v>7</v>
      </c>
      <c r="C27" s="5" t="s">
        <v>14</v>
      </c>
      <c r="D27" s="5" t="s">
        <v>81</v>
      </c>
      <c r="F27" t="s">
        <v>7</v>
      </c>
      <c r="G27" t="s">
        <v>29</v>
      </c>
      <c r="H27" t="s">
        <v>144</v>
      </c>
      <c r="I27" t="s">
        <v>30</v>
      </c>
      <c r="P27"/>
      <c r="R27" t="s">
        <v>99</v>
      </c>
    </row>
    <row r="28" spans="2:18" x14ac:dyDescent="0.35">
      <c r="B28" s="5" t="s">
        <v>7</v>
      </c>
      <c r="C28" s="5" t="s">
        <v>14</v>
      </c>
      <c r="D28" s="5" t="s">
        <v>54</v>
      </c>
      <c r="F28" t="s">
        <v>7</v>
      </c>
      <c r="G28" t="s">
        <v>31</v>
      </c>
      <c r="H28" t="s">
        <v>32</v>
      </c>
      <c r="I28" t="s">
        <v>32</v>
      </c>
      <c r="P28"/>
      <c r="R28"/>
    </row>
    <row r="29" spans="2:18" x14ac:dyDescent="0.35">
      <c r="B29" s="5" t="s">
        <v>7</v>
      </c>
      <c r="C29" s="5" t="s">
        <v>14</v>
      </c>
      <c r="D29" s="5" t="s">
        <v>89</v>
      </c>
      <c r="F29" t="s">
        <v>7</v>
      </c>
      <c r="G29" t="s">
        <v>33</v>
      </c>
      <c r="H29" t="s">
        <v>96</v>
      </c>
      <c r="I29" t="s">
        <v>138</v>
      </c>
      <c r="P29"/>
      <c r="R29"/>
    </row>
    <row r="30" spans="2:18" x14ac:dyDescent="0.35">
      <c r="B30" s="5" t="s">
        <v>7</v>
      </c>
      <c r="C30" s="5" t="s">
        <v>15</v>
      </c>
      <c r="D30" s="5" t="s">
        <v>38</v>
      </c>
      <c r="F30" t="s">
        <v>7</v>
      </c>
      <c r="G30" t="s">
        <v>34</v>
      </c>
      <c r="H30" t="s">
        <v>100</v>
      </c>
      <c r="I30" t="s">
        <v>100</v>
      </c>
      <c r="P30"/>
      <c r="R30"/>
    </row>
    <row r="31" spans="2:18" x14ac:dyDescent="0.35">
      <c r="B31" s="5" t="s">
        <v>7</v>
      </c>
      <c r="C31" s="5" t="s">
        <v>15</v>
      </c>
      <c r="D31" s="5" t="s">
        <v>114</v>
      </c>
      <c r="F31" t="s">
        <v>7</v>
      </c>
      <c r="G31" t="s">
        <v>35</v>
      </c>
      <c r="H31" t="s">
        <v>144</v>
      </c>
      <c r="I31" t="s">
        <v>144</v>
      </c>
      <c r="P31"/>
      <c r="R31"/>
    </row>
    <row r="32" spans="2:18" x14ac:dyDescent="0.35">
      <c r="B32" s="5" t="s">
        <v>7</v>
      </c>
      <c r="C32" s="5" t="s">
        <v>15</v>
      </c>
      <c r="D32" s="5" t="s">
        <v>115</v>
      </c>
      <c r="F32" t="s">
        <v>7</v>
      </c>
      <c r="G32" t="s">
        <v>36</v>
      </c>
      <c r="H32" t="s">
        <v>87</v>
      </c>
      <c r="I32" t="s">
        <v>87</v>
      </c>
      <c r="P32"/>
      <c r="R32"/>
    </row>
    <row r="33" spans="2:18" x14ac:dyDescent="0.35">
      <c r="B33" s="5" t="s">
        <v>7</v>
      </c>
      <c r="C33" s="5" t="s">
        <v>16</v>
      </c>
      <c r="D33" s="5" t="s">
        <v>116</v>
      </c>
      <c r="F33" t="s">
        <v>37</v>
      </c>
      <c r="G33" t="s">
        <v>15</v>
      </c>
      <c r="H33" t="s">
        <v>38</v>
      </c>
      <c r="I33" t="s">
        <v>38</v>
      </c>
      <c r="P33"/>
      <c r="R33"/>
    </row>
    <row r="34" spans="2:18" x14ac:dyDescent="0.35">
      <c r="B34" s="5" t="s">
        <v>7</v>
      </c>
      <c r="C34" s="5" t="s">
        <v>16</v>
      </c>
      <c r="D34" s="5" t="s">
        <v>117</v>
      </c>
      <c r="F34" t="s">
        <v>37</v>
      </c>
      <c r="G34" t="s">
        <v>25</v>
      </c>
      <c r="H34" t="s">
        <v>40</v>
      </c>
      <c r="I34" t="s">
        <v>40</v>
      </c>
      <c r="P34"/>
      <c r="R34"/>
    </row>
    <row r="35" spans="2:18" x14ac:dyDescent="0.35">
      <c r="B35" s="5" t="s">
        <v>7</v>
      </c>
      <c r="C35" s="5" t="s">
        <v>16</v>
      </c>
      <c r="D35" s="5" t="s">
        <v>118</v>
      </c>
      <c r="F35" t="s">
        <v>37</v>
      </c>
      <c r="G35" t="s">
        <v>28</v>
      </c>
      <c r="H35" t="s">
        <v>40</v>
      </c>
      <c r="I35" t="s">
        <v>40</v>
      </c>
      <c r="P35"/>
      <c r="R35"/>
    </row>
    <row r="36" spans="2:18" x14ac:dyDescent="0.35">
      <c r="B36" s="5" t="s">
        <v>7</v>
      </c>
      <c r="C36" s="5" t="s">
        <v>16</v>
      </c>
      <c r="D36" s="5" t="s">
        <v>119</v>
      </c>
      <c r="F36" t="s">
        <v>37</v>
      </c>
      <c r="G36" t="s">
        <v>34</v>
      </c>
      <c r="H36" t="s">
        <v>100</v>
      </c>
      <c r="I36" t="s">
        <v>100</v>
      </c>
      <c r="P36"/>
      <c r="R36"/>
    </row>
    <row r="37" spans="2:18" x14ac:dyDescent="0.35">
      <c r="B37" s="5" t="s">
        <v>7</v>
      </c>
      <c r="C37" s="5" t="s">
        <v>17</v>
      </c>
      <c r="D37" s="5" t="s">
        <v>18</v>
      </c>
      <c r="F37" t="s">
        <v>37</v>
      </c>
      <c r="G37" t="s">
        <v>8</v>
      </c>
      <c r="H37" t="s">
        <v>100</v>
      </c>
      <c r="I37" t="s">
        <v>100</v>
      </c>
      <c r="P37"/>
      <c r="R37"/>
    </row>
    <row r="38" spans="2:18" x14ac:dyDescent="0.35">
      <c r="B38" s="5" t="s">
        <v>7</v>
      </c>
      <c r="C38" s="5" t="s">
        <v>19</v>
      </c>
      <c r="D38" s="5" t="s">
        <v>120</v>
      </c>
      <c r="F38" t="s">
        <v>37</v>
      </c>
      <c r="G38" t="s">
        <v>42</v>
      </c>
      <c r="H38" t="s">
        <v>40</v>
      </c>
      <c r="I38" t="s">
        <v>40</v>
      </c>
      <c r="P38"/>
      <c r="R38"/>
    </row>
    <row r="39" spans="2:18" x14ac:dyDescent="0.35">
      <c r="B39" s="5" t="s">
        <v>7</v>
      </c>
      <c r="C39" s="5" t="s">
        <v>19</v>
      </c>
      <c r="D39" s="5" t="s">
        <v>121</v>
      </c>
      <c r="F39" t="s">
        <v>37</v>
      </c>
      <c r="G39" t="s">
        <v>9</v>
      </c>
      <c r="H39" t="s">
        <v>96</v>
      </c>
      <c r="I39" t="s">
        <v>92</v>
      </c>
      <c r="P39"/>
      <c r="R39"/>
    </row>
    <row r="40" spans="2:18" x14ac:dyDescent="0.35">
      <c r="B40" s="5" t="s">
        <v>7</v>
      </c>
      <c r="C40" s="5" t="s">
        <v>19</v>
      </c>
      <c r="D40" s="5" t="s">
        <v>122</v>
      </c>
      <c r="F40" t="s">
        <v>37</v>
      </c>
      <c r="G40" t="s">
        <v>10</v>
      </c>
      <c r="H40" t="s">
        <v>93</v>
      </c>
      <c r="I40" t="s">
        <v>93</v>
      </c>
      <c r="P40"/>
      <c r="R40"/>
    </row>
    <row r="41" spans="2:18" x14ac:dyDescent="0.35">
      <c r="B41" s="5" t="s">
        <v>7</v>
      </c>
      <c r="C41" s="5" t="s">
        <v>19</v>
      </c>
      <c r="D41" s="5" t="s">
        <v>123</v>
      </c>
      <c r="F41" t="s">
        <v>37</v>
      </c>
      <c r="G41" t="s">
        <v>44</v>
      </c>
      <c r="H41" t="s">
        <v>97</v>
      </c>
      <c r="I41" t="s">
        <v>97</v>
      </c>
    </row>
    <row r="42" spans="2:18" x14ac:dyDescent="0.35">
      <c r="B42" s="5" t="s">
        <v>7</v>
      </c>
      <c r="C42" s="5" t="s">
        <v>19</v>
      </c>
      <c r="D42" s="5" t="s">
        <v>49</v>
      </c>
      <c r="F42" t="s">
        <v>37</v>
      </c>
      <c r="G42" t="s">
        <v>11</v>
      </c>
      <c r="H42" t="s">
        <v>94</v>
      </c>
      <c r="I42" t="s">
        <v>94</v>
      </c>
    </row>
    <row r="43" spans="2:18" x14ac:dyDescent="0.35">
      <c r="B43" s="5" t="s">
        <v>7</v>
      </c>
      <c r="C43" s="5" t="s">
        <v>19</v>
      </c>
      <c r="D43" s="5" t="s">
        <v>124</v>
      </c>
      <c r="F43" t="s">
        <v>37</v>
      </c>
      <c r="G43" t="s">
        <v>12</v>
      </c>
      <c r="H43" t="s">
        <v>227</v>
      </c>
      <c r="I43" t="s">
        <v>227</v>
      </c>
    </row>
    <row r="44" spans="2:18" x14ac:dyDescent="0.35">
      <c r="B44" s="5" t="s">
        <v>7</v>
      </c>
      <c r="C44" s="5" t="s">
        <v>19</v>
      </c>
      <c r="D44" s="5" t="s">
        <v>149</v>
      </c>
      <c r="F44" t="s">
        <v>37</v>
      </c>
      <c r="G44" t="s">
        <v>13</v>
      </c>
      <c r="H44" t="s">
        <v>38</v>
      </c>
      <c r="I44" t="s">
        <v>95</v>
      </c>
    </row>
    <row r="45" spans="2:18" x14ac:dyDescent="0.35">
      <c r="B45" s="5" t="s">
        <v>7</v>
      </c>
      <c r="C45" s="5" t="s">
        <v>19</v>
      </c>
      <c r="D45" s="5" t="s">
        <v>125</v>
      </c>
      <c r="F45" t="s">
        <v>37</v>
      </c>
      <c r="G45" t="s">
        <v>46</v>
      </c>
      <c r="H45" t="s">
        <v>96</v>
      </c>
      <c r="I45" t="s">
        <v>96</v>
      </c>
    </row>
    <row r="46" spans="2:18" x14ac:dyDescent="0.35">
      <c r="B46" s="5" t="s">
        <v>7</v>
      </c>
      <c r="C46" s="5" t="s">
        <v>19</v>
      </c>
      <c r="D46" s="5" t="s">
        <v>126</v>
      </c>
      <c r="F46" t="s">
        <v>37</v>
      </c>
      <c r="G46" t="s">
        <v>48</v>
      </c>
      <c r="H46" t="s">
        <v>97</v>
      </c>
      <c r="I46" t="s">
        <v>49</v>
      </c>
    </row>
    <row r="47" spans="2:18" x14ac:dyDescent="0.35">
      <c r="B47" s="5" t="s">
        <v>7</v>
      </c>
      <c r="C47" s="5" t="s">
        <v>20</v>
      </c>
      <c r="D47" s="5" t="s">
        <v>98</v>
      </c>
      <c r="F47" t="s">
        <v>37</v>
      </c>
      <c r="G47" t="s">
        <v>50</v>
      </c>
      <c r="H47" t="s">
        <v>38</v>
      </c>
      <c r="I47" t="s">
        <v>38</v>
      </c>
    </row>
    <row r="48" spans="2:18" x14ac:dyDescent="0.35">
      <c r="B48" s="5" t="s">
        <v>7</v>
      </c>
      <c r="C48" s="5" t="s">
        <v>20</v>
      </c>
      <c r="D48" s="5" t="s">
        <v>127</v>
      </c>
      <c r="F48" t="s">
        <v>37</v>
      </c>
      <c r="G48" t="s">
        <v>51</v>
      </c>
      <c r="H48" t="s">
        <v>38</v>
      </c>
      <c r="I48" t="s">
        <v>52</v>
      </c>
    </row>
    <row r="49" spans="2:9" x14ac:dyDescent="0.35">
      <c r="B49" s="5" t="s">
        <v>7</v>
      </c>
      <c r="C49" s="5" t="s">
        <v>20</v>
      </c>
      <c r="D49" s="5" t="s">
        <v>128</v>
      </c>
      <c r="F49" t="s">
        <v>37</v>
      </c>
      <c r="G49" t="s">
        <v>16</v>
      </c>
      <c r="H49" t="s">
        <v>96</v>
      </c>
      <c r="I49" t="s">
        <v>96</v>
      </c>
    </row>
    <row r="50" spans="2:9" x14ac:dyDescent="0.35">
      <c r="B50" s="5" t="s">
        <v>7</v>
      </c>
      <c r="C50" s="5" t="s">
        <v>20</v>
      </c>
      <c r="D50" s="5" t="s">
        <v>129</v>
      </c>
      <c r="F50" t="s">
        <v>37</v>
      </c>
      <c r="G50" t="s">
        <v>16</v>
      </c>
      <c r="H50" t="s">
        <v>96</v>
      </c>
      <c r="I50" t="s">
        <v>98</v>
      </c>
    </row>
    <row r="51" spans="2:9" x14ac:dyDescent="0.35">
      <c r="B51" s="5" t="s">
        <v>7</v>
      </c>
      <c r="C51" s="5" t="s">
        <v>20</v>
      </c>
      <c r="D51" s="5" t="s">
        <v>130</v>
      </c>
      <c r="F51" t="s">
        <v>37</v>
      </c>
      <c r="G51" t="s">
        <v>17</v>
      </c>
      <c r="H51" t="s">
        <v>144</v>
      </c>
      <c r="I51" t="s">
        <v>18</v>
      </c>
    </row>
    <row r="52" spans="2:9" x14ac:dyDescent="0.35">
      <c r="B52" s="5" t="s">
        <v>7</v>
      </c>
      <c r="C52" s="5" t="s">
        <v>21</v>
      </c>
      <c r="D52" s="5" t="s">
        <v>53</v>
      </c>
      <c r="F52" t="s">
        <v>37</v>
      </c>
      <c r="G52" t="s">
        <v>19</v>
      </c>
      <c r="H52" t="s">
        <v>97</v>
      </c>
      <c r="I52" t="s">
        <v>97</v>
      </c>
    </row>
    <row r="53" spans="2:9" x14ac:dyDescent="0.35">
      <c r="B53" s="5" t="s">
        <v>7</v>
      </c>
      <c r="C53" s="5" t="s">
        <v>21</v>
      </c>
      <c r="D53" s="5" t="s">
        <v>56</v>
      </c>
      <c r="F53" t="s">
        <v>37</v>
      </c>
      <c r="G53" t="s">
        <v>19</v>
      </c>
      <c r="H53" t="s">
        <v>97</v>
      </c>
      <c r="I53" t="s">
        <v>49</v>
      </c>
    </row>
    <row r="54" spans="2:9" x14ac:dyDescent="0.35">
      <c r="B54" s="5" t="s">
        <v>7</v>
      </c>
      <c r="C54" s="5" t="s">
        <v>22</v>
      </c>
      <c r="D54" s="5" t="s">
        <v>99</v>
      </c>
      <c r="F54" t="s">
        <v>37</v>
      </c>
      <c r="G54" t="s">
        <v>20</v>
      </c>
      <c r="H54" t="s">
        <v>96</v>
      </c>
      <c r="I54" t="s">
        <v>98</v>
      </c>
    </row>
    <row r="55" spans="2:9" x14ac:dyDescent="0.35">
      <c r="B55" s="5" t="s">
        <v>7</v>
      </c>
      <c r="C55" s="5" t="s">
        <v>22</v>
      </c>
      <c r="D55" s="5" t="s">
        <v>131</v>
      </c>
      <c r="F55" t="s">
        <v>37</v>
      </c>
      <c r="G55" t="s">
        <v>20</v>
      </c>
      <c r="H55" t="s">
        <v>96</v>
      </c>
      <c r="I55" t="s">
        <v>96</v>
      </c>
    </row>
    <row r="56" spans="2:9" x14ac:dyDescent="0.35">
      <c r="B56" s="5" t="s">
        <v>7</v>
      </c>
      <c r="C56" s="5" t="s">
        <v>22</v>
      </c>
      <c r="D56" s="5" t="s">
        <v>52</v>
      </c>
      <c r="F56" t="s">
        <v>37</v>
      </c>
      <c r="G56" t="s">
        <v>21</v>
      </c>
      <c r="H56" t="s">
        <v>144</v>
      </c>
      <c r="I56" t="s">
        <v>144</v>
      </c>
    </row>
    <row r="57" spans="2:9" x14ac:dyDescent="0.35">
      <c r="B57" s="5" t="s">
        <v>7</v>
      </c>
      <c r="C57" s="5" t="s">
        <v>22</v>
      </c>
      <c r="D57" s="5" t="s">
        <v>76</v>
      </c>
      <c r="F57" t="s">
        <v>37</v>
      </c>
      <c r="G57" t="s">
        <v>14</v>
      </c>
      <c r="H57" t="s">
        <v>38</v>
      </c>
      <c r="I57" t="s">
        <v>54</v>
      </c>
    </row>
    <row r="58" spans="2:9" x14ac:dyDescent="0.35">
      <c r="B58" s="5" t="s">
        <v>7</v>
      </c>
      <c r="C58" s="5" t="s">
        <v>23</v>
      </c>
      <c r="D58" s="5" t="s">
        <v>24</v>
      </c>
      <c r="F58" t="s">
        <v>37</v>
      </c>
      <c r="G58" t="s">
        <v>55</v>
      </c>
      <c r="H58" t="s">
        <v>144</v>
      </c>
      <c r="I58" t="s">
        <v>144</v>
      </c>
    </row>
    <row r="59" spans="2:9" x14ac:dyDescent="0.35">
      <c r="B59" s="5" t="s">
        <v>7</v>
      </c>
      <c r="C59" s="5" t="s">
        <v>25</v>
      </c>
      <c r="D59" s="5" t="s">
        <v>132</v>
      </c>
      <c r="F59" t="s">
        <v>37</v>
      </c>
      <c r="G59" t="s">
        <v>57</v>
      </c>
      <c r="H59" t="s">
        <v>100</v>
      </c>
      <c r="I59" t="s">
        <v>100</v>
      </c>
    </row>
    <row r="60" spans="2:9" x14ac:dyDescent="0.35">
      <c r="B60" s="5" t="s">
        <v>7</v>
      </c>
      <c r="C60" s="5" t="s">
        <v>25</v>
      </c>
      <c r="D60" s="5" t="s">
        <v>39</v>
      </c>
      <c r="F60" t="s">
        <v>37</v>
      </c>
      <c r="G60" t="s">
        <v>22</v>
      </c>
      <c r="H60" t="s">
        <v>38</v>
      </c>
      <c r="I60" t="s">
        <v>99</v>
      </c>
    </row>
    <row r="61" spans="2:9" x14ac:dyDescent="0.35">
      <c r="B61" s="5" t="s">
        <v>7</v>
      </c>
      <c r="C61" s="5" t="s">
        <v>26</v>
      </c>
      <c r="D61" s="5" t="s">
        <v>27</v>
      </c>
      <c r="F61" t="s">
        <v>37</v>
      </c>
      <c r="G61" t="s">
        <v>22</v>
      </c>
      <c r="H61" t="s">
        <v>38</v>
      </c>
      <c r="I61" t="s">
        <v>52</v>
      </c>
    </row>
    <row r="62" spans="2:9" x14ac:dyDescent="0.35">
      <c r="B62" s="5" t="s">
        <v>7</v>
      </c>
      <c r="C62" s="5" t="s">
        <v>28</v>
      </c>
      <c r="D62" s="5" t="s">
        <v>501</v>
      </c>
      <c r="F62" t="s">
        <v>37</v>
      </c>
      <c r="G62" t="s">
        <v>23</v>
      </c>
      <c r="H62" t="s">
        <v>24</v>
      </c>
      <c r="I62" t="s">
        <v>24</v>
      </c>
    </row>
    <row r="63" spans="2:9" x14ac:dyDescent="0.35">
      <c r="B63" s="5" t="s">
        <v>7</v>
      </c>
      <c r="C63" s="5" t="s">
        <v>28</v>
      </c>
      <c r="D63" s="5" t="s">
        <v>43</v>
      </c>
      <c r="F63" t="s">
        <v>37</v>
      </c>
      <c r="G63" t="s">
        <v>67</v>
      </c>
      <c r="H63" t="s">
        <v>24</v>
      </c>
      <c r="I63" t="s">
        <v>24</v>
      </c>
    </row>
    <row r="64" spans="2:9" x14ac:dyDescent="0.35">
      <c r="B64" s="5" t="s">
        <v>7</v>
      </c>
      <c r="C64" s="5" t="s">
        <v>28</v>
      </c>
      <c r="D64" s="5" t="s">
        <v>133</v>
      </c>
      <c r="F64" t="s">
        <v>37</v>
      </c>
      <c r="G64" t="s">
        <v>60</v>
      </c>
      <c r="H64" t="s">
        <v>100</v>
      </c>
      <c r="I64" t="s">
        <v>100</v>
      </c>
    </row>
    <row r="65" spans="2:9" x14ac:dyDescent="0.35">
      <c r="B65" s="5" t="s">
        <v>7</v>
      </c>
      <c r="C65" s="5" t="s">
        <v>28</v>
      </c>
      <c r="D65" s="5" t="s">
        <v>134</v>
      </c>
      <c r="F65" t="s">
        <v>37</v>
      </c>
      <c r="G65" t="s">
        <v>61</v>
      </c>
      <c r="H65" t="s">
        <v>96</v>
      </c>
      <c r="I65" t="s">
        <v>92</v>
      </c>
    </row>
    <row r="66" spans="2:9" x14ac:dyDescent="0.35">
      <c r="B66" s="5" t="s">
        <v>7</v>
      </c>
      <c r="C66" s="5" t="s">
        <v>28</v>
      </c>
      <c r="D66" s="5" t="s">
        <v>135</v>
      </c>
      <c r="F66" t="s">
        <v>37</v>
      </c>
      <c r="G66" t="s">
        <v>63</v>
      </c>
      <c r="H66" t="s">
        <v>40</v>
      </c>
      <c r="I66" t="s">
        <v>40</v>
      </c>
    </row>
    <row r="67" spans="2:9" x14ac:dyDescent="0.35">
      <c r="B67" s="5" t="s">
        <v>7</v>
      </c>
      <c r="C67" s="5" t="s">
        <v>28</v>
      </c>
      <c r="D67" s="5" t="s">
        <v>136</v>
      </c>
      <c r="F67" t="s">
        <v>37</v>
      </c>
      <c r="G67" t="s">
        <v>64</v>
      </c>
      <c r="H67" t="s">
        <v>100</v>
      </c>
      <c r="I67" t="s">
        <v>100</v>
      </c>
    </row>
    <row r="68" spans="2:9" x14ac:dyDescent="0.35">
      <c r="B68" s="5" t="s">
        <v>7</v>
      </c>
      <c r="C68" s="5" t="s">
        <v>28</v>
      </c>
      <c r="D68" s="5" t="s">
        <v>137</v>
      </c>
      <c r="F68" t="s">
        <v>37</v>
      </c>
      <c r="G68" t="s">
        <v>26</v>
      </c>
      <c r="H68" t="s">
        <v>27</v>
      </c>
      <c r="I68" t="s">
        <v>27</v>
      </c>
    </row>
    <row r="69" spans="2:9" x14ac:dyDescent="0.35">
      <c r="B69" s="5" t="s">
        <v>7</v>
      </c>
      <c r="C69" s="5" t="s">
        <v>29</v>
      </c>
      <c r="D69" s="5" t="s">
        <v>30</v>
      </c>
      <c r="F69" t="s">
        <v>37</v>
      </c>
      <c r="G69" t="s">
        <v>66</v>
      </c>
      <c r="H69" t="s">
        <v>40</v>
      </c>
      <c r="I69" t="s">
        <v>40</v>
      </c>
    </row>
    <row r="70" spans="2:9" x14ac:dyDescent="0.35">
      <c r="B70" s="5" t="s">
        <v>7</v>
      </c>
      <c r="C70" s="5" t="s">
        <v>31</v>
      </c>
      <c r="D70" s="5" t="s">
        <v>32</v>
      </c>
      <c r="F70" t="s">
        <v>37</v>
      </c>
      <c r="G70" t="s">
        <v>29</v>
      </c>
      <c r="H70" t="s">
        <v>144</v>
      </c>
      <c r="I70" t="s">
        <v>30</v>
      </c>
    </row>
    <row r="71" spans="2:9" x14ac:dyDescent="0.35">
      <c r="B71" s="5" t="s">
        <v>7</v>
      </c>
      <c r="C71" s="5" t="s">
        <v>33</v>
      </c>
      <c r="D71" s="5" t="s">
        <v>138</v>
      </c>
      <c r="F71" t="s">
        <v>37</v>
      </c>
      <c r="G71" t="s">
        <v>31</v>
      </c>
      <c r="H71" t="s">
        <v>32</v>
      </c>
      <c r="I71" t="s">
        <v>32</v>
      </c>
    </row>
    <row r="72" spans="2:9" x14ac:dyDescent="0.35">
      <c r="B72" s="5" t="s">
        <v>7</v>
      </c>
      <c r="C72" s="5" t="s">
        <v>33</v>
      </c>
      <c r="D72" s="5" t="s">
        <v>139</v>
      </c>
      <c r="F72" t="s">
        <v>37</v>
      </c>
      <c r="G72" t="s">
        <v>33</v>
      </c>
      <c r="H72" t="s">
        <v>96</v>
      </c>
      <c r="I72" t="s">
        <v>138</v>
      </c>
    </row>
    <row r="73" spans="2:9" x14ac:dyDescent="0.35">
      <c r="B73" s="5" t="s">
        <v>7</v>
      </c>
      <c r="C73" s="5" t="s">
        <v>34</v>
      </c>
      <c r="D73" s="5" t="s">
        <v>41</v>
      </c>
      <c r="F73" t="s">
        <v>37</v>
      </c>
      <c r="G73" t="s">
        <v>58</v>
      </c>
      <c r="H73" t="s">
        <v>144</v>
      </c>
      <c r="I73" t="s">
        <v>144</v>
      </c>
    </row>
    <row r="74" spans="2:9" x14ac:dyDescent="0.35">
      <c r="B74" s="5" t="s">
        <v>7</v>
      </c>
      <c r="C74" s="5" t="s">
        <v>34</v>
      </c>
      <c r="D74" s="5" t="s">
        <v>140</v>
      </c>
      <c r="F74" t="s">
        <v>37</v>
      </c>
      <c r="G74" t="s">
        <v>69</v>
      </c>
      <c r="H74" t="s">
        <v>100</v>
      </c>
      <c r="I74" t="s">
        <v>100</v>
      </c>
    </row>
    <row r="75" spans="2:9" x14ac:dyDescent="0.35">
      <c r="B75" s="5" t="s">
        <v>7</v>
      </c>
      <c r="C75" s="5" t="s">
        <v>34</v>
      </c>
      <c r="D75" s="5" t="s">
        <v>141</v>
      </c>
      <c r="F75" t="s">
        <v>37</v>
      </c>
      <c r="G75" t="s">
        <v>71</v>
      </c>
      <c r="H75" t="s">
        <v>227</v>
      </c>
      <c r="I75" t="s">
        <v>227</v>
      </c>
    </row>
    <row r="76" spans="2:9" x14ac:dyDescent="0.35">
      <c r="B76" s="5" t="s">
        <v>7</v>
      </c>
      <c r="C76" s="5" t="s">
        <v>34</v>
      </c>
      <c r="D76" s="5" t="s">
        <v>142</v>
      </c>
      <c r="F76" t="s">
        <v>37</v>
      </c>
      <c r="G76" t="s">
        <v>73</v>
      </c>
      <c r="H76" t="s">
        <v>87</v>
      </c>
      <c r="I76" t="s">
        <v>87</v>
      </c>
    </row>
    <row r="77" spans="2:9" x14ac:dyDescent="0.35">
      <c r="B77" s="5" t="s">
        <v>7</v>
      </c>
      <c r="C77" s="5" t="s">
        <v>34</v>
      </c>
      <c r="D77" s="5" t="s">
        <v>143</v>
      </c>
      <c r="F77" t="s">
        <v>37</v>
      </c>
      <c r="G77" t="s">
        <v>75</v>
      </c>
      <c r="H77" t="s">
        <v>38</v>
      </c>
      <c r="I77" t="s">
        <v>76</v>
      </c>
    </row>
    <row r="78" spans="2:9" x14ac:dyDescent="0.35">
      <c r="B78" s="5" t="s">
        <v>7</v>
      </c>
      <c r="C78" s="5" t="s">
        <v>35</v>
      </c>
      <c r="D78" s="5" t="s">
        <v>144</v>
      </c>
      <c r="F78" t="s">
        <v>37</v>
      </c>
      <c r="G78" t="s">
        <v>77</v>
      </c>
      <c r="H78" t="s">
        <v>40</v>
      </c>
      <c r="I78" t="s">
        <v>40</v>
      </c>
    </row>
    <row r="79" spans="2:9" x14ac:dyDescent="0.35">
      <c r="B79" s="5" t="s">
        <v>7</v>
      </c>
      <c r="C79" s="5" t="s">
        <v>35</v>
      </c>
      <c r="D79" s="5" t="s">
        <v>145</v>
      </c>
      <c r="F79" t="s">
        <v>37</v>
      </c>
      <c r="G79" t="s">
        <v>78</v>
      </c>
      <c r="H79" t="s">
        <v>227</v>
      </c>
      <c r="I79" t="s">
        <v>227</v>
      </c>
    </row>
    <row r="80" spans="2:9" x14ac:dyDescent="0.35">
      <c r="B80" s="5" t="s">
        <v>7</v>
      </c>
      <c r="C80" s="5" t="s">
        <v>35</v>
      </c>
      <c r="D80" s="5" t="s">
        <v>146</v>
      </c>
      <c r="F80" t="s">
        <v>37</v>
      </c>
      <c r="G80" t="s">
        <v>80</v>
      </c>
      <c r="H80" t="s">
        <v>38</v>
      </c>
      <c r="I80" t="s">
        <v>54</v>
      </c>
    </row>
    <row r="81" spans="2:9" x14ac:dyDescent="0.35">
      <c r="B81" s="5" t="s">
        <v>7</v>
      </c>
      <c r="C81" s="5" t="s">
        <v>36</v>
      </c>
      <c r="D81" s="5" t="s">
        <v>87</v>
      </c>
      <c r="F81" t="s">
        <v>37</v>
      </c>
      <c r="G81" t="s">
        <v>82</v>
      </c>
      <c r="H81" t="s">
        <v>97</v>
      </c>
      <c r="I81" t="s">
        <v>97</v>
      </c>
    </row>
    <row r="82" spans="2:9" x14ac:dyDescent="0.35">
      <c r="B82" s="5" t="s">
        <v>7</v>
      </c>
      <c r="C82" s="5" t="s">
        <v>36</v>
      </c>
      <c r="D82" s="5" t="s">
        <v>147</v>
      </c>
      <c r="F82" t="s">
        <v>37</v>
      </c>
      <c r="G82" t="s">
        <v>83</v>
      </c>
      <c r="H82" t="s">
        <v>40</v>
      </c>
      <c r="I82" t="s">
        <v>40</v>
      </c>
    </row>
    <row r="83" spans="2:9" x14ac:dyDescent="0.35">
      <c r="B83" s="5" t="s">
        <v>7</v>
      </c>
      <c r="C83" s="5" t="s">
        <v>36</v>
      </c>
      <c r="D83" s="5" t="s">
        <v>148</v>
      </c>
      <c r="F83" t="s">
        <v>37</v>
      </c>
      <c r="G83" t="s">
        <v>85</v>
      </c>
      <c r="H83" t="s">
        <v>93</v>
      </c>
      <c r="I83" t="s">
        <v>93</v>
      </c>
    </row>
    <row r="84" spans="2:9" x14ac:dyDescent="0.35">
      <c r="B84" s="5" t="s">
        <v>7</v>
      </c>
      <c r="C84" s="5" t="s">
        <v>36</v>
      </c>
      <c r="D84" s="5" t="s">
        <v>74</v>
      </c>
      <c r="F84" t="s">
        <v>37</v>
      </c>
      <c r="G84" t="s">
        <v>35</v>
      </c>
      <c r="H84" t="s">
        <v>144</v>
      </c>
      <c r="I84" t="s">
        <v>144</v>
      </c>
    </row>
    <row r="85" spans="2:9" x14ac:dyDescent="0.35">
      <c r="B85" s="5" t="s">
        <v>37</v>
      </c>
      <c r="C85" s="5" t="s">
        <v>15</v>
      </c>
      <c r="D85" s="5" t="s">
        <v>38</v>
      </c>
      <c r="F85" t="s">
        <v>37</v>
      </c>
      <c r="G85" t="s">
        <v>704</v>
      </c>
      <c r="H85" t="s">
        <v>27</v>
      </c>
      <c r="I85" t="s">
        <v>27</v>
      </c>
    </row>
    <row r="86" spans="2:9" x14ac:dyDescent="0.35">
      <c r="B86" s="5" t="s">
        <v>37</v>
      </c>
      <c r="C86" s="5" t="s">
        <v>25</v>
      </c>
      <c r="D86" s="5" t="s">
        <v>39</v>
      </c>
      <c r="F86" t="s">
        <v>37</v>
      </c>
      <c r="G86" t="s">
        <v>36</v>
      </c>
      <c r="H86" t="s">
        <v>87</v>
      </c>
      <c r="I86" t="s">
        <v>87</v>
      </c>
    </row>
    <row r="87" spans="2:9" x14ac:dyDescent="0.35">
      <c r="B87" s="5" t="s">
        <v>37</v>
      </c>
      <c r="C87" s="5" t="s">
        <v>28</v>
      </c>
      <c r="D87" s="5" t="s">
        <v>501</v>
      </c>
      <c r="F87" t="s">
        <v>37</v>
      </c>
      <c r="G87" t="s">
        <v>88</v>
      </c>
      <c r="H87" t="s">
        <v>38</v>
      </c>
      <c r="I87" t="s">
        <v>89</v>
      </c>
    </row>
    <row r="88" spans="2:9" x14ac:dyDescent="0.35">
      <c r="B88" s="5" t="s">
        <v>37</v>
      </c>
      <c r="C88" s="5" t="s">
        <v>34</v>
      </c>
      <c r="D88" s="5" t="s">
        <v>41</v>
      </c>
      <c r="F88" t="s">
        <v>7</v>
      </c>
      <c r="G88" t="s">
        <v>704</v>
      </c>
      <c r="H88" t="s">
        <v>27</v>
      </c>
      <c r="I88" t="s">
        <v>27</v>
      </c>
    </row>
    <row r="89" spans="2:9" x14ac:dyDescent="0.35">
      <c r="B89" s="5" t="s">
        <v>37</v>
      </c>
      <c r="C89" s="5" t="s">
        <v>8</v>
      </c>
      <c r="D89" s="5" t="s">
        <v>91</v>
      </c>
      <c r="F89" t="s">
        <v>7</v>
      </c>
      <c r="G89" t="s">
        <v>702</v>
      </c>
      <c r="H89" t="s">
        <v>27</v>
      </c>
      <c r="I89" t="s">
        <v>27</v>
      </c>
    </row>
    <row r="90" spans="2:9" x14ac:dyDescent="0.35">
      <c r="B90" s="5" t="s">
        <v>37</v>
      </c>
      <c r="C90" s="5" t="s">
        <v>8</v>
      </c>
      <c r="D90" s="5" t="s">
        <v>101</v>
      </c>
      <c r="F90" t="s">
        <v>7</v>
      </c>
      <c r="G90" t="s">
        <v>703</v>
      </c>
      <c r="H90" t="s">
        <v>27</v>
      </c>
      <c r="I90" t="s">
        <v>27</v>
      </c>
    </row>
    <row r="91" spans="2:9" x14ac:dyDescent="0.35">
      <c r="B91" s="5" t="s">
        <v>37</v>
      </c>
      <c r="C91" s="5" t="s">
        <v>8</v>
      </c>
      <c r="D91" s="5" t="s">
        <v>102</v>
      </c>
      <c r="F91" t="s">
        <v>7</v>
      </c>
      <c r="G91" t="s">
        <v>705</v>
      </c>
      <c r="H91" t="s">
        <v>24</v>
      </c>
      <c r="I91" t="s">
        <v>24</v>
      </c>
    </row>
    <row r="92" spans="2:9" x14ac:dyDescent="0.35">
      <c r="B92" s="5" t="s">
        <v>37</v>
      </c>
      <c r="C92" s="5" t="s">
        <v>42</v>
      </c>
      <c r="D92" s="5" t="s">
        <v>43</v>
      </c>
      <c r="F92" t="s">
        <v>7</v>
      </c>
      <c r="G92" t="s">
        <v>64</v>
      </c>
      <c r="H92" t="s">
        <v>100</v>
      </c>
      <c r="I92" t="s">
        <v>100</v>
      </c>
    </row>
    <row r="93" spans="2:9" x14ac:dyDescent="0.35">
      <c r="B93" s="5" t="s">
        <v>37</v>
      </c>
      <c r="C93" s="5" t="s">
        <v>9</v>
      </c>
      <c r="D93" s="5" t="s">
        <v>92</v>
      </c>
      <c r="F93" t="s">
        <v>37</v>
      </c>
      <c r="G93" t="s">
        <v>44</v>
      </c>
      <c r="H93" t="s">
        <v>97</v>
      </c>
      <c r="I93" t="s">
        <v>49</v>
      </c>
    </row>
    <row r="94" spans="2:9" x14ac:dyDescent="0.35">
      <c r="B94" s="5" t="s">
        <v>37</v>
      </c>
      <c r="C94" s="5" t="s">
        <v>9</v>
      </c>
      <c r="D94" s="5" t="s">
        <v>103</v>
      </c>
      <c r="F94" t="s">
        <v>37</v>
      </c>
      <c r="G94" t="s">
        <v>833</v>
      </c>
      <c r="H94" t="s">
        <v>94</v>
      </c>
      <c r="I94" t="s">
        <v>94</v>
      </c>
    </row>
    <row r="95" spans="2:9" x14ac:dyDescent="0.35">
      <c r="B95" s="5" t="s">
        <v>37</v>
      </c>
      <c r="C95" s="5" t="s">
        <v>10</v>
      </c>
      <c r="D95" s="5" t="s">
        <v>93</v>
      </c>
      <c r="F95"/>
      <c r="G95"/>
      <c r="H95"/>
      <c r="I95"/>
    </row>
    <row r="96" spans="2:9" x14ac:dyDescent="0.35">
      <c r="B96" s="5" t="s">
        <v>37</v>
      </c>
      <c r="C96" s="5" t="s">
        <v>10</v>
      </c>
      <c r="D96" s="5" t="s">
        <v>107</v>
      </c>
      <c r="F96"/>
      <c r="G96"/>
      <c r="H96"/>
      <c r="I96"/>
    </row>
    <row r="97" spans="2:9" x14ac:dyDescent="0.35">
      <c r="B97" s="5" t="s">
        <v>37</v>
      </c>
      <c r="C97" s="5" t="s">
        <v>44</v>
      </c>
      <c r="D97" s="5" t="s">
        <v>122</v>
      </c>
      <c r="F97"/>
      <c r="G97"/>
      <c r="H97"/>
      <c r="I97"/>
    </row>
    <row r="98" spans="2:9" x14ac:dyDescent="0.35">
      <c r="B98" s="5" t="s">
        <v>37</v>
      </c>
      <c r="C98" s="5" t="s">
        <v>44</v>
      </c>
      <c r="D98" s="5" t="s">
        <v>125</v>
      </c>
      <c r="F98"/>
      <c r="G98"/>
      <c r="H98"/>
      <c r="I98"/>
    </row>
    <row r="99" spans="2:9" x14ac:dyDescent="0.35">
      <c r="B99" s="5" t="s">
        <v>37</v>
      </c>
      <c r="C99" s="5" t="s">
        <v>44</v>
      </c>
      <c r="D99" s="5" t="s">
        <v>123</v>
      </c>
      <c r="F99"/>
      <c r="G99"/>
      <c r="H99"/>
      <c r="I99"/>
    </row>
    <row r="100" spans="2:9" x14ac:dyDescent="0.35">
      <c r="B100" s="5" t="s">
        <v>37</v>
      </c>
      <c r="C100" s="5" t="s">
        <v>11</v>
      </c>
      <c r="D100" s="5" t="s">
        <v>108</v>
      </c>
      <c r="F100"/>
      <c r="G100"/>
      <c r="H100"/>
      <c r="I100"/>
    </row>
    <row r="101" spans="2:9" x14ac:dyDescent="0.35">
      <c r="B101" s="5" t="s">
        <v>37</v>
      </c>
      <c r="C101" s="5" t="s">
        <v>11</v>
      </c>
      <c r="D101" s="5" t="s">
        <v>109</v>
      </c>
      <c r="F101"/>
      <c r="G101"/>
      <c r="H101"/>
      <c r="I101"/>
    </row>
    <row r="102" spans="2:9" x14ac:dyDescent="0.35">
      <c r="B102" s="5" t="s">
        <v>37</v>
      </c>
      <c r="C102" s="5" t="s">
        <v>12</v>
      </c>
      <c r="D102" s="5" t="s">
        <v>45</v>
      </c>
      <c r="F102"/>
      <c r="G102"/>
      <c r="H102"/>
      <c r="I102"/>
    </row>
    <row r="103" spans="2:9" x14ac:dyDescent="0.35">
      <c r="B103" s="5" t="s">
        <v>37</v>
      </c>
      <c r="C103" s="5" t="s">
        <v>13</v>
      </c>
      <c r="D103" s="5" t="s">
        <v>95</v>
      </c>
      <c r="F103"/>
      <c r="G103"/>
      <c r="H103"/>
      <c r="I103"/>
    </row>
    <row r="104" spans="2:9" x14ac:dyDescent="0.35">
      <c r="B104" s="5" t="s">
        <v>37</v>
      </c>
      <c r="C104" s="5" t="s">
        <v>13</v>
      </c>
      <c r="D104" s="5" t="s">
        <v>111</v>
      </c>
      <c r="F104"/>
      <c r="G104"/>
      <c r="H104"/>
      <c r="I104"/>
    </row>
    <row r="105" spans="2:9" x14ac:dyDescent="0.35">
      <c r="B105" s="5" t="s">
        <v>37</v>
      </c>
      <c r="C105" s="5" t="s">
        <v>46</v>
      </c>
      <c r="D105" s="5" t="s">
        <v>47</v>
      </c>
      <c r="F105"/>
      <c r="G105"/>
      <c r="H105"/>
      <c r="I105"/>
    </row>
    <row r="106" spans="2:9" x14ac:dyDescent="0.35">
      <c r="B106" s="5" t="s">
        <v>37</v>
      </c>
      <c r="C106" s="5" t="s">
        <v>48</v>
      </c>
      <c r="D106" s="5" t="s">
        <v>49</v>
      </c>
      <c r="F106"/>
      <c r="G106"/>
      <c r="H106"/>
      <c r="I106"/>
    </row>
    <row r="107" spans="2:9" x14ac:dyDescent="0.35">
      <c r="B107" s="5" t="s">
        <v>37</v>
      </c>
      <c r="C107" s="5" t="s">
        <v>50</v>
      </c>
      <c r="D107" s="5" t="s">
        <v>114</v>
      </c>
      <c r="F107"/>
      <c r="G107"/>
      <c r="H107"/>
      <c r="I107"/>
    </row>
    <row r="108" spans="2:9" x14ac:dyDescent="0.35">
      <c r="B108" s="5" t="s">
        <v>37</v>
      </c>
      <c r="C108" s="5" t="s">
        <v>50</v>
      </c>
      <c r="D108" s="5" t="s">
        <v>115</v>
      </c>
      <c r="F108"/>
      <c r="G108"/>
      <c r="H108"/>
      <c r="I108"/>
    </row>
    <row r="109" spans="2:9" x14ac:dyDescent="0.35">
      <c r="B109" s="5" t="s">
        <v>37</v>
      </c>
      <c r="C109" s="5" t="s">
        <v>51</v>
      </c>
      <c r="D109" s="5" t="s">
        <v>52</v>
      </c>
      <c r="F109"/>
      <c r="G109"/>
      <c r="H109"/>
      <c r="I109"/>
    </row>
    <row r="110" spans="2:9" x14ac:dyDescent="0.35">
      <c r="B110" s="5" t="s">
        <v>37</v>
      </c>
      <c r="C110" s="5" t="s">
        <v>16</v>
      </c>
      <c r="D110" s="5" t="s">
        <v>116</v>
      </c>
      <c r="F110"/>
      <c r="G110"/>
      <c r="H110"/>
      <c r="I110"/>
    </row>
    <row r="111" spans="2:9" x14ac:dyDescent="0.35">
      <c r="B111" s="5" t="s">
        <v>37</v>
      </c>
      <c r="C111" s="5" t="s">
        <v>16</v>
      </c>
      <c r="D111" s="5" t="s">
        <v>117</v>
      </c>
      <c r="F111"/>
      <c r="G111"/>
      <c r="H111"/>
      <c r="I111"/>
    </row>
    <row r="112" spans="2:9" x14ac:dyDescent="0.35">
      <c r="B112" s="5" t="s">
        <v>37</v>
      </c>
      <c r="C112" s="5" t="s">
        <v>16</v>
      </c>
      <c r="D112" s="5" t="s">
        <v>118</v>
      </c>
      <c r="F112"/>
      <c r="G112"/>
      <c r="H112"/>
      <c r="I112"/>
    </row>
    <row r="113" spans="2:9" x14ac:dyDescent="0.35">
      <c r="B113" s="5" t="s">
        <v>37</v>
      </c>
      <c r="C113" s="5" t="s">
        <v>16</v>
      </c>
      <c r="D113" s="5" t="s">
        <v>119</v>
      </c>
      <c r="F113"/>
      <c r="G113"/>
      <c r="H113"/>
      <c r="I113"/>
    </row>
    <row r="114" spans="2:9" x14ac:dyDescent="0.35">
      <c r="B114" s="5" t="s">
        <v>37</v>
      </c>
      <c r="C114" s="5" t="s">
        <v>17</v>
      </c>
      <c r="D114" s="5" t="s">
        <v>18</v>
      </c>
      <c r="F114"/>
      <c r="G114"/>
      <c r="H114"/>
      <c r="I114"/>
    </row>
    <row r="115" spans="2:9" x14ac:dyDescent="0.35">
      <c r="B115" s="5" t="s">
        <v>37</v>
      </c>
      <c r="C115" s="5" t="s">
        <v>19</v>
      </c>
      <c r="D115" s="5" t="s">
        <v>120</v>
      </c>
      <c r="F115"/>
      <c r="G115"/>
      <c r="H115"/>
      <c r="I115"/>
    </row>
    <row r="116" spans="2:9" x14ac:dyDescent="0.35">
      <c r="B116" s="5" t="s">
        <v>37</v>
      </c>
      <c r="C116" s="5" t="s">
        <v>19</v>
      </c>
      <c r="D116" s="5" t="s">
        <v>126</v>
      </c>
      <c r="F116"/>
      <c r="G116"/>
      <c r="H116"/>
      <c r="I116"/>
    </row>
    <row r="117" spans="2:9" x14ac:dyDescent="0.35">
      <c r="B117" s="5" t="s">
        <v>37</v>
      </c>
      <c r="C117" s="5" t="s">
        <v>19</v>
      </c>
      <c r="D117" s="5" t="s">
        <v>149</v>
      </c>
      <c r="F117"/>
      <c r="G117"/>
      <c r="H117"/>
      <c r="I117"/>
    </row>
    <row r="118" spans="2:9" x14ac:dyDescent="0.35">
      <c r="B118" s="5" t="s">
        <v>37</v>
      </c>
      <c r="C118" s="5" t="s">
        <v>20</v>
      </c>
      <c r="D118" s="5" t="s">
        <v>128</v>
      </c>
      <c r="F118"/>
      <c r="G118"/>
      <c r="H118"/>
      <c r="I118"/>
    </row>
    <row r="119" spans="2:9" x14ac:dyDescent="0.35">
      <c r="B119" s="5" t="s">
        <v>37</v>
      </c>
      <c r="C119" s="5" t="s">
        <v>20</v>
      </c>
      <c r="D119" s="5" t="s">
        <v>130</v>
      </c>
      <c r="F119"/>
      <c r="G119"/>
      <c r="H119"/>
      <c r="I119"/>
    </row>
    <row r="120" spans="2:9" x14ac:dyDescent="0.35">
      <c r="B120" s="5" t="s">
        <v>37</v>
      </c>
      <c r="C120" s="5" t="s">
        <v>20</v>
      </c>
      <c r="D120" s="5" t="s">
        <v>127</v>
      </c>
      <c r="F120"/>
      <c r="G120"/>
      <c r="H120"/>
      <c r="I120"/>
    </row>
    <row r="121" spans="2:9" x14ac:dyDescent="0.35">
      <c r="B121" s="5" t="s">
        <v>37</v>
      </c>
      <c r="C121" s="5" t="s">
        <v>20</v>
      </c>
      <c r="D121" s="5" t="s">
        <v>98</v>
      </c>
      <c r="F121"/>
      <c r="G121"/>
      <c r="H121"/>
      <c r="I121"/>
    </row>
    <row r="122" spans="2:9" x14ac:dyDescent="0.35">
      <c r="B122" s="5" t="s">
        <v>37</v>
      </c>
      <c r="C122" s="5" t="s">
        <v>21</v>
      </c>
      <c r="D122" s="5" t="s">
        <v>53</v>
      </c>
    </row>
    <row r="123" spans="2:9" x14ac:dyDescent="0.35">
      <c r="B123" s="5" t="s">
        <v>37</v>
      </c>
      <c r="C123" s="5" t="s">
        <v>14</v>
      </c>
      <c r="D123" s="5" t="s">
        <v>54</v>
      </c>
    </row>
    <row r="124" spans="2:9" x14ac:dyDescent="0.35">
      <c r="B124" s="5" t="s">
        <v>37</v>
      </c>
      <c r="C124" s="5" t="s">
        <v>55</v>
      </c>
      <c r="D124" s="5" t="s">
        <v>56</v>
      </c>
    </row>
    <row r="125" spans="2:9" x14ac:dyDescent="0.35">
      <c r="B125" s="5" t="s">
        <v>37</v>
      </c>
      <c r="C125" s="5" t="s">
        <v>57</v>
      </c>
      <c r="D125" s="5" t="s">
        <v>143</v>
      </c>
    </row>
    <row r="126" spans="2:9" x14ac:dyDescent="0.35">
      <c r="B126" s="5" t="s">
        <v>37</v>
      </c>
      <c r="C126" s="5" t="s">
        <v>57</v>
      </c>
      <c r="D126" s="5" t="s">
        <v>140</v>
      </c>
    </row>
    <row r="127" spans="2:9" x14ac:dyDescent="0.35">
      <c r="B127" s="5" t="s">
        <v>37</v>
      </c>
      <c r="C127" s="5" t="s">
        <v>22</v>
      </c>
      <c r="D127" s="5" t="s">
        <v>99</v>
      </c>
    </row>
    <row r="128" spans="2:9" x14ac:dyDescent="0.35">
      <c r="B128" s="5" t="s">
        <v>37</v>
      </c>
      <c r="C128" s="5" t="s">
        <v>22</v>
      </c>
      <c r="D128" s="5" t="s">
        <v>131</v>
      </c>
    </row>
    <row r="129" spans="2:4" x14ac:dyDescent="0.35">
      <c r="B129" s="5" t="s">
        <v>37</v>
      </c>
      <c r="C129" s="5" t="s">
        <v>23</v>
      </c>
      <c r="D129" s="5" t="s">
        <v>24</v>
      </c>
    </row>
    <row r="130" spans="2:4" x14ac:dyDescent="0.35">
      <c r="B130" s="5" t="s">
        <v>37</v>
      </c>
      <c r="C130" s="5" t="s">
        <v>67</v>
      </c>
      <c r="D130" s="5" t="s">
        <v>68</v>
      </c>
    </row>
    <row r="131" spans="2:4" x14ac:dyDescent="0.35">
      <c r="B131" s="5" t="s">
        <v>37</v>
      </c>
      <c r="C131" s="5" t="s">
        <v>60</v>
      </c>
      <c r="D131" s="5" t="s">
        <v>141</v>
      </c>
    </row>
    <row r="132" spans="2:4" x14ac:dyDescent="0.35">
      <c r="B132" s="5" t="s">
        <v>37</v>
      </c>
      <c r="C132" s="5" t="s">
        <v>60</v>
      </c>
      <c r="D132" s="5" t="s">
        <v>142</v>
      </c>
    </row>
    <row r="133" spans="2:4" x14ac:dyDescent="0.35">
      <c r="B133" s="5" t="s">
        <v>37</v>
      </c>
      <c r="C133" s="5" t="s">
        <v>61</v>
      </c>
      <c r="D133" s="5" t="s">
        <v>62</v>
      </c>
    </row>
    <row r="134" spans="2:4" x14ac:dyDescent="0.35">
      <c r="B134" s="5" t="s">
        <v>37</v>
      </c>
      <c r="C134" s="5" t="s">
        <v>63</v>
      </c>
      <c r="D134" s="5" t="s">
        <v>132</v>
      </c>
    </row>
    <row r="135" spans="2:4" x14ac:dyDescent="0.35">
      <c r="B135" s="5" t="s">
        <v>37</v>
      </c>
      <c r="C135" s="5" t="s">
        <v>64</v>
      </c>
      <c r="D135" s="5" t="s">
        <v>65</v>
      </c>
    </row>
    <row r="136" spans="2:4" x14ac:dyDescent="0.35">
      <c r="B136" s="5" t="s">
        <v>37</v>
      </c>
      <c r="C136" s="5" t="s">
        <v>26</v>
      </c>
      <c r="D136" s="5" t="s">
        <v>27</v>
      </c>
    </row>
    <row r="137" spans="2:4" x14ac:dyDescent="0.35">
      <c r="B137" s="5" t="s">
        <v>37</v>
      </c>
      <c r="C137" s="5" t="s">
        <v>66</v>
      </c>
      <c r="D137" s="5" t="s">
        <v>133</v>
      </c>
    </row>
    <row r="138" spans="2:4" x14ac:dyDescent="0.35">
      <c r="B138" s="5" t="s">
        <v>37</v>
      </c>
      <c r="C138" s="5" t="s">
        <v>66</v>
      </c>
      <c r="D138" s="5" t="s">
        <v>136</v>
      </c>
    </row>
    <row r="139" spans="2:4" x14ac:dyDescent="0.35">
      <c r="B139" s="5" t="s">
        <v>37</v>
      </c>
      <c r="C139" s="5" t="s">
        <v>66</v>
      </c>
      <c r="D139" s="5" t="s">
        <v>137</v>
      </c>
    </row>
    <row r="140" spans="2:4" x14ac:dyDescent="0.35">
      <c r="B140" s="5" t="s">
        <v>37</v>
      </c>
      <c r="C140" s="5" t="s">
        <v>29</v>
      </c>
      <c r="D140" s="5" t="s">
        <v>30</v>
      </c>
    </row>
    <row r="141" spans="2:4" x14ac:dyDescent="0.35">
      <c r="B141" s="5" t="s">
        <v>37</v>
      </c>
      <c r="C141" s="5" t="s">
        <v>31</v>
      </c>
      <c r="D141" s="5" t="s">
        <v>32</v>
      </c>
    </row>
    <row r="142" spans="2:4" x14ac:dyDescent="0.35">
      <c r="B142" s="5" t="s">
        <v>37</v>
      </c>
      <c r="C142" s="5" t="s">
        <v>33</v>
      </c>
      <c r="D142" s="5" t="s">
        <v>138</v>
      </c>
    </row>
    <row r="143" spans="2:4" x14ac:dyDescent="0.35">
      <c r="B143" s="5" t="s">
        <v>37</v>
      </c>
      <c r="C143" s="5" t="s">
        <v>33</v>
      </c>
      <c r="D143" s="5" t="s">
        <v>139</v>
      </c>
    </row>
    <row r="144" spans="2:4" x14ac:dyDescent="0.35">
      <c r="B144" s="5" t="s">
        <v>37</v>
      </c>
      <c r="C144" s="5" t="s">
        <v>58</v>
      </c>
      <c r="D144" s="5" t="s">
        <v>59</v>
      </c>
    </row>
    <row r="145" spans="2:4" x14ac:dyDescent="0.35">
      <c r="B145" s="5" t="s">
        <v>37</v>
      </c>
      <c r="C145" s="5" t="s">
        <v>69</v>
      </c>
      <c r="D145" s="5" t="s">
        <v>70</v>
      </c>
    </row>
    <row r="146" spans="2:4" x14ac:dyDescent="0.35">
      <c r="B146" s="5" t="s">
        <v>37</v>
      </c>
      <c r="C146" s="5" t="s">
        <v>71</v>
      </c>
      <c r="D146" s="5" t="s">
        <v>72</v>
      </c>
    </row>
    <row r="147" spans="2:4" x14ac:dyDescent="0.35">
      <c r="B147" s="5" t="s">
        <v>37</v>
      </c>
      <c r="C147" s="5" t="s">
        <v>73</v>
      </c>
      <c r="D147" s="5" t="s">
        <v>74</v>
      </c>
    </row>
    <row r="148" spans="2:4" x14ac:dyDescent="0.35">
      <c r="B148" s="5" t="s">
        <v>37</v>
      </c>
      <c r="C148" s="5" t="s">
        <v>75</v>
      </c>
      <c r="D148" s="5" t="s">
        <v>76</v>
      </c>
    </row>
    <row r="149" spans="2:4" x14ac:dyDescent="0.35">
      <c r="B149" s="5" t="s">
        <v>37</v>
      </c>
      <c r="C149" s="5" t="s">
        <v>77</v>
      </c>
      <c r="D149" s="5" t="s">
        <v>134</v>
      </c>
    </row>
    <row r="150" spans="2:4" x14ac:dyDescent="0.35">
      <c r="B150" s="5" t="s">
        <v>37</v>
      </c>
      <c r="C150" s="5" t="s">
        <v>77</v>
      </c>
      <c r="D150" s="5" t="s">
        <v>135</v>
      </c>
    </row>
    <row r="151" spans="2:4" x14ac:dyDescent="0.35">
      <c r="B151" s="5" t="s">
        <v>37</v>
      </c>
      <c r="C151" s="5" t="s">
        <v>78</v>
      </c>
      <c r="D151" s="5" t="s">
        <v>79</v>
      </c>
    </row>
    <row r="152" spans="2:4" x14ac:dyDescent="0.35">
      <c r="B152" s="5" t="s">
        <v>37</v>
      </c>
      <c r="C152" s="5" t="s">
        <v>80</v>
      </c>
      <c r="D152" s="5" t="s">
        <v>81</v>
      </c>
    </row>
    <row r="153" spans="2:4" x14ac:dyDescent="0.35">
      <c r="B153" s="5" t="s">
        <v>37</v>
      </c>
      <c r="C153" s="5" t="s">
        <v>82</v>
      </c>
      <c r="D153" s="5" t="s">
        <v>124</v>
      </c>
    </row>
    <row r="154" spans="2:4" x14ac:dyDescent="0.35">
      <c r="B154" s="5" t="s">
        <v>37</v>
      </c>
      <c r="C154" s="5" t="s">
        <v>82</v>
      </c>
      <c r="D154" s="5" t="s">
        <v>121</v>
      </c>
    </row>
    <row r="155" spans="2:4" x14ac:dyDescent="0.35">
      <c r="B155" s="5" t="s">
        <v>37</v>
      </c>
      <c r="C155" s="5" t="s">
        <v>83</v>
      </c>
      <c r="D155" s="5" t="s">
        <v>84</v>
      </c>
    </row>
    <row r="156" spans="2:4" x14ac:dyDescent="0.35">
      <c r="B156" s="5" t="s">
        <v>37</v>
      </c>
      <c r="C156" s="5" t="s">
        <v>85</v>
      </c>
      <c r="D156" s="5" t="s">
        <v>86</v>
      </c>
    </row>
    <row r="157" spans="2:4" x14ac:dyDescent="0.35">
      <c r="B157" s="5" t="s">
        <v>37</v>
      </c>
      <c r="C157" s="5" t="s">
        <v>35</v>
      </c>
      <c r="D157" s="5" t="s">
        <v>144</v>
      </c>
    </row>
    <row r="158" spans="2:4" x14ac:dyDescent="0.35">
      <c r="B158" s="5" t="s">
        <v>37</v>
      </c>
      <c r="C158" s="5" t="s">
        <v>35</v>
      </c>
      <c r="D158" s="5" t="s">
        <v>145</v>
      </c>
    </row>
    <row r="159" spans="2:4" x14ac:dyDescent="0.35">
      <c r="B159" s="5" t="s">
        <v>37</v>
      </c>
      <c r="C159" s="5" t="s">
        <v>35</v>
      </c>
      <c r="D159" s="5" t="s">
        <v>146</v>
      </c>
    </row>
    <row r="160" spans="2:4" x14ac:dyDescent="0.35">
      <c r="B160" s="5" t="s">
        <v>37</v>
      </c>
      <c r="C160" s="5" t="s">
        <v>36</v>
      </c>
      <c r="D160" s="5" t="s">
        <v>87</v>
      </c>
    </row>
    <row r="161" spans="2:4" x14ac:dyDescent="0.35">
      <c r="B161" s="5" t="s">
        <v>37</v>
      </c>
      <c r="C161" s="5" t="s">
        <v>88</v>
      </c>
      <c r="D161" s="5" t="s">
        <v>89</v>
      </c>
    </row>
    <row r="162" spans="2:4" x14ac:dyDescent="0.35">
      <c r="B162" s="5" t="s">
        <v>7</v>
      </c>
      <c r="C162" s="5" t="s">
        <v>704</v>
      </c>
      <c r="D162" s="5" t="s">
        <v>606</v>
      </c>
    </row>
    <row r="163" spans="2:4" x14ac:dyDescent="0.35">
      <c r="B163" s="5" t="s">
        <v>7</v>
      </c>
      <c r="C163" s="5" t="s">
        <v>704</v>
      </c>
      <c r="D163" s="5" t="s">
        <v>68</v>
      </c>
    </row>
    <row r="164" spans="2:4" x14ac:dyDescent="0.35">
      <c r="B164" s="5" t="s">
        <v>37</v>
      </c>
      <c r="C164" s="5" t="s">
        <v>704</v>
      </c>
      <c r="D164" s="5" t="s">
        <v>606</v>
      </c>
    </row>
    <row r="165" spans="2:4" x14ac:dyDescent="0.35">
      <c r="B165" s="5" t="s">
        <v>7</v>
      </c>
      <c r="C165" s="5" t="s">
        <v>702</v>
      </c>
      <c r="D165" s="5" t="s">
        <v>701</v>
      </c>
    </row>
    <row r="166" spans="2:4" x14ac:dyDescent="0.35">
      <c r="B166" s="5" t="s">
        <v>7</v>
      </c>
      <c r="C166" s="5" t="s">
        <v>703</v>
      </c>
      <c r="D166" s="5" t="s">
        <v>362</v>
      </c>
    </row>
    <row r="167" spans="2:4" x14ac:dyDescent="0.35">
      <c r="B167" s="5" t="s">
        <v>7</v>
      </c>
      <c r="C167" s="5" t="s">
        <v>705</v>
      </c>
      <c r="D167" s="5" t="s">
        <v>264</v>
      </c>
    </row>
    <row r="168" spans="2:4" x14ac:dyDescent="0.35">
      <c r="B168" s="5" t="s">
        <v>7</v>
      </c>
      <c r="C168" s="5" t="s">
        <v>64</v>
      </c>
      <c r="D168" s="5" t="s">
        <v>65</v>
      </c>
    </row>
    <row r="169" spans="2:4" x14ac:dyDescent="0.35">
      <c r="B169" s="5" t="s">
        <v>37</v>
      </c>
      <c r="C169" s="5" t="s">
        <v>10</v>
      </c>
      <c r="D169" s="5" t="s">
        <v>104</v>
      </c>
    </row>
    <row r="170" spans="2:4" x14ac:dyDescent="0.35">
      <c r="B170" s="5" t="s">
        <v>37</v>
      </c>
      <c r="C170" s="5" t="s">
        <v>833</v>
      </c>
      <c r="D170" s="5" t="s">
        <v>800</v>
      </c>
    </row>
  </sheetData>
  <dataValidations count="2">
    <dataValidation type="list" allowBlank="1" showInputMessage="1" showErrorMessage="1" sqref="H99:H1048576 H3:H94" xr:uid="{3ECD1BE1-38FC-4A3F-91A9-489588F672FA}">
      <formula1>$P$3:$P$15</formula1>
    </dataValidation>
    <dataValidation type="list" allowBlank="1" showInputMessage="1" showErrorMessage="1" sqref="I99:I1048576 I3:I94" xr:uid="{1F42DFBF-CF30-4721-99AB-158691B04579}">
      <formula1>$R$3:$R$27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2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ملخص المجموعات</vt:lpstr>
      <vt:lpstr>عدد الفرق لكل مدينة</vt:lpstr>
      <vt:lpstr>بيانات التسجيل</vt:lpstr>
      <vt:lpstr>المدخلات</vt:lpstr>
      <vt:lpstr>الحد_الأدنى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2026-08-10T09:27:44Z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