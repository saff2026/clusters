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Youth Competitions/Analysis/Schedule Analysis/"/>
    </mc:Choice>
  </mc:AlternateContent>
  <xr:revisionPtr revIDLastSave="31209" documentId="8_{5D6DD509-6BF7-4C40-A9F1-860C766ECD46}" xr6:coauthVersionLast="47" xr6:coauthVersionMax="47" xr10:uidLastSave="{2A4CC94B-AB00-44CB-A795-DCB430C1ECF5}"/>
  <bookViews>
    <workbookView xWindow="28680" yWindow="-120" windowWidth="29040" windowHeight="15720" tabRatio="1000" activeTab="13" xr2:uid="{00000000-000D-0000-FFFF-FFFF00000000}"/>
  </bookViews>
  <sheets>
    <sheet name="Sheet1" sheetId="72" r:id="rId1"/>
    <sheet name="المدخلات" sheetId="2" r:id="rId2"/>
    <sheet name="الملخص" sheetId="58" r:id="rId3"/>
    <sheet name="5 فرق" sheetId="68" r:id="rId4"/>
    <sheet name="6 فرق" sheetId="3" r:id="rId5"/>
    <sheet name="7 فرق" sheetId="4" r:id="rId6"/>
    <sheet name="8 فرق" sheetId="5" r:id="rId7"/>
    <sheet name="10 فرق" sheetId="69" r:id="rId8"/>
    <sheet name="13 فريق" sheetId="10" r:id="rId9"/>
    <sheet name="14 فريق" sheetId="11" r:id="rId10"/>
    <sheet name="16 فريق" sheetId="13" r:id="rId11"/>
    <sheet name="17 فريق" sheetId="14" r:id="rId12"/>
    <sheet name="24 فريق" sheetId="70" r:id="rId13"/>
    <sheet name="29 فريق" sheetId="71" r:id="rId14"/>
    <sheet name="34 فريق" sheetId="31" r:id="rId15"/>
    <sheet name="بيانات الفرق U13" sheetId="67" r:id="rId16"/>
  </sheets>
  <externalReferences>
    <externalReference r:id="rId17"/>
  </externalReferences>
  <definedNames>
    <definedName name="الحد_الأدنى">[1]المدخلات!$N$3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 a="1"/>
  <c r="F5" i="2" s="1"/>
  <c r="G5" i="2" a="1"/>
  <c r="G5" i="2" s="1"/>
  <c r="H5" i="2" a="1"/>
  <c r="H5" i="2" s="1"/>
  <c r="I5" i="2" a="1"/>
  <c r="I5" i="2" s="1"/>
  <c r="F6" i="2" a="1"/>
  <c r="F6" i="2"/>
  <c r="G6" i="2" a="1"/>
  <c r="G6" i="2" s="1"/>
  <c r="H6" i="2" a="1"/>
  <c r="H6" i="2" s="1"/>
  <c r="I6" i="2" a="1"/>
  <c r="I6" i="2" s="1"/>
  <c r="F7" i="2" a="1"/>
  <c r="F7" i="2" s="1"/>
  <c r="G7" i="2" a="1"/>
  <c r="G7" i="2" s="1"/>
  <c r="H7" i="2" a="1"/>
  <c r="H7" i="2" s="1"/>
  <c r="I7" i="2" a="1"/>
  <c r="I7" i="2"/>
  <c r="F8" i="2" a="1"/>
  <c r="F8" i="2" s="1"/>
  <c r="G8" i="2" a="1"/>
  <c r="G8" i="2" s="1"/>
  <c r="H8" i="2" a="1"/>
  <c r="H8" i="2" s="1"/>
  <c r="I8" i="2" a="1"/>
  <c r="I8" i="2" s="1"/>
  <c r="F9" i="2" a="1"/>
  <c r="F9" i="2" s="1"/>
  <c r="G9" i="2" a="1"/>
  <c r="G9" i="2" s="1"/>
  <c r="H9" i="2" a="1"/>
  <c r="H9" i="2"/>
  <c r="I9" i="2" a="1"/>
  <c r="I9" i="2" s="1"/>
  <c r="F10" i="2" a="1"/>
  <c r="F10" i="2" s="1"/>
  <c r="G10" i="2" a="1"/>
  <c r="G10" i="2" s="1"/>
  <c r="H10" i="2" a="1"/>
  <c r="H10" i="2" s="1"/>
  <c r="I10" i="2" a="1"/>
  <c r="I10" i="2" s="1"/>
  <c r="F11" i="2" a="1"/>
  <c r="F11" i="2" s="1"/>
  <c r="G11" i="2" a="1"/>
  <c r="G11" i="2"/>
  <c r="H11" i="2" a="1"/>
  <c r="H11" i="2" s="1"/>
  <c r="I11" i="2" a="1"/>
  <c r="I11" i="2" s="1"/>
  <c r="F12" i="2" a="1"/>
  <c r="F12" i="2" s="1"/>
  <c r="G12" i="2" a="1"/>
  <c r="G12" i="2" s="1"/>
  <c r="H12" i="2" a="1"/>
  <c r="H12" i="2" s="1"/>
  <c r="I12" i="2" a="1"/>
  <c r="I12" i="2" s="1"/>
  <c r="F13" i="2" a="1"/>
  <c r="F13" i="2"/>
  <c r="G13" i="2" a="1"/>
  <c r="G13" i="2" s="1"/>
  <c r="H13" i="2" a="1"/>
  <c r="H13" i="2" s="1"/>
  <c r="I13" i="2" a="1"/>
  <c r="I13" i="2" s="1"/>
  <c r="F14" i="2" a="1"/>
  <c r="F14" i="2" s="1"/>
  <c r="G14" i="2" a="1"/>
  <c r="G14" i="2" s="1"/>
  <c r="H14" i="2" a="1"/>
  <c r="H14" i="2" s="1"/>
  <c r="I14" i="2" a="1"/>
  <c r="I14" i="2"/>
  <c r="F15" i="2" a="1"/>
  <c r="F15" i="2" s="1"/>
  <c r="G15" i="2" a="1"/>
  <c r="G15" i="2" s="1"/>
  <c r="H15" i="2" a="1"/>
  <c r="H15" i="2" s="1"/>
  <c r="I15" i="2" a="1"/>
  <c r="I15" i="2" s="1"/>
  <c r="F16" i="2" a="1"/>
  <c r="F16" i="2" s="1"/>
  <c r="G16" i="2" a="1"/>
  <c r="G16" i="2" s="1"/>
  <c r="H16" i="2" a="1"/>
  <c r="H16" i="2"/>
  <c r="I16" i="2" a="1"/>
  <c r="I16" i="2" s="1"/>
  <c r="F17" i="2" a="1"/>
  <c r="F17" i="2" s="1"/>
  <c r="G17" i="2" a="1"/>
  <c r="G17" i="2" s="1"/>
  <c r="H17" i="2" a="1"/>
  <c r="H17" i="2" s="1"/>
  <c r="I17" i="2" a="1"/>
  <c r="I17" i="2" s="1"/>
  <c r="F18" i="2" a="1"/>
  <c r="F18" i="2" s="1"/>
  <c r="G18" i="2" a="1"/>
  <c r="G18" i="2"/>
  <c r="H18" i="2" a="1"/>
  <c r="H18" i="2" s="1"/>
  <c r="I18" i="2" a="1"/>
  <c r="I18" i="2" s="1"/>
  <c r="F19" i="2" a="1"/>
  <c r="F19" i="2" s="1"/>
  <c r="G19" i="2" a="1"/>
  <c r="G19" i="2" s="1"/>
  <c r="H19" i="2" a="1"/>
  <c r="H19" i="2" s="1"/>
  <c r="I19" i="2" a="1"/>
  <c r="I19" i="2" s="1"/>
  <c r="F20" i="2" a="1"/>
  <c r="F20" i="2"/>
  <c r="G20" i="2" a="1"/>
  <c r="G20" i="2" s="1"/>
  <c r="H20" i="2" a="1"/>
  <c r="H20" i="2" s="1"/>
  <c r="I20" i="2" a="1"/>
  <c r="I20" i="2" s="1"/>
  <c r="F21" i="2" a="1"/>
  <c r="F21" i="2" s="1"/>
  <c r="G21" i="2" a="1"/>
  <c r="G21" i="2" s="1"/>
  <c r="H21" i="2" a="1"/>
  <c r="H21" i="2" s="1"/>
  <c r="I21" i="2" a="1"/>
  <c r="I21" i="2"/>
  <c r="F22" i="2" a="1"/>
  <c r="F22" i="2" s="1"/>
  <c r="G22" i="2" a="1"/>
  <c r="G22" i="2" s="1"/>
  <c r="H22" i="2" a="1"/>
  <c r="H22" i="2" s="1"/>
  <c r="I22" i="2" a="1"/>
  <c r="I22" i="2" s="1"/>
  <c r="F23" i="2" a="1"/>
  <c r="F23" i="2" s="1"/>
  <c r="G23" i="2" a="1"/>
  <c r="G23" i="2" s="1"/>
  <c r="H23" i="2" a="1"/>
  <c r="H23" i="2" s="1"/>
  <c r="I23" i="2" a="1"/>
  <c r="I23" i="2" s="1"/>
  <c r="F24" i="2" a="1"/>
  <c r="F24" i="2" s="1"/>
  <c r="G24" i="2" a="1"/>
  <c r="G24" i="2" s="1"/>
  <c r="H24" i="2" a="1"/>
  <c r="H24" i="2" s="1"/>
  <c r="I24" i="2" a="1"/>
  <c r="I24" i="2" s="1"/>
  <c r="F25" i="2" a="1"/>
  <c r="F25" i="2" s="1"/>
  <c r="G25" i="2" a="1"/>
  <c r="G25" i="2" s="1"/>
  <c r="H25" i="2" a="1"/>
  <c r="H25" i="2" s="1"/>
  <c r="I25" i="2" a="1"/>
  <c r="I25" i="2" s="1"/>
  <c r="F26" i="2" a="1"/>
  <c r="F26" i="2" s="1"/>
  <c r="G26" i="2" a="1"/>
  <c r="G26" i="2" s="1"/>
  <c r="H26" i="2" a="1"/>
  <c r="H26" i="2" s="1"/>
  <c r="I26" i="2" a="1"/>
  <c r="I26" i="2" s="1"/>
  <c r="F27" i="2" a="1"/>
  <c r="F27" i="2" s="1"/>
  <c r="G27" i="2" a="1"/>
  <c r="G27" i="2" s="1"/>
  <c r="H27" i="2" a="1"/>
  <c r="H27" i="2" s="1"/>
  <c r="I27" i="2" a="1"/>
  <c r="I27" i="2" s="1"/>
  <c r="F28" i="2" a="1"/>
  <c r="F28" i="2" s="1"/>
  <c r="G28" i="2" a="1"/>
  <c r="G28" i="2" s="1"/>
  <c r="H28" i="2" a="1"/>
  <c r="H28" i="2" s="1"/>
  <c r="I28" i="2" a="1"/>
  <c r="I28" i="2" s="1"/>
  <c r="F29" i="2" a="1"/>
  <c r="F29" i="2" s="1"/>
  <c r="G29" i="2" a="1"/>
  <c r="G29" i="2" s="1"/>
  <c r="H29" i="2" a="1"/>
  <c r="H29" i="2" s="1"/>
  <c r="I29" i="2" a="1"/>
  <c r="I29" i="2" s="1"/>
  <c r="F30" i="2" a="1"/>
  <c r="F30" i="2" s="1"/>
  <c r="G30" i="2" a="1"/>
  <c r="G30" i="2" s="1"/>
  <c r="H30" i="2" a="1"/>
  <c r="H30" i="2" s="1"/>
  <c r="I30" i="2" a="1"/>
  <c r="I30" i="2" s="1"/>
  <c r="F31" i="2" a="1"/>
  <c r="F31" i="2" s="1"/>
  <c r="G31" i="2" a="1"/>
  <c r="G31" i="2" s="1"/>
  <c r="H31" i="2" a="1"/>
  <c r="H31" i="2" s="1"/>
  <c r="I31" i="2" a="1"/>
  <c r="I31" i="2" s="1"/>
  <c r="J2" i="72"/>
  <c r="G2" i="72"/>
  <c r="G3" i="72"/>
  <c r="G4" i="72"/>
  <c r="G5" i="72"/>
  <c r="G6" i="72"/>
  <c r="G7" i="72"/>
  <c r="G8" i="72"/>
  <c r="G9" i="72"/>
  <c r="G10" i="72"/>
  <c r="G11" i="72"/>
  <c r="G12" i="72"/>
  <c r="G14" i="72"/>
  <c r="G15" i="72"/>
  <c r="G18" i="72"/>
  <c r="G19" i="72"/>
  <c r="G20" i="72"/>
  <c r="G21" i="72"/>
  <c r="G22" i="72"/>
  <c r="G23" i="72"/>
  <c r="G24" i="72"/>
  <c r="G25" i="72"/>
  <c r="G28" i="72"/>
  <c r="G29" i="72"/>
  <c r="G30" i="72"/>
  <c r="G31" i="72"/>
  <c r="G32" i="72"/>
  <c r="G33" i="72"/>
  <c r="G34" i="72"/>
  <c r="G35" i="72"/>
  <c r="G36" i="72"/>
  <c r="G37" i="72"/>
  <c r="G38" i="72"/>
  <c r="G39" i="72"/>
  <c r="G40" i="72"/>
  <c r="G41" i="72"/>
  <c r="G48" i="72"/>
  <c r="G49" i="72"/>
  <c r="G50" i="72"/>
  <c r="G51" i="72"/>
  <c r="G52" i="72"/>
  <c r="G53" i="72"/>
  <c r="G54" i="72"/>
  <c r="G55" i="72"/>
  <c r="G56" i="72"/>
  <c r="G57" i="72"/>
  <c r="G58" i="72"/>
  <c r="G59" i="72"/>
  <c r="G60" i="72"/>
  <c r="G61" i="72"/>
  <c r="G62" i="72"/>
  <c r="G63" i="72"/>
  <c r="G64" i="72"/>
  <c r="G65" i="72"/>
  <c r="G66" i="72"/>
  <c r="G67" i="72"/>
  <c r="G68" i="72"/>
  <c r="G69" i="72"/>
  <c r="G70" i="72"/>
  <c r="G71" i="72"/>
  <c r="G72" i="72"/>
  <c r="G73" i="72"/>
  <c r="G74" i="72"/>
  <c r="G75" i="72"/>
  <c r="G76" i="72"/>
  <c r="G77" i="72"/>
  <c r="G78" i="72"/>
  <c r="G84" i="72"/>
  <c r="G85" i="72"/>
  <c r="G86" i="72"/>
  <c r="G87" i="72"/>
  <c r="G88" i="72"/>
  <c r="G89" i="72"/>
  <c r="G90" i="72"/>
  <c r="G91" i="72"/>
  <c r="G92" i="72"/>
  <c r="G93" i="72"/>
  <c r="G94" i="72"/>
  <c r="G95" i="72"/>
  <c r="G96" i="72"/>
  <c r="G97" i="72"/>
  <c r="G98" i="72"/>
  <c r="G99" i="72"/>
  <c r="G100" i="72"/>
  <c r="G101" i="72"/>
  <c r="G102" i="72"/>
  <c r="G103" i="72"/>
  <c r="G104" i="72"/>
  <c r="G105" i="72"/>
  <c r="G106" i="72"/>
  <c r="G107" i="72"/>
  <c r="G108" i="72"/>
  <c r="G111" i="72"/>
  <c r="G112" i="72"/>
  <c r="G113" i="72"/>
  <c r="G114" i="72"/>
  <c r="G115" i="72"/>
  <c r="G116" i="72"/>
  <c r="G117" i="72"/>
  <c r="G118" i="72"/>
  <c r="G119" i="72"/>
  <c r="G122" i="72"/>
  <c r="G123" i="72"/>
  <c r="G124" i="72"/>
  <c r="G125" i="72"/>
  <c r="G126" i="72"/>
  <c r="G127" i="72"/>
  <c r="G128" i="72"/>
  <c r="G129" i="72"/>
  <c r="G130" i="72"/>
  <c r="G131" i="72"/>
  <c r="G132" i="72"/>
  <c r="G133" i="72"/>
  <c r="G134" i="72"/>
  <c r="G135" i="72"/>
  <c r="G136" i="72"/>
  <c r="G137" i="72"/>
  <c r="G138" i="72"/>
  <c r="G139" i="72"/>
  <c r="G140" i="72"/>
  <c r="G143" i="72"/>
  <c r="G144" i="72"/>
  <c r="G145" i="72"/>
  <c r="G146" i="72"/>
  <c r="G147" i="72"/>
  <c r="G149" i="72"/>
  <c r="G150" i="72"/>
  <c r="G151" i="72"/>
  <c r="G152" i="72"/>
  <c r="G153" i="72"/>
  <c r="G154" i="72"/>
  <c r="G155" i="72"/>
  <c r="G156" i="72"/>
  <c r="G157" i="72"/>
  <c r="G158" i="72"/>
  <c r="G159" i="72"/>
  <c r="G160" i="72"/>
  <c r="G162" i="72"/>
  <c r="G163" i="72"/>
  <c r="G164" i="72"/>
  <c r="G165" i="72"/>
  <c r="G166" i="72"/>
  <c r="G167" i="72"/>
  <c r="G168" i="72"/>
  <c r="G169" i="72"/>
  <c r="G171" i="72"/>
  <c r="G172" i="72"/>
  <c r="G173" i="72"/>
  <c r="G174" i="72"/>
  <c r="G177" i="72"/>
  <c r="G178" i="72"/>
  <c r="G179" i="72"/>
  <c r="G180" i="72"/>
  <c r="G181" i="72"/>
  <c r="G182" i="72"/>
  <c r="G183" i="72"/>
  <c r="G184" i="72"/>
  <c r="G185" i="72"/>
  <c r="B276" i="31" l="1"/>
  <c r="B256" i="71"/>
  <c r="B257" i="71"/>
  <c r="B258" i="71"/>
  <c r="B244" i="70"/>
  <c r="B245" i="70"/>
  <c r="B246" i="70"/>
  <c r="B172" i="13"/>
  <c r="B130" i="11"/>
  <c r="B127" i="10"/>
  <c r="B17" i="58" a="1"/>
  <c r="B17" i="58" s="1"/>
  <c r="B4" i="58" a="1"/>
  <c r="B4" i="58" s="1"/>
  <c r="H4" i="58" a="1"/>
  <c r="H4" i="58" s="1"/>
  <c r="I4" i="58"/>
  <c r="M4" i="58" s="1"/>
  <c r="J4" i="58"/>
  <c r="K4" i="58"/>
  <c r="L4" i="58"/>
  <c r="G13" i="72" s="1"/>
  <c r="B5" i="58" a="1"/>
  <c r="B5" i="58" s="1"/>
  <c r="H5" i="58" a="1"/>
  <c r="H5" i="58" s="1"/>
  <c r="I5" i="58"/>
  <c r="M5" i="58" s="1"/>
  <c r="J5" i="58"/>
  <c r="K5" i="58"/>
  <c r="L5" i="58"/>
  <c r="B6" i="58" a="1"/>
  <c r="B6" i="58"/>
  <c r="F6" i="58" s="1"/>
  <c r="H6" i="58" a="1"/>
  <c r="H6" i="58" s="1"/>
  <c r="G6" i="58" s="1"/>
  <c r="I6" i="58"/>
  <c r="M6" i="58" s="1"/>
  <c r="J6" i="58"/>
  <c r="K6" i="58"/>
  <c r="L6" i="58"/>
  <c r="B7" i="58" a="1"/>
  <c r="B7" i="58"/>
  <c r="C7" i="58" a="1"/>
  <c r="C7" i="58"/>
  <c r="H7" i="58" a="1"/>
  <c r="H7" i="58" s="1"/>
  <c r="I7" i="58"/>
  <c r="M7" i="58" s="1"/>
  <c r="J7" i="58"/>
  <c r="K7" i="58"/>
  <c r="L7" i="58"/>
  <c r="B8" i="58" a="1"/>
  <c r="B8" i="58" s="1"/>
  <c r="H8" i="58" a="1"/>
  <c r="H8" i="58" s="1"/>
  <c r="I8" i="58"/>
  <c r="M8" i="58" s="1"/>
  <c r="J8" i="58"/>
  <c r="K8" i="58"/>
  <c r="L8" i="58"/>
  <c r="B9" i="58" a="1"/>
  <c r="B9" i="58"/>
  <c r="C9" i="58" s="1" a="1"/>
  <c r="C9" i="58" s="1"/>
  <c r="F9" i="58"/>
  <c r="H9" i="58" a="1"/>
  <c r="H9" i="58" s="1"/>
  <c r="I9" i="58"/>
  <c r="M9" i="58" s="1"/>
  <c r="J9" i="58"/>
  <c r="K9" i="58"/>
  <c r="L9" i="58"/>
  <c r="B10" i="58" a="1"/>
  <c r="B10" i="58" s="1"/>
  <c r="H10" i="58" a="1"/>
  <c r="H10" i="58" s="1"/>
  <c r="I10" i="58"/>
  <c r="M10" i="58" s="1"/>
  <c r="J10" i="58"/>
  <c r="K10" i="58"/>
  <c r="L10" i="58"/>
  <c r="B11" i="58" a="1"/>
  <c r="B11" i="58" s="1"/>
  <c r="H11" i="58" a="1"/>
  <c r="H11" i="58" s="1"/>
  <c r="G11" i="58" s="1"/>
  <c r="I11" i="58"/>
  <c r="M11" i="58" s="1"/>
  <c r="J11" i="58"/>
  <c r="K11" i="58"/>
  <c r="L11" i="58"/>
  <c r="B12" i="58" a="1"/>
  <c r="B12" i="58" s="1"/>
  <c r="H12" i="58" a="1"/>
  <c r="H12" i="58" s="1"/>
  <c r="I12" i="58"/>
  <c r="J12" i="58"/>
  <c r="K12" i="58"/>
  <c r="L12" i="58"/>
  <c r="G148" i="72" s="1"/>
  <c r="M12" i="58"/>
  <c r="B13" i="58" a="1"/>
  <c r="B13" i="58" s="1"/>
  <c r="H13" i="58" a="1"/>
  <c r="H13" i="58" s="1"/>
  <c r="I13" i="58"/>
  <c r="M13" i="58" s="1"/>
  <c r="J13" i="58"/>
  <c r="K13" i="58"/>
  <c r="L13" i="58"/>
  <c r="G161" i="72" s="1"/>
  <c r="B14" i="58" a="1"/>
  <c r="B14" i="58" s="1"/>
  <c r="H14" i="58" a="1"/>
  <c r="H14" i="58" s="1"/>
  <c r="G14" i="58" s="1"/>
  <c r="I14" i="58"/>
  <c r="M14" i="58" s="1"/>
  <c r="J14" i="58"/>
  <c r="K14" i="58"/>
  <c r="L14" i="58"/>
  <c r="G170" i="72" s="1"/>
  <c r="B15" i="58" a="1"/>
  <c r="B15" i="58" s="1"/>
  <c r="H15" i="58" a="1"/>
  <c r="H15" i="58" s="1"/>
  <c r="I15" i="58"/>
  <c r="M15" i="58" s="1"/>
  <c r="J15" i="58"/>
  <c r="K15" i="58"/>
  <c r="L15" i="58"/>
  <c r="BF3" i="67"/>
  <c r="BG3" i="67"/>
  <c r="BF4" i="67"/>
  <c r="BG4" i="67"/>
  <c r="BF5" i="67"/>
  <c r="BG5" i="67"/>
  <c r="BF6" i="67"/>
  <c r="BG6" i="67"/>
  <c r="BF7" i="67"/>
  <c r="BG7" i="67"/>
  <c r="BF8" i="67"/>
  <c r="BG8" i="67"/>
  <c r="BF9" i="67"/>
  <c r="BG9" i="67"/>
  <c r="BF10" i="67"/>
  <c r="BG10" i="67"/>
  <c r="BF11" i="67"/>
  <c r="BG11" i="67"/>
  <c r="BF12" i="67"/>
  <c r="BG12" i="67"/>
  <c r="BF13" i="67"/>
  <c r="BG13" i="67"/>
  <c r="BF14" i="67"/>
  <c r="BG14" i="67"/>
  <c r="BF15" i="67"/>
  <c r="BG15" i="67"/>
  <c r="BF16" i="67"/>
  <c r="BG16" i="67"/>
  <c r="BF17" i="67"/>
  <c r="BG17" i="67"/>
  <c r="BF18" i="67"/>
  <c r="BG18" i="67"/>
  <c r="BF19" i="67"/>
  <c r="BG19" i="67"/>
  <c r="BF20" i="67"/>
  <c r="BG20" i="67"/>
  <c r="BF21" i="67"/>
  <c r="BG21" i="67"/>
  <c r="BF22" i="67"/>
  <c r="BG22" i="67"/>
  <c r="BF23" i="67"/>
  <c r="BG23" i="67"/>
  <c r="BF24" i="67"/>
  <c r="BG24" i="67"/>
  <c r="BF25" i="67"/>
  <c r="BG25" i="67"/>
  <c r="BF26" i="67"/>
  <c r="BG26" i="67"/>
  <c r="BF27" i="67"/>
  <c r="BG27" i="67"/>
  <c r="BF28" i="67"/>
  <c r="BG28" i="67"/>
  <c r="BF29" i="67"/>
  <c r="BG29" i="67"/>
  <c r="BF30" i="67"/>
  <c r="BG30" i="67"/>
  <c r="BF31" i="67"/>
  <c r="BG31" i="67"/>
  <c r="BF32" i="67"/>
  <c r="BG32" i="67"/>
  <c r="BF33" i="67"/>
  <c r="BG33" i="67"/>
  <c r="BF34" i="67"/>
  <c r="BG34" i="67"/>
  <c r="BF35" i="67"/>
  <c r="BG35" i="67"/>
  <c r="BF36" i="67"/>
  <c r="BG36" i="67"/>
  <c r="BA3" i="67"/>
  <c r="BB3" i="67"/>
  <c r="BA4" i="67"/>
  <c r="BB4" i="67"/>
  <c r="BA5" i="67"/>
  <c r="BB5" i="67"/>
  <c r="BA6" i="67"/>
  <c r="BB6" i="67"/>
  <c r="BA7" i="67"/>
  <c r="BB7" i="67"/>
  <c r="BA8" i="67"/>
  <c r="BB8" i="67"/>
  <c r="BA9" i="67"/>
  <c r="BB9" i="67"/>
  <c r="BA10" i="67"/>
  <c r="BB10" i="67"/>
  <c r="BA11" i="67"/>
  <c r="BB11" i="67"/>
  <c r="BA12" i="67"/>
  <c r="BB12" i="67"/>
  <c r="BA13" i="67"/>
  <c r="BB13" i="67"/>
  <c r="BA14" i="67"/>
  <c r="BB14" i="67"/>
  <c r="BA15" i="67"/>
  <c r="BB15" i="67"/>
  <c r="BA16" i="67"/>
  <c r="BB16" i="67"/>
  <c r="BA17" i="67"/>
  <c r="BB17" i="67"/>
  <c r="BA18" i="67"/>
  <c r="BB18" i="67"/>
  <c r="BA19" i="67"/>
  <c r="BB19" i="67"/>
  <c r="BA20" i="67"/>
  <c r="BB20" i="67"/>
  <c r="BA21" i="67"/>
  <c r="BB21" i="67"/>
  <c r="BA22" i="67"/>
  <c r="BB22" i="67"/>
  <c r="BA23" i="67"/>
  <c r="BB23" i="67"/>
  <c r="BA24" i="67"/>
  <c r="BB24" i="67"/>
  <c r="BA25" i="67"/>
  <c r="BB25" i="67"/>
  <c r="BA26" i="67"/>
  <c r="BB26" i="67"/>
  <c r="BA27" i="67"/>
  <c r="BB27" i="67"/>
  <c r="BA28" i="67"/>
  <c r="BB28" i="67"/>
  <c r="BA29" i="67"/>
  <c r="BB29" i="67"/>
  <c r="BA30" i="67"/>
  <c r="BB30" i="67"/>
  <c r="BA31" i="67"/>
  <c r="BB31" i="67"/>
  <c r="AV3" i="67"/>
  <c r="AW3" i="67"/>
  <c r="AV4" i="67"/>
  <c r="AW4" i="67"/>
  <c r="AV5" i="67"/>
  <c r="AW5" i="67"/>
  <c r="AV6" i="67"/>
  <c r="AW6" i="67"/>
  <c r="AV7" i="67"/>
  <c r="AW7" i="67"/>
  <c r="AV8" i="67"/>
  <c r="AW8" i="67"/>
  <c r="AV9" i="67"/>
  <c r="AW9" i="67"/>
  <c r="AV10" i="67"/>
  <c r="AW10" i="67"/>
  <c r="AV11" i="67"/>
  <c r="AW11" i="67"/>
  <c r="AV12" i="67"/>
  <c r="AW12" i="67"/>
  <c r="AV13" i="67"/>
  <c r="AW13" i="67"/>
  <c r="AV14" i="67"/>
  <c r="AW14" i="67"/>
  <c r="AV15" i="67"/>
  <c r="AW15" i="67"/>
  <c r="AV16" i="67"/>
  <c r="AW16" i="67"/>
  <c r="AV17" i="67"/>
  <c r="AW17" i="67"/>
  <c r="AV18" i="67"/>
  <c r="AW18" i="67"/>
  <c r="AV19" i="67"/>
  <c r="AW19" i="67"/>
  <c r="AV20" i="67"/>
  <c r="AW20" i="67"/>
  <c r="AV21" i="67"/>
  <c r="AW21" i="67"/>
  <c r="AV22" i="67"/>
  <c r="AW22" i="67"/>
  <c r="AV23" i="67"/>
  <c r="AW23" i="67"/>
  <c r="AV24" i="67"/>
  <c r="AW24" i="67"/>
  <c r="AV25" i="67"/>
  <c r="AW25" i="67"/>
  <c r="AV26" i="67"/>
  <c r="AW26" i="67"/>
  <c r="AQ3" i="67"/>
  <c r="AR3" i="67"/>
  <c r="AQ4" i="67"/>
  <c r="AR4" i="67"/>
  <c r="AQ5" i="67"/>
  <c r="AR5" i="67"/>
  <c r="AQ6" i="67"/>
  <c r="AR6" i="67"/>
  <c r="AQ7" i="67"/>
  <c r="AR7" i="67"/>
  <c r="AQ8" i="67"/>
  <c r="AR8" i="67"/>
  <c r="AQ9" i="67"/>
  <c r="AR9" i="67"/>
  <c r="AQ10" i="67"/>
  <c r="AR10" i="67"/>
  <c r="AQ11" i="67"/>
  <c r="AR11" i="67"/>
  <c r="AQ12" i="67"/>
  <c r="AR12" i="67"/>
  <c r="AQ13" i="67"/>
  <c r="AR13" i="67"/>
  <c r="AQ14" i="67"/>
  <c r="AR14" i="67"/>
  <c r="AQ15" i="67"/>
  <c r="AR15" i="67"/>
  <c r="AQ16" i="67"/>
  <c r="AR16" i="67"/>
  <c r="AQ17" i="67"/>
  <c r="AR17" i="67"/>
  <c r="AQ18" i="67"/>
  <c r="AR18" i="67"/>
  <c r="AQ19" i="67"/>
  <c r="AR19" i="67"/>
  <c r="AL3" i="67"/>
  <c r="AM3" i="67"/>
  <c r="AL4" i="67"/>
  <c r="AM4" i="67"/>
  <c r="AL5" i="67"/>
  <c r="AM5" i="67"/>
  <c r="AL6" i="67"/>
  <c r="AM6" i="67"/>
  <c r="AL7" i="67"/>
  <c r="AM7" i="67"/>
  <c r="AL8" i="67"/>
  <c r="AM8" i="67"/>
  <c r="AL9" i="67"/>
  <c r="AM9" i="67"/>
  <c r="AL10" i="67"/>
  <c r="AM10" i="67"/>
  <c r="AL11" i="67"/>
  <c r="AM11" i="67"/>
  <c r="AL12" i="67"/>
  <c r="AM12" i="67"/>
  <c r="AL13" i="67"/>
  <c r="AM13" i="67"/>
  <c r="AL14" i="67"/>
  <c r="AM14" i="67"/>
  <c r="AL15" i="67"/>
  <c r="AM15" i="67"/>
  <c r="AL16" i="67"/>
  <c r="AM16" i="67"/>
  <c r="AL17" i="67"/>
  <c r="AM17" i="67"/>
  <c r="AL18" i="67"/>
  <c r="AM18" i="67"/>
  <c r="AG3" i="67"/>
  <c r="AH3" i="67"/>
  <c r="AG4" i="67"/>
  <c r="AH4" i="67"/>
  <c r="AG5" i="67"/>
  <c r="AH5" i="67"/>
  <c r="AG6" i="67"/>
  <c r="AH6" i="67"/>
  <c r="AG7" i="67"/>
  <c r="AH7" i="67"/>
  <c r="AG8" i="67"/>
  <c r="AH8" i="67"/>
  <c r="AG9" i="67"/>
  <c r="AH9" i="67"/>
  <c r="AG10" i="67"/>
  <c r="AH10" i="67"/>
  <c r="AG11" i="67"/>
  <c r="AH11" i="67"/>
  <c r="AG12" i="67"/>
  <c r="AH12" i="67"/>
  <c r="AG13" i="67"/>
  <c r="AH13" i="67"/>
  <c r="AG14" i="67"/>
  <c r="AH14" i="67"/>
  <c r="AG15" i="67"/>
  <c r="AH15" i="67"/>
  <c r="AG16" i="67"/>
  <c r="AH16" i="67"/>
  <c r="AB3" i="67"/>
  <c r="AC3" i="67"/>
  <c r="AB4" i="67"/>
  <c r="AC4" i="67"/>
  <c r="AB5" i="67"/>
  <c r="AC5" i="67"/>
  <c r="AB6" i="67"/>
  <c r="AC6" i="67"/>
  <c r="AB7" i="67"/>
  <c r="AC7" i="67"/>
  <c r="AB8" i="67"/>
  <c r="AC8" i="67"/>
  <c r="AB9" i="67"/>
  <c r="AC9" i="67"/>
  <c r="AB10" i="67"/>
  <c r="AC10" i="67"/>
  <c r="AB11" i="67"/>
  <c r="AC11" i="67"/>
  <c r="AB12" i="67"/>
  <c r="AC12" i="67"/>
  <c r="AB13" i="67"/>
  <c r="AC13" i="67"/>
  <c r="AB14" i="67"/>
  <c r="AC14" i="67"/>
  <c r="AB15" i="67"/>
  <c r="AC15" i="67"/>
  <c r="W3" i="67"/>
  <c r="X3" i="67"/>
  <c r="W4" i="67"/>
  <c r="X4" i="67"/>
  <c r="W5" i="67"/>
  <c r="X5" i="67"/>
  <c r="W6" i="67"/>
  <c r="X6" i="67"/>
  <c r="W7" i="67"/>
  <c r="X7" i="67"/>
  <c r="W8" i="67"/>
  <c r="X8" i="67"/>
  <c r="W9" i="67"/>
  <c r="X9" i="67"/>
  <c r="W10" i="67"/>
  <c r="X10" i="67"/>
  <c r="W11" i="67"/>
  <c r="X11" i="67"/>
  <c r="W12" i="67"/>
  <c r="X12" i="67"/>
  <c r="R3" i="67"/>
  <c r="S3" i="67"/>
  <c r="R4" i="67"/>
  <c r="S4" i="67"/>
  <c r="R5" i="67"/>
  <c r="S5" i="67"/>
  <c r="R6" i="67"/>
  <c r="S6" i="67"/>
  <c r="R7" i="67"/>
  <c r="S7" i="67"/>
  <c r="R8" i="67"/>
  <c r="S8" i="67"/>
  <c r="R9" i="67"/>
  <c r="S9" i="67"/>
  <c r="R10" i="67"/>
  <c r="S10" i="67"/>
  <c r="M3" i="67"/>
  <c r="N3" i="67"/>
  <c r="M4" i="67"/>
  <c r="N4" i="67"/>
  <c r="M5" i="67"/>
  <c r="N5" i="67"/>
  <c r="M6" i="67"/>
  <c r="N6" i="67"/>
  <c r="M7" i="67"/>
  <c r="N7" i="67"/>
  <c r="M8" i="67"/>
  <c r="N8" i="67"/>
  <c r="M9" i="67"/>
  <c r="N9" i="67"/>
  <c r="H3" i="67"/>
  <c r="I3" i="67"/>
  <c r="H4" i="67"/>
  <c r="I4" i="67"/>
  <c r="H5" i="67"/>
  <c r="I5" i="67"/>
  <c r="H6" i="67"/>
  <c r="I6" i="67"/>
  <c r="H7" i="67"/>
  <c r="I7" i="67"/>
  <c r="H8" i="67"/>
  <c r="I8" i="67"/>
  <c r="C3" i="67"/>
  <c r="D3" i="67"/>
  <c r="C4" i="67"/>
  <c r="D4" i="67"/>
  <c r="C5" i="67"/>
  <c r="D5" i="67"/>
  <c r="C6" i="67"/>
  <c r="D6" i="67"/>
  <c r="C7" i="67"/>
  <c r="D7" i="67"/>
  <c r="G175" i="72" l="1"/>
  <c r="G176" i="72"/>
  <c r="G141" i="72"/>
  <c r="G142" i="72"/>
  <c r="G121" i="72"/>
  <c r="G120" i="72"/>
  <c r="G109" i="72"/>
  <c r="G110" i="72"/>
  <c r="G80" i="72"/>
  <c r="G81" i="72"/>
  <c r="G82" i="72"/>
  <c r="G79" i="72"/>
  <c r="G83" i="72"/>
  <c r="G42" i="72"/>
  <c r="G45" i="72"/>
  <c r="G43" i="72"/>
  <c r="G46" i="72"/>
  <c r="G44" i="72"/>
  <c r="G47" i="72"/>
  <c r="D6" i="58" a="1"/>
  <c r="D6" i="58" s="1"/>
  <c r="G26" i="72"/>
  <c r="G27" i="72"/>
  <c r="G16" i="72"/>
  <c r="G17" i="72"/>
  <c r="G15" i="58"/>
  <c r="G12" i="58"/>
  <c r="G10" i="58"/>
  <c r="E9" i="58" a="1"/>
  <c r="E9" i="58" s="1"/>
  <c r="D7" i="58" a="1"/>
  <c r="D7" i="58" s="1"/>
  <c r="E7" i="58" a="1"/>
  <c r="E7" i="58" s="1"/>
  <c r="G7" i="58"/>
  <c r="E6" i="58" a="1"/>
  <c r="E6" i="58" s="1"/>
  <c r="G5" i="58"/>
  <c r="C8" i="58" a="1"/>
  <c r="C8" i="58" s="1"/>
  <c r="D8" i="58" a="1"/>
  <c r="D8" i="58" s="1"/>
  <c r="E8" i="58" a="1"/>
  <c r="E8" i="58" s="1"/>
  <c r="F8" i="58"/>
  <c r="F5" i="58"/>
  <c r="C5" i="58" a="1"/>
  <c r="C5" i="58" s="1"/>
  <c r="D5" i="58" a="1"/>
  <c r="D5" i="58" s="1"/>
  <c r="E5" i="58" a="1"/>
  <c r="E5" i="58" s="1"/>
  <c r="F11" i="58"/>
  <c r="E11" i="58" a="1"/>
  <c r="E11" i="58" s="1"/>
  <c r="D11" i="58" a="1"/>
  <c r="D11" i="58" s="1"/>
  <c r="C11" i="58" a="1"/>
  <c r="C11" i="58" s="1"/>
  <c r="F10" i="58"/>
  <c r="E10" i="58" a="1"/>
  <c r="E10" i="58" s="1"/>
  <c r="C10" i="58" a="1"/>
  <c r="C10" i="58" s="1"/>
  <c r="D10" i="58" a="1"/>
  <c r="D10" i="58" s="1"/>
  <c r="D12" i="58" a="1"/>
  <c r="D12" i="58" s="1"/>
  <c r="E12" i="58" a="1"/>
  <c r="E12" i="58" s="1"/>
  <c r="F12" i="58"/>
  <c r="C12" i="58" a="1"/>
  <c r="C12" i="58" s="1"/>
  <c r="C14" i="58" a="1"/>
  <c r="C14" i="58" s="1"/>
  <c r="F14" i="58"/>
  <c r="D14" i="58" a="1"/>
  <c r="D14" i="58" s="1"/>
  <c r="E14" i="58" a="1"/>
  <c r="E14" i="58" s="1"/>
  <c r="C13" i="58" a="1"/>
  <c r="C13" i="58" s="1"/>
  <c r="D13" i="58" a="1"/>
  <c r="D13" i="58" s="1"/>
  <c r="F13" i="58"/>
  <c r="E13" i="58" a="1"/>
  <c r="E13" i="58" s="1"/>
  <c r="F15" i="58"/>
  <c r="C15" i="58" a="1"/>
  <c r="C15" i="58" s="1"/>
  <c r="D15" i="58" a="1"/>
  <c r="D15" i="58" s="1"/>
  <c r="E15" i="58" a="1"/>
  <c r="E15" i="58" s="1"/>
  <c r="C4" i="58" a="1"/>
  <c r="C4" i="58" s="1"/>
  <c r="D4" i="58" a="1"/>
  <c r="D4" i="58" s="1"/>
  <c r="E4" i="58" a="1"/>
  <c r="E4" i="58" s="1"/>
  <c r="F4" i="58"/>
  <c r="G4" i="58"/>
  <c r="G13" i="58"/>
  <c r="C6" i="58" a="1"/>
  <c r="C6" i="58" s="1"/>
  <c r="G9" i="58"/>
  <c r="G8" i="58"/>
  <c r="D9" i="58" a="1"/>
  <c r="D9" i="58" s="1"/>
  <c r="F7" i="58"/>
  <c r="J3" i="72" l="1"/>
  <c r="J1" i="72"/>
  <c r="B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<sst xmlns="http://schemas.openxmlformats.org/spreadsheetml/2006/main" count="5112" uniqueCount="1007">
  <si>
    <t>مدخلات جداول بطولات تحت 13</t>
  </si>
  <si>
    <t>الخلايا الزرقاء قابلة للتعديل — كل الجداول تتحدث تلقائياً</t>
  </si>
  <si>
    <t>البند</t>
  </si>
  <si>
    <t>القيمة</t>
  </si>
  <si>
    <t>ملاحظة</t>
  </si>
  <si>
    <t>وقت بداية اليوم</t>
  </si>
  <si>
    <t>مدة المباراة (دقيقة)</t>
  </si>
  <si>
    <t>الفاصل / ترتيب الملعب (دقيقة)</t>
  </si>
  <si>
    <t>طول الفترة الكاملة (دقيقة)</t>
  </si>
  <si>
    <t>أقصى عدد فترات في اليوم</t>
  </si>
  <si>
    <t>قابل للتعديل</t>
  </si>
  <si>
    <t>محسوبة تلقائياً</t>
  </si>
  <si>
    <t>اليوم</t>
  </si>
  <si>
    <t>الوقت</t>
  </si>
  <si>
    <t>الملعب</t>
  </si>
  <si>
    <t>المباراة</t>
  </si>
  <si>
    <t>المجموعة 1</t>
  </si>
  <si>
    <t>1 ضد 6</t>
  </si>
  <si>
    <t>2 ضد 5</t>
  </si>
  <si>
    <t>3 ضد 4</t>
  </si>
  <si>
    <t>1 ضد 5</t>
  </si>
  <si>
    <t>4 ضد 6</t>
  </si>
  <si>
    <t>2 ضد 3</t>
  </si>
  <si>
    <t>1 ضد 4</t>
  </si>
  <si>
    <t>3 ضد 5</t>
  </si>
  <si>
    <t>2 ضد 6</t>
  </si>
  <si>
    <t>1 ضد 3</t>
  </si>
  <si>
    <t>2 ضد 4</t>
  </si>
  <si>
    <t>5 ضد 6</t>
  </si>
  <si>
    <t>1 ضد 2</t>
  </si>
  <si>
    <t>3 ضد 6</t>
  </si>
  <si>
    <t>4 ضد 5</t>
  </si>
  <si>
    <t>الفريق</t>
  </si>
  <si>
    <t>المجموعة</t>
  </si>
  <si>
    <t>مباريات الدوري</t>
  </si>
  <si>
    <t>عدد الخصوم</t>
  </si>
  <si>
    <t>2 ضد 7</t>
  </si>
  <si>
    <t>1 ضد 7</t>
  </si>
  <si>
    <t>5 ضد 7</t>
  </si>
  <si>
    <t>3 ضد 7</t>
  </si>
  <si>
    <t>6 ضد 7</t>
  </si>
  <si>
    <t>4 ضد 7</t>
  </si>
  <si>
    <t>1 ضد 8</t>
  </si>
  <si>
    <t>6 ضد 8</t>
  </si>
  <si>
    <t>4 ضد 8</t>
  </si>
  <si>
    <t>2 ضد 8</t>
  </si>
  <si>
    <t>7 ضد 8</t>
  </si>
  <si>
    <t>5 ضد 8</t>
  </si>
  <si>
    <t>3 ضد 8</t>
  </si>
  <si>
    <t>2 ضد 9</t>
  </si>
  <si>
    <t>1 ضد 9</t>
  </si>
  <si>
    <t>7 ضد 9</t>
  </si>
  <si>
    <t>5 ضد 9</t>
  </si>
  <si>
    <t>3 ضد 9</t>
  </si>
  <si>
    <t>8 ضد 9</t>
  </si>
  <si>
    <t>6 ضد 9</t>
  </si>
  <si>
    <t>4 ضد 9</t>
  </si>
  <si>
    <t>1 ضد 10</t>
  </si>
  <si>
    <t>8 ضد 10</t>
  </si>
  <si>
    <t>6 ضد 10</t>
  </si>
  <si>
    <t>4 ضد 10</t>
  </si>
  <si>
    <t>2 ضد 10</t>
  </si>
  <si>
    <t>9 ضد 10</t>
  </si>
  <si>
    <t>7 ضد 10</t>
  </si>
  <si>
    <t>5 ضد 10</t>
  </si>
  <si>
    <t>3 ضد 10</t>
  </si>
  <si>
    <t>2 ضد 11</t>
  </si>
  <si>
    <t>1 ضد 11</t>
  </si>
  <si>
    <t>9 ضد 11</t>
  </si>
  <si>
    <t>7 ضد 11</t>
  </si>
  <si>
    <t>10 ضد 11</t>
  </si>
  <si>
    <t>8 ضد 11</t>
  </si>
  <si>
    <t>6 ضد 11</t>
  </si>
  <si>
    <t>4 ضد 11</t>
  </si>
  <si>
    <t>1 ضد 12</t>
  </si>
  <si>
    <t>10 ضد 12</t>
  </si>
  <si>
    <t>8 ضد 12</t>
  </si>
  <si>
    <t>11 ضد 12</t>
  </si>
  <si>
    <t>9 ضد 12</t>
  </si>
  <si>
    <t>7 ضد 12</t>
  </si>
  <si>
    <t>5 ضد 12</t>
  </si>
  <si>
    <t>3 ضد 12</t>
  </si>
  <si>
    <t>بطولة 13 فريق – تحت 13</t>
  </si>
  <si>
    <t>المجموعة 2</t>
  </si>
  <si>
    <t>8 ضد 13</t>
  </si>
  <si>
    <t>11 ضد 13</t>
  </si>
  <si>
    <t>9 ضد 13</t>
  </si>
  <si>
    <t>12 ضد 13</t>
  </si>
  <si>
    <t>10 ضد 13</t>
  </si>
  <si>
    <t>أول المجموعة 1 ضد أول المجموعة 2</t>
  </si>
  <si>
    <t>بطولة 14 فريق – تحت 13</t>
  </si>
  <si>
    <t>9 ضد 14</t>
  </si>
  <si>
    <t>8 ضد 14</t>
  </si>
  <si>
    <t>12 ضد 14</t>
  </si>
  <si>
    <t>10 ضد 14</t>
  </si>
  <si>
    <t>13 ضد 14</t>
  </si>
  <si>
    <t>11 ضد 14</t>
  </si>
  <si>
    <t>10 ضد 15</t>
  </si>
  <si>
    <t>9 ضد 15</t>
  </si>
  <si>
    <t>13 ضد 15</t>
  </si>
  <si>
    <t>11 ضد 15</t>
  </si>
  <si>
    <t>14 ضد 15</t>
  </si>
  <si>
    <t>12 ضد 15</t>
  </si>
  <si>
    <t>بطولة 16 فريق – تحت 13</t>
  </si>
  <si>
    <t>9 ضد 16</t>
  </si>
  <si>
    <t>14 ضد 16</t>
  </si>
  <si>
    <t>12 ضد 16</t>
  </si>
  <si>
    <t>10 ضد 16</t>
  </si>
  <si>
    <t>15 ضد 16</t>
  </si>
  <si>
    <t>13 ضد 16</t>
  </si>
  <si>
    <t>11 ضد 16</t>
  </si>
  <si>
    <t>بطولة 17 فريق – تحت 13</t>
  </si>
  <si>
    <t>15 ضد 17</t>
  </si>
  <si>
    <t>13 ضد 17</t>
  </si>
  <si>
    <t>11 ضد 17</t>
  </si>
  <si>
    <t>7 ضد 13</t>
  </si>
  <si>
    <t>16 ضد 17</t>
  </si>
  <si>
    <t>14 ضد 17</t>
  </si>
  <si>
    <t>12 ضد 17</t>
  </si>
  <si>
    <t>10 ضد 17</t>
  </si>
  <si>
    <t>8 ضد 17</t>
  </si>
  <si>
    <t>7 ضد 16</t>
  </si>
  <si>
    <t>8 ضد 15</t>
  </si>
  <si>
    <t>7 ضد 14</t>
  </si>
  <si>
    <t>المجموعة 3</t>
  </si>
  <si>
    <t>13 ضد 18</t>
  </si>
  <si>
    <t>16 ضد 18</t>
  </si>
  <si>
    <t>14 ضد 18</t>
  </si>
  <si>
    <t>17 ضد 18</t>
  </si>
  <si>
    <t>15 ضد 18</t>
  </si>
  <si>
    <t>12 ضد 18</t>
  </si>
  <si>
    <t>10 ضد 18</t>
  </si>
  <si>
    <t>18 ضد 19</t>
  </si>
  <si>
    <t>16 ضد 19</t>
  </si>
  <si>
    <t>14 ضد 19</t>
  </si>
  <si>
    <t>12 ضد 19</t>
  </si>
  <si>
    <t>10 ضد 19</t>
  </si>
  <si>
    <t>11 ضد 18</t>
  </si>
  <si>
    <t>18 ضد 20</t>
  </si>
  <si>
    <t>19 ضد 20</t>
  </si>
  <si>
    <t>19 ضد 21</t>
  </si>
  <si>
    <t>20 ضد 21</t>
  </si>
  <si>
    <t>18 ضد 21</t>
  </si>
  <si>
    <t>20 ضد 22</t>
  </si>
  <si>
    <t>18 ضد 22</t>
  </si>
  <si>
    <t>21 ضد 22</t>
  </si>
  <si>
    <t>19 ضد 22</t>
  </si>
  <si>
    <t>18 ضد 23</t>
  </si>
  <si>
    <t>21 ضد 23</t>
  </si>
  <si>
    <t>19 ضد 23</t>
  </si>
  <si>
    <t>22 ضد 23</t>
  </si>
  <si>
    <t>20 ضد 23</t>
  </si>
  <si>
    <t>22 ضد 24</t>
  </si>
  <si>
    <t>20 ضد 24</t>
  </si>
  <si>
    <t>18 ضد 24</t>
  </si>
  <si>
    <t>23 ضد 24</t>
  </si>
  <si>
    <t>21 ضد 24</t>
  </si>
  <si>
    <t>19 ضد 24</t>
  </si>
  <si>
    <t>المجموعة 4</t>
  </si>
  <si>
    <t>20 ضد 25</t>
  </si>
  <si>
    <t>23 ضد 25</t>
  </si>
  <si>
    <t>21 ضد 25</t>
  </si>
  <si>
    <t>24 ضد 25</t>
  </si>
  <si>
    <t>22 ضد 25</t>
  </si>
  <si>
    <t>21 ضد 26</t>
  </si>
  <si>
    <t>24 ضد 26</t>
  </si>
  <si>
    <t>22 ضد 26</t>
  </si>
  <si>
    <t>25 ضد 26</t>
  </si>
  <si>
    <t>23 ضد 26</t>
  </si>
  <si>
    <t>20 ضد 27</t>
  </si>
  <si>
    <t>19 ضد 26</t>
  </si>
  <si>
    <t>25 ضد 27</t>
  </si>
  <si>
    <t>23 ضد 27</t>
  </si>
  <si>
    <t>21 ضد 27</t>
  </si>
  <si>
    <t>20 ضد 26</t>
  </si>
  <si>
    <t>26 ضد 27</t>
  </si>
  <si>
    <t>24 ضد 27</t>
  </si>
  <si>
    <t>22 ضد 27</t>
  </si>
  <si>
    <t>23 ضد 28</t>
  </si>
  <si>
    <t>27 ضد 28</t>
  </si>
  <si>
    <t>25 ضد 28</t>
  </si>
  <si>
    <t>24 ضد 29</t>
  </si>
  <si>
    <t>28 ضد 29</t>
  </si>
  <si>
    <t>26 ضد 29</t>
  </si>
  <si>
    <t>25 ضد 30</t>
  </si>
  <si>
    <t>29 ضد 30</t>
  </si>
  <si>
    <t>27 ضد 30</t>
  </si>
  <si>
    <t>26 ضد 31</t>
  </si>
  <si>
    <t>30 ضد 31</t>
  </si>
  <si>
    <t>28 ضد 31</t>
  </si>
  <si>
    <t>25 ضد 32</t>
  </si>
  <si>
    <t>31 ضد 32</t>
  </si>
  <si>
    <t>29 ضد 32</t>
  </si>
  <si>
    <t>27 ضد 32</t>
  </si>
  <si>
    <t>18 ضد 25</t>
  </si>
  <si>
    <t>26 ضد 33</t>
  </si>
  <si>
    <t>32 ضد 33</t>
  </si>
  <si>
    <t>30 ضد 33</t>
  </si>
  <si>
    <t>28 ضد 33</t>
  </si>
  <si>
    <t>بطولة 34 فريق – تحت 13</t>
  </si>
  <si>
    <t>22 ضد 31</t>
  </si>
  <si>
    <t>23 ضد 30</t>
  </si>
  <si>
    <t>21 ضد 30</t>
  </si>
  <si>
    <t>22 ضد 29</t>
  </si>
  <si>
    <t>20 ضد 29</t>
  </si>
  <si>
    <t>21 ضد 28</t>
  </si>
  <si>
    <t>19 ضد 28</t>
  </si>
  <si>
    <t>18 ضد 26</t>
  </si>
  <si>
    <t>21 ضد 29</t>
  </si>
  <si>
    <t>33 ضد 34</t>
  </si>
  <si>
    <t>31 ضد 34</t>
  </si>
  <si>
    <t>29 ضد 34</t>
  </si>
  <si>
    <t>27 ضد 34</t>
  </si>
  <si>
    <t>25 ضد 34</t>
  </si>
  <si>
    <t>23 ضد 32</t>
  </si>
  <si>
    <t>24 ضد 31</t>
  </si>
  <si>
    <t>عدد الفرق</t>
  </si>
  <si>
    <t>عدد المجموعات</t>
  </si>
  <si>
    <t>نظام الإقصاء</t>
  </si>
  <si>
    <t>أيام الدوري</t>
  </si>
  <si>
    <t>أيام الإقصاء</t>
  </si>
  <si>
    <t>إجمالي الأيام</t>
  </si>
  <si>
    <t>توزيع الفرق في المجموعات</t>
  </si>
  <si>
    <t>وقت البداية</t>
  </si>
  <si>
    <t>وقت النهاية</t>
  </si>
  <si>
    <t>عدد الملاعب القانونية</t>
  </si>
  <si>
    <t>ملخص بطولات تحت 13 – الأعداد المطلوبة</t>
  </si>
  <si>
    <t>6 ضد 4</t>
  </si>
  <si>
    <t>5 ضد 3</t>
  </si>
  <si>
    <t>6 ضد 2</t>
  </si>
  <si>
    <t>4 ضد 2</t>
  </si>
  <si>
    <t>7 ضد 5</t>
  </si>
  <si>
    <t>7 ضد 3</t>
  </si>
  <si>
    <t>8 ضد 6</t>
  </si>
  <si>
    <t>8 ضد 4</t>
  </si>
  <si>
    <t>8 ضد 2</t>
  </si>
  <si>
    <t>9 ضد 7</t>
  </si>
  <si>
    <t>9 ضد 3</t>
  </si>
  <si>
    <t>9 ضد 5</t>
  </si>
  <si>
    <t>11 ضد 9</t>
  </si>
  <si>
    <t>10 ضد 8</t>
  </si>
  <si>
    <t>11 ضد 7</t>
  </si>
  <si>
    <t>11 ضد 5</t>
  </si>
  <si>
    <t>10 ضد 6</t>
  </si>
  <si>
    <t>10 ضد 4</t>
  </si>
  <si>
    <t>11 ضد 3</t>
  </si>
  <si>
    <t>10 ضد 2</t>
  </si>
  <si>
    <t>13 ضد 11</t>
  </si>
  <si>
    <t>12 ضد 10</t>
  </si>
  <si>
    <t>13 ضد 9</t>
  </si>
  <si>
    <t>14 ضد 12</t>
  </si>
  <si>
    <t>14 ضد 10</t>
  </si>
  <si>
    <t>15 ضد 13</t>
  </si>
  <si>
    <t>15 ضد 11</t>
  </si>
  <si>
    <t>16 ضد 14</t>
  </si>
  <si>
    <t>16 ضد 12</t>
  </si>
  <si>
    <t>16 ضد 10</t>
  </si>
  <si>
    <t>17 ضد 15</t>
  </si>
  <si>
    <t>17 ضد 13</t>
  </si>
  <si>
    <t>17 ضد 11</t>
  </si>
  <si>
    <t>18 ضد 16</t>
  </si>
  <si>
    <t>18 ضد 14</t>
  </si>
  <si>
    <t>18 ضد 12</t>
  </si>
  <si>
    <t>19 ضد 17</t>
  </si>
  <si>
    <t>19 ضد 15</t>
  </si>
  <si>
    <t>19 ضد 13</t>
  </si>
  <si>
    <t>21 ضد 19</t>
  </si>
  <si>
    <t>25 ضد 23</t>
  </si>
  <si>
    <t>24 ضد 22</t>
  </si>
  <si>
    <t>25 ضد 21</t>
  </si>
  <si>
    <t>23 ضد 21</t>
  </si>
  <si>
    <t>26 ضد 24</t>
  </si>
  <si>
    <t>34 ضد 32</t>
  </si>
  <si>
    <t>26 ضد 22</t>
  </si>
  <si>
    <t>33 ضد 31</t>
  </si>
  <si>
    <t>34 ضد 30</t>
  </si>
  <si>
    <t>34 ضد 28</t>
  </si>
  <si>
    <t>32 ضد 30</t>
  </si>
  <si>
    <t>33 ضد 29</t>
  </si>
  <si>
    <t>24 ضد 20</t>
  </si>
  <si>
    <t>31 ضد 29</t>
  </si>
  <si>
    <t>32 ضد 28</t>
  </si>
  <si>
    <t>22 ضد 20</t>
  </si>
  <si>
    <t>30 ضد 28</t>
  </si>
  <si>
    <t>31 ضد 27</t>
  </si>
  <si>
    <t>30 ضد 26</t>
  </si>
  <si>
    <t>31 ضد 25</t>
  </si>
  <si>
    <t>29 ضد 27</t>
  </si>
  <si>
    <t>29 ضد 25</t>
  </si>
  <si>
    <t>30 ضد 24</t>
  </si>
  <si>
    <t>28 ضد 26</t>
  </si>
  <si>
    <t>31 ضد 23</t>
  </si>
  <si>
    <t>28 ضد 24</t>
  </si>
  <si>
    <t>29 ضد 23</t>
  </si>
  <si>
    <t>27 ضد 25</t>
  </si>
  <si>
    <t>27 ضد 23</t>
  </si>
  <si>
    <t>12 ضد 8</t>
  </si>
  <si>
    <t>12 ضد 6</t>
  </si>
  <si>
    <t>12 ضد 4</t>
  </si>
  <si>
    <t>34 ضد 26</t>
  </si>
  <si>
    <t>12 ضد 2</t>
  </si>
  <si>
    <t>33 ضد 27</t>
  </si>
  <si>
    <t>33 ضد 25</t>
  </si>
  <si>
    <t>32 ضد 26</t>
  </si>
  <si>
    <t>مباريات كل فريق في الموسم (غير شاملة الإقصاء)</t>
  </si>
  <si>
    <t>13 ضد 7</t>
  </si>
  <si>
    <t>18 ضد 10</t>
  </si>
  <si>
    <t>17 ضد 9</t>
  </si>
  <si>
    <t>15 ضد 9</t>
  </si>
  <si>
    <t>16 ضد 8</t>
  </si>
  <si>
    <t>32 ضد 24</t>
  </si>
  <si>
    <t>14 ضد 8</t>
  </si>
  <si>
    <t>15 ضد 7</t>
  </si>
  <si>
    <t>30 ضد 22</t>
  </si>
  <si>
    <t>28 ضد 22</t>
  </si>
  <si>
    <t>19 ضد 11</t>
  </si>
  <si>
    <t>9 ضد 1</t>
  </si>
  <si>
    <t>6 فرق</t>
  </si>
  <si>
    <t>7 فرق</t>
  </si>
  <si>
    <t>8 فرق</t>
  </si>
  <si>
    <t>13 فريق</t>
  </si>
  <si>
    <t>14 فريق</t>
  </si>
  <si>
    <t>16 فريق</t>
  </si>
  <si>
    <t>17 فريق</t>
  </si>
  <si>
    <t>34 فريق</t>
  </si>
  <si>
    <t>6 ضد 1</t>
  </si>
  <si>
    <t>5 ضد 2</t>
  </si>
  <si>
    <t>4 ضد 3</t>
  </si>
  <si>
    <t>5 ضد 1</t>
  </si>
  <si>
    <t>3 ضد 2</t>
  </si>
  <si>
    <t>4 ضد 1</t>
  </si>
  <si>
    <t>3 ضد 1</t>
  </si>
  <si>
    <t>6 ضد 5</t>
  </si>
  <si>
    <t>2 ضد 1</t>
  </si>
  <si>
    <t>6 ضد 3</t>
  </si>
  <si>
    <t>5 ضد 4</t>
  </si>
  <si>
    <t>7 ضد 2</t>
  </si>
  <si>
    <t>7 ضد 1</t>
  </si>
  <si>
    <t>7 ضد 6</t>
  </si>
  <si>
    <t>7 ضد 4</t>
  </si>
  <si>
    <t>8 ضد 1</t>
  </si>
  <si>
    <t>8 ضد 7</t>
  </si>
  <si>
    <t>8 ضد 5</t>
  </si>
  <si>
    <t>8 ضد 3</t>
  </si>
  <si>
    <t>9 ضد 2</t>
  </si>
  <si>
    <t>9 ضد 8</t>
  </si>
  <si>
    <t>9 ضد 6</t>
  </si>
  <si>
    <t>9 ضد 4</t>
  </si>
  <si>
    <t>10 ضد 3</t>
  </si>
  <si>
    <t>10 ضد 1</t>
  </si>
  <si>
    <t>11 ضد 10</t>
  </si>
  <si>
    <t>11 ضد 8</t>
  </si>
  <si>
    <t>10 ضد 9</t>
  </si>
  <si>
    <t>10 ضد 7</t>
  </si>
  <si>
    <t>10 ضد 5</t>
  </si>
  <si>
    <t>13 ضد 8</t>
  </si>
  <si>
    <t>12 ضد 9</t>
  </si>
  <si>
    <t>13 ضد 12</t>
  </si>
  <si>
    <t>13 ضد 10</t>
  </si>
  <si>
    <t>12 ضد 11</t>
  </si>
  <si>
    <t>14 ضد 9</t>
  </si>
  <si>
    <t>14 ضد 13</t>
  </si>
  <si>
    <t>14 ضد 11</t>
  </si>
  <si>
    <t>15 ضد 10</t>
  </si>
  <si>
    <t>15 ضد 14</t>
  </si>
  <si>
    <t>15 ضد 12</t>
  </si>
  <si>
    <t>16 ضد 9</t>
  </si>
  <si>
    <t>16 ضد 15</t>
  </si>
  <si>
    <t>16 ضد 13</t>
  </si>
  <si>
    <t>16 ضد 11</t>
  </si>
  <si>
    <t>12 ضد 7</t>
  </si>
  <si>
    <t>17 ضد 14</t>
  </si>
  <si>
    <t>17 ضد 16</t>
  </si>
  <si>
    <t>أول المجموعة 2 ضد أول المجموعة 3</t>
  </si>
  <si>
    <t>الفائز 1 ضد الفائز 2</t>
  </si>
  <si>
    <t>18 ضد 13</t>
  </si>
  <si>
    <t>18 ضد 17</t>
  </si>
  <si>
    <t>18 ضد 15</t>
  </si>
  <si>
    <t>17 ضد 12</t>
  </si>
  <si>
    <t>21 ضد 20</t>
  </si>
  <si>
    <t>25 ضد 22</t>
  </si>
  <si>
    <t>24 ضد 23</t>
  </si>
  <si>
    <t>23 ضد 22</t>
  </si>
  <si>
    <t>24 ضد 21</t>
  </si>
  <si>
    <t>22 ضد 21</t>
  </si>
  <si>
    <t>25 ضد 24</t>
  </si>
  <si>
    <t>23 ضد 20</t>
  </si>
  <si>
    <t>27 ضد 26</t>
  </si>
  <si>
    <t>26 ضد 25</t>
  </si>
  <si>
    <t>25 ضد 20</t>
  </si>
  <si>
    <t>23 ضد 19</t>
  </si>
  <si>
    <t>29 ضد 28</t>
  </si>
  <si>
    <t>24 ضد 19</t>
  </si>
  <si>
    <t>17 ضد 10</t>
  </si>
  <si>
    <t>18 ضد 11</t>
  </si>
  <si>
    <t>20 ضد 19</t>
  </si>
  <si>
    <t>22 ضد 19</t>
  </si>
  <si>
    <t>أول المجموعة 1 ضد أول المجموعة 4</t>
  </si>
  <si>
    <t>25 ضد 19</t>
  </si>
  <si>
    <t>26 ضد 23</t>
  </si>
  <si>
    <t>26 ضد 21</t>
  </si>
  <si>
    <t>26 ضد 20</t>
  </si>
  <si>
    <t>27 ضد 19</t>
  </si>
  <si>
    <t>27 ضد 21</t>
  </si>
  <si>
    <t>27 ضد 24</t>
  </si>
  <si>
    <t>27 ضد 22</t>
  </si>
  <si>
    <t>27 ضد 20</t>
  </si>
  <si>
    <t>28 ضد 20</t>
  </si>
  <si>
    <t>29 ضد 21</t>
  </si>
  <si>
    <t>عدد الأدوار</t>
  </si>
  <si>
    <t>أقل عدد مباريات للفريق</t>
  </si>
  <si>
    <t>قيد ملزم — يتقدّم على سقف الأيام</t>
  </si>
  <si>
    <t>سقف أيام البطولة (شامل الإقصاء)</t>
  </si>
  <si>
    <t>يُتجاوز فقط عند تعارضه مع أقل عدد مباريات</t>
  </si>
  <si>
    <t>تحقق القيود</t>
  </si>
  <si>
    <t>2 ضد 17</t>
  </si>
  <si>
    <t>3 ضد 16</t>
  </si>
  <si>
    <t>4 ضد 15</t>
  </si>
  <si>
    <t>5 ضد 14</t>
  </si>
  <si>
    <t>6 ضد 13</t>
  </si>
  <si>
    <t>1 ضد 17</t>
  </si>
  <si>
    <t>2 ضد 15</t>
  </si>
  <si>
    <t>3 ضد 14</t>
  </si>
  <si>
    <t>4 ضد 13</t>
  </si>
  <si>
    <t>1 ضد 16</t>
  </si>
  <si>
    <t>2 ضد 13</t>
  </si>
  <si>
    <t>1 ضد 15</t>
  </si>
  <si>
    <t>1 ضد 14</t>
  </si>
  <si>
    <t>1 ضد 13</t>
  </si>
  <si>
    <t>17 ضد 7</t>
  </si>
  <si>
    <t>16 ضد 6</t>
  </si>
  <si>
    <t>17 ضد 5</t>
  </si>
  <si>
    <t>14 ضد 6</t>
  </si>
  <si>
    <t>15 ضد 5</t>
  </si>
  <si>
    <t>16 ضد 4</t>
  </si>
  <si>
    <t>17 ضد 3</t>
  </si>
  <si>
    <t>13 ضد 5</t>
  </si>
  <si>
    <t>14 ضد 4</t>
  </si>
  <si>
    <t>15 ضد 3</t>
  </si>
  <si>
    <t>16 ضد 2</t>
  </si>
  <si>
    <t>13 ضد 3</t>
  </si>
  <si>
    <t>14 ضد 2</t>
  </si>
  <si>
    <t>6 ضد 17</t>
  </si>
  <si>
    <t>4 ضد 17</t>
  </si>
  <si>
    <t>5 ضد 16</t>
  </si>
  <si>
    <t>6 ضد 15</t>
  </si>
  <si>
    <t>19 ضد 34</t>
  </si>
  <si>
    <t>20 ضد 33</t>
  </si>
  <si>
    <t>21 ضد 32</t>
  </si>
  <si>
    <t>18 ضد 34</t>
  </si>
  <si>
    <t>19 ضد 32</t>
  </si>
  <si>
    <t>20 ضد 31</t>
  </si>
  <si>
    <t>18 ضد 33</t>
  </si>
  <si>
    <t>19 ضد 30</t>
  </si>
  <si>
    <t>18 ضد 32</t>
  </si>
  <si>
    <t>18 ضد 31</t>
  </si>
  <si>
    <t>18 ضد 30</t>
  </si>
  <si>
    <t>18 ضد 29</t>
  </si>
  <si>
    <t>34 ضد 24</t>
  </si>
  <si>
    <t>18 ضد 28</t>
  </si>
  <si>
    <t>33 ضد 23</t>
  </si>
  <si>
    <t>34 ضد 22</t>
  </si>
  <si>
    <t>18 ضد 27</t>
  </si>
  <si>
    <t>32 ضد 22</t>
  </si>
  <si>
    <t>33 ضد 21</t>
  </si>
  <si>
    <t>34 ضد 20</t>
  </si>
  <si>
    <t>31 ضد 21</t>
  </si>
  <si>
    <t>32 ضد 20</t>
  </si>
  <si>
    <t>33 ضد 19</t>
  </si>
  <si>
    <t>30 ضد 20</t>
  </si>
  <si>
    <t>31 ضد 19</t>
  </si>
  <si>
    <t>29 ضد 19</t>
  </si>
  <si>
    <t>23 ضد 34</t>
  </si>
  <si>
    <t>24 ضد 33</t>
  </si>
  <si>
    <t>21 ضد 34</t>
  </si>
  <si>
    <t>22 ضد 33</t>
  </si>
  <si>
    <t>بطولة 6 فرق – تحت 13</t>
  </si>
  <si>
    <t>بطولة 7 فرق – تحت 13</t>
  </si>
  <si>
    <t>بطولة 8 فرق – تحت 13</t>
  </si>
  <si>
    <t>—</t>
  </si>
  <si>
    <t>الفئة</t>
  </si>
  <si>
    <t>عدد المدن</t>
  </si>
  <si>
    <t>المدن</t>
  </si>
  <si>
    <t>مجموع الفرق</t>
  </si>
  <si>
    <t>تحت 13</t>
  </si>
  <si>
    <t>مجموعة نجران</t>
  </si>
  <si>
    <t>نجران</t>
  </si>
  <si>
    <t>مجموعة تبوك</t>
  </si>
  <si>
    <t>تبوك</t>
  </si>
  <si>
    <t>مجموعة الباحة</t>
  </si>
  <si>
    <t>مجموعة الرس</t>
  </si>
  <si>
    <t>الرس، البدائع</t>
  </si>
  <si>
    <t>مجموعة القريات</t>
  </si>
  <si>
    <t>القريات</t>
  </si>
  <si>
    <t>مجموعة حائل</t>
  </si>
  <si>
    <t>حائل</t>
  </si>
  <si>
    <t>مجموعة مركز الرفيعة</t>
  </si>
  <si>
    <t>مركز الرفيعة</t>
  </si>
  <si>
    <t>مجموعة الخرج</t>
  </si>
  <si>
    <t>الخرج، الدلم</t>
  </si>
  <si>
    <t>مجموعة أبها</t>
  </si>
  <si>
    <t>أبها، خميس مشيط</t>
  </si>
  <si>
    <t>مجموعة القصيم</t>
  </si>
  <si>
    <t>مجموعة القطيف</t>
  </si>
  <si>
    <t>القطيف</t>
  </si>
  <si>
    <t>مجموعة سكاكا</t>
  </si>
  <si>
    <t>مجموعة جازان</t>
  </si>
  <si>
    <t>جيزان</t>
  </si>
  <si>
    <t>مجموعة القنفذة</t>
  </si>
  <si>
    <t>القنفذة</t>
  </si>
  <si>
    <t>مجموعة الخفجي</t>
  </si>
  <si>
    <t>الخفجي</t>
  </si>
  <si>
    <t>مجموعة المدينة المنورة</t>
  </si>
  <si>
    <t>المدينة المنورة</t>
  </si>
  <si>
    <t>مجموعة أحد المسارحة</t>
  </si>
  <si>
    <t>أحد المسارحة</t>
  </si>
  <si>
    <t>مجموعة الدمام</t>
  </si>
  <si>
    <t>مجموعة حفر الباطن</t>
  </si>
  <si>
    <t>حفر الباطن</t>
  </si>
  <si>
    <t>مجموعة أبو عريش</t>
  </si>
  <si>
    <t>أبو عريش</t>
  </si>
  <si>
    <t>مجموعة صامطة</t>
  </si>
  <si>
    <t>صامطة</t>
  </si>
  <si>
    <t>مجموعة الطائف</t>
  </si>
  <si>
    <t>الطائف</t>
  </si>
  <si>
    <t>مجموعة صبيا</t>
  </si>
  <si>
    <t>صبيا، ضمد</t>
  </si>
  <si>
    <t>مجموعة مكة المكرمة</t>
  </si>
  <si>
    <t>مجموعة الرياض</t>
  </si>
  <si>
    <t>الرياض</t>
  </si>
  <si>
    <t>مجموعة جدة</t>
  </si>
  <si>
    <t>جدة</t>
  </si>
  <si>
    <t>مجموعة الأحساء</t>
  </si>
  <si>
    <t>الأحساء</t>
  </si>
  <si>
    <t>إجمالي عدد المباريات (كل المجموعات)</t>
  </si>
  <si>
    <t>بطولة 5 فرق – تحت 13</t>
  </si>
  <si>
    <t>بطولة 10 فرق – تحت 13</t>
  </si>
  <si>
    <t>بطولة 24 فريق – تحت 13</t>
  </si>
  <si>
    <t>بطولة 29 فريق – تحت 13</t>
  </si>
  <si>
    <t>20 ضد 28</t>
  </si>
  <si>
    <t>29 ضد 20</t>
  </si>
  <si>
    <t>19 ضد 10</t>
  </si>
  <si>
    <t>28 ضد 21</t>
  </si>
  <si>
    <t>17 ضد 19</t>
  </si>
  <si>
    <t>27 ضد 29</t>
  </si>
  <si>
    <t>15 ضد 19</t>
  </si>
  <si>
    <t>25 ضد 29</t>
  </si>
  <si>
    <t>26 ضد 28</t>
  </si>
  <si>
    <t>13 ضد 19</t>
  </si>
  <si>
    <t>24 ضد 28</t>
  </si>
  <si>
    <t>23 ضد 29</t>
  </si>
  <si>
    <t>22 ضد 28</t>
  </si>
  <si>
    <t>11 ضد 19</t>
  </si>
  <si>
    <t>19 ضد 18</t>
  </si>
  <si>
    <t>19 ضد 16</t>
  </si>
  <si>
    <t>29 ضد 26</t>
  </si>
  <si>
    <t>28 ضد 27</t>
  </si>
  <si>
    <t>29 ضد 24</t>
  </si>
  <si>
    <t>19 ضد 14</t>
  </si>
  <si>
    <t>28 ضد 25</t>
  </si>
  <si>
    <t>19 ضد 12</t>
  </si>
  <si>
    <t>28 ضد 23</t>
  </si>
  <si>
    <t>29 ضد 22</t>
  </si>
  <si>
    <t>أول المجموعة 1 ضد أفضل ثانٍ 1</t>
  </si>
  <si>
    <t>5 فرق</t>
  </si>
  <si>
    <t>10 فرق</t>
  </si>
  <si>
    <t>24 فريق</t>
  </si>
  <si>
    <t>29 فريق</t>
  </si>
  <si>
    <t>تحت 14</t>
  </si>
  <si>
    <t>تحت 5</t>
  </si>
  <si>
    <t>مجموعة طبرجل</t>
  </si>
  <si>
    <t>طبرجل</t>
  </si>
  <si>
    <t>تحت 7</t>
  </si>
  <si>
    <t>تحت 9</t>
  </si>
  <si>
    <t>الخرج</t>
  </si>
  <si>
    <t>تحت 12</t>
  </si>
  <si>
    <t>مجموعة شرورة</t>
  </si>
  <si>
    <t>شرورة</t>
  </si>
  <si>
    <t>مجموعة الدوادمي</t>
  </si>
  <si>
    <t>الدوادمي</t>
  </si>
  <si>
    <t>تحت 11</t>
  </si>
  <si>
    <t>الباحة، العقيق</t>
  </si>
  <si>
    <t>الباحة، بلقرن، العقيق</t>
  </si>
  <si>
    <t>الباحة</t>
  </si>
  <si>
    <t>الباحة، بلقرن</t>
  </si>
  <si>
    <t>مجموعة أملج</t>
  </si>
  <si>
    <t>ينبع، أملج</t>
  </si>
  <si>
    <t>سكاكا، دومة الجندل</t>
  </si>
  <si>
    <t>البكيرية، الرس، رياض الخبراء، البدائع</t>
  </si>
  <si>
    <t>الخبر، الدمام، سيهات</t>
  </si>
  <si>
    <t>بريدة، عيون الجواء، المذنب، عنيزة</t>
  </si>
  <si>
    <t>القطيف، الجبيل</t>
  </si>
  <si>
    <t>مجموعة الخبر</t>
  </si>
  <si>
    <t>الظهران، الخبر</t>
  </si>
  <si>
    <t>حائل، سميراء</t>
  </si>
  <si>
    <t>القنفذة، الليث</t>
  </si>
  <si>
    <t>الظهران، الخبر، الدمام، سيهات</t>
  </si>
  <si>
    <t>الدمام، سيهات</t>
  </si>
  <si>
    <t>مكة المكرمة</t>
  </si>
  <si>
    <t>مكة المكرمة، الجموم</t>
  </si>
  <si>
    <t>عدد الملاعب (تحت 13)</t>
  </si>
  <si>
    <t>إجمالي الملاعب المطلوبة (تحت 13)</t>
  </si>
  <si>
    <t>عدد المجموعات (تحت 13)</t>
  </si>
  <si>
    <t>أكبر عدد ملاعب لمجموعة واحدة</t>
  </si>
  <si>
    <t>4:00–5:25 م</t>
  </si>
  <si>
    <t>5:35–7:00 م</t>
  </si>
  <si>
    <t>7:10–8:35 م</t>
  </si>
  <si>
    <t>توزيع الفرق على مجموعة القريات — يُعبّأ بأسماء الفرق</t>
  </si>
  <si>
    <t>#</t>
  </si>
  <si>
    <t>الفرق (1-5)</t>
  </si>
  <si>
    <t>التصنيف</t>
  </si>
  <si>
    <t>نادي</t>
  </si>
  <si>
    <t>اشبيلية بارك الرياضية</t>
  </si>
  <si>
    <t>أكاديمية</t>
  </si>
  <si>
    <t>وولف</t>
  </si>
  <si>
    <t>هواة</t>
  </si>
  <si>
    <t>اكاديمية المستقبل</t>
  </si>
  <si>
    <t>باريس الجوف</t>
  </si>
  <si>
    <t>توزيع الفرق على مجموعة نجران — يُعبّأ بأسماء الفرق</t>
  </si>
  <si>
    <t>الفرق (1-6)</t>
  </si>
  <si>
    <t>إيزوف</t>
  </si>
  <si>
    <t>اكاديمية سهيل</t>
  </si>
  <si>
    <t>الوداد الشرقي</t>
  </si>
  <si>
    <t>اكاديمية موهبه اجيال المنصورة</t>
  </si>
  <si>
    <t>موهبة الاجيال</t>
  </si>
  <si>
    <t>رواد الكرة</t>
  </si>
  <si>
    <t>توزيع الفرق على مجموعة الباحة — يُعبّأ بأسماء الفرق</t>
  </si>
  <si>
    <t>البشائر</t>
  </si>
  <si>
    <t>الحجاز</t>
  </si>
  <si>
    <t>الصحراء الرياضية</t>
  </si>
  <si>
    <t>تيم قول</t>
  </si>
  <si>
    <t>اكاديمية اس اف</t>
  </si>
  <si>
    <t>شعلة الباحة</t>
  </si>
  <si>
    <t>توزيع الفرق على مجموعة الرس — يُعبّأ بأسماء الفرق</t>
  </si>
  <si>
    <t>الفرق (1-7)</t>
  </si>
  <si>
    <t>القصيم</t>
  </si>
  <si>
    <t>الخلود</t>
  </si>
  <si>
    <t>نادي الحزم الرياضي</t>
  </si>
  <si>
    <t>نادي البدائع</t>
  </si>
  <si>
    <t>الشنانة</t>
  </si>
  <si>
    <t>أتلتيك</t>
  </si>
  <si>
    <t>اكاديمية بلنسية</t>
  </si>
  <si>
    <t>توزيع الفرق على مجموعة جازان — يُعبّأ بأسماء الفرق</t>
  </si>
  <si>
    <t>سحار</t>
  </si>
  <si>
    <t>الجاردن</t>
  </si>
  <si>
    <t>العدايا</t>
  </si>
  <si>
    <t>النجوم بجازان</t>
  </si>
  <si>
    <t>سانتوس جيزان</t>
  </si>
  <si>
    <t>صقور الوادي</t>
  </si>
  <si>
    <t>فريق منشبة</t>
  </si>
  <si>
    <t>توزيع الفرق على مجموعة تبوك — يُعبّأ بأسماء الفرق</t>
  </si>
  <si>
    <t>الفرق (1-8)</t>
  </si>
  <si>
    <t>نيوم</t>
  </si>
  <si>
    <t>الحوراء</t>
  </si>
  <si>
    <t>الكاسر</t>
  </si>
  <si>
    <t>اكاديمية E9</t>
  </si>
  <si>
    <t>اكاديمية بيتيس تبوك</t>
  </si>
  <si>
    <t>نمور تبوك</t>
  </si>
  <si>
    <t>اكاديمية الامبراطور تبوك</t>
  </si>
  <si>
    <t>اكاديمية سمارت تبوك</t>
  </si>
  <si>
    <t>توزيع الفرق على مجموعة حائل — يُعبّأ بأسماء الفرق</t>
  </si>
  <si>
    <t>الطائي</t>
  </si>
  <si>
    <t>الجبلين</t>
  </si>
  <si>
    <t>الريان</t>
  </si>
  <si>
    <t>نادي جبة</t>
  </si>
  <si>
    <t>فيد</t>
  </si>
  <si>
    <t>اكاديمية سلمى</t>
  </si>
  <si>
    <t>تكتيك</t>
  </si>
  <si>
    <t>العنابي الماسي</t>
  </si>
  <si>
    <t>توزيع الفرق على مجموعة مركز الرفيعة — يُعبّأ بأسماء الفرق</t>
  </si>
  <si>
    <t>قرية العليا</t>
  </si>
  <si>
    <t>نخبة الصمان</t>
  </si>
  <si>
    <t>النخبوي</t>
  </si>
  <si>
    <t>اجيال اللهابه</t>
  </si>
  <si>
    <t>نجوم الرفاع</t>
  </si>
  <si>
    <t>مواهب الشيحية</t>
  </si>
  <si>
    <t>صقور الرفيعة</t>
  </si>
  <si>
    <t>شباب السعيره</t>
  </si>
  <si>
    <t>توزيع الفرق على مجموعة الخرج — يُعبّأ بأسماء الفرق</t>
  </si>
  <si>
    <t>الشعلة</t>
  </si>
  <si>
    <t>نادي الشرق</t>
  </si>
  <si>
    <t>اكاديمية ارتس فوتبول</t>
  </si>
  <si>
    <t>نادي بدي هيلث الرياضي</t>
  </si>
  <si>
    <t>اكاديمية الكأس الرياضية</t>
  </si>
  <si>
    <t>اكاديمية الدلم</t>
  </si>
  <si>
    <t>اكاديمية اليمامة</t>
  </si>
  <si>
    <t>مدارس الجامعة</t>
  </si>
  <si>
    <t>توزيع الفرق على مجموعة سكاكا — يُعبّأ بأسماء الفرق</t>
  </si>
  <si>
    <t>الجندل</t>
  </si>
  <si>
    <t>نادي القلعة</t>
  </si>
  <si>
    <t>العروبة</t>
  </si>
  <si>
    <t>أجيال الحياة</t>
  </si>
  <si>
    <t>اكاديمية الجوبة الرياضية</t>
  </si>
  <si>
    <t>اكاديمية المواهب</t>
  </si>
  <si>
    <t>المتحد بالجوف</t>
  </si>
  <si>
    <t>الردع</t>
  </si>
  <si>
    <t>توزيع الفرق على مجموعة أحد المسارحة — يُعبّأ بأسماء الفرق</t>
  </si>
  <si>
    <t>الوسام</t>
  </si>
  <si>
    <t>الوحوش</t>
  </si>
  <si>
    <t>تعاون الشعفولية</t>
  </si>
  <si>
    <t>السويديه</t>
  </si>
  <si>
    <t>احلام النورس</t>
  </si>
  <si>
    <t>ساحل الوحلة</t>
  </si>
  <si>
    <t>جحا</t>
  </si>
  <si>
    <t>سمبدوريا المسارحة</t>
  </si>
  <si>
    <t>توزيع الفرق على مجموعة أبها — يُعبّأ بأسماء الفرق</t>
  </si>
  <si>
    <t>الفرق (1-10)</t>
  </si>
  <si>
    <t>ضمك</t>
  </si>
  <si>
    <t>ابها</t>
  </si>
  <si>
    <t>الرواد الرياضية</t>
  </si>
  <si>
    <t>مستقبل الخميس</t>
  </si>
  <si>
    <t>اكاديمية نجوم الاوائل</t>
  </si>
  <si>
    <t>غيوم الرياضية</t>
  </si>
  <si>
    <t>براعم الموهوبين</t>
  </si>
  <si>
    <t>اكاديمية وهب</t>
  </si>
  <si>
    <t>اكاديمية تندحة الرياضية</t>
  </si>
  <si>
    <t>زعيم الجنوب</t>
  </si>
  <si>
    <t>توزيع الفرق على مجموعة القصيم — يُعبّأ بأسماء الفرق</t>
  </si>
  <si>
    <t>الصقر</t>
  </si>
  <si>
    <t>عيون الجواء</t>
  </si>
  <si>
    <t>التعاون</t>
  </si>
  <si>
    <t>نادي العربي</t>
  </si>
  <si>
    <t>التقدم</t>
  </si>
  <si>
    <t>تالنت</t>
  </si>
  <si>
    <t>اكاديمية موهبة الرياضية</t>
  </si>
  <si>
    <t>اكاديمية أبناء</t>
  </si>
  <si>
    <t>صانع الاهداف</t>
  </si>
  <si>
    <t>اف 10 شقة</t>
  </si>
  <si>
    <t>توزيع الفرق على مجموعة القطيف — يُعبّأ بأسماء الفرق</t>
  </si>
  <si>
    <t>المحيط</t>
  </si>
  <si>
    <t>مضر</t>
  </si>
  <si>
    <t>الخويلدية</t>
  </si>
  <si>
    <t>الهدى</t>
  </si>
  <si>
    <t>نادي الجزيرة</t>
  </si>
  <si>
    <t>السلام</t>
  </si>
  <si>
    <t>الابتسام</t>
  </si>
  <si>
    <t>النور</t>
  </si>
  <si>
    <t>الاعب الموهوب</t>
  </si>
  <si>
    <t>النجوم المضيئة</t>
  </si>
  <si>
    <t>توزيع الفرق على مجموعة أبو عريش — يُعبّأ بأسماء الفرق</t>
  </si>
  <si>
    <t>أمجاد الخشابية</t>
  </si>
  <si>
    <t>الكواكب ابو عريش</t>
  </si>
  <si>
    <t>مستقبل الخضراء</t>
  </si>
  <si>
    <t>شباب حاكمة ابي عريش</t>
  </si>
  <si>
    <t>الجوه</t>
  </si>
  <si>
    <t>احلام العبادلة</t>
  </si>
  <si>
    <t>صقور قامرة جازان</t>
  </si>
  <si>
    <t>الهلال الشرقي</t>
  </si>
  <si>
    <t>فريق الخليج بأبو عريش</t>
  </si>
  <si>
    <t>هواة احلام الريان</t>
  </si>
  <si>
    <t>توزيع الفرق على مجموعة صامطة — يُعبّأ بأسماء الفرق</t>
  </si>
  <si>
    <t>حطين</t>
  </si>
  <si>
    <t>الهدف الخامس</t>
  </si>
  <si>
    <t>إتحاد صامطة</t>
  </si>
  <si>
    <t>التضامن</t>
  </si>
  <si>
    <t>تعاون ديحمة</t>
  </si>
  <si>
    <t>تعاون الطرشية</t>
  </si>
  <si>
    <t>زين المباركة</t>
  </si>
  <si>
    <t>سامبا الوتد</t>
  </si>
  <si>
    <t>أبو حجر</t>
  </si>
  <si>
    <t>نجوم صامطة</t>
  </si>
  <si>
    <t>توزيع الفرق على مجموعة القنفذة — يُعبّأ بأسماء الفرق</t>
  </si>
  <si>
    <t>المجموعة أ (الفرق 1-6)</t>
  </si>
  <si>
    <t>تضامن القنفذة بالقوز</t>
  </si>
  <si>
    <t>فريق بحلي</t>
  </si>
  <si>
    <t>ثلاثا يبه</t>
  </si>
  <si>
    <t>اتحاد دوقة</t>
  </si>
  <si>
    <t>البرك</t>
  </si>
  <si>
    <t>اكاديمية عز تن</t>
  </si>
  <si>
    <t>المجموعة ب (الفرق 7-13)</t>
  </si>
  <si>
    <t>شباب الفلحة</t>
  </si>
  <si>
    <t>النجم بالحويرس</t>
  </si>
  <si>
    <t>اكادمية السهم</t>
  </si>
  <si>
    <t>وحدة عنيكر</t>
  </si>
  <si>
    <t>زد ام سي القنفذة</t>
  </si>
  <si>
    <t>اكاديمية X5</t>
  </si>
  <si>
    <t>توزيع الفرق على مجموعة المدينة المنورة — يُعبّأ بأسماء الفرق</t>
  </si>
  <si>
    <t>الانصار</t>
  </si>
  <si>
    <t>الكالتشيو</t>
  </si>
  <si>
    <t>اكاديمية مجتمعي</t>
  </si>
  <si>
    <t>السفير</t>
  </si>
  <si>
    <t>اكاديمية الفالي بارك</t>
  </si>
  <si>
    <t>البلاك ستارز</t>
  </si>
  <si>
    <t>أحد</t>
  </si>
  <si>
    <t>العلا</t>
  </si>
  <si>
    <t>شباب طيبة</t>
  </si>
  <si>
    <t>واعي</t>
  </si>
  <si>
    <t>اكاديمية الحزام</t>
  </si>
  <si>
    <t>اكاديمية الليجا الرياضية</t>
  </si>
  <si>
    <t>اكاديمية نجوم الدعيثة</t>
  </si>
  <si>
    <t>توزيع الفرق على مجموعة الدمام — يُعبّأ بأسماء الفرق</t>
  </si>
  <si>
    <t>المجموعة أ (الفرق 1-7)</t>
  </si>
  <si>
    <t>وينرز</t>
  </si>
  <si>
    <t>الاتفاق</t>
  </si>
  <si>
    <t>الدمام السعودي</t>
  </si>
  <si>
    <t>أشبال البراعم</t>
  </si>
  <si>
    <t>قادسية الخبر</t>
  </si>
  <si>
    <t>اسبايرالظهران</t>
  </si>
  <si>
    <t>اكاديمية اجيال التفوق</t>
  </si>
  <si>
    <t>المجموعة ب (الفرق 8-14)</t>
  </si>
  <si>
    <t>الخليج</t>
  </si>
  <si>
    <t>القادسية</t>
  </si>
  <si>
    <t>الثقبة</t>
  </si>
  <si>
    <t>اكاديمية ستاليونز ايليت</t>
  </si>
  <si>
    <t>مدريدستا</t>
  </si>
  <si>
    <t>اكاديمية الظهران</t>
  </si>
  <si>
    <t>اكاديمية مروم الشرق</t>
  </si>
  <si>
    <t>توزيع الفرق على مجموعة صبيا — يُعبّأ بأسماء الفرق</t>
  </si>
  <si>
    <t>الوطن</t>
  </si>
  <si>
    <t>الليث الابيض</t>
  </si>
  <si>
    <t>جميما</t>
  </si>
  <si>
    <t>المحمدية</t>
  </si>
  <si>
    <t>الشاطئ</t>
  </si>
  <si>
    <t>العروبة بجخيرة</t>
  </si>
  <si>
    <t>القاضي</t>
  </si>
  <si>
    <t>اكاديمية ليبرو</t>
  </si>
  <si>
    <t>وفاق الجنوب</t>
  </si>
  <si>
    <t>الجزيرة بالحسيني</t>
  </si>
  <si>
    <t>الصمود</t>
  </si>
  <si>
    <t>جريبة</t>
  </si>
  <si>
    <t>شباب ابو القعايد</t>
  </si>
  <si>
    <t>الامجاد ضمد</t>
  </si>
  <si>
    <t>توزيع الفرق على مجموعة الخفجي — يُعبّأ بأسماء الفرق</t>
  </si>
  <si>
    <t>المجموعة أ (الفرق 1-8)</t>
  </si>
  <si>
    <t>العلمين</t>
  </si>
  <si>
    <t>حزم الخفجي</t>
  </si>
  <si>
    <t>زعيم الخفجي</t>
  </si>
  <si>
    <t>نابولي الخفجي</t>
  </si>
  <si>
    <t>ميلان الخفجي</t>
  </si>
  <si>
    <t>نجوم الخفجي</t>
  </si>
  <si>
    <t>السهم</t>
  </si>
  <si>
    <t>اشبال الحديبية</t>
  </si>
  <si>
    <t>المجموعة ب (الفرق 9-16)</t>
  </si>
  <si>
    <t>الايمان الرياضية</t>
  </si>
  <si>
    <t>مدرسة الشرق الاهلية</t>
  </si>
  <si>
    <t>اولمبي الحزم</t>
  </si>
  <si>
    <t>القانرز</t>
  </si>
  <si>
    <t>مدرسة اجيال الخفجي</t>
  </si>
  <si>
    <t>الفرسان</t>
  </si>
  <si>
    <t>افاق الخفجي</t>
  </si>
  <si>
    <t>السروات</t>
  </si>
  <si>
    <t>توزيع الفرق على مجموعة الطائف — يُعبّأ بأسماء الفرق</t>
  </si>
  <si>
    <t>عكاظ</t>
  </si>
  <si>
    <t>الوداد الطائفي</t>
  </si>
  <si>
    <t>نجوم مجد</t>
  </si>
  <si>
    <t>تورنيدو</t>
  </si>
  <si>
    <t>نجوم النخبة</t>
  </si>
  <si>
    <t>اكاديمة السامبا</t>
  </si>
  <si>
    <t>الطموح</t>
  </si>
  <si>
    <t>اكاديمية الجوهره</t>
  </si>
  <si>
    <t>الأغر</t>
  </si>
  <si>
    <t>فالكون</t>
  </si>
  <si>
    <t>نخبة بالطايف</t>
  </si>
  <si>
    <t>سر النجوم</t>
  </si>
  <si>
    <t>برشا الشطبة</t>
  </si>
  <si>
    <t>إي إس زد الطائف</t>
  </si>
  <si>
    <t>اكاديمية الرواد بالطائف</t>
  </si>
  <si>
    <t>شباب الحرمين</t>
  </si>
  <si>
    <t>توزيع الفرق على مجموعة حفر الباطن — يُعبّأ بأسماء الفرق</t>
  </si>
  <si>
    <t>الفرق (1-17)</t>
  </si>
  <si>
    <t>نادي الحفر</t>
  </si>
  <si>
    <t>الباطن</t>
  </si>
  <si>
    <t>القيصومة</t>
  </si>
  <si>
    <t>مواهب الحفر</t>
  </si>
  <si>
    <t>فيصل الدخيل</t>
  </si>
  <si>
    <t>القمة الرياضية</t>
  </si>
  <si>
    <t>اف ستة عشر العالمية</t>
  </si>
  <si>
    <t>مواهب اسباير</t>
  </si>
  <si>
    <t>مواهب السد</t>
  </si>
  <si>
    <t>اكاديمية المملكة</t>
  </si>
  <si>
    <t>اكاديمية النجم</t>
  </si>
  <si>
    <t>اكاديمة شرق الباطن</t>
  </si>
  <si>
    <t>اكاديمية السارية للمواهب</t>
  </si>
  <si>
    <t>الوصل بحفر الباطن</t>
  </si>
  <si>
    <t>التابلين حفر الباطن</t>
  </si>
  <si>
    <t>الاختيار</t>
  </si>
  <si>
    <t>فريق اكاديمية الحفر</t>
  </si>
  <si>
    <t>توزيع الفرق على مجموعة مكة المكرمة — يُعبّأ بأسماء الفرق</t>
  </si>
  <si>
    <t>الوحدة</t>
  </si>
  <si>
    <t>الرؤية المحترفة</t>
  </si>
  <si>
    <t>اوتو مكة</t>
  </si>
  <si>
    <t>العاصمة البيضاء</t>
  </si>
  <si>
    <t>نجوم الروحاء</t>
  </si>
  <si>
    <t>شباب الوادي</t>
  </si>
  <si>
    <t>المجموعة ب (الفرق 7-12)</t>
  </si>
  <si>
    <t>المجرة</t>
  </si>
  <si>
    <t>الكرة النارية</t>
  </si>
  <si>
    <t>اكاديمية المنصور</t>
  </si>
  <si>
    <t>اكاديمية أف 1</t>
  </si>
  <si>
    <t>اكاديمية الانجاز</t>
  </si>
  <si>
    <t>خليج النوارية</t>
  </si>
  <si>
    <t>المجموعة ج (الفرق 13-18)</t>
  </si>
  <si>
    <t>المملكة</t>
  </si>
  <si>
    <t>اكاديمية بناء الانسان الريايضية</t>
  </si>
  <si>
    <t>اكاديمية النوفاوي</t>
  </si>
  <si>
    <t>العطا تيم</t>
  </si>
  <si>
    <t>اكادمية الجوهرة المشعة</t>
  </si>
  <si>
    <t>أجيال الابطال الرياضية</t>
  </si>
  <si>
    <t>المجموعة د (الفرق 19-24)</t>
  </si>
  <si>
    <t>المحور ستة</t>
  </si>
  <si>
    <t>عصر الاحتراف</t>
  </si>
  <si>
    <t>اكاديمية الكرة الراقية</t>
  </si>
  <si>
    <t>نحن النجوم</t>
  </si>
  <si>
    <t>نادي الهجرة</t>
  </si>
  <si>
    <t>اكاديمية القمة هواة</t>
  </si>
  <si>
    <t>توزيع الفرق على مجموعة الرياض — يُعبّأ بأسماء الفرق</t>
  </si>
  <si>
    <t>المجموعة أ (الفرق 1-9)</t>
  </si>
  <si>
    <t>المطوع</t>
  </si>
  <si>
    <t>ليوبارد</t>
  </si>
  <si>
    <t>نجد الرياض</t>
  </si>
  <si>
    <t>مدارس الرياض</t>
  </si>
  <si>
    <t>هجوم أتاك</t>
  </si>
  <si>
    <t>الجوكر</t>
  </si>
  <si>
    <t>هاي ليفل اوف برفورمانس</t>
  </si>
  <si>
    <t>ون فاير</t>
  </si>
  <si>
    <t>المجموعة ب (الفرق 10-19)</t>
  </si>
  <si>
    <t>ليجيندز</t>
  </si>
  <si>
    <t>الشباب</t>
  </si>
  <si>
    <t>الفذ</t>
  </si>
  <si>
    <t>الفاو</t>
  </si>
  <si>
    <t>مواهب الشرق</t>
  </si>
  <si>
    <t>الوصل الرياضية</t>
  </si>
  <si>
    <t>صقور نجد</t>
  </si>
  <si>
    <t>اكاديمية اسيست</t>
  </si>
  <si>
    <t>اكاديمية ستورم</t>
  </si>
  <si>
    <t>اكادميه ميلانو</t>
  </si>
  <si>
    <t>المجموعة ج (الفرق 20-29)</t>
  </si>
  <si>
    <t>النصر</t>
  </si>
  <si>
    <t>الهلال</t>
  </si>
  <si>
    <t>البجادية</t>
  </si>
  <si>
    <t>النسور الذهبية</t>
  </si>
  <si>
    <t>فريق عالم المنجزون</t>
  </si>
  <si>
    <t>النهج السعودي</t>
  </si>
  <si>
    <t>اكاديمية بلانكوس</t>
  </si>
  <si>
    <t>اكاديمية دايموند</t>
  </si>
  <si>
    <t>سدرة</t>
  </si>
  <si>
    <t>توزيع الفرق على مجموعة جدة — يُعبّأ بأسماء الفرق</t>
  </si>
  <si>
    <t>المجموعة أ (الفرق 1-17)</t>
  </si>
  <si>
    <t>نادي الاهلي السعودي</t>
  </si>
  <si>
    <t>يوفنتوس جدة</t>
  </si>
  <si>
    <t>اورباه ستارز</t>
  </si>
  <si>
    <t>المجد النموذجية</t>
  </si>
  <si>
    <t>شركة براعم المقاولون العرب</t>
  </si>
  <si>
    <t>رجال التعاون</t>
  </si>
  <si>
    <t>فيتوريا زون</t>
  </si>
  <si>
    <t>اكاديمية الترجي جدة</t>
  </si>
  <si>
    <t>الدخيل</t>
  </si>
  <si>
    <t>نسيم الحرازات</t>
  </si>
  <si>
    <t>جدة تالنتس</t>
  </si>
  <si>
    <t>نادي سان جدة</t>
  </si>
  <si>
    <t>بي فايف</t>
  </si>
  <si>
    <t>اكاديمية بلو باور جدة</t>
  </si>
  <si>
    <t>فريق البعد</t>
  </si>
  <si>
    <t>اتحاد البساتين</t>
  </si>
  <si>
    <t>المجموعة ب (الفرق 18-34)</t>
  </si>
  <si>
    <t>البلد</t>
  </si>
  <si>
    <t>نادي الاتحاد السعودي</t>
  </si>
  <si>
    <t>الكرة المشتعلة</t>
  </si>
  <si>
    <t>الجوهرة المتحدة</t>
  </si>
  <si>
    <t>المدرسة الاسبانية</t>
  </si>
  <si>
    <t>ساحة التحدي</t>
  </si>
  <si>
    <t>اشبال الساحل</t>
  </si>
  <si>
    <t>اكاديمية ان زد</t>
  </si>
  <si>
    <t>اكاديمية التحدي جدة</t>
  </si>
  <si>
    <t>مدارس رواد الخليج</t>
  </si>
  <si>
    <t>مدارس الاندلس الاهلية</t>
  </si>
  <si>
    <t>دار الفرسان</t>
  </si>
  <si>
    <t>مدرسة المجد</t>
  </si>
  <si>
    <t>السنابل</t>
  </si>
  <si>
    <t>طويق جدة</t>
  </si>
  <si>
    <t>درة الشرق العالمية</t>
  </si>
  <si>
    <t>ودان</t>
  </si>
  <si>
    <t>توزيع الفرق على مجموعة الأحساء — يُعبّأ بأسماء الفرق</t>
  </si>
  <si>
    <t>الجيل</t>
  </si>
  <si>
    <t>الفتح</t>
  </si>
  <si>
    <t>هجر</t>
  </si>
  <si>
    <t>أحلام المنصورة</t>
  </si>
  <si>
    <t>نجمة الهفوف</t>
  </si>
  <si>
    <t>شعلة الهفوف</t>
  </si>
  <si>
    <t>نجوم الاحساء</t>
  </si>
  <si>
    <t>الوطن الاحساء</t>
  </si>
  <si>
    <t>الطليعة</t>
  </si>
  <si>
    <t>الضحى</t>
  </si>
  <si>
    <t>انوار الفضول</t>
  </si>
  <si>
    <t>الكواسر</t>
  </si>
  <si>
    <t>ريف جواثا</t>
  </si>
  <si>
    <t>خليج الطرف</t>
  </si>
  <si>
    <t>النور بالبطالية</t>
  </si>
  <si>
    <t>برذرتيم</t>
  </si>
  <si>
    <t>الرابية</t>
  </si>
  <si>
    <t>العيون</t>
  </si>
  <si>
    <t>نادي الروضة</t>
  </si>
  <si>
    <t>العدالة</t>
  </si>
  <si>
    <t>اكاديمية حلم</t>
  </si>
  <si>
    <t>اكاديمية ون كيك</t>
  </si>
  <si>
    <t>أجيال الفيصل</t>
  </si>
  <si>
    <t>النمور</t>
  </si>
  <si>
    <t>النورس بالرميلة</t>
  </si>
  <si>
    <t>الجوهرية</t>
  </si>
  <si>
    <t>فوارس البطالية</t>
  </si>
  <si>
    <t>فريق الجزيرة بالعيون</t>
  </si>
  <si>
    <t>المركز</t>
  </si>
  <si>
    <t>فريق الشهارين</t>
  </si>
  <si>
    <t>صقور المحدود</t>
  </si>
  <si>
    <t>فريق الوفاء بالمبرز</t>
  </si>
  <si>
    <t>البيان</t>
  </si>
  <si>
    <t>فريق هلال العيون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</si>
</sst>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sz val="11"/>
      <color theme="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theme="1"/>
      <name val="Calibri"/>
    </font>
    <font>
      <i/>
      <sz val="10"/>
      <color theme="1"/>
      <name val="Calibri"/>
    </font>
    <font>
      <b/>
      <sz val="11"/>
      <color theme="1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rgb="FF0000FF"/>
      <name val="Carlito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scheme val="minor"/>
    </font>
    <font>
      <sz val="11"/>
      <name val="Carlito"/>
    </font>
    <font>
      <b/>
      <sz val="11"/>
      <name val="Carlito"/>
    </font>
    <font>
      <b/>
      <sz val="12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/>
      <diagonal/>
    </border>
  </borders>
  <cellStyleXfs count="3">
    <xf numFmtId="0" fontId="0" fillId="0" borderId="0"/>
    <xf numFmtId="0" fontId="3" fillId="0" borderId="0"/>
    <xf numFmtId="0" fontId="16" fillId="0" borderId="0"/>
  </cellStyleXfs>
  <cellXfs count="47">
    <xf numFmtId="0" fontId="0" fillId="0" borderId="0" xfId="0"/>
    <xf numFmtId="0" fontId="2" fillId="0" borderId="0" xfId="0" applyFont="1"/>
    <xf numFmtId="1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0" xfId="0" applyAlignment="1">
      <alignment readingOrder="2"/>
    </xf>
    <xf numFmtId="0" fontId="2" fillId="0" borderId="0" xfId="0" applyFont="1" applyAlignment="1">
      <alignment readingOrder="2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0" borderId="0" xfId="2"/>
    <xf numFmtId="0" fontId="16" fillId="0" borderId="0" xfId="2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readingOrder="2"/>
    </xf>
    <xf numFmtId="0" fontId="10" fillId="3" borderId="1" xfId="0" applyFont="1" applyFill="1" applyBorder="1" applyAlignment="1">
      <alignment horizontal="center" vertical="center" readingOrder="2"/>
    </xf>
    <xf numFmtId="0" fontId="10" fillId="3" borderId="1" xfId="0" applyFont="1" applyFill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1" xfId="0" applyFont="1" applyFill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</cellXfs>
  <cellStyles count="3">
    <cellStyle name="Normal" xfId="0" builtinId="0"/>
    <cellStyle name="Normal 2" xfId="2" xr:uid="{97CF6E05-68B6-4A63-87FE-3B51F564EBCC}"/>
    <cellStyle name="Normal 4" xfId="1" xr:uid="{3D73A95D-EE7A-44D6-86CD-FE6A2ACD1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reativeartistsagencygbr.sharepoint.com/sites/NFSIMPLEMENTATIONSAFF/Shared%20Documents/04%20Deliverables%20WIP/SAFF%202025%20Plan/Competitions%20restructure/Youth%20Competitions/Analysis/Club%20clustering/&#1578;&#1608;&#1586;&#1610;&#1593;%20&#1575;&#1604;&#1601;&#1585;&#1602;%20&#1593;&#1604;&#1609;%20&#1575;&#1604;&#1605;&#1580;&#1605;&#1608;&#1593;&#1575;&#1578;_2.xlsx" TargetMode="External"/><Relationship Id="rId2" Type="http://schemas.microsoft.com/office/2019/04/relationships/externalLinkLongPath" Target="/sites/NFSIMPLEMENTATIONSAFF/Shared%20Documents/04%20Deliverables%20WIP/SAFF%202025%20Plan/Competitions%20restructure/Youth%20Competitions/Analysis/Club%20clustering/&#1578;&#1608;&#1586;&#1610;&#1593;%20&#1575;&#1604;&#1601;&#1585;&#1602;%20&#1593;&#1604;&#1609;%20&#1575;&#1604;&#1605;&#1580;&#1605;&#1608;&#1593;&#1575;&#1578;_2.xlsx?005E5067" TargetMode="External"/><Relationship Id="rId1" Type="http://schemas.openxmlformats.org/officeDocument/2006/relationships/externalLinkPath" Target="file:///\\005E5067\&#1578;&#1608;&#1586;&#1610;&#1593;%20&#1575;&#1604;&#1601;&#1585;&#1602;%20&#1593;&#1604;&#1609;%20&#1575;&#1604;&#1605;&#1580;&#1605;&#1608;&#1593;&#1575;&#1578;_2.xlsx" TargetMode="External"/><Relationship Id="rId4" Type="http://schemas.openxmlformats.org/officeDocument/2006/relationships/externalLinkPath" Target="../Club%20clustering/&#1578;&#1608;&#1586;&#1610;&#1593;%20&#1575;&#1604;&#1601;&#1585;&#1602;%20&#1593;&#1604;&#1609;%20&#1575;&#1604;&#1605;&#1580;&#1605;&#1608;&#1593;&#1575;&#1578;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Sheet1"/>
      <sheetName val="عدد الملاعب_بناء على الجداول"/>
      <sheetName val="عدد الملاعب"/>
      <sheetName val="عدد المباريات"/>
      <sheetName val="عدد اللاعبين"/>
      <sheetName val="ملخص الفرق لكل مدينة"/>
      <sheetName val="ملخص المجموعات"/>
      <sheetName val="عدد الفرق لكل مدينة"/>
      <sheetName val="بيانات التسجيل"/>
      <sheetName val="المدخلا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N3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BFD48B-FBFE-4A83-B845-E596BDFCEB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7c7bac5-0587-475c-9de9-c4e18e4b11f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C3ED-D31D-4C0D-A3B8-AC1BF1394AC6}">
  <dimension ref="B1:J185"/>
  <sheetViews>
    <sheetView rightToLeft="1" workbookViewId="0">
      <selection activeCell="G1" sqref="G1:G1048576"/>
    </sheetView>
  </sheetViews>
  <sheetFormatPr defaultRowHeight="14"/>
  <cols>
    <col min="1" max="6" width="8.7265625" style="34"/>
    <col min="7" max="7" width="23.6328125" style="34" customWidth="1"/>
    <col min="8" max="8" width="8.7265625" style="34"/>
    <col min="9" max="9" width="34.54296875" style="34" customWidth="1"/>
    <col min="10" max="16384" width="8.7265625" style="34"/>
  </cols>
  <sheetData>
    <row r="1" spans="2:10">
      <c r="G1" s="36" t="s">
        <v>600</v>
      </c>
      <c r="H1" s="36"/>
      <c r="I1" s="36" t="s">
        <v>601</v>
      </c>
      <c r="J1" s="36">
        <f>SUM(G2:G185)</f>
        <v>65</v>
      </c>
    </row>
    <row r="2" spans="2:10">
      <c r="B2" s="34" t="s">
        <v>568</v>
      </c>
      <c r="C2" s="34" t="s">
        <v>485</v>
      </c>
      <c r="D2" s="34">
        <v>1</v>
      </c>
      <c r="E2" s="34" t="s">
        <v>486</v>
      </c>
      <c r="F2" s="34">
        <v>5</v>
      </c>
      <c r="G2" s="35" t="str">
        <f>IF(B2=المدخلات!$E$5,_xlfn.XLOOKUP(F2,الملخص!$A$4:$A$15,الملخص!$L$4:$L$15,"غير موجود"),"")</f>
        <v/>
      </c>
      <c r="H2" s="35"/>
      <c r="I2" s="35" t="s">
        <v>602</v>
      </c>
      <c r="J2" s="35">
        <f>COUNTIF(B2:B185,المدخلات!$E$5)</f>
        <v>27</v>
      </c>
    </row>
    <row r="3" spans="2:10">
      <c r="B3" s="34" t="s">
        <v>569</v>
      </c>
      <c r="C3" s="34" t="s">
        <v>570</v>
      </c>
      <c r="D3" s="34">
        <v>1</v>
      </c>
      <c r="E3" s="34" t="s">
        <v>571</v>
      </c>
      <c r="F3" s="34">
        <v>5</v>
      </c>
      <c r="G3" s="35" t="str">
        <f>IF(B3=المدخلات!$E$5,_xlfn.XLOOKUP(F3,الملخص!$A$4:$A$15,الملخص!$L$4:$L$15,"غير موجود"),"")</f>
        <v/>
      </c>
      <c r="H3" s="35"/>
      <c r="I3" s="35" t="s">
        <v>603</v>
      </c>
      <c r="J3" s="35">
        <f>MAX(G2:G185)</f>
        <v>6</v>
      </c>
    </row>
    <row r="4" spans="2:10">
      <c r="B4" s="34" t="s">
        <v>572</v>
      </c>
      <c r="C4" s="34" t="s">
        <v>570</v>
      </c>
      <c r="D4" s="34">
        <v>1</v>
      </c>
      <c r="E4" s="34" t="s">
        <v>571</v>
      </c>
      <c r="F4" s="34">
        <v>5</v>
      </c>
      <c r="G4" s="35" t="str">
        <f>IF(B4=المدخلات!$E$5,_xlfn.XLOOKUP(F4,الملخص!$A$4:$A$15,الملخص!$L$4:$L$15,"غير موجود"),"")</f>
        <v/>
      </c>
      <c r="H4" s="35"/>
      <c r="I4" s="35"/>
      <c r="J4" s="35"/>
    </row>
    <row r="5" spans="2:10">
      <c r="B5" s="34" t="s">
        <v>573</v>
      </c>
      <c r="C5" s="34" t="s">
        <v>498</v>
      </c>
      <c r="D5" s="34">
        <v>1</v>
      </c>
      <c r="E5" s="34" t="s">
        <v>574</v>
      </c>
      <c r="F5" s="34">
        <v>5</v>
      </c>
      <c r="G5" s="35" t="str">
        <f>IF(B5=المدخلات!$E$5,_xlfn.XLOOKUP(F5,الملخص!$A$4:$A$15,الملخص!$L$4:$L$15,"غير موجود"),"")</f>
        <v/>
      </c>
      <c r="H5" s="35"/>
      <c r="I5" s="35"/>
      <c r="J5" s="35"/>
    </row>
    <row r="6" spans="2:10">
      <c r="B6" s="34" t="s">
        <v>575</v>
      </c>
      <c r="C6" s="34" t="s">
        <v>570</v>
      </c>
      <c r="D6" s="34">
        <v>1</v>
      </c>
      <c r="E6" s="34" t="s">
        <v>571</v>
      </c>
      <c r="F6" s="34">
        <v>5</v>
      </c>
      <c r="G6" s="35" t="str">
        <f>IF(B6=المدخلات!$E$5,_xlfn.XLOOKUP(F6,الملخص!$A$4:$A$15,الملخص!$L$4:$L$15,"غير موجود"),"")</f>
        <v/>
      </c>
      <c r="H6" s="35"/>
      <c r="I6" s="35"/>
      <c r="J6" s="35"/>
    </row>
    <row r="7" spans="2:10">
      <c r="B7" s="34" t="s">
        <v>568</v>
      </c>
      <c r="C7" s="34" t="s">
        <v>570</v>
      </c>
      <c r="D7" s="34">
        <v>1</v>
      </c>
      <c r="E7" s="34" t="s">
        <v>571</v>
      </c>
      <c r="F7" s="34">
        <v>5</v>
      </c>
      <c r="G7" s="35" t="str">
        <f>IF(B7=المدخلات!$E$5,_xlfn.XLOOKUP(F7,الملخص!$A$4:$A$15,الملخص!$L$4:$L$15,"غير موجود"),"")</f>
        <v/>
      </c>
      <c r="H7" s="35"/>
      <c r="I7" s="35"/>
      <c r="J7" s="35"/>
    </row>
    <row r="8" spans="2:10">
      <c r="B8" s="34" t="s">
        <v>572</v>
      </c>
      <c r="C8" s="34" t="s">
        <v>576</v>
      </c>
      <c r="D8" s="34">
        <v>1</v>
      </c>
      <c r="E8" s="34" t="s">
        <v>577</v>
      </c>
      <c r="F8" s="34">
        <v>5</v>
      </c>
      <c r="G8" s="35" t="str">
        <f>IF(B8=المدخلات!$E$5,_xlfn.XLOOKUP(F8,الملخص!$A$4:$A$15,الملخص!$L$4:$L$15,"غير موجود"),"")</f>
        <v/>
      </c>
      <c r="H8" s="35"/>
      <c r="I8" s="35"/>
      <c r="J8" s="35"/>
    </row>
    <row r="9" spans="2:10">
      <c r="B9" s="34" t="s">
        <v>573</v>
      </c>
      <c r="C9" s="34" t="s">
        <v>576</v>
      </c>
      <c r="D9" s="34">
        <v>1</v>
      </c>
      <c r="E9" s="34" t="s">
        <v>577</v>
      </c>
      <c r="F9" s="34">
        <v>5</v>
      </c>
      <c r="G9" s="35" t="str">
        <f>IF(B9=المدخلات!$E$5,_xlfn.XLOOKUP(F9,الملخص!$A$4:$A$15,الملخص!$L$4:$L$15,"غير موجود"),"")</f>
        <v/>
      </c>
      <c r="H9" s="35"/>
      <c r="I9" s="35"/>
      <c r="J9" s="35"/>
    </row>
    <row r="10" spans="2:10">
      <c r="B10" s="34" t="s">
        <v>573</v>
      </c>
      <c r="C10" s="34" t="s">
        <v>578</v>
      </c>
      <c r="D10" s="34">
        <v>1</v>
      </c>
      <c r="E10" s="34" t="s">
        <v>579</v>
      </c>
      <c r="F10" s="34">
        <v>5</v>
      </c>
      <c r="G10" s="35" t="str">
        <f>IF(B10=المدخلات!$E$5,_xlfn.XLOOKUP(F10,الملخص!$A$4:$A$15,الملخص!$L$4:$L$15,"غير موجود"),"")</f>
        <v/>
      </c>
      <c r="H10" s="35"/>
      <c r="I10" s="35"/>
      <c r="J10" s="35"/>
    </row>
    <row r="11" spans="2:10">
      <c r="B11" s="34" t="s">
        <v>580</v>
      </c>
      <c r="C11" s="34" t="s">
        <v>492</v>
      </c>
      <c r="D11" s="34">
        <v>1</v>
      </c>
      <c r="E11" s="34" t="s">
        <v>493</v>
      </c>
      <c r="F11" s="34">
        <v>5</v>
      </c>
      <c r="G11" s="35" t="str">
        <f>IF(B11=المدخلات!$E$5,_xlfn.XLOOKUP(F11,الملخص!$A$4:$A$15,الملخص!$L$4:$L$15,"غير موجود"),"")</f>
        <v/>
      </c>
      <c r="H11" s="35"/>
      <c r="I11" s="35"/>
      <c r="J11" s="35"/>
    </row>
    <row r="12" spans="2:10">
      <c r="B12" s="34" t="s">
        <v>575</v>
      </c>
      <c r="C12" s="34" t="s">
        <v>492</v>
      </c>
      <c r="D12" s="34">
        <v>1</v>
      </c>
      <c r="E12" s="34" t="s">
        <v>493</v>
      </c>
      <c r="F12" s="34">
        <v>5</v>
      </c>
      <c r="G12" s="35" t="str">
        <f>IF(B12=المدخلات!$E$5,_xlfn.XLOOKUP(F12,الملخص!$A$4:$A$15,الملخص!$L$4:$L$15,"غير موجود"),"")</f>
        <v/>
      </c>
      <c r="H12" s="35"/>
      <c r="I12" s="35"/>
      <c r="J12" s="35"/>
    </row>
    <row r="13" spans="2:10">
      <c r="B13" s="34" t="s">
        <v>484</v>
      </c>
      <c r="C13" s="34" t="s">
        <v>492</v>
      </c>
      <c r="D13" s="34">
        <v>1</v>
      </c>
      <c r="E13" s="34" t="s">
        <v>493</v>
      </c>
      <c r="F13" s="34">
        <v>5</v>
      </c>
      <c r="G13" s="35">
        <f>IF(B13=المدخلات!$E$5,_xlfn.XLOOKUP(F13,الملخص!$A$4:$A$15,الملخص!$L$4:$L$15,"غير موجود"),"")</f>
        <v>1</v>
      </c>
      <c r="H13" s="35"/>
      <c r="I13" s="35"/>
      <c r="J13" s="35"/>
    </row>
    <row r="14" spans="2:10">
      <c r="B14" s="34" t="s">
        <v>568</v>
      </c>
      <c r="C14" s="34" t="s">
        <v>492</v>
      </c>
      <c r="D14" s="34">
        <v>1</v>
      </c>
      <c r="E14" s="34" t="s">
        <v>493</v>
      </c>
      <c r="F14" s="34">
        <v>5</v>
      </c>
      <c r="G14" s="35" t="str">
        <f>IF(B14=المدخلات!$E$5,_xlfn.XLOOKUP(F14,الملخص!$A$4:$A$15,الملخص!$L$4:$L$15,"غير موجود"),"")</f>
        <v/>
      </c>
      <c r="H14" s="35"/>
      <c r="I14" s="35"/>
      <c r="J14" s="35"/>
    </row>
    <row r="15" spans="2:10">
      <c r="B15" s="34" t="s">
        <v>575</v>
      </c>
      <c r="C15" s="34" t="s">
        <v>489</v>
      </c>
      <c r="D15" s="34">
        <v>2</v>
      </c>
      <c r="E15" s="34" t="s">
        <v>581</v>
      </c>
      <c r="F15" s="34">
        <v>6</v>
      </c>
      <c r="G15" s="35" t="str">
        <f>IF(B15=المدخلات!$E$5,_xlfn.XLOOKUP(F15,الملخص!$A$4:$A$15,الملخص!$L$4:$L$15,"غير موجود"),"")</f>
        <v/>
      </c>
      <c r="H15" s="35"/>
      <c r="I15" s="35"/>
      <c r="J15" s="35"/>
    </row>
    <row r="16" spans="2:10">
      <c r="B16" s="34" t="s">
        <v>484</v>
      </c>
      <c r="C16" s="34" t="s">
        <v>485</v>
      </c>
      <c r="D16" s="34">
        <v>1</v>
      </c>
      <c r="E16" s="34" t="s">
        <v>486</v>
      </c>
      <c r="F16" s="34">
        <v>6</v>
      </c>
      <c r="G16" s="35">
        <f>IF(B16=المدخلات!$E$5,_xlfn.XLOOKUP(F16,الملخص!$A$4:$A$15,الملخص!$L$4:$L$15,"غير موجود"),"")</f>
        <v>1</v>
      </c>
      <c r="H16" s="35"/>
      <c r="I16" s="35"/>
      <c r="J16" s="35"/>
    </row>
    <row r="17" spans="2:10">
      <c r="B17" s="34" t="s">
        <v>484</v>
      </c>
      <c r="C17" s="34" t="s">
        <v>489</v>
      </c>
      <c r="D17" s="34">
        <v>3</v>
      </c>
      <c r="E17" s="34" t="s">
        <v>582</v>
      </c>
      <c r="F17" s="34">
        <v>6</v>
      </c>
      <c r="G17" s="35">
        <f>IF(B17=المدخلات!$E$5,_xlfn.XLOOKUP(F17,الملخص!$A$4:$A$15,الملخص!$L$4:$L$15,"غير موجود"),"")</f>
        <v>1</v>
      </c>
      <c r="H17" s="35"/>
      <c r="I17" s="35"/>
      <c r="J17" s="35"/>
    </row>
    <row r="18" spans="2:10">
      <c r="B18" s="34" t="s">
        <v>568</v>
      </c>
      <c r="C18" s="34" t="s">
        <v>489</v>
      </c>
      <c r="D18" s="34">
        <v>1</v>
      </c>
      <c r="E18" s="34" t="s">
        <v>583</v>
      </c>
      <c r="F18" s="34">
        <v>6</v>
      </c>
      <c r="G18" s="35" t="str">
        <f>IF(B18=المدخلات!$E$5,_xlfn.XLOOKUP(F18,الملخص!$A$4:$A$15,الملخص!$L$4:$L$15,"غير موجود"),"")</f>
        <v/>
      </c>
      <c r="H18" s="35"/>
      <c r="I18" s="35"/>
      <c r="J18" s="35"/>
    </row>
    <row r="19" spans="2:10">
      <c r="B19" s="34" t="s">
        <v>569</v>
      </c>
      <c r="C19" s="34" t="s">
        <v>494</v>
      </c>
      <c r="D19" s="34">
        <v>1</v>
      </c>
      <c r="E19" s="34" t="s">
        <v>495</v>
      </c>
      <c r="F19" s="34">
        <v>6</v>
      </c>
      <c r="G19" s="35" t="str">
        <f>IF(B19=المدخلات!$E$5,_xlfn.XLOOKUP(F19,الملخص!$A$4:$A$15,الملخص!$L$4:$L$15,"غير موجود"),"")</f>
        <v/>
      </c>
      <c r="H19" s="35"/>
      <c r="I19" s="35"/>
      <c r="J19" s="35"/>
    </row>
    <row r="20" spans="2:10">
      <c r="B20" s="34" t="s">
        <v>569</v>
      </c>
      <c r="C20" s="34" t="s">
        <v>492</v>
      </c>
      <c r="D20" s="34">
        <v>1</v>
      </c>
      <c r="E20" s="34" t="s">
        <v>493</v>
      </c>
      <c r="F20" s="34">
        <v>6</v>
      </c>
      <c r="G20" s="35" t="str">
        <f>IF(B20=المدخلات!$E$5,_xlfn.XLOOKUP(F20,الملخص!$A$4:$A$15,الملخص!$L$4:$L$15,"غير موجود"),"")</f>
        <v/>
      </c>
      <c r="H20" s="35"/>
      <c r="I20" s="35"/>
      <c r="J20" s="35"/>
    </row>
    <row r="21" spans="2:10">
      <c r="B21" s="34" t="s">
        <v>569</v>
      </c>
      <c r="C21" s="34" t="s">
        <v>576</v>
      </c>
      <c r="D21" s="34">
        <v>1</v>
      </c>
      <c r="E21" s="34" t="s">
        <v>577</v>
      </c>
      <c r="F21" s="34">
        <v>6</v>
      </c>
      <c r="G21" s="35" t="str">
        <f>IF(B21=المدخلات!$E$5,_xlfn.XLOOKUP(F21,الملخص!$A$4:$A$15,الملخص!$L$4:$L$15,"غير موجود"),"")</f>
        <v/>
      </c>
      <c r="H21" s="35"/>
      <c r="I21" s="35"/>
      <c r="J21" s="35"/>
    </row>
    <row r="22" spans="2:10">
      <c r="B22" s="34" t="s">
        <v>572</v>
      </c>
      <c r="C22" s="34" t="s">
        <v>489</v>
      </c>
      <c r="D22" s="34">
        <v>2</v>
      </c>
      <c r="E22" s="34" t="s">
        <v>584</v>
      </c>
      <c r="F22" s="34">
        <v>6</v>
      </c>
      <c r="G22" s="35" t="str">
        <f>IF(B22=المدخلات!$E$5,_xlfn.XLOOKUP(F22,الملخص!$A$4:$A$15,الملخص!$L$4:$L$15,"غير موجود"),"")</f>
        <v/>
      </c>
      <c r="H22" s="35"/>
      <c r="I22" s="35"/>
      <c r="J22" s="35"/>
    </row>
    <row r="23" spans="2:10">
      <c r="B23" s="34" t="s">
        <v>572</v>
      </c>
      <c r="C23" s="34" t="s">
        <v>500</v>
      </c>
      <c r="D23" s="34">
        <v>2</v>
      </c>
      <c r="E23" s="34" t="s">
        <v>501</v>
      </c>
      <c r="F23" s="34">
        <v>6</v>
      </c>
      <c r="G23" s="35" t="str">
        <f>IF(B23=المدخلات!$E$5,_xlfn.XLOOKUP(F23,الملخص!$A$4:$A$15,الملخص!$L$4:$L$15,"غير موجود"),"")</f>
        <v/>
      </c>
      <c r="H23" s="35"/>
      <c r="I23" s="35"/>
      <c r="J23" s="35"/>
    </row>
    <row r="24" spans="2:10">
      <c r="B24" s="34" t="s">
        <v>573</v>
      </c>
      <c r="C24" s="34" t="s">
        <v>492</v>
      </c>
      <c r="D24" s="34">
        <v>1</v>
      </c>
      <c r="E24" s="34" t="s">
        <v>493</v>
      </c>
      <c r="F24" s="34">
        <v>6</v>
      </c>
      <c r="G24" s="35" t="str">
        <f>IF(B24=المدخلات!$E$5,_xlfn.XLOOKUP(F24,الملخص!$A$4:$A$15,الملخص!$L$4:$L$15,"غير موجود"),"")</f>
        <v/>
      </c>
      <c r="H24" s="35"/>
      <c r="I24" s="35"/>
      <c r="J24" s="35"/>
    </row>
    <row r="25" spans="2:10">
      <c r="B25" s="34" t="s">
        <v>573</v>
      </c>
      <c r="C25" s="34" t="s">
        <v>570</v>
      </c>
      <c r="D25" s="34">
        <v>1</v>
      </c>
      <c r="E25" s="34" t="s">
        <v>571</v>
      </c>
      <c r="F25" s="34">
        <v>6</v>
      </c>
      <c r="G25" s="35" t="str">
        <f>IF(B25=المدخلات!$E$5,_xlfn.XLOOKUP(F25,الملخص!$A$4:$A$15,الملخص!$L$4:$L$15,"غير موجود"),"")</f>
        <v/>
      </c>
      <c r="H25" s="35"/>
      <c r="I25" s="35"/>
      <c r="J25" s="35"/>
    </row>
    <row r="26" spans="2:10">
      <c r="B26" s="34" t="s">
        <v>484</v>
      </c>
      <c r="C26" s="34" t="s">
        <v>490</v>
      </c>
      <c r="D26" s="34">
        <v>2</v>
      </c>
      <c r="E26" s="34" t="s">
        <v>491</v>
      </c>
      <c r="F26" s="34">
        <v>7</v>
      </c>
      <c r="G26" s="35">
        <f>IF(B26=المدخلات!$E$5,_xlfn.XLOOKUP(F26,الملخص!$A$4:$A$15,الملخص!$L$4:$L$15,"غير موجود"),"")</f>
        <v>1</v>
      </c>
      <c r="H26" s="35"/>
      <c r="I26" s="35"/>
      <c r="J26" s="35"/>
    </row>
    <row r="27" spans="2:10">
      <c r="B27" s="34" t="s">
        <v>484</v>
      </c>
      <c r="C27" s="34" t="s">
        <v>506</v>
      </c>
      <c r="D27" s="34">
        <v>1</v>
      </c>
      <c r="E27" s="34" t="s">
        <v>507</v>
      </c>
      <c r="F27" s="34">
        <v>7</v>
      </c>
      <c r="G27" s="35">
        <f>IF(B27=المدخلات!$E$5,_xlfn.XLOOKUP(F27,الملخص!$A$4:$A$15,الملخص!$L$4:$L$15,"غير موجود"),"")</f>
        <v>1</v>
      </c>
      <c r="H27" s="35"/>
      <c r="I27" s="35"/>
      <c r="J27" s="35"/>
    </row>
    <row r="28" spans="2:10">
      <c r="B28" s="34" t="s">
        <v>568</v>
      </c>
      <c r="C28" s="34" t="s">
        <v>494</v>
      </c>
      <c r="D28" s="34">
        <v>1</v>
      </c>
      <c r="E28" s="34" t="s">
        <v>495</v>
      </c>
      <c r="F28" s="34">
        <v>7</v>
      </c>
      <c r="G28" s="35" t="str">
        <f>IF(B28=المدخلات!$E$5,_xlfn.XLOOKUP(F28,الملخص!$A$4:$A$15,الملخص!$L$4:$L$15,"غير موجود"),"")</f>
        <v/>
      </c>
      <c r="H28" s="35"/>
      <c r="I28" s="35"/>
      <c r="J28" s="35"/>
    </row>
    <row r="29" spans="2:10">
      <c r="B29" s="34" t="s">
        <v>568</v>
      </c>
      <c r="C29" s="34" t="s">
        <v>498</v>
      </c>
      <c r="D29" s="34">
        <v>2</v>
      </c>
      <c r="E29" s="34" t="s">
        <v>499</v>
      </c>
      <c r="F29" s="34">
        <v>7</v>
      </c>
      <c r="G29" s="35" t="str">
        <f>IF(B29=المدخلات!$E$5,_xlfn.XLOOKUP(F29,الملخص!$A$4:$A$15,الملخص!$L$4:$L$15,"غير موجود"),"")</f>
        <v/>
      </c>
      <c r="H29" s="35"/>
      <c r="I29" s="35"/>
      <c r="J29" s="35"/>
    </row>
    <row r="30" spans="2:10">
      <c r="B30" s="34" t="s">
        <v>569</v>
      </c>
      <c r="C30" s="34" t="s">
        <v>496</v>
      </c>
      <c r="D30" s="34">
        <v>1</v>
      </c>
      <c r="E30" s="34" t="s">
        <v>497</v>
      </c>
      <c r="F30" s="34">
        <v>7</v>
      </c>
      <c r="G30" s="35" t="str">
        <f>IF(B30=المدخلات!$E$5,_xlfn.XLOOKUP(F30,الملخص!$A$4:$A$15,الملخص!$L$4:$L$15,"غير موجود"),"")</f>
        <v/>
      </c>
      <c r="H30" s="35"/>
      <c r="I30" s="35"/>
      <c r="J30" s="35"/>
    </row>
    <row r="31" spans="2:10">
      <c r="B31" s="34" t="s">
        <v>569</v>
      </c>
      <c r="C31" s="34" t="s">
        <v>503</v>
      </c>
      <c r="D31" s="34">
        <v>1</v>
      </c>
      <c r="E31" s="34" t="s">
        <v>504</v>
      </c>
      <c r="F31" s="34">
        <v>7</v>
      </c>
      <c r="G31" s="35" t="str">
        <f>IF(B31=المدخلات!$E$5,_xlfn.XLOOKUP(F31,الملخص!$A$4:$A$15,الملخص!$L$4:$L$15,"غير موجود"),"")</f>
        <v/>
      </c>
      <c r="H31" s="35"/>
      <c r="I31" s="35"/>
      <c r="J31" s="35"/>
    </row>
    <row r="32" spans="2:10">
      <c r="B32" s="34" t="s">
        <v>572</v>
      </c>
      <c r="C32" s="34" t="s">
        <v>494</v>
      </c>
      <c r="D32" s="34">
        <v>1</v>
      </c>
      <c r="E32" s="34" t="s">
        <v>495</v>
      </c>
      <c r="F32" s="34">
        <v>7</v>
      </c>
      <c r="G32" s="35" t="str">
        <f>IF(B32=المدخلات!$E$5,_xlfn.XLOOKUP(F32,الملخص!$A$4:$A$15,الملخص!$L$4:$L$15,"غير موجود"),"")</f>
        <v/>
      </c>
      <c r="H32" s="35"/>
      <c r="I32" s="35"/>
      <c r="J32" s="35"/>
    </row>
    <row r="33" spans="2:10">
      <c r="B33" s="34" t="s">
        <v>572</v>
      </c>
      <c r="C33" s="34" t="s">
        <v>496</v>
      </c>
      <c r="D33" s="34">
        <v>1</v>
      </c>
      <c r="E33" s="34" t="s">
        <v>497</v>
      </c>
      <c r="F33" s="34">
        <v>7</v>
      </c>
      <c r="G33" s="35" t="str">
        <f>IF(B33=المدخلات!$E$5,_xlfn.XLOOKUP(F33,الملخص!$A$4:$A$15,الملخص!$L$4:$L$15,"غير موجود"),"")</f>
        <v/>
      </c>
      <c r="H33" s="35"/>
      <c r="I33" s="35"/>
      <c r="J33" s="35"/>
    </row>
    <row r="34" spans="2:10">
      <c r="B34" s="34" t="s">
        <v>572</v>
      </c>
      <c r="C34" s="34" t="s">
        <v>492</v>
      </c>
      <c r="D34" s="34">
        <v>1</v>
      </c>
      <c r="E34" s="34" t="s">
        <v>493</v>
      </c>
      <c r="F34" s="34">
        <v>7</v>
      </c>
      <c r="G34" s="35" t="str">
        <f>IF(B34=المدخلات!$E$5,_xlfn.XLOOKUP(F34,الملخص!$A$4:$A$15,الملخص!$L$4:$L$15,"غير موجود"),"")</f>
        <v/>
      </c>
      <c r="H34" s="35"/>
      <c r="I34" s="35"/>
      <c r="J34" s="35"/>
    </row>
    <row r="35" spans="2:10">
      <c r="B35" s="34" t="s">
        <v>573</v>
      </c>
      <c r="C35" s="34" t="s">
        <v>496</v>
      </c>
      <c r="D35" s="34">
        <v>1</v>
      </c>
      <c r="E35" s="34" t="s">
        <v>497</v>
      </c>
      <c r="F35" s="34">
        <v>7</v>
      </c>
      <c r="G35" s="35" t="str">
        <f>IF(B35=المدخلات!$E$5,_xlfn.XLOOKUP(F35,الملخص!$A$4:$A$15,الملخص!$L$4:$L$15,"غير موجود"),"")</f>
        <v/>
      </c>
      <c r="H35" s="35"/>
      <c r="I35" s="35"/>
      <c r="J35" s="35"/>
    </row>
    <row r="36" spans="2:10">
      <c r="B36" s="34" t="s">
        <v>573</v>
      </c>
      <c r="C36" s="34" t="s">
        <v>489</v>
      </c>
      <c r="D36" s="34">
        <v>3</v>
      </c>
      <c r="E36" s="34" t="s">
        <v>582</v>
      </c>
      <c r="F36" s="34">
        <v>7</v>
      </c>
      <c r="G36" s="35" t="str">
        <f>IF(B36=المدخلات!$E$5,_xlfn.XLOOKUP(F36,الملخص!$A$4:$A$15,الملخص!$L$4:$L$15,"غير موجود"),"")</f>
        <v/>
      </c>
      <c r="H36" s="35"/>
      <c r="I36" s="35"/>
      <c r="J36" s="35"/>
    </row>
    <row r="37" spans="2:10">
      <c r="B37" s="34" t="s">
        <v>580</v>
      </c>
      <c r="C37" s="34" t="s">
        <v>514</v>
      </c>
      <c r="D37" s="34">
        <v>1</v>
      </c>
      <c r="E37" s="34" t="s">
        <v>515</v>
      </c>
      <c r="F37" s="34">
        <v>8</v>
      </c>
      <c r="G37" s="35" t="str">
        <f>IF(B37=المدخلات!$E$5,_xlfn.XLOOKUP(F37,الملخص!$A$4:$A$15,الملخص!$L$4:$L$15,"غير موجود"),"")</f>
        <v/>
      </c>
      <c r="H37" s="35"/>
      <c r="I37" s="35"/>
      <c r="J37" s="35"/>
    </row>
    <row r="38" spans="2:10">
      <c r="B38" s="34" t="s">
        <v>575</v>
      </c>
      <c r="C38" s="34" t="s">
        <v>585</v>
      </c>
      <c r="D38" s="34">
        <v>2</v>
      </c>
      <c r="E38" s="34" t="s">
        <v>586</v>
      </c>
      <c r="F38" s="34">
        <v>8</v>
      </c>
      <c r="G38" s="35" t="str">
        <f>IF(B38=المدخلات!$E$5,_xlfn.XLOOKUP(F38,الملخص!$A$4:$A$15,الملخص!$L$4:$L$15,"غير موجود"),"")</f>
        <v/>
      </c>
      <c r="H38" s="35"/>
      <c r="I38" s="35"/>
      <c r="J38" s="35"/>
    </row>
    <row r="39" spans="2:10">
      <c r="B39" s="34" t="s">
        <v>575</v>
      </c>
      <c r="C39" s="34" t="s">
        <v>496</v>
      </c>
      <c r="D39" s="34">
        <v>1</v>
      </c>
      <c r="E39" s="34" t="s">
        <v>497</v>
      </c>
      <c r="F39" s="34">
        <v>8</v>
      </c>
      <c r="G39" s="35" t="str">
        <f>IF(B39=المدخلات!$E$5,_xlfn.XLOOKUP(F39,الملخص!$A$4:$A$15,الملخص!$L$4:$L$15,"غير موجود"),"")</f>
        <v/>
      </c>
      <c r="H39" s="35"/>
      <c r="I39" s="35"/>
      <c r="J39" s="35"/>
    </row>
    <row r="40" spans="2:10">
      <c r="B40" s="34" t="s">
        <v>575</v>
      </c>
      <c r="C40" s="34" t="s">
        <v>485</v>
      </c>
      <c r="D40" s="34">
        <v>1</v>
      </c>
      <c r="E40" s="34" t="s">
        <v>486</v>
      </c>
      <c r="F40" s="34">
        <v>8</v>
      </c>
      <c r="G40" s="35" t="str">
        <f>IF(B40=المدخلات!$E$5,_xlfn.XLOOKUP(F40,الملخص!$A$4:$A$15,الملخص!$L$4:$L$15,"غير موجود"),"")</f>
        <v/>
      </c>
      <c r="H40" s="35"/>
      <c r="I40" s="35"/>
      <c r="J40" s="35"/>
    </row>
    <row r="41" spans="2:10">
      <c r="B41" s="34" t="s">
        <v>575</v>
      </c>
      <c r="C41" s="34" t="s">
        <v>514</v>
      </c>
      <c r="D41" s="34">
        <v>1</v>
      </c>
      <c r="E41" s="34" t="s">
        <v>515</v>
      </c>
      <c r="F41" s="34">
        <v>8</v>
      </c>
      <c r="G41" s="35" t="str">
        <f>IF(B41=المدخلات!$E$5,_xlfn.XLOOKUP(F41,الملخص!$A$4:$A$15,الملخص!$L$4:$L$15,"غير موجود"),"")</f>
        <v/>
      </c>
      <c r="H41" s="35"/>
      <c r="I41" s="35"/>
      <c r="J41" s="35"/>
    </row>
    <row r="42" spans="2:10">
      <c r="B42" s="34" t="s">
        <v>484</v>
      </c>
      <c r="C42" s="34" t="s">
        <v>487</v>
      </c>
      <c r="D42" s="34">
        <v>1</v>
      </c>
      <c r="E42" s="34" t="s">
        <v>488</v>
      </c>
      <c r="F42" s="34">
        <v>8</v>
      </c>
      <c r="G42" s="35">
        <f>IF(B42=المدخلات!$E$5,_xlfn.XLOOKUP(F42,الملخص!$A$4:$A$15,الملخص!$L$4:$L$15,"غير موجود"),"")</f>
        <v>2</v>
      </c>
      <c r="H42" s="35"/>
      <c r="I42" s="35"/>
      <c r="J42" s="35"/>
    </row>
    <row r="43" spans="2:10">
      <c r="B43" s="34" t="s">
        <v>484</v>
      </c>
      <c r="C43" s="34" t="s">
        <v>494</v>
      </c>
      <c r="D43" s="34">
        <v>1</v>
      </c>
      <c r="E43" s="34" t="s">
        <v>495</v>
      </c>
      <c r="F43" s="34">
        <v>8</v>
      </c>
      <c r="G43" s="35">
        <f>IF(B43=المدخلات!$E$5,_xlfn.XLOOKUP(F43,الملخص!$A$4:$A$15,الملخص!$L$4:$L$15,"غير موجود"),"")</f>
        <v>2</v>
      </c>
      <c r="H43" s="35"/>
      <c r="I43" s="35"/>
      <c r="J43" s="35"/>
    </row>
    <row r="44" spans="2:10">
      <c r="B44" s="34" t="s">
        <v>484</v>
      </c>
      <c r="C44" s="34" t="s">
        <v>496</v>
      </c>
      <c r="D44" s="34">
        <v>1</v>
      </c>
      <c r="E44" s="34" t="s">
        <v>497</v>
      </c>
      <c r="F44" s="34">
        <v>8</v>
      </c>
      <c r="G44" s="35">
        <f>IF(B44=المدخلات!$E$5,_xlfn.XLOOKUP(F44,الملخص!$A$4:$A$15,الملخص!$L$4:$L$15,"غير موجود"),"")</f>
        <v>2</v>
      </c>
      <c r="H44" s="35"/>
      <c r="I44" s="35"/>
      <c r="J44" s="35"/>
    </row>
    <row r="45" spans="2:10">
      <c r="B45" s="34" t="s">
        <v>484</v>
      </c>
      <c r="C45" s="34" t="s">
        <v>498</v>
      </c>
      <c r="D45" s="34">
        <v>2</v>
      </c>
      <c r="E45" s="34" t="s">
        <v>499</v>
      </c>
      <c r="F45" s="34">
        <v>8</v>
      </c>
      <c r="G45" s="35">
        <f>IF(B45=المدخلات!$E$5,_xlfn.XLOOKUP(F45,الملخص!$A$4:$A$15,الملخص!$L$4:$L$15,"غير موجود"),"")</f>
        <v>2</v>
      </c>
      <c r="H45" s="35"/>
      <c r="I45" s="35"/>
      <c r="J45" s="35"/>
    </row>
    <row r="46" spans="2:10">
      <c r="B46" s="34" t="s">
        <v>484</v>
      </c>
      <c r="C46" s="34" t="s">
        <v>505</v>
      </c>
      <c r="D46" s="34">
        <v>2</v>
      </c>
      <c r="E46" s="34" t="s">
        <v>587</v>
      </c>
      <c r="F46" s="34">
        <v>8</v>
      </c>
      <c r="G46" s="35">
        <f>IF(B46=المدخلات!$E$5,_xlfn.XLOOKUP(F46,الملخص!$A$4:$A$15,الملخص!$L$4:$L$15,"غير موجود"),"")</f>
        <v>2</v>
      </c>
      <c r="H46" s="35"/>
      <c r="I46" s="35"/>
      <c r="J46" s="35"/>
    </row>
    <row r="47" spans="2:10">
      <c r="B47" s="34" t="s">
        <v>484</v>
      </c>
      <c r="C47" s="34" t="s">
        <v>514</v>
      </c>
      <c r="D47" s="34">
        <v>1</v>
      </c>
      <c r="E47" s="34" t="s">
        <v>515</v>
      </c>
      <c r="F47" s="34">
        <v>8</v>
      </c>
      <c r="G47" s="35">
        <f>IF(B47=المدخلات!$E$5,_xlfn.XLOOKUP(F47,الملخص!$A$4:$A$15,الملخص!$L$4:$L$15,"غير موجود"),"")</f>
        <v>2</v>
      </c>
      <c r="H47" s="35"/>
      <c r="I47" s="35"/>
      <c r="J47" s="35"/>
    </row>
    <row r="48" spans="2:10">
      <c r="B48" s="34" t="s">
        <v>568</v>
      </c>
      <c r="C48" s="34" t="s">
        <v>496</v>
      </c>
      <c r="D48" s="34">
        <v>1</v>
      </c>
      <c r="E48" s="34" t="s">
        <v>497</v>
      </c>
      <c r="F48" s="34">
        <v>8</v>
      </c>
      <c r="G48" s="35" t="str">
        <f>IF(B48=المدخلات!$E$5,_xlfn.XLOOKUP(F48,الملخص!$A$4:$A$15,الملخص!$L$4:$L$15,"غير موجود"),"")</f>
        <v/>
      </c>
      <c r="H48" s="35"/>
      <c r="I48" s="35"/>
      <c r="J48" s="35"/>
    </row>
    <row r="49" spans="2:10">
      <c r="B49" s="34" t="s">
        <v>568</v>
      </c>
      <c r="C49" s="34" t="s">
        <v>490</v>
      </c>
      <c r="D49" s="34">
        <v>4</v>
      </c>
      <c r="E49" s="34" t="s">
        <v>588</v>
      </c>
      <c r="F49" s="34">
        <v>8</v>
      </c>
      <c r="G49" s="35" t="str">
        <f>IF(B49=المدخلات!$E$5,_xlfn.XLOOKUP(F49,الملخص!$A$4:$A$15,الملخص!$L$4:$L$15,"غير موجود"),"")</f>
        <v/>
      </c>
      <c r="H49" s="35"/>
      <c r="I49" s="35"/>
      <c r="J49" s="35"/>
    </row>
    <row r="50" spans="2:10">
      <c r="B50" s="34" t="s">
        <v>568</v>
      </c>
      <c r="C50" s="34" t="s">
        <v>506</v>
      </c>
      <c r="D50" s="34">
        <v>1</v>
      </c>
      <c r="E50" s="34" t="s">
        <v>507</v>
      </c>
      <c r="F50" s="34">
        <v>8</v>
      </c>
      <c r="G50" s="35" t="str">
        <f>IF(B50=المدخلات!$E$5,_xlfn.XLOOKUP(F50,الملخص!$A$4:$A$15,الملخص!$L$4:$L$15,"غير موجود"),"")</f>
        <v/>
      </c>
      <c r="H50" s="35"/>
      <c r="I50" s="35"/>
      <c r="J50" s="35"/>
    </row>
    <row r="51" spans="2:10">
      <c r="B51" s="34" t="s">
        <v>568</v>
      </c>
      <c r="C51" s="34" t="s">
        <v>514</v>
      </c>
      <c r="D51" s="34">
        <v>1</v>
      </c>
      <c r="E51" s="34" t="s">
        <v>515</v>
      </c>
      <c r="F51" s="34">
        <v>8</v>
      </c>
      <c r="G51" s="35" t="str">
        <f>IF(B51=المدخلات!$E$5,_xlfn.XLOOKUP(F51,الملخص!$A$4:$A$15,الملخص!$L$4:$L$15,"غير موجود"),"")</f>
        <v/>
      </c>
      <c r="H51" s="35"/>
      <c r="I51" s="35"/>
      <c r="J51" s="35"/>
    </row>
    <row r="52" spans="2:10">
      <c r="B52" s="34" t="s">
        <v>569</v>
      </c>
      <c r="C52" s="34" t="s">
        <v>516</v>
      </c>
      <c r="D52" s="34">
        <v>3</v>
      </c>
      <c r="E52" s="34" t="s">
        <v>589</v>
      </c>
      <c r="F52" s="34">
        <v>8</v>
      </c>
      <c r="G52" s="35" t="str">
        <f>IF(B52=المدخلات!$E$5,_xlfn.XLOOKUP(F52,الملخص!$A$4:$A$15,الملخص!$L$4:$L$15,"غير موجود"),"")</f>
        <v/>
      </c>
      <c r="H52" s="35"/>
      <c r="I52" s="35"/>
      <c r="J52" s="35"/>
    </row>
    <row r="53" spans="2:10">
      <c r="B53" s="34" t="s">
        <v>569</v>
      </c>
      <c r="C53" s="34" t="s">
        <v>514</v>
      </c>
      <c r="D53" s="34">
        <v>1</v>
      </c>
      <c r="E53" s="34" t="s">
        <v>515</v>
      </c>
      <c r="F53" s="34">
        <v>8</v>
      </c>
      <c r="G53" s="35" t="str">
        <f>IF(B53=المدخلات!$E$5,_xlfn.XLOOKUP(F53,الملخص!$A$4:$A$15,الملخص!$L$4:$L$15,"غير موجود"),"")</f>
        <v/>
      </c>
      <c r="H53" s="35"/>
      <c r="I53" s="35"/>
      <c r="J53" s="35"/>
    </row>
    <row r="54" spans="2:10">
      <c r="B54" s="34" t="s">
        <v>569</v>
      </c>
      <c r="C54" s="34" t="s">
        <v>521</v>
      </c>
      <c r="D54" s="34">
        <v>1</v>
      </c>
      <c r="E54" s="34" t="s">
        <v>522</v>
      </c>
      <c r="F54" s="34">
        <v>8</v>
      </c>
      <c r="G54" s="35" t="str">
        <f>IF(B54=المدخلات!$E$5,_xlfn.XLOOKUP(F54,الملخص!$A$4:$A$15,الملخص!$L$4:$L$15,"غير موجود"),"")</f>
        <v/>
      </c>
      <c r="H54" s="35"/>
      <c r="I54" s="35"/>
      <c r="J54" s="35"/>
    </row>
    <row r="55" spans="2:10">
      <c r="B55" s="34" t="s">
        <v>572</v>
      </c>
      <c r="C55" s="34" t="s">
        <v>506</v>
      </c>
      <c r="D55" s="34">
        <v>1</v>
      </c>
      <c r="E55" s="34" t="s">
        <v>507</v>
      </c>
      <c r="F55" s="34">
        <v>8</v>
      </c>
      <c r="G55" s="35" t="str">
        <f>IF(B55=المدخلات!$E$5,_xlfn.XLOOKUP(F55,الملخص!$A$4:$A$15,الملخص!$L$4:$L$15,"غير موجود"),"")</f>
        <v/>
      </c>
      <c r="H55" s="35"/>
      <c r="I55" s="35"/>
      <c r="J55" s="35"/>
    </row>
    <row r="56" spans="2:10">
      <c r="B56" s="34" t="s">
        <v>572</v>
      </c>
      <c r="C56" s="34" t="s">
        <v>514</v>
      </c>
      <c r="D56" s="34">
        <v>1</v>
      </c>
      <c r="E56" s="34" t="s">
        <v>515</v>
      </c>
      <c r="F56" s="34">
        <v>8</v>
      </c>
      <c r="G56" s="35" t="str">
        <f>IF(B56=المدخلات!$E$5,_xlfn.XLOOKUP(F56,الملخص!$A$4:$A$15,الملخص!$L$4:$L$15,"غير موجود"),"")</f>
        <v/>
      </c>
      <c r="H56" s="35"/>
      <c r="I56" s="35"/>
      <c r="J56" s="35"/>
    </row>
    <row r="57" spans="2:10">
      <c r="B57" s="34" t="s">
        <v>573</v>
      </c>
      <c r="C57" s="34" t="s">
        <v>490</v>
      </c>
      <c r="D57" s="34">
        <v>4</v>
      </c>
      <c r="E57" s="34" t="s">
        <v>588</v>
      </c>
      <c r="F57" s="34">
        <v>8</v>
      </c>
      <c r="G57" s="35" t="str">
        <f>IF(B57=المدخلات!$E$5,_xlfn.XLOOKUP(F57,الملخص!$A$4:$A$15,الملخص!$L$4:$L$15,"غير موجود"),"")</f>
        <v/>
      </c>
      <c r="H57" s="35"/>
      <c r="I57" s="35"/>
      <c r="J57" s="35"/>
    </row>
    <row r="58" spans="2:10">
      <c r="B58" s="34" t="s">
        <v>573</v>
      </c>
      <c r="C58" s="34" t="s">
        <v>508</v>
      </c>
      <c r="D58" s="34">
        <v>1</v>
      </c>
      <c r="E58" s="34" t="s">
        <v>509</v>
      </c>
      <c r="F58" s="34">
        <v>8</v>
      </c>
      <c r="G58" s="35" t="str">
        <f>IF(B58=المدخلات!$E$5,_xlfn.XLOOKUP(F58,الملخص!$A$4:$A$15,الملخص!$L$4:$L$15,"غير موجود"),"")</f>
        <v/>
      </c>
      <c r="H58" s="35"/>
      <c r="I58" s="35"/>
      <c r="J58" s="35"/>
    </row>
    <row r="59" spans="2:10">
      <c r="B59" s="34" t="s">
        <v>573</v>
      </c>
      <c r="C59" s="34" t="s">
        <v>514</v>
      </c>
      <c r="D59" s="34">
        <v>1</v>
      </c>
      <c r="E59" s="34" t="s">
        <v>515</v>
      </c>
      <c r="F59" s="34">
        <v>8</v>
      </c>
      <c r="G59" s="35" t="str">
        <f>IF(B59=المدخلات!$E$5,_xlfn.XLOOKUP(F59,الملخص!$A$4:$A$15,الملخص!$L$4:$L$15,"غير موجود"),"")</f>
        <v/>
      </c>
      <c r="H59" s="35"/>
      <c r="I59" s="35"/>
      <c r="J59" s="35"/>
    </row>
    <row r="60" spans="2:10">
      <c r="B60" s="34" t="s">
        <v>580</v>
      </c>
      <c r="C60" s="34" t="s">
        <v>487</v>
      </c>
      <c r="D60" s="34">
        <v>1</v>
      </c>
      <c r="E60" s="34" t="s">
        <v>488</v>
      </c>
      <c r="F60" s="34">
        <v>9</v>
      </c>
      <c r="G60" s="35" t="str">
        <f>IF(B60=المدخلات!$E$5,_xlfn.XLOOKUP(F60,الملخص!$A$4:$A$15,الملخص!$L$4:$L$15,"غير موجود"),"")</f>
        <v/>
      </c>
      <c r="H60" s="35"/>
      <c r="I60" s="35"/>
      <c r="J60" s="35"/>
    </row>
    <row r="61" spans="2:10">
      <c r="B61" s="34" t="s">
        <v>580</v>
      </c>
      <c r="C61" s="34" t="s">
        <v>496</v>
      </c>
      <c r="D61" s="34">
        <v>1</v>
      </c>
      <c r="E61" s="34" t="s">
        <v>497</v>
      </c>
      <c r="F61" s="34">
        <v>9</v>
      </c>
      <c r="G61" s="35" t="str">
        <f>IF(B61=المدخلات!$E$5,_xlfn.XLOOKUP(F61,الملخص!$A$4:$A$15,الملخص!$L$4:$L$15,"غير موجود"),"")</f>
        <v/>
      </c>
      <c r="H61" s="35"/>
      <c r="I61" s="35"/>
      <c r="J61" s="35"/>
    </row>
    <row r="62" spans="2:10">
      <c r="B62" s="34" t="s">
        <v>575</v>
      </c>
      <c r="C62" s="34" t="s">
        <v>487</v>
      </c>
      <c r="D62" s="34">
        <v>1</v>
      </c>
      <c r="E62" s="34" t="s">
        <v>488</v>
      </c>
      <c r="F62" s="34">
        <v>9</v>
      </c>
      <c r="G62" s="35" t="str">
        <f>IF(B62=المدخلات!$E$5,_xlfn.XLOOKUP(F62,الملخص!$A$4:$A$15,الملخص!$L$4:$L$15,"غير موجود"),"")</f>
        <v/>
      </c>
      <c r="H62" s="35"/>
      <c r="I62" s="35"/>
      <c r="J62" s="35"/>
    </row>
    <row r="63" spans="2:10">
      <c r="B63" s="34" t="s">
        <v>575</v>
      </c>
      <c r="C63" s="34" t="s">
        <v>505</v>
      </c>
      <c r="D63" s="34">
        <v>2</v>
      </c>
      <c r="E63" s="34" t="s">
        <v>587</v>
      </c>
      <c r="F63" s="34">
        <v>9</v>
      </c>
      <c r="G63" s="35" t="str">
        <f>IF(B63=المدخلات!$E$5,_xlfn.XLOOKUP(F63,الملخص!$A$4:$A$15,الملخص!$L$4:$L$15,"غير موجود"),"")</f>
        <v/>
      </c>
      <c r="H63" s="35"/>
      <c r="I63" s="35"/>
      <c r="J63" s="35"/>
    </row>
    <row r="64" spans="2:10">
      <c r="B64" s="34" t="s">
        <v>568</v>
      </c>
      <c r="C64" s="34" t="s">
        <v>487</v>
      </c>
      <c r="D64" s="34">
        <v>1</v>
      </c>
      <c r="E64" s="34" t="s">
        <v>488</v>
      </c>
      <c r="F64" s="34">
        <v>9</v>
      </c>
      <c r="G64" s="35" t="str">
        <f>IF(B64=المدخلات!$E$5,_xlfn.XLOOKUP(F64,الملخص!$A$4:$A$15,الملخص!$L$4:$L$15,"غير موجود"),"")</f>
        <v/>
      </c>
      <c r="H64" s="35"/>
      <c r="I64" s="35"/>
      <c r="J64" s="35"/>
    </row>
    <row r="65" spans="2:10">
      <c r="B65" s="34" t="s">
        <v>569</v>
      </c>
      <c r="C65" s="34" t="s">
        <v>512</v>
      </c>
      <c r="D65" s="34">
        <v>1</v>
      </c>
      <c r="E65" s="34" t="s">
        <v>513</v>
      </c>
      <c r="F65" s="34">
        <v>9</v>
      </c>
      <c r="G65" s="35" t="str">
        <f>IF(B65=المدخلات!$E$5,_xlfn.XLOOKUP(F65,الملخص!$A$4:$A$15,الملخص!$L$4:$L$15,"غير موجود"),"")</f>
        <v/>
      </c>
      <c r="H65" s="35"/>
      <c r="I65" s="35"/>
      <c r="J65" s="35"/>
    </row>
    <row r="66" spans="2:10">
      <c r="B66" s="34" t="s">
        <v>569</v>
      </c>
      <c r="C66" s="34" t="s">
        <v>506</v>
      </c>
      <c r="D66" s="34">
        <v>1</v>
      </c>
      <c r="E66" s="34" t="s">
        <v>507</v>
      </c>
      <c r="F66" s="34">
        <v>9</v>
      </c>
      <c r="G66" s="35" t="str">
        <f>IF(B66=المدخلات!$E$5,_xlfn.XLOOKUP(F66,الملخص!$A$4:$A$15,الملخص!$L$4:$L$15,"غير موجود"),"")</f>
        <v/>
      </c>
      <c r="H66" s="35"/>
      <c r="I66" s="35"/>
      <c r="J66" s="35"/>
    </row>
    <row r="67" spans="2:10">
      <c r="B67" s="34" t="s">
        <v>569</v>
      </c>
      <c r="C67" s="34" t="s">
        <v>519</v>
      </c>
      <c r="D67" s="34">
        <v>1</v>
      </c>
      <c r="E67" s="34" t="s">
        <v>520</v>
      </c>
      <c r="F67" s="34">
        <v>9</v>
      </c>
      <c r="G67" s="35" t="str">
        <f>IF(B67=المدخلات!$E$5,_xlfn.XLOOKUP(F67,الملخص!$A$4:$A$15,الملخص!$L$4:$L$15,"غير موجود"),"")</f>
        <v/>
      </c>
      <c r="H67" s="35"/>
      <c r="I67" s="35"/>
      <c r="J67" s="35"/>
    </row>
    <row r="68" spans="2:10">
      <c r="B68" s="34" t="s">
        <v>572</v>
      </c>
      <c r="C68" s="34" t="s">
        <v>502</v>
      </c>
      <c r="D68" s="34">
        <v>4</v>
      </c>
      <c r="E68" s="34" t="s">
        <v>590</v>
      </c>
      <c r="F68" s="34">
        <v>9</v>
      </c>
      <c r="G68" s="35" t="str">
        <f>IF(B68=المدخلات!$E$5,_xlfn.XLOOKUP(F68,الملخص!$A$4:$A$15,الملخص!$L$4:$L$15,"غير موجود"),"")</f>
        <v/>
      </c>
      <c r="H68" s="35"/>
      <c r="I68" s="35"/>
      <c r="J68" s="35"/>
    </row>
    <row r="69" spans="2:10">
      <c r="B69" s="34" t="s">
        <v>572</v>
      </c>
      <c r="C69" s="34" t="s">
        <v>521</v>
      </c>
      <c r="D69" s="34">
        <v>1</v>
      </c>
      <c r="E69" s="34" t="s">
        <v>522</v>
      </c>
      <c r="F69" s="34">
        <v>9</v>
      </c>
      <c r="G69" s="35" t="str">
        <f>IF(B69=المدخلات!$E$5,_xlfn.XLOOKUP(F69,الملخص!$A$4:$A$15,الملخص!$L$4:$L$15,"غير موجود"),"")</f>
        <v/>
      </c>
      <c r="H69" s="35"/>
      <c r="I69" s="35"/>
      <c r="J69" s="35"/>
    </row>
    <row r="70" spans="2:10">
      <c r="B70" s="34" t="s">
        <v>573</v>
      </c>
      <c r="C70" s="34" t="s">
        <v>521</v>
      </c>
      <c r="D70" s="34">
        <v>1</v>
      </c>
      <c r="E70" s="34" t="s">
        <v>522</v>
      </c>
      <c r="F70" s="34">
        <v>9</v>
      </c>
      <c r="G70" s="35" t="str">
        <f>IF(B70=المدخلات!$E$5,_xlfn.XLOOKUP(F70,الملخص!$A$4:$A$15,الملخص!$L$4:$L$15,"غير موجود"),"")</f>
        <v/>
      </c>
      <c r="H70" s="35"/>
      <c r="I70" s="35"/>
      <c r="J70" s="35"/>
    </row>
    <row r="71" spans="2:10">
      <c r="B71" s="34" t="s">
        <v>580</v>
      </c>
      <c r="C71" s="34" t="s">
        <v>505</v>
      </c>
      <c r="D71" s="34">
        <v>2</v>
      </c>
      <c r="E71" s="34" t="s">
        <v>587</v>
      </c>
      <c r="F71" s="34">
        <v>10</v>
      </c>
      <c r="G71" s="35" t="str">
        <f>IF(B71=المدخلات!$E$5,_xlfn.XLOOKUP(F71,الملخص!$A$4:$A$15,الملخص!$L$4:$L$15,"غير موجود"),"")</f>
        <v/>
      </c>
      <c r="H71" s="35"/>
      <c r="I71" s="35"/>
      <c r="J71" s="35"/>
    </row>
    <row r="72" spans="2:10">
      <c r="B72" s="34" t="s">
        <v>580</v>
      </c>
      <c r="C72" s="34" t="s">
        <v>498</v>
      </c>
      <c r="D72" s="34">
        <v>2</v>
      </c>
      <c r="E72" s="34" t="s">
        <v>499</v>
      </c>
      <c r="F72" s="34">
        <v>10</v>
      </c>
      <c r="G72" s="35" t="str">
        <f>IF(B72=المدخلات!$E$5,_xlfn.XLOOKUP(F72,الملخص!$A$4:$A$15,الملخص!$L$4:$L$15,"غير موجود"),"")</f>
        <v/>
      </c>
      <c r="H72" s="35"/>
      <c r="I72" s="35"/>
      <c r="J72" s="35"/>
    </row>
    <row r="73" spans="2:10">
      <c r="B73" s="34" t="s">
        <v>580</v>
      </c>
      <c r="C73" s="34" t="s">
        <v>500</v>
      </c>
      <c r="D73" s="34">
        <v>2</v>
      </c>
      <c r="E73" s="34" t="s">
        <v>501</v>
      </c>
      <c r="F73" s="34">
        <v>10</v>
      </c>
      <c r="G73" s="35" t="str">
        <f>IF(B73=المدخلات!$E$5,_xlfn.XLOOKUP(F73,الملخص!$A$4:$A$15,الملخص!$L$4:$L$15,"غير موجود"),"")</f>
        <v/>
      </c>
      <c r="H73" s="35"/>
      <c r="I73" s="35"/>
      <c r="J73" s="35"/>
    </row>
    <row r="74" spans="2:10">
      <c r="B74" s="34" t="s">
        <v>580</v>
      </c>
      <c r="C74" s="34" t="s">
        <v>506</v>
      </c>
      <c r="D74" s="34">
        <v>1</v>
      </c>
      <c r="E74" s="34" t="s">
        <v>507</v>
      </c>
      <c r="F74" s="34">
        <v>10</v>
      </c>
      <c r="G74" s="35" t="str">
        <f>IF(B74=المدخلات!$E$5,_xlfn.XLOOKUP(F74,الملخص!$A$4:$A$15,الملخص!$L$4:$L$15,"غير موجود"),"")</f>
        <v/>
      </c>
      <c r="H74" s="35"/>
      <c r="I74" s="35"/>
      <c r="J74" s="35"/>
    </row>
    <row r="75" spans="2:10">
      <c r="B75" s="34" t="s">
        <v>580</v>
      </c>
      <c r="C75" s="34" t="s">
        <v>519</v>
      </c>
      <c r="D75" s="34">
        <v>1</v>
      </c>
      <c r="E75" s="34" t="s">
        <v>520</v>
      </c>
      <c r="F75" s="34">
        <v>10</v>
      </c>
      <c r="G75" s="35" t="str">
        <f>IF(B75=المدخلات!$E$5,_xlfn.XLOOKUP(F75,الملخص!$A$4:$A$15,الملخص!$L$4:$L$15,"غير موجود"),"")</f>
        <v/>
      </c>
      <c r="H75" s="35"/>
      <c r="I75" s="35"/>
      <c r="J75" s="35"/>
    </row>
    <row r="76" spans="2:10">
      <c r="B76" s="34" t="s">
        <v>580</v>
      </c>
      <c r="C76" s="34" t="s">
        <v>521</v>
      </c>
      <c r="D76" s="34">
        <v>1</v>
      </c>
      <c r="E76" s="34" t="s">
        <v>522</v>
      </c>
      <c r="F76" s="34">
        <v>10</v>
      </c>
      <c r="G76" s="35" t="str">
        <f>IF(B76=المدخلات!$E$5,_xlfn.XLOOKUP(F76,الملخص!$A$4:$A$15,الملخص!$L$4:$L$15,"غير موجود"),"")</f>
        <v/>
      </c>
      <c r="H76" s="35"/>
      <c r="I76" s="35"/>
      <c r="J76" s="35"/>
    </row>
    <row r="77" spans="2:10">
      <c r="B77" s="34" t="s">
        <v>575</v>
      </c>
      <c r="C77" s="34" t="s">
        <v>519</v>
      </c>
      <c r="D77" s="34">
        <v>1</v>
      </c>
      <c r="E77" s="34" t="s">
        <v>520</v>
      </c>
      <c r="F77" s="34">
        <v>10</v>
      </c>
      <c r="G77" s="35" t="str">
        <f>IF(B77=المدخلات!$E$5,_xlfn.XLOOKUP(F77,الملخص!$A$4:$A$15,الملخص!$L$4:$L$15,"غير موجود"),"")</f>
        <v/>
      </c>
      <c r="H77" s="35"/>
      <c r="I77" s="35"/>
      <c r="J77" s="35"/>
    </row>
    <row r="78" spans="2:10">
      <c r="B78" s="34" t="s">
        <v>575</v>
      </c>
      <c r="C78" s="34" t="s">
        <v>521</v>
      </c>
      <c r="D78" s="34">
        <v>1</v>
      </c>
      <c r="E78" s="34" t="s">
        <v>522</v>
      </c>
      <c r="F78" s="34">
        <v>10</v>
      </c>
      <c r="G78" s="35" t="str">
        <f>IF(B78=المدخلات!$E$5,_xlfn.XLOOKUP(F78,الملخص!$A$4:$A$15,الملخص!$L$4:$L$15,"غير موجود"),"")</f>
        <v/>
      </c>
      <c r="H78" s="35"/>
      <c r="I78" s="35"/>
      <c r="J78" s="35"/>
    </row>
    <row r="79" spans="2:10">
      <c r="B79" s="34" t="s">
        <v>484</v>
      </c>
      <c r="C79" s="34" t="s">
        <v>500</v>
      </c>
      <c r="D79" s="34">
        <v>2</v>
      </c>
      <c r="E79" s="34" t="s">
        <v>501</v>
      </c>
      <c r="F79" s="34">
        <v>10</v>
      </c>
      <c r="G79" s="35">
        <f>IF(B79=المدخلات!$E$5,_xlfn.XLOOKUP(F79,الملخص!$A$4:$A$15,الملخص!$L$4:$L$15,"غير موجود"),"")</f>
        <v>2</v>
      </c>
      <c r="H79" s="35"/>
      <c r="I79" s="35"/>
      <c r="J79" s="35"/>
    </row>
    <row r="80" spans="2:10">
      <c r="B80" s="34" t="s">
        <v>484</v>
      </c>
      <c r="C80" s="34" t="s">
        <v>502</v>
      </c>
      <c r="D80" s="34">
        <v>4</v>
      </c>
      <c r="E80" s="34" t="s">
        <v>590</v>
      </c>
      <c r="F80" s="34">
        <v>10</v>
      </c>
      <c r="G80" s="35">
        <f>IF(B80=المدخلات!$E$5,_xlfn.XLOOKUP(F80,الملخص!$A$4:$A$15,الملخص!$L$4:$L$15,"غير موجود"),"")</f>
        <v>2</v>
      </c>
      <c r="H80" s="35"/>
      <c r="I80" s="35"/>
      <c r="J80" s="35"/>
    </row>
    <row r="81" spans="2:10">
      <c r="B81" s="34" t="s">
        <v>484</v>
      </c>
      <c r="C81" s="34" t="s">
        <v>503</v>
      </c>
      <c r="D81" s="34">
        <v>1</v>
      </c>
      <c r="E81" s="34" t="s">
        <v>504</v>
      </c>
      <c r="F81" s="34">
        <v>10</v>
      </c>
      <c r="G81" s="35">
        <f>IF(B81=المدخلات!$E$5,_xlfn.XLOOKUP(F81,الملخص!$A$4:$A$15,الملخص!$L$4:$L$15,"غير موجود"),"")</f>
        <v>2</v>
      </c>
      <c r="H81" s="35"/>
      <c r="I81" s="35"/>
      <c r="J81" s="35"/>
    </row>
    <row r="82" spans="2:10">
      <c r="B82" s="34" t="s">
        <v>484</v>
      </c>
      <c r="C82" s="34" t="s">
        <v>519</v>
      </c>
      <c r="D82" s="34">
        <v>1</v>
      </c>
      <c r="E82" s="34" t="s">
        <v>520</v>
      </c>
      <c r="F82" s="34">
        <v>10</v>
      </c>
      <c r="G82" s="35">
        <f>IF(B82=المدخلات!$E$5,_xlfn.XLOOKUP(F82,الملخص!$A$4:$A$15,الملخص!$L$4:$L$15,"غير موجود"),"")</f>
        <v>2</v>
      </c>
      <c r="H82" s="35"/>
      <c r="I82" s="35"/>
      <c r="J82" s="35"/>
    </row>
    <row r="83" spans="2:10">
      <c r="B83" s="34" t="s">
        <v>484</v>
      </c>
      <c r="C83" s="34" t="s">
        <v>521</v>
      </c>
      <c r="D83" s="34">
        <v>1</v>
      </c>
      <c r="E83" s="34" t="s">
        <v>522</v>
      </c>
      <c r="F83" s="34">
        <v>10</v>
      </c>
      <c r="G83" s="35">
        <f>IF(B83=المدخلات!$E$5,_xlfn.XLOOKUP(F83,الملخص!$A$4:$A$15,الملخص!$L$4:$L$15,"غير موجود"),"")</f>
        <v>2</v>
      </c>
      <c r="H83" s="35"/>
      <c r="I83" s="35"/>
      <c r="J83" s="35"/>
    </row>
    <row r="84" spans="2:10">
      <c r="B84" s="34" t="s">
        <v>568</v>
      </c>
      <c r="C84" s="34" t="s">
        <v>503</v>
      </c>
      <c r="D84" s="34">
        <v>2</v>
      </c>
      <c r="E84" s="34" t="s">
        <v>591</v>
      </c>
      <c r="F84" s="34">
        <v>10</v>
      </c>
      <c r="G84" s="35" t="str">
        <f>IF(B84=المدخلات!$E$5,_xlfn.XLOOKUP(F84,الملخص!$A$4:$A$15,الملخص!$L$4:$L$15,"غير موجود"),"")</f>
        <v/>
      </c>
      <c r="H84" s="35"/>
      <c r="I84" s="35"/>
      <c r="J84" s="35"/>
    </row>
    <row r="85" spans="2:10">
      <c r="B85" s="34" t="s">
        <v>568</v>
      </c>
      <c r="C85" s="34" t="s">
        <v>521</v>
      </c>
      <c r="D85" s="34">
        <v>1</v>
      </c>
      <c r="E85" s="34" t="s">
        <v>522</v>
      </c>
      <c r="F85" s="34">
        <v>10</v>
      </c>
      <c r="G85" s="35" t="str">
        <f>IF(B85=المدخلات!$E$5,_xlfn.XLOOKUP(F85,الملخص!$A$4:$A$15,الملخص!$L$4:$L$15,"غير موجود"),"")</f>
        <v/>
      </c>
      <c r="H85" s="35"/>
      <c r="I85" s="35"/>
      <c r="J85" s="35"/>
    </row>
    <row r="86" spans="2:10">
      <c r="B86" s="34" t="s">
        <v>568</v>
      </c>
      <c r="C86" s="34" t="s">
        <v>519</v>
      </c>
      <c r="D86" s="34">
        <v>1</v>
      </c>
      <c r="E86" s="34" t="s">
        <v>520</v>
      </c>
      <c r="F86" s="34">
        <v>10</v>
      </c>
      <c r="G86" s="35" t="str">
        <f>IF(B86=المدخلات!$E$5,_xlfn.XLOOKUP(F86,الملخص!$A$4:$A$15,الملخص!$L$4:$L$15,"غير موجود"),"")</f>
        <v/>
      </c>
      <c r="H86" s="35"/>
      <c r="I86" s="35"/>
      <c r="J86" s="35"/>
    </row>
    <row r="87" spans="2:10">
      <c r="B87" s="34" t="s">
        <v>572</v>
      </c>
      <c r="C87" s="34" t="s">
        <v>503</v>
      </c>
      <c r="D87" s="34">
        <v>1</v>
      </c>
      <c r="E87" s="34" t="s">
        <v>504</v>
      </c>
      <c r="F87" s="34">
        <v>10</v>
      </c>
      <c r="G87" s="35" t="str">
        <f>IF(B87=المدخلات!$E$5,_xlfn.XLOOKUP(F87,الملخص!$A$4:$A$15,الملخص!$L$4:$L$15,"غير موجود"),"")</f>
        <v/>
      </c>
      <c r="H87" s="35"/>
      <c r="I87" s="35"/>
      <c r="J87" s="35"/>
    </row>
    <row r="88" spans="2:10">
      <c r="B88" s="34" t="s">
        <v>572</v>
      </c>
      <c r="C88" s="34" t="s">
        <v>519</v>
      </c>
      <c r="D88" s="34">
        <v>1</v>
      </c>
      <c r="E88" s="34" t="s">
        <v>520</v>
      </c>
      <c r="F88" s="34">
        <v>10</v>
      </c>
      <c r="G88" s="35" t="str">
        <f>IF(B88=المدخلات!$E$5,_xlfn.XLOOKUP(F88,الملخص!$A$4:$A$15,الملخص!$L$4:$L$15,"غير موجود"),"")</f>
        <v/>
      </c>
      <c r="H88" s="35"/>
      <c r="I88" s="35"/>
      <c r="J88" s="35"/>
    </row>
    <row r="89" spans="2:10">
      <c r="B89" s="34" t="s">
        <v>573</v>
      </c>
      <c r="C89" s="34" t="s">
        <v>519</v>
      </c>
      <c r="D89" s="34">
        <v>1</v>
      </c>
      <c r="E89" s="34" t="s">
        <v>520</v>
      </c>
      <c r="F89" s="34">
        <v>10</v>
      </c>
      <c r="G89" s="35" t="str">
        <f>IF(B89=المدخلات!$E$5,_xlfn.XLOOKUP(F89,الملخص!$A$4:$A$15,الملخص!$L$4:$L$15,"غير موجود"),"")</f>
        <v/>
      </c>
      <c r="H89" s="35"/>
      <c r="I89" s="35"/>
      <c r="J89" s="35"/>
    </row>
    <row r="90" spans="2:10">
      <c r="B90" s="34" t="s">
        <v>580</v>
      </c>
      <c r="C90" s="34" t="s">
        <v>490</v>
      </c>
      <c r="D90" s="34">
        <v>4</v>
      </c>
      <c r="E90" s="34" t="s">
        <v>588</v>
      </c>
      <c r="F90" s="34">
        <v>11</v>
      </c>
      <c r="G90" s="35" t="str">
        <f>IF(B90=المدخلات!$E$5,_xlfn.XLOOKUP(F90,الملخص!$A$4:$A$15,الملخص!$L$4:$L$15,"غير موجود"),"")</f>
        <v/>
      </c>
      <c r="H90" s="35"/>
      <c r="I90" s="35"/>
      <c r="J90" s="35"/>
    </row>
    <row r="91" spans="2:10">
      <c r="B91" s="34" t="s">
        <v>580</v>
      </c>
      <c r="C91" s="34" t="s">
        <v>592</v>
      </c>
      <c r="D91" s="34">
        <v>2</v>
      </c>
      <c r="E91" s="34" t="s">
        <v>593</v>
      </c>
      <c r="F91" s="34">
        <v>11</v>
      </c>
      <c r="G91" s="35" t="str">
        <f>IF(B91=المدخلات!$E$5,_xlfn.XLOOKUP(F91,الملخص!$A$4:$A$15,الملخص!$L$4:$L$15,"غير موجود"),"")</f>
        <v/>
      </c>
      <c r="H91" s="35"/>
      <c r="I91" s="35"/>
      <c r="J91" s="35"/>
    </row>
    <row r="92" spans="2:10">
      <c r="B92" s="34" t="s">
        <v>575</v>
      </c>
      <c r="C92" s="34" t="s">
        <v>490</v>
      </c>
      <c r="D92" s="34">
        <v>4</v>
      </c>
      <c r="E92" s="34" t="s">
        <v>588</v>
      </c>
      <c r="F92" s="34">
        <v>11</v>
      </c>
      <c r="G92" s="35" t="str">
        <f>IF(B92=المدخلات!$E$5,_xlfn.XLOOKUP(F92,الملخص!$A$4:$A$15,الملخص!$L$4:$L$15,"غير موجود"),"")</f>
        <v/>
      </c>
      <c r="H92" s="35"/>
      <c r="I92" s="35"/>
      <c r="J92" s="35"/>
    </row>
    <row r="93" spans="2:10">
      <c r="B93" s="34" t="s">
        <v>575</v>
      </c>
      <c r="C93" s="34" t="s">
        <v>506</v>
      </c>
      <c r="D93" s="34">
        <v>1</v>
      </c>
      <c r="E93" s="34" t="s">
        <v>507</v>
      </c>
      <c r="F93" s="34">
        <v>11</v>
      </c>
      <c r="G93" s="35" t="str">
        <f>IF(B93=المدخلات!$E$5,_xlfn.XLOOKUP(F93,الملخص!$A$4:$A$15,الملخص!$L$4:$L$15,"غير موجود"),"")</f>
        <v/>
      </c>
      <c r="H93" s="35"/>
      <c r="I93" s="35"/>
      <c r="J93" s="35"/>
    </row>
    <row r="94" spans="2:10">
      <c r="B94" s="34" t="s">
        <v>568</v>
      </c>
      <c r="C94" s="34" t="s">
        <v>505</v>
      </c>
      <c r="D94" s="34">
        <v>2</v>
      </c>
      <c r="E94" s="34" t="s">
        <v>587</v>
      </c>
      <c r="F94" s="34">
        <v>11</v>
      </c>
      <c r="G94" s="35" t="str">
        <f>IF(B94=المدخلات!$E$5,_xlfn.XLOOKUP(F94,الملخص!$A$4:$A$15,الملخص!$L$4:$L$15,"غير موجود"),"")</f>
        <v/>
      </c>
      <c r="H94" s="35"/>
      <c r="I94" s="35"/>
      <c r="J94" s="35"/>
    </row>
    <row r="95" spans="2:10">
      <c r="B95" s="34" t="s">
        <v>568</v>
      </c>
      <c r="C95" s="34" t="s">
        <v>508</v>
      </c>
      <c r="D95" s="34">
        <v>1</v>
      </c>
      <c r="E95" s="34" t="s">
        <v>509</v>
      </c>
      <c r="F95" s="34">
        <v>11</v>
      </c>
      <c r="G95" s="35" t="str">
        <f>IF(B95=المدخلات!$E$5,_xlfn.XLOOKUP(F95,الملخص!$A$4:$A$15,الملخص!$L$4:$L$15,"غير موجود"),"")</f>
        <v/>
      </c>
      <c r="H95" s="35"/>
      <c r="I95" s="35"/>
      <c r="J95" s="35"/>
    </row>
    <row r="96" spans="2:10">
      <c r="B96" s="34" t="s">
        <v>569</v>
      </c>
      <c r="C96" s="34" t="s">
        <v>523</v>
      </c>
      <c r="D96" s="34">
        <v>1</v>
      </c>
      <c r="E96" s="34" t="s">
        <v>524</v>
      </c>
      <c r="F96" s="34">
        <v>11</v>
      </c>
      <c r="G96" s="35" t="str">
        <f>IF(B96=المدخلات!$E$5,_xlfn.XLOOKUP(F96,الملخص!$A$4:$A$15,الملخص!$L$4:$L$15,"غير موجود"),"")</f>
        <v/>
      </c>
      <c r="H96" s="35"/>
      <c r="I96" s="35"/>
      <c r="J96" s="35"/>
    </row>
    <row r="97" spans="2:10">
      <c r="B97" s="34" t="s">
        <v>573</v>
      </c>
      <c r="C97" s="34" t="s">
        <v>500</v>
      </c>
      <c r="D97" s="34">
        <v>2</v>
      </c>
      <c r="E97" s="34" t="s">
        <v>501</v>
      </c>
      <c r="F97" s="34">
        <v>11</v>
      </c>
      <c r="G97" s="35" t="str">
        <f>IF(B97=المدخلات!$E$5,_xlfn.XLOOKUP(F97,الملخص!$A$4:$A$15,الملخص!$L$4:$L$15,"غير موجود"),"")</f>
        <v/>
      </c>
      <c r="H97" s="35"/>
      <c r="I97" s="35"/>
      <c r="J97" s="35"/>
    </row>
    <row r="98" spans="2:10">
      <c r="B98" s="34" t="s">
        <v>573</v>
      </c>
      <c r="C98" s="34" t="s">
        <v>506</v>
      </c>
      <c r="D98" s="34">
        <v>1</v>
      </c>
      <c r="E98" s="34" t="s">
        <v>507</v>
      </c>
      <c r="F98" s="34">
        <v>11</v>
      </c>
      <c r="G98" s="35" t="str">
        <f>IF(B98=المدخلات!$E$5,_xlfn.XLOOKUP(F98,الملخص!$A$4:$A$15,الملخص!$L$4:$L$15,"غير موجود"),"")</f>
        <v/>
      </c>
      <c r="H98" s="35"/>
      <c r="I98" s="35"/>
      <c r="J98" s="35"/>
    </row>
    <row r="99" spans="2:10">
      <c r="B99" s="34" t="s">
        <v>575</v>
      </c>
      <c r="C99" s="34" t="s">
        <v>494</v>
      </c>
      <c r="D99" s="34">
        <v>2</v>
      </c>
      <c r="E99" s="34" t="s">
        <v>594</v>
      </c>
      <c r="F99" s="34">
        <v>12</v>
      </c>
      <c r="G99" s="35" t="str">
        <f>IF(B99=المدخلات!$E$5,_xlfn.XLOOKUP(F99,الملخص!$A$4:$A$15,الملخص!$L$4:$L$15,"غير موجود"),"")</f>
        <v/>
      </c>
      <c r="H99" s="35"/>
      <c r="I99" s="35"/>
      <c r="J99" s="35"/>
    </row>
    <row r="100" spans="2:10">
      <c r="B100" s="34" t="s">
        <v>575</v>
      </c>
      <c r="C100" s="34" t="s">
        <v>508</v>
      </c>
      <c r="D100" s="34">
        <v>2</v>
      </c>
      <c r="E100" s="34" t="s">
        <v>595</v>
      </c>
      <c r="F100" s="34">
        <v>12</v>
      </c>
      <c r="G100" s="35" t="str">
        <f>IF(B100=المدخلات!$E$5,_xlfn.XLOOKUP(F100,الملخص!$A$4:$A$15,الملخص!$L$4:$L$15,"غير موجود"),"")</f>
        <v/>
      </c>
      <c r="H100" s="35"/>
      <c r="I100" s="35"/>
      <c r="J100" s="35"/>
    </row>
    <row r="101" spans="2:10">
      <c r="B101" s="34" t="s">
        <v>575</v>
      </c>
      <c r="C101" s="34" t="s">
        <v>592</v>
      </c>
      <c r="D101" s="34">
        <v>2</v>
      </c>
      <c r="E101" s="34" t="s">
        <v>593</v>
      </c>
      <c r="F101" s="34">
        <v>12</v>
      </c>
      <c r="G101" s="35" t="str">
        <f>IF(B101=المدخلات!$E$5,_xlfn.XLOOKUP(F101,الملخص!$A$4:$A$15,الملخص!$L$4:$L$15,"غير موجود"),"")</f>
        <v/>
      </c>
      <c r="H101" s="35"/>
      <c r="I101" s="35"/>
      <c r="J101" s="35"/>
    </row>
    <row r="102" spans="2:10">
      <c r="B102" s="34" t="s">
        <v>568</v>
      </c>
      <c r="C102" s="34" t="s">
        <v>502</v>
      </c>
      <c r="D102" s="34">
        <v>4</v>
      </c>
      <c r="E102" s="34" t="s">
        <v>590</v>
      </c>
      <c r="F102" s="34">
        <v>12</v>
      </c>
      <c r="G102" s="35" t="str">
        <f>IF(B102=المدخلات!$E$5,_xlfn.XLOOKUP(F102,الملخص!$A$4:$A$15,الملخص!$L$4:$L$15,"غير موجود"),"")</f>
        <v/>
      </c>
      <c r="H102" s="35"/>
      <c r="I102" s="35"/>
      <c r="J102" s="35"/>
    </row>
    <row r="103" spans="2:10">
      <c r="B103" s="34" t="s">
        <v>568</v>
      </c>
      <c r="C103" s="34" t="s">
        <v>516</v>
      </c>
      <c r="D103" s="34">
        <v>4</v>
      </c>
      <c r="E103" s="34" t="s">
        <v>596</v>
      </c>
      <c r="F103" s="34">
        <v>12</v>
      </c>
      <c r="G103" s="35" t="str">
        <f>IF(B103=المدخلات!$E$5,_xlfn.XLOOKUP(F103,الملخص!$A$4:$A$15,الملخص!$L$4:$L$15,"غير موجود"),"")</f>
        <v/>
      </c>
      <c r="H103" s="35"/>
      <c r="I103" s="35"/>
      <c r="J103" s="35"/>
    </row>
    <row r="104" spans="2:10">
      <c r="B104" s="34" t="s">
        <v>569</v>
      </c>
      <c r="C104" s="34" t="s">
        <v>510</v>
      </c>
      <c r="D104" s="34">
        <v>1</v>
      </c>
      <c r="E104" s="34" t="s">
        <v>511</v>
      </c>
      <c r="F104" s="34">
        <v>12</v>
      </c>
      <c r="G104" s="35" t="str">
        <f>IF(B104=المدخلات!$E$5,_xlfn.XLOOKUP(F104,الملخص!$A$4:$A$15,الملخص!$L$4:$L$15,"غير موجود"),"")</f>
        <v/>
      </c>
      <c r="H104" s="35"/>
      <c r="I104" s="35"/>
      <c r="J104" s="35"/>
    </row>
    <row r="105" spans="2:10">
      <c r="B105" s="34" t="s">
        <v>569</v>
      </c>
      <c r="C105" s="34" t="s">
        <v>505</v>
      </c>
      <c r="D105" s="34">
        <v>2</v>
      </c>
      <c r="E105" s="34" t="s">
        <v>587</v>
      </c>
      <c r="F105" s="34">
        <v>12</v>
      </c>
      <c r="G105" s="35" t="str">
        <f>IF(B105=المدخلات!$E$5,_xlfn.XLOOKUP(F105,الملخص!$A$4:$A$15,الملخص!$L$4:$L$15,"غير موجود"),"")</f>
        <v/>
      </c>
      <c r="H105" s="35"/>
      <c r="I105" s="35"/>
      <c r="J105" s="35"/>
    </row>
    <row r="106" spans="2:10">
      <c r="B106" s="34" t="s">
        <v>572</v>
      </c>
      <c r="C106" s="34" t="s">
        <v>505</v>
      </c>
      <c r="D106" s="34">
        <v>2</v>
      </c>
      <c r="E106" s="34" t="s">
        <v>587</v>
      </c>
      <c r="F106" s="34">
        <v>12</v>
      </c>
      <c r="G106" s="35" t="str">
        <f>IF(B106=المدخلات!$E$5,_xlfn.XLOOKUP(F106,الملخص!$A$4:$A$15,الملخص!$L$4:$L$15,"غير موجود"),"")</f>
        <v/>
      </c>
      <c r="H106" s="35"/>
      <c r="I106" s="35"/>
      <c r="J106" s="35"/>
    </row>
    <row r="107" spans="2:10">
      <c r="B107" s="34" t="s">
        <v>573</v>
      </c>
      <c r="C107" s="34" t="s">
        <v>494</v>
      </c>
      <c r="D107" s="34">
        <v>1</v>
      </c>
      <c r="E107" s="34" t="s">
        <v>495</v>
      </c>
      <c r="F107" s="34">
        <v>12</v>
      </c>
      <c r="G107" s="35" t="str">
        <f>IF(B107=المدخلات!$E$5,_xlfn.XLOOKUP(F107,الملخص!$A$4:$A$15,الملخص!$L$4:$L$15,"غير موجود"),"")</f>
        <v/>
      </c>
      <c r="H107" s="35"/>
      <c r="I107" s="35"/>
      <c r="J107" s="35"/>
    </row>
    <row r="108" spans="2:10">
      <c r="B108" s="34" t="s">
        <v>580</v>
      </c>
      <c r="C108" s="34" t="s">
        <v>494</v>
      </c>
      <c r="D108" s="34">
        <v>2</v>
      </c>
      <c r="E108" s="34" t="s">
        <v>594</v>
      </c>
      <c r="F108" s="34">
        <v>13</v>
      </c>
      <c r="G108" s="35" t="str">
        <f>IF(B108=المدخلات!$E$5,_xlfn.XLOOKUP(F108,الملخص!$A$4:$A$15,الملخص!$L$4:$L$15,"غير موجود"),"")</f>
        <v/>
      </c>
      <c r="H108" s="35"/>
      <c r="I108" s="35"/>
      <c r="J108" s="35"/>
    </row>
    <row r="109" spans="2:10">
      <c r="B109" s="34" t="s">
        <v>484</v>
      </c>
      <c r="C109" s="34" t="s">
        <v>508</v>
      </c>
      <c r="D109" s="34">
        <v>1</v>
      </c>
      <c r="E109" s="34" t="s">
        <v>509</v>
      </c>
      <c r="F109" s="34">
        <v>13</v>
      </c>
      <c r="G109" s="35">
        <f>IF(B109=المدخلات!$E$5,_xlfn.XLOOKUP(F109,الملخص!$A$4:$A$15,الملخص!$L$4:$L$15,"غير موجود"),"")</f>
        <v>2</v>
      </c>
      <c r="H109" s="35"/>
      <c r="I109" s="35"/>
      <c r="J109" s="35"/>
    </row>
    <row r="110" spans="2:10">
      <c r="B110" s="34" t="s">
        <v>484</v>
      </c>
      <c r="C110" s="34" t="s">
        <v>512</v>
      </c>
      <c r="D110" s="34">
        <v>1</v>
      </c>
      <c r="E110" s="34" t="s">
        <v>513</v>
      </c>
      <c r="F110" s="34">
        <v>13</v>
      </c>
      <c r="G110" s="35">
        <f>IF(B110=المدخلات!$E$5,_xlfn.XLOOKUP(F110,الملخص!$A$4:$A$15,الملخص!$L$4:$L$15,"غير موجود"),"")</f>
        <v>2</v>
      </c>
      <c r="H110" s="35"/>
      <c r="I110" s="35"/>
      <c r="J110" s="35"/>
    </row>
    <row r="111" spans="2:10">
      <c r="B111" s="34" t="s">
        <v>569</v>
      </c>
      <c r="C111" s="34" t="s">
        <v>532</v>
      </c>
      <c r="D111" s="34">
        <v>1</v>
      </c>
      <c r="E111" s="34" t="s">
        <v>533</v>
      </c>
      <c r="F111" s="34">
        <v>13</v>
      </c>
      <c r="G111" s="35" t="str">
        <f>IF(B111=المدخلات!$E$5,_xlfn.XLOOKUP(F111,الملخص!$A$4:$A$15,الملخص!$L$4:$L$15,"غير موجود"),"")</f>
        <v/>
      </c>
      <c r="H111" s="35"/>
      <c r="I111" s="35"/>
      <c r="J111" s="35"/>
    </row>
    <row r="112" spans="2:10">
      <c r="B112" s="34" t="s">
        <v>569</v>
      </c>
      <c r="C112" s="34" t="s">
        <v>525</v>
      </c>
      <c r="D112" s="34">
        <v>2</v>
      </c>
      <c r="E112" s="34" t="s">
        <v>526</v>
      </c>
      <c r="F112" s="34">
        <v>13</v>
      </c>
      <c r="G112" s="35" t="str">
        <f>IF(B112=المدخلات!$E$5,_xlfn.XLOOKUP(F112,الملخص!$A$4:$A$15,الملخص!$L$4:$L$15,"غير موجود"),"")</f>
        <v/>
      </c>
      <c r="H112" s="35"/>
      <c r="I112" s="35"/>
      <c r="J112" s="35"/>
    </row>
    <row r="113" spans="2:10">
      <c r="B113" s="34" t="s">
        <v>572</v>
      </c>
      <c r="C113" s="34" t="s">
        <v>510</v>
      </c>
      <c r="D113" s="34">
        <v>1</v>
      </c>
      <c r="E113" s="34" t="s">
        <v>511</v>
      </c>
      <c r="F113" s="34">
        <v>13</v>
      </c>
      <c r="G113" s="35" t="str">
        <f>IF(B113=المدخلات!$E$5,_xlfn.XLOOKUP(F113,الملخص!$A$4:$A$15,الملخص!$L$4:$L$15,"غير موجود"),"")</f>
        <v/>
      </c>
      <c r="H113" s="35"/>
      <c r="I113" s="35"/>
      <c r="J113" s="35"/>
    </row>
    <row r="114" spans="2:10">
      <c r="B114" s="34" t="s">
        <v>572</v>
      </c>
      <c r="C114" s="34" t="s">
        <v>523</v>
      </c>
      <c r="D114" s="34">
        <v>1</v>
      </c>
      <c r="E114" s="34" t="s">
        <v>524</v>
      </c>
      <c r="F114" s="34">
        <v>13</v>
      </c>
      <c r="G114" s="35" t="str">
        <f>IF(B114=المدخلات!$E$5,_xlfn.XLOOKUP(F114,الملخص!$A$4:$A$15,الملخص!$L$4:$L$15,"غير موجود"),"")</f>
        <v/>
      </c>
      <c r="H114" s="35"/>
      <c r="I114" s="35"/>
      <c r="J114" s="35"/>
    </row>
    <row r="115" spans="2:10">
      <c r="B115" s="34" t="s">
        <v>580</v>
      </c>
      <c r="C115" s="34" t="s">
        <v>516</v>
      </c>
      <c r="D115" s="34">
        <v>2</v>
      </c>
      <c r="E115" s="34" t="s">
        <v>597</v>
      </c>
      <c r="F115" s="34">
        <v>14</v>
      </c>
      <c r="G115" s="35" t="str">
        <f>IF(B115=المدخلات!$E$5,_xlfn.XLOOKUP(F115,الملخص!$A$4:$A$15,الملخص!$L$4:$L$15,"غير موجود"),"")</f>
        <v/>
      </c>
      <c r="H115" s="35"/>
      <c r="I115" s="35"/>
      <c r="J115" s="35"/>
    </row>
    <row r="116" spans="2:10">
      <c r="B116" s="34" t="s">
        <v>580</v>
      </c>
      <c r="C116" s="34" t="s">
        <v>508</v>
      </c>
      <c r="D116" s="34">
        <v>2</v>
      </c>
      <c r="E116" s="34" t="s">
        <v>595</v>
      </c>
      <c r="F116" s="34">
        <v>14</v>
      </c>
      <c r="G116" s="35" t="str">
        <f>IF(B116=المدخلات!$E$5,_xlfn.XLOOKUP(F116,الملخص!$A$4:$A$15,الملخص!$L$4:$L$15,"غير موجود"),"")</f>
        <v/>
      </c>
      <c r="H116" s="35"/>
      <c r="I116" s="35"/>
      <c r="J116" s="35"/>
    </row>
    <row r="117" spans="2:10">
      <c r="B117" s="34" t="s">
        <v>575</v>
      </c>
      <c r="C117" s="34" t="s">
        <v>516</v>
      </c>
      <c r="D117" s="34">
        <v>2</v>
      </c>
      <c r="E117" s="34" t="s">
        <v>597</v>
      </c>
      <c r="F117" s="34">
        <v>14</v>
      </c>
      <c r="G117" s="35" t="str">
        <f>IF(B117=المدخلات!$E$5,_xlfn.XLOOKUP(F117,الملخص!$A$4:$A$15,الملخص!$L$4:$L$15,"غير موجود"),"")</f>
        <v/>
      </c>
      <c r="H117" s="35"/>
      <c r="I117" s="35"/>
      <c r="J117" s="35"/>
    </row>
    <row r="118" spans="2:10">
      <c r="B118" s="34" t="s">
        <v>575</v>
      </c>
      <c r="C118" s="34" t="s">
        <v>498</v>
      </c>
      <c r="D118" s="34">
        <v>2</v>
      </c>
      <c r="E118" s="34" t="s">
        <v>499</v>
      </c>
      <c r="F118" s="34">
        <v>14</v>
      </c>
      <c r="G118" s="35" t="str">
        <f>IF(B118=المدخلات!$E$5,_xlfn.XLOOKUP(F118,الملخص!$A$4:$A$15,الملخص!$L$4:$L$15,"غير موجود"),"")</f>
        <v/>
      </c>
      <c r="H118" s="35"/>
      <c r="I118" s="35"/>
      <c r="J118" s="35"/>
    </row>
    <row r="119" spans="2:10">
      <c r="B119" s="34" t="s">
        <v>575</v>
      </c>
      <c r="C119" s="34" t="s">
        <v>502</v>
      </c>
      <c r="D119" s="34">
        <v>4</v>
      </c>
      <c r="E119" s="34" t="s">
        <v>590</v>
      </c>
      <c r="F119" s="34">
        <v>14</v>
      </c>
      <c r="G119" s="35" t="str">
        <f>IF(B119=المدخلات!$E$5,_xlfn.XLOOKUP(F119,الملخص!$A$4:$A$15,الملخص!$L$4:$L$15,"غير موجود"),"")</f>
        <v/>
      </c>
      <c r="H119" s="35"/>
      <c r="I119" s="35"/>
      <c r="J119" s="35"/>
    </row>
    <row r="120" spans="2:10">
      <c r="B120" s="34" t="s">
        <v>484</v>
      </c>
      <c r="C120" s="34" t="s">
        <v>516</v>
      </c>
      <c r="D120" s="34">
        <v>4</v>
      </c>
      <c r="E120" s="34" t="s">
        <v>596</v>
      </c>
      <c r="F120" s="34">
        <v>14</v>
      </c>
      <c r="G120" s="35">
        <f>IF(B120=المدخلات!$E$5,_xlfn.XLOOKUP(F120,الملخص!$A$4:$A$15,الملخص!$L$4:$L$15,"غير موجود"),"")</f>
        <v>2</v>
      </c>
      <c r="H120" s="35"/>
      <c r="I120" s="35"/>
      <c r="J120" s="35"/>
    </row>
    <row r="121" spans="2:10">
      <c r="B121" s="34" t="s">
        <v>484</v>
      </c>
      <c r="C121" s="34" t="s">
        <v>525</v>
      </c>
      <c r="D121" s="34">
        <v>2</v>
      </c>
      <c r="E121" s="34" t="s">
        <v>526</v>
      </c>
      <c r="F121" s="34">
        <v>14</v>
      </c>
      <c r="G121" s="35">
        <f>IF(B121=المدخلات!$E$5,_xlfn.XLOOKUP(F121,الملخص!$A$4:$A$15,الملخص!$L$4:$L$15,"غير موجود"),"")</f>
        <v>2</v>
      </c>
      <c r="H121" s="35"/>
      <c r="I121" s="35"/>
      <c r="J121" s="35"/>
    </row>
    <row r="122" spans="2:10">
      <c r="B122" s="34" t="s">
        <v>568</v>
      </c>
      <c r="C122" s="34" t="s">
        <v>525</v>
      </c>
      <c r="D122" s="34">
        <v>2</v>
      </c>
      <c r="E122" s="34" t="s">
        <v>526</v>
      </c>
      <c r="F122" s="34">
        <v>14</v>
      </c>
      <c r="G122" s="35" t="str">
        <f>IF(B122=المدخلات!$E$5,_xlfn.XLOOKUP(F122,الملخص!$A$4:$A$15,الملخص!$L$4:$L$15,"غير موجود"),"")</f>
        <v/>
      </c>
      <c r="H122" s="35"/>
      <c r="I122" s="35"/>
      <c r="J122" s="35"/>
    </row>
    <row r="123" spans="2:10">
      <c r="B123" s="34" t="s">
        <v>573</v>
      </c>
      <c r="C123" s="34" t="s">
        <v>510</v>
      </c>
      <c r="D123" s="34">
        <v>1</v>
      </c>
      <c r="E123" s="34" t="s">
        <v>511</v>
      </c>
      <c r="F123" s="34">
        <v>14</v>
      </c>
      <c r="G123" s="35" t="str">
        <f>IF(B123=المدخلات!$E$5,_xlfn.XLOOKUP(F123,الملخص!$A$4:$A$15,الملخص!$L$4:$L$15,"غير موجود"),"")</f>
        <v/>
      </c>
      <c r="H123" s="35"/>
      <c r="I123" s="35"/>
      <c r="J123" s="35"/>
    </row>
    <row r="124" spans="2:10">
      <c r="B124" s="34" t="s">
        <v>573</v>
      </c>
      <c r="C124" s="34" t="s">
        <v>502</v>
      </c>
      <c r="D124" s="34">
        <v>4</v>
      </c>
      <c r="E124" s="34" t="s">
        <v>590</v>
      </c>
      <c r="F124" s="34">
        <v>14</v>
      </c>
      <c r="G124" s="35" t="str">
        <f>IF(B124=المدخلات!$E$5,_xlfn.XLOOKUP(F124,الملخص!$A$4:$A$15,الملخص!$L$4:$L$15,"غير موجود"),"")</f>
        <v/>
      </c>
      <c r="H124" s="35"/>
      <c r="I124" s="35"/>
      <c r="J124" s="35"/>
    </row>
    <row r="125" spans="2:10">
      <c r="B125" s="34" t="s">
        <v>580</v>
      </c>
      <c r="C125" s="34" t="s">
        <v>510</v>
      </c>
      <c r="D125" s="34">
        <v>1</v>
      </c>
      <c r="E125" s="34" t="s">
        <v>511</v>
      </c>
      <c r="F125" s="34">
        <v>15</v>
      </c>
      <c r="G125" s="35" t="str">
        <f>IF(B125=المدخلات!$E$5,_xlfn.XLOOKUP(F125,الملخص!$A$4:$A$15,الملخص!$L$4:$L$15,"غير موجود"),"")</f>
        <v/>
      </c>
      <c r="H125" s="35"/>
      <c r="I125" s="35"/>
      <c r="J125" s="35"/>
    </row>
    <row r="126" spans="2:10">
      <c r="B126" s="34" t="s">
        <v>580</v>
      </c>
      <c r="C126" s="34" t="s">
        <v>523</v>
      </c>
      <c r="D126" s="34">
        <v>1</v>
      </c>
      <c r="E126" s="34" t="s">
        <v>524</v>
      </c>
      <c r="F126" s="34">
        <v>15</v>
      </c>
      <c r="G126" s="35" t="str">
        <f>IF(B126=المدخلات!$E$5,_xlfn.XLOOKUP(F126,الملخص!$A$4:$A$15,الملخص!$L$4:$L$15,"غير موجود"),"")</f>
        <v/>
      </c>
      <c r="H126" s="35"/>
      <c r="I126" s="35"/>
      <c r="J126" s="35"/>
    </row>
    <row r="127" spans="2:10">
      <c r="B127" s="34" t="s">
        <v>575</v>
      </c>
      <c r="C127" s="34" t="s">
        <v>500</v>
      </c>
      <c r="D127" s="34">
        <v>2</v>
      </c>
      <c r="E127" s="34" t="s">
        <v>501</v>
      </c>
      <c r="F127" s="34">
        <v>15</v>
      </c>
      <c r="G127" s="35" t="str">
        <f>IF(B127=المدخلات!$E$5,_xlfn.XLOOKUP(F127,الملخص!$A$4:$A$15,الملخص!$L$4:$L$15,"غير موجود"),"")</f>
        <v/>
      </c>
      <c r="H127" s="35"/>
      <c r="I127" s="35"/>
      <c r="J127" s="35"/>
    </row>
    <row r="128" spans="2:10">
      <c r="B128" s="34" t="s">
        <v>575</v>
      </c>
      <c r="C128" s="34" t="s">
        <v>510</v>
      </c>
      <c r="D128" s="34">
        <v>1</v>
      </c>
      <c r="E128" s="34" t="s">
        <v>511</v>
      </c>
      <c r="F128" s="34">
        <v>15</v>
      </c>
      <c r="G128" s="35" t="str">
        <f>IF(B128=المدخلات!$E$5,_xlfn.XLOOKUP(F128,الملخص!$A$4:$A$15,الملخص!$L$4:$L$15,"غير موجود"),"")</f>
        <v/>
      </c>
      <c r="H128" s="35"/>
      <c r="I128" s="35"/>
      <c r="J128" s="35"/>
    </row>
    <row r="129" spans="2:10">
      <c r="B129" s="34" t="s">
        <v>568</v>
      </c>
      <c r="C129" s="34" t="s">
        <v>500</v>
      </c>
      <c r="D129" s="34">
        <v>2</v>
      </c>
      <c r="E129" s="34" t="s">
        <v>501</v>
      </c>
      <c r="F129" s="34">
        <v>15</v>
      </c>
      <c r="G129" s="35" t="str">
        <f>IF(B129=المدخلات!$E$5,_xlfn.XLOOKUP(F129,الملخص!$A$4:$A$15,الملخص!$L$4:$L$15,"غير موجود"),"")</f>
        <v/>
      </c>
      <c r="H129" s="35"/>
      <c r="I129" s="35"/>
      <c r="J129" s="35"/>
    </row>
    <row r="130" spans="2:10">
      <c r="B130" s="34" t="s">
        <v>568</v>
      </c>
      <c r="C130" s="34" t="s">
        <v>510</v>
      </c>
      <c r="D130" s="34">
        <v>1</v>
      </c>
      <c r="E130" s="34" t="s">
        <v>511</v>
      </c>
      <c r="F130" s="34">
        <v>15</v>
      </c>
      <c r="G130" s="35" t="str">
        <f>IF(B130=المدخلات!$E$5,_xlfn.XLOOKUP(F130,الملخص!$A$4:$A$15,الملخص!$L$4:$L$15,"غير موجود"),"")</f>
        <v/>
      </c>
      <c r="H130" s="35"/>
      <c r="I130" s="35"/>
      <c r="J130" s="35"/>
    </row>
    <row r="131" spans="2:10">
      <c r="B131" s="34" t="s">
        <v>569</v>
      </c>
      <c r="C131" s="34" t="s">
        <v>527</v>
      </c>
      <c r="D131" s="34">
        <v>1</v>
      </c>
      <c r="E131" s="34" t="s">
        <v>598</v>
      </c>
      <c r="F131" s="34">
        <v>15</v>
      </c>
      <c r="G131" s="35" t="str">
        <f>IF(B131=المدخلات!$E$5,_xlfn.XLOOKUP(F131,الملخص!$A$4:$A$15,الملخص!$L$4:$L$15,"غير موجود"),"")</f>
        <v/>
      </c>
      <c r="H131" s="35"/>
      <c r="I131" s="35"/>
      <c r="J131" s="35"/>
    </row>
    <row r="132" spans="2:10">
      <c r="B132" s="34" t="s">
        <v>572</v>
      </c>
      <c r="C132" s="34" t="s">
        <v>525</v>
      </c>
      <c r="D132" s="34">
        <v>2</v>
      </c>
      <c r="E132" s="34" t="s">
        <v>526</v>
      </c>
      <c r="F132" s="34">
        <v>15</v>
      </c>
      <c r="G132" s="35" t="str">
        <f>IF(B132=المدخلات!$E$5,_xlfn.XLOOKUP(F132,الملخص!$A$4:$A$15,الملخص!$L$4:$L$15,"غير موجود"),"")</f>
        <v/>
      </c>
      <c r="H132" s="35"/>
      <c r="I132" s="35"/>
      <c r="J132" s="35"/>
    </row>
    <row r="133" spans="2:10">
      <c r="B133" s="34" t="s">
        <v>573</v>
      </c>
      <c r="C133" s="34" t="s">
        <v>503</v>
      </c>
      <c r="D133" s="34">
        <v>2</v>
      </c>
      <c r="E133" s="34" t="s">
        <v>591</v>
      </c>
      <c r="F133" s="34">
        <v>15</v>
      </c>
      <c r="G133" s="35" t="str">
        <f>IF(B133=المدخلات!$E$5,_xlfn.XLOOKUP(F133,الملخص!$A$4:$A$15,الملخص!$L$4:$L$15,"غير موجود"),"")</f>
        <v/>
      </c>
      <c r="H133" s="35"/>
      <c r="I133" s="35"/>
      <c r="J133" s="35"/>
    </row>
    <row r="134" spans="2:10">
      <c r="B134" s="34" t="s">
        <v>573</v>
      </c>
      <c r="C134" s="34" t="s">
        <v>505</v>
      </c>
      <c r="D134" s="34">
        <v>2</v>
      </c>
      <c r="E134" s="34" t="s">
        <v>587</v>
      </c>
      <c r="F134" s="34">
        <v>15</v>
      </c>
      <c r="G134" s="35" t="str">
        <f>IF(B134=المدخلات!$E$5,_xlfn.XLOOKUP(F134,الملخص!$A$4:$A$15,الملخص!$L$4:$L$15,"غير موجود"),"")</f>
        <v/>
      </c>
      <c r="H134" s="35"/>
      <c r="I134" s="35"/>
      <c r="J134" s="35"/>
    </row>
    <row r="135" spans="2:10">
      <c r="B135" s="34" t="s">
        <v>573</v>
      </c>
      <c r="C135" s="34" t="s">
        <v>523</v>
      </c>
      <c r="D135" s="34">
        <v>1</v>
      </c>
      <c r="E135" s="34" t="s">
        <v>524</v>
      </c>
      <c r="F135" s="34">
        <v>15</v>
      </c>
      <c r="G135" s="35" t="str">
        <f>IF(B135=المدخلات!$E$5,_xlfn.XLOOKUP(F135,الملخص!$A$4:$A$15,الملخص!$L$4:$L$15,"غير موجود"),"")</f>
        <v/>
      </c>
      <c r="H135" s="35"/>
      <c r="I135" s="35"/>
      <c r="J135" s="35"/>
    </row>
    <row r="136" spans="2:10">
      <c r="B136" s="34" t="s">
        <v>580</v>
      </c>
      <c r="C136" s="34" t="s">
        <v>502</v>
      </c>
      <c r="D136" s="34">
        <v>4</v>
      </c>
      <c r="E136" s="34" t="s">
        <v>590</v>
      </c>
      <c r="F136" s="34">
        <v>16</v>
      </c>
      <c r="G136" s="35" t="str">
        <f>IF(B136=المدخلات!$E$5,_xlfn.XLOOKUP(F136,الملخص!$A$4:$A$15,الملخص!$L$4:$L$15,"غير موجود"),"")</f>
        <v/>
      </c>
      <c r="H136" s="35"/>
      <c r="I136" s="35"/>
      <c r="J136" s="35"/>
    </row>
    <row r="137" spans="2:10">
      <c r="B137" s="34" t="s">
        <v>580</v>
      </c>
      <c r="C137" s="34" t="s">
        <v>503</v>
      </c>
      <c r="D137" s="34">
        <v>2</v>
      </c>
      <c r="E137" s="34" t="s">
        <v>591</v>
      </c>
      <c r="F137" s="34">
        <v>16</v>
      </c>
      <c r="G137" s="35" t="str">
        <f>IF(B137=المدخلات!$E$5,_xlfn.XLOOKUP(F137,الملخص!$A$4:$A$15,الملخص!$L$4:$L$15,"غير موجود"),"")</f>
        <v/>
      </c>
      <c r="H137" s="35"/>
      <c r="I137" s="35"/>
      <c r="J137" s="35"/>
    </row>
    <row r="138" spans="2:10">
      <c r="B138" s="34" t="s">
        <v>580</v>
      </c>
      <c r="C138" s="34" t="s">
        <v>525</v>
      </c>
      <c r="D138" s="34">
        <v>2</v>
      </c>
      <c r="E138" s="34" t="s">
        <v>526</v>
      </c>
      <c r="F138" s="34">
        <v>16</v>
      </c>
      <c r="G138" s="35" t="str">
        <f>IF(B138=المدخلات!$E$5,_xlfn.XLOOKUP(F138,الملخص!$A$4:$A$15,الملخص!$L$4:$L$15,"غير موجود"),"")</f>
        <v/>
      </c>
      <c r="H138" s="35"/>
      <c r="I138" s="35"/>
      <c r="J138" s="35"/>
    </row>
    <row r="139" spans="2:10">
      <c r="B139" s="34" t="s">
        <v>575</v>
      </c>
      <c r="C139" s="34" t="s">
        <v>523</v>
      </c>
      <c r="D139" s="34">
        <v>1</v>
      </c>
      <c r="E139" s="34" t="s">
        <v>524</v>
      </c>
      <c r="F139" s="34">
        <v>16</v>
      </c>
      <c r="G139" s="35" t="str">
        <f>IF(B139=المدخلات!$E$5,_xlfn.XLOOKUP(F139,الملخص!$A$4:$A$15,الملخص!$L$4:$L$15,"غير موجود"),"")</f>
        <v/>
      </c>
      <c r="H139" s="35"/>
      <c r="I139" s="35"/>
      <c r="J139" s="35"/>
    </row>
    <row r="140" spans="2:10">
      <c r="B140" s="34" t="s">
        <v>575</v>
      </c>
      <c r="C140" s="34" t="s">
        <v>525</v>
      </c>
      <c r="D140" s="34">
        <v>2</v>
      </c>
      <c r="E140" s="34" t="s">
        <v>526</v>
      </c>
      <c r="F140" s="34">
        <v>16</v>
      </c>
      <c r="G140" s="35" t="str">
        <f>IF(B140=المدخلات!$E$5,_xlfn.XLOOKUP(F140,الملخص!$A$4:$A$15,الملخص!$L$4:$L$15,"غير موجود"),"")</f>
        <v/>
      </c>
      <c r="H140" s="35"/>
      <c r="I140" s="35"/>
      <c r="J140" s="35"/>
    </row>
    <row r="141" spans="2:10">
      <c r="B141" s="34" t="s">
        <v>484</v>
      </c>
      <c r="C141" s="34" t="s">
        <v>510</v>
      </c>
      <c r="D141" s="34">
        <v>1</v>
      </c>
      <c r="E141" s="34" t="s">
        <v>511</v>
      </c>
      <c r="F141" s="34">
        <v>16</v>
      </c>
      <c r="G141" s="35">
        <f>IF(B141=المدخلات!$E$5,_xlfn.XLOOKUP(F141,الملخص!$A$4:$A$15,الملخص!$L$4:$L$15,"غير موجود"),"")</f>
        <v>3</v>
      </c>
      <c r="H141" s="35"/>
      <c r="I141" s="35"/>
      <c r="J141" s="35"/>
    </row>
    <row r="142" spans="2:10">
      <c r="B142" s="34" t="s">
        <v>484</v>
      </c>
      <c r="C142" s="34" t="s">
        <v>523</v>
      </c>
      <c r="D142" s="34">
        <v>1</v>
      </c>
      <c r="E142" s="34" t="s">
        <v>524</v>
      </c>
      <c r="F142" s="34">
        <v>16</v>
      </c>
      <c r="G142" s="35">
        <f>IF(B142=المدخلات!$E$5,_xlfn.XLOOKUP(F142,الملخص!$A$4:$A$15,الملخص!$L$4:$L$15,"غير موجود"),"")</f>
        <v>3</v>
      </c>
      <c r="H142" s="35"/>
      <c r="I142" s="35"/>
      <c r="J142" s="35"/>
    </row>
    <row r="143" spans="2:10">
      <c r="B143" s="34" t="s">
        <v>568</v>
      </c>
      <c r="C143" s="34" t="s">
        <v>512</v>
      </c>
      <c r="D143" s="34">
        <v>1</v>
      </c>
      <c r="E143" s="34" t="s">
        <v>513</v>
      </c>
      <c r="F143" s="34">
        <v>16</v>
      </c>
      <c r="G143" s="35" t="str">
        <f>IF(B143=المدخلات!$E$5,_xlfn.XLOOKUP(F143,الملخص!$A$4:$A$15,الملخص!$L$4:$L$15,"غير موجود"),"")</f>
        <v/>
      </c>
      <c r="H143" s="35"/>
      <c r="I143" s="35"/>
      <c r="J143" s="35"/>
    </row>
    <row r="144" spans="2:10">
      <c r="B144" s="34" t="s">
        <v>569</v>
      </c>
      <c r="C144" s="34" t="s">
        <v>517</v>
      </c>
      <c r="D144" s="34">
        <v>1</v>
      </c>
      <c r="E144" s="34" t="s">
        <v>518</v>
      </c>
      <c r="F144" s="34">
        <v>16</v>
      </c>
      <c r="G144" s="35" t="str">
        <f>IF(B144=المدخلات!$E$5,_xlfn.XLOOKUP(F144,الملخص!$A$4:$A$15,الملخص!$L$4:$L$15,"غير موجود"),"")</f>
        <v/>
      </c>
      <c r="H144" s="35"/>
      <c r="I144" s="35"/>
      <c r="J144" s="35"/>
    </row>
    <row r="145" spans="2:10">
      <c r="B145" s="34" t="s">
        <v>572</v>
      </c>
      <c r="C145" s="34" t="s">
        <v>512</v>
      </c>
      <c r="D145" s="34">
        <v>1</v>
      </c>
      <c r="E145" s="34" t="s">
        <v>513</v>
      </c>
      <c r="F145" s="34">
        <v>16</v>
      </c>
      <c r="G145" s="35" t="str">
        <f>IF(B145=المدخلات!$E$5,_xlfn.XLOOKUP(F145,الملخص!$A$4:$A$15,الملخص!$L$4:$L$15,"غير موجود"),"")</f>
        <v/>
      </c>
      <c r="H145" s="35"/>
      <c r="I145" s="35"/>
      <c r="J145" s="35"/>
    </row>
    <row r="146" spans="2:10">
      <c r="B146" s="34" t="s">
        <v>572</v>
      </c>
      <c r="C146" s="34" t="s">
        <v>516</v>
      </c>
      <c r="D146" s="34">
        <v>4</v>
      </c>
      <c r="E146" s="34" t="s">
        <v>596</v>
      </c>
      <c r="F146" s="34">
        <v>16</v>
      </c>
      <c r="G146" s="35" t="str">
        <f>IF(B146=المدخلات!$E$5,_xlfn.XLOOKUP(F146,الملخص!$A$4:$A$15,الملخص!$L$4:$L$15,"غير موجود"),"")</f>
        <v/>
      </c>
      <c r="H146" s="35"/>
      <c r="I146" s="35"/>
      <c r="J146" s="35"/>
    </row>
    <row r="147" spans="2:10">
      <c r="B147" s="34" t="s">
        <v>573</v>
      </c>
      <c r="C147" s="34" t="s">
        <v>525</v>
      </c>
      <c r="D147" s="34">
        <v>2</v>
      </c>
      <c r="E147" s="34" t="s">
        <v>526</v>
      </c>
      <c r="F147" s="34">
        <v>16</v>
      </c>
      <c r="G147" s="35" t="str">
        <f>IF(B147=المدخلات!$E$5,_xlfn.XLOOKUP(F147,الملخص!$A$4:$A$15,الملخص!$L$4:$L$15,"غير موجود"),"")</f>
        <v/>
      </c>
      <c r="H147" s="35"/>
      <c r="I147" s="35"/>
      <c r="J147" s="35"/>
    </row>
    <row r="148" spans="2:10">
      <c r="B148" s="34" t="s">
        <v>484</v>
      </c>
      <c r="C148" s="34" t="s">
        <v>517</v>
      </c>
      <c r="D148" s="34">
        <v>1</v>
      </c>
      <c r="E148" s="34" t="s">
        <v>518</v>
      </c>
      <c r="F148" s="34">
        <v>17</v>
      </c>
      <c r="G148" s="35">
        <f>IF(B148=المدخلات!$E$5,_xlfn.XLOOKUP(F148,الملخص!$A$4:$A$15,الملخص!$L$4:$L$15,"غير موجود"),"")</f>
        <v>3</v>
      </c>
      <c r="H148" s="35"/>
      <c r="I148" s="35"/>
      <c r="J148" s="35"/>
    </row>
    <row r="149" spans="2:10">
      <c r="B149" s="34" t="s">
        <v>568</v>
      </c>
      <c r="C149" s="34" t="s">
        <v>523</v>
      </c>
      <c r="D149" s="34">
        <v>1</v>
      </c>
      <c r="E149" s="34" t="s">
        <v>524</v>
      </c>
      <c r="F149" s="34">
        <v>17</v>
      </c>
      <c r="G149" s="35" t="str">
        <f>IF(B149=المدخلات!$E$5,_xlfn.XLOOKUP(F149,الملخص!$A$4:$A$15,الملخص!$L$4:$L$15,"غير موجود"),"")</f>
        <v/>
      </c>
      <c r="H149" s="35"/>
      <c r="I149" s="35"/>
      <c r="J149" s="35"/>
    </row>
    <row r="150" spans="2:10">
      <c r="B150" s="34" t="s">
        <v>569</v>
      </c>
      <c r="C150" s="34" t="s">
        <v>528</v>
      </c>
      <c r="D150" s="34">
        <v>1</v>
      </c>
      <c r="E150" s="34" t="s">
        <v>529</v>
      </c>
      <c r="F150" s="34">
        <v>17</v>
      </c>
      <c r="G150" s="35" t="str">
        <f>IF(B150=المدخلات!$E$5,_xlfn.XLOOKUP(F150,الملخص!$A$4:$A$15,الملخص!$L$4:$L$15,"غير موجود"),"")</f>
        <v/>
      </c>
      <c r="H150" s="35"/>
      <c r="I150" s="35"/>
      <c r="J150" s="35"/>
    </row>
    <row r="151" spans="2:10">
      <c r="B151" s="34" t="s">
        <v>572</v>
      </c>
      <c r="C151" s="34" t="s">
        <v>517</v>
      </c>
      <c r="D151" s="34">
        <v>1</v>
      </c>
      <c r="E151" s="34" t="s">
        <v>518</v>
      </c>
      <c r="F151" s="34">
        <v>17</v>
      </c>
      <c r="G151" s="35" t="str">
        <f>IF(B151=المدخلات!$E$5,_xlfn.XLOOKUP(F151,الملخص!$A$4:$A$15,الملخص!$L$4:$L$15,"غير موجود"),"")</f>
        <v/>
      </c>
      <c r="H151" s="35"/>
      <c r="I151" s="35"/>
      <c r="J151" s="35"/>
    </row>
    <row r="152" spans="2:10">
      <c r="B152" s="34" t="s">
        <v>575</v>
      </c>
      <c r="C152" s="34" t="s">
        <v>503</v>
      </c>
      <c r="D152" s="34">
        <v>2</v>
      </c>
      <c r="E152" s="34" t="s">
        <v>591</v>
      </c>
      <c r="F152" s="34">
        <v>18</v>
      </c>
      <c r="G152" s="35" t="str">
        <f>IF(B152=المدخلات!$E$5,_xlfn.XLOOKUP(F152,الملخص!$A$4:$A$15,الملخص!$L$4:$L$15,"غير موجود"),"")</f>
        <v/>
      </c>
      <c r="H152" s="35"/>
      <c r="I152" s="35"/>
      <c r="J152" s="35"/>
    </row>
    <row r="153" spans="2:10">
      <c r="B153" s="34" t="s">
        <v>572</v>
      </c>
      <c r="C153" s="34" t="s">
        <v>532</v>
      </c>
      <c r="D153" s="34">
        <v>1</v>
      </c>
      <c r="E153" s="34" t="s">
        <v>533</v>
      </c>
      <c r="F153" s="34">
        <v>18</v>
      </c>
      <c r="G153" s="35" t="str">
        <f>IF(B153=المدخلات!$E$5,_xlfn.XLOOKUP(F153,الملخص!$A$4:$A$15,الملخص!$L$4:$L$15,"غير موجود"),"")</f>
        <v/>
      </c>
      <c r="H153" s="35"/>
      <c r="I153" s="35"/>
      <c r="J153" s="35"/>
    </row>
    <row r="154" spans="2:10">
      <c r="B154" s="34" t="s">
        <v>568</v>
      </c>
      <c r="C154" s="34" t="s">
        <v>517</v>
      </c>
      <c r="D154" s="34">
        <v>1</v>
      </c>
      <c r="E154" s="34" t="s">
        <v>518</v>
      </c>
      <c r="F154" s="34">
        <v>19</v>
      </c>
      <c r="G154" s="35" t="str">
        <f>IF(B154=المدخلات!$E$5,_xlfn.XLOOKUP(F154,الملخص!$A$4:$A$15,الملخص!$L$4:$L$15,"غير موجود"),"")</f>
        <v/>
      </c>
      <c r="H154" s="35"/>
      <c r="I154" s="35"/>
      <c r="J154" s="35"/>
    </row>
    <row r="155" spans="2:10">
      <c r="B155" s="34" t="s">
        <v>573</v>
      </c>
      <c r="C155" s="34" t="s">
        <v>517</v>
      </c>
      <c r="D155" s="34">
        <v>1</v>
      </c>
      <c r="E155" s="34" t="s">
        <v>518</v>
      </c>
      <c r="F155" s="34">
        <v>19</v>
      </c>
      <c r="G155" s="35" t="str">
        <f>IF(B155=المدخلات!$E$5,_xlfn.XLOOKUP(F155,الملخص!$A$4:$A$15,الملخص!$L$4:$L$15,"غير موجود"),"")</f>
        <v/>
      </c>
      <c r="H155" s="35"/>
      <c r="I155" s="35"/>
      <c r="J155" s="35"/>
    </row>
    <row r="156" spans="2:10">
      <c r="B156" s="34" t="s">
        <v>580</v>
      </c>
      <c r="C156" s="34" t="s">
        <v>517</v>
      </c>
      <c r="D156" s="34">
        <v>1</v>
      </c>
      <c r="E156" s="34" t="s">
        <v>518</v>
      </c>
      <c r="F156" s="34">
        <v>21</v>
      </c>
      <c r="G156" s="35" t="str">
        <f>IF(B156=المدخلات!$E$5,_xlfn.XLOOKUP(F156,الملخص!$A$4:$A$15,الملخص!$L$4:$L$15,"غير موجود"),"")</f>
        <v/>
      </c>
      <c r="H156" s="35"/>
      <c r="I156" s="35"/>
      <c r="J156" s="35"/>
    </row>
    <row r="157" spans="2:10">
      <c r="B157" s="34" t="s">
        <v>572</v>
      </c>
      <c r="C157" s="34" t="s">
        <v>527</v>
      </c>
      <c r="D157" s="34">
        <v>1</v>
      </c>
      <c r="E157" s="34" t="s">
        <v>598</v>
      </c>
      <c r="F157" s="34">
        <v>21</v>
      </c>
      <c r="G157" s="35" t="str">
        <f>IF(B157=المدخلات!$E$5,_xlfn.XLOOKUP(F157,الملخص!$A$4:$A$15,الملخص!$L$4:$L$15,"غير موجود"),"")</f>
        <v/>
      </c>
      <c r="H157" s="35"/>
      <c r="I157" s="35"/>
      <c r="J157" s="35"/>
    </row>
    <row r="158" spans="2:10">
      <c r="B158" s="34" t="s">
        <v>575</v>
      </c>
      <c r="C158" s="34" t="s">
        <v>517</v>
      </c>
      <c r="D158" s="34">
        <v>1</v>
      </c>
      <c r="E158" s="34" t="s">
        <v>518</v>
      </c>
      <c r="F158" s="34">
        <v>22</v>
      </c>
      <c r="G158" s="35" t="str">
        <f>IF(B158=المدخلات!$E$5,_xlfn.XLOOKUP(F158,الملخص!$A$4:$A$15,الملخص!$L$4:$L$15,"غير موجود"),"")</f>
        <v/>
      </c>
      <c r="H158" s="35"/>
      <c r="I158" s="35"/>
      <c r="J158" s="35"/>
    </row>
    <row r="159" spans="2:10">
      <c r="B159" s="34" t="s">
        <v>569</v>
      </c>
      <c r="C159" s="34" t="s">
        <v>530</v>
      </c>
      <c r="D159" s="34">
        <v>1</v>
      </c>
      <c r="E159" s="34" t="s">
        <v>531</v>
      </c>
      <c r="F159" s="34">
        <v>22</v>
      </c>
      <c r="G159" s="35" t="str">
        <f>IF(B159=المدخلات!$E$5,_xlfn.XLOOKUP(F159,الملخص!$A$4:$A$15,الملخص!$L$4:$L$15,"غير موجود"),"")</f>
        <v/>
      </c>
      <c r="H159" s="35"/>
      <c r="I159" s="35"/>
      <c r="J159" s="35"/>
    </row>
    <row r="160" spans="2:10">
      <c r="B160" s="34" t="s">
        <v>580</v>
      </c>
      <c r="C160" s="34" t="s">
        <v>512</v>
      </c>
      <c r="D160" s="34">
        <v>1</v>
      </c>
      <c r="E160" s="34" t="s">
        <v>513</v>
      </c>
      <c r="F160" s="34">
        <v>23</v>
      </c>
      <c r="G160" s="35" t="str">
        <f>IF(B160=المدخلات!$E$5,_xlfn.XLOOKUP(F160,الملخص!$A$4:$A$15,الملخص!$L$4:$L$15,"غير موجود"),"")</f>
        <v/>
      </c>
      <c r="H160" s="35"/>
      <c r="I160" s="35"/>
      <c r="J160" s="35"/>
    </row>
    <row r="161" spans="2:10">
      <c r="B161" s="34" t="s">
        <v>484</v>
      </c>
      <c r="C161" s="34" t="s">
        <v>527</v>
      </c>
      <c r="D161" s="34">
        <v>2</v>
      </c>
      <c r="E161" s="34" t="s">
        <v>599</v>
      </c>
      <c r="F161" s="34">
        <v>24</v>
      </c>
      <c r="G161" s="35">
        <f>IF(B161=المدخلات!$E$5,_xlfn.XLOOKUP(F161,الملخص!$A$4:$A$15,الملخص!$L$4:$L$15,"غير موجود"),"")</f>
        <v>4</v>
      </c>
      <c r="H161" s="35"/>
      <c r="I161" s="35"/>
      <c r="J161" s="35"/>
    </row>
    <row r="162" spans="2:10">
      <c r="B162" s="34" t="s">
        <v>575</v>
      </c>
      <c r="C162" s="34" t="s">
        <v>512</v>
      </c>
      <c r="D162" s="34">
        <v>1</v>
      </c>
      <c r="E162" s="34" t="s">
        <v>513</v>
      </c>
      <c r="F162" s="34">
        <v>25</v>
      </c>
      <c r="G162" s="35" t="str">
        <f>IF(B162=المدخلات!$E$5,_xlfn.XLOOKUP(F162,الملخص!$A$4:$A$15,الملخص!$L$4:$L$15,"غير موجود"),"")</f>
        <v/>
      </c>
      <c r="H162" s="35"/>
      <c r="I162" s="35"/>
      <c r="J162" s="35"/>
    </row>
    <row r="163" spans="2:10">
      <c r="B163" s="34" t="s">
        <v>573</v>
      </c>
      <c r="C163" s="34" t="s">
        <v>512</v>
      </c>
      <c r="D163" s="34">
        <v>1</v>
      </c>
      <c r="E163" s="34" t="s">
        <v>513</v>
      </c>
      <c r="F163" s="34">
        <v>25</v>
      </c>
      <c r="G163" s="35" t="str">
        <f>IF(B163=المدخلات!$E$5,_xlfn.XLOOKUP(F163,الملخص!$A$4:$A$15,الملخص!$L$4:$L$15,"غير موجود"),"")</f>
        <v/>
      </c>
      <c r="H163" s="35"/>
      <c r="I163" s="35"/>
      <c r="J163" s="35"/>
    </row>
    <row r="164" spans="2:10">
      <c r="B164" s="34" t="s">
        <v>568</v>
      </c>
      <c r="C164" s="34" t="s">
        <v>527</v>
      </c>
      <c r="D164" s="34">
        <v>2</v>
      </c>
      <c r="E164" s="34" t="s">
        <v>599</v>
      </c>
      <c r="F164" s="34">
        <v>26</v>
      </c>
      <c r="G164" s="35" t="str">
        <f>IF(B164=المدخلات!$E$5,_xlfn.XLOOKUP(F164,الملخص!$A$4:$A$15,الملخص!$L$4:$L$15,"غير موجود"),"")</f>
        <v/>
      </c>
      <c r="H164" s="35"/>
      <c r="I164" s="35"/>
      <c r="J164" s="35"/>
    </row>
    <row r="165" spans="2:10">
      <c r="B165" s="34" t="s">
        <v>580</v>
      </c>
      <c r="C165" s="34" t="s">
        <v>527</v>
      </c>
      <c r="D165" s="34">
        <v>2</v>
      </c>
      <c r="E165" s="34" t="s">
        <v>599</v>
      </c>
      <c r="F165" s="34">
        <v>27</v>
      </c>
      <c r="G165" s="35" t="str">
        <f>IF(B165=المدخلات!$E$5,_xlfn.XLOOKUP(F165,الملخص!$A$4:$A$15,الملخص!$L$4:$L$15,"غير موجود"),"")</f>
        <v/>
      </c>
      <c r="H165" s="35"/>
      <c r="I165" s="35"/>
      <c r="J165" s="35"/>
    </row>
    <row r="166" spans="2:10">
      <c r="B166" s="34" t="s">
        <v>575</v>
      </c>
      <c r="C166" s="34" t="s">
        <v>527</v>
      </c>
      <c r="D166" s="34">
        <v>2</v>
      </c>
      <c r="E166" s="34" t="s">
        <v>599</v>
      </c>
      <c r="F166" s="34">
        <v>27</v>
      </c>
      <c r="G166" s="35" t="str">
        <f>IF(B166=المدخلات!$E$5,_xlfn.XLOOKUP(F166,الملخص!$A$4:$A$15,الملخص!$L$4:$L$15,"غير موجود"),"")</f>
        <v/>
      </c>
      <c r="H166" s="35"/>
      <c r="I166" s="35"/>
      <c r="J166" s="35"/>
    </row>
    <row r="167" spans="2:10">
      <c r="B167" s="34" t="s">
        <v>568</v>
      </c>
      <c r="C167" s="34" t="s">
        <v>532</v>
      </c>
      <c r="D167" s="34">
        <v>1</v>
      </c>
      <c r="E167" s="34" t="s">
        <v>533</v>
      </c>
      <c r="F167" s="34">
        <v>28</v>
      </c>
      <c r="G167" s="35" t="str">
        <f>IF(B167=المدخلات!$E$5,_xlfn.XLOOKUP(F167,الملخص!$A$4:$A$15,الملخص!$L$4:$L$15,"غير موجود"),"")</f>
        <v/>
      </c>
      <c r="H167" s="35"/>
      <c r="I167" s="35"/>
      <c r="J167" s="35"/>
    </row>
    <row r="168" spans="2:10">
      <c r="B168" s="34" t="s">
        <v>573</v>
      </c>
      <c r="C168" s="34" t="s">
        <v>532</v>
      </c>
      <c r="D168" s="34">
        <v>1</v>
      </c>
      <c r="E168" s="34" t="s">
        <v>533</v>
      </c>
      <c r="F168" s="34">
        <v>28</v>
      </c>
      <c r="G168" s="35" t="str">
        <f>IF(B168=المدخلات!$E$5,_xlfn.XLOOKUP(F168,الملخص!$A$4:$A$15,الملخص!$L$4:$L$15,"غير موجود"),"")</f>
        <v/>
      </c>
      <c r="H168" s="35"/>
      <c r="I168" s="35"/>
      <c r="J168" s="35"/>
    </row>
    <row r="169" spans="2:10">
      <c r="B169" s="34" t="s">
        <v>575</v>
      </c>
      <c r="C169" s="34" t="s">
        <v>532</v>
      </c>
      <c r="D169" s="34">
        <v>1</v>
      </c>
      <c r="E169" s="34" t="s">
        <v>533</v>
      </c>
      <c r="F169" s="34">
        <v>29</v>
      </c>
      <c r="G169" s="35" t="str">
        <f>IF(B169=المدخلات!$E$5,_xlfn.XLOOKUP(F169,الملخص!$A$4:$A$15,الملخص!$L$4:$L$15,"غير موجود"),"")</f>
        <v/>
      </c>
      <c r="H169" s="35"/>
      <c r="I169" s="35"/>
      <c r="J169" s="35"/>
    </row>
    <row r="170" spans="2:10">
      <c r="B170" s="34" t="s">
        <v>484</v>
      </c>
      <c r="C170" s="34" t="s">
        <v>528</v>
      </c>
      <c r="D170" s="34">
        <v>1</v>
      </c>
      <c r="E170" s="34" t="s">
        <v>529</v>
      </c>
      <c r="F170" s="34">
        <v>29</v>
      </c>
      <c r="G170" s="35">
        <f>IF(B170=المدخلات!$E$5,_xlfn.XLOOKUP(F170,الملخص!$A$4:$A$15,الملخص!$L$4:$L$15,"غير موجود"),"")</f>
        <v>5</v>
      </c>
      <c r="H170" s="35"/>
      <c r="I170" s="35"/>
      <c r="J170" s="35"/>
    </row>
    <row r="171" spans="2:10">
      <c r="B171" s="34" t="s">
        <v>573</v>
      </c>
      <c r="C171" s="34" t="s">
        <v>527</v>
      </c>
      <c r="D171" s="34">
        <v>2</v>
      </c>
      <c r="E171" s="34" t="s">
        <v>599</v>
      </c>
      <c r="F171" s="34">
        <v>29</v>
      </c>
      <c r="G171" s="35" t="str">
        <f>IF(B171=المدخلات!$E$5,_xlfn.XLOOKUP(F171,الملخص!$A$4:$A$15,الملخص!$L$4:$L$15,"غير موجود"),"")</f>
        <v/>
      </c>
      <c r="H171" s="35"/>
      <c r="I171" s="35"/>
      <c r="J171" s="35"/>
    </row>
    <row r="172" spans="2:10">
      <c r="B172" s="34" t="s">
        <v>572</v>
      </c>
      <c r="C172" s="34" t="s">
        <v>528</v>
      </c>
      <c r="D172" s="34">
        <v>1</v>
      </c>
      <c r="E172" s="34" t="s">
        <v>529</v>
      </c>
      <c r="F172" s="34">
        <v>30</v>
      </c>
      <c r="G172" s="35" t="str">
        <f>IF(B172=المدخلات!$E$5,_xlfn.XLOOKUP(F172,الملخص!$A$4:$A$15,الملخص!$L$4:$L$15,"غير موجود"),"")</f>
        <v/>
      </c>
      <c r="H172" s="35"/>
      <c r="I172" s="35"/>
      <c r="J172" s="35"/>
    </row>
    <row r="173" spans="2:10">
      <c r="B173" s="34" t="s">
        <v>572</v>
      </c>
      <c r="C173" s="34" t="s">
        <v>530</v>
      </c>
      <c r="D173" s="34">
        <v>1</v>
      </c>
      <c r="E173" s="34" t="s">
        <v>531</v>
      </c>
      <c r="F173" s="34">
        <v>31</v>
      </c>
      <c r="G173" s="35" t="str">
        <f>IF(B173=المدخلات!$E$5,_xlfn.XLOOKUP(F173,الملخص!$A$4:$A$15,الملخص!$L$4:$L$15,"غير موجود"),"")</f>
        <v/>
      </c>
      <c r="H173" s="35"/>
      <c r="I173" s="35"/>
      <c r="J173" s="35"/>
    </row>
    <row r="174" spans="2:10">
      <c r="B174" s="34" t="s">
        <v>573</v>
      </c>
      <c r="C174" s="34" t="s">
        <v>516</v>
      </c>
      <c r="D174" s="34">
        <v>4</v>
      </c>
      <c r="E174" s="34" t="s">
        <v>596</v>
      </c>
      <c r="F174" s="34">
        <v>31</v>
      </c>
      <c r="G174" s="35" t="str">
        <f>IF(B174=المدخلات!$E$5,_xlfn.XLOOKUP(F174,الملخص!$A$4:$A$15,الملخص!$L$4:$L$15,"غير موجود"),"")</f>
        <v/>
      </c>
      <c r="H174" s="35"/>
      <c r="I174" s="35"/>
      <c r="J174" s="35"/>
    </row>
    <row r="175" spans="2:10">
      <c r="B175" s="34" t="s">
        <v>484</v>
      </c>
      <c r="C175" s="34" t="s">
        <v>530</v>
      </c>
      <c r="D175" s="34">
        <v>1</v>
      </c>
      <c r="E175" s="34" t="s">
        <v>531</v>
      </c>
      <c r="F175" s="34">
        <v>34</v>
      </c>
      <c r="G175" s="35">
        <f>IF(B175=المدخلات!$E$5,_xlfn.XLOOKUP(F175,الملخص!$A$4:$A$15,الملخص!$L$4:$L$15,"غير موجود"),"")</f>
        <v>6</v>
      </c>
      <c r="H175" s="35"/>
      <c r="I175" s="35"/>
      <c r="J175" s="35"/>
    </row>
    <row r="176" spans="2:10">
      <c r="B176" s="34" t="s">
        <v>484</v>
      </c>
      <c r="C176" s="34" t="s">
        <v>532</v>
      </c>
      <c r="D176" s="34">
        <v>1</v>
      </c>
      <c r="E176" s="34" t="s">
        <v>533</v>
      </c>
      <c r="F176" s="34">
        <v>34</v>
      </c>
      <c r="G176" s="35">
        <f>IF(B176=المدخلات!$E$5,_xlfn.XLOOKUP(F176,الملخص!$A$4:$A$15,الملخص!$L$4:$L$15,"غير موجود"),"")</f>
        <v>6</v>
      </c>
      <c r="H176" s="35"/>
      <c r="I176" s="35"/>
      <c r="J176" s="35"/>
    </row>
    <row r="177" spans="2:10">
      <c r="B177" s="34" t="s">
        <v>580</v>
      </c>
      <c r="C177" s="34" t="s">
        <v>532</v>
      </c>
      <c r="D177" s="34">
        <v>1</v>
      </c>
      <c r="E177" s="34" t="s">
        <v>533</v>
      </c>
      <c r="F177" s="34">
        <v>35</v>
      </c>
      <c r="G177" s="35" t="str">
        <f>IF(B177=المدخلات!$E$5,_xlfn.XLOOKUP(F177,الملخص!$A$4:$A$15,الملخص!$L$4:$L$15,"غير موجود"),"")</f>
        <v/>
      </c>
      <c r="H177" s="35"/>
      <c r="I177" s="35"/>
      <c r="J177" s="35"/>
    </row>
    <row r="178" spans="2:10">
      <c r="B178" s="34" t="s">
        <v>568</v>
      </c>
      <c r="C178" s="34" t="s">
        <v>528</v>
      </c>
      <c r="D178" s="34">
        <v>1</v>
      </c>
      <c r="E178" s="34" t="s">
        <v>529</v>
      </c>
      <c r="F178" s="34">
        <v>38</v>
      </c>
      <c r="G178" s="35" t="str">
        <f>IF(B178=المدخلات!$E$5,_xlfn.XLOOKUP(F178,الملخص!$A$4:$A$15,الملخص!$L$4:$L$15,"غير موجود"),"")</f>
        <v/>
      </c>
      <c r="H178" s="35"/>
      <c r="I178" s="35"/>
      <c r="J178" s="35"/>
    </row>
    <row r="179" spans="2:10">
      <c r="B179" s="34" t="s">
        <v>568</v>
      </c>
      <c r="C179" s="34" t="s">
        <v>530</v>
      </c>
      <c r="D179" s="34">
        <v>1</v>
      </c>
      <c r="E179" s="34" t="s">
        <v>531</v>
      </c>
      <c r="F179" s="34">
        <v>39</v>
      </c>
      <c r="G179" s="35" t="str">
        <f>IF(B179=المدخلات!$E$5,_xlfn.XLOOKUP(F179,الملخص!$A$4:$A$15,الملخص!$L$4:$L$15,"غير موجود"),"")</f>
        <v/>
      </c>
      <c r="H179" s="35"/>
      <c r="I179" s="35"/>
      <c r="J179" s="35"/>
    </row>
    <row r="180" spans="2:10">
      <c r="B180" s="34" t="s">
        <v>573</v>
      </c>
      <c r="C180" s="34" t="s">
        <v>528</v>
      </c>
      <c r="D180" s="34">
        <v>1</v>
      </c>
      <c r="E180" s="34" t="s">
        <v>529</v>
      </c>
      <c r="F180" s="34">
        <v>40</v>
      </c>
      <c r="G180" s="35" t="str">
        <f>IF(B180=المدخلات!$E$5,_xlfn.XLOOKUP(F180,الملخص!$A$4:$A$15,الملخص!$L$4:$L$15,"غير موجود"),"")</f>
        <v/>
      </c>
      <c r="H180" s="35"/>
      <c r="I180" s="35"/>
      <c r="J180" s="35"/>
    </row>
    <row r="181" spans="2:10">
      <c r="B181" s="34" t="s">
        <v>580</v>
      </c>
      <c r="C181" s="34" t="s">
        <v>528</v>
      </c>
      <c r="D181" s="34">
        <v>1</v>
      </c>
      <c r="E181" s="34" t="s">
        <v>529</v>
      </c>
      <c r="F181" s="34">
        <v>48</v>
      </c>
      <c r="G181" s="35" t="str">
        <f>IF(B181=المدخلات!$E$5,_xlfn.XLOOKUP(F181,الملخص!$A$4:$A$15,الملخص!$L$4:$L$15,"غير موجود"),"")</f>
        <v/>
      </c>
      <c r="H181" s="35"/>
      <c r="I181" s="35"/>
      <c r="J181" s="35"/>
    </row>
    <row r="182" spans="2:10">
      <c r="B182" s="34" t="s">
        <v>575</v>
      </c>
      <c r="C182" s="34" t="s">
        <v>528</v>
      </c>
      <c r="D182" s="34">
        <v>1</v>
      </c>
      <c r="E182" s="34" t="s">
        <v>529</v>
      </c>
      <c r="F182" s="34">
        <v>49</v>
      </c>
      <c r="G182" s="35" t="str">
        <f>IF(B182=المدخلات!$E$5,_xlfn.XLOOKUP(F182,الملخص!$A$4:$A$15,الملخص!$L$4:$L$15,"غير موجود"),"")</f>
        <v/>
      </c>
      <c r="H182" s="35"/>
      <c r="I182" s="35"/>
      <c r="J182" s="35"/>
    </row>
    <row r="183" spans="2:10">
      <c r="B183" s="34" t="s">
        <v>573</v>
      </c>
      <c r="C183" s="34" t="s">
        <v>530</v>
      </c>
      <c r="D183" s="34">
        <v>1</v>
      </c>
      <c r="E183" s="34" t="s">
        <v>531</v>
      </c>
      <c r="F183" s="34">
        <v>49</v>
      </c>
      <c r="G183" s="35" t="str">
        <f>IF(B183=المدخلات!$E$5,_xlfn.XLOOKUP(F183,الملخص!$A$4:$A$15,الملخص!$L$4:$L$15,"غير موجود"),"")</f>
        <v/>
      </c>
      <c r="H183" s="35"/>
      <c r="I183" s="35"/>
      <c r="J183" s="35"/>
    </row>
    <row r="184" spans="2:10">
      <c r="B184" s="34" t="s">
        <v>580</v>
      </c>
      <c r="C184" s="34" t="s">
        <v>530</v>
      </c>
      <c r="D184" s="34">
        <v>1</v>
      </c>
      <c r="E184" s="34" t="s">
        <v>531</v>
      </c>
      <c r="F184" s="34">
        <v>52</v>
      </c>
      <c r="G184" s="35" t="str">
        <f>IF(B184=المدخلات!$E$5,_xlfn.XLOOKUP(F184,الملخص!$A$4:$A$15,الملخص!$L$4:$L$15,"غير موجود"),"")</f>
        <v/>
      </c>
      <c r="H184" s="35"/>
      <c r="I184" s="35"/>
      <c r="J184" s="35"/>
    </row>
    <row r="185" spans="2:10">
      <c r="B185" s="34" t="s">
        <v>575</v>
      </c>
      <c r="C185" s="34" t="s">
        <v>530</v>
      </c>
      <c r="D185" s="34">
        <v>1</v>
      </c>
      <c r="E185" s="34" t="s">
        <v>531</v>
      </c>
      <c r="F185" s="34">
        <v>56</v>
      </c>
      <c r="G185" s="35" t="str">
        <f>IF(B185=المدخلات!$E$5,_xlfn.XLOOKUP(F185,الملخص!$A$4:$A$15,الملخص!$L$4:$L$15,"غير موجود"),"")</f>
        <v/>
      </c>
      <c r="H185" s="35"/>
      <c r="I185" s="35"/>
      <c r="J185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F1FE-2AF6-47D7-A743-9692833E9875}">
  <dimension ref="A1:I31"/>
  <sheetViews>
    <sheetView showGridLines="0" rightToLeft="1" workbookViewId="0">
      <selection activeCell="C25" sqref="C25"/>
    </sheetView>
  </sheetViews>
  <sheetFormatPr defaultRowHeight="14.5"/>
  <cols>
    <col min="1" max="1" width="36.36328125" style="1" customWidth="1"/>
    <col min="2" max="2" width="16.36328125" style="1" customWidth="1"/>
    <col min="3" max="3" width="41.81640625" style="1" customWidth="1"/>
    <col min="5" max="5" width="6.90625" bestFit="1" customWidth="1"/>
    <col min="6" max="6" width="17" bestFit="1" customWidth="1"/>
    <col min="7" max="7" width="8.453125" bestFit="1" customWidth="1"/>
    <col min="8" max="8" width="24.54296875" bestFit="1" customWidth="1"/>
    <col min="9" max="9" width="10.36328125" bestFit="1" customWidth="1"/>
  </cols>
  <sheetData>
    <row r="1" spans="1:9" ht="18.5">
      <c r="A1" s="37" t="s">
        <v>0</v>
      </c>
      <c r="B1" s="37"/>
      <c r="C1" s="37"/>
    </row>
    <row r="2" spans="1:9">
      <c r="A2" s="15"/>
      <c r="B2" s="15"/>
      <c r="C2" s="15"/>
    </row>
    <row r="3" spans="1:9">
      <c r="A3" s="28" t="s">
        <v>1</v>
      </c>
      <c r="B3" s="15"/>
      <c r="C3" s="15"/>
    </row>
    <row r="4" spans="1:9">
      <c r="A4" s="27" t="s">
        <v>2</v>
      </c>
      <c r="B4" s="27" t="s">
        <v>3</v>
      </c>
      <c r="C4" s="27" t="s">
        <v>4</v>
      </c>
      <c r="E4" s="27" t="s">
        <v>480</v>
      </c>
      <c r="F4" s="27" t="s">
        <v>33</v>
      </c>
      <c r="G4" s="27" t="s">
        <v>481</v>
      </c>
      <c r="H4" s="27" t="s">
        <v>482</v>
      </c>
      <c r="I4" s="27" t="s">
        <v>483</v>
      </c>
    </row>
    <row r="5" spans="1:9">
      <c r="A5" s="5" t="s">
        <v>5</v>
      </c>
      <c r="B5" s="2">
        <v>0.66666666666666663</v>
      </c>
      <c r="C5" s="32" t="s">
        <v>10</v>
      </c>
      <c r="E5" s="31" t="s">
        <v>484</v>
      </c>
      <c r="F5" s="31" t="str" cm="1">
        <f t="array" ref="F5">INDEX(Sheet1!$C$2:$C$185,_xlfn.AGGREGATE(15,6,(ROW(Sheet1!$B$2:$B$185)-1)/(Sheet1!$B$2:$B$185=$E5),COUNTIF($E$5:$E5,$E5)))</f>
        <v>مجموعة القريات</v>
      </c>
      <c r="G5" s="31" cm="1">
        <f t="array" ref="G5">INDEX(Sheet1!$D$2:$D$185,_xlfn.AGGREGATE(15,6,(ROW(Sheet1!$B$2:$B$185)-1)/(Sheet1!$B$2:$B$185=$E5),COUNTIF($E$5:$E5,$E5)))</f>
        <v>1</v>
      </c>
      <c r="H5" s="31" t="str" cm="1">
        <f t="array" ref="H5">INDEX(Sheet1!$E$2:$E$185,_xlfn.AGGREGATE(15,6,(ROW(Sheet1!$B$2:$B$185)-1)/(Sheet1!$B$2:$B$185=$E5),COUNTIF($E$5:$E5,$E5)))</f>
        <v>القريات</v>
      </c>
      <c r="I5" s="31" cm="1">
        <f t="array" ref="I5">INDEX(Sheet1!$F$2:$F$185,_xlfn.AGGREGATE(15,6,(ROW(Sheet1!$B$2:$B$185)-1)/(Sheet1!$B$2:$B$185=$E5),COUNTIF($E$5:$E5,$E5)))</f>
        <v>5</v>
      </c>
    </row>
    <row r="6" spans="1:9">
      <c r="A6" s="5" t="s">
        <v>6</v>
      </c>
      <c r="B6" s="3">
        <v>85</v>
      </c>
      <c r="C6" s="32" t="s">
        <v>10</v>
      </c>
      <c r="E6" s="31" t="s">
        <v>484</v>
      </c>
      <c r="F6" s="31" t="str" cm="1">
        <f t="array" ref="F6">INDEX(Sheet1!$C$2:$C$185,_xlfn.AGGREGATE(15,6,(ROW(Sheet1!$B$2:$B$185)-1)/(Sheet1!$B$2:$B$185=$E6),COUNTIF($E$5:$E6,$E6)))</f>
        <v>مجموعة نجران</v>
      </c>
      <c r="G6" s="31" cm="1">
        <f t="array" ref="G6">INDEX(Sheet1!$D$2:$D$185,_xlfn.AGGREGATE(15,6,(ROW(Sheet1!$B$2:$B$185)-1)/(Sheet1!$B$2:$B$185=$E6),COUNTIF($E$5:$E6,$E6)))</f>
        <v>1</v>
      </c>
      <c r="H6" s="31" t="str" cm="1">
        <f t="array" ref="H6">INDEX(Sheet1!$E$2:$E$185,_xlfn.AGGREGATE(15,6,(ROW(Sheet1!$B$2:$B$185)-1)/(Sheet1!$B$2:$B$185=$E6),COUNTIF($E$5:$E6,$E6)))</f>
        <v>نجران</v>
      </c>
      <c r="I6" s="31" cm="1">
        <f t="array" ref="I6">INDEX(Sheet1!$F$2:$F$185,_xlfn.AGGREGATE(15,6,(ROW(Sheet1!$B$2:$B$185)-1)/(Sheet1!$B$2:$B$185=$E6),COUNTIF($E$5:$E6,$E6)))</f>
        <v>6</v>
      </c>
    </row>
    <row r="7" spans="1:9">
      <c r="A7" s="5" t="s">
        <v>7</v>
      </c>
      <c r="B7" s="3">
        <v>10</v>
      </c>
      <c r="C7" s="32" t="s">
        <v>10</v>
      </c>
      <c r="E7" s="31" t="s">
        <v>484</v>
      </c>
      <c r="F7" s="31" t="str" cm="1">
        <f t="array" ref="F7">INDEX(Sheet1!$C$2:$C$185,_xlfn.AGGREGATE(15,6,(ROW(Sheet1!$B$2:$B$185)-1)/(Sheet1!$B$2:$B$185=$E7),COUNTIF($E$5:$E7,$E7)))</f>
        <v>مجموعة الباحة</v>
      </c>
      <c r="G7" s="31" cm="1">
        <f t="array" ref="G7">INDEX(Sheet1!$D$2:$D$185,_xlfn.AGGREGATE(15,6,(ROW(Sheet1!$B$2:$B$185)-1)/(Sheet1!$B$2:$B$185=$E7),COUNTIF($E$5:$E7,$E7)))</f>
        <v>3</v>
      </c>
      <c r="H7" s="31" t="str" cm="1">
        <f t="array" ref="H7">INDEX(Sheet1!$E$2:$E$185,_xlfn.AGGREGATE(15,6,(ROW(Sheet1!$B$2:$B$185)-1)/(Sheet1!$B$2:$B$185=$E7),COUNTIF($E$5:$E7,$E7)))</f>
        <v>الباحة، بلقرن، العقيق</v>
      </c>
      <c r="I7" s="31" cm="1">
        <f t="array" ref="I7">INDEX(Sheet1!$F$2:$F$185,_xlfn.AGGREGATE(15,6,(ROW(Sheet1!$B$2:$B$185)-1)/(Sheet1!$B$2:$B$185=$E7),COUNTIF($E$5:$E7,$E7)))</f>
        <v>6</v>
      </c>
    </row>
    <row r="8" spans="1:9">
      <c r="A8" s="5" t="s">
        <v>8</v>
      </c>
      <c r="B8" s="4">
        <f>B6+B7</f>
        <v>95</v>
      </c>
      <c r="C8" s="32" t="s">
        <v>11</v>
      </c>
      <c r="E8" s="31" t="s">
        <v>484</v>
      </c>
      <c r="F8" s="31" t="str" cm="1">
        <f t="array" ref="F8">INDEX(Sheet1!$C$2:$C$185,_xlfn.AGGREGATE(15,6,(ROW(Sheet1!$B$2:$B$185)-1)/(Sheet1!$B$2:$B$185=$E8),COUNTIF($E$5:$E8,$E8)))</f>
        <v>مجموعة الرس</v>
      </c>
      <c r="G8" s="31" cm="1">
        <f t="array" ref="G8">INDEX(Sheet1!$D$2:$D$185,_xlfn.AGGREGATE(15,6,(ROW(Sheet1!$B$2:$B$185)-1)/(Sheet1!$B$2:$B$185=$E8),COUNTIF($E$5:$E8,$E8)))</f>
        <v>2</v>
      </c>
      <c r="H8" s="31" t="str" cm="1">
        <f t="array" ref="H8">INDEX(Sheet1!$E$2:$E$185,_xlfn.AGGREGATE(15,6,(ROW(Sheet1!$B$2:$B$185)-1)/(Sheet1!$B$2:$B$185=$E8),COUNTIF($E$5:$E8,$E8)))</f>
        <v>الرس، البدائع</v>
      </c>
      <c r="I8" s="31" cm="1">
        <f t="array" ref="I8">INDEX(Sheet1!$F$2:$F$185,_xlfn.AGGREGATE(15,6,(ROW(Sheet1!$B$2:$B$185)-1)/(Sheet1!$B$2:$B$185=$E8),COUNTIF($E$5:$E8,$E8)))</f>
        <v>7</v>
      </c>
    </row>
    <row r="9" spans="1:9">
      <c r="A9" s="5" t="s">
        <v>9</v>
      </c>
      <c r="B9" s="3">
        <v>3</v>
      </c>
      <c r="C9" s="32" t="s">
        <v>10</v>
      </c>
      <c r="E9" s="31" t="s">
        <v>484</v>
      </c>
      <c r="F9" s="31" t="str" cm="1">
        <f t="array" ref="F9">INDEX(Sheet1!$C$2:$C$185,_xlfn.AGGREGATE(15,6,(ROW(Sheet1!$B$2:$B$185)-1)/(Sheet1!$B$2:$B$185=$E9),COUNTIF($E$5:$E9,$E9)))</f>
        <v>مجموعة جازان</v>
      </c>
      <c r="G9" s="31" cm="1">
        <f t="array" ref="G9">INDEX(Sheet1!$D$2:$D$185,_xlfn.AGGREGATE(15,6,(ROW(Sheet1!$B$2:$B$185)-1)/(Sheet1!$B$2:$B$185=$E9),COUNTIF($E$5:$E9,$E9)))</f>
        <v>1</v>
      </c>
      <c r="H9" s="31" t="str" cm="1">
        <f t="array" ref="H9">INDEX(Sheet1!$E$2:$E$185,_xlfn.AGGREGATE(15,6,(ROW(Sheet1!$B$2:$B$185)-1)/(Sheet1!$B$2:$B$185=$E9),COUNTIF($E$5:$E9,$E9)))</f>
        <v>جيزان</v>
      </c>
      <c r="I9" s="31" cm="1">
        <f t="array" ref="I9">INDEX(Sheet1!$F$2:$F$185,_xlfn.AGGREGATE(15,6,(ROW(Sheet1!$B$2:$B$185)-1)/(Sheet1!$B$2:$B$185=$E9),COUNTIF($E$5:$E9,$E9)))</f>
        <v>7</v>
      </c>
    </row>
    <row r="10" spans="1:9">
      <c r="A10" s="29" t="s">
        <v>410</v>
      </c>
      <c r="B10" s="30">
        <v>16</v>
      </c>
      <c r="C10" s="33" t="s">
        <v>411</v>
      </c>
      <c r="E10" s="31" t="s">
        <v>484</v>
      </c>
      <c r="F10" s="31" t="str" cm="1">
        <f t="array" ref="F10">INDEX(Sheet1!$C$2:$C$185,_xlfn.AGGREGATE(15,6,(ROW(Sheet1!$B$2:$B$185)-1)/(Sheet1!$B$2:$B$185=$E10),COUNTIF($E$5:$E10,$E10)))</f>
        <v>مجموعة تبوك</v>
      </c>
      <c r="G10" s="31" cm="1">
        <f t="array" ref="G10">INDEX(Sheet1!$D$2:$D$185,_xlfn.AGGREGATE(15,6,(ROW(Sheet1!$B$2:$B$185)-1)/(Sheet1!$B$2:$B$185=$E10),COUNTIF($E$5:$E10,$E10)))</f>
        <v>1</v>
      </c>
      <c r="H10" s="31" t="str" cm="1">
        <f t="array" ref="H10">INDEX(Sheet1!$E$2:$E$185,_xlfn.AGGREGATE(15,6,(ROW(Sheet1!$B$2:$B$185)-1)/(Sheet1!$B$2:$B$185=$E10),COUNTIF($E$5:$E10,$E10)))</f>
        <v>تبوك</v>
      </c>
      <c r="I10" s="31" cm="1">
        <f t="array" ref="I10">INDEX(Sheet1!$F$2:$F$185,_xlfn.AGGREGATE(15,6,(ROW(Sheet1!$B$2:$B$185)-1)/(Sheet1!$B$2:$B$185=$E10),COUNTIF($E$5:$E10,$E10)))</f>
        <v>8</v>
      </c>
    </row>
    <row r="11" spans="1:9">
      <c r="A11" s="29" t="s">
        <v>412</v>
      </c>
      <c r="B11" s="30">
        <v>22</v>
      </c>
      <c r="C11" s="33" t="s">
        <v>413</v>
      </c>
      <c r="E11" s="31" t="s">
        <v>484</v>
      </c>
      <c r="F11" s="31" t="str" cm="1">
        <f t="array" ref="F11">INDEX(Sheet1!$C$2:$C$185,_xlfn.AGGREGATE(15,6,(ROW(Sheet1!$B$2:$B$185)-1)/(Sheet1!$B$2:$B$185=$E11),COUNTIF($E$5:$E11,$E11)))</f>
        <v>مجموعة حائل</v>
      </c>
      <c r="G11" s="31" cm="1">
        <f t="array" ref="G11">INDEX(Sheet1!$D$2:$D$185,_xlfn.AGGREGATE(15,6,(ROW(Sheet1!$B$2:$B$185)-1)/(Sheet1!$B$2:$B$185=$E11),COUNTIF($E$5:$E11,$E11)))</f>
        <v>1</v>
      </c>
      <c r="H11" s="31" t="str" cm="1">
        <f t="array" ref="H11">INDEX(Sheet1!$E$2:$E$185,_xlfn.AGGREGATE(15,6,(ROW(Sheet1!$B$2:$B$185)-1)/(Sheet1!$B$2:$B$185=$E11),COUNTIF($E$5:$E11,$E11)))</f>
        <v>حائل</v>
      </c>
      <c r="I11" s="31" cm="1">
        <f t="array" ref="I11">INDEX(Sheet1!$F$2:$F$185,_xlfn.AGGREGATE(15,6,(ROW(Sheet1!$B$2:$B$185)-1)/(Sheet1!$B$2:$B$185=$E11),COUNTIF($E$5:$E11,$E11)))</f>
        <v>8</v>
      </c>
    </row>
    <row r="12" spans="1:9">
      <c r="E12" s="31" t="s">
        <v>484</v>
      </c>
      <c r="F12" s="31" t="str" cm="1">
        <f t="array" ref="F12">INDEX(Sheet1!$C$2:$C$185,_xlfn.AGGREGATE(15,6,(ROW(Sheet1!$B$2:$B$185)-1)/(Sheet1!$B$2:$B$185=$E12),COUNTIF($E$5:$E12,$E12)))</f>
        <v>مجموعة مركز الرفيعة</v>
      </c>
      <c r="G12" s="31" cm="1">
        <f t="array" ref="G12">INDEX(Sheet1!$D$2:$D$185,_xlfn.AGGREGATE(15,6,(ROW(Sheet1!$B$2:$B$185)-1)/(Sheet1!$B$2:$B$185=$E12),COUNTIF($E$5:$E12,$E12)))</f>
        <v>1</v>
      </c>
      <c r="H12" s="31" t="str" cm="1">
        <f t="array" ref="H12">INDEX(Sheet1!$E$2:$E$185,_xlfn.AGGREGATE(15,6,(ROW(Sheet1!$B$2:$B$185)-1)/(Sheet1!$B$2:$B$185=$E12),COUNTIF($E$5:$E12,$E12)))</f>
        <v>مركز الرفيعة</v>
      </c>
      <c r="I12" s="31" cm="1">
        <f t="array" ref="I12">INDEX(Sheet1!$F$2:$F$185,_xlfn.AGGREGATE(15,6,(ROW(Sheet1!$B$2:$B$185)-1)/(Sheet1!$B$2:$B$185=$E12),COUNTIF($E$5:$E12,$E12)))</f>
        <v>8</v>
      </c>
    </row>
    <row r="13" spans="1:9">
      <c r="E13" s="31" t="s">
        <v>484</v>
      </c>
      <c r="F13" s="31" t="str" cm="1">
        <f t="array" ref="F13">INDEX(Sheet1!$C$2:$C$185,_xlfn.AGGREGATE(15,6,(ROW(Sheet1!$B$2:$B$185)-1)/(Sheet1!$B$2:$B$185=$E13),COUNTIF($E$5:$E13,$E13)))</f>
        <v>مجموعة الخرج</v>
      </c>
      <c r="G13" s="31" cm="1">
        <f t="array" ref="G13">INDEX(Sheet1!$D$2:$D$185,_xlfn.AGGREGATE(15,6,(ROW(Sheet1!$B$2:$B$185)-1)/(Sheet1!$B$2:$B$185=$E13),COUNTIF($E$5:$E13,$E13)))</f>
        <v>2</v>
      </c>
      <c r="H13" s="31" t="str" cm="1">
        <f t="array" ref="H13">INDEX(Sheet1!$E$2:$E$185,_xlfn.AGGREGATE(15,6,(ROW(Sheet1!$B$2:$B$185)-1)/(Sheet1!$B$2:$B$185=$E13),COUNTIF($E$5:$E13,$E13)))</f>
        <v>الخرج، الدلم</v>
      </c>
      <c r="I13" s="31" cm="1">
        <f t="array" ref="I13">INDEX(Sheet1!$F$2:$F$185,_xlfn.AGGREGATE(15,6,(ROW(Sheet1!$B$2:$B$185)-1)/(Sheet1!$B$2:$B$185=$E13),COUNTIF($E$5:$E13,$E13)))</f>
        <v>8</v>
      </c>
    </row>
    <row r="14" spans="1:9">
      <c r="E14" s="31" t="s">
        <v>484</v>
      </c>
      <c r="F14" s="31" t="str" cm="1">
        <f t="array" ref="F14">INDEX(Sheet1!$C$2:$C$185,_xlfn.AGGREGATE(15,6,(ROW(Sheet1!$B$2:$B$185)-1)/(Sheet1!$B$2:$B$185=$E14),COUNTIF($E$5:$E14,$E14)))</f>
        <v>مجموعة سكاكا</v>
      </c>
      <c r="G14" s="31" cm="1">
        <f t="array" ref="G14">INDEX(Sheet1!$D$2:$D$185,_xlfn.AGGREGATE(15,6,(ROW(Sheet1!$B$2:$B$185)-1)/(Sheet1!$B$2:$B$185=$E14),COUNTIF($E$5:$E14,$E14)))</f>
        <v>2</v>
      </c>
      <c r="H14" s="31" t="str" cm="1">
        <f t="array" ref="H14">INDEX(Sheet1!$E$2:$E$185,_xlfn.AGGREGATE(15,6,(ROW(Sheet1!$B$2:$B$185)-1)/(Sheet1!$B$2:$B$185=$E14),COUNTIF($E$5:$E14,$E14)))</f>
        <v>سكاكا، دومة الجندل</v>
      </c>
      <c r="I14" s="31" cm="1">
        <f t="array" ref="I14">INDEX(Sheet1!$F$2:$F$185,_xlfn.AGGREGATE(15,6,(ROW(Sheet1!$B$2:$B$185)-1)/(Sheet1!$B$2:$B$185=$E14),COUNTIF($E$5:$E14,$E14)))</f>
        <v>8</v>
      </c>
    </row>
    <row r="15" spans="1:9">
      <c r="E15" s="31" t="s">
        <v>484</v>
      </c>
      <c r="F15" s="31" t="str" cm="1">
        <f t="array" ref="F15">INDEX(Sheet1!$C$2:$C$185,_xlfn.AGGREGATE(15,6,(ROW(Sheet1!$B$2:$B$185)-1)/(Sheet1!$B$2:$B$185=$E15),COUNTIF($E$5:$E15,$E15)))</f>
        <v>مجموعة أحد المسارحة</v>
      </c>
      <c r="G15" s="31" cm="1">
        <f t="array" ref="G15">INDEX(Sheet1!$D$2:$D$185,_xlfn.AGGREGATE(15,6,(ROW(Sheet1!$B$2:$B$185)-1)/(Sheet1!$B$2:$B$185=$E15),COUNTIF($E$5:$E15,$E15)))</f>
        <v>1</v>
      </c>
      <c r="H15" s="31" t="str" cm="1">
        <f t="array" ref="H15">INDEX(Sheet1!$E$2:$E$185,_xlfn.AGGREGATE(15,6,(ROW(Sheet1!$B$2:$B$185)-1)/(Sheet1!$B$2:$B$185=$E15),COUNTIF($E$5:$E15,$E15)))</f>
        <v>أحد المسارحة</v>
      </c>
      <c r="I15" s="31" cm="1">
        <f t="array" ref="I15">INDEX(Sheet1!$F$2:$F$185,_xlfn.AGGREGATE(15,6,(ROW(Sheet1!$B$2:$B$185)-1)/(Sheet1!$B$2:$B$185=$E15),COUNTIF($E$5:$E15,$E15)))</f>
        <v>8</v>
      </c>
    </row>
    <row r="16" spans="1:9">
      <c r="E16" s="31" t="s">
        <v>484</v>
      </c>
      <c r="F16" s="31" t="str" cm="1">
        <f t="array" ref="F16">INDEX(Sheet1!$C$2:$C$185,_xlfn.AGGREGATE(15,6,(ROW(Sheet1!$B$2:$B$185)-1)/(Sheet1!$B$2:$B$185=$E16),COUNTIF($E$5:$E16,$E16)))</f>
        <v>مجموعة أبها</v>
      </c>
      <c r="G16" s="31" cm="1">
        <f t="array" ref="G16">INDEX(Sheet1!$D$2:$D$185,_xlfn.AGGREGATE(15,6,(ROW(Sheet1!$B$2:$B$185)-1)/(Sheet1!$B$2:$B$185=$E16),COUNTIF($E$5:$E16,$E16)))</f>
        <v>2</v>
      </c>
      <c r="H16" s="31" t="str" cm="1">
        <f t="array" ref="H16">INDEX(Sheet1!$E$2:$E$185,_xlfn.AGGREGATE(15,6,(ROW(Sheet1!$B$2:$B$185)-1)/(Sheet1!$B$2:$B$185=$E16),COUNTIF($E$5:$E16,$E16)))</f>
        <v>أبها، خميس مشيط</v>
      </c>
      <c r="I16" s="31" cm="1">
        <f t="array" ref="I16">INDEX(Sheet1!$F$2:$F$185,_xlfn.AGGREGATE(15,6,(ROW(Sheet1!$B$2:$B$185)-1)/(Sheet1!$B$2:$B$185=$E16),COUNTIF($E$5:$E16,$E16)))</f>
        <v>10</v>
      </c>
    </row>
    <row r="17" spans="5:9">
      <c r="E17" s="31" t="s">
        <v>484</v>
      </c>
      <c r="F17" s="31" t="str" cm="1">
        <f t="array" ref="F17">INDEX(Sheet1!$C$2:$C$185,_xlfn.AGGREGATE(15,6,(ROW(Sheet1!$B$2:$B$185)-1)/(Sheet1!$B$2:$B$185=$E17),COUNTIF($E$5:$E17,$E17)))</f>
        <v>مجموعة القصيم</v>
      </c>
      <c r="G17" s="31" cm="1">
        <f t="array" ref="G17">INDEX(Sheet1!$D$2:$D$185,_xlfn.AGGREGATE(15,6,(ROW(Sheet1!$B$2:$B$185)-1)/(Sheet1!$B$2:$B$185=$E17),COUNTIF($E$5:$E17,$E17)))</f>
        <v>4</v>
      </c>
      <c r="H17" s="31" t="str" cm="1">
        <f t="array" ref="H17">INDEX(Sheet1!$E$2:$E$185,_xlfn.AGGREGATE(15,6,(ROW(Sheet1!$B$2:$B$185)-1)/(Sheet1!$B$2:$B$185=$E17),COUNTIF($E$5:$E17,$E17)))</f>
        <v>بريدة، عيون الجواء، المذنب، عنيزة</v>
      </c>
      <c r="I17" s="31" cm="1">
        <f t="array" ref="I17">INDEX(Sheet1!$F$2:$F$185,_xlfn.AGGREGATE(15,6,(ROW(Sheet1!$B$2:$B$185)-1)/(Sheet1!$B$2:$B$185=$E17),COUNTIF($E$5:$E17,$E17)))</f>
        <v>10</v>
      </c>
    </row>
    <row r="18" spans="5:9">
      <c r="E18" s="31" t="s">
        <v>484</v>
      </c>
      <c r="F18" s="31" t="str" cm="1">
        <f t="array" ref="F18">INDEX(Sheet1!$C$2:$C$185,_xlfn.AGGREGATE(15,6,(ROW(Sheet1!$B$2:$B$185)-1)/(Sheet1!$B$2:$B$185=$E18),COUNTIF($E$5:$E18,$E18)))</f>
        <v>مجموعة القطيف</v>
      </c>
      <c r="G18" s="31" cm="1">
        <f t="array" ref="G18">INDEX(Sheet1!$D$2:$D$185,_xlfn.AGGREGATE(15,6,(ROW(Sheet1!$B$2:$B$185)-1)/(Sheet1!$B$2:$B$185=$E18),COUNTIF($E$5:$E18,$E18)))</f>
        <v>1</v>
      </c>
      <c r="H18" s="31" t="str" cm="1">
        <f t="array" ref="H18">INDEX(Sheet1!$E$2:$E$185,_xlfn.AGGREGATE(15,6,(ROW(Sheet1!$B$2:$B$185)-1)/(Sheet1!$B$2:$B$185=$E18),COUNTIF($E$5:$E18,$E18)))</f>
        <v>القطيف</v>
      </c>
      <c r="I18" s="31" cm="1">
        <f t="array" ref="I18">INDEX(Sheet1!$F$2:$F$185,_xlfn.AGGREGATE(15,6,(ROW(Sheet1!$B$2:$B$185)-1)/(Sheet1!$B$2:$B$185=$E18),COUNTIF($E$5:$E18,$E18)))</f>
        <v>10</v>
      </c>
    </row>
    <row r="19" spans="5:9">
      <c r="E19" s="31" t="s">
        <v>484</v>
      </c>
      <c r="F19" s="31" t="str" cm="1">
        <f t="array" ref="F19">INDEX(Sheet1!$C$2:$C$185,_xlfn.AGGREGATE(15,6,(ROW(Sheet1!$B$2:$B$185)-1)/(Sheet1!$B$2:$B$185=$E19),COUNTIF($E$5:$E19,$E19)))</f>
        <v>مجموعة أبو عريش</v>
      </c>
      <c r="G19" s="31" cm="1">
        <f t="array" ref="G19">INDEX(Sheet1!$D$2:$D$185,_xlfn.AGGREGATE(15,6,(ROW(Sheet1!$B$2:$B$185)-1)/(Sheet1!$B$2:$B$185=$E19),COUNTIF($E$5:$E19,$E19)))</f>
        <v>1</v>
      </c>
      <c r="H19" s="31" t="str" cm="1">
        <f t="array" ref="H19">INDEX(Sheet1!$E$2:$E$185,_xlfn.AGGREGATE(15,6,(ROW(Sheet1!$B$2:$B$185)-1)/(Sheet1!$B$2:$B$185=$E19),COUNTIF($E$5:$E19,$E19)))</f>
        <v>أبو عريش</v>
      </c>
      <c r="I19" s="31" cm="1">
        <f t="array" ref="I19">INDEX(Sheet1!$F$2:$F$185,_xlfn.AGGREGATE(15,6,(ROW(Sheet1!$B$2:$B$185)-1)/(Sheet1!$B$2:$B$185=$E19),COUNTIF($E$5:$E19,$E19)))</f>
        <v>10</v>
      </c>
    </row>
    <row r="20" spans="5:9">
      <c r="E20" s="31" t="s">
        <v>484</v>
      </c>
      <c r="F20" s="31" t="str" cm="1">
        <f t="array" ref="F20">INDEX(Sheet1!$C$2:$C$185,_xlfn.AGGREGATE(15,6,(ROW(Sheet1!$B$2:$B$185)-1)/(Sheet1!$B$2:$B$185=$E20),COUNTIF($E$5:$E20,$E20)))</f>
        <v>مجموعة صامطة</v>
      </c>
      <c r="G20" s="31" cm="1">
        <f t="array" ref="G20">INDEX(Sheet1!$D$2:$D$185,_xlfn.AGGREGATE(15,6,(ROW(Sheet1!$B$2:$B$185)-1)/(Sheet1!$B$2:$B$185=$E20),COUNTIF($E$5:$E20,$E20)))</f>
        <v>1</v>
      </c>
      <c r="H20" s="31" t="str" cm="1">
        <f t="array" ref="H20">INDEX(Sheet1!$E$2:$E$185,_xlfn.AGGREGATE(15,6,(ROW(Sheet1!$B$2:$B$185)-1)/(Sheet1!$B$2:$B$185=$E20),COUNTIF($E$5:$E20,$E20)))</f>
        <v>صامطة</v>
      </c>
      <c r="I20" s="31" cm="1">
        <f t="array" ref="I20">INDEX(Sheet1!$F$2:$F$185,_xlfn.AGGREGATE(15,6,(ROW(Sheet1!$B$2:$B$185)-1)/(Sheet1!$B$2:$B$185=$E20),COUNTIF($E$5:$E20,$E20)))</f>
        <v>10</v>
      </c>
    </row>
    <row r="21" spans="5:9">
      <c r="E21" s="31" t="s">
        <v>484</v>
      </c>
      <c r="F21" s="31" t="str" cm="1">
        <f t="array" ref="F21">INDEX(Sheet1!$C$2:$C$185,_xlfn.AGGREGATE(15,6,(ROW(Sheet1!$B$2:$B$185)-1)/(Sheet1!$B$2:$B$185=$E21),COUNTIF($E$5:$E21,$E21)))</f>
        <v>مجموعة القنفذة</v>
      </c>
      <c r="G21" s="31" cm="1">
        <f t="array" ref="G21">INDEX(Sheet1!$D$2:$D$185,_xlfn.AGGREGATE(15,6,(ROW(Sheet1!$B$2:$B$185)-1)/(Sheet1!$B$2:$B$185=$E21),COUNTIF($E$5:$E21,$E21)))</f>
        <v>1</v>
      </c>
      <c r="H21" s="31" t="str" cm="1">
        <f t="array" ref="H21">INDEX(Sheet1!$E$2:$E$185,_xlfn.AGGREGATE(15,6,(ROW(Sheet1!$B$2:$B$185)-1)/(Sheet1!$B$2:$B$185=$E21),COUNTIF($E$5:$E21,$E21)))</f>
        <v>القنفذة</v>
      </c>
      <c r="I21" s="31" cm="1">
        <f t="array" ref="I21">INDEX(Sheet1!$F$2:$F$185,_xlfn.AGGREGATE(15,6,(ROW(Sheet1!$B$2:$B$185)-1)/(Sheet1!$B$2:$B$185=$E21),COUNTIF($E$5:$E21,$E21)))</f>
        <v>13</v>
      </c>
    </row>
    <row r="22" spans="5:9">
      <c r="E22" s="31" t="s">
        <v>484</v>
      </c>
      <c r="F22" s="31" t="str" cm="1">
        <f t="array" ref="F22">INDEX(Sheet1!$C$2:$C$185,_xlfn.AGGREGATE(15,6,(ROW(Sheet1!$B$2:$B$185)-1)/(Sheet1!$B$2:$B$185=$E22),COUNTIF($E$5:$E22,$E22)))</f>
        <v>مجموعة المدينة المنورة</v>
      </c>
      <c r="G22" s="31" cm="1">
        <f t="array" ref="G22">INDEX(Sheet1!$D$2:$D$185,_xlfn.AGGREGATE(15,6,(ROW(Sheet1!$B$2:$B$185)-1)/(Sheet1!$B$2:$B$185=$E22),COUNTIF($E$5:$E22,$E22)))</f>
        <v>1</v>
      </c>
      <c r="H22" s="31" t="str" cm="1">
        <f t="array" ref="H22">INDEX(Sheet1!$E$2:$E$185,_xlfn.AGGREGATE(15,6,(ROW(Sheet1!$B$2:$B$185)-1)/(Sheet1!$B$2:$B$185=$E22),COUNTIF($E$5:$E22,$E22)))</f>
        <v>المدينة المنورة</v>
      </c>
      <c r="I22" s="31" cm="1">
        <f t="array" ref="I22">INDEX(Sheet1!$F$2:$F$185,_xlfn.AGGREGATE(15,6,(ROW(Sheet1!$B$2:$B$185)-1)/(Sheet1!$B$2:$B$185=$E22),COUNTIF($E$5:$E22,$E22)))</f>
        <v>13</v>
      </c>
    </row>
    <row r="23" spans="5:9">
      <c r="E23" s="31" t="s">
        <v>484</v>
      </c>
      <c r="F23" s="31" t="str" cm="1">
        <f t="array" ref="F23">INDEX(Sheet1!$C$2:$C$185,_xlfn.AGGREGATE(15,6,(ROW(Sheet1!$B$2:$B$185)-1)/(Sheet1!$B$2:$B$185=$E23),COUNTIF($E$5:$E23,$E23)))</f>
        <v>مجموعة الدمام</v>
      </c>
      <c r="G23" s="31" cm="1">
        <f t="array" ref="G23">INDEX(Sheet1!$D$2:$D$185,_xlfn.AGGREGATE(15,6,(ROW(Sheet1!$B$2:$B$185)-1)/(Sheet1!$B$2:$B$185=$E23),COUNTIF($E$5:$E23,$E23)))</f>
        <v>4</v>
      </c>
      <c r="H23" s="31" t="str" cm="1">
        <f t="array" ref="H23">INDEX(Sheet1!$E$2:$E$185,_xlfn.AGGREGATE(15,6,(ROW(Sheet1!$B$2:$B$185)-1)/(Sheet1!$B$2:$B$185=$E23),COUNTIF($E$5:$E23,$E23)))</f>
        <v>الظهران، الخبر، الدمام، سيهات</v>
      </c>
      <c r="I23" s="31" cm="1">
        <f t="array" ref="I23">INDEX(Sheet1!$F$2:$F$185,_xlfn.AGGREGATE(15,6,(ROW(Sheet1!$B$2:$B$185)-1)/(Sheet1!$B$2:$B$185=$E23),COUNTIF($E$5:$E23,$E23)))</f>
        <v>14</v>
      </c>
    </row>
    <row r="24" spans="5:9">
      <c r="E24" s="31" t="s">
        <v>484</v>
      </c>
      <c r="F24" s="31" t="str" cm="1">
        <f t="array" ref="F24">INDEX(Sheet1!$C$2:$C$185,_xlfn.AGGREGATE(15,6,(ROW(Sheet1!$B$2:$B$185)-1)/(Sheet1!$B$2:$B$185=$E24),COUNTIF($E$5:$E24,$E24)))</f>
        <v>مجموعة صبيا</v>
      </c>
      <c r="G24" s="31" cm="1">
        <f t="array" ref="G24">INDEX(Sheet1!$D$2:$D$185,_xlfn.AGGREGATE(15,6,(ROW(Sheet1!$B$2:$B$185)-1)/(Sheet1!$B$2:$B$185=$E24),COUNTIF($E$5:$E24,$E24)))</f>
        <v>2</v>
      </c>
      <c r="H24" s="31" t="str" cm="1">
        <f t="array" ref="H24">INDEX(Sheet1!$E$2:$E$185,_xlfn.AGGREGATE(15,6,(ROW(Sheet1!$B$2:$B$185)-1)/(Sheet1!$B$2:$B$185=$E24),COUNTIF($E$5:$E24,$E24)))</f>
        <v>صبيا، ضمد</v>
      </c>
      <c r="I24" s="31" cm="1">
        <f t="array" ref="I24">INDEX(Sheet1!$F$2:$F$185,_xlfn.AGGREGATE(15,6,(ROW(Sheet1!$B$2:$B$185)-1)/(Sheet1!$B$2:$B$185=$E24),COUNTIF($E$5:$E24,$E24)))</f>
        <v>14</v>
      </c>
    </row>
    <row r="25" spans="5:9">
      <c r="E25" s="31" t="s">
        <v>484</v>
      </c>
      <c r="F25" s="31" t="str" cm="1">
        <f t="array" ref="F25">INDEX(Sheet1!$C$2:$C$185,_xlfn.AGGREGATE(15,6,(ROW(Sheet1!$B$2:$B$185)-1)/(Sheet1!$B$2:$B$185=$E25),COUNTIF($E$5:$E25,$E25)))</f>
        <v>مجموعة الخفجي</v>
      </c>
      <c r="G25" s="31" cm="1">
        <f t="array" ref="G25">INDEX(Sheet1!$D$2:$D$185,_xlfn.AGGREGATE(15,6,(ROW(Sheet1!$B$2:$B$185)-1)/(Sheet1!$B$2:$B$185=$E25),COUNTIF($E$5:$E25,$E25)))</f>
        <v>1</v>
      </c>
      <c r="H25" s="31" t="str" cm="1">
        <f t="array" ref="H25">INDEX(Sheet1!$E$2:$E$185,_xlfn.AGGREGATE(15,6,(ROW(Sheet1!$B$2:$B$185)-1)/(Sheet1!$B$2:$B$185=$E25),COUNTIF($E$5:$E25,$E25)))</f>
        <v>الخفجي</v>
      </c>
      <c r="I25" s="31" cm="1">
        <f t="array" ref="I25">INDEX(Sheet1!$F$2:$F$185,_xlfn.AGGREGATE(15,6,(ROW(Sheet1!$B$2:$B$185)-1)/(Sheet1!$B$2:$B$185=$E25),COUNTIF($E$5:$E25,$E25)))</f>
        <v>16</v>
      </c>
    </row>
    <row r="26" spans="5:9">
      <c r="E26" s="31" t="s">
        <v>484</v>
      </c>
      <c r="F26" s="31" t="str" cm="1">
        <f t="array" ref="F26">INDEX(Sheet1!$C$2:$C$185,_xlfn.AGGREGATE(15,6,(ROW(Sheet1!$B$2:$B$185)-1)/(Sheet1!$B$2:$B$185=$E26),COUNTIF($E$5:$E26,$E26)))</f>
        <v>مجموعة الطائف</v>
      </c>
      <c r="G26" s="31" cm="1">
        <f t="array" ref="G26">INDEX(Sheet1!$D$2:$D$185,_xlfn.AGGREGATE(15,6,(ROW(Sheet1!$B$2:$B$185)-1)/(Sheet1!$B$2:$B$185=$E26),COUNTIF($E$5:$E26,$E26)))</f>
        <v>1</v>
      </c>
      <c r="H26" s="31" t="str" cm="1">
        <f t="array" ref="H26">INDEX(Sheet1!$E$2:$E$185,_xlfn.AGGREGATE(15,6,(ROW(Sheet1!$B$2:$B$185)-1)/(Sheet1!$B$2:$B$185=$E26),COUNTIF($E$5:$E26,$E26)))</f>
        <v>الطائف</v>
      </c>
      <c r="I26" s="31" cm="1">
        <f t="array" ref="I26">INDEX(Sheet1!$F$2:$F$185,_xlfn.AGGREGATE(15,6,(ROW(Sheet1!$B$2:$B$185)-1)/(Sheet1!$B$2:$B$185=$E26),COUNTIF($E$5:$E26,$E26)))</f>
        <v>16</v>
      </c>
    </row>
    <row r="27" spans="5:9">
      <c r="E27" s="31" t="s">
        <v>484</v>
      </c>
      <c r="F27" s="31" t="str" cm="1">
        <f t="array" ref="F27">INDEX(Sheet1!$C$2:$C$185,_xlfn.AGGREGATE(15,6,(ROW(Sheet1!$B$2:$B$185)-1)/(Sheet1!$B$2:$B$185=$E27),COUNTIF($E$5:$E27,$E27)))</f>
        <v>مجموعة حفر الباطن</v>
      </c>
      <c r="G27" s="31" cm="1">
        <f t="array" ref="G27">INDEX(Sheet1!$D$2:$D$185,_xlfn.AGGREGATE(15,6,(ROW(Sheet1!$B$2:$B$185)-1)/(Sheet1!$B$2:$B$185=$E27),COUNTIF($E$5:$E27,$E27)))</f>
        <v>1</v>
      </c>
      <c r="H27" s="31" t="str" cm="1">
        <f t="array" ref="H27">INDEX(Sheet1!$E$2:$E$185,_xlfn.AGGREGATE(15,6,(ROW(Sheet1!$B$2:$B$185)-1)/(Sheet1!$B$2:$B$185=$E27),COUNTIF($E$5:$E27,$E27)))</f>
        <v>حفر الباطن</v>
      </c>
      <c r="I27" s="31" cm="1">
        <f t="array" ref="I27">INDEX(Sheet1!$F$2:$F$185,_xlfn.AGGREGATE(15,6,(ROW(Sheet1!$B$2:$B$185)-1)/(Sheet1!$B$2:$B$185=$E27),COUNTIF($E$5:$E27,$E27)))</f>
        <v>17</v>
      </c>
    </row>
    <row r="28" spans="5:9">
      <c r="E28" s="31" t="s">
        <v>484</v>
      </c>
      <c r="F28" s="31" t="str" cm="1">
        <f t="array" ref="F28">INDEX(Sheet1!$C$2:$C$185,_xlfn.AGGREGATE(15,6,(ROW(Sheet1!$B$2:$B$185)-1)/(Sheet1!$B$2:$B$185=$E28),COUNTIF($E$5:$E28,$E28)))</f>
        <v>مجموعة مكة المكرمة</v>
      </c>
      <c r="G28" s="31" cm="1">
        <f t="array" ref="G28">INDEX(Sheet1!$D$2:$D$185,_xlfn.AGGREGATE(15,6,(ROW(Sheet1!$B$2:$B$185)-1)/(Sheet1!$B$2:$B$185=$E28),COUNTIF($E$5:$E28,$E28)))</f>
        <v>2</v>
      </c>
      <c r="H28" s="31" t="str" cm="1">
        <f t="array" ref="H28">INDEX(Sheet1!$E$2:$E$185,_xlfn.AGGREGATE(15,6,(ROW(Sheet1!$B$2:$B$185)-1)/(Sheet1!$B$2:$B$185=$E28),COUNTIF($E$5:$E28,$E28)))</f>
        <v>مكة المكرمة، الجموم</v>
      </c>
      <c r="I28" s="31" cm="1">
        <f t="array" ref="I28">INDEX(Sheet1!$F$2:$F$185,_xlfn.AGGREGATE(15,6,(ROW(Sheet1!$B$2:$B$185)-1)/(Sheet1!$B$2:$B$185=$E28),COUNTIF($E$5:$E28,$E28)))</f>
        <v>24</v>
      </c>
    </row>
    <row r="29" spans="5:9">
      <c r="E29" s="31" t="s">
        <v>484</v>
      </c>
      <c r="F29" s="31" t="str" cm="1">
        <f t="array" ref="F29">INDEX(Sheet1!$C$2:$C$185,_xlfn.AGGREGATE(15,6,(ROW(Sheet1!$B$2:$B$185)-1)/(Sheet1!$B$2:$B$185=$E29),COUNTIF($E$5:$E29,$E29)))</f>
        <v>مجموعة الرياض</v>
      </c>
      <c r="G29" s="31" cm="1">
        <f t="array" ref="G29">INDEX(Sheet1!$D$2:$D$185,_xlfn.AGGREGATE(15,6,(ROW(Sheet1!$B$2:$B$185)-1)/(Sheet1!$B$2:$B$185=$E29),COUNTIF($E$5:$E29,$E29)))</f>
        <v>1</v>
      </c>
      <c r="H29" s="31" t="str" cm="1">
        <f t="array" ref="H29">INDEX(Sheet1!$E$2:$E$185,_xlfn.AGGREGATE(15,6,(ROW(Sheet1!$B$2:$B$185)-1)/(Sheet1!$B$2:$B$185=$E29),COUNTIF($E$5:$E29,$E29)))</f>
        <v>الرياض</v>
      </c>
      <c r="I29" s="31" cm="1">
        <f t="array" ref="I29">INDEX(Sheet1!$F$2:$F$185,_xlfn.AGGREGATE(15,6,(ROW(Sheet1!$B$2:$B$185)-1)/(Sheet1!$B$2:$B$185=$E29),COUNTIF($E$5:$E29,$E29)))</f>
        <v>29</v>
      </c>
    </row>
    <row r="30" spans="5:9">
      <c r="E30" s="31" t="s">
        <v>484</v>
      </c>
      <c r="F30" s="31" t="str" cm="1">
        <f t="array" ref="F30">INDEX(Sheet1!$C$2:$C$185,_xlfn.AGGREGATE(15,6,(ROW(Sheet1!$B$2:$B$185)-1)/(Sheet1!$B$2:$B$185=$E30),COUNTIF($E$5:$E30,$E30)))</f>
        <v>مجموعة جدة</v>
      </c>
      <c r="G30" s="31" cm="1">
        <f t="array" ref="G30">INDEX(Sheet1!$D$2:$D$185,_xlfn.AGGREGATE(15,6,(ROW(Sheet1!$B$2:$B$185)-1)/(Sheet1!$B$2:$B$185=$E30),COUNTIF($E$5:$E30,$E30)))</f>
        <v>1</v>
      </c>
      <c r="H30" s="31" t="str" cm="1">
        <f t="array" ref="H30">INDEX(Sheet1!$E$2:$E$185,_xlfn.AGGREGATE(15,6,(ROW(Sheet1!$B$2:$B$185)-1)/(Sheet1!$B$2:$B$185=$E30),COUNTIF($E$5:$E30,$E30)))</f>
        <v>جدة</v>
      </c>
      <c r="I30" s="31" cm="1">
        <f t="array" ref="I30">INDEX(Sheet1!$F$2:$F$185,_xlfn.AGGREGATE(15,6,(ROW(Sheet1!$B$2:$B$185)-1)/(Sheet1!$B$2:$B$185=$E30),COUNTIF($E$5:$E30,$E30)))</f>
        <v>34</v>
      </c>
    </row>
    <row r="31" spans="5:9">
      <c r="E31" s="31" t="s">
        <v>484</v>
      </c>
      <c r="F31" s="31" t="str" cm="1">
        <f t="array" ref="F31">INDEX(Sheet1!$C$2:$C$185,_xlfn.AGGREGATE(15,6,(ROW(Sheet1!$B$2:$B$185)-1)/(Sheet1!$B$2:$B$185=$E31),COUNTIF($E$5:$E31,$E31)))</f>
        <v>مجموعة الأحساء</v>
      </c>
      <c r="G31" s="31" cm="1">
        <f t="array" ref="G31">INDEX(Sheet1!$D$2:$D$185,_xlfn.AGGREGATE(15,6,(ROW(Sheet1!$B$2:$B$185)-1)/(Sheet1!$B$2:$B$185=$E31),COUNTIF($E$5:$E31,$E31)))</f>
        <v>1</v>
      </c>
      <c r="H31" s="31" t="str" cm="1">
        <f t="array" ref="H31">INDEX(Sheet1!$E$2:$E$185,_xlfn.AGGREGATE(15,6,(ROW(Sheet1!$B$2:$B$185)-1)/(Sheet1!$B$2:$B$185=$E31),COUNTIF($E$5:$E31,$E31)))</f>
        <v>الأحساء</v>
      </c>
      <c r="I31" s="31" cm="1">
        <f t="array" ref="I31">INDEX(Sheet1!$F$2:$F$185,_xlfn.AGGREGATE(15,6,(ROW(Sheet1!$B$2:$B$185)-1)/(Sheet1!$B$2:$B$185=$E31),COUNTIF($E$5:$E31,$E31)))</f>
        <v>34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3427-8839-400A-A842-355CFE4B46A9}">
  <dimension ref="A1:P58"/>
  <sheetViews>
    <sheetView showGridLines="0" rightToLeft="1" zoomScale="98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H11" sqref="H11"/>
    </sheetView>
  </sheetViews>
  <sheetFormatPr defaultRowHeight="14.5"/>
  <cols>
    <col min="1" max="1" width="7.7265625" style="1" bestFit="1" customWidth="1"/>
    <col min="2" max="2" width="12.08984375" style="1" bestFit="1" customWidth="1"/>
    <col min="3" max="5" width="27.26953125" style="1" customWidth="1"/>
    <col min="6" max="6" width="16.54296875" style="1" bestFit="1" customWidth="1"/>
    <col min="7" max="7" width="8.08984375" style="1" bestFit="1" customWidth="1"/>
    <col min="8" max="8" width="8.6328125" style="1" bestFit="1" customWidth="1"/>
    <col min="9" max="9" width="9" style="1" bestFit="1" customWidth="1"/>
    <col min="10" max="10" width="8.90625" style="1" bestFit="1" customWidth="1"/>
    <col min="11" max="11" width="8.81640625" style="1" bestFit="1" customWidth="1"/>
    <col min="12" max="12" width="10.36328125" style="1" bestFit="1" customWidth="1"/>
    <col min="13" max="13" width="38.1796875" style="1" customWidth="1"/>
    <col min="14" max="16" width="14.54296875" style="1" customWidth="1"/>
  </cols>
  <sheetData>
    <row r="1" spans="1:16" ht="18.5">
      <c r="A1" s="37" t="s">
        <v>226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18"/>
      <c r="N1" s="18"/>
      <c r="O1" s="18"/>
      <c r="P1" s="18"/>
    </row>
    <row r="2" spans="1:1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17"/>
      <c r="O2" s="17"/>
      <c r="P2" s="17"/>
    </row>
    <row r="3" spans="1:16" ht="48" customHeight="1">
      <c r="A3" s="6" t="s">
        <v>216</v>
      </c>
      <c r="B3" s="6" t="s">
        <v>217</v>
      </c>
      <c r="C3" s="6" t="s">
        <v>222</v>
      </c>
      <c r="D3" s="6" t="s">
        <v>409</v>
      </c>
      <c r="E3" s="6" t="s">
        <v>304</v>
      </c>
      <c r="F3" s="6" t="s">
        <v>218</v>
      </c>
      <c r="G3" s="6" t="s">
        <v>219</v>
      </c>
      <c r="H3" s="6" t="s">
        <v>220</v>
      </c>
      <c r="I3" s="6" t="s">
        <v>221</v>
      </c>
      <c r="J3" s="6" t="s">
        <v>223</v>
      </c>
      <c r="K3" s="6" t="s">
        <v>224</v>
      </c>
      <c r="L3" s="6" t="s">
        <v>225</v>
      </c>
      <c r="M3" s="12" t="s">
        <v>414</v>
      </c>
      <c r="N3" s="11"/>
      <c r="O3" s="11"/>
      <c r="P3" s="11"/>
    </row>
    <row r="4" spans="1:16">
      <c r="A4" s="8">
        <v>5</v>
      </c>
      <c r="B4" s="5" cm="1">
        <f t="array" ref="B4">ROUND(SUMPRODUCT(1/COUNTIF('بيانات الفرق U13'!$B$3:$B$7,'بيانات الفرق U13'!$B$3:$B$7)),0)</f>
        <v>1</v>
      </c>
      <c r="C4" s="5" t="str" cm="1">
        <f t="array" ref="C4">_xlfn.TEXTJOIN(" + ",TRUE,_xlfn._xlws.SORT(COUNTIF('بيانات الفرق U13'!$B$3:$B$7,"المجموعة "&amp;_xlfn.SEQUENCE(B4))))</f>
        <v>5</v>
      </c>
      <c r="D4" s="5" t="str" cm="1">
        <f t="array" ref="D4">_xlfn.LET(_xlpm.gs,_xlfn.SEQUENCE(B4),_xlpm.op,_xlfn.MAXIFS('بيانات الفرق U13'!$D$3:$D$7,'بيانات الفرق U13'!$B$3:$B$7,"المجموعة "&amp;_xlpm.gs),_xlpm.mt,_xlfn.MAXIFS('بيانات الفرق U13'!$C$3:$C$7,'بيانات الفرق U13'!$B$3:$B$7,"المجموعة "&amp;_xlpm.gs),_xlfn.TEXTJOIN(" + ",TRUE,_xlfn.SORTBY(_xlpm.mt/_xlpm.op,_xlpm.op,1)))</f>
        <v>4</v>
      </c>
      <c r="E4" s="5" t="str" cm="1">
        <f t="array" ref="E4">_xlfn.LET(_xlpm.gs,_xlfn.SEQUENCE(B4),_xlpm.ln,_xlfn.MAXIFS('بيانات الفرق U13'!$D$3:$D$7,'بيانات الفرق U13'!$B$3:$B$7,"المجموعة "&amp;_xlpm.gs),_xlpm.mn,_xlfn.MINIFS('بيانات الفرق U13'!$C$3:$C$7,'بيانات الفرق U13'!$B$3:$B$7,"المجموعة "&amp;_xlpm.gs),_xlpm.mx,_xlfn.MAXIFS('بيانات الفرق U13'!$C$3:$C$7,'بيانات الفرق U13'!$B$3:$B$7,"المجموعة "&amp;_xlpm.gs),_xlpm.t,IF(_xlpm.mn=_xlpm.mx,_xlpm.mn&amp;"",_xlpm.mn&amp;"–"&amp;_xlpm.mx),_xlfn.TEXTJOIN(" + ",TRUE,_xlfn.SORTBY(_xlpm.t,_xlpm.ln,1)))</f>
        <v>16</v>
      </c>
      <c r="F4" s="25" t="str">
        <f t="shared" ref="F4:F15" si="0">IF(B4=1,"—",IF(B4=2,"نهائي مباشر",IF(B4&lt;=4,"نصف نهائي ثم نهائي – كل دور في يوم","ربع نهائي ثم نصف نهائي ثم نهائي – كل دور في يوم")))</f>
        <v>—</v>
      </c>
      <c r="G4" s="5">
        <f t="shared" ref="G4:G15" si="1">I4-H4</f>
        <v>20</v>
      </c>
      <c r="H4" s="5" cm="1">
        <f t="array" ref="H4">MAX('5 فرق'!$A$4:$A$43)-SUMPRODUCT(MAX(ISNUMBER(IFERROR(--LEFT('5 فرق'!$D$4:$D$43,1),"x"))*'5 فرق'!$A$4:$A$43))</f>
        <v>0</v>
      </c>
      <c r="I4" s="13">
        <f>MAX('5 فرق'!$A$4:$A$43)</f>
        <v>20</v>
      </c>
      <c r="J4" s="5" t="str">
        <f>MOD(HOUR(المدخلات!$B$5)-1,12)+1&amp;":"&amp;TEXT(MINUTE(المدخلات!$B$5),"00")&amp;IF(HOUR(المدخلات!$B$5)&lt;12," ص"," م")</f>
        <v>4:00 م</v>
      </c>
      <c r="K4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4" s="5">
        <f>MAX('5 فرق'!$C$4:$C$43)</f>
        <v>1</v>
      </c>
      <c r="M4" s="11" t="str">
        <f>IF(I4&gt;المدخلات!$B$11,"⚠ تجاوز السقف ("&amp;I4&amp;" يوماً) لضمان "&amp;المدخلات!$B$10&amp;" مباراة","ضمن السقف")</f>
        <v>ضمن السقف</v>
      </c>
      <c r="N4" s="11"/>
      <c r="O4" s="11"/>
      <c r="P4" s="11"/>
    </row>
    <row r="5" spans="1:16">
      <c r="A5" s="7">
        <v>6</v>
      </c>
      <c r="B5" s="5" cm="1">
        <f t="array" ref="B5">ROUND(SUMPRODUCT(1/COUNTIF('بيانات الفرق U13'!$G$3:$G$8,'بيانات الفرق U13'!$G$3:$G$8)),0)</f>
        <v>1</v>
      </c>
      <c r="C5" s="5" t="str" cm="1">
        <f t="array" ref="C5">_xlfn.TEXTJOIN(" + ",TRUE,_xlfn._xlws.SORT(COUNTIF('بيانات الفرق U13'!$G$3:$G$8,"المجموعة "&amp;_xlfn.SEQUENCE(B5))))</f>
        <v>6</v>
      </c>
      <c r="D5" s="5" t="str" cm="1">
        <f t="array" ref="D5">_xlfn.LET(_xlpm.gs,_xlfn.SEQUENCE(B5),_xlpm.op,_xlfn.MAXIFS('بيانات الفرق U13'!$I$3:$I$8,'بيانات الفرق U13'!$G$3:$G$8,"المجموعة "&amp;_xlpm.gs),_xlpm.mt,_xlfn.MAXIFS('بيانات الفرق U13'!$H$3:$H$8,'بيانات الفرق U13'!$G$3:$G$8,"المجموعة "&amp;_xlpm.gs),_xlfn.TEXTJOIN(" + ",TRUE,_xlfn.SORTBY(_xlpm.mt/_xlpm.op,_xlpm.op,1)))</f>
        <v>4</v>
      </c>
      <c r="E5" s="5" t="str" cm="1">
        <f t="array" ref="E5">_xlfn.LET(_xlpm.gs,_xlfn.SEQUENCE(B5),_xlpm.ln,_xlfn.MAXIFS('بيانات الفرق U13'!$I$3:$I$8,'بيانات الفرق U13'!$G$3:$G$8,"المجموعة "&amp;_xlpm.gs),_xlpm.mn,_xlfn.MINIFS('بيانات الفرق U13'!$H$3:$H$8,'بيانات الفرق U13'!$G$3:$G$8,"المجموعة "&amp;_xlpm.gs),_xlpm.mx,_xlfn.MAXIFS('بيانات الفرق U13'!$H$3:$H$8,'بيانات الفرق U13'!$G$3:$G$8,"المجموعة "&amp;_xlpm.gs),_xlpm.t,IF(_xlpm.mn=_xlpm.mx,_xlpm.mn&amp;"",_xlpm.mn&amp;"–"&amp;_xlpm.mx),_xlfn.TEXTJOIN(" + ",TRUE,_xlfn.SORTBY(_xlpm.t,_xlpm.ln,1)))</f>
        <v>20</v>
      </c>
      <c r="F5" s="25" t="str">
        <f t="shared" si="0"/>
        <v>—</v>
      </c>
      <c r="G5" s="5">
        <f t="shared" si="1"/>
        <v>20</v>
      </c>
      <c r="H5" s="5" cm="1">
        <f t="array" ref="H5">MAX('6 فرق'!$A$4:$A$63)-SUMPRODUCT(MAX(ISNUMBER(IFERROR(--LEFT('6 فرق'!$D$4:$D$63,1),"x"))*'6 فرق'!$A$4:$A$63))</f>
        <v>0</v>
      </c>
      <c r="I5" s="13">
        <f>MAX('6 فرق'!$A$4:$A$63)</f>
        <v>20</v>
      </c>
      <c r="J5" s="5" t="str">
        <f>MOD(HOUR(المدخلات!$B$5)-1,12)+1&amp;":"&amp;TEXT(MINUTE(المدخلات!$B$5),"00")&amp;IF(HOUR(المدخلات!$B$5)&lt;12," ص"," م")</f>
        <v>4:00 م</v>
      </c>
      <c r="K5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5" s="5">
        <f>MAX('6 فرق'!$C$4:$C$63)</f>
        <v>1</v>
      </c>
      <c r="M5" s="11" t="str">
        <f>IF(I5&gt;المدخلات!$B$11,"⚠ تجاوز السقف ("&amp;I5&amp;" يوماً) لضمان "&amp;المدخلات!$B$10&amp;" مباراة","ضمن السقف")</f>
        <v>ضمن السقف</v>
      </c>
      <c r="N5" s="11"/>
      <c r="O5" s="11"/>
      <c r="P5" s="11"/>
    </row>
    <row r="6" spans="1:16">
      <c r="A6" s="8">
        <v>7</v>
      </c>
      <c r="B6" s="5" cm="1">
        <f t="array" ref="B6">ROUND(SUMPRODUCT(1/COUNTIF('بيانات الفرق U13'!$L$3:$L$9,'بيانات الفرق U13'!$L$3:$L$9)),0)</f>
        <v>1</v>
      </c>
      <c r="C6" s="5" t="str" cm="1">
        <f t="array" ref="C6">_xlfn.TEXTJOIN(" + ",TRUE,_xlfn._xlws.SORT(COUNTIF('بيانات الفرق U13'!$L$3:$L$9,"المجموعة "&amp;_xlfn.SEQUENCE(B6))))</f>
        <v>7</v>
      </c>
      <c r="D6" s="5" t="str" cm="1">
        <f t="array" ref="D6">_xlfn.LET(_xlpm.gs,_xlfn.SEQUENCE(B6),_xlpm.op,_xlfn.MAXIFS('بيانات الفرق U13'!$N$3:$N$9,'بيانات الفرق U13'!$L$3:$L$9,"المجموعة "&amp;_xlpm.gs),_xlpm.mt,_xlfn.MAXIFS('بيانات الفرق U13'!$M$3:$M$9,'بيانات الفرق U13'!$L$3:$L$9,"المجموعة "&amp;_xlpm.gs),_xlfn.TEXTJOIN(" + ",TRUE,_xlfn.SORTBY(_xlpm.mt/_xlpm.op,_xlpm.op,1)))</f>
        <v>3</v>
      </c>
      <c r="E6" s="5" t="str" cm="1">
        <f t="array" ref="E6">_xlfn.LET(_xlpm.gs,_xlfn.SEQUENCE(B6),_xlpm.ln,_xlfn.MAXIFS('بيانات الفرق U13'!$N$3:$N$9,'بيانات الفرق U13'!$L$3:$L$9,"المجموعة "&amp;_xlpm.gs),_xlpm.mn,_xlfn.MINIFS('بيانات الفرق U13'!$M$3:$M$9,'بيانات الفرق U13'!$L$3:$L$9,"المجموعة "&amp;_xlpm.gs),_xlpm.mx,_xlfn.MAXIFS('بيانات الفرق U13'!$M$3:$M$9,'بيانات الفرق U13'!$L$3:$L$9,"المجموعة "&amp;_xlpm.gs),_xlpm.t,IF(_xlpm.mn=_xlpm.mx,_xlpm.mn&amp;"",_xlpm.mn&amp;"–"&amp;_xlpm.mx),_xlfn.TEXTJOIN(" + ",TRUE,_xlfn.SORTBY(_xlpm.t,_xlpm.ln,1)))</f>
        <v>18</v>
      </c>
      <c r="F6" s="25" t="str">
        <f t="shared" si="0"/>
        <v>—</v>
      </c>
      <c r="G6" s="5">
        <f t="shared" si="1"/>
        <v>21</v>
      </c>
      <c r="H6" s="5" cm="1">
        <f t="array" ref="H6">MAX('7 فرق'!$A$4:$A$66)-SUMPRODUCT(MAX(ISNUMBER(IFERROR(--LEFT('7 فرق'!$D$4:$D$66,1),"x"))*'7 فرق'!$A$4:$A$66))</f>
        <v>0</v>
      </c>
      <c r="I6" s="13">
        <f>MAX('7 فرق'!$A$4:$A$66)</f>
        <v>21</v>
      </c>
      <c r="J6" s="5" t="str">
        <f>MOD(HOUR(المدخلات!$B$5)-1,12)+1&amp;":"&amp;TEXT(MINUTE(المدخلات!$B$5),"00")&amp;IF(HOUR(المدخلات!$B$5)&lt;12," ص"," م")</f>
        <v>4:00 م</v>
      </c>
      <c r="K6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6" s="5">
        <f>MAX('7 فرق'!$C$4:$C$66)</f>
        <v>1</v>
      </c>
      <c r="M6" s="11" t="str">
        <f>IF(I6&gt;المدخلات!$B$11,"⚠ تجاوز السقف ("&amp;I6&amp;" يوماً) لضمان "&amp;المدخلات!$B$10&amp;" مباراة","ضمن السقف")</f>
        <v>ضمن السقف</v>
      </c>
      <c r="N6" s="11"/>
      <c r="O6" s="11"/>
      <c r="P6" s="11"/>
    </row>
    <row r="7" spans="1:16">
      <c r="A7" s="7">
        <v>8</v>
      </c>
      <c r="B7" s="5" cm="1">
        <f t="array" ref="B7">ROUND(SUMPRODUCT(1/COUNTIF('بيانات الفرق U13'!$Q$3:$Q$10,'بيانات الفرق U13'!$Q$3:$Q$10)),0)</f>
        <v>1</v>
      </c>
      <c r="C7" s="5" t="str" cm="1">
        <f t="array" ref="C7">_xlfn.TEXTJOIN(" + ",TRUE,_xlfn._xlws.SORT(COUNTIF('بيانات الفرق U13'!$Q$3:$Q$10,"المجموعة "&amp;_xlfn.SEQUENCE(B7))))</f>
        <v>8</v>
      </c>
      <c r="D7" s="5" t="str" cm="1">
        <f t="array" ref="D7">_xlfn.LET(_xlpm.gs,_xlfn.SEQUENCE(B7),_xlpm.op,_xlfn.MAXIFS('بيانات الفرق U13'!$S$3:$S$10,'بيانات الفرق U13'!$Q$3:$Q$10,"المجموعة "&amp;_xlpm.gs),_xlpm.mt,_xlfn.MAXIFS('بيانات الفرق U13'!$R$3:$R$10,'بيانات الفرق U13'!$Q$3:$Q$10,"المجموعة "&amp;_xlpm.gs),_xlfn.TEXTJOIN(" + ",TRUE,_xlfn.SORTBY(_xlpm.mt/_xlpm.op,_xlpm.op,1)))</f>
        <v>3</v>
      </c>
      <c r="E7" s="5" t="str" cm="1">
        <f t="array" ref="E7">_xlfn.LET(_xlpm.gs,_xlfn.SEQUENCE(B7),_xlpm.ln,_xlfn.MAXIFS('بيانات الفرق U13'!$S$3:$S$10,'بيانات الفرق U13'!$Q$3:$Q$10,"المجموعة "&amp;_xlpm.gs),_xlpm.mn,_xlfn.MINIFS('بيانات الفرق U13'!$R$3:$R$10,'بيانات الفرق U13'!$Q$3:$Q$10,"المجموعة "&amp;_xlpm.gs),_xlpm.mx,_xlfn.MAXIFS('بيانات الفرق U13'!$R$3:$R$10,'بيانات الفرق U13'!$Q$3:$Q$10,"المجموعة "&amp;_xlpm.gs),_xlpm.t,IF(_xlpm.mn=_xlpm.mx,_xlpm.mn&amp;"",_xlpm.mn&amp;"–"&amp;_xlpm.mx),_xlfn.TEXTJOIN(" + ",TRUE,_xlfn.SORTBY(_xlpm.t,_xlpm.ln,1)))</f>
        <v>21</v>
      </c>
      <c r="F7" s="25" t="str">
        <f t="shared" si="0"/>
        <v>—</v>
      </c>
      <c r="G7" s="5">
        <f t="shared" si="1"/>
        <v>21</v>
      </c>
      <c r="H7" s="5" cm="1">
        <f t="array" ref="H7">MAX('8 فرق'!$A$4:$A$87)-SUMPRODUCT(MAX(ISNUMBER(IFERROR(--LEFT('8 فرق'!$D$4:$D$87,1),"x"))*'8 فرق'!$A$4:$A$87))</f>
        <v>0</v>
      </c>
      <c r="I7" s="13">
        <f>MAX('8 فرق'!$A$4:$A$87)</f>
        <v>21</v>
      </c>
      <c r="J7" s="5" t="str">
        <f>MOD(HOUR(المدخلات!$B$5)-1,12)+1&amp;":"&amp;TEXT(MINUTE(المدخلات!$B$5),"00")&amp;IF(HOUR(المدخلات!$B$5)&lt;12," ص"," م")</f>
        <v>4:00 م</v>
      </c>
      <c r="K7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7" s="5">
        <f>MAX('8 فرق'!$C$4:$C$87)</f>
        <v>2</v>
      </c>
      <c r="M7" s="11" t="str">
        <f>IF(I7&gt;المدخلات!$B$11,"⚠ تجاوز السقف ("&amp;I7&amp;" يوماً) لضمان "&amp;المدخلات!$B$10&amp;" مباراة","ضمن السقف")</f>
        <v>ضمن السقف</v>
      </c>
      <c r="N7" s="11"/>
      <c r="O7" s="11"/>
      <c r="P7" s="11"/>
    </row>
    <row r="8" spans="1:16">
      <c r="A8" s="8">
        <v>10</v>
      </c>
      <c r="B8" s="5" cm="1">
        <f t="array" ref="B8">ROUND(SUMPRODUCT(1/COUNTIF('بيانات الفرق U13'!$V$3:$V$12,'بيانات الفرق U13'!$V$3:$V$12)),0)</f>
        <v>1</v>
      </c>
      <c r="C8" s="5" t="str" cm="1">
        <f t="array" ref="C8">_xlfn.TEXTJOIN(" + ",TRUE,_xlfn._xlws.SORT(COUNTIF('بيانات الفرق U13'!$V$3:$V$12,"المجموعة "&amp;_xlfn.SEQUENCE(B8))))</f>
        <v>10</v>
      </c>
      <c r="D8" s="5" t="str" cm="1">
        <f t="array" ref="D8">_xlfn.LET(_xlpm.gs,_xlfn.SEQUENCE(B8),_xlpm.op,_xlfn.MAXIFS('بيانات الفرق U13'!$X$3:$X$12,'بيانات الفرق U13'!$V$3:$V$12,"المجموعة "&amp;_xlpm.gs),_xlpm.mt,_xlfn.MAXIFS('بيانات الفرق U13'!$W$3:$W$12,'بيانات الفرق U13'!$V$3:$V$12,"المجموعة "&amp;_xlpm.gs),_xlfn.TEXTJOIN(" + ",TRUE,_xlfn.SORTBY(_xlpm.mt/_xlpm.op,_xlpm.op,1)))</f>
        <v>2</v>
      </c>
      <c r="E8" s="5" t="str" cm="1">
        <f t="array" ref="E8">_xlfn.LET(_xlpm.gs,_xlfn.SEQUENCE(B8),_xlpm.ln,_xlfn.MAXIFS('بيانات الفرق U13'!$X$3:$X$12,'بيانات الفرق U13'!$V$3:$V$12,"المجموعة "&amp;_xlpm.gs),_xlpm.mn,_xlfn.MINIFS('بيانات الفرق U13'!$W$3:$W$12,'بيانات الفرق U13'!$V$3:$V$12,"المجموعة "&amp;_xlpm.gs),_xlpm.mx,_xlfn.MAXIFS('بيانات الفرق U13'!$W$3:$W$12,'بيانات الفرق U13'!$V$3:$V$12,"المجموعة "&amp;_xlpm.gs),_xlpm.t,IF(_xlpm.mn=_xlpm.mx,_xlpm.mn&amp;"",_xlpm.mn&amp;"–"&amp;_xlpm.mx),_xlfn.TEXTJOIN(" + ",TRUE,_xlfn.SORTBY(_xlpm.t,_xlpm.ln,1)))</f>
        <v>18</v>
      </c>
      <c r="F8" s="25" t="str">
        <f t="shared" si="0"/>
        <v>—</v>
      </c>
      <c r="G8" s="5">
        <f t="shared" si="1"/>
        <v>18</v>
      </c>
      <c r="H8" s="5" cm="1">
        <f t="array" ref="H8">MAX('10 فرق'!$A$4:$A$93)-SUMPRODUCT(MAX(ISNUMBER(IFERROR(--LEFT('10 فرق'!$D$4:$D$93,1),"x"))*'10 فرق'!$A$4:$A$93))</f>
        <v>0</v>
      </c>
      <c r="I8" s="13">
        <f>MAX('10 فرق'!$A$4:$A$93)</f>
        <v>18</v>
      </c>
      <c r="J8" s="5" t="str">
        <f>MOD(HOUR(المدخلات!$B$5)-1,12)+1&amp;":"&amp;TEXT(MINUTE(المدخلات!$B$5),"00")&amp;IF(HOUR(المدخلات!$B$5)&lt;12," ص"," م")</f>
        <v>4:00 م</v>
      </c>
      <c r="K8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8" s="5">
        <f>MAX('10 فرق'!$C$4:$C$93)</f>
        <v>2</v>
      </c>
      <c r="M8" s="11" t="str">
        <f>IF(I8&gt;المدخلات!$B$11,"⚠ تجاوز السقف ("&amp;I8&amp;" يوماً) لضمان "&amp;المدخلات!$B$10&amp;" مباراة","ضمن السقف")</f>
        <v>ضمن السقف</v>
      </c>
      <c r="N8" s="11"/>
      <c r="O8" s="11"/>
      <c r="P8" s="11"/>
    </row>
    <row r="9" spans="1:16">
      <c r="A9" s="7">
        <v>13</v>
      </c>
      <c r="B9" s="5" cm="1">
        <f t="array" ref="B9">ROUND(SUMPRODUCT(1/COUNTIF('بيانات الفرق U13'!$AA$3:$AA$15,'بيانات الفرق U13'!$AA$3:$AA$15)),0)</f>
        <v>2</v>
      </c>
      <c r="C9" s="5" t="str" cm="1">
        <f t="array" ref="C9">_xlfn.TEXTJOIN(" + ",TRUE,_xlfn._xlws.SORT(COUNTIF('بيانات الفرق U13'!$AA$3:$AA$15,"المجموعة "&amp;_xlfn.SEQUENCE(B9))))</f>
        <v>6 + 7</v>
      </c>
      <c r="D9" s="5" t="str" cm="1">
        <f t="array" ref="D9">_xlfn.LET(_xlpm.gs,_xlfn.SEQUENCE(B9),_xlpm.op,_xlfn.MAXIFS('بيانات الفرق U13'!$AC$3:$AC$15,'بيانات الفرق U13'!$AA$3:$AA$15,"المجموعة "&amp;_xlpm.gs),_xlpm.mt,_xlfn.MAXIFS('بيانات الفرق U13'!$AB$3:$AB$15,'بيانات الفرق U13'!$AA$3:$AA$15,"المجموعة "&amp;_xlpm.gs),_xlfn.TEXTJOIN(" + ",TRUE,_xlfn.SORTBY(_xlpm.mt/_xlpm.op,_xlpm.op,1)))</f>
        <v>4 + 3</v>
      </c>
      <c r="E9" s="5" t="str" cm="1">
        <f t="array" ref="E9">_xlfn.LET(_xlpm.gs,_xlfn.SEQUENCE(B9),_xlpm.ln,_xlfn.MAXIFS('بيانات الفرق U13'!$AC$3:$AC$15,'بيانات الفرق U13'!$AA$3:$AA$15,"المجموعة "&amp;_xlpm.gs),_xlpm.mn,_xlfn.MINIFS('بيانات الفرق U13'!$AB$3:$AB$15,'بيانات الفرق U13'!$AA$3:$AA$15,"المجموعة "&amp;_xlpm.gs),_xlpm.mx,_xlfn.MAXIFS('بيانات الفرق U13'!$AB$3:$AB$15,'بيانات الفرق U13'!$AA$3:$AA$15,"المجموعة "&amp;_xlpm.gs),_xlpm.t,IF(_xlpm.mn=_xlpm.mx,_xlpm.mn&amp;"",_xlpm.mn&amp;"–"&amp;_xlpm.mx),_xlfn.TEXTJOIN(" + ",TRUE,_xlfn.SORTBY(_xlpm.t,_xlpm.ln,1)))</f>
        <v>20 + 18</v>
      </c>
      <c r="F9" s="25" t="str">
        <f t="shared" si="0"/>
        <v>نهائي مباشر</v>
      </c>
      <c r="G9" s="5">
        <f t="shared" si="1"/>
        <v>21</v>
      </c>
      <c r="H9" s="5" cm="1">
        <f t="array" ref="H9">MAX('13 فريق'!$A$4:$A$127)-SUMPRODUCT(MAX(ISNUMBER(IFERROR(--LEFT('13 فريق'!$E$4:$E$127,1),"x"))*'13 فريق'!$A$4:$A$127))</f>
        <v>1</v>
      </c>
      <c r="I9" s="13">
        <f>MAX('13 فريق'!$A$4:$A$127)</f>
        <v>22</v>
      </c>
      <c r="J9" s="5" t="str">
        <f>MOD(HOUR(المدخلات!$B$5)-1,12)+1&amp;":"&amp;TEXT(MINUTE(المدخلات!$B$5),"00")&amp;IF(HOUR(المدخلات!$B$5)&lt;12," ص"," م")</f>
        <v>4:00 م</v>
      </c>
      <c r="K9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9" s="5">
        <f>MAX('13 فريق'!$C$4:$C$127)</f>
        <v>2</v>
      </c>
      <c r="M9" s="11" t="str">
        <f>IF(I9&gt;المدخلات!$B$11,"⚠ تجاوز السقف ("&amp;I9&amp;" يوماً) لضمان "&amp;المدخلات!$B$10&amp;" مباراة","ضمن السقف")</f>
        <v>ضمن السقف</v>
      </c>
      <c r="N9" s="11"/>
      <c r="O9" s="11"/>
      <c r="P9" s="11"/>
    </row>
    <row r="10" spans="1:16">
      <c r="A10" s="8">
        <v>14</v>
      </c>
      <c r="B10" s="5" cm="1">
        <f t="array" ref="B10">ROUND(SUMPRODUCT(1/COUNTIF('بيانات الفرق U13'!$AF$3:$AF$16,'بيانات الفرق U13'!$AF$3:$AF$16)),0)</f>
        <v>2</v>
      </c>
      <c r="C10" s="5" t="str" cm="1">
        <f t="array" ref="C10">_xlfn.TEXTJOIN(" + ",TRUE,_xlfn._xlws.SORT(COUNTIF('بيانات الفرق U13'!$AF$3:$AF$16,"المجموعة "&amp;_xlfn.SEQUENCE(B10))))</f>
        <v>7 + 7</v>
      </c>
      <c r="D10" s="5" t="str" cm="1">
        <f t="array" ref="D10">_xlfn.LET(_xlpm.gs,_xlfn.SEQUENCE(B10),_xlpm.op,_xlfn.MAXIFS('بيانات الفرق U13'!$AH$3:$AH$16,'بيانات الفرق U13'!$AF$3:$AF$16,"المجموعة "&amp;_xlpm.gs),_xlpm.mt,_xlfn.MAXIFS('بيانات الفرق U13'!$AG$3:$AG$16,'بيانات الفرق U13'!$AF$3:$AF$16,"المجموعة "&amp;_xlpm.gs),_xlfn.TEXTJOIN(" + ",TRUE,_xlfn.SORTBY(_xlpm.mt/_xlpm.op,_xlpm.op,1)))</f>
        <v>3 + 3</v>
      </c>
      <c r="E10" s="5" t="str" cm="1">
        <f t="array" ref="E10">_xlfn.LET(_xlpm.gs,_xlfn.SEQUENCE(B10),_xlpm.ln,_xlfn.MAXIFS('بيانات الفرق U13'!$AH$3:$AH$16,'بيانات الفرق U13'!$AF$3:$AF$16,"المجموعة "&amp;_xlpm.gs),_xlpm.mn,_xlfn.MINIFS('بيانات الفرق U13'!$AG$3:$AG$16,'بيانات الفرق U13'!$AF$3:$AF$16,"المجموعة "&amp;_xlpm.gs),_xlpm.mx,_xlfn.MAXIFS('بيانات الفرق U13'!$AG$3:$AG$16,'بيانات الفرق U13'!$AF$3:$AF$16,"المجموعة "&amp;_xlpm.gs),_xlpm.t,IF(_xlpm.mn=_xlpm.mx,_xlpm.mn&amp;"",_xlpm.mn&amp;"–"&amp;_xlpm.mx),_xlfn.TEXTJOIN(" + ",TRUE,_xlfn.SORTBY(_xlpm.t,_xlpm.ln,1)))</f>
        <v>18 + 18</v>
      </c>
      <c r="F10" s="25" t="str">
        <f t="shared" si="0"/>
        <v>نهائي مباشر</v>
      </c>
      <c r="G10" s="5">
        <f t="shared" si="1"/>
        <v>21</v>
      </c>
      <c r="H10" s="5" cm="1">
        <f t="array" ref="H10">MAX('14 فريق'!$A$4:$A$130)-SUMPRODUCT(MAX(ISNUMBER(IFERROR(--LEFT('14 فريق'!$E$4:$E$130,1),"x"))*'14 فريق'!$A$4:$A$130))</f>
        <v>1</v>
      </c>
      <c r="I10" s="13">
        <f>MAX('14 فريق'!$A$4:$A$130)</f>
        <v>22</v>
      </c>
      <c r="J10" s="5" t="str">
        <f>MOD(HOUR(المدخلات!$B$5)-1,12)+1&amp;":"&amp;TEXT(MINUTE(المدخلات!$B$5),"00")&amp;IF(HOUR(المدخلات!$B$5)&lt;12," ص"," م")</f>
        <v>4:00 م</v>
      </c>
      <c r="K10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0" s="5">
        <f>MAX('14 فريق'!$C$4:$C$130)</f>
        <v>2</v>
      </c>
      <c r="M10" s="11" t="str">
        <f>IF(I10&gt;المدخلات!$B$11,"⚠ تجاوز السقف ("&amp;I10&amp;" يوماً) لضمان "&amp;المدخلات!$B$10&amp;" مباراة","ضمن السقف")</f>
        <v>ضمن السقف</v>
      </c>
      <c r="N10" s="11"/>
      <c r="O10" s="11"/>
      <c r="P10" s="11"/>
    </row>
    <row r="11" spans="1:16">
      <c r="A11" s="7">
        <v>16</v>
      </c>
      <c r="B11" s="5" cm="1">
        <f t="array" ref="B11">ROUND(SUMPRODUCT(1/COUNTIF('بيانات الفرق U13'!$AK$3:$AK$18,'بيانات الفرق U13'!$AK$3:$AK$18)),0)</f>
        <v>2</v>
      </c>
      <c r="C11" s="5" t="str" cm="1">
        <f t="array" ref="C11">_xlfn.TEXTJOIN(" + ",TRUE,_xlfn._xlws.SORT(COUNTIF('بيانات الفرق U13'!$AK$3:$AK$18,"المجموعة "&amp;_xlfn.SEQUENCE(B11))))</f>
        <v>8 + 8</v>
      </c>
      <c r="D11" s="5" t="str" cm="1">
        <f t="array" ref="D11">_xlfn.LET(_xlpm.gs,_xlfn.SEQUENCE(B11),_xlpm.op,_xlfn.MAXIFS('بيانات الفرق U13'!$AM$3:$AM$18,'بيانات الفرق U13'!$AK$3:$AK$18,"المجموعة "&amp;_xlpm.gs),_xlpm.mt,_xlfn.MAXIFS('بيانات الفرق U13'!$AL$3:$AL$18,'بيانات الفرق U13'!$AK$3:$AK$18,"المجموعة "&amp;_xlpm.gs),_xlfn.TEXTJOIN(" + ",TRUE,_xlfn.SORTBY(_xlpm.mt/_xlpm.op,_xlpm.op,1)))</f>
        <v>3 + 3</v>
      </c>
      <c r="E11" s="5" t="str" cm="1">
        <f t="array" ref="E11">_xlfn.LET(_xlpm.gs,_xlfn.SEQUENCE(B11),_xlpm.ln,_xlfn.MAXIFS('بيانات الفرق U13'!$AM$3:$AM$18,'بيانات الفرق U13'!$AK$3:$AK$18,"المجموعة "&amp;_xlpm.gs),_xlpm.mn,_xlfn.MINIFS('بيانات الفرق U13'!$AL$3:$AL$18,'بيانات الفرق U13'!$AK$3:$AK$18,"المجموعة "&amp;_xlpm.gs),_xlpm.mx,_xlfn.MAXIFS('بيانات الفرق U13'!$AL$3:$AL$18,'بيانات الفرق U13'!$AK$3:$AK$18,"المجموعة "&amp;_xlpm.gs),_xlpm.t,IF(_xlpm.mn=_xlpm.mx,_xlpm.mn&amp;"",_xlpm.mn&amp;"–"&amp;_xlpm.mx),_xlfn.TEXTJOIN(" + ",TRUE,_xlfn.SORTBY(_xlpm.t,_xlpm.ln,1)))</f>
        <v>21 + 21</v>
      </c>
      <c r="F11" s="25" t="str">
        <f t="shared" si="0"/>
        <v>نهائي مباشر</v>
      </c>
      <c r="G11" s="5">
        <f t="shared" si="1"/>
        <v>21</v>
      </c>
      <c r="H11" s="5" cm="1">
        <f t="array" ref="H11">MAX('16 فريق'!$A$4:$A$172)-SUMPRODUCT(MAX(ISNUMBER(IFERROR(--LEFT('16 فريق'!$E$4:$E$172,1),"x"))*'16 فريق'!$A$4:$A$172))</f>
        <v>1</v>
      </c>
      <c r="I11" s="13">
        <f>MAX('16 فريق'!$A$4:$A$172)</f>
        <v>22</v>
      </c>
      <c r="J11" s="5" t="str">
        <f>MOD(HOUR(المدخلات!$B$5)-1,12)+1&amp;":"&amp;TEXT(MINUTE(المدخلات!$B$5),"00")&amp;IF(HOUR(المدخلات!$B$5)&lt;12," ص"," م")</f>
        <v>4:00 م</v>
      </c>
      <c r="K11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1" s="5">
        <f>MAX('16 فريق'!$C$4:$C$172)</f>
        <v>3</v>
      </c>
      <c r="M11" s="11" t="str">
        <f>IF(I11&gt;المدخلات!$B$11,"⚠ تجاوز السقف ("&amp;I11&amp;" يوماً) لضمان "&amp;المدخلات!$B$10&amp;" مباراة","ضمن السقف")</f>
        <v>ضمن السقف</v>
      </c>
      <c r="N11" s="11"/>
      <c r="O11" s="11"/>
      <c r="P11" s="11"/>
    </row>
    <row r="12" spans="1:16">
      <c r="A12" s="8">
        <v>17</v>
      </c>
      <c r="B12" s="5" cm="1">
        <f t="array" ref="B12">ROUND(SUMPRODUCT(1/COUNTIF('بيانات الفرق U13'!$AP$3:$AP$19,'بيانات الفرق U13'!$AP$3:$AP$19)),0)</f>
        <v>1</v>
      </c>
      <c r="C12" s="5" t="str" cm="1">
        <f t="array" ref="C12">_xlfn.TEXTJOIN(" + ",TRUE,_xlfn._xlws.SORT(COUNTIF('بيانات الفرق U13'!$AP$3:$AP$19,"المجموعة "&amp;_xlfn.SEQUENCE(B12))))</f>
        <v>17</v>
      </c>
      <c r="D12" s="5" t="str" cm="1">
        <f t="array" ref="D12">_xlfn.LET(_xlpm.gs,_xlfn.SEQUENCE(B12),_xlpm.op,_xlfn.MAXIFS('بيانات الفرق U13'!$AR$3:$AR$19,'بيانات الفرق U13'!$AP$3:$AP$19,"المجموعة "&amp;_xlpm.gs),_xlpm.mt,_xlfn.MAXIFS('بيانات الفرق U13'!$AQ$3:$AQ$19,'بيانات الفرق U13'!$AP$3:$AP$19,"المجموعة "&amp;_xlpm.gs),_xlfn.TEXTJOIN(" + ",TRUE,_xlfn.SORTBY(_xlpm.mt/_xlpm.op,_xlpm.op,1)))</f>
        <v>1</v>
      </c>
      <c r="E12" s="5" t="str" cm="1">
        <f t="array" ref="E12">_xlfn.LET(_xlpm.gs,_xlfn.SEQUENCE(B12),_xlpm.ln,_xlfn.MAXIFS('بيانات الفرق U13'!$AR$3:$AR$19,'بيانات الفرق U13'!$AP$3:$AP$19,"المجموعة "&amp;_xlpm.gs),_xlpm.mn,_xlfn.MINIFS('بيانات الفرق U13'!$AQ$3:$AQ$19,'بيانات الفرق U13'!$AP$3:$AP$19,"المجموعة "&amp;_xlpm.gs),_xlpm.mx,_xlfn.MAXIFS('بيانات الفرق U13'!$AQ$3:$AQ$19,'بيانات الفرق U13'!$AP$3:$AP$19,"المجموعة "&amp;_xlpm.gs),_xlpm.t,IF(_xlpm.mn=_xlpm.mx,_xlpm.mn&amp;"",_xlpm.mn&amp;"–"&amp;_xlpm.mx),_xlfn.TEXTJOIN(" + ",TRUE,_xlfn.SORTBY(_xlpm.t,_xlpm.ln,1)))</f>
        <v>16</v>
      </c>
      <c r="F12" s="25" t="str">
        <f t="shared" si="0"/>
        <v>—</v>
      </c>
      <c r="G12" s="5">
        <f t="shared" si="1"/>
        <v>17</v>
      </c>
      <c r="H12" s="5" cm="1">
        <f t="array" ref="H12">MAX('17 فريق'!$A$4:$A$139)-SUMPRODUCT(MAX(ISNUMBER(IFERROR(--LEFT('17 فريق'!$D$4:$D$139,1),"x"))*'17 فريق'!$A$4:$A$139))</f>
        <v>0</v>
      </c>
      <c r="I12" s="13">
        <f>MAX('17 فريق'!$A$4:$A$139)</f>
        <v>17</v>
      </c>
      <c r="J12" s="5" t="str">
        <f>MOD(HOUR(المدخلات!$B$5)-1,12)+1&amp;":"&amp;TEXT(MINUTE(المدخلات!$B$5),"00")&amp;IF(HOUR(المدخلات!$B$5)&lt;12," ص"," م")</f>
        <v>4:00 م</v>
      </c>
      <c r="K12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2" s="5">
        <f>MAX('17 فريق'!$C$4:$C$139)</f>
        <v>3</v>
      </c>
      <c r="M12" s="11" t="str">
        <f>IF(I12&gt;المدخلات!$B$11,"⚠ تجاوز السقف ("&amp;I12&amp;" يوماً) لضمان "&amp;المدخلات!$B$10&amp;" مباراة","ضمن السقف")</f>
        <v>ضمن السقف</v>
      </c>
      <c r="N12" s="11"/>
      <c r="O12" s="11"/>
      <c r="P12" s="11"/>
    </row>
    <row r="13" spans="1:16" ht="29">
      <c r="A13" s="7">
        <v>24</v>
      </c>
      <c r="B13" s="5" cm="1">
        <f t="array" ref="B13">ROUND(SUMPRODUCT(1/COUNTIF('بيانات الفرق U13'!$AU$3:$AU$26,'بيانات الفرق U13'!$AU$3:$AU$26)),0)</f>
        <v>4</v>
      </c>
      <c r="C13" s="5" t="str" cm="1">
        <f t="array" ref="C13">_xlfn.TEXTJOIN(" + ",TRUE,_xlfn._xlws.SORT(COUNTIF('بيانات الفرق U13'!$AU$3:$AU$26,"المجموعة "&amp;_xlfn.SEQUENCE(B13))))</f>
        <v>6 + 6 + 6 + 6</v>
      </c>
      <c r="D13" s="5" t="str" cm="1">
        <f t="array" ref="D13">_xlfn.LET(_xlpm.gs,_xlfn.SEQUENCE(B13),_xlpm.op,_xlfn.MAXIFS('بيانات الفرق U13'!$AW$3:$AW$26,'بيانات الفرق U13'!$AU$3:$AU$26,"المجموعة "&amp;_xlpm.gs),_xlpm.mt,_xlfn.MAXIFS('بيانات الفرق U13'!$AV$3:$AV$26,'بيانات الفرق U13'!$AU$3:$AU$26,"المجموعة "&amp;_xlpm.gs),_xlfn.TEXTJOIN(" + ",TRUE,_xlfn.SORTBY(_xlpm.mt/_xlpm.op,_xlpm.op,1)))</f>
        <v>4 + 4 + 4 + 4</v>
      </c>
      <c r="E13" s="5" t="str" cm="1">
        <f t="array" ref="E13">_xlfn.LET(_xlpm.gs,_xlfn.SEQUENCE(B13),_xlpm.ln,_xlfn.MAXIFS('بيانات الفرق U13'!$AW$3:$AW$26,'بيانات الفرق U13'!$AU$3:$AU$26,"المجموعة "&amp;_xlpm.gs),_xlpm.mn,_xlfn.MINIFS('بيانات الفرق U13'!$AV$3:$AV$26,'بيانات الفرق U13'!$AU$3:$AU$26,"المجموعة "&amp;_xlpm.gs),_xlpm.mx,_xlfn.MAXIFS('بيانات الفرق U13'!$AV$3:$AV$26,'بيانات الفرق U13'!$AU$3:$AU$26,"المجموعة "&amp;_xlpm.gs),_xlpm.t,IF(_xlpm.mn=_xlpm.mx,_xlpm.mn&amp;"",_xlpm.mn&amp;"–"&amp;_xlpm.mx),_xlfn.TEXTJOIN(" + ",TRUE,_xlfn.SORTBY(_xlpm.t,_xlpm.ln,1)))</f>
        <v>20 + 20 + 20 + 20</v>
      </c>
      <c r="F13" s="25" t="str">
        <f t="shared" si="0"/>
        <v>نصف نهائي ثم نهائي – كل دور في يوم</v>
      </c>
      <c r="G13" s="5">
        <f t="shared" si="1"/>
        <v>20</v>
      </c>
      <c r="H13" s="5" cm="1">
        <f t="array" ref="H13">MAX('24 فريق'!$A$4:$A$246)-SUMPRODUCT(MAX(ISNUMBER(IFERROR(--LEFT('24 فريق'!$E$4:$E$246,1),"x"))*'24 فريق'!$A$4:$A$246))</f>
        <v>2</v>
      </c>
      <c r="I13" s="13">
        <f>MAX('24 فريق'!$A$4:$A$246)</f>
        <v>22</v>
      </c>
      <c r="J13" s="5" t="str">
        <f>MOD(HOUR(المدخلات!$B$5)-1,12)+1&amp;":"&amp;TEXT(MINUTE(المدخلات!$B$5),"00")&amp;IF(HOUR(المدخلات!$B$5)&lt;12," ص"," م")</f>
        <v>4:00 م</v>
      </c>
      <c r="K13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3" s="5">
        <f>MAX('24 فريق'!$C$4:$C$246)</f>
        <v>4</v>
      </c>
      <c r="M13" s="11" t="str">
        <f>IF(I13&gt;المدخلات!$B$11,"⚠ تجاوز السقف ("&amp;I13&amp;" يوماً) لضمان "&amp;المدخلات!$B$10&amp;" مباراة","ضمن السقف")</f>
        <v>ضمن السقف</v>
      </c>
      <c r="N13" s="11"/>
      <c r="O13" s="11"/>
      <c r="P13" s="11"/>
    </row>
    <row r="14" spans="1:16" ht="29">
      <c r="A14" s="8">
        <v>29</v>
      </c>
      <c r="B14" s="5" cm="1">
        <f t="array" ref="B14">ROUND(SUMPRODUCT(1/COUNTIF('بيانات الفرق U13'!$AZ$3:$AZ$31,'بيانات الفرق U13'!$AZ$3:$AZ$31)),0)</f>
        <v>3</v>
      </c>
      <c r="C14" s="5" t="str" cm="1">
        <f t="array" ref="C14">_xlfn.TEXTJOIN(" + ",TRUE,_xlfn._xlws.SORT(COUNTIF('بيانات الفرق U13'!$AZ$3:$AZ$31,"المجموعة "&amp;_xlfn.SEQUENCE(B14))))</f>
        <v>9 + 10 + 10</v>
      </c>
      <c r="D14" s="5" t="str" cm="1">
        <f t="array" ref="D14">_xlfn.LET(_xlpm.gs,_xlfn.SEQUENCE(B14),_xlpm.op,_xlfn.MAXIFS('بيانات الفرق U13'!$BB$3:$BB$31,'بيانات الفرق U13'!$AZ$3:$AZ$31,"المجموعة "&amp;_xlpm.gs),_xlpm.mt,_xlfn.MAXIFS('بيانات الفرق U13'!$BA$3:$BA$31,'بيانات الفرق U13'!$AZ$3:$AZ$31,"المجموعة "&amp;_xlpm.gs),_xlfn.TEXTJOIN(" + ",TRUE,_xlfn.SORTBY(_xlpm.mt/_xlpm.op,_xlpm.op,1)))</f>
        <v>2 + 2 + 2</v>
      </c>
      <c r="E14" s="5" t="str" cm="1">
        <f t="array" ref="E14">_xlfn.LET(_xlpm.gs,_xlfn.SEQUENCE(B14),_xlpm.ln,_xlfn.MAXIFS('بيانات الفرق U13'!$BB$3:$BB$31,'بيانات الفرق U13'!$AZ$3:$AZ$31,"المجموعة "&amp;_xlpm.gs),_xlpm.mn,_xlfn.MINIFS('بيانات الفرق U13'!$BA$3:$BA$31,'بيانات الفرق U13'!$AZ$3:$AZ$31,"المجموعة "&amp;_xlpm.gs),_xlpm.mx,_xlfn.MAXIFS('بيانات الفرق U13'!$BA$3:$BA$31,'بيانات الفرق U13'!$AZ$3:$AZ$31,"المجموعة "&amp;_xlpm.gs),_xlpm.t,IF(_xlpm.mn=_xlpm.mx,_xlpm.mn&amp;"",_xlpm.mn&amp;"–"&amp;_xlpm.mx),_xlfn.TEXTJOIN(" + ",TRUE,_xlfn.SORTBY(_xlpm.t,_xlpm.ln,1)))</f>
        <v>16 + 18 + 18</v>
      </c>
      <c r="F14" s="25" t="str">
        <f t="shared" si="0"/>
        <v>نصف نهائي ثم نهائي – كل دور في يوم</v>
      </c>
      <c r="G14" s="5">
        <f t="shared" si="1"/>
        <v>18</v>
      </c>
      <c r="H14" s="5" cm="1">
        <f t="array" ref="H14">MAX('29 فريق'!$A$4:$A$258)-SUMPRODUCT(MAX(ISNUMBER(IFERROR(--LEFT('29 فريق'!$E$4:$E$258,1),"x"))*'29 فريق'!$A$4:$A$258))</f>
        <v>2</v>
      </c>
      <c r="I14" s="13">
        <f>MAX('29 فريق'!$A$4:$A$258)</f>
        <v>20</v>
      </c>
      <c r="J14" s="5" t="str">
        <f>MOD(HOUR(المدخلات!$B$5)-1,12)+1&amp;":"&amp;TEXT(MINUTE(المدخلات!$B$5),"00")&amp;IF(HOUR(المدخلات!$B$5)&lt;12," ص"," م")</f>
        <v>4:00 م</v>
      </c>
      <c r="K14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4" s="5">
        <f>MAX('29 فريق'!$C$4:$C$258)</f>
        <v>5</v>
      </c>
      <c r="M14" s="11" t="str">
        <f>IF(I14&gt;المدخلات!$B$11,"⚠ تجاوز السقف ("&amp;I14&amp;" يوماً) لضمان "&amp;المدخلات!$B$10&amp;" مباراة","ضمن السقف")</f>
        <v>ضمن السقف</v>
      </c>
      <c r="N14" s="11"/>
      <c r="O14" s="11"/>
      <c r="P14" s="11"/>
    </row>
    <row r="15" spans="1:16">
      <c r="A15" s="7">
        <v>34</v>
      </c>
      <c r="B15" s="5" cm="1">
        <f t="array" ref="B15">ROUND(SUMPRODUCT(1/COUNTIF('بيانات الفرق U13'!$BE$3:$BE$36,'بيانات الفرق U13'!$BE$3:$BE$36)),0)</f>
        <v>2</v>
      </c>
      <c r="C15" s="5" t="str" cm="1">
        <f t="array" ref="C15">_xlfn.TEXTJOIN(" + ",TRUE,_xlfn._xlws.SORT(COUNTIF('بيانات الفرق U13'!$BE$3:$BE$36,"المجموعة "&amp;_xlfn.SEQUENCE(B15))))</f>
        <v>17 + 17</v>
      </c>
      <c r="D15" s="5" t="str" cm="1">
        <f t="array" ref="D15">_xlfn.LET(_xlpm.gs,_xlfn.SEQUENCE(B15),_xlpm.op,_xlfn.MAXIFS('بيانات الفرق U13'!$BG$3:$BG$36,'بيانات الفرق U13'!$BE$3:$BE$36,"المجموعة "&amp;_xlpm.gs),_xlpm.mt,_xlfn.MAXIFS('بيانات الفرق U13'!$BF$3:$BF$36,'بيانات الفرق U13'!$BE$3:$BE$36,"المجموعة "&amp;_xlpm.gs),_xlfn.TEXTJOIN(" + ",TRUE,_xlfn.SORTBY(_xlpm.mt/_xlpm.op,_xlpm.op,1)))</f>
        <v>1 + 1</v>
      </c>
      <c r="E15" s="5" t="str" cm="1">
        <f t="array" ref="E15">_xlfn.LET(_xlpm.gs,_xlfn.SEQUENCE(B15),_xlpm.ln,_xlfn.MAXIFS('بيانات الفرق U13'!$BG$3:$BG$36,'بيانات الفرق U13'!$BE$3:$BE$36,"المجموعة "&amp;_xlpm.gs),_xlpm.mn,_xlfn.MINIFS('بيانات الفرق U13'!$BF$3:$BF$36,'بيانات الفرق U13'!$BE$3:$BE$36,"المجموعة "&amp;_xlpm.gs),_xlpm.mx,_xlfn.MAXIFS('بيانات الفرق U13'!$BF$3:$BF$36,'بيانات الفرق U13'!$BE$3:$BE$36,"المجموعة "&amp;_xlpm.gs),_xlpm.t,IF(_xlpm.mn=_xlpm.mx,_xlpm.mn&amp;"",_xlpm.mn&amp;"–"&amp;_xlpm.mx),_xlfn.TEXTJOIN(" + ",TRUE,_xlfn.SORTBY(_xlpm.t,_xlpm.ln,1)))</f>
        <v>16 + 16</v>
      </c>
      <c r="F15" s="25" t="str">
        <f t="shared" si="0"/>
        <v>نهائي مباشر</v>
      </c>
      <c r="G15" s="5">
        <f t="shared" si="1"/>
        <v>17</v>
      </c>
      <c r="H15" s="5" cm="1">
        <f t="array" ref="H15">MAX('34 فريق'!$A$4:$A$276)-SUMPRODUCT(MAX(ISNUMBER(IFERROR(--LEFT('34 فريق'!$E$4:$E$276,1),"x"))*'34 فريق'!$A$4:$A$276))</f>
        <v>1</v>
      </c>
      <c r="I15" s="13">
        <f>MAX('34 فريق'!$A$4:$A$276)</f>
        <v>18</v>
      </c>
      <c r="J15" s="5" t="str">
        <f>MOD(HOUR(المدخلات!$B$5)-1,12)+1&amp;":"&amp;TEXT(MINUTE(المدخلات!$B$5),"00")&amp;IF(HOUR(المدخلات!$B$5)&lt;12," ص"," م")</f>
        <v>4:00 م</v>
      </c>
      <c r="K15" s="5" t="str">
        <f>MOD(HOUR(المدخلات!$B$5+((المدخلات!$B$9-1)*المدخلات!$B$8+المدخلات!$B$6)/1440)-1,12)+1&amp;":"&amp;TEXT(MINUTE(المدخلات!$B$5+((المدخلات!$B$9-1)*المدخلات!$B$8+المدخلات!$B$6)/1440),"00")&amp;IF(HOUR(المدخلات!$B$5+((المدخلات!$B$9-1)*المدخلات!$B$8+المدخلات!$B$6)/1440)&lt;12," ص"," م")</f>
        <v>8:35 م</v>
      </c>
      <c r="L15" s="5">
        <f>MAX('34 فريق'!$C$4:$C$276)</f>
        <v>6</v>
      </c>
      <c r="M15" s="11" t="str">
        <f>IF(I15&gt;المدخلات!$B$11,"⚠ تجاوز السقف ("&amp;I15&amp;" يوماً) لضمان "&amp;المدخلات!$B$10&amp;" مباراة","ضمن السقف")</f>
        <v>ضمن السقف</v>
      </c>
      <c r="N15" s="11"/>
      <c r="O15" s="11"/>
      <c r="P15" s="11"/>
    </row>
    <row r="16" spans="1:16">
      <c r="A16"/>
      <c r="B16"/>
      <c r="C16"/>
      <c r="D16"/>
      <c r="E16"/>
      <c r="F16"/>
      <c r="G16"/>
      <c r="H16"/>
      <c r="I16"/>
      <c r="J16"/>
      <c r="K16"/>
      <c r="L16"/>
      <c r="M16"/>
      <c r="N16" s="11"/>
      <c r="O16" s="11"/>
      <c r="P16" s="11"/>
    </row>
    <row r="17" spans="1:16" ht="22" customHeight="1">
      <c r="A17" s="11"/>
      <c r="B17" s="26" cm="1">
        <f t="array" ref="B17">SUMPRODUCT(COUNTIF(المدخلات!$I$5:$I$31,$A$4:$A$15)*_xlfn.VSTACK(COUNTA('5 فرق'!$D$4:$D$43),COUNTA('6 فرق'!$D$4:$D$63),COUNTA('7 فرق'!$D$4:$D$66),COUNTA('8 فرق'!$D$4:$D$87),COUNTA('10 فرق'!$D$4:$D$93),COUNTA('13 فريق'!$E$4:$E$127),COUNTA('14 فريق'!$E$4:$E$130),COUNTA('16 فريق'!$E$4:$E$172),COUNTA('17 فريق'!$D$4:$D$139),COUNTA('24 فريق'!$E$4:$E$246),COUNTA('29 فريق'!$E$4:$E$258),COUNTA('34 فريق'!$E$4:$E$276)))</f>
        <v>3260</v>
      </c>
      <c r="C17" s="38" t="s">
        <v>534</v>
      </c>
      <c r="D17" s="38"/>
      <c r="E17" s="38"/>
      <c r="F17"/>
      <c r="G17"/>
      <c r="H17"/>
      <c r="I17"/>
      <c r="J17"/>
      <c r="K17"/>
      <c r="L17"/>
      <c r="M17"/>
      <c r="N17" s="11"/>
      <c r="O17" s="11"/>
      <c r="P17" s="11"/>
    </row>
    <row r="18" spans="1:16">
      <c r="A18"/>
      <c r="B18"/>
      <c r="C18"/>
      <c r="D18"/>
      <c r="E18"/>
      <c r="F18"/>
      <c r="G18"/>
      <c r="H18"/>
      <c r="I18"/>
      <c r="J18"/>
      <c r="K18"/>
      <c r="L18"/>
      <c r="M18"/>
      <c r="N18" s="11"/>
      <c r="O18" s="11"/>
      <c r="P18" s="11"/>
    </row>
    <row r="19" spans="1:16">
      <c r="A19"/>
      <c r="B19"/>
      <c r="C19"/>
      <c r="D19"/>
      <c r="E19"/>
      <c r="F19"/>
      <c r="G19"/>
      <c r="H19"/>
      <c r="I19"/>
      <c r="J19"/>
      <c r="K19"/>
      <c r="L19"/>
      <c r="M19"/>
      <c r="N19" s="11"/>
      <c r="O19" s="11"/>
      <c r="P19" s="11"/>
    </row>
    <row r="20" spans="1:16">
      <c r="A20"/>
      <c r="B20"/>
      <c r="C20"/>
      <c r="D20"/>
      <c r="E20"/>
      <c r="F20"/>
      <c r="G20"/>
      <c r="H20"/>
      <c r="I20"/>
      <c r="J20"/>
      <c r="K20"/>
      <c r="L20"/>
      <c r="M20"/>
      <c r="N20" s="11"/>
      <c r="O20" s="11"/>
      <c r="P20" s="11"/>
    </row>
    <row r="21" spans="1:16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</sheetData>
  <mergeCells count="2">
    <mergeCell ref="A1:L1"/>
    <mergeCell ref="C17:E17"/>
  </mergeCells>
  <conditionalFormatting sqref="M4:M15">
    <cfRule type="containsText" priority="1" operator="containsText" text="Text">
      <formula>NOT(ISERROR(SEARCH("Text",M4)))</formula>
    </cfRule>
    <cfRule type="containsText" priority="2" operator="containsText" text="تجاوز">
      <formula>NOT(ISERROR(SEARCH("تجاوز",M4)))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8DC4-9D80-4432-BA11-C94C66166DCA}">
  <dimension ref="A1:G52"/>
  <sheetViews>
    <sheetView showGridLines="0" rightToLeft="1" workbookViewId="0">
      <pane ySplit="3" topLeftCell="A35" activePane="bottomLeft" state="frozen"/>
      <selection pane="bottomLeft" activeCell="F48" sqref="C48:G51"/>
    </sheetView>
  </sheetViews>
  <sheetFormatPr defaultRowHeight="14.5"/>
  <cols>
    <col min="1" max="1" width="10" customWidth="1"/>
    <col min="2" max="2" width="20" customWidth="1"/>
    <col min="3" max="3" width="10" customWidth="1"/>
    <col min="4" max="4" width="29.08984375" customWidth="1"/>
    <col min="6" max="7" width="15.453125" customWidth="1"/>
  </cols>
  <sheetData>
    <row r="1" spans="1:4" ht="24" customHeight="1">
      <c r="A1" s="39" t="s">
        <v>535</v>
      </c>
      <c r="B1" s="39"/>
      <c r="C1" s="39"/>
      <c r="D1" s="39"/>
    </row>
    <row r="2" spans="1:4" ht="12" customHeight="1">
      <c r="A2" s="19"/>
      <c r="B2" s="19"/>
      <c r="C2" s="19"/>
      <c r="D2" s="19"/>
    </row>
    <row r="3" spans="1:4" ht="22" customHeight="1">
      <c r="A3" s="20" t="s">
        <v>12</v>
      </c>
      <c r="B3" s="20" t="s">
        <v>13</v>
      </c>
      <c r="C3" s="20" t="s">
        <v>14</v>
      </c>
      <c r="D3" s="20" t="s">
        <v>15</v>
      </c>
    </row>
    <row r="4" spans="1:4">
      <c r="A4" s="23">
        <v>1</v>
      </c>
      <c r="B4" s="24" t="s">
        <v>604</v>
      </c>
      <c r="C4" s="24">
        <v>1</v>
      </c>
      <c r="D4" s="24" t="s">
        <v>18</v>
      </c>
    </row>
    <row r="5" spans="1:4">
      <c r="A5" s="23">
        <v>1</v>
      </c>
      <c r="B5" s="24" t="s">
        <v>605</v>
      </c>
      <c r="C5" s="24">
        <v>1</v>
      </c>
      <c r="D5" s="24" t="s">
        <v>19</v>
      </c>
    </row>
    <row r="6" spans="1:4">
      <c r="A6" s="22">
        <v>2</v>
      </c>
      <c r="B6" s="21" t="s">
        <v>604</v>
      </c>
      <c r="C6" s="21">
        <v>1</v>
      </c>
      <c r="D6" s="21" t="s">
        <v>22</v>
      </c>
    </row>
    <row r="7" spans="1:4">
      <c r="A7" s="22">
        <v>2</v>
      </c>
      <c r="B7" s="21" t="s">
        <v>605</v>
      </c>
      <c r="C7" s="21">
        <v>1</v>
      </c>
      <c r="D7" s="21" t="s">
        <v>20</v>
      </c>
    </row>
    <row r="8" spans="1:4">
      <c r="A8" s="23">
        <v>3</v>
      </c>
      <c r="B8" s="24" t="s">
        <v>604</v>
      </c>
      <c r="C8" s="24">
        <v>1</v>
      </c>
      <c r="D8" s="24" t="s">
        <v>23</v>
      </c>
    </row>
    <row r="9" spans="1:4">
      <c r="A9" s="23">
        <v>3</v>
      </c>
      <c r="B9" s="24" t="s">
        <v>605</v>
      </c>
      <c r="C9" s="24">
        <v>1</v>
      </c>
      <c r="D9" s="24" t="s">
        <v>228</v>
      </c>
    </row>
    <row r="10" spans="1:4">
      <c r="A10" s="22">
        <v>4</v>
      </c>
      <c r="B10" s="21" t="s">
        <v>604</v>
      </c>
      <c r="C10" s="21">
        <v>1</v>
      </c>
      <c r="D10" s="21" t="s">
        <v>26</v>
      </c>
    </row>
    <row r="11" spans="1:4">
      <c r="A11" s="22">
        <v>4</v>
      </c>
      <c r="B11" s="21" t="s">
        <v>605</v>
      </c>
      <c r="C11" s="21">
        <v>1</v>
      </c>
      <c r="D11" s="21" t="s">
        <v>230</v>
      </c>
    </row>
    <row r="12" spans="1:4">
      <c r="A12" s="23">
        <v>5</v>
      </c>
      <c r="B12" s="24" t="s">
        <v>604</v>
      </c>
      <c r="C12" s="24">
        <v>1</v>
      </c>
      <c r="D12" s="24" t="s">
        <v>31</v>
      </c>
    </row>
    <row r="13" spans="1:4">
      <c r="A13" s="23">
        <v>5</v>
      </c>
      <c r="B13" s="24" t="s">
        <v>605</v>
      </c>
      <c r="C13" s="24">
        <v>1</v>
      </c>
      <c r="D13" s="24" t="s">
        <v>29</v>
      </c>
    </row>
    <row r="14" spans="1:4">
      <c r="A14" s="22">
        <v>6</v>
      </c>
      <c r="B14" s="21" t="s">
        <v>604</v>
      </c>
      <c r="C14" s="21">
        <v>1</v>
      </c>
      <c r="D14" s="21" t="s">
        <v>326</v>
      </c>
    </row>
    <row r="15" spans="1:4">
      <c r="A15" s="22">
        <v>6</v>
      </c>
      <c r="B15" s="21" t="s">
        <v>605</v>
      </c>
      <c r="C15" s="21">
        <v>1</v>
      </c>
      <c r="D15" s="21" t="s">
        <v>327</v>
      </c>
    </row>
    <row r="16" spans="1:4">
      <c r="A16" s="23">
        <v>7</v>
      </c>
      <c r="B16" s="24" t="s">
        <v>604</v>
      </c>
      <c r="C16" s="24">
        <v>1</v>
      </c>
      <c r="D16" s="24" t="s">
        <v>329</v>
      </c>
    </row>
    <row r="17" spans="1:4">
      <c r="A17" s="23">
        <v>7</v>
      </c>
      <c r="B17" s="24" t="s">
        <v>605</v>
      </c>
      <c r="C17" s="24">
        <v>1</v>
      </c>
      <c r="D17" s="24" t="s">
        <v>328</v>
      </c>
    </row>
    <row r="18" spans="1:4">
      <c r="A18" s="22">
        <v>8</v>
      </c>
      <c r="B18" s="21" t="s">
        <v>604</v>
      </c>
      <c r="C18" s="21">
        <v>1</v>
      </c>
      <c r="D18" s="21" t="s">
        <v>330</v>
      </c>
    </row>
    <row r="19" spans="1:4">
      <c r="A19" s="22">
        <v>8</v>
      </c>
      <c r="B19" s="21" t="s">
        <v>605</v>
      </c>
      <c r="C19" s="21">
        <v>1</v>
      </c>
      <c r="D19" s="21" t="s">
        <v>24</v>
      </c>
    </row>
    <row r="20" spans="1:4">
      <c r="A20" s="23">
        <v>9</v>
      </c>
      <c r="B20" s="24" t="s">
        <v>604</v>
      </c>
      <c r="C20" s="24">
        <v>1</v>
      </c>
      <c r="D20" s="24" t="s">
        <v>331</v>
      </c>
    </row>
    <row r="21" spans="1:4">
      <c r="A21" s="23">
        <v>9</v>
      </c>
      <c r="B21" s="24" t="s">
        <v>605</v>
      </c>
      <c r="C21" s="24">
        <v>1</v>
      </c>
      <c r="D21" s="24" t="s">
        <v>27</v>
      </c>
    </row>
    <row r="22" spans="1:4">
      <c r="A22" s="22">
        <v>10</v>
      </c>
      <c r="B22" s="21" t="s">
        <v>604</v>
      </c>
      <c r="C22" s="21">
        <v>1</v>
      </c>
      <c r="D22" s="21" t="s">
        <v>335</v>
      </c>
    </row>
    <row r="23" spans="1:4">
      <c r="A23" s="22">
        <v>10</v>
      </c>
      <c r="B23" s="21" t="s">
        <v>605</v>
      </c>
      <c r="C23" s="21">
        <v>1</v>
      </c>
      <c r="D23" s="21" t="s">
        <v>333</v>
      </c>
    </row>
    <row r="24" spans="1:4">
      <c r="A24" s="23">
        <v>11</v>
      </c>
      <c r="B24" s="24" t="s">
        <v>604</v>
      </c>
      <c r="C24" s="24">
        <v>1</v>
      </c>
      <c r="D24" s="24" t="s">
        <v>18</v>
      </c>
    </row>
    <row r="25" spans="1:4">
      <c r="A25" s="23">
        <v>11</v>
      </c>
      <c r="B25" s="24" t="s">
        <v>605</v>
      </c>
      <c r="C25" s="24">
        <v>1</v>
      </c>
      <c r="D25" s="24" t="s">
        <v>19</v>
      </c>
    </row>
    <row r="26" spans="1:4">
      <c r="A26" s="22">
        <v>12</v>
      </c>
      <c r="B26" s="21" t="s">
        <v>604</v>
      </c>
      <c r="C26" s="21">
        <v>1</v>
      </c>
      <c r="D26" s="21" t="s">
        <v>22</v>
      </c>
    </row>
    <row r="27" spans="1:4">
      <c r="A27" s="22">
        <v>12</v>
      </c>
      <c r="B27" s="21" t="s">
        <v>605</v>
      </c>
      <c r="C27" s="21">
        <v>1</v>
      </c>
      <c r="D27" s="21" t="s">
        <v>20</v>
      </c>
    </row>
    <row r="28" spans="1:4">
      <c r="A28" s="23">
        <v>13</v>
      </c>
      <c r="B28" s="24" t="s">
        <v>604</v>
      </c>
      <c r="C28" s="24">
        <v>1</v>
      </c>
      <c r="D28" s="24" t="s">
        <v>23</v>
      </c>
    </row>
    <row r="29" spans="1:4">
      <c r="A29" s="23">
        <v>13</v>
      </c>
      <c r="B29" s="24" t="s">
        <v>605</v>
      </c>
      <c r="C29" s="24">
        <v>1</v>
      </c>
      <c r="D29" s="24" t="s">
        <v>228</v>
      </c>
    </row>
    <row r="30" spans="1:4">
      <c r="A30" s="22">
        <v>14</v>
      </c>
      <c r="B30" s="21" t="s">
        <v>604</v>
      </c>
      <c r="C30" s="21">
        <v>1</v>
      </c>
      <c r="D30" s="21" t="s">
        <v>26</v>
      </c>
    </row>
    <row r="31" spans="1:4">
      <c r="A31" s="22">
        <v>14</v>
      </c>
      <c r="B31" s="21" t="s">
        <v>605</v>
      </c>
      <c r="C31" s="21">
        <v>1</v>
      </c>
      <c r="D31" s="21" t="s">
        <v>230</v>
      </c>
    </row>
    <row r="32" spans="1:4">
      <c r="A32" s="23">
        <v>15</v>
      </c>
      <c r="B32" s="24" t="s">
        <v>604</v>
      </c>
      <c r="C32" s="24">
        <v>1</v>
      </c>
      <c r="D32" s="24" t="s">
        <v>31</v>
      </c>
    </row>
    <row r="33" spans="1:7">
      <c r="A33" s="23">
        <v>15</v>
      </c>
      <c r="B33" s="24" t="s">
        <v>605</v>
      </c>
      <c r="C33" s="24">
        <v>1</v>
      </c>
      <c r="D33" s="24" t="s">
        <v>29</v>
      </c>
    </row>
    <row r="34" spans="1:7">
      <c r="A34" s="22">
        <v>16</v>
      </c>
      <c r="B34" s="21" t="s">
        <v>604</v>
      </c>
      <c r="C34" s="21">
        <v>1</v>
      </c>
      <c r="D34" s="21" t="s">
        <v>326</v>
      </c>
    </row>
    <row r="35" spans="1:7">
      <c r="A35" s="22">
        <v>16</v>
      </c>
      <c r="B35" s="21" t="s">
        <v>605</v>
      </c>
      <c r="C35" s="21">
        <v>1</v>
      </c>
      <c r="D35" s="21" t="s">
        <v>327</v>
      </c>
    </row>
    <row r="36" spans="1:7">
      <c r="A36" s="23">
        <v>17</v>
      </c>
      <c r="B36" s="24" t="s">
        <v>604</v>
      </c>
      <c r="C36" s="24">
        <v>1</v>
      </c>
      <c r="D36" s="24" t="s">
        <v>329</v>
      </c>
    </row>
    <row r="37" spans="1:7">
      <c r="A37" s="23">
        <v>17</v>
      </c>
      <c r="B37" s="24" t="s">
        <v>605</v>
      </c>
      <c r="C37" s="24">
        <v>1</v>
      </c>
      <c r="D37" s="24" t="s">
        <v>328</v>
      </c>
    </row>
    <row r="38" spans="1:7">
      <c r="A38" s="22">
        <v>18</v>
      </c>
      <c r="B38" s="21" t="s">
        <v>604</v>
      </c>
      <c r="C38" s="21">
        <v>1</v>
      </c>
      <c r="D38" s="21" t="s">
        <v>330</v>
      </c>
    </row>
    <row r="39" spans="1:7">
      <c r="A39" s="22">
        <v>18</v>
      </c>
      <c r="B39" s="21" t="s">
        <v>605</v>
      </c>
      <c r="C39" s="21">
        <v>1</v>
      </c>
      <c r="D39" s="21" t="s">
        <v>24</v>
      </c>
    </row>
    <row r="40" spans="1:7">
      <c r="A40" s="23">
        <v>19</v>
      </c>
      <c r="B40" s="24" t="s">
        <v>604</v>
      </c>
      <c r="C40" s="24">
        <v>1</v>
      </c>
      <c r="D40" s="24" t="s">
        <v>331</v>
      </c>
    </row>
    <row r="41" spans="1:7">
      <c r="A41" s="23">
        <v>19</v>
      </c>
      <c r="B41" s="24" t="s">
        <v>605</v>
      </c>
      <c r="C41" s="24">
        <v>1</v>
      </c>
      <c r="D41" s="24" t="s">
        <v>27</v>
      </c>
    </row>
    <row r="42" spans="1:7">
      <c r="A42" s="22">
        <v>20</v>
      </c>
      <c r="B42" s="21" t="s">
        <v>604</v>
      </c>
      <c r="C42" s="21">
        <v>1</v>
      </c>
      <c r="D42" s="21" t="s">
        <v>335</v>
      </c>
    </row>
    <row r="43" spans="1:7">
      <c r="A43" s="22">
        <v>20</v>
      </c>
      <c r="B43" s="21" t="s">
        <v>605</v>
      </c>
      <c r="C43" s="21">
        <v>1</v>
      </c>
      <c r="D43" s="21" t="s">
        <v>333</v>
      </c>
    </row>
    <row r="46" spans="1:7" ht="15.5">
      <c r="B46" s="41" t="s">
        <v>607</v>
      </c>
      <c r="C46" s="41"/>
      <c r="D46" s="41"/>
      <c r="E46" s="41"/>
      <c r="F46" s="41"/>
      <c r="G46" s="41"/>
    </row>
    <row r="47" spans="1:7">
      <c r="B47" s="42" t="s">
        <v>608</v>
      </c>
      <c r="C47" s="43" t="s">
        <v>609</v>
      </c>
      <c r="D47" s="43"/>
      <c r="E47" s="43"/>
      <c r="F47" s="43" t="s">
        <v>610</v>
      </c>
      <c r="G47" s="43"/>
    </row>
    <row r="48" spans="1:7">
      <c r="B48" s="44">
        <v>1</v>
      </c>
      <c r="C48" s="45" t="s">
        <v>493</v>
      </c>
      <c r="D48" s="45"/>
      <c r="E48" s="45"/>
      <c r="F48" s="45" t="s">
        <v>611</v>
      </c>
      <c r="G48" s="45"/>
    </row>
    <row r="49" spans="2:7">
      <c r="B49" s="44">
        <v>2</v>
      </c>
      <c r="C49" s="45" t="s">
        <v>612</v>
      </c>
      <c r="D49" s="45"/>
      <c r="E49" s="45"/>
      <c r="F49" s="45" t="s">
        <v>613</v>
      </c>
      <c r="G49" s="45"/>
    </row>
    <row r="50" spans="2:7">
      <c r="B50" s="44">
        <v>3</v>
      </c>
      <c r="C50" s="45" t="s">
        <v>614</v>
      </c>
      <c r="D50" s="45"/>
      <c r="E50" s="45"/>
      <c r="F50" s="45" t="s">
        <v>615</v>
      </c>
      <c r="G50" s="45"/>
    </row>
    <row r="51" spans="2:7">
      <c r="B51" s="44">
        <v>4</v>
      </c>
      <c r="C51" s="45" t="s">
        <v>616</v>
      </c>
      <c r="D51" s="45"/>
      <c r="E51" s="45"/>
      <c r="F51" s="45" t="s">
        <v>615</v>
      </c>
      <c r="G51" s="45"/>
    </row>
    <row r="52" spans="2:7">
      <c r="B52" s="44">
        <v>5</v>
      </c>
      <c r="C52" s="45" t="s">
        <v>617</v>
      </c>
      <c r="D52" s="45"/>
      <c r="E52" s="45"/>
      <c r="F52" s="45" t="s">
        <v>615</v>
      </c>
      <c r="G52" s="45"/>
    </row>
  </sheetData>
  <mergeCells count="14">
    <mergeCell ref="C52:E52"/>
    <mergeCell ref="F52:G52"/>
    <mergeCell ref="C49:E49"/>
    <mergeCell ref="F49:G49"/>
    <mergeCell ref="C50:E50"/>
    <mergeCell ref="F50:G50"/>
    <mergeCell ref="C51:E51"/>
    <mergeCell ref="F51:G51"/>
    <mergeCell ref="A1:D1"/>
    <mergeCell ref="B46:G46"/>
    <mergeCell ref="C47:E47"/>
    <mergeCell ref="F47:G47"/>
    <mergeCell ref="C48:E48"/>
    <mergeCell ref="F48:G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DE93-7C0F-413E-AFA7-E36EE279DB3C}">
  <dimension ref="A1:H791"/>
  <sheetViews>
    <sheetView showGridLines="0" rightToLeft="1" workbookViewId="0">
      <pane ySplit="3" topLeftCell="A61" activePane="bottomLeft" state="frozen"/>
      <selection pane="bottomLeft" activeCell="F78" sqref="C78:G79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29.08984375" style="10" customWidth="1"/>
    <col min="5" max="5" width="7.6328125" style="10" customWidth="1"/>
    <col min="6" max="7" width="15.453125" style="10" customWidth="1"/>
    <col min="8" max="8" width="8.7265625" style="9"/>
    <col min="9" max="9" width="5.08984375" style="9" bestFit="1" customWidth="1"/>
    <col min="10" max="10" width="8.90625" style="9" bestFit="1" customWidth="1"/>
    <col min="11" max="11" width="10.90625" style="9" bestFit="1" customWidth="1"/>
    <col min="12" max="12" width="9.7265625" style="9" bestFit="1" customWidth="1"/>
    <col min="13" max="13" width="8.7265625" style="9"/>
    <col min="14" max="14" width="21.81640625" style="9" customWidth="1"/>
    <col min="15" max="15" width="18.1796875" style="9" customWidth="1"/>
    <col min="16" max="16" width="6.36328125" style="9" bestFit="1" customWidth="1"/>
    <col min="17" max="20" width="15.453125" style="9" customWidth="1"/>
    <col min="21" max="16384" width="8.7265625" style="9"/>
  </cols>
  <sheetData>
    <row r="1" spans="1:8" ht="24" customHeight="1">
      <c r="A1" s="39" t="s">
        <v>476</v>
      </c>
      <c r="B1" s="39"/>
      <c r="C1" s="39"/>
      <c r="D1" s="39"/>
      <c r="E1"/>
      <c r="F1"/>
      <c r="G1"/>
      <c r="H1"/>
    </row>
    <row r="2" spans="1:8" ht="12" customHeight="1">
      <c r="A2" s="19"/>
      <c r="B2" s="19"/>
      <c r="C2" s="19"/>
      <c r="D2" s="19"/>
      <c r="E2"/>
      <c r="F2"/>
      <c r="G2"/>
      <c r="H2"/>
    </row>
    <row r="3" spans="1:8" ht="22" customHeight="1">
      <c r="A3" s="20" t="s">
        <v>12</v>
      </c>
      <c r="B3" s="20" t="s">
        <v>13</v>
      </c>
      <c r="C3" s="20" t="s">
        <v>14</v>
      </c>
      <c r="D3" s="20" t="s">
        <v>15</v>
      </c>
      <c r="E3"/>
      <c r="F3"/>
      <c r="G3"/>
      <c r="H3"/>
    </row>
    <row r="4" spans="1:8">
      <c r="A4" s="23">
        <v>1</v>
      </c>
      <c r="B4" s="24" t="s">
        <v>604</v>
      </c>
      <c r="C4" s="24">
        <v>1</v>
      </c>
      <c r="D4" s="24" t="s">
        <v>18</v>
      </c>
      <c r="E4"/>
      <c r="F4"/>
      <c r="G4"/>
      <c r="H4"/>
    </row>
    <row r="5" spans="1:8">
      <c r="A5" s="23">
        <v>1</v>
      </c>
      <c r="B5" s="24" t="s">
        <v>605</v>
      </c>
      <c r="C5" s="24">
        <v>1</v>
      </c>
      <c r="D5" s="24" t="s">
        <v>19</v>
      </c>
      <c r="E5"/>
      <c r="F5"/>
      <c r="G5"/>
      <c r="H5"/>
    </row>
    <row r="6" spans="1:8">
      <c r="A6" s="23">
        <v>1</v>
      </c>
      <c r="B6" s="24" t="s">
        <v>606</v>
      </c>
      <c r="C6" s="24">
        <v>1</v>
      </c>
      <c r="D6" s="24" t="s">
        <v>17</v>
      </c>
      <c r="E6"/>
      <c r="F6"/>
      <c r="G6"/>
      <c r="H6"/>
    </row>
    <row r="7" spans="1:8">
      <c r="A7" s="22">
        <v>2</v>
      </c>
      <c r="B7" s="21" t="s">
        <v>604</v>
      </c>
      <c r="C7" s="21">
        <v>1</v>
      </c>
      <c r="D7" s="21" t="s">
        <v>227</v>
      </c>
      <c r="E7"/>
      <c r="F7"/>
      <c r="G7"/>
      <c r="H7"/>
    </row>
    <row r="8" spans="1:8">
      <c r="A8" s="22">
        <v>2</v>
      </c>
      <c r="B8" s="21" t="s">
        <v>605</v>
      </c>
      <c r="C8" s="21">
        <v>1</v>
      </c>
      <c r="D8" s="21" t="s">
        <v>20</v>
      </c>
      <c r="E8"/>
      <c r="F8"/>
      <c r="G8"/>
      <c r="H8"/>
    </row>
    <row r="9" spans="1:8">
      <c r="A9" s="22">
        <v>2</v>
      </c>
      <c r="B9" s="21" t="s">
        <v>606</v>
      </c>
      <c r="C9" s="21">
        <v>1</v>
      </c>
      <c r="D9" s="21" t="s">
        <v>22</v>
      </c>
      <c r="E9"/>
      <c r="F9"/>
      <c r="G9"/>
      <c r="H9"/>
    </row>
    <row r="10" spans="1:8">
      <c r="A10" s="23">
        <v>3</v>
      </c>
      <c r="B10" s="24" t="s">
        <v>604</v>
      </c>
      <c r="C10" s="24">
        <v>1</v>
      </c>
      <c r="D10" s="24" t="s">
        <v>228</v>
      </c>
      <c r="E10"/>
      <c r="F10"/>
      <c r="G10"/>
      <c r="H10"/>
    </row>
    <row r="11" spans="1:8">
      <c r="A11" s="23">
        <v>3</v>
      </c>
      <c r="B11" s="24" t="s">
        <v>605</v>
      </c>
      <c r="C11" s="24">
        <v>1</v>
      </c>
      <c r="D11" s="24" t="s">
        <v>229</v>
      </c>
      <c r="E11"/>
      <c r="F11"/>
      <c r="G11"/>
      <c r="H11"/>
    </row>
    <row r="12" spans="1:8">
      <c r="A12" s="23">
        <v>3</v>
      </c>
      <c r="B12" s="24" t="s">
        <v>606</v>
      </c>
      <c r="C12" s="24">
        <v>1</v>
      </c>
      <c r="D12" s="24" t="s">
        <v>23</v>
      </c>
      <c r="E12"/>
      <c r="F12"/>
      <c r="G12"/>
      <c r="H12"/>
    </row>
    <row r="13" spans="1:8">
      <c r="A13" s="22">
        <v>4</v>
      </c>
      <c r="B13" s="21" t="s">
        <v>604</v>
      </c>
      <c r="C13" s="21">
        <v>1</v>
      </c>
      <c r="D13" s="21" t="s">
        <v>230</v>
      </c>
      <c r="E13"/>
      <c r="F13"/>
      <c r="G13"/>
      <c r="H13"/>
    </row>
    <row r="14" spans="1:8">
      <c r="A14" s="22">
        <v>4</v>
      </c>
      <c r="B14" s="21" t="s">
        <v>605</v>
      </c>
      <c r="C14" s="21">
        <v>1</v>
      </c>
      <c r="D14" s="21" t="s">
        <v>26</v>
      </c>
      <c r="E14"/>
      <c r="F14"/>
      <c r="G14"/>
      <c r="H14"/>
    </row>
    <row r="15" spans="1:8">
      <c r="A15" s="22">
        <v>4</v>
      </c>
      <c r="B15" s="21" t="s">
        <v>606</v>
      </c>
      <c r="C15" s="21">
        <v>1</v>
      </c>
      <c r="D15" s="21" t="s">
        <v>28</v>
      </c>
      <c r="E15"/>
      <c r="F15"/>
      <c r="G15"/>
      <c r="H15"/>
    </row>
    <row r="16" spans="1:8">
      <c r="A16" s="23">
        <v>5</v>
      </c>
      <c r="B16" s="24" t="s">
        <v>604</v>
      </c>
      <c r="C16" s="24">
        <v>1</v>
      </c>
      <c r="D16" s="24" t="s">
        <v>30</v>
      </c>
      <c r="E16"/>
      <c r="F16"/>
      <c r="G16"/>
      <c r="H16"/>
    </row>
    <row r="17" spans="1:8">
      <c r="A17" s="23">
        <v>5</v>
      </c>
      <c r="B17" s="24" t="s">
        <v>605</v>
      </c>
      <c r="C17" s="24">
        <v>1</v>
      </c>
      <c r="D17" s="24" t="s">
        <v>31</v>
      </c>
      <c r="E17"/>
      <c r="F17"/>
      <c r="G17"/>
      <c r="H17"/>
    </row>
    <row r="18" spans="1:8">
      <c r="A18" s="23">
        <v>5</v>
      </c>
      <c r="B18" s="24" t="s">
        <v>606</v>
      </c>
      <c r="C18" s="24">
        <v>1</v>
      </c>
      <c r="D18" s="24" t="s">
        <v>29</v>
      </c>
      <c r="E18"/>
      <c r="F18"/>
      <c r="G18"/>
      <c r="H18"/>
    </row>
    <row r="19" spans="1:8">
      <c r="A19" s="22">
        <v>6</v>
      </c>
      <c r="B19" s="21" t="s">
        <v>604</v>
      </c>
      <c r="C19" s="21">
        <v>1</v>
      </c>
      <c r="D19" s="21" t="s">
        <v>327</v>
      </c>
      <c r="E19"/>
      <c r="F19"/>
      <c r="G19"/>
      <c r="H19"/>
    </row>
    <row r="20" spans="1:8">
      <c r="A20" s="22">
        <v>6</v>
      </c>
      <c r="B20" s="21" t="s">
        <v>605</v>
      </c>
      <c r="C20" s="21">
        <v>1</v>
      </c>
      <c r="D20" s="21" t="s">
        <v>326</v>
      </c>
      <c r="E20"/>
      <c r="F20"/>
      <c r="G20"/>
      <c r="H20"/>
    </row>
    <row r="21" spans="1:8">
      <c r="A21" s="22">
        <v>6</v>
      </c>
      <c r="B21" s="21" t="s">
        <v>606</v>
      </c>
      <c r="C21" s="21">
        <v>1</v>
      </c>
      <c r="D21" s="21" t="s">
        <v>325</v>
      </c>
      <c r="E21"/>
      <c r="F21"/>
      <c r="G21"/>
      <c r="H21"/>
    </row>
    <row r="22" spans="1:8">
      <c r="A22" s="23">
        <v>7</v>
      </c>
      <c r="B22" s="24" t="s">
        <v>604</v>
      </c>
      <c r="C22" s="24">
        <v>1</v>
      </c>
      <c r="D22" s="24" t="s">
        <v>328</v>
      </c>
      <c r="E22"/>
      <c r="F22"/>
      <c r="G22"/>
      <c r="H22"/>
    </row>
    <row r="23" spans="1:8">
      <c r="A23" s="23">
        <v>7</v>
      </c>
      <c r="B23" s="24" t="s">
        <v>605</v>
      </c>
      <c r="C23" s="24">
        <v>1</v>
      </c>
      <c r="D23" s="24" t="s">
        <v>21</v>
      </c>
      <c r="E23"/>
      <c r="F23"/>
      <c r="G23"/>
      <c r="H23"/>
    </row>
    <row r="24" spans="1:8">
      <c r="A24" s="23">
        <v>7</v>
      </c>
      <c r="B24" s="24" t="s">
        <v>606</v>
      </c>
      <c r="C24" s="24">
        <v>1</v>
      </c>
      <c r="D24" s="24" t="s">
        <v>329</v>
      </c>
      <c r="E24"/>
      <c r="F24"/>
      <c r="G24"/>
      <c r="H24"/>
    </row>
    <row r="25" spans="1:8">
      <c r="A25" s="22">
        <v>8</v>
      </c>
      <c r="B25" s="21" t="s">
        <v>604</v>
      </c>
      <c r="C25" s="21">
        <v>1</v>
      </c>
      <c r="D25" s="21" t="s">
        <v>25</v>
      </c>
      <c r="E25"/>
      <c r="F25"/>
      <c r="G25"/>
      <c r="H25"/>
    </row>
    <row r="26" spans="1:8">
      <c r="A26" s="22">
        <v>8</v>
      </c>
      <c r="B26" s="21" t="s">
        <v>605</v>
      </c>
      <c r="C26" s="21">
        <v>1</v>
      </c>
      <c r="D26" s="21" t="s">
        <v>24</v>
      </c>
      <c r="E26"/>
      <c r="F26"/>
      <c r="G26"/>
      <c r="H26"/>
    </row>
    <row r="27" spans="1:8">
      <c r="A27" s="22">
        <v>8</v>
      </c>
      <c r="B27" s="21" t="s">
        <v>606</v>
      </c>
      <c r="C27" s="21">
        <v>1</v>
      </c>
      <c r="D27" s="21" t="s">
        <v>330</v>
      </c>
      <c r="E27"/>
      <c r="F27"/>
      <c r="G27"/>
      <c r="H27"/>
    </row>
    <row r="28" spans="1:8">
      <c r="A28" s="23">
        <v>9</v>
      </c>
      <c r="B28" s="24" t="s">
        <v>604</v>
      </c>
      <c r="C28" s="24">
        <v>1</v>
      </c>
      <c r="D28" s="24" t="s">
        <v>331</v>
      </c>
      <c r="E28"/>
      <c r="F28"/>
      <c r="G28"/>
      <c r="H28"/>
    </row>
    <row r="29" spans="1:8">
      <c r="A29" s="23">
        <v>9</v>
      </c>
      <c r="B29" s="24" t="s">
        <v>605</v>
      </c>
      <c r="C29" s="24">
        <v>1</v>
      </c>
      <c r="D29" s="24" t="s">
        <v>27</v>
      </c>
      <c r="E29"/>
      <c r="F29"/>
      <c r="G29"/>
      <c r="H29"/>
    </row>
    <row r="30" spans="1:8">
      <c r="A30" s="23">
        <v>9</v>
      </c>
      <c r="B30" s="24" t="s">
        <v>606</v>
      </c>
      <c r="C30" s="24">
        <v>1</v>
      </c>
      <c r="D30" s="24" t="s">
        <v>332</v>
      </c>
      <c r="E30"/>
      <c r="F30"/>
      <c r="G30"/>
      <c r="H30"/>
    </row>
    <row r="31" spans="1:8">
      <c r="A31" s="22">
        <v>10</v>
      </c>
      <c r="B31" s="21" t="s">
        <v>604</v>
      </c>
      <c r="C31" s="21">
        <v>1</v>
      </c>
      <c r="D31" s="21" t="s">
        <v>335</v>
      </c>
      <c r="E31"/>
      <c r="F31"/>
      <c r="G31"/>
      <c r="H31"/>
    </row>
    <row r="32" spans="1:8">
      <c r="A32" s="22">
        <v>10</v>
      </c>
      <c r="B32" s="21" t="s">
        <v>605</v>
      </c>
      <c r="C32" s="21">
        <v>1</v>
      </c>
      <c r="D32" s="21" t="s">
        <v>334</v>
      </c>
      <c r="E32"/>
      <c r="F32"/>
      <c r="G32"/>
      <c r="H32"/>
    </row>
    <row r="33" spans="1:8">
      <c r="A33" s="22">
        <v>10</v>
      </c>
      <c r="B33" s="21" t="s">
        <v>606</v>
      </c>
      <c r="C33" s="21">
        <v>1</v>
      </c>
      <c r="D33" s="21" t="s">
        <v>333</v>
      </c>
      <c r="E33"/>
      <c r="F33"/>
      <c r="G33"/>
      <c r="H33"/>
    </row>
    <row r="34" spans="1:8">
      <c r="A34" s="23">
        <v>11</v>
      </c>
      <c r="B34" s="24" t="s">
        <v>604</v>
      </c>
      <c r="C34" s="24">
        <v>1</v>
      </c>
      <c r="D34" s="24" t="s">
        <v>18</v>
      </c>
      <c r="E34"/>
      <c r="F34"/>
      <c r="G34"/>
      <c r="H34"/>
    </row>
    <row r="35" spans="1:8">
      <c r="A35" s="23">
        <v>11</v>
      </c>
      <c r="B35" s="24" t="s">
        <v>605</v>
      </c>
      <c r="C35" s="24">
        <v>1</v>
      </c>
      <c r="D35" s="24" t="s">
        <v>17</v>
      </c>
      <c r="E35"/>
      <c r="F35"/>
      <c r="G35"/>
      <c r="H35"/>
    </row>
    <row r="36" spans="1:8">
      <c r="A36" s="23">
        <v>11</v>
      </c>
      <c r="B36" s="24" t="s">
        <v>606</v>
      </c>
      <c r="C36" s="24">
        <v>1</v>
      </c>
      <c r="D36" s="24" t="s">
        <v>19</v>
      </c>
      <c r="E36"/>
      <c r="F36"/>
      <c r="G36"/>
      <c r="H36"/>
    </row>
    <row r="37" spans="1:8">
      <c r="A37" s="22">
        <v>12</v>
      </c>
      <c r="B37" s="21" t="s">
        <v>604</v>
      </c>
      <c r="C37" s="21">
        <v>1</v>
      </c>
      <c r="D37" s="21" t="s">
        <v>227</v>
      </c>
      <c r="E37"/>
      <c r="F37"/>
      <c r="G37"/>
      <c r="H37"/>
    </row>
    <row r="38" spans="1:8">
      <c r="A38" s="22">
        <v>12</v>
      </c>
      <c r="B38" s="21" t="s">
        <v>605</v>
      </c>
      <c r="C38" s="21">
        <v>1</v>
      </c>
      <c r="D38" s="21" t="s">
        <v>22</v>
      </c>
      <c r="E38"/>
      <c r="F38"/>
      <c r="G38"/>
      <c r="H38"/>
    </row>
    <row r="39" spans="1:8">
      <c r="A39" s="22">
        <v>12</v>
      </c>
      <c r="B39" s="21" t="s">
        <v>606</v>
      </c>
      <c r="C39" s="21">
        <v>1</v>
      </c>
      <c r="D39" s="21" t="s">
        <v>20</v>
      </c>
      <c r="E39"/>
      <c r="F39"/>
      <c r="G39"/>
      <c r="H39"/>
    </row>
    <row r="40" spans="1:8">
      <c r="A40" s="23">
        <v>13</v>
      </c>
      <c r="B40" s="24" t="s">
        <v>604</v>
      </c>
      <c r="C40" s="24">
        <v>1</v>
      </c>
      <c r="D40" s="24" t="s">
        <v>229</v>
      </c>
      <c r="E40"/>
      <c r="F40"/>
      <c r="G40"/>
      <c r="H40"/>
    </row>
    <row r="41" spans="1:8">
      <c r="A41" s="23">
        <v>13</v>
      </c>
      <c r="B41" s="24" t="s">
        <v>605</v>
      </c>
      <c r="C41" s="24">
        <v>1</v>
      </c>
      <c r="D41" s="24" t="s">
        <v>23</v>
      </c>
      <c r="E41"/>
      <c r="F41"/>
      <c r="G41"/>
      <c r="H41"/>
    </row>
    <row r="42" spans="1:8">
      <c r="A42" s="23">
        <v>13</v>
      </c>
      <c r="B42" s="24" t="s">
        <v>606</v>
      </c>
      <c r="C42" s="24">
        <v>1</v>
      </c>
      <c r="D42" s="24" t="s">
        <v>228</v>
      </c>
      <c r="E42"/>
      <c r="F42"/>
      <c r="G42"/>
      <c r="H42"/>
    </row>
    <row r="43" spans="1:8">
      <c r="A43" s="22">
        <v>14</v>
      </c>
      <c r="B43" s="21" t="s">
        <v>604</v>
      </c>
      <c r="C43" s="21">
        <v>1</v>
      </c>
      <c r="D43" s="21" t="s">
        <v>26</v>
      </c>
      <c r="E43"/>
      <c r="F43"/>
      <c r="G43"/>
      <c r="H43"/>
    </row>
    <row r="44" spans="1:8">
      <c r="A44" s="22">
        <v>14</v>
      </c>
      <c r="B44" s="21" t="s">
        <v>605</v>
      </c>
      <c r="C44" s="21">
        <v>1</v>
      </c>
      <c r="D44" s="21" t="s">
        <v>28</v>
      </c>
      <c r="E44"/>
      <c r="F44"/>
      <c r="G44"/>
      <c r="H44"/>
    </row>
    <row r="45" spans="1:8">
      <c r="A45" s="22">
        <v>14</v>
      </c>
      <c r="B45" s="21" t="s">
        <v>606</v>
      </c>
      <c r="C45" s="21">
        <v>1</v>
      </c>
      <c r="D45" s="21" t="s">
        <v>230</v>
      </c>
      <c r="E45"/>
      <c r="F45"/>
      <c r="G45"/>
      <c r="H45"/>
    </row>
    <row r="46" spans="1:8">
      <c r="A46" s="23">
        <v>15</v>
      </c>
      <c r="B46" s="24" t="s">
        <v>604</v>
      </c>
      <c r="C46" s="24">
        <v>1</v>
      </c>
      <c r="D46" s="24" t="s">
        <v>31</v>
      </c>
      <c r="E46"/>
      <c r="F46"/>
      <c r="G46"/>
      <c r="H46"/>
    </row>
    <row r="47" spans="1:8">
      <c r="A47" s="23">
        <v>15</v>
      </c>
      <c r="B47" s="24" t="s">
        <v>605</v>
      </c>
      <c r="C47" s="24">
        <v>1</v>
      </c>
      <c r="D47" s="24" t="s">
        <v>29</v>
      </c>
      <c r="E47"/>
      <c r="F47"/>
      <c r="G47"/>
      <c r="H47"/>
    </row>
    <row r="48" spans="1:8">
      <c r="A48" s="23">
        <v>15</v>
      </c>
      <c r="B48" s="24" t="s">
        <v>606</v>
      </c>
      <c r="C48" s="24">
        <v>1</v>
      </c>
      <c r="D48" s="24" t="s">
        <v>30</v>
      </c>
      <c r="E48"/>
      <c r="F48"/>
      <c r="G48"/>
      <c r="H48"/>
    </row>
    <row r="49" spans="1:8">
      <c r="A49" s="22">
        <v>16</v>
      </c>
      <c r="B49" s="21" t="s">
        <v>604</v>
      </c>
      <c r="C49" s="21">
        <v>1</v>
      </c>
      <c r="D49" s="21" t="s">
        <v>327</v>
      </c>
      <c r="E49"/>
      <c r="F49"/>
      <c r="G49"/>
      <c r="H49"/>
    </row>
    <row r="50" spans="1:8">
      <c r="A50" s="22">
        <v>16</v>
      </c>
      <c r="B50" s="21" t="s">
        <v>605</v>
      </c>
      <c r="C50" s="21">
        <v>1</v>
      </c>
      <c r="D50" s="21" t="s">
        <v>325</v>
      </c>
      <c r="E50"/>
      <c r="F50"/>
      <c r="G50"/>
      <c r="H50"/>
    </row>
    <row r="51" spans="1:8">
      <c r="A51" s="22">
        <v>16</v>
      </c>
      <c r="B51" s="21" t="s">
        <v>606</v>
      </c>
      <c r="C51" s="21">
        <v>1</v>
      </c>
      <c r="D51" s="21" t="s">
        <v>326</v>
      </c>
      <c r="E51"/>
      <c r="F51"/>
      <c r="G51"/>
      <c r="H51"/>
    </row>
    <row r="52" spans="1:8">
      <c r="A52" s="23">
        <v>17</v>
      </c>
      <c r="B52" s="24" t="s">
        <v>604</v>
      </c>
      <c r="C52" s="24">
        <v>1</v>
      </c>
      <c r="D52" s="24" t="s">
        <v>328</v>
      </c>
      <c r="E52"/>
      <c r="F52"/>
      <c r="G52"/>
      <c r="H52"/>
    </row>
    <row r="53" spans="1:8">
      <c r="A53" s="23">
        <v>17</v>
      </c>
      <c r="B53" s="24" t="s">
        <v>605</v>
      </c>
      <c r="C53" s="24">
        <v>1</v>
      </c>
      <c r="D53" s="24" t="s">
        <v>329</v>
      </c>
      <c r="E53"/>
      <c r="F53"/>
      <c r="G53"/>
      <c r="H53"/>
    </row>
    <row r="54" spans="1:8">
      <c r="A54" s="23">
        <v>17</v>
      </c>
      <c r="B54" s="24" t="s">
        <v>606</v>
      </c>
      <c r="C54" s="24">
        <v>1</v>
      </c>
      <c r="D54" s="24" t="s">
        <v>21</v>
      </c>
      <c r="E54"/>
      <c r="F54"/>
      <c r="G54"/>
      <c r="H54"/>
    </row>
    <row r="55" spans="1:8">
      <c r="A55" s="22">
        <v>18</v>
      </c>
      <c r="B55" s="21" t="s">
        <v>604</v>
      </c>
      <c r="C55" s="21">
        <v>1</v>
      </c>
      <c r="D55" s="21" t="s">
        <v>25</v>
      </c>
      <c r="E55"/>
      <c r="F55"/>
      <c r="G55"/>
      <c r="H55"/>
    </row>
    <row r="56" spans="1:8">
      <c r="A56" s="22">
        <v>18</v>
      </c>
      <c r="B56" s="21" t="s">
        <v>605</v>
      </c>
      <c r="C56" s="21">
        <v>1</v>
      </c>
      <c r="D56" s="21" t="s">
        <v>330</v>
      </c>
      <c r="E56"/>
      <c r="F56"/>
      <c r="G56"/>
      <c r="H56"/>
    </row>
    <row r="57" spans="1:8">
      <c r="A57" s="22">
        <v>18</v>
      </c>
      <c r="B57" s="21" t="s">
        <v>606</v>
      </c>
      <c r="C57" s="21">
        <v>1</v>
      </c>
      <c r="D57" s="21" t="s">
        <v>24</v>
      </c>
      <c r="E57"/>
      <c r="F57"/>
      <c r="G57"/>
      <c r="H57"/>
    </row>
    <row r="58" spans="1:8">
      <c r="A58" s="23">
        <v>19</v>
      </c>
      <c r="B58" s="24" t="s">
        <v>604</v>
      </c>
      <c r="C58" s="24">
        <v>1</v>
      </c>
      <c r="D58" s="24" t="s">
        <v>331</v>
      </c>
      <c r="E58"/>
      <c r="F58"/>
      <c r="G58"/>
      <c r="H58"/>
    </row>
    <row r="59" spans="1:8">
      <c r="A59" s="23">
        <v>19</v>
      </c>
      <c r="B59" s="24" t="s">
        <v>605</v>
      </c>
      <c r="C59" s="24">
        <v>1</v>
      </c>
      <c r="D59" s="24" t="s">
        <v>332</v>
      </c>
      <c r="E59"/>
      <c r="F59"/>
      <c r="G59"/>
      <c r="H59"/>
    </row>
    <row r="60" spans="1:8">
      <c r="A60" s="23">
        <v>19</v>
      </c>
      <c r="B60" s="24" t="s">
        <v>606</v>
      </c>
      <c r="C60" s="24">
        <v>1</v>
      </c>
      <c r="D60" s="24" t="s">
        <v>27</v>
      </c>
      <c r="E60"/>
      <c r="F60"/>
      <c r="G60"/>
      <c r="H60"/>
    </row>
    <row r="61" spans="1:8">
      <c r="A61" s="22">
        <v>20</v>
      </c>
      <c r="B61" s="21" t="s">
        <v>604</v>
      </c>
      <c r="C61" s="21">
        <v>1</v>
      </c>
      <c r="D61" s="21" t="s">
        <v>333</v>
      </c>
      <c r="E61"/>
      <c r="F61"/>
      <c r="G61"/>
      <c r="H61"/>
    </row>
    <row r="62" spans="1:8">
      <c r="A62" s="22">
        <v>20</v>
      </c>
      <c r="B62" s="21" t="s">
        <v>605</v>
      </c>
      <c r="C62" s="21">
        <v>1</v>
      </c>
      <c r="D62" s="21" t="s">
        <v>335</v>
      </c>
      <c r="E62"/>
      <c r="F62"/>
      <c r="G62"/>
      <c r="H62"/>
    </row>
    <row r="63" spans="1:8">
      <c r="A63" s="22">
        <v>20</v>
      </c>
      <c r="B63" s="21" t="s">
        <v>606</v>
      </c>
      <c r="C63" s="21">
        <v>1</v>
      </c>
      <c r="D63" s="21" t="s">
        <v>334</v>
      </c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 ht="15.5">
      <c r="A66"/>
      <c r="B66" s="41" t="s">
        <v>618</v>
      </c>
      <c r="C66" s="41"/>
      <c r="D66" s="41"/>
      <c r="E66" s="41"/>
      <c r="F66" s="41"/>
      <c r="G66" s="41"/>
      <c r="H66"/>
    </row>
    <row r="67" spans="1:8">
      <c r="A67"/>
      <c r="B67" s="42" t="s">
        <v>608</v>
      </c>
      <c r="C67" s="43" t="s">
        <v>619</v>
      </c>
      <c r="D67" s="43"/>
      <c r="E67" s="43"/>
      <c r="F67" s="43" t="s">
        <v>610</v>
      </c>
      <c r="G67" s="43"/>
      <c r="H67"/>
    </row>
    <row r="68" spans="1:8">
      <c r="A68"/>
      <c r="B68" s="44">
        <v>1</v>
      </c>
      <c r="C68" s="45" t="s">
        <v>620</v>
      </c>
      <c r="D68" s="45"/>
      <c r="E68" s="45"/>
      <c r="F68" s="45" t="s">
        <v>613</v>
      </c>
      <c r="G68" s="45"/>
      <c r="H68"/>
    </row>
    <row r="69" spans="1:8">
      <c r="A69"/>
      <c r="B69" s="44">
        <v>2</v>
      </c>
      <c r="C69" s="45" t="s">
        <v>621</v>
      </c>
      <c r="D69" s="45"/>
      <c r="E69" s="45"/>
      <c r="F69" s="45" t="s">
        <v>613</v>
      </c>
      <c r="G69" s="45"/>
      <c r="H69"/>
    </row>
    <row r="70" spans="1:8">
      <c r="A70"/>
      <c r="B70" s="44">
        <v>3</v>
      </c>
      <c r="C70" s="45" t="s">
        <v>622</v>
      </c>
      <c r="D70" s="45"/>
      <c r="E70" s="45"/>
      <c r="F70" s="45" t="s">
        <v>613</v>
      </c>
      <c r="G70" s="45"/>
      <c r="H70"/>
    </row>
    <row r="71" spans="1:8">
      <c r="A71"/>
      <c r="B71" s="44">
        <v>4</v>
      </c>
      <c r="C71" s="45" t="s">
        <v>623</v>
      </c>
      <c r="D71" s="45"/>
      <c r="E71" s="45"/>
      <c r="F71" s="45" t="s">
        <v>613</v>
      </c>
      <c r="G71" s="45"/>
      <c r="H71"/>
    </row>
    <row r="72" spans="1:8">
      <c r="A72"/>
      <c r="B72" s="44">
        <v>5</v>
      </c>
      <c r="C72" s="45" t="s">
        <v>624</v>
      </c>
      <c r="D72" s="45"/>
      <c r="E72" s="45"/>
      <c r="F72" s="45" t="s">
        <v>613</v>
      </c>
      <c r="G72" s="45"/>
      <c r="H72"/>
    </row>
    <row r="73" spans="1:8">
      <c r="A73"/>
      <c r="B73" s="44">
        <v>6</v>
      </c>
      <c r="C73" s="45" t="s">
        <v>625</v>
      </c>
      <c r="D73" s="45"/>
      <c r="E73" s="45"/>
      <c r="F73" s="45" t="s">
        <v>613</v>
      </c>
      <c r="G73" s="45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 ht="15.5">
      <c r="A76"/>
      <c r="B76" s="41" t="s">
        <v>626</v>
      </c>
      <c r="C76" s="41"/>
      <c r="D76" s="41"/>
      <c r="E76" s="41"/>
      <c r="F76" s="41"/>
      <c r="G76" s="41"/>
      <c r="H76"/>
    </row>
    <row r="77" spans="1:8">
      <c r="A77"/>
      <c r="B77" s="42" t="s">
        <v>608</v>
      </c>
      <c r="C77" s="43" t="s">
        <v>619</v>
      </c>
      <c r="D77" s="43"/>
      <c r="E77" s="43"/>
      <c r="F77" s="43" t="s">
        <v>610</v>
      </c>
      <c r="G77" s="43"/>
      <c r="H77"/>
    </row>
    <row r="78" spans="1:8">
      <c r="A78"/>
      <c r="B78" s="44">
        <v>1</v>
      </c>
      <c r="C78" s="45" t="s">
        <v>627</v>
      </c>
      <c r="D78" s="45"/>
      <c r="E78" s="45"/>
      <c r="F78" s="45" t="s">
        <v>611</v>
      </c>
      <c r="G78" s="45"/>
      <c r="H78"/>
    </row>
    <row r="79" spans="1:8">
      <c r="A79"/>
      <c r="B79" s="44">
        <v>2</v>
      </c>
      <c r="C79" s="45" t="s">
        <v>628</v>
      </c>
      <c r="D79" s="45"/>
      <c r="E79" s="45"/>
      <c r="F79" s="45" t="s">
        <v>611</v>
      </c>
      <c r="G79" s="45"/>
      <c r="H79"/>
    </row>
    <row r="80" spans="1:8">
      <c r="A80"/>
      <c r="B80" s="44">
        <v>3</v>
      </c>
      <c r="C80" s="45" t="s">
        <v>629</v>
      </c>
      <c r="D80" s="45"/>
      <c r="E80" s="45"/>
      <c r="F80" s="45" t="s">
        <v>613</v>
      </c>
      <c r="G80" s="45"/>
      <c r="H80"/>
    </row>
    <row r="81" spans="1:8">
      <c r="A81"/>
      <c r="B81" s="44">
        <v>4</v>
      </c>
      <c r="C81" s="45" t="s">
        <v>630</v>
      </c>
      <c r="D81" s="45"/>
      <c r="E81" s="45"/>
      <c r="F81" s="45" t="s">
        <v>613</v>
      </c>
      <c r="G81" s="45"/>
      <c r="H81"/>
    </row>
    <row r="82" spans="1:8">
      <c r="A82"/>
      <c r="B82" s="44">
        <v>5</v>
      </c>
      <c r="C82" s="45" t="s">
        <v>631</v>
      </c>
      <c r="D82" s="45"/>
      <c r="E82" s="45"/>
      <c r="F82" s="45" t="s">
        <v>615</v>
      </c>
      <c r="G82" s="45"/>
      <c r="H82"/>
    </row>
    <row r="83" spans="1:8">
      <c r="A83"/>
      <c r="B83" s="44">
        <v>6</v>
      </c>
      <c r="C83" s="45" t="s">
        <v>632</v>
      </c>
      <c r="D83" s="45"/>
      <c r="E83" s="45"/>
      <c r="F83" s="45" t="s">
        <v>615</v>
      </c>
      <c r="G83" s="45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/>
      <c r="B86"/>
      <c r="C86"/>
      <c r="D86"/>
      <c r="E86"/>
      <c r="F86"/>
      <c r="G86"/>
      <c r="H86"/>
    </row>
    <row r="87" spans="1:8">
      <c r="A87"/>
      <c r="B87"/>
      <c r="C87"/>
      <c r="D87"/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  <row r="91" spans="1:8">
      <c r="A91"/>
      <c r="B91"/>
      <c r="C91"/>
      <c r="D91"/>
      <c r="E91"/>
      <c r="F91"/>
      <c r="G91"/>
      <c r="H91"/>
    </row>
    <row r="92" spans="1:8">
      <c r="A92"/>
      <c r="B92"/>
      <c r="C92"/>
      <c r="D92"/>
      <c r="E92"/>
      <c r="F92"/>
      <c r="G92"/>
      <c r="H92"/>
    </row>
    <row r="93" spans="1:8">
      <c r="A93"/>
      <c r="B93"/>
      <c r="C93"/>
      <c r="D93"/>
      <c r="E93"/>
      <c r="F93"/>
      <c r="G93"/>
      <c r="H93"/>
    </row>
    <row r="94" spans="1:8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  <c r="G102"/>
      <c r="H102"/>
    </row>
    <row r="103" spans="1:8">
      <c r="A103"/>
      <c r="B103"/>
      <c r="C103"/>
      <c r="D103"/>
      <c r="E103"/>
      <c r="F103"/>
      <c r="G103"/>
      <c r="H103"/>
    </row>
    <row r="104" spans="1:8">
      <c r="A104"/>
      <c r="B104"/>
      <c r="C104"/>
      <c r="D104"/>
      <c r="E104"/>
      <c r="F104"/>
      <c r="G104"/>
      <c r="H104"/>
    </row>
    <row r="105" spans="1:8">
      <c r="A105"/>
      <c r="B105"/>
      <c r="C105"/>
      <c r="D105"/>
      <c r="E105"/>
      <c r="F105"/>
      <c r="G105"/>
      <c r="H105"/>
    </row>
    <row r="106" spans="1:8">
      <c r="A106"/>
      <c r="B106"/>
      <c r="C106"/>
      <c r="D106"/>
      <c r="E106"/>
      <c r="F106"/>
      <c r="G106"/>
      <c r="H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>
      <c r="A126"/>
      <c r="B126"/>
      <c r="C126"/>
      <c r="D126"/>
      <c r="E126"/>
      <c r="F126"/>
      <c r="G126"/>
      <c r="H126"/>
    </row>
    <row r="127" spans="1:8">
      <c r="A127"/>
      <c r="B127"/>
      <c r="C127"/>
      <c r="D127"/>
      <c r="E127"/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/>
      <c r="B139"/>
      <c r="C139"/>
      <c r="D139"/>
      <c r="E139"/>
      <c r="F139"/>
      <c r="G139"/>
      <c r="H139"/>
    </row>
    <row r="140" spans="1:8">
      <c r="A140"/>
      <c r="B140"/>
      <c r="C140"/>
      <c r="D140"/>
      <c r="E140"/>
      <c r="F140"/>
      <c r="G140"/>
      <c r="H140"/>
    </row>
    <row r="141" spans="1:8">
      <c r="A141"/>
      <c r="B141"/>
      <c r="C141"/>
      <c r="D141"/>
      <c r="E141"/>
      <c r="F141"/>
      <c r="G141"/>
      <c r="H141"/>
    </row>
    <row r="142" spans="1:8">
      <c r="A142"/>
      <c r="B142"/>
      <c r="C142"/>
      <c r="D142"/>
      <c r="E142"/>
      <c r="F142"/>
      <c r="G142"/>
      <c r="H142"/>
    </row>
    <row r="143" spans="1:8">
      <c r="A143"/>
      <c r="B143"/>
      <c r="C143"/>
      <c r="D143"/>
      <c r="E143"/>
      <c r="F143"/>
      <c r="G143"/>
      <c r="H143"/>
    </row>
    <row r="144" spans="1:8">
      <c r="A144"/>
      <c r="B144"/>
      <c r="C144"/>
      <c r="D144"/>
      <c r="E144"/>
      <c r="F144"/>
      <c r="G144"/>
      <c r="H144"/>
    </row>
    <row r="145" spans="1:8">
      <c r="A145"/>
      <c r="B145"/>
      <c r="C145"/>
      <c r="D145"/>
      <c r="E145"/>
      <c r="F145"/>
      <c r="G145"/>
      <c r="H145"/>
    </row>
    <row r="146" spans="1:8">
      <c r="A146"/>
      <c r="B146"/>
      <c r="C146"/>
      <c r="D146"/>
      <c r="E146"/>
      <c r="F146"/>
      <c r="G146"/>
      <c r="H146"/>
    </row>
    <row r="147" spans="1:8">
      <c r="A147"/>
      <c r="B147"/>
      <c r="C147"/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/>
      <c r="B149"/>
      <c r="C149"/>
      <c r="D149"/>
      <c r="E149"/>
      <c r="F149"/>
      <c r="G149"/>
      <c r="H149"/>
    </row>
    <row r="150" spans="1:8">
      <c r="A150"/>
      <c r="B150"/>
      <c r="C150"/>
      <c r="D150"/>
      <c r="E150"/>
      <c r="F150"/>
      <c r="G150"/>
      <c r="H150"/>
    </row>
    <row r="151" spans="1:8">
      <c r="A151"/>
      <c r="B151"/>
      <c r="C151"/>
      <c r="D151"/>
      <c r="E151"/>
      <c r="F151"/>
      <c r="G151"/>
      <c r="H151"/>
    </row>
    <row r="152" spans="1:8">
      <c r="A152"/>
      <c r="B152"/>
      <c r="C152"/>
      <c r="D152"/>
      <c r="E152"/>
      <c r="F152"/>
      <c r="G152"/>
      <c r="H152"/>
    </row>
    <row r="153" spans="1:8">
      <c r="A153"/>
      <c r="B153"/>
      <c r="C153"/>
      <c r="D153"/>
      <c r="E153"/>
      <c r="F153"/>
      <c r="G153"/>
      <c r="H153"/>
    </row>
    <row r="154" spans="1:8">
      <c r="A154"/>
      <c r="B154"/>
      <c r="C154"/>
      <c r="D154"/>
      <c r="E154"/>
      <c r="F154"/>
      <c r="G154"/>
      <c r="H154"/>
    </row>
    <row r="155" spans="1:8">
      <c r="A155"/>
      <c r="B155"/>
      <c r="C155"/>
      <c r="D155"/>
      <c r="E155"/>
      <c r="F155"/>
      <c r="G155"/>
      <c r="H155"/>
    </row>
    <row r="156" spans="1:8">
      <c r="A156"/>
      <c r="B156"/>
      <c r="C156"/>
      <c r="D156"/>
      <c r="E156"/>
      <c r="F156"/>
      <c r="G156"/>
      <c r="H156"/>
    </row>
    <row r="157" spans="1:8">
      <c r="A157"/>
      <c r="B157"/>
      <c r="C157"/>
      <c r="D157"/>
      <c r="E157"/>
      <c r="F157"/>
      <c r="G157"/>
      <c r="H157"/>
    </row>
    <row r="158" spans="1:8">
      <c r="A158"/>
      <c r="B158"/>
      <c r="C158"/>
      <c r="D158"/>
      <c r="E158"/>
      <c r="F158"/>
      <c r="G158"/>
      <c r="H158"/>
    </row>
    <row r="159" spans="1:8">
      <c r="A159"/>
      <c r="B159"/>
      <c r="C159"/>
      <c r="D159"/>
      <c r="E159"/>
      <c r="F159"/>
      <c r="G159"/>
      <c r="H159"/>
    </row>
    <row r="160" spans="1:8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  <row r="782" s="9" customFormat="1"/>
    <row r="783" s="9" customFormat="1"/>
    <row r="784" s="9" customFormat="1"/>
    <row r="785" s="9" customFormat="1"/>
    <row r="786" s="9" customFormat="1"/>
    <row r="787" s="9" customFormat="1"/>
    <row r="788" s="9" customFormat="1"/>
    <row r="789" s="9" customFormat="1"/>
    <row r="790" s="9" customFormat="1"/>
    <row r="791" s="9" customFormat="1"/>
  </sheetData>
  <mergeCells count="31">
    <mergeCell ref="C83:E83"/>
    <mergeCell ref="F83:G83"/>
    <mergeCell ref="C80:E80"/>
    <mergeCell ref="F80:G80"/>
    <mergeCell ref="C81:E81"/>
    <mergeCell ref="F81:G81"/>
    <mergeCell ref="C82:E82"/>
    <mergeCell ref="F82:G82"/>
    <mergeCell ref="C77:E77"/>
    <mergeCell ref="F77:G77"/>
    <mergeCell ref="C78:E78"/>
    <mergeCell ref="F78:G78"/>
    <mergeCell ref="C79:E79"/>
    <mergeCell ref="F79:G79"/>
    <mergeCell ref="C72:E72"/>
    <mergeCell ref="F72:G72"/>
    <mergeCell ref="C73:E73"/>
    <mergeCell ref="F73:G73"/>
    <mergeCell ref="B76:G76"/>
    <mergeCell ref="C69:E69"/>
    <mergeCell ref="F69:G69"/>
    <mergeCell ref="C70:E70"/>
    <mergeCell ref="F70:G70"/>
    <mergeCell ref="C71:E71"/>
    <mergeCell ref="F71:G71"/>
    <mergeCell ref="A1:D1"/>
    <mergeCell ref="B66:G66"/>
    <mergeCell ref="C67:E67"/>
    <mergeCell ref="F67:G67"/>
    <mergeCell ref="C68:E68"/>
    <mergeCell ref="F68:G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A3FF-4164-49E7-8BBE-4F9A9EAAE1E8}">
  <dimension ref="A1:H790"/>
  <sheetViews>
    <sheetView showGridLines="0" rightToLeft="1" workbookViewId="0">
      <pane ySplit="3" topLeftCell="A60" activePane="bottomLeft" state="frozen"/>
      <selection pane="bottomLeft" activeCell="F71" sqref="C71:G75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29.08984375" style="10" customWidth="1"/>
    <col min="5" max="5" width="7.6328125" style="10" customWidth="1"/>
    <col min="6" max="7" width="15.453125" style="10" customWidth="1"/>
    <col min="8" max="8" width="7.6328125" style="9" customWidth="1"/>
    <col min="9" max="9" width="5.08984375" style="9" bestFit="1" customWidth="1"/>
    <col min="10" max="10" width="8.90625" style="9" bestFit="1" customWidth="1"/>
    <col min="11" max="11" width="10.90625" style="9" bestFit="1" customWidth="1"/>
    <col min="12" max="12" width="9.7265625" style="9" bestFit="1" customWidth="1"/>
    <col min="13" max="13" width="8.7265625" style="9"/>
    <col min="14" max="14" width="21.81640625" style="9" customWidth="1"/>
    <col min="15" max="15" width="18.1796875" style="9" customWidth="1"/>
    <col min="16" max="16" width="6.36328125" style="9" bestFit="1" customWidth="1"/>
    <col min="17" max="20" width="15.453125" style="9" customWidth="1"/>
    <col min="21" max="16384" width="8.7265625" style="9"/>
  </cols>
  <sheetData>
    <row r="1" spans="1:8" ht="24" customHeight="1">
      <c r="A1" s="39" t="s">
        <v>477</v>
      </c>
      <c r="B1" s="39"/>
      <c r="C1" s="39"/>
      <c r="D1" s="39"/>
      <c r="E1"/>
      <c r="F1"/>
      <c r="G1"/>
      <c r="H1"/>
    </row>
    <row r="2" spans="1:8" ht="12" customHeight="1">
      <c r="A2" s="19"/>
      <c r="B2" s="19"/>
      <c r="C2" s="19"/>
      <c r="D2" s="19"/>
      <c r="E2"/>
      <c r="F2"/>
      <c r="G2"/>
      <c r="H2"/>
    </row>
    <row r="3" spans="1:8" ht="22" customHeight="1">
      <c r="A3" s="20" t="s">
        <v>12</v>
      </c>
      <c r="B3" s="20" t="s">
        <v>13</v>
      </c>
      <c r="C3" s="20" t="s">
        <v>14</v>
      </c>
      <c r="D3" s="20" t="s">
        <v>15</v>
      </c>
      <c r="E3"/>
      <c r="F3"/>
      <c r="G3"/>
      <c r="H3"/>
    </row>
    <row r="4" spans="1:8">
      <c r="A4" s="23">
        <v>1</v>
      </c>
      <c r="B4" s="24" t="s">
        <v>604</v>
      </c>
      <c r="C4" s="24">
        <v>1</v>
      </c>
      <c r="D4" s="24" t="s">
        <v>36</v>
      </c>
      <c r="E4"/>
      <c r="F4"/>
      <c r="G4"/>
      <c r="H4"/>
    </row>
    <row r="5" spans="1:8">
      <c r="A5" s="23">
        <v>1</v>
      </c>
      <c r="B5" s="24" t="s">
        <v>605</v>
      </c>
      <c r="C5" s="24">
        <v>1</v>
      </c>
      <c r="D5" s="24" t="s">
        <v>31</v>
      </c>
      <c r="E5"/>
      <c r="F5"/>
      <c r="G5"/>
      <c r="H5"/>
    </row>
    <row r="6" spans="1:8">
      <c r="A6" s="23">
        <v>1</v>
      </c>
      <c r="B6" s="24" t="s">
        <v>606</v>
      </c>
      <c r="C6" s="24">
        <v>1</v>
      </c>
      <c r="D6" s="24" t="s">
        <v>30</v>
      </c>
      <c r="E6"/>
      <c r="F6"/>
      <c r="G6"/>
      <c r="H6"/>
    </row>
    <row r="7" spans="1:8">
      <c r="A7" s="22">
        <v>2</v>
      </c>
      <c r="B7" s="21" t="s">
        <v>604</v>
      </c>
      <c r="C7" s="21">
        <v>1</v>
      </c>
      <c r="D7" s="21" t="s">
        <v>18</v>
      </c>
      <c r="E7"/>
      <c r="F7"/>
      <c r="G7"/>
      <c r="H7"/>
    </row>
    <row r="8" spans="1:8">
      <c r="A8" s="22">
        <v>2</v>
      </c>
      <c r="B8" s="21" t="s">
        <v>605</v>
      </c>
      <c r="C8" s="21">
        <v>1</v>
      </c>
      <c r="D8" s="21" t="s">
        <v>19</v>
      </c>
      <c r="E8"/>
      <c r="F8"/>
      <c r="G8"/>
      <c r="H8"/>
    </row>
    <row r="9" spans="1:8">
      <c r="A9" s="22">
        <v>2</v>
      </c>
      <c r="B9" s="21" t="s">
        <v>606</v>
      </c>
      <c r="C9" s="21">
        <v>1</v>
      </c>
      <c r="D9" s="21" t="s">
        <v>37</v>
      </c>
      <c r="E9"/>
      <c r="F9"/>
      <c r="G9"/>
      <c r="H9"/>
    </row>
    <row r="10" spans="1:8">
      <c r="A10" s="23">
        <v>3</v>
      </c>
      <c r="B10" s="24" t="s">
        <v>604</v>
      </c>
      <c r="C10" s="24">
        <v>1</v>
      </c>
      <c r="D10" s="24" t="s">
        <v>17</v>
      </c>
      <c r="E10"/>
      <c r="F10"/>
      <c r="G10"/>
      <c r="H10"/>
    </row>
    <row r="11" spans="1:8">
      <c r="A11" s="23">
        <v>3</v>
      </c>
      <c r="B11" s="24" t="s">
        <v>605</v>
      </c>
      <c r="C11" s="24">
        <v>1</v>
      </c>
      <c r="D11" s="24" t="s">
        <v>231</v>
      </c>
      <c r="E11"/>
      <c r="F11"/>
      <c r="G11"/>
      <c r="H11"/>
    </row>
    <row r="12" spans="1:8">
      <c r="A12" s="23">
        <v>3</v>
      </c>
      <c r="B12" s="24" t="s">
        <v>606</v>
      </c>
      <c r="C12" s="24">
        <v>1</v>
      </c>
      <c r="D12" s="24" t="s">
        <v>22</v>
      </c>
      <c r="E12"/>
      <c r="F12"/>
      <c r="G12"/>
      <c r="H12"/>
    </row>
    <row r="13" spans="1:8">
      <c r="A13" s="22">
        <v>4</v>
      </c>
      <c r="B13" s="21" t="s">
        <v>604</v>
      </c>
      <c r="C13" s="21">
        <v>1</v>
      </c>
      <c r="D13" s="21" t="s">
        <v>227</v>
      </c>
      <c r="E13"/>
      <c r="F13"/>
      <c r="G13"/>
      <c r="H13"/>
    </row>
    <row r="14" spans="1:8">
      <c r="A14" s="22">
        <v>4</v>
      </c>
      <c r="B14" s="21" t="s">
        <v>605</v>
      </c>
      <c r="C14" s="21">
        <v>1</v>
      </c>
      <c r="D14" s="21" t="s">
        <v>232</v>
      </c>
      <c r="E14"/>
      <c r="F14"/>
      <c r="G14"/>
      <c r="H14"/>
    </row>
    <row r="15" spans="1:8">
      <c r="A15" s="22">
        <v>4</v>
      </c>
      <c r="B15" s="21" t="s">
        <v>606</v>
      </c>
      <c r="C15" s="21">
        <v>1</v>
      </c>
      <c r="D15" s="21" t="s">
        <v>20</v>
      </c>
      <c r="E15"/>
      <c r="F15"/>
      <c r="G15"/>
      <c r="H15"/>
    </row>
    <row r="16" spans="1:8">
      <c r="A16" s="23">
        <v>5</v>
      </c>
      <c r="B16" s="24" t="s">
        <v>604</v>
      </c>
      <c r="C16" s="24">
        <v>1</v>
      </c>
      <c r="D16" s="24" t="s">
        <v>23</v>
      </c>
      <c r="E16"/>
      <c r="F16"/>
      <c r="G16"/>
      <c r="H16"/>
    </row>
    <row r="17" spans="1:8">
      <c r="A17" s="23">
        <v>5</v>
      </c>
      <c r="B17" s="24" t="s">
        <v>605</v>
      </c>
      <c r="C17" s="24">
        <v>1</v>
      </c>
      <c r="D17" s="24" t="s">
        <v>228</v>
      </c>
      <c r="E17"/>
      <c r="F17"/>
      <c r="G17"/>
      <c r="H17"/>
    </row>
    <row r="18" spans="1:8">
      <c r="A18" s="23">
        <v>5</v>
      </c>
      <c r="B18" s="24" t="s">
        <v>606</v>
      </c>
      <c r="C18" s="24">
        <v>1</v>
      </c>
      <c r="D18" s="24" t="s">
        <v>229</v>
      </c>
      <c r="E18"/>
      <c r="F18"/>
      <c r="G18"/>
      <c r="H18"/>
    </row>
    <row r="19" spans="1:8">
      <c r="A19" s="22">
        <v>6</v>
      </c>
      <c r="B19" s="21" t="s">
        <v>604</v>
      </c>
      <c r="C19" s="21">
        <v>1</v>
      </c>
      <c r="D19" s="21" t="s">
        <v>40</v>
      </c>
      <c r="E19"/>
      <c r="F19"/>
      <c r="G19"/>
      <c r="H19"/>
    </row>
    <row r="20" spans="1:8">
      <c r="A20" s="22">
        <v>6</v>
      </c>
      <c r="B20" s="21" t="s">
        <v>605</v>
      </c>
      <c r="C20" s="21">
        <v>1</v>
      </c>
      <c r="D20" s="21" t="s">
        <v>230</v>
      </c>
      <c r="E20"/>
      <c r="F20"/>
      <c r="G20"/>
      <c r="H20"/>
    </row>
    <row r="21" spans="1:8">
      <c r="A21" s="22">
        <v>6</v>
      </c>
      <c r="B21" s="21" t="s">
        <v>606</v>
      </c>
      <c r="C21" s="21">
        <v>1</v>
      </c>
      <c r="D21" s="21" t="s">
        <v>26</v>
      </c>
      <c r="E21"/>
      <c r="F21"/>
      <c r="G21"/>
      <c r="H21"/>
    </row>
    <row r="22" spans="1:8">
      <c r="A22" s="23">
        <v>7</v>
      </c>
      <c r="B22" s="24" t="s">
        <v>604</v>
      </c>
      <c r="C22" s="24">
        <v>1</v>
      </c>
      <c r="D22" s="24" t="s">
        <v>28</v>
      </c>
      <c r="E22"/>
      <c r="F22"/>
      <c r="G22"/>
      <c r="H22"/>
    </row>
    <row r="23" spans="1:8">
      <c r="A23" s="23">
        <v>7</v>
      </c>
      <c r="B23" s="24" t="s">
        <v>605</v>
      </c>
      <c r="C23" s="24">
        <v>1</v>
      </c>
      <c r="D23" s="24" t="s">
        <v>29</v>
      </c>
      <c r="E23"/>
      <c r="F23"/>
      <c r="G23"/>
      <c r="H23"/>
    </row>
    <row r="24" spans="1:8">
      <c r="A24" s="23">
        <v>7</v>
      </c>
      <c r="B24" s="24" t="s">
        <v>606</v>
      </c>
      <c r="C24" s="24">
        <v>1</v>
      </c>
      <c r="D24" s="24" t="s">
        <v>41</v>
      </c>
      <c r="E24"/>
      <c r="F24"/>
      <c r="G24"/>
      <c r="H24"/>
    </row>
    <row r="25" spans="1:8">
      <c r="A25" s="22">
        <v>8</v>
      </c>
      <c r="B25" s="21" t="s">
        <v>604</v>
      </c>
      <c r="C25" s="21">
        <v>1</v>
      </c>
      <c r="D25" s="21" t="s">
        <v>336</v>
      </c>
      <c r="E25"/>
      <c r="F25"/>
      <c r="G25"/>
      <c r="H25"/>
    </row>
    <row r="26" spans="1:8">
      <c r="A26" s="22">
        <v>8</v>
      </c>
      <c r="B26" s="21" t="s">
        <v>605</v>
      </c>
      <c r="C26" s="21">
        <v>1</v>
      </c>
      <c r="D26" s="21" t="s">
        <v>334</v>
      </c>
      <c r="E26"/>
      <c r="F26"/>
      <c r="G26"/>
      <c r="H26"/>
    </row>
    <row r="27" spans="1:8">
      <c r="A27" s="22">
        <v>8</v>
      </c>
      <c r="B27" s="21" t="s">
        <v>606</v>
      </c>
      <c r="C27" s="21">
        <v>1</v>
      </c>
      <c r="D27" s="21" t="s">
        <v>335</v>
      </c>
      <c r="E27"/>
      <c r="F27"/>
      <c r="G27"/>
      <c r="H27"/>
    </row>
    <row r="28" spans="1:8">
      <c r="A28" s="23">
        <v>9</v>
      </c>
      <c r="B28" s="24" t="s">
        <v>604</v>
      </c>
      <c r="C28" s="24">
        <v>1</v>
      </c>
      <c r="D28" s="24" t="s">
        <v>327</v>
      </c>
      <c r="E28"/>
      <c r="F28"/>
      <c r="G28"/>
      <c r="H28"/>
    </row>
    <row r="29" spans="1:8">
      <c r="A29" s="23">
        <v>9</v>
      </c>
      <c r="B29" s="24" t="s">
        <v>605</v>
      </c>
      <c r="C29" s="24">
        <v>1</v>
      </c>
      <c r="D29" s="24" t="s">
        <v>337</v>
      </c>
      <c r="E29"/>
      <c r="F29"/>
      <c r="G29"/>
      <c r="H29"/>
    </row>
    <row r="30" spans="1:8">
      <c r="A30" s="23">
        <v>9</v>
      </c>
      <c r="B30" s="24" t="s">
        <v>606</v>
      </c>
      <c r="C30" s="24">
        <v>1</v>
      </c>
      <c r="D30" s="24" t="s">
        <v>326</v>
      </c>
      <c r="E30"/>
      <c r="F30"/>
      <c r="G30"/>
      <c r="H30"/>
    </row>
    <row r="31" spans="1:8">
      <c r="A31" s="22">
        <v>10</v>
      </c>
      <c r="B31" s="21" t="s">
        <v>604</v>
      </c>
      <c r="C31" s="21">
        <v>1</v>
      </c>
      <c r="D31" s="21" t="s">
        <v>325</v>
      </c>
      <c r="E31"/>
      <c r="F31"/>
      <c r="G31"/>
      <c r="H31"/>
    </row>
    <row r="32" spans="1:8">
      <c r="A32" s="22">
        <v>10</v>
      </c>
      <c r="B32" s="21" t="s">
        <v>605</v>
      </c>
      <c r="C32" s="21">
        <v>1</v>
      </c>
      <c r="D32" s="21" t="s">
        <v>38</v>
      </c>
      <c r="E32"/>
      <c r="F32"/>
      <c r="G32"/>
      <c r="H32"/>
    </row>
    <row r="33" spans="1:8">
      <c r="A33" s="22">
        <v>10</v>
      </c>
      <c r="B33" s="21" t="s">
        <v>606</v>
      </c>
      <c r="C33" s="21">
        <v>1</v>
      </c>
      <c r="D33" s="21" t="s">
        <v>329</v>
      </c>
      <c r="E33"/>
      <c r="F33"/>
      <c r="G33"/>
      <c r="H33"/>
    </row>
    <row r="34" spans="1:8">
      <c r="A34" s="23">
        <v>11</v>
      </c>
      <c r="B34" s="24" t="s">
        <v>604</v>
      </c>
      <c r="C34" s="24">
        <v>1</v>
      </c>
      <c r="D34" s="24" t="s">
        <v>39</v>
      </c>
      <c r="E34"/>
      <c r="F34"/>
      <c r="G34"/>
      <c r="H34"/>
    </row>
    <row r="35" spans="1:8">
      <c r="A35" s="23">
        <v>11</v>
      </c>
      <c r="B35" s="24" t="s">
        <v>605</v>
      </c>
      <c r="C35" s="24">
        <v>1</v>
      </c>
      <c r="D35" s="24" t="s">
        <v>328</v>
      </c>
      <c r="E35"/>
      <c r="F35"/>
      <c r="G35"/>
      <c r="H35"/>
    </row>
    <row r="36" spans="1:8">
      <c r="A36" s="23">
        <v>11</v>
      </c>
      <c r="B36" s="24" t="s">
        <v>606</v>
      </c>
      <c r="C36" s="24">
        <v>1</v>
      </c>
      <c r="D36" s="24" t="s">
        <v>21</v>
      </c>
      <c r="E36"/>
      <c r="F36"/>
      <c r="G36"/>
      <c r="H36"/>
    </row>
    <row r="37" spans="1:8">
      <c r="A37" s="22">
        <v>12</v>
      </c>
      <c r="B37" s="21" t="s">
        <v>604</v>
      </c>
      <c r="C37" s="21">
        <v>1</v>
      </c>
      <c r="D37" s="21" t="s">
        <v>24</v>
      </c>
      <c r="E37"/>
      <c r="F37"/>
      <c r="G37"/>
      <c r="H37"/>
    </row>
    <row r="38" spans="1:8">
      <c r="A38" s="22">
        <v>12</v>
      </c>
      <c r="B38" s="21" t="s">
        <v>605</v>
      </c>
      <c r="C38" s="21">
        <v>1</v>
      </c>
      <c r="D38" s="21" t="s">
        <v>25</v>
      </c>
      <c r="E38"/>
      <c r="F38"/>
      <c r="G38"/>
      <c r="H38"/>
    </row>
    <row r="39" spans="1:8">
      <c r="A39" s="22">
        <v>12</v>
      </c>
      <c r="B39" s="21" t="s">
        <v>606</v>
      </c>
      <c r="C39" s="21">
        <v>1</v>
      </c>
      <c r="D39" s="21" t="s">
        <v>330</v>
      </c>
      <c r="E39"/>
      <c r="F39"/>
      <c r="G39"/>
      <c r="H39"/>
    </row>
    <row r="40" spans="1:8">
      <c r="A40" s="23">
        <v>13</v>
      </c>
      <c r="B40" s="24" t="s">
        <v>604</v>
      </c>
      <c r="C40" s="24">
        <v>1</v>
      </c>
      <c r="D40" s="24" t="s">
        <v>331</v>
      </c>
      <c r="E40"/>
      <c r="F40"/>
      <c r="G40"/>
      <c r="H40"/>
    </row>
    <row r="41" spans="1:8">
      <c r="A41" s="23">
        <v>13</v>
      </c>
      <c r="B41" s="24" t="s">
        <v>605</v>
      </c>
      <c r="C41" s="24">
        <v>1</v>
      </c>
      <c r="D41" s="24" t="s">
        <v>27</v>
      </c>
      <c r="E41"/>
      <c r="F41"/>
      <c r="G41"/>
      <c r="H41"/>
    </row>
    <row r="42" spans="1:8">
      <c r="A42" s="23">
        <v>13</v>
      </c>
      <c r="B42" s="24" t="s">
        <v>606</v>
      </c>
      <c r="C42" s="24">
        <v>1</v>
      </c>
      <c r="D42" s="24" t="s">
        <v>338</v>
      </c>
      <c r="E42"/>
      <c r="F42"/>
      <c r="G42"/>
      <c r="H42"/>
    </row>
    <row r="43" spans="1:8">
      <c r="A43" s="22">
        <v>14</v>
      </c>
      <c r="B43" s="21" t="s">
        <v>604</v>
      </c>
      <c r="C43" s="21">
        <v>1</v>
      </c>
      <c r="D43" s="21" t="s">
        <v>333</v>
      </c>
      <c r="E43"/>
      <c r="F43"/>
      <c r="G43"/>
      <c r="H43"/>
    </row>
    <row r="44" spans="1:8">
      <c r="A44" s="22">
        <v>14</v>
      </c>
      <c r="B44" s="21" t="s">
        <v>605</v>
      </c>
      <c r="C44" s="21">
        <v>1</v>
      </c>
      <c r="D44" s="21" t="s">
        <v>332</v>
      </c>
      <c r="E44"/>
      <c r="F44"/>
      <c r="G44"/>
      <c r="H44"/>
    </row>
    <row r="45" spans="1:8">
      <c r="A45" s="22">
        <v>14</v>
      </c>
      <c r="B45" s="21" t="s">
        <v>606</v>
      </c>
      <c r="C45" s="21">
        <v>1</v>
      </c>
      <c r="D45" s="21" t="s">
        <v>339</v>
      </c>
      <c r="E45"/>
      <c r="F45"/>
      <c r="G45"/>
      <c r="H45"/>
    </row>
    <row r="46" spans="1:8">
      <c r="A46" s="23">
        <v>15</v>
      </c>
      <c r="B46" s="24" t="s">
        <v>604</v>
      </c>
      <c r="C46" s="24">
        <v>1</v>
      </c>
      <c r="D46" s="24" t="s">
        <v>31</v>
      </c>
      <c r="E46"/>
      <c r="F46"/>
      <c r="G46"/>
      <c r="H46"/>
    </row>
    <row r="47" spans="1:8">
      <c r="A47" s="23">
        <v>15</v>
      </c>
      <c r="B47" s="24" t="s">
        <v>605</v>
      </c>
      <c r="C47" s="24">
        <v>1</v>
      </c>
      <c r="D47" s="24" t="s">
        <v>30</v>
      </c>
      <c r="E47"/>
      <c r="F47"/>
      <c r="G47"/>
      <c r="H47"/>
    </row>
    <row r="48" spans="1:8">
      <c r="A48" s="23">
        <v>15</v>
      </c>
      <c r="B48" s="24" t="s">
        <v>606</v>
      </c>
      <c r="C48" s="24">
        <v>1</v>
      </c>
      <c r="D48" s="24" t="s">
        <v>36</v>
      </c>
      <c r="E48"/>
      <c r="F48"/>
      <c r="G48"/>
      <c r="H48"/>
    </row>
    <row r="49" spans="1:8">
      <c r="A49" s="22">
        <v>16</v>
      </c>
      <c r="B49" s="21" t="s">
        <v>604</v>
      </c>
      <c r="C49" s="21">
        <v>1</v>
      </c>
      <c r="D49" s="21" t="s">
        <v>18</v>
      </c>
      <c r="E49"/>
      <c r="F49"/>
      <c r="G49"/>
      <c r="H49"/>
    </row>
    <row r="50" spans="1:8">
      <c r="A50" s="22">
        <v>16</v>
      </c>
      <c r="B50" s="21" t="s">
        <v>605</v>
      </c>
      <c r="C50" s="21">
        <v>1</v>
      </c>
      <c r="D50" s="21" t="s">
        <v>37</v>
      </c>
      <c r="E50"/>
      <c r="F50"/>
      <c r="G50"/>
      <c r="H50"/>
    </row>
    <row r="51" spans="1:8">
      <c r="A51" s="22">
        <v>16</v>
      </c>
      <c r="B51" s="21" t="s">
        <v>606</v>
      </c>
      <c r="C51" s="21">
        <v>1</v>
      </c>
      <c r="D51" s="21" t="s">
        <v>19</v>
      </c>
      <c r="E51"/>
      <c r="F51"/>
      <c r="G51"/>
      <c r="H51"/>
    </row>
    <row r="52" spans="1:8">
      <c r="A52" s="23">
        <v>17</v>
      </c>
      <c r="B52" s="24" t="s">
        <v>604</v>
      </c>
      <c r="C52" s="24">
        <v>1</v>
      </c>
      <c r="D52" s="24" t="s">
        <v>17</v>
      </c>
      <c r="E52"/>
      <c r="F52"/>
      <c r="G52"/>
      <c r="H52"/>
    </row>
    <row r="53" spans="1:8">
      <c r="A53" s="23">
        <v>17</v>
      </c>
      <c r="B53" s="24" t="s">
        <v>605</v>
      </c>
      <c r="C53" s="24">
        <v>1</v>
      </c>
      <c r="D53" s="24" t="s">
        <v>22</v>
      </c>
      <c r="E53"/>
      <c r="F53"/>
      <c r="G53"/>
      <c r="H53"/>
    </row>
    <row r="54" spans="1:8">
      <c r="A54" s="23">
        <v>17</v>
      </c>
      <c r="B54" s="24" t="s">
        <v>606</v>
      </c>
      <c r="C54" s="24">
        <v>1</v>
      </c>
      <c r="D54" s="24" t="s">
        <v>231</v>
      </c>
      <c r="E54"/>
      <c r="F54"/>
      <c r="G54"/>
      <c r="H54"/>
    </row>
    <row r="55" spans="1:8">
      <c r="A55" s="22">
        <v>18</v>
      </c>
      <c r="B55" s="21" t="s">
        <v>604</v>
      </c>
      <c r="C55" s="21">
        <v>1</v>
      </c>
      <c r="D55" s="21" t="s">
        <v>232</v>
      </c>
      <c r="E55"/>
      <c r="F55"/>
      <c r="G55"/>
      <c r="H55"/>
    </row>
    <row r="56" spans="1:8">
      <c r="A56" s="22">
        <v>18</v>
      </c>
      <c r="B56" s="21" t="s">
        <v>605</v>
      </c>
      <c r="C56" s="21">
        <v>1</v>
      </c>
      <c r="D56" s="21" t="s">
        <v>227</v>
      </c>
      <c r="E56"/>
      <c r="F56"/>
      <c r="G56"/>
      <c r="H56"/>
    </row>
    <row r="57" spans="1:8">
      <c r="A57" s="22">
        <v>18</v>
      </c>
      <c r="B57" s="21" t="s">
        <v>606</v>
      </c>
      <c r="C57" s="21">
        <v>1</v>
      </c>
      <c r="D57" s="21" t="s">
        <v>20</v>
      </c>
      <c r="E57"/>
      <c r="F57"/>
      <c r="G57"/>
      <c r="H57"/>
    </row>
    <row r="58" spans="1:8">
      <c r="A58" s="23">
        <v>19</v>
      </c>
      <c r="B58" s="24" t="s">
        <v>604</v>
      </c>
      <c r="C58" s="24">
        <v>1</v>
      </c>
      <c r="D58" s="24" t="s">
        <v>228</v>
      </c>
      <c r="E58"/>
      <c r="F58"/>
      <c r="G58"/>
      <c r="H58"/>
    </row>
    <row r="59" spans="1:8">
      <c r="A59" s="23">
        <v>19</v>
      </c>
      <c r="B59" s="24" t="s">
        <v>605</v>
      </c>
      <c r="C59" s="24">
        <v>1</v>
      </c>
      <c r="D59" s="24" t="s">
        <v>23</v>
      </c>
      <c r="E59"/>
      <c r="F59"/>
      <c r="G59"/>
      <c r="H59"/>
    </row>
    <row r="60" spans="1:8">
      <c r="A60" s="23">
        <v>19</v>
      </c>
      <c r="B60" s="24" t="s">
        <v>606</v>
      </c>
      <c r="C60" s="24">
        <v>1</v>
      </c>
      <c r="D60" s="24" t="s">
        <v>229</v>
      </c>
      <c r="E60"/>
      <c r="F60"/>
      <c r="G60"/>
      <c r="H60"/>
    </row>
    <row r="61" spans="1:8">
      <c r="A61" s="22">
        <v>20</v>
      </c>
      <c r="B61" s="21" t="s">
        <v>604</v>
      </c>
      <c r="C61" s="21">
        <v>1</v>
      </c>
      <c r="D61" s="21" t="s">
        <v>230</v>
      </c>
      <c r="E61"/>
      <c r="F61"/>
      <c r="G61"/>
      <c r="H61"/>
    </row>
    <row r="62" spans="1:8">
      <c r="A62" s="22">
        <v>20</v>
      </c>
      <c r="B62" s="21" t="s">
        <v>605</v>
      </c>
      <c r="C62" s="21">
        <v>1</v>
      </c>
      <c r="D62" s="21" t="s">
        <v>40</v>
      </c>
      <c r="E62"/>
      <c r="F62"/>
      <c r="G62"/>
      <c r="H62"/>
    </row>
    <row r="63" spans="1:8">
      <c r="A63" s="22">
        <v>20</v>
      </c>
      <c r="B63" s="21" t="s">
        <v>606</v>
      </c>
      <c r="C63" s="21">
        <v>1</v>
      </c>
      <c r="D63" s="21" t="s">
        <v>26</v>
      </c>
      <c r="E63"/>
      <c r="F63"/>
      <c r="G63"/>
      <c r="H63"/>
    </row>
    <row r="64" spans="1:8">
      <c r="A64" s="23">
        <v>21</v>
      </c>
      <c r="B64" s="24" t="s">
        <v>604</v>
      </c>
      <c r="C64" s="24">
        <v>1</v>
      </c>
      <c r="D64" s="24" t="s">
        <v>41</v>
      </c>
      <c r="E64"/>
      <c r="F64"/>
      <c r="G64"/>
      <c r="H64"/>
    </row>
    <row r="65" spans="1:8">
      <c r="A65" s="23">
        <v>21</v>
      </c>
      <c r="B65" s="24" t="s">
        <v>605</v>
      </c>
      <c r="C65" s="24">
        <v>1</v>
      </c>
      <c r="D65" s="24" t="s">
        <v>29</v>
      </c>
      <c r="E65"/>
      <c r="F65"/>
      <c r="G65"/>
      <c r="H65"/>
    </row>
    <row r="66" spans="1:8">
      <c r="A66" s="23">
        <v>21</v>
      </c>
      <c r="B66" s="24" t="s">
        <v>606</v>
      </c>
      <c r="C66" s="24">
        <v>1</v>
      </c>
      <c r="D66" s="24" t="s">
        <v>28</v>
      </c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 ht="15.5">
      <c r="A69"/>
      <c r="B69" s="41" t="s">
        <v>633</v>
      </c>
      <c r="C69" s="41"/>
      <c r="D69" s="41"/>
      <c r="E69" s="41"/>
      <c r="F69" s="41"/>
      <c r="G69" s="41"/>
      <c r="H69"/>
    </row>
    <row r="70" spans="1:8">
      <c r="A70"/>
      <c r="B70" s="42" t="s">
        <v>608</v>
      </c>
      <c r="C70" s="43" t="s">
        <v>634</v>
      </c>
      <c r="D70" s="43"/>
      <c r="E70" s="43"/>
      <c r="F70" s="43" t="s">
        <v>610</v>
      </c>
      <c r="G70" s="43"/>
      <c r="H70"/>
    </row>
    <row r="71" spans="1:8">
      <c r="A71"/>
      <c r="B71" s="44">
        <v>1</v>
      </c>
      <c r="C71" s="45" t="s">
        <v>635</v>
      </c>
      <c r="D71" s="45"/>
      <c r="E71" s="45"/>
      <c r="F71" s="45" t="s">
        <v>611</v>
      </c>
      <c r="G71" s="45"/>
      <c r="H71"/>
    </row>
    <row r="72" spans="1:8">
      <c r="A72"/>
      <c r="B72" s="44">
        <v>2</v>
      </c>
      <c r="C72" s="45" t="s">
        <v>636</v>
      </c>
      <c r="D72" s="45"/>
      <c r="E72" s="45"/>
      <c r="F72" s="45" t="s">
        <v>611</v>
      </c>
      <c r="G72" s="45"/>
      <c r="H72"/>
    </row>
    <row r="73" spans="1:8">
      <c r="A73"/>
      <c r="B73" s="44">
        <v>3</v>
      </c>
      <c r="C73" s="45" t="s">
        <v>637</v>
      </c>
      <c r="D73" s="45"/>
      <c r="E73" s="45"/>
      <c r="F73" s="45" t="s">
        <v>611</v>
      </c>
      <c r="G73" s="45"/>
      <c r="H73"/>
    </row>
    <row r="74" spans="1:8">
      <c r="A74"/>
      <c r="B74" s="44">
        <v>4</v>
      </c>
      <c r="C74" s="45" t="s">
        <v>638</v>
      </c>
      <c r="D74" s="45"/>
      <c r="E74" s="45"/>
      <c r="F74" s="45" t="s">
        <v>611</v>
      </c>
      <c r="G74" s="45"/>
      <c r="H74"/>
    </row>
    <row r="75" spans="1:8">
      <c r="A75"/>
      <c r="B75" s="44">
        <v>5</v>
      </c>
      <c r="C75" s="45" t="s">
        <v>639</v>
      </c>
      <c r="D75" s="45"/>
      <c r="E75" s="45"/>
      <c r="F75" s="45" t="s">
        <v>613</v>
      </c>
      <c r="G75" s="45"/>
      <c r="H75"/>
    </row>
    <row r="76" spans="1:8">
      <c r="A76"/>
      <c r="B76" s="44">
        <v>6</v>
      </c>
      <c r="C76" s="45" t="s">
        <v>640</v>
      </c>
      <c r="D76" s="45"/>
      <c r="E76" s="45"/>
      <c r="F76" s="45" t="s">
        <v>613</v>
      </c>
      <c r="G76" s="45"/>
      <c r="H76"/>
    </row>
    <row r="77" spans="1:8">
      <c r="A77"/>
      <c r="B77" s="44">
        <v>7</v>
      </c>
      <c r="C77" s="45" t="s">
        <v>641</v>
      </c>
      <c r="D77" s="45"/>
      <c r="E77" s="45"/>
      <c r="F77" s="45" t="s">
        <v>613</v>
      </c>
      <c r="G77" s="45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 ht="15.5">
      <c r="A80"/>
      <c r="B80" s="41" t="s">
        <v>642</v>
      </c>
      <c r="C80" s="41"/>
      <c r="D80" s="41"/>
      <c r="E80" s="41"/>
      <c r="F80" s="41"/>
      <c r="G80" s="41"/>
      <c r="H80"/>
    </row>
    <row r="81" spans="1:8">
      <c r="A81"/>
      <c r="B81" s="42" t="s">
        <v>608</v>
      </c>
      <c r="C81" s="43" t="s">
        <v>634</v>
      </c>
      <c r="D81" s="43"/>
      <c r="E81" s="43"/>
      <c r="F81" s="43" t="s">
        <v>610</v>
      </c>
      <c r="G81" s="43"/>
      <c r="H81"/>
    </row>
    <row r="82" spans="1:8">
      <c r="A82"/>
      <c r="B82" s="44">
        <v>1</v>
      </c>
      <c r="C82" s="45" t="s">
        <v>643</v>
      </c>
      <c r="D82" s="45"/>
      <c r="E82" s="45"/>
      <c r="F82" s="45" t="s">
        <v>615</v>
      </c>
      <c r="G82" s="45"/>
      <c r="H82"/>
    </row>
    <row r="83" spans="1:8">
      <c r="A83"/>
      <c r="B83" s="44">
        <v>2</v>
      </c>
      <c r="C83" s="45" t="s">
        <v>644</v>
      </c>
      <c r="D83" s="45"/>
      <c r="E83" s="45"/>
      <c r="F83" s="45" t="s">
        <v>615</v>
      </c>
      <c r="G83" s="45"/>
      <c r="H83"/>
    </row>
    <row r="84" spans="1:8">
      <c r="A84"/>
      <c r="B84" s="44">
        <v>3</v>
      </c>
      <c r="C84" s="45" t="s">
        <v>645</v>
      </c>
      <c r="D84" s="45"/>
      <c r="E84" s="45"/>
      <c r="F84" s="45" t="s">
        <v>615</v>
      </c>
      <c r="G84" s="45"/>
      <c r="H84"/>
    </row>
    <row r="85" spans="1:8">
      <c r="A85"/>
      <c r="B85" s="44">
        <v>4</v>
      </c>
      <c r="C85" s="45" t="s">
        <v>646</v>
      </c>
      <c r="D85" s="45"/>
      <c r="E85" s="45"/>
      <c r="F85" s="45" t="s">
        <v>615</v>
      </c>
      <c r="G85" s="45"/>
      <c r="H85"/>
    </row>
    <row r="86" spans="1:8">
      <c r="A86"/>
      <c r="B86" s="44">
        <v>5</v>
      </c>
      <c r="C86" s="45" t="s">
        <v>647</v>
      </c>
      <c r="D86" s="45"/>
      <c r="E86" s="45"/>
      <c r="F86" s="45" t="s">
        <v>615</v>
      </c>
      <c r="G86" s="45"/>
      <c r="H86"/>
    </row>
    <row r="87" spans="1:8">
      <c r="A87"/>
      <c r="B87" s="44">
        <v>6</v>
      </c>
      <c r="C87" s="45" t="s">
        <v>648</v>
      </c>
      <c r="D87" s="45"/>
      <c r="E87" s="45"/>
      <c r="F87" s="45" t="s">
        <v>615</v>
      </c>
      <c r="G87" s="45"/>
      <c r="H87"/>
    </row>
    <row r="88" spans="1:8">
      <c r="A88"/>
      <c r="B88" s="44">
        <v>7</v>
      </c>
      <c r="C88" s="45" t="s">
        <v>649</v>
      </c>
      <c r="D88" s="45"/>
      <c r="E88" s="45"/>
      <c r="F88" s="45" t="s">
        <v>615</v>
      </c>
      <c r="G88" s="45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  <row r="91" spans="1:8">
      <c r="A91"/>
      <c r="B91"/>
      <c r="C91"/>
      <c r="D91"/>
      <c r="E91"/>
      <c r="F91"/>
      <c r="G91"/>
      <c r="H91"/>
    </row>
    <row r="92" spans="1:8">
      <c r="A92"/>
      <c r="B92"/>
      <c r="C92"/>
      <c r="D92"/>
      <c r="E92"/>
      <c r="F92"/>
      <c r="G92"/>
      <c r="H92"/>
    </row>
    <row r="93" spans="1:8">
      <c r="A93"/>
      <c r="B93"/>
      <c r="C93"/>
      <c r="D93"/>
      <c r="E93"/>
      <c r="F93"/>
      <c r="G93"/>
      <c r="H93"/>
    </row>
    <row r="94" spans="1:8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  <c r="G102"/>
      <c r="H102"/>
    </row>
    <row r="103" spans="1:8">
      <c r="A103"/>
      <c r="B103"/>
      <c r="C103"/>
      <c r="D103"/>
      <c r="E103"/>
      <c r="F103"/>
      <c r="G103"/>
      <c r="H103"/>
    </row>
    <row r="104" spans="1:8">
      <c r="A104"/>
      <c r="B104"/>
      <c r="C104"/>
      <c r="D104"/>
      <c r="E104"/>
      <c r="F104"/>
      <c r="G104"/>
      <c r="H104"/>
    </row>
    <row r="105" spans="1:8">
      <c r="A105"/>
      <c r="B105"/>
      <c r="C105"/>
      <c r="D105"/>
      <c r="E105"/>
      <c r="F105"/>
      <c r="G105"/>
      <c r="H105"/>
    </row>
    <row r="106" spans="1:8">
      <c r="A106"/>
      <c r="B106"/>
      <c r="C106"/>
      <c r="D106"/>
      <c r="E106"/>
      <c r="F106"/>
      <c r="G106"/>
      <c r="H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>
      <c r="A126"/>
      <c r="B126"/>
      <c r="C126"/>
      <c r="D126"/>
      <c r="E126"/>
      <c r="F126"/>
      <c r="G126"/>
      <c r="H126"/>
    </row>
    <row r="127" spans="1:8">
      <c r="A127"/>
      <c r="B127"/>
      <c r="C127"/>
      <c r="D127"/>
      <c r="E127"/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/>
      <c r="B139"/>
      <c r="C139"/>
      <c r="D139"/>
      <c r="E139"/>
      <c r="F139"/>
      <c r="G139"/>
      <c r="H139"/>
    </row>
    <row r="140" spans="1:8">
      <c r="A140"/>
      <c r="B140"/>
      <c r="C140"/>
      <c r="D140"/>
      <c r="E140"/>
      <c r="F140"/>
      <c r="G140"/>
      <c r="H140"/>
    </row>
    <row r="141" spans="1:8">
      <c r="A141"/>
      <c r="B141"/>
      <c r="C141"/>
      <c r="D141"/>
      <c r="E141"/>
      <c r="F141"/>
      <c r="G141"/>
      <c r="H141"/>
    </row>
    <row r="142" spans="1:8">
      <c r="A142"/>
      <c r="B142"/>
      <c r="C142"/>
      <c r="D142"/>
      <c r="E142"/>
      <c r="F142"/>
      <c r="G142"/>
      <c r="H142"/>
    </row>
    <row r="143" spans="1:8">
      <c r="A143"/>
      <c r="B143"/>
      <c r="C143"/>
      <c r="D143"/>
      <c r="E143"/>
      <c r="F143"/>
      <c r="G143"/>
      <c r="H143"/>
    </row>
    <row r="144" spans="1:8">
      <c r="A144"/>
      <c r="B144"/>
      <c r="C144"/>
      <c r="D144"/>
      <c r="E144"/>
      <c r="F144"/>
      <c r="G144"/>
      <c r="H144"/>
    </row>
    <row r="145" spans="1:8">
      <c r="A145"/>
      <c r="B145"/>
      <c r="C145"/>
      <c r="D145"/>
      <c r="E145"/>
      <c r="F145"/>
      <c r="G145"/>
      <c r="H145"/>
    </row>
    <row r="146" spans="1:8">
      <c r="A146"/>
      <c r="B146"/>
      <c r="C146"/>
      <c r="D146"/>
      <c r="E146"/>
      <c r="F146"/>
      <c r="G146"/>
      <c r="H146"/>
    </row>
    <row r="147" spans="1:8">
      <c r="A147"/>
      <c r="B147"/>
      <c r="C147"/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/>
      <c r="B149"/>
      <c r="C149"/>
      <c r="D149"/>
      <c r="E149"/>
      <c r="F149"/>
      <c r="G149"/>
      <c r="H149"/>
    </row>
    <row r="150" spans="1:8">
      <c r="A150"/>
      <c r="B150"/>
      <c r="C150"/>
      <c r="D150"/>
      <c r="E150"/>
      <c r="F150"/>
      <c r="G150"/>
      <c r="H150"/>
    </row>
    <row r="151" spans="1:8">
      <c r="A151"/>
      <c r="B151"/>
      <c r="C151"/>
      <c r="D151"/>
      <c r="E151"/>
      <c r="F151"/>
      <c r="G151"/>
      <c r="H151"/>
    </row>
    <row r="152" spans="1:8">
      <c r="A152"/>
      <c r="B152"/>
      <c r="C152"/>
      <c r="D152"/>
      <c r="E152"/>
      <c r="F152"/>
      <c r="G152"/>
      <c r="H152"/>
    </row>
    <row r="153" spans="1:8">
      <c r="A153"/>
      <c r="B153"/>
      <c r="C153"/>
      <c r="D153"/>
      <c r="E153"/>
      <c r="F153"/>
      <c r="G153"/>
      <c r="H153"/>
    </row>
    <row r="154" spans="1:8">
      <c r="A154"/>
      <c r="B154"/>
      <c r="C154"/>
      <c r="D154"/>
      <c r="E154"/>
      <c r="F154"/>
      <c r="G154"/>
      <c r="H154"/>
    </row>
    <row r="155" spans="1:8">
      <c r="A155"/>
      <c r="B155"/>
      <c r="C155"/>
      <c r="D155"/>
      <c r="E155"/>
      <c r="F155"/>
      <c r="G155"/>
      <c r="H155"/>
    </row>
    <row r="156" spans="1:8">
      <c r="A156"/>
      <c r="B156"/>
      <c r="C156"/>
      <c r="D156"/>
      <c r="E156"/>
      <c r="F156"/>
      <c r="G156"/>
      <c r="H156"/>
    </row>
    <row r="157" spans="1:8">
      <c r="A157"/>
      <c r="B157"/>
      <c r="C157"/>
      <c r="D157"/>
      <c r="E157"/>
      <c r="F157"/>
      <c r="G157"/>
      <c r="H157"/>
    </row>
    <row r="158" spans="1:8">
      <c r="A158"/>
      <c r="B158"/>
      <c r="C158"/>
      <c r="D158"/>
      <c r="E158"/>
      <c r="F158"/>
      <c r="G158"/>
      <c r="H158"/>
    </row>
    <row r="159" spans="1:8">
      <c r="A159"/>
      <c r="B159"/>
      <c r="C159"/>
      <c r="D159"/>
      <c r="E159"/>
      <c r="F159"/>
      <c r="G159"/>
      <c r="H159"/>
    </row>
    <row r="160" spans="1:8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  <row r="782" s="9" customFormat="1"/>
    <row r="783" s="9" customFormat="1"/>
    <row r="784" s="9" customFormat="1"/>
    <row r="785" s="9" customFormat="1"/>
    <row r="786" s="9" customFormat="1"/>
    <row r="787" s="9" customFormat="1"/>
    <row r="788" s="9" customFormat="1"/>
    <row r="789" s="9" customFormat="1"/>
    <row r="790" s="9" customFormat="1"/>
  </sheetData>
  <mergeCells count="35">
    <mergeCell ref="C86:E86"/>
    <mergeCell ref="F86:G86"/>
    <mergeCell ref="C87:E87"/>
    <mergeCell ref="F87:G87"/>
    <mergeCell ref="C88:E88"/>
    <mergeCell ref="F88:G88"/>
    <mergeCell ref="C83:E83"/>
    <mergeCell ref="F83:G83"/>
    <mergeCell ref="C84:E84"/>
    <mergeCell ref="F84:G84"/>
    <mergeCell ref="C85:E85"/>
    <mergeCell ref="F85:G85"/>
    <mergeCell ref="B80:G80"/>
    <mergeCell ref="C81:E81"/>
    <mergeCell ref="F81:G81"/>
    <mergeCell ref="C82:E82"/>
    <mergeCell ref="F82:G82"/>
    <mergeCell ref="C75:E75"/>
    <mergeCell ref="F75:G75"/>
    <mergeCell ref="C76:E76"/>
    <mergeCell ref="F76:G76"/>
    <mergeCell ref="C77:E77"/>
    <mergeCell ref="F77:G77"/>
    <mergeCell ref="C72:E72"/>
    <mergeCell ref="F72:G72"/>
    <mergeCell ref="C73:E73"/>
    <mergeCell ref="F73:G73"/>
    <mergeCell ref="C74:E74"/>
    <mergeCell ref="F74:G74"/>
    <mergeCell ref="A1:D1"/>
    <mergeCell ref="B69:G69"/>
    <mergeCell ref="C70:E70"/>
    <mergeCell ref="F70:G70"/>
    <mergeCell ref="C71:E71"/>
    <mergeCell ref="F71:G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410D-DB3F-4CE8-9042-5A7619B66541}">
  <dimension ref="A1:H789"/>
  <sheetViews>
    <sheetView showGridLines="0" rightToLeft="1" workbookViewId="0">
      <pane ySplit="3" topLeftCell="A73" activePane="bottomLeft" state="frozen"/>
      <selection pane="bottomLeft" activeCell="F140" sqref="C140:G143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29.08984375" style="10" customWidth="1"/>
    <col min="5" max="5" width="7.6328125" style="10" customWidth="1"/>
    <col min="6" max="7" width="15.453125" style="10" customWidth="1"/>
    <col min="8" max="9" width="7.6328125" style="9" customWidth="1"/>
    <col min="10" max="10" width="8.90625" style="9" bestFit="1" customWidth="1"/>
    <col min="11" max="11" width="10.90625" style="9" bestFit="1" customWidth="1"/>
    <col min="12" max="12" width="9.7265625" style="9" bestFit="1" customWidth="1"/>
    <col min="13" max="13" width="8.7265625" style="9"/>
    <col min="14" max="14" width="21.81640625" style="9" customWidth="1"/>
    <col min="15" max="15" width="18.1796875" style="9" customWidth="1"/>
    <col min="16" max="16" width="6.36328125" style="9" bestFit="1" customWidth="1"/>
    <col min="17" max="20" width="15.453125" style="9" customWidth="1"/>
    <col min="21" max="16384" width="8.7265625" style="9"/>
  </cols>
  <sheetData>
    <row r="1" spans="1:8" ht="24" customHeight="1">
      <c r="A1" s="39" t="s">
        <v>478</v>
      </c>
      <c r="B1" s="39"/>
      <c r="C1" s="39"/>
      <c r="D1" s="39"/>
      <c r="E1"/>
      <c r="F1"/>
      <c r="G1"/>
      <c r="H1"/>
    </row>
    <row r="2" spans="1:8" ht="12" customHeight="1">
      <c r="A2" s="19"/>
      <c r="B2" s="19"/>
      <c r="C2" s="19"/>
      <c r="D2" s="19"/>
      <c r="E2"/>
      <c r="F2"/>
      <c r="G2"/>
      <c r="H2"/>
    </row>
    <row r="3" spans="1:8" ht="22" customHeight="1">
      <c r="A3" s="20" t="s">
        <v>12</v>
      </c>
      <c r="B3" s="20" t="s">
        <v>13</v>
      </c>
      <c r="C3" s="20" t="s">
        <v>14</v>
      </c>
      <c r="D3" s="20" t="s">
        <v>15</v>
      </c>
      <c r="E3"/>
      <c r="F3"/>
      <c r="G3"/>
      <c r="H3"/>
    </row>
    <row r="4" spans="1:8">
      <c r="A4" s="23">
        <v>1</v>
      </c>
      <c r="B4" s="24" t="s">
        <v>604</v>
      </c>
      <c r="C4" s="24">
        <v>1</v>
      </c>
      <c r="D4" s="24" t="s">
        <v>31</v>
      </c>
      <c r="E4"/>
      <c r="F4"/>
      <c r="G4"/>
      <c r="H4"/>
    </row>
    <row r="5" spans="1:8">
      <c r="A5" s="23">
        <v>1</v>
      </c>
      <c r="B5" s="24" t="s">
        <v>605</v>
      </c>
      <c r="C5" s="24">
        <v>1</v>
      </c>
      <c r="D5" s="24" t="s">
        <v>36</v>
      </c>
      <c r="E5"/>
      <c r="F5"/>
      <c r="G5"/>
      <c r="H5"/>
    </row>
    <row r="6" spans="1:8">
      <c r="A6" s="23">
        <v>1</v>
      </c>
      <c r="B6" s="24" t="s">
        <v>605</v>
      </c>
      <c r="C6" s="24">
        <v>2</v>
      </c>
      <c r="D6" s="24" t="s">
        <v>42</v>
      </c>
      <c r="E6"/>
      <c r="F6"/>
      <c r="G6"/>
      <c r="H6"/>
    </row>
    <row r="7" spans="1:8">
      <c r="A7" s="23">
        <v>1</v>
      </c>
      <c r="B7" s="24" t="s">
        <v>606</v>
      </c>
      <c r="C7" s="24">
        <v>1</v>
      </c>
      <c r="D7" s="24" t="s">
        <v>30</v>
      </c>
      <c r="E7"/>
      <c r="F7"/>
      <c r="G7"/>
      <c r="H7"/>
    </row>
    <row r="8" spans="1:8">
      <c r="A8" s="22">
        <v>2</v>
      </c>
      <c r="B8" s="21" t="s">
        <v>604</v>
      </c>
      <c r="C8" s="21">
        <v>1</v>
      </c>
      <c r="D8" s="21" t="s">
        <v>37</v>
      </c>
      <c r="E8"/>
      <c r="F8"/>
      <c r="G8"/>
      <c r="H8"/>
    </row>
    <row r="9" spans="1:8">
      <c r="A9" s="22">
        <v>2</v>
      </c>
      <c r="B9" s="21" t="s">
        <v>605</v>
      </c>
      <c r="C9" s="21">
        <v>1</v>
      </c>
      <c r="D9" s="21" t="s">
        <v>19</v>
      </c>
      <c r="E9"/>
      <c r="F9"/>
      <c r="G9"/>
      <c r="H9"/>
    </row>
    <row r="10" spans="1:8">
      <c r="A10" s="22">
        <v>2</v>
      </c>
      <c r="B10" s="21" t="s">
        <v>606</v>
      </c>
      <c r="C10" s="21">
        <v>1</v>
      </c>
      <c r="D10" s="21" t="s">
        <v>233</v>
      </c>
      <c r="E10"/>
      <c r="F10"/>
      <c r="G10"/>
      <c r="H10"/>
    </row>
    <row r="11" spans="1:8">
      <c r="A11" s="22">
        <v>2</v>
      </c>
      <c r="B11" s="21" t="s">
        <v>606</v>
      </c>
      <c r="C11" s="21">
        <v>2</v>
      </c>
      <c r="D11" s="21" t="s">
        <v>18</v>
      </c>
      <c r="E11"/>
      <c r="F11"/>
      <c r="G11"/>
      <c r="H11"/>
    </row>
    <row r="12" spans="1:8">
      <c r="A12" s="23">
        <v>3</v>
      </c>
      <c r="B12" s="24" t="s">
        <v>604</v>
      </c>
      <c r="C12" s="24">
        <v>1</v>
      </c>
      <c r="D12" s="24" t="s">
        <v>234</v>
      </c>
      <c r="E12"/>
      <c r="F12"/>
      <c r="G12"/>
      <c r="H12"/>
    </row>
    <row r="13" spans="1:8">
      <c r="A13" s="23">
        <v>3</v>
      </c>
      <c r="B13" s="24" t="s">
        <v>605</v>
      </c>
      <c r="C13" s="24">
        <v>1</v>
      </c>
      <c r="D13" s="24" t="s">
        <v>17</v>
      </c>
      <c r="E13"/>
      <c r="F13"/>
      <c r="G13"/>
      <c r="H13"/>
    </row>
    <row r="14" spans="1:8">
      <c r="A14" s="23">
        <v>3</v>
      </c>
      <c r="B14" s="24" t="s">
        <v>606</v>
      </c>
      <c r="C14" s="24">
        <v>1</v>
      </c>
      <c r="D14" s="24" t="s">
        <v>22</v>
      </c>
      <c r="E14"/>
      <c r="F14"/>
      <c r="G14"/>
      <c r="H14"/>
    </row>
    <row r="15" spans="1:8">
      <c r="A15" s="23">
        <v>3</v>
      </c>
      <c r="B15" s="24" t="s">
        <v>606</v>
      </c>
      <c r="C15" s="24">
        <v>2</v>
      </c>
      <c r="D15" s="24" t="s">
        <v>231</v>
      </c>
      <c r="E15"/>
      <c r="F15"/>
      <c r="G15"/>
      <c r="H15"/>
    </row>
    <row r="16" spans="1:8">
      <c r="A16" s="22">
        <v>4</v>
      </c>
      <c r="B16" s="21" t="s">
        <v>604</v>
      </c>
      <c r="C16" s="21">
        <v>1</v>
      </c>
      <c r="D16" s="21" t="s">
        <v>20</v>
      </c>
      <c r="E16"/>
      <c r="F16"/>
      <c r="G16"/>
      <c r="H16"/>
    </row>
    <row r="17" spans="1:8">
      <c r="A17" s="22">
        <v>4</v>
      </c>
      <c r="B17" s="21" t="s">
        <v>605</v>
      </c>
      <c r="C17" s="21">
        <v>1</v>
      </c>
      <c r="D17" s="21" t="s">
        <v>232</v>
      </c>
      <c r="E17"/>
      <c r="F17"/>
      <c r="G17"/>
      <c r="H17"/>
    </row>
    <row r="18" spans="1:8">
      <c r="A18" s="22">
        <v>4</v>
      </c>
      <c r="B18" s="21" t="s">
        <v>605</v>
      </c>
      <c r="C18" s="21">
        <v>2</v>
      </c>
      <c r="D18" s="21" t="s">
        <v>235</v>
      </c>
      <c r="E18"/>
      <c r="F18"/>
      <c r="G18"/>
      <c r="H18"/>
    </row>
    <row r="19" spans="1:8">
      <c r="A19" s="22">
        <v>4</v>
      </c>
      <c r="B19" s="21" t="s">
        <v>606</v>
      </c>
      <c r="C19" s="21">
        <v>1</v>
      </c>
      <c r="D19" s="21" t="s">
        <v>227</v>
      </c>
      <c r="E19"/>
      <c r="F19"/>
      <c r="G19"/>
      <c r="H19"/>
    </row>
    <row r="20" spans="1:8">
      <c r="A20" s="23">
        <v>5</v>
      </c>
      <c r="B20" s="24" t="s">
        <v>604</v>
      </c>
      <c r="C20" s="24">
        <v>1</v>
      </c>
      <c r="D20" s="24" t="s">
        <v>229</v>
      </c>
      <c r="E20"/>
      <c r="F20"/>
      <c r="G20"/>
      <c r="H20"/>
    </row>
    <row r="21" spans="1:8">
      <c r="A21" s="23">
        <v>5</v>
      </c>
      <c r="B21" s="24" t="s">
        <v>605</v>
      </c>
      <c r="C21" s="24">
        <v>1</v>
      </c>
      <c r="D21" s="24" t="s">
        <v>228</v>
      </c>
      <c r="E21"/>
      <c r="F21"/>
      <c r="G21"/>
      <c r="H21"/>
    </row>
    <row r="22" spans="1:8">
      <c r="A22" s="23">
        <v>5</v>
      </c>
      <c r="B22" s="24" t="s">
        <v>605</v>
      </c>
      <c r="C22" s="24">
        <v>2</v>
      </c>
      <c r="D22" s="24" t="s">
        <v>23</v>
      </c>
      <c r="E22"/>
      <c r="F22"/>
      <c r="G22"/>
      <c r="H22"/>
    </row>
    <row r="23" spans="1:8">
      <c r="A23" s="23">
        <v>5</v>
      </c>
      <c r="B23" s="24" t="s">
        <v>606</v>
      </c>
      <c r="C23" s="24">
        <v>1</v>
      </c>
      <c r="D23" s="24" t="s">
        <v>46</v>
      </c>
      <c r="E23"/>
      <c r="F23"/>
      <c r="G23"/>
      <c r="H23"/>
    </row>
    <row r="24" spans="1:8">
      <c r="A24" s="22">
        <v>6</v>
      </c>
      <c r="B24" s="21" t="s">
        <v>604</v>
      </c>
      <c r="C24" s="21">
        <v>1</v>
      </c>
      <c r="D24" s="21" t="s">
        <v>26</v>
      </c>
      <c r="E24"/>
      <c r="F24"/>
      <c r="G24"/>
      <c r="H24"/>
    </row>
    <row r="25" spans="1:8">
      <c r="A25" s="22">
        <v>6</v>
      </c>
      <c r="B25" s="21" t="s">
        <v>605</v>
      </c>
      <c r="C25" s="21">
        <v>1</v>
      </c>
      <c r="D25" s="21" t="s">
        <v>40</v>
      </c>
      <c r="E25"/>
      <c r="F25"/>
      <c r="G25"/>
      <c r="H25"/>
    </row>
    <row r="26" spans="1:8">
      <c r="A26" s="22">
        <v>6</v>
      </c>
      <c r="B26" s="21" t="s">
        <v>605</v>
      </c>
      <c r="C26" s="21">
        <v>2</v>
      </c>
      <c r="D26" s="21" t="s">
        <v>47</v>
      </c>
      <c r="E26"/>
      <c r="F26"/>
      <c r="G26"/>
      <c r="H26"/>
    </row>
    <row r="27" spans="1:8">
      <c r="A27" s="22">
        <v>6</v>
      </c>
      <c r="B27" s="21" t="s">
        <v>606</v>
      </c>
      <c r="C27" s="21">
        <v>1</v>
      </c>
      <c r="D27" s="21" t="s">
        <v>230</v>
      </c>
      <c r="E27"/>
      <c r="F27"/>
      <c r="G27"/>
      <c r="H27"/>
    </row>
    <row r="28" spans="1:8">
      <c r="A28" s="23">
        <v>7</v>
      </c>
      <c r="B28" s="24" t="s">
        <v>604</v>
      </c>
      <c r="C28" s="24">
        <v>1</v>
      </c>
      <c r="D28" s="24" t="s">
        <v>41</v>
      </c>
      <c r="E28"/>
      <c r="F28"/>
      <c r="G28"/>
      <c r="H28"/>
    </row>
    <row r="29" spans="1:8">
      <c r="A29" s="23">
        <v>7</v>
      </c>
      <c r="B29" s="24" t="s">
        <v>605</v>
      </c>
      <c r="C29" s="24">
        <v>1</v>
      </c>
      <c r="D29" s="24" t="s">
        <v>29</v>
      </c>
      <c r="E29"/>
      <c r="F29"/>
      <c r="G29"/>
      <c r="H29"/>
    </row>
    <row r="30" spans="1:8">
      <c r="A30" s="23">
        <v>7</v>
      </c>
      <c r="B30" s="24" t="s">
        <v>606</v>
      </c>
      <c r="C30" s="24">
        <v>1</v>
      </c>
      <c r="D30" s="24" t="s">
        <v>48</v>
      </c>
      <c r="E30"/>
      <c r="F30"/>
      <c r="G30"/>
      <c r="H30"/>
    </row>
    <row r="31" spans="1:8">
      <c r="A31" s="23">
        <v>7</v>
      </c>
      <c r="B31" s="24" t="s">
        <v>606</v>
      </c>
      <c r="C31" s="24">
        <v>2</v>
      </c>
      <c r="D31" s="24" t="s">
        <v>28</v>
      </c>
      <c r="E31"/>
      <c r="F31"/>
      <c r="G31"/>
      <c r="H31"/>
    </row>
    <row r="32" spans="1:8">
      <c r="A32" s="22">
        <v>8</v>
      </c>
      <c r="B32" s="21" t="s">
        <v>604</v>
      </c>
      <c r="C32" s="21">
        <v>1</v>
      </c>
      <c r="D32" s="21" t="s">
        <v>340</v>
      </c>
      <c r="E32"/>
      <c r="F32"/>
      <c r="G32"/>
      <c r="H32"/>
    </row>
    <row r="33" spans="1:8">
      <c r="A33" s="22">
        <v>8</v>
      </c>
      <c r="B33" s="21" t="s">
        <v>604</v>
      </c>
      <c r="C33" s="21">
        <v>2</v>
      </c>
      <c r="D33" s="21" t="s">
        <v>334</v>
      </c>
      <c r="E33"/>
      <c r="F33"/>
      <c r="G33"/>
      <c r="H33"/>
    </row>
    <row r="34" spans="1:8">
      <c r="A34" s="22">
        <v>8</v>
      </c>
      <c r="B34" s="21" t="s">
        <v>605</v>
      </c>
      <c r="C34" s="21">
        <v>1</v>
      </c>
      <c r="D34" s="21" t="s">
        <v>336</v>
      </c>
      <c r="E34"/>
      <c r="F34"/>
      <c r="G34"/>
      <c r="H34"/>
    </row>
    <row r="35" spans="1:8">
      <c r="A35" s="22">
        <v>8</v>
      </c>
      <c r="B35" s="21" t="s">
        <v>606</v>
      </c>
      <c r="C35" s="21">
        <v>1</v>
      </c>
      <c r="D35" s="21" t="s">
        <v>335</v>
      </c>
      <c r="E35"/>
      <c r="F35"/>
      <c r="G35"/>
      <c r="H35"/>
    </row>
    <row r="36" spans="1:8">
      <c r="A36" s="23">
        <v>9</v>
      </c>
      <c r="B36" s="24" t="s">
        <v>604</v>
      </c>
      <c r="C36" s="24">
        <v>1</v>
      </c>
      <c r="D36" s="24" t="s">
        <v>43</v>
      </c>
      <c r="E36"/>
      <c r="F36"/>
      <c r="G36"/>
      <c r="H36"/>
    </row>
    <row r="37" spans="1:8">
      <c r="A37" s="23">
        <v>9</v>
      </c>
      <c r="B37" s="24" t="s">
        <v>605</v>
      </c>
      <c r="C37" s="24">
        <v>1</v>
      </c>
      <c r="D37" s="24" t="s">
        <v>327</v>
      </c>
      <c r="E37"/>
      <c r="F37"/>
      <c r="G37"/>
      <c r="H37"/>
    </row>
    <row r="38" spans="1:8">
      <c r="A38" s="23">
        <v>9</v>
      </c>
      <c r="B38" s="24" t="s">
        <v>606</v>
      </c>
      <c r="C38" s="24">
        <v>1</v>
      </c>
      <c r="D38" s="24" t="s">
        <v>337</v>
      </c>
      <c r="E38"/>
      <c r="F38"/>
      <c r="G38"/>
      <c r="H38"/>
    </row>
    <row r="39" spans="1:8">
      <c r="A39" s="23">
        <v>9</v>
      </c>
      <c r="B39" s="24" t="s">
        <v>606</v>
      </c>
      <c r="C39" s="24">
        <v>2</v>
      </c>
      <c r="D39" s="24" t="s">
        <v>326</v>
      </c>
      <c r="E39"/>
      <c r="F39"/>
      <c r="G39"/>
      <c r="H39"/>
    </row>
    <row r="40" spans="1:8">
      <c r="A40" s="22">
        <v>10</v>
      </c>
      <c r="B40" s="21" t="s">
        <v>604</v>
      </c>
      <c r="C40" s="21">
        <v>1</v>
      </c>
      <c r="D40" s="21" t="s">
        <v>38</v>
      </c>
      <c r="E40"/>
      <c r="F40"/>
      <c r="G40"/>
      <c r="H40"/>
    </row>
    <row r="41" spans="1:8">
      <c r="A41" s="22">
        <v>10</v>
      </c>
      <c r="B41" s="21" t="s">
        <v>604</v>
      </c>
      <c r="C41" s="21">
        <v>2</v>
      </c>
      <c r="D41" s="21" t="s">
        <v>329</v>
      </c>
      <c r="E41"/>
      <c r="F41"/>
      <c r="G41"/>
      <c r="H41"/>
    </row>
    <row r="42" spans="1:8">
      <c r="A42" s="22">
        <v>10</v>
      </c>
      <c r="B42" s="21" t="s">
        <v>605</v>
      </c>
      <c r="C42" s="21">
        <v>1</v>
      </c>
      <c r="D42" s="21" t="s">
        <v>44</v>
      </c>
      <c r="E42"/>
      <c r="F42"/>
      <c r="G42"/>
      <c r="H42"/>
    </row>
    <row r="43" spans="1:8">
      <c r="A43" s="22">
        <v>10</v>
      </c>
      <c r="B43" s="21" t="s">
        <v>606</v>
      </c>
      <c r="C43" s="21">
        <v>1</v>
      </c>
      <c r="D43" s="21" t="s">
        <v>325</v>
      </c>
      <c r="E43"/>
      <c r="F43"/>
      <c r="G43"/>
      <c r="H43"/>
    </row>
    <row r="44" spans="1:8">
      <c r="A44" s="23">
        <v>11</v>
      </c>
      <c r="B44" s="24" t="s">
        <v>604</v>
      </c>
      <c r="C44" s="24">
        <v>1</v>
      </c>
      <c r="D44" s="24" t="s">
        <v>21</v>
      </c>
      <c r="E44"/>
      <c r="F44"/>
      <c r="G44"/>
      <c r="H44"/>
    </row>
    <row r="45" spans="1:8">
      <c r="A45" s="23">
        <v>11</v>
      </c>
      <c r="B45" s="24" t="s">
        <v>604</v>
      </c>
      <c r="C45" s="24">
        <v>2</v>
      </c>
      <c r="D45" s="24" t="s">
        <v>39</v>
      </c>
      <c r="E45"/>
      <c r="F45"/>
      <c r="G45"/>
      <c r="H45"/>
    </row>
    <row r="46" spans="1:8">
      <c r="A46" s="23">
        <v>11</v>
      </c>
      <c r="B46" s="24" t="s">
        <v>605</v>
      </c>
      <c r="C46" s="24">
        <v>1</v>
      </c>
      <c r="D46" s="24" t="s">
        <v>328</v>
      </c>
      <c r="E46"/>
      <c r="F46"/>
      <c r="G46"/>
      <c r="H46"/>
    </row>
    <row r="47" spans="1:8">
      <c r="A47" s="23">
        <v>11</v>
      </c>
      <c r="B47" s="24" t="s">
        <v>606</v>
      </c>
      <c r="C47" s="24">
        <v>1</v>
      </c>
      <c r="D47" s="24" t="s">
        <v>45</v>
      </c>
      <c r="E47"/>
      <c r="F47"/>
      <c r="G47"/>
      <c r="H47"/>
    </row>
    <row r="48" spans="1:8">
      <c r="A48" s="22">
        <v>12</v>
      </c>
      <c r="B48" s="21" t="s">
        <v>604</v>
      </c>
      <c r="C48" s="21">
        <v>1</v>
      </c>
      <c r="D48" s="21" t="s">
        <v>341</v>
      </c>
      <c r="E48"/>
      <c r="F48"/>
      <c r="G48"/>
      <c r="H48"/>
    </row>
    <row r="49" spans="1:8">
      <c r="A49" s="22">
        <v>12</v>
      </c>
      <c r="B49" s="21" t="s">
        <v>604</v>
      </c>
      <c r="C49" s="21">
        <v>2</v>
      </c>
      <c r="D49" s="21" t="s">
        <v>24</v>
      </c>
      <c r="E49"/>
      <c r="F49"/>
      <c r="G49"/>
      <c r="H49"/>
    </row>
    <row r="50" spans="1:8">
      <c r="A50" s="22">
        <v>12</v>
      </c>
      <c r="B50" s="21" t="s">
        <v>605</v>
      </c>
      <c r="C50" s="21">
        <v>1</v>
      </c>
      <c r="D50" s="21" t="s">
        <v>25</v>
      </c>
      <c r="E50"/>
      <c r="F50"/>
      <c r="G50"/>
      <c r="H50"/>
    </row>
    <row r="51" spans="1:8">
      <c r="A51" s="22">
        <v>12</v>
      </c>
      <c r="B51" s="21" t="s">
        <v>606</v>
      </c>
      <c r="C51" s="21">
        <v>1</v>
      </c>
      <c r="D51" s="21" t="s">
        <v>330</v>
      </c>
      <c r="E51"/>
      <c r="F51"/>
      <c r="G51"/>
      <c r="H51"/>
    </row>
    <row r="52" spans="1:8">
      <c r="A52" s="23">
        <v>13</v>
      </c>
      <c r="B52" s="24" t="s">
        <v>604</v>
      </c>
      <c r="C52" s="24">
        <v>1</v>
      </c>
      <c r="D52" s="24" t="s">
        <v>27</v>
      </c>
      <c r="E52"/>
      <c r="F52"/>
      <c r="G52"/>
      <c r="H52"/>
    </row>
    <row r="53" spans="1:8">
      <c r="A53" s="23">
        <v>13</v>
      </c>
      <c r="B53" s="24" t="s">
        <v>605</v>
      </c>
      <c r="C53" s="24">
        <v>1</v>
      </c>
      <c r="D53" s="24" t="s">
        <v>331</v>
      </c>
      <c r="E53"/>
      <c r="F53"/>
      <c r="G53"/>
      <c r="H53"/>
    </row>
    <row r="54" spans="1:8">
      <c r="A54" s="23">
        <v>13</v>
      </c>
      <c r="B54" s="24" t="s">
        <v>605</v>
      </c>
      <c r="C54" s="24">
        <v>2</v>
      </c>
      <c r="D54" s="24" t="s">
        <v>342</v>
      </c>
      <c r="E54"/>
      <c r="F54"/>
      <c r="G54"/>
      <c r="H54"/>
    </row>
    <row r="55" spans="1:8">
      <c r="A55" s="23">
        <v>13</v>
      </c>
      <c r="B55" s="24" t="s">
        <v>606</v>
      </c>
      <c r="C55" s="24">
        <v>1</v>
      </c>
      <c r="D55" s="24" t="s">
        <v>338</v>
      </c>
      <c r="E55"/>
      <c r="F55"/>
      <c r="G55"/>
      <c r="H55"/>
    </row>
    <row r="56" spans="1:8">
      <c r="A56" s="22">
        <v>14</v>
      </c>
      <c r="B56" s="21" t="s">
        <v>604</v>
      </c>
      <c r="C56" s="21">
        <v>1</v>
      </c>
      <c r="D56" s="21" t="s">
        <v>332</v>
      </c>
      <c r="E56"/>
      <c r="F56"/>
      <c r="G56"/>
      <c r="H56"/>
    </row>
    <row r="57" spans="1:8">
      <c r="A57" s="22">
        <v>14</v>
      </c>
      <c r="B57" s="21" t="s">
        <v>605</v>
      </c>
      <c r="C57" s="21">
        <v>1</v>
      </c>
      <c r="D57" s="21" t="s">
        <v>339</v>
      </c>
      <c r="E57"/>
      <c r="F57"/>
      <c r="G57"/>
      <c r="H57"/>
    </row>
    <row r="58" spans="1:8">
      <c r="A58" s="22">
        <v>14</v>
      </c>
      <c r="B58" s="21" t="s">
        <v>606</v>
      </c>
      <c r="C58" s="21">
        <v>1</v>
      </c>
      <c r="D58" s="21" t="s">
        <v>343</v>
      </c>
      <c r="E58"/>
      <c r="F58"/>
      <c r="G58"/>
      <c r="H58"/>
    </row>
    <row r="59" spans="1:8">
      <c r="A59" s="22">
        <v>14</v>
      </c>
      <c r="B59" s="21" t="s">
        <v>606</v>
      </c>
      <c r="C59" s="21">
        <v>2</v>
      </c>
      <c r="D59" s="21" t="s">
        <v>333</v>
      </c>
      <c r="E59"/>
      <c r="F59"/>
      <c r="G59"/>
      <c r="H59"/>
    </row>
    <row r="60" spans="1:8">
      <c r="A60" s="23">
        <v>15</v>
      </c>
      <c r="B60" s="24" t="s">
        <v>604</v>
      </c>
      <c r="C60" s="24">
        <v>1</v>
      </c>
      <c r="D60" s="24" t="s">
        <v>36</v>
      </c>
      <c r="E60"/>
      <c r="F60"/>
      <c r="G60"/>
      <c r="H60"/>
    </row>
    <row r="61" spans="1:8">
      <c r="A61" s="23">
        <v>15</v>
      </c>
      <c r="B61" s="24" t="s">
        <v>605</v>
      </c>
      <c r="C61" s="24">
        <v>1</v>
      </c>
      <c r="D61" s="24" t="s">
        <v>31</v>
      </c>
      <c r="E61"/>
      <c r="F61"/>
      <c r="G61"/>
      <c r="H61"/>
    </row>
    <row r="62" spans="1:8">
      <c r="A62" s="23">
        <v>15</v>
      </c>
      <c r="B62" s="24" t="s">
        <v>605</v>
      </c>
      <c r="C62" s="24">
        <v>2</v>
      </c>
      <c r="D62" s="24" t="s">
        <v>30</v>
      </c>
      <c r="E62"/>
      <c r="F62"/>
      <c r="G62"/>
      <c r="H62"/>
    </row>
    <row r="63" spans="1:8">
      <c r="A63" s="23">
        <v>15</v>
      </c>
      <c r="B63" s="24" t="s">
        <v>606</v>
      </c>
      <c r="C63" s="24">
        <v>1</v>
      </c>
      <c r="D63" s="24" t="s">
        <v>42</v>
      </c>
      <c r="E63"/>
      <c r="F63"/>
      <c r="G63"/>
      <c r="H63"/>
    </row>
    <row r="64" spans="1:8">
      <c r="A64" s="22">
        <v>16</v>
      </c>
      <c r="B64" s="21" t="s">
        <v>604</v>
      </c>
      <c r="C64" s="21">
        <v>1</v>
      </c>
      <c r="D64" s="21" t="s">
        <v>18</v>
      </c>
      <c r="E64"/>
      <c r="F64"/>
      <c r="G64"/>
      <c r="H64"/>
    </row>
    <row r="65" spans="1:8">
      <c r="A65" s="22">
        <v>16</v>
      </c>
      <c r="B65" s="21" t="s">
        <v>605</v>
      </c>
      <c r="C65" s="21">
        <v>1</v>
      </c>
      <c r="D65" s="21" t="s">
        <v>37</v>
      </c>
      <c r="E65"/>
      <c r="F65"/>
      <c r="G65"/>
      <c r="H65"/>
    </row>
    <row r="66" spans="1:8">
      <c r="A66" s="22">
        <v>16</v>
      </c>
      <c r="B66" s="21" t="s">
        <v>605</v>
      </c>
      <c r="C66" s="21">
        <v>2</v>
      </c>
      <c r="D66" s="21" t="s">
        <v>233</v>
      </c>
      <c r="E66"/>
      <c r="F66"/>
      <c r="G66"/>
      <c r="H66"/>
    </row>
    <row r="67" spans="1:8">
      <c r="A67" s="22">
        <v>16</v>
      </c>
      <c r="B67" s="21" t="s">
        <v>606</v>
      </c>
      <c r="C67" s="21">
        <v>1</v>
      </c>
      <c r="D67" s="21" t="s">
        <v>19</v>
      </c>
      <c r="E67"/>
      <c r="F67"/>
      <c r="G67"/>
      <c r="H67"/>
    </row>
    <row r="68" spans="1:8">
      <c r="A68" s="23">
        <v>17</v>
      </c>
      <c r="B68" s="24" t="s">
        <v>604</v>
      </c>
      <c r="C68" s="24">
        <v>1</v>
      </c>
      <c r="D68" s="24" t="s">
        <v>17</v>
      </c>
      <c r="E68"/>
      <c r="F68"/>
      <c r="G68"/>
      <c r="H68"/>
    </row>
    <row r="69" spans="1:8">
      <c r="A69" s="23">
        <v>17</v>
      </c>
      <c r="B69" s="24" t="s">
        <v>604</v>
      </c>
      <c r="C69" s="24">
        <v>2</v>
      </c>
      <c r="D69" s="24" t="s">
        <v>234</v>
      </c>
      <c r="E69"/>
      <c r="F69"/>
      <c r="G69"/>
      <c r="H69"/>
    </row>
    <row r="70" spans="1:8">
      <c r="A70" s="23">
        <v>17</v>
      </c>
      <c r="B70" s="24" t="s">
        <v>605</v>
      </c>
      <c r="C70" s="24">
        <v>1</v>
      </c>
      <c r="D70" s="24" t="s">
        <v>22</v>
      </c>
      <c r="E70"/>
      <c r="F70"/>
      <c r="G70"/>
      <c r="H70"/>
    </row>
    <row r="71" spans="1:8">
      <c r="A71" s="23">
        <v>17</v>
      </c>
      <c r="B71" s="24" t="s">
        <v>606</v>
      </c>
      <c r="C71" s="24">
        <v>1</v>
      </c>
      <c r="D71" s="24" t="s">
        <v>231</v>
      </c>
      <c r="E71"/>
      <c r="F71"/>
      <c r="G71"/>
      <c r="H71"/>
    </row>
    <row r="72" spans="1:8">
      <c r="A72" s="22">
        <v>18</v>
      </c>
      <c r="B72" s="21" t="s">
        <v>604</v>
      </c>
      <c r="C72" s="21">
        <v>1</v>
      </c>
      <c r="D72" s="21" t="s">
        <v>235</v>
      </c>
      <c r="E72"/>
      <c r="F72"/>
      <c r="G72"/>
      <c r="H72"/>
    </row>
    <row r="73" spans="1:8">
      <c r="A73" s="22">
        <v>18</v>
      </c>
      <c r="B73" s="21" t="s">
        <v>605</v>
      </c>
      <c r="C73" s="21">
        <v>1</v>
      </c>
      <c r="D73" s="21" t="s">
        <v>227</v>
      </c>
      <c r="E73"/>
      <c r="F73"/>
      <c r="G73"/>
      <c r="H73"/>
    </row>
    <row r="74" spans="1:8">
      <c r="A74" s="22">
        <v>18</v>
      </c>
      <c r="B74" s="21" t="s">
        <v>606</v>
      </c>
      <c r="C74" s="21">
        <v>1</v>
      </c>
      <c r="D74" s="21" t="s">
        <v>232</v>
      </c>
      <c r="E74"/>
      <c r="F74"/>
      <c r="G74"/>
      <c r="H74"/>
    </row>
    <row r="75" spans="1:8">
      <c r="A75" s="22">
        <v>18</v>
      </c>
      <c r="B75" s="21" t="s">
        <v>606</v>
      </c>
      <c r="C75" s="21">
        <v>2</v>
      </c>
      <c r="D75" s="21" t="s">
        <v>20</v>
      </c>
      <c r="E75"/>
      <c r="F75"/>
      <c r="G75"/>
      <c r="H75"/>
    </row>
    <row r="76" spans="1:8">
      <c r="A76" s="23">
        <v>19</v>
      </c>
      <c r="B76" s="24" t="s">
        <v>604</v>
      </c>
      <c r="C76" s="24">
        <v>1</v>
      </c>
      <c r="D76" s="24" t="s">
        <v>228</v>
      </c>
      <c r="E76"/>
      <c r="F76"/>
      <c r="G76"/>
      <c r="H76"/>
    </row>
    <row r="77" spans="1:8">
      <c r="A77" s="23">
        <v>19</v>
      </c>
      <c r="B77" s="24" t="s">
        <v>604</v>
      </c>
      <c r="C77" s="24">
        <v>2</v>
      </c>
      <c r="D77" s="24" t="s">
        <v>23</v>
      </c>
      <c r="E77"/>
      <c r="F77"/>
      <c r="G77"/>
      <c r="H77"/>
    </row>
    <row r="78" spans="1:8">
      <c r="A78" s="23">
        <v>19</v>
      </c>
      <c r="B78" s="24" t="s">
        <v>605</v>
      </c>
      <c r="C78" s="24">
        <v>1</v>
      </c>
      <c r="D78" s="24" t="s">
        <v>46</v>
      </c>
      <c r="E78"/>
      <c r="F78"/>
      <c r="G78"/>
      <c r="H78"/>
    </row>
    <row r="79" spans="1:8">
      <c r="A79" s="23">
        <v>19</v>
      </c>
      <c r="B79" s="24" t="s">
        <v>606</v>
      </c>
      <c r="C79" s="24">
        <v>1</v>
      </c>
      <c r="D79" s="24" t="s">
        <v>229</v>
      </c>
      <c r="E79"/>
      <c r="F79"/>
      <c r="G79"/>
      <c r="H79"/>
    </row>
    <row r="80" spans="1:8">
      <c r="A80" s="22">
        <v>20</v>
      </c>
      <c r="B80" s="21" t="s">
        <v>604</v>
      </c>
      <c r="C80" s="21">
        <v>1</v>
      </c>
      <c r="D80" s="21" t="s">
        <v>40</v>
      </c>
      <c r="E80"/>
      <c r="F80"/>
      <c r="G80"/>
      <c r="H80"/>
    </row>
    <row r="81" spans="1:8">
      <c r="A81" s="22">
        <v>20</v>
      </c>
      <c r="B81" s="21" t="s">
        <v>605</v>
      </c>
      <c r="C81" s="21">
        <v>1</v>
      </c>
      <c r="D81" s="21" t="s">
        <v>230</v>
      </c>
      <c r="E81"/>
      <c r="F81"/>
      <c r="G81"/>
      <c r="H81"/>
    </row>
    <row r="82" spans="1:8">
      <c r="A82" s="22">
        <v>20</v>
      </c>
      <c r="B82" s="21" t="s">
        <v>606</v>
      </c>
      <c r="C82" s="21">
        <v>1</v>
      </c>
      <c r="D82" s="21" t="s">
        <v>26</v>
      </c>
      <c r="E82"/>
      <c r="F82"/>
      <c r="G82"/>
      <c r="H82"/>
    </row>
    <row r="83" spans="1:8">
      <c r="A83" s="22">
        <v>20</v>
      </c>
      <c r="B83" s="21" t="s">
        <v>606</v>
      </c>
      <c r="C83" s="21">
        <v>2</v>
      </c>
      <c r="D83" s="21" t="s">
        <v>47</v>
      </c>
      <c r="E83"/>
      <c r="F83"/>
      <c r="G83"/>
      <c r="H83"/>
    </row>
    <row r="84" spans="1:8">
      <c r="A84" s="23">
        <v>21</v>
      </c>
      <c r="B84" s="24" t="s">
        <v>604</v>
      </c>
      <c r="C84" s="24">
        <v>1</v>
      </c>
      <c r="D84" s="24" t="s">
        <v>29</v>
      </c>
      <c r="E84"/>
      <c r="F84"/>
      <c r="G84"/>
      <c r="H84"/>
    </row>
    <row r="85" spans="1:8">
      <c r="A85" s="23">
        <v>21</v>
      </c>
      <c r="B85" s="24" t="s">
        <v>604</v>
      </c>
      <c r="C85" s="24">
        <v>2</v>
      </c>
      <c r="D85" s="24" t="s">
        <v>48</v>
      </c>
      <c r="E85"/>
      <c r="F85"/>
      <c r="G85"/>
      <c r="H85"/>
    </row>
    <row r="86" spans="1:8">
      <c r="A86" s="23">
        <v>21</v>
      </c>
      <c r="B86" s="24" t="s">
        <v>605</v>
      </c>
      <c r="C86" s="24">
        <v>1</v>
      </c>
      <c r="D86" s="24" t="s">
        <v>28</v>
      </c>
      <c r="E86"/>
      <c r="F86"/>
      <c r="G86"/>
      <c r="H86"/>
    </row>
    <row r="87" spans="1:8">
      <c r="A87" s="23">
        <v>21</v>
      </c>
      <c r="B87" s="24" t="s">
        <v>606</v>
      </c>
      <c r="C87" s="24">
        <v>1</v>
      </c>
      <c r="D87" s="24" t="s">
        <v>41</v>
      </c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 ht="15.5">
      <c r="A90"/>
      <c r="B90" s="41" t="s">
        <v>650</v>
      </c>
      <c r="C90" s="41"/>
      <c r="D90" s="41"/>
      <c r="E90" s="41"/>
      <c r="F90" s="41"/>
      <c r="G90" s="41"/>
      <c r="H90"/>
    </row>
    <row r="91" spans="1:8">
      <c r="A91"/>
      <c r="B91" s="42" t="s">
        <v>608</v>
      </c>
      <c r="C91" s="43" t="s">
        <v>651</v>
      </c>
      <c r="D91" s="43"/>
      <c r="E91" s="43"/>
      <c r="F91" s="43" t="s">
        <v>610</v>
      </c>
      <c r="G91" s="43"/>
      <c r="H91"/>
    </row>
    <row r="92" spans="1:8">
      <c r="A92"/>
      <c r="B92" s="44">
        <v>1</v>
      </c>
      <c r="C92" s="45" t="s">
        <v>652</v>
      </c>
      <c r="D92" s="45"/>
      <c r="E92" s="45"/>
      <c r="F92" s="45" t="s">
        <v>611</v>
      </c>
      <c r="G92" s="45"/>
      <c r="H92"/>
    </row>
    <row r="93" spans="1:8">
      <c r="A93"/>
      <c r="B93" s="44">
        <v>2</v>
      </c>
      <c r="C93" s="45" t="s">
        <v>653</v>
      </c>
      <c r="D93" s="45"/>
      <c r="E93" s="45"/>
      <c r="F93" s="45" t="s">
        <v>611</v>
      </c>
      <c r="G93" s="45"/>
      <c r="H93"/>
    </row>
    <row r="94" spans="1:8">
      <c r="A94"/>
      <c r="B94" s="44">
        <v>3</v>
      </c>
      <c r="C94" s="45" t="s">
        <v>654</v>
      </c>
      <c r="D94" s="45"/>
      <c r="E94" s="45"/>
      <c r="F94" s="45" t="s">
        <v>613</v>
      </c>
      <c r="G94" s="45"/>
      <c r="H94"/>
    </row>
    <row r="95" spans="1:8">
      <c r="A95"/>
      <c r="B95" s="44">
        <v>4</v>
      </c>
      <c r="C95" s="45" t="s">
        <v>655</v>
      </c>
      <c r="D95" s="45"/>
      <c r="E95" s="45"/>
      <c r="F95" s="45" t="s">
        <v>613</v>
      </c>
      <c r="G95" s="45"/>
      <c r="H95"/>
    </row>
    <row r="96" spans="1:8">
      <c r="A96"/>
      <c r="B96" s="44">
        <v>5</v>
      </c>
      <c r="C96" s="45" t="s">
        <v>656</v>
      </c>
      <c r="D96" s="45"/>
      <c r="E96" s="45"/>
      <c r="F96" s="45" t="s">
        <v>615</v>
      </c>
      <c r="G96" s="45"/>
      <c r="H96"/>
    </row>
    <row r="97" spans="1:8">
      <c r="A97"/>
      <c r="B97" s="44">
        <v>6</v>
      </c>
      <c r="C97" s="45" t="s">
        <v>657</v>
      </c>
      <c r="D97" s="45"/>
      <c r="E97" s="45"/>
      <c r="F97" s="45" t="s">
        <v>615</v>
      </c>
      <c r="G97" s="45"/>
      <c r="H97"/>
    </row>
    <row r="98" spans="1:8">
      <c r="A98"/>
      <c r="B98" s="44">
        <v>7</v>
      </c>
      <c r="C98" s="45" t="s">
        <v>658</v>
      </c>
      <c r="D98" s="45"/>
      <c r="E98" s="45"/>
      <c r="F98" s="45" t="s">
        <v>615</v>
      </c>
      <c r="G98" s="45"/>
      <c r="H98"/>
    </row>
    <row r="99" spans="1:8">
      <c r="A99"/>
      <c r="B99" s="44">
        <v>8</v>
      </c>
      <c r="C99" s="45" t="s">
        <v>659</v>
      </c>
      <c r="D99" s="45"/>
      <c r="E99" s="45"/>
      <c r="F99" s="45" t="s">
        <v>615</v>
      </c>
      <c r="G99" s="45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 ht="15.5">
      <c r="A102"/>
      <c r="B102" s="41" t="s">
        <v>660</v>
      </c>
      <c r="C102" s="41"/>
      <c r="D102" s="41"/>
      <c r="E102" s="41"/>
      <c r="F102" s="41"/>
      <c r="G102" s="41"/>
      <c r="H102"/>
    </row>
    <row r="103" spans="1:8">
      <c r="A103"/>
      <c r="B103" s="42" t="s">
        <v>608</v>
      </c>
      <c r="C103" s="43" t="s">
        <v>651</v>
      </c>
      <c r="D103" s="43"/>
      <c r="E103" s="43"/>
      <c r="F103" s="43" t="s">
        <v>610</v>
      </c>
      <c r="G103" s="43"/>
      <c r="H103"/>
    </row>
    <row r="104" spans="1:8">
      <c r="A104"/>
      <c r="B104" s="44">
        <v>1</v>
      </c>
      <c r="C104" s="45" t="s">
        <v>661</v>
      </c>
      <c r="D104" s="45"/>
      <c r="E104" s="45"/>
      <c r="F104" s="45" t="s">
        <v>611</v>
      </c>
      <c r="G104" s="45"/>
      <c r="H104"/>
    </row>
    <row r="105" spans="1:8">
      <c r="A105"/>
      <c r="B105" s="44">
        <v>2</v>
      </c>
      <c r="C105" s="45" t="s">
        <v>662</v>
      </c>
      <c r="D105" s="45"/>
      <c r="E105" s="45"/>
      <c r="F105" s="45" t="s">
        <v>611</v>
      </c>
      <c r="G105" s="45"/>
      <c r="H105"/>
    </row>
    <row r="106" spans="1:8">
      <c r="A106"/>
      <c r="B106" s="44">
        <v>3</v>
      </c>
      <c r="C106" s="45" t="s">
        <v>663</v>
      </c>
      <c r="D106" s="45"/>
      <c r="E106" s="45"/>
      <c r="F106" s="45" t="s">
        <v>611</v>
      </c>
      <c r="G106" s="45"/>
      <c r="H106"/>
    </row>
    <row r="107" spans="1:8">
      <c r="A107"/>
      <c r="B107" s="44">
        <v>4</v>
      </c>
      <c r="C107" s="45" t="s">
        <v>664</v>
      </c>
      <c r="D107" s="45"/>
      <c r="E107" s="45"/>
      <c r="F107" s="45" t="s">
        <v>611</v>
      </c>
      <c r="G107" s="45"/>
      <c r="H107"/>
    </row>
    <row r="108" spans="1:8">
      <c r="A108"/>
      <c r="B108" s="44">
        <v>5</v>
      </c>
      <c r="C108" s="45" t="s">
        <v>665</v>
      </c>
      <c r="D108" s="45"/>
      <c r="E108" s="45"/>
      <c r="F108" s="45" t="s">
        <v>611</v>
      </c>
      <c r="G108" s="45"/>
      <c r="H108"/>
    </row>
    <row r="109" spans="1:8">
      <c r="A109"/>
      <c r="B109" s="44">
        <v>6</v>
      </c>
      <c r="C109" s="45" t="s">
        <v>666</v>
      </c>
      <c r="D109" s="45"/>
      <c r="E109" s="45"/>
      <c r="F109" s="45" t="s">
        <v>613</v>
      </c>
      <c r="G109" s="45"/>
      <c r="H109"/>
    </row>
    <row r="110" spans="1:8">
      <c r="A110"/>
      <c r="B110" s="44">
        <v>7</v>
      </c>
      <c r="C110" s="45" t="s">
        <v>667</v>
      </c>
      <c r="D110" s="45"/>
      <c r="E110" s="45"/>
      <c r="F110" s="45" t="s">
        <v>613</v>
      </c>
      <c r="G110" s="45"/>
      <c r="H110"/>
    </row>
    <row r="111" spans="1:8">
      <c r="A111"/>
      <c r="B111" s="44">
        <v>8</v>
      </c>
      <c r="C111" s="45" t="s">
        <v>668</v>
      </c>
      <c r="D111" s="45"/>
      <c r="E111" s="45"/>
      <c r="F111" s="45" t="s">
        <v>613</v>
      </c>
      <c r="G111" s="45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 ht="15.5">
      <c r="A114"/>
      <c r="B114" s="41" t="s">
        <v>669</v>
      </c>
      <c r="C114" s="41"/>
      <c r="D114" s="41"/>
      <c r="E114" s="41"/>
      <c r="F114" s="41"/>
      <c r="G114" s="41"/>
      <c r="H114"/>
    </row>
    <row r="115" spans="1:8">
      <c r="A115"/>
      <c r="B115" s="42" t="s">
        <v>608</v>
      </c>
      <c r="C115" s="43" t="s">
        <v>651</v>
      </c>
      <c r="D115" s="43"/>
      <c r="E115" s="43"/>
      <c r="F115" s="43" t="s">
        <v>610</v>
      </c>
      <c r="G115" s="43"/>
      <c r="H115"/>
    </row>
    <row r="116" spans="1:8">
      <c r="A116"/>
      <c r="B116" s="44">
        <v>1</v>
      </c>
      <c r="C116" s="45" t="s">
        <v>670</v>
      </c>
      <c r="D116" s="45"/>
      <c r="E116" s="45"/>
      <c r="F116" s="45" t="s">
        <v>613</v>
      </c>
      <c r="G116" s="45"/>
      <c r="H116"/>
    </row>
    <row r="117" spans="1:8">
      <c r="A117"/>
      <c r="B117" s="44">
        <v>2</v>
      </c>
      <c r="C117" s="45" t="s">
        <v>671</v>
      </c>
      <c r="D117" s="45"/>
      <c r="E117" s="45"/>
      <c r="F117" s="45" t="s">
        <v>615</v>
      </c>
      <c r="G117" s="45"/>
      <c r="H117"/>
    </row>
    <row r="118" spans="1:8">
      <c r="A118"/>
      <c r="B118" s="44">
        <v>3</v>
      </c>
      <c r="C118" s="45" t="s">
        <v>672</v>
      </c>
      <c r="D118" s="45"/>
      <c r="E118" s="45"/>
      <c r="F118" s="45" t="s">
        <v>615</v>
      </c>
      <c r="G118" s="45"/>
      <c r="H118"/>
    </row>
    <row r="119" spans="1:8">
      <c r="A119"/>
      <c r="B119" s="44">
        <v>4</v>
      </c>
      <c r="C119" s="45" t="s">
        <v>673</v>
      </c>
      <c r="D119" s="45"/>
      <c r="E119" s="45"/>
      <c r="F119" s="45" t="s">
        <v>615</v>
      </c>
      <c r="G119" s="45"/>
      <c r="H119"/>
    </row>
    <row r="120" spans="1:8">
      <c r="A120"/>
      <c r="B120" s="44">
        <v>5</v>
      </c>
      <c r="C120" s="45" t="s">
        <v>674</v>
      </c>
      <c r="D120" s="45"/>
      <c r="E120" s="45"/>
      <c r="F120" s="45" t="s">
        <v>615</v>
      </c>
      <c r="G120" s="45"/>
      <c r="H120"/>
    </row>
    <row r="121" spans="1:8">
      <c r="A121"/>
      <c r="B121" s="44">
        <v>6</v>
      </c>
      <c r="C121" s="45" t="s">
        <v>675</v>
      </c>
      <c r="D121" s="45"/>
      <c r="E121" s="45"/>
      <c r="F121" s="45" t="s">
        <v>615</v>
      </c>
      <c r="G121" s="45"/>
      <c r="H121"/>
    </row>
    <row r="122" spans="1:8">
      <c r="A122"/>
      <c r="B122" s="44">
        <v>7</v>
      </c>
      <c r="C122" s="45" t="s">
        <v>676</v>
      </c>
      <c r="D122" s="45"/>
      <c r="E122" s="45"/>
      <c r="F122" s="45" t="s">
        <v>615</v>
      </c>
      <c r="G122" s="45"/>
      <c r="H122"/>
    </row>
    <row r="123" spans="1:8">
      <c r="A123"/>
      <c r="B123" s="44">
        <v>8</v>
      </c>
      <c r="C123" s="45" t="s">
        <v>677</v>
      </c>
      <c r="D123" s="45"/>
      <c r="E123" s="45"/>
      <c r="F123" s="45" t="s">
        <v>615</v>
      </c>
      <c r="G123" s="45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 ht="15.5">
      <c r="A126"/>
      <c r="B126" s="41" t="s">
        <v>678</v>
      </c>
      <c r="C126" s="41"/>
      <c r="D126" s="41"/>
      <c r="E126" s="41"/>
      <c r="F126" s="41"/>
      <c r="G126" s="41"/>
      <c r="H126"/>
    </row>
    <row r="127" spans="1:8">
      <c r="A127"/>
      <c r="B127" s="42" t="s">
        <v>608</v>
      </c>
      <c r="C127" s="43" t="s">
        <v>651</v>
      </c>
      <c r="D127" s="43"/>
      <c r="E127" s="43"/>
      <c r="F127" s="43" t="s">
        <v>610</v>
      </c>
      <c r="G127" s="43"/>
      <c r="H127"/>
    </row>
    <row r="128" spans="1:8">
      <c r="A128"/>
      <c r="B128" s="44">
        <v>1</v>
      </c>
      <c r="C128" s="45" t="s">
        <v>679</v>
      </c>
      <c r="D128" s="45"/>
      <c r="E128" s="45"/>
      <c r="F128" s="45" t="s">
        <v>611</v>
      </c>
      <c r="G128" s="45"/>
      <c r="H128"/>
    </row>
    <row r="129" spans="1:8">
      <c r="A129"/>
      <c r="B129" s="44">
        <v>2</v>
      </c>
      <c r="C129" s="45" t="s">
        <v>680</v>
      </c>
      <c r="D129" s="45"/>
      <c r="E129" s="45"/>
      <c r="F129" s="45" t="s">
        <v>611</v>
      </c>
      <c r="G129" s="45"/>
      <c r="H129"/>
    </row>
    <row r="130" spans="1:8">
      <c r="A130"/>
      <c r="B130" s="44">
        <v>3</v>
      </c>
      <c r="C130" s="45" t="s">
        <v>681</v>
      </c>
      <c r="D130" s="45"/>
      <c r="E130" s="45"/>
      <c r="F130" s="45" t="s">
        <v>613</v>
      </c>
      <c r="G130" s="45"/>
      <c r="H130"/>
    </row>
    <row r="131" spans="1:8">
      <c r="A131"/>
      <c r="B131" s="44">
        <v>4</v>
      </c>
      <c r="C131" s="45" t="s">
        <v>682</v>
      </c>
      <c r="D131" s="45"/>
      <c r="E131" s="45"/>
      <c r="F131" s="45" t="s">
        <v>613</v>
      </c>
      <c r="G131" s="45"/>
      <c r="H131"/>
    </row>
    <row r="132" spans="1:8">
      <c r="A132"/>
      <c r="B132" s="44">
        <v>5</v>
      </c>
      <c r="C132" s="45" t="s">
        <v>683</v>
      </c>
      <c r="D132" s="45"/>
      <c r="E132" s="45"/>
      <c r="F132" s="45" t="s">
        <v>613</v>
      </c>
      <c r="G132" s="45"/>
      <c r="H132"/>
    </row>
    <row r="133" spans="1:8">
      <c r="A133"/>
      <c r="B133" s="44">
        <v>6</v>
      </c>
      <c r="C133" s="45" t="s">
        <v>684</v>
      </c>
      <c r="D133" s="45"/>
      <c r="E133" s="45"/>
      <c r="F133" s="45" t="s">
        <v>615</v>
      </c>
      <c r="G133" s="45"/>
      <c r="H133"/>
    </row>
    <row r="134" spans="1:8">
      <c r="A134"/>
      <c r="B134" s="44">
        <v>7</v>
      </c>
      <c r="C134" s="45" t="s">
        <v>685</v>
      </c>
      <c r="D134" s="45"/>
      <c r="E134" s="45"/>
      <c r="F134" s="45" t="s">
        <v>615</v>
      </c>
      <c r="G134" s="45"/>
      <c r="H134"/>
    </row>
    <row r="135" spans="1:8">
      <c r="A135"/>
      <c r="B135" s="44">
        <v>8</v>
      </c>
      <c r="C135" s="45" t="s">
        <v>686</v>
      </c>
      <c r="D135" s="45"/>
      <c r="E135" s="45"/>
      <c r="F135" s="45" t="s">
        <v>615</v>
      </c>
      <c r="G135" s="4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 ht="15.5">
      <c r="A138"/>
      <c r="B138" s="41" t="s">
        <v>687</v>
      </c>
      <c r="C138" s="41"/>
      <c r="D138" s="41"/>
      <c r="E138" s="41"/>
      <c r="F138" s="41"/>
      <c r="G138" s="41"/>
      <c r="H138"/>
    </row>
    <row r="139" spans="1:8">
      <c r="A139"/>
      <c r="B139" s="42" t="s">
        <v>608</v>
      </c>
      <c r="C139" s="43" t="s">
        <v>651</v>
      </c>
      <c r="D139" s="43"/>
      <c r="E139" s="43"/>
      <c r="F139" s="43" t="s">
        <v>610</v>
      </c>
      <c r="G139" s="43"/>
      <c r="H139"/>
    </row>
    <row r="140" spans="1:8">
      <c r="A140"/>
      <c r="B140" s="44">
        <v>1</v>
      </c>
      <c r="C140" s="45" t="s">
        <v>688</v>
      </c>
      <c r="D140" s="45"/>
      <c r="E140" s="45"/>
      <c r="F140" s="45" t="s">
        <v>611</v>
      </c>
      <c r="G140" s="45"/>
      <c r="H140"/>
    </row>
    <row r="141" spans="1:8">
      <c r="A141"/>
      <c r="B141" s="44">
        <v>2</v>
      </c>
      <c r="C141" s="45" t="s">
        <v>689</v>
      </c>
      <c r="D141" s="45"/>
      <c r="E141" s="45"/>
      <c r="F141" s="45" t="s">
        <v>611</v>
      </c>
      <c r="G141" s="45"/>
      <c r="H141"/>
    </row>
    <row r="142" spans="1:8">
      <c r="A142"/>
      <c r="B142" s="44">
        <v>3</v>
      </c>
      <c r="C142" s="45" t="s">
        <v>690</v>
      </c>
      <c r="D142" s="45"/>
      <c r="E142" s="45"/>
      <c r="F142" s="45" t="s">
        <v>611</v>
      </c>
      <c r="G142" s="45"/>
      <c r="H142"/>
    </row>
    <row r="143" spans="1:8">
      <c r="A143"/>
      <c r="B143" s="44">
        <v>4</v>
      </c>
      <c r="C143" s="45" t="s">
        <v>691</v>
      </c>
      <c r="D143" s="45"/>
      <c r="E143" s="45"/>
      <c r="F143" s="45" t="s">
        <v>613</v>
      </c>
      <c r="G143" s="45"/>
      <c r="H143"/>
    </row>
    <row r="144" spans="1:8">
      <c r="A144"/>
      <c r="B144" s="44">
        <v>5</v>
      </c>
      <c r="C144" s="45" t="s">
        <v>692</v>
      </c>
      <c r="D144" s="45"/>
      <c r="E144" s="45"/>
      <c r="F144" s="45" t="s">
        <v>613</v>
      </c>
      <c r="G144" s="45"/>
      <c r="H144"/>
    </row>
    <row r="145" spans="1:8">
      <c r="A145"/>
      <c r="B145" s="44">
        <v>6</v>
      </c>
      <c r="C145" s="45" t="s">
        <v>693</v>
      </c>
      <c r="D145" s="45"/>
      <c r="E145" s="45"/>
      <c r="F145" s="45" t="s">
        <v>613</v>
      </c>
      <c r="G145" s="45"/>
      <c r="H145"/>
    </row>
    <row r="146" spans="1:8">
      <c r="A146"/>
      <c r="B146" s="44">
        <v>7</v>
      </c>
      <c r="C146" s="45" t="s">
        <v>694</v>
      </c>
      <c r="D146" s="45"/>
      <c r="E146" s="45"/>
      <c r="F146" s="45" t="s">
        <v>615</v>
      </c>
      <c r="G146" s="45"/>
      <c r="H146"/>
    </row>
    <row r="147" spans="1:8">
      <c r="A147"/>
      <c r="B147" s="44">
        <v>8</v>
      </c>
      <c r="C147" s="45" t="s">
        <v>695</v>
      </c>
      <c r="D147" s="45"/>
      <c r="E147" s="45"/>
      <c r="F147" s="45" t="s">
        <v>615</v>
      </c>
      <c r="G147" s="45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/>
      <c r="B149"/>
      <c r="C149"/>
      <c r="D149"/>
      <c r="E149"/>
      <c r="F149"/>
      <c r="G149"/>
      <c r="H149"/>
    </row>
    <row r="150" spans="1:8" ht="15.5">
      <c r="A150"/>
      <c r="B150" s="41" t="s">
        <v>696</v>
      </c>
      <c r="C150" s="41"/>
      <c r="D150" s="41"/>
      <c r="E150" s="41"/>
      <c r="F150" s="41"/>
      <c r="G150" s="41"/>
      <c r="H150"/>
    </row>
    <row r="151" spans="1:8">
      <c r="A151"/>
      <c r="B151" s="42" t="s">
        <v>608</v>
      </c>
      <c r="C151" s="43" t="s">
        <v>651</v>
      </c>
      <c r="D151" s="43"/>
      <c r="E151" s="43"/>
      <c r="F151" s="43" t="s">
        <v>610</v>
      </c>
      <c r="G151" s="43"/>
      <c r="H151"/>
    </row>
    <row r="152" spans="1:8">
      <c r="A152"/>
      <c r="B152" s="44">
        <v>1</v>
      </c>
      <c r="C152" s="45" t="s">
        <v>697</v>
      </c>
      <c r="D152" s="45"/>
      <c r="E152" s="45"/>
      <c r="F152" s="45" t="s">
        <v>615</v>
      </c>
      <c r="G152" s="45"/>
      <c r="H152"/>
    </row>
    <row r="153" spans="1:8">
      <c r="A153"/>
      <c r="B153" s="44">
        <v>2</v>
      </c>
      <c r="C153" s="45" t="s">
        <v>698</v>
      </c>
      <c r="D153" s="45"/>
      <c r="E153" s="45"/>
      <c r="F153" s="45" t="s">
        <v>615</v>
      </c>
      <c r="G153" s="45"/>
      <c r="H153"/>
    </row>
    <row r="154" spans="1:8">
      <c r="A154"/>
      <c r="B154" s="44">
        <v>3</v>
      </c>
      <c r="C154" s="45" t="s">
        <v>699</v>
      </c>
      <c r="D154" s="45"/>
      <c r="E154" s="45"/>
      <c r="F154" s="45" t="s">
        <v>615</v>
      </c>
      <c r="G154" s="45"/>
      <c r="H154"/>
    </row>
    <row r="155" spans="1:8">
      <c r="A155"/>
      <c r="B155" s="44">
        <v>4</v>
      </c>
      <c r="C155" s="45" t="s">
        <v>700</v>
      </c>
      <c r="D155" s="45"/>
      <c r="E155" s="45"/>
      <c r="F155" s="45" t="s">
        <v>615</v>
      </c>
      <c r="G155" s="45"/>
      <c r="H155"/>
    </row>
    <row r="156" spans="1:8">
      <c r="A156"/>
      <c r="B156" s="44">
        <v>5</v>
      </c>
      <c r="C156" s="45" t="s">
        <v>701</v>
      </c>
      <c r="D156" s="45"/>
      <c r="E156" s="45"/>
      <c r="F156" s="45" t="s">
        <v>615</v>
      </c>
      <c r="G156" s="45"/>
      <c r="H156"/>
    </row>
    <row r="157" spans="1:8">
      <c r="A157"/>
      <c r="B157" s="44">
        <v>6</v>
      </c>
      <c r="C157" s="45" t="s">
        <v>702</v>
      </c>
      <c r="D157" s="45"/>
      <c r="E157" s="45"/>
      <c r="F157" s="45" t="s">
        <v>615</v>
      </c>
      <c r="G157" s="45"/>
      <c r="H157"/>
    </row>
    <row r="158" spans="1:8">
      <c r="A158"/>
      <c r="B158" s="44">
        <v>7</v>
      </c>
      <c r="C158" s="45" t="s">
        <v>703</v>
      </c>
      <c r="D158" s="45"/>
      <c r="E158" s="45"/>
      <c r="F158" s="45" t="s">
        <v>615</v>
      </c>
      <c r="G158" s="45"/>
      <c r="H158"/>
    </row>
    <row r="159" spans="1:8">
      <c r="A159"/>
      <c r="B159" s="44">
        <v>8</v>
      </c>
      <c r="C159" s="45" t="s">
        <v>704</v>
      </c>
      <c r="D159" s="45"/>
      <c r="E159" s="45"/>
      <c r="F159" s="45" t="s">
        <v>615</v>
      </c>
      <c r="G159" s="45"/>
      <c r="H159"/>
    </row>
    <row r="160" spans="1:8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  <row r="782" s="9" customFormat="1"/>
    <row r="783" s="9" customFormat="1"/>
    <row r="784" s="9" customFormat="1"/>
    <row r="785" s="9" customFormat="1"/>
    <row r="786" s="9" customFormat="1"/>
    <row r="787" s="9" customFormat="1"/>
    <row r="788" s="9" customFormat="1"/>
    <row r="789" s="9" customFormat="1"/>
  </sheetData>
  <mergeCells count="115">
    <mergeCell ref="C157:E157"/>
    <mergeCell ref="F157:G157"/>
    <mergeCell ref="C158:E158"/>
    <mergeCell ref="F158:G158"/>
    <mergeCell ref="C159:E159"/>
    <mergeCell ref="F159:G159"/>
    <mergeCell ref="C154:E154"/>
    <mergeCell ref="F154:G154"/>
    <mergeCell ref="C155:E155"/>
    <mergeCell ref="F155:G155"/>
    <mergeCell ref="C156:E156"/>
    <mergeCell ref="F156:G156"/>
    <mergeCell ref="C151:E151"/>
    <mergeCell ref="F151:G151"/>
    <mergeCell ref="C152:E152"/>
    <mergeCell ref="F152:G152"/>
    <mergeCell ref="C153:E153"/>
    <mergeCell ref="F153:G153"/>
    <mergeCell ref="C146:E146"/>
    <mergeCell ref="F146:G146"/>
    <mergeCell ref="C147:E147"/>
    <mergeCell ref="F147:G147"/>
    <mergeCell ref="B150:G150"/>
    <mergeCell ref="C143:E143"/>
    <mergeCell ref="F143:G143"/>
    <mergeCell ref="C144:E144"/>
    <mergeCell ref="F144:G144"/>
    <mergeCell ref="C145:E145"/>
    <mergeCell ref="F145:G145"/>
    <mergeCell ref="C140:E140"/>
    <mergeCell ref="F140:G140"/>
    <mergeCell ref="C141:E141"/>
    <mergeCell ref="F141:G141"/>
    <mergeCell ref="C142:E142"/>
    <mergeCell ref="F142:G142"/>
    <mergeCell ref="C135:E135"/>
    <mergeCell ref="F135:G135"/>
    <mergeCell ref="B138:G138"/>
    <mergeCell ref="C139:E139"/>
    <mergeCell ref="F139:G139"/>
    <mergeCell ref="C132:E132"/>
    <mergeCell ref="F132:G132"/>
    <mergeCell ref="C133:E133"/>
    <mergeCell ref="F133:G133"/>
    <mergeCell ref="C134:E134"/>
    <mergeCell ref="F134:G134"/>
    <mergeCell ref="C129:E129"/>
    <mergeCell ref="F129:G129"/>
    <mergeCell ref="C130:E130"/>
    <mergeCell ref="F130:G130"/>
    <mergeCell ref="C131:E131"/>
    <mergeCell ref="F131:G131"/>
    <mergeCell ref="B126:G126"/>
    <mergeCell ref="C127:E127"/>
    <mergeCell ref="F127:G127"/>
    <mergeCell ref="C128:E128"/>
    <mergeCell ref="F128:G128"/>
    <mergeCell ref="C121:E121"/>
    <mergeCell ref="F121:G121"/>
    <mergeCell ref="C122:E122"/>
    <mergeCell ref="F122:G122"/>
    <mergeCell ref="C123:E123"/>
    <mergeCell ref="F123:G123"/>
    <mergeCell ref="C118:E118"/>
    <mergeCell ref="F118:G118"/>
    <mergeCell ref="C119:E119"/>
    <mergeCell ref="F119:G119"/>
    <mergeCell ref="C120:E120"/>
    <mergeCell ref="F120:G120"/>
    <mergeCell ref="C115:E115"/>
    <mergeCell ref="F115:G115"/>
    <mergeCell ref="C116:E116"/>
    <mergeCell ref="F116:G116"/>
    <mergeCell ref="C117:E117"/>
    <mergeCell ref="F117:G117"/>
    <mergeCell ref="C110:E110"/>
    <mergeCell ref="F110:G110"/>
    <mergeCell ref="C111:E111"/>
    <mergeCell ref="F111:G111"/>
    <mergeCell ref="B114:G114"/>
    <mergeCell ref="C107:E107"/>
    <mergeCell ref="F107:G107"/>
    <mergeCell ref="C108:E108"/>
    <mergeCell ref="F108:G108"/>
    <mergeCell ref="C109:E109"/>
    <mergeCell ref="F109:G109"/>
    <mergeCell ref="C104:E104"/>
    <mergeCell ref="F104:G104"/>
    <mergeCell ref="C105:E105"/>
    <mergeCell ref="F105:G105"/>
    <mergeCell ref="C106:E106"/>
    <mergeCell ref="F106:G106"/>
    <mergeCell ref="C99:E99"/>
    <mergeCell ref="F99:G99"/>
    <mergeCell ref="B102:G102"/>
    <mergeCell ref="C103:E103"/>
    <mergeCell ref="F103:G103"/>
    <mergeCell ref="C96:E96"/>
    <mergeCell ref="F96:G96"/>
    <mergeCell ref="C97:E97"/>
    <mergeCell ref="F97:G97"/>
    <mergeCell ref="C98:E98"/>
    <mergeCell ref="F98:G98"/>
    <mergeCell ref="C93:E93"/>
    <mergeCell ref="F93:G93"/>
    <mergeCell ref="C94:E94"/>
    <mergeCell ref="F94:G94"/>
    <mergeCell ref="C95:E95"/>
    <mergeCell ref="F95:G95"/>
    <mergeCell ref="A1:D1"/>
    <mergeCell ref="B90:G90"/>
    <mergeCell ref="C91:E91"/>
    <mergeCell ref="F91:G91"/>
    <mergeCell ref="C92:E92"/>
    <mergeCell ref="F92:G9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042D-57DE-46A8-B2A3-7633954A4FDC}">
  <dimension ref="A1:G163"/>
  <sheetViews>
    <sheetView showGridLines="0" rightToLeft="1" topLeftCell="B1" workbookViewId="0">
      <pane ySplit="3" topLeftCell="A150" activePane="bottomLeft" state="frozen"/>
      <selection pane="bottomLeft" activeCell="F98" sqref="C98:G101"/>
    </sheetView>
  </sheetViews>
  <sheetFormatPr defaultRowHeight="14.5"/>
  <cols>
    <col min="1" max="1" width="10" customWidth="1"/>
    <col min="2" max="2" width="20" customWidth="1"/>
    <col min="3" max="3" width="10" customWidth="1"/>
    <col min="4" max="4" width="29.08984375" customWidth="1"/>
    <col min="6" max="7" width="15.453125" customWidth="1"/>
  </cols>
  <sheetData>
    <row r="1" spans="1:4" ht="24" customHeight="1">
      <c r="A1" s="39" t="s">
        <v>536</v>
      </c>
      <c r="B1" s="39"/>
      <c r="C1" s="39"/>
      <c r="D1" s="39"/>
    </row>
    <row r="2" spans="1:4" ht="12" customHeight="1">
      <c r="A2" s="19"/>
      <c r="B2" s="19"/>
      <c r="C2" s="19"/>
      <c r="D2" s="19"/>
    </row>
    <row r="3" spans="1:4" ht="22" customHeight="1">
      <c r="A3" s="20" t="s">
        <v>12</v>
      </c>
      <c r="B3" s="20" t="s">
        <v>13</v>
      </c>
      <c r="C3" s="20" t="s">
        <v>14</v>
      </c>
      <c r="D3" s="20" t="s">
        <v>15</v>
      </c>
    </row>
    <row r="4" spans="1:4">
      <c r="A4" s="23">
        <v>1</v>
      </c>
      <c r="B4" s="24" t="s">
        <v>604</v>
      </c>
      <c r="C4" s="24">
        <v>1</v>
      </c>
      <c r="D4" s="24" t="s">
        <v>48</v>
      </c>
    </row>
    <row r="5" spans="1:4">
      <c r="A5" s="23">
        <v>1</v>
      </c>
      <c r="B5" s="24" t="s">
        <v>604</v>
      </c>
      <c r="C5" s="24">
        <v>2</v>
      </c>
      <c r="D5" s="24" t="s">
        <v>49</v>
      </c>
    </row>
    <row r="6" spans="1:4">
      <c r="A6" s="23">
        <v>1</v>
      </c>
      <c r="B6" s="24" t="s">
        <v>605</v>
      </c>
      <c r="C6" s="24">
        <v>1</v>
      </c>
      <c r="D6" s="24" t="s">
        <v>28</v>
      </c>
    </row>
    <row r="7" spans="1:4">
      <c r="A7" s="23">
        <v>1</v>
      </c>
      <c r="B7" s="24" t="s">
        <v>606</v>
      </c>
      <c r="C7" s="24">
        <v>1</v>
      </c>
      <c r="D7" s="24" t="s">
        <v>41</v>
      </c>
    </row>
    <row r="8" spans="1:4">
      <c r="A8" s="23">
        <v>1</v>
      </c>
      <c r="B8" s="24" t="s">
        <v>606</v>
      </c>
      <c r="C8" s="24">
        <v>2</v>
      </c>
      <c r="D8" s="24" t="s">
        <v>57</v>
      </c>
    </row>
    <row r="9" spans="1:4">
      <c r="A9" s="22">
        <v>2</v>
      </c>
      <c r="B9" s="21" t="s">
        <v>604</v>
      </c>
      <c r="C9" s="21">
        <v>1</v>
      </c>
      <c r="D9" s="21" t="s">
        <v>31</v>
      </c>
    </row>
    <row r="10" spans="1:4">
      <c r="A10" s="22">
        <v>2</v>
      </c>
      <c r="B10" s="21" t="s">
        <v>604</v>
      </c>
      <c r="C10" s="21">
        <v>2</v>
      </c>
      <c r="D10" s="21" t="s">
        <v>240</v>
      </c>
    </row>
    <row r="11" spans="1:4">
      <c r="A11" s="22">
        <v>2</v>
      </c>
      <c r="B11" s="21" t="s">
        <v>605</v>
      </c>
      <c r="C11" s="21">
        <v>1</v>
      </c>
      <c r="D11" s="21" t="s">
        <v>36</v>
      </c>
    </row>
    <row r="12" spans="1:4">
      <c r="A12" s="22">
        <v>2</v>
      </c>
      <c r="B12" s="21" t="s">
        <v>605</v>
      </c>
      <c r="C12" s="21">
        <v>2</v>
      </c>
      <c r="D12" s="21" t="s">
        <v>50</v>
      </c>
    </row>
    <row r="13" spans="1:4">
      <c r="A13" s="22">
        <v>2</v>
      </c>
      <c r="B13" s="21" t="s">
        <v>606</v>
      </c>
      <c r="C13" s="21">
        <v>1</v>
      </c>
      <c r="D13" s="21" t="s">
        <v>30</v>
      </c>
    </row>
    <row r="14" spans="1:4">
      <c r="A14" s="23">
        <v>3</v>
      </c>
      <c r="B14" s="24" t="s">
        <v>604</v>
      </c>
      <c r="C14" s="24">
        <v>1</v>
      </c>
      <c r="D14" s="24" t="s">
        <v>42</v>
      </c>
    </row>
    <row r="15" spans="1:4">
      <c r="A15" s="23">
        <v>3</v>
      </c>
      <c r="B15" s="24" t="s">
        <v>604</v>
      </c>
      <c r="C15" s="24">
        <v>2</v>
      </c>
      <c r="D15" s="24" t="s">
        <v>236</v>
      </c>
    </row>
    <row r="16" spans="1:4">
      <c r="A16" s="23">
        <v>3</v>
      </c>
      <c r="B16" s="24" t="s">
        <v>605</v>
      </c>
      <c r="C16" s="24">
        <v>1</v>
      </c>
      <c r="D16" s="24" t="s">
        <v>243</v>
      </c>
    </row>
    <row r="17" spans="1:4">
      <c r="A17" s="23">
        <v>3</v>
      </c>
      <c r="B17" s="24" t="s">
        <v>606</v>
      </c>
      <c r="C17" s="24">
        <v>1</v>
      </c>
      <c r="D17" s="24" t="s">
        <v>18</v>
      </c>
    </row>
    <row r="18" spans="1:4">
      <c r="A18" s="23">
        <v>3</v>
      </c>
      <c r="B18" s="24" t="s">
        <v>606</v>
      </c>
      <c r="C18" s="24">
        <v>2</v>
      </c>
      <c r="D18" s="24" t="s">
        <v>19</v>
      </c>
    </row>
    <row r="19" spans="1:4">
      <c r="A19" s="22">
        <v>4</v>
      </c>
      <c r="B19" s="21" t="s">
        <v>604</v>
      </c>
      <c r="C19" s="21">
        <v>1</v>
      </c>
      <c r="D19" s="21" t="s">
        <v>244</v>
      </c>
    </row>
    <row r="20" spans="1:4">
      <c r="A20" s="22">
        <v>4</v>
      </c>
      <c r="B20" s="21" t="s">
        <v>605</v>
      </c>
      <c r="C20" s="21">
        <v>1</v>
      </c>
      <c r="D20" s="21" t="s">
        <v>238</v>
      </c>
    </row>
    <row r="21" spans="1:4">
      <c r="A21" s="22">
        <v>4</v>
      </c>
      <c r="B21" s="21" t="s">
        <v>605</v>
      </c>
      <c r="C21" s="21">
        <v>2</v>
      </c>
      <c r="D21" s="21" t="s">
        <v>233</v>
      </c>
    </row>
    <row r="22" spans="1:4">
      <c r="A22" s="22">
        <v>4</v>
      </c>
      <c r="B22" s="21" t="s">
        <v>606</v>
      </c>
      <c r="C22" s="21">
        <v>1</v>
      </c>
      <c r="D22" s="21" t="s">
        <v>37</v>
      </c>
    </row>
    <row r="23" spans="1:4">
      <c r="A23" s="22">
        <v>4</v>
      </c>
      <c r="B23" s="21" t="s">
        <v>606</v>
      </c>
      <c r="C23" s="21">
        <v>2</v>
      </c>
      <c r="D23" s="21" t="s">
        <v>22</v>
      </c>
    </row>
    <row r="24" spans="1:4">
      <c r="A24" s="23">
        <v>5</v>
      </c>
      <c r="B24" s="24" t="s">
        <v>604</v>
      </c>
      <c r="C24" s="24">
        <v>1</v>
      </c>
      <c r="D24" s="24" t="s">
        <v>237</v>
      </c>
    </row>
    <row r="25" spans="1:4">
      <c r="A25" s="23">
        <v>5</v>
      </c>
      <c r="B25" s="24" t="s">
        <v>604</v>
      </c>
      <c r="C25" s="24">
        <v>2</v>
      </c>
      <c r="D25" s="24" t="s">
        <v>231</v>
      </c>
    </row>
    <row r="26" spans="1:4">
      <c r="A26" s="23">
        <v>5</v>
      </c>
      <c r="B26" s="24" t="s">
        <v>605</v>
      </c>
      <c r="C26" s="24">
        <v>1</v>
      </c>
      <c r="D26" s="24" t="s">
        <v>246</v>
      </c>
    </row>
    <row r="27" spans="1:4">
      <c r="A27" s="23">
        <v>5</v>
      </c>
      <c r="B27" s="24" t="s">
        <v>605</v>
      </c>
      <c r="C27" s="24">
        <v>2</v>
      </c>
      <c r="D27" s="24" t="s">
        <v>234</v>
      </c>
    </row>
    <row r="28" spans="1:4">
      <c r="A28" s="23">
        <v>5</v>
      </c>
      <c r="B28" s="24" t="s">
        <v>606</v>
      </c>
      <c r="C28" s="24">
        <v>1</v>
      </c>
      <c r="D28" s="24" t="s">
        <v>17</v>
      </c>
    </row>
    <row r="29" spans="1:4">
      <c r="A29" s="22">
        <v>6</v>
      </c>
      <c r="B29" s="21" t="s">
        <v>604</v>
      </c>
      <c r="C29" s="21">
        <v>1</v>
      </c>
      <c r="D29" s="21" t="s">
        <v>227</v>
      </c>
    </row>
    <row r="30" spans="1:4">
      <c r="A30" s="22">
        <v>6</v>
      </c>
      <c r="B30" s="21" t="s">
        <v>605</v>
      </c>
      <c r="C30" s="21">
        <v>1</v>
      </c>
      <c r="D30" s="21" t="s">
        <v>20</v>
      </c>
    </row>
    <row r="31" spans="1:4">
      <c r="A31" s="22">
        <v>6</v>
      </c>
      <c r="B31" s="21" t="s">
        <v>605</v>
      </c>
      <c r="C31" s="21">
        <v>2</v>
      </c>
      <c r="D31" s="21" t="s">
        <v>232</v>
      </c>
    </row>
    <row r="32" spans="1:4">
      <c r="A32" s="22">
        <v>6</v>
      </c>
      <c r="B32" s="21" t="s">
        <v>606</v>
      </c>
      <c r="C32" s="21">
        <v>1</v>
      </c>
      <c r="D32" s="21" t="s">
        <v>235</v>
      </c>
    </row>
    <row r="33" spans="1:4">
      <c r="A33" s="22">
        <v>6</v>
      </c>
      <c r="B33" s="21" t="s">
        <v>606</v>
      </c>
      <c r="C33" s="21">
        <v>2</v>
      </c>
      <c r="D33" s="21" t="s">
        <v>62</v>
      </c>
    </row>
    <row r="34" spans="1:4">
      <c r="A34" s="23">
        <v>7</v>
      </c>
      <c r="B34" s="24" t="s">
        <v>604</v>
      </c>
      <c r="C34" s="24">
        <v>1</v>
      </c>
      <c r="D34" s="24" t="s">
        <v>229</v>
      </c>
    </row>
    <row r="35" spans="1:4">
      <c r="A35" s="23">
        <v>7</v>
      </c>
      <c r="B35" s="24" t="s">
        <v>605</v>
      </c>
      <c r="C35" s="24">
        <v>1</v>
      </c>
      <c r="D35" s="24" t="s">
        <v>63</v>
      </c>
    </row>
    <row r="36" spans="1:4">
      <c r="A36" s="23">
        <v>7</v>
      </c>
      <c r="B36" s="24" t="s">
        <v>605</v>
      </c>
      <c r="C36" s="24">
        <v>2</v>
      </c>
      <c r="D36" s="24" t="s">
        <v>54</v>
      </c>
    </row>
    <row r="37" spans="1:4">
      <c r="A37" s="23">
        <v>7</v>
      </c>
      <c r="B37" s="24" t="s">
        <v>606</v>
      </c>
      <c r="C37" s="24">
        <v>1</v>
      </c>
      <c r="D37" s="24" t="s">
        <v>23</v>
      </c>
    </row>
    <row r="38" spans="1:4">
      <c r="A38" s="23">
        <v>7</v>
      </c>
      <c r="B38" s="24" t="s">
        <v>606</v>
      </c>
      <c r="C38" s="24">
        <v>2</v>
      </c>
      <c r="D38" s="24" t="s">
        <v>228</v>
      </c>
    </row>
    <row r="39" spans="1:4">
      <c r="A39" s="22">
        <v>8</v>
      </c>
      <c r="B39" s="21" t="s">
        <v>604</v>
      </c>
      <c r="C39" s="21">
        <v>1</v>
      </c>
      <c r="D39" s="21" t="s">
        <v>64</v>
      </c>
    </row>
    <row r="40" spans="1:4">
      <c r="A40" s="22">
        <v>8</v>
      </c>
      <c r="B40" s="21" t="s">
        <v>604</v>
      </c>
      <c r="C40" s="21">
        <v>2</v>
      </c>
      <c r="D40" s="21" t="s">
        <v>46</v>
      </c>
    </row>
    <row r="41" spans="1:4">
      <c r="A41" s="22">
        <v>8</v>
      </c>
      <c r="B41" s="21" t="s">
        <v>605</v>
      </c>
      <c r="C41" s="21">
        <v>1</v>
      </c>
      <c r="D41" s="21" t="s">
        <v>230</v>
      </c>
    </row>
    <row r="42" spans="1:4">
      <c r="A42" s="22">
        <v>8</v>
      </c>
      <c r="B42" s="21" t="s">
        <v>605</v>
      </c>
      <c r="C42" s="21">
        <v>2</v>
      </c>
      <c r="D42" s="21" t="s">
        <v>26</v>
      </c>
    </row>
    <row r="43" spans="1:4">
      <c r="A43" s="22">
        <v>8</v>
      </c>
      <c r="B43" s="21" t="s">
        <v>606</v>
      </c>
      <c r="C43" s="21">
        <v>1</v>
      </c>
      <c r="D43" s="21" t="s">
        <v>55</v>
      </c>
    </row>
    <row r="44" spans="1:4">
      <c r="A44" s="23">
        <v>9</v>
      </c>
      <c r="B44" s="24" t="s">
        <v>604</v>
      </c>
      <c r="C44" s="24">
        <v>1</v>
      </c>
      <c r="D44" s="24" t="s">
        <v>65</v>
      </c>
    </row>
    <row r="45" spans="1:4">
      <c r="A45" s="23">
        <v>9</v>
      </c>
      <c r="B45" s="24" t="s">
        <v>604</v>
      </c>
      <c r="C45" s="24">
        <v>2</v>
      </c>
      <c r="D45" s="24" t="s">
        <v>29</v>
      </c>
    </row>
    <row r="46" spans="1:4">
      <c r="A46" s="23">
        <v>9</v>
      </c>
      <c r="B46" s="24" t="s">
        <v>605</v>
      </c>
      <c r="C46" s="24">
        <v>1</v>
      </c>
      <c r="D46" s="24" t="s">
        <v>40</v>
      </c>
    </row>
    <row r="47" spans="1:4">
      <c r="A47" s="23">
        <v>9</v>
      </c>
      <c r="B47" s="24" t="s">
        <v>606</v>
      </c>
      <c r="C47" s="24">
        <v>1</v>
      </c>
      <c r="D47" s="24" t="s">
        <v>56</v>
      </c>
    </row>
    <row r="48" spans="1:4">
      <c r="A48" s="23">
        <v>9</v>
      </c>
      <c r="B48" s="24" t="s">
        <v>606</v>
      </c>
      <c r="C48" s="24">
        <v>2</v>
      </c>
      <c r="D48" s="24" t="s">
        <v>47</v>
      </c>
    </row>
    <row r="49" spans="1:4">
      <c r="A49" s="22">
        <v>10</v>
      </c>
      <c r="B49" s="21" t="s">
        <v>604</v>
      </c>
      <c r="C49" s="21">
        <v>1</v>
      </c>
      <c r="D49" s="21" t="s">
        <v>339</v>
      </c>
    </row>
    <row r="50" spans="1:4">
      <c r="A50" s="22">
        <v>10</v>
      </c>
      <c r="B50" s="21" t="s">
        <v>604</v>
      </c>
      <c r="C50" s="21">
        <v>2</v>
      </c>
      <c r="D50" s="21" t="s">
        <v>344</v>
      </c>
    </row>
    <row r="51" spans="1:4">
      <c r="A51" s="22">
        <v>10</v>
      </c>
      <c r="B51" s="21" t="s">
        <v>605</v>
      </c>
      <c r="C51" s="21">
        <v>1</v>
      </c>
      <c r="D51" s="21" t="s">
        <v>343</v>
      </c>
    </row>
    <row r="52" spans="1:4">
      <c r="A52" s="22">
        <v>10</v>
      </c>
      <c r="B52" s="21" t="s">
        <v>605</v>
      </c>
      <c r="C52" s="21">
        <v>2</v>
      </c>
      <c r="D52" s="21" t="s">
        <v>332</v>
      </c>
    </row>
    <row r="53" spans="1:4">
      <c r="A53" s="22">
        <v>10</v>
      </c>
      <c r="B53" s="21" t="s">
        <v>606</v>
      </c>
      <c r="C53" s="21">
        <v>1</v>
      </c>
      <c r="D53" s="21" t="s">
        <v>349</v>
      </c>
    </row>
    <row r="54" spans="1:4">
      <c r="A54" s="23">
        <v>11</v>
      </c>
      <c r="B54" s="24" t="s">
        <v>604</v>
      </c>
      <c r="C54" s="24">
        <v>1</v>
      </c>
      <c r="D54" s="24" t="s">
        <v>334</v>
      </c>
    </row>
    <row r="55" spans="1:4">
      <c r="A55" s="23">
        <v>11</v>
      </c>
      <c r="B55" s="24" t="s">
        <v>605</v>
      </c>
      <c r="C55" s="24">
        <v>1</v>
      </c>
      <c r="D55" s="24" t="s">
        <v>316</v>
      </c>
    </row>
    <row r="56" spans="1:4">
      <c r="A56" s="23">
        <v>11</v>
      </c>
      <c r="B56" s="24" t="s">
        <v>605</v>
      </c>
      <c r="C56" s="24">
        <v>2</v>
      </c>
      <c r="D56" s="24" t="s">
        <v>335</v>
      </c>
    </row>
    <row r="57" spans="1:4">
      <c r="A57" s="23">
        <v>11</v>
      </c>
      <c r="B57" s="24" t="s">
        <v>606</v>
      </c>
      <c r="C57" s="24">
        <v>1</v>
      </c>
      <c r="D57" s="24" t="s">
        <v>336</v>
      </c>
    </row>
    <row r="58" spans="1:4">
      <c r="A58" s="23">
        <v>11</v>
      </c>
      <c r="B58" s="24" t="s">
        <v>606</v>
      </c>
      <c r="C58" s="24">
        <v>2</v>
      </c>
      <c r="D58" s="24" t="s">
        <v>58</v>
      </c>
    </row>
    <row r="59" spans="1:4">
      <c r="A59" s="22">
        <v>12</v>
      </c>
      <c r="B59" s="21" t="s">
        <v>604</v>
      </c>
      <c r="C59" s="21">
        <v>1</v>
      </c>
      <c r="D59" s="21" t="s">
        <v>326</v>
      </c>
    </row>
    <row r="60" spans="1:4">
      <c r="A60" s="22">
        <v>12</v>
      </c>
      <c r="B60" s="21" t="s">
        <v>604</v>
      </c>
      <c r="C60" s="21">
        <v>2</v>
      </c>
      <c r="D60" s="21" t="s">
        <v>59</v>
      </c>
    </row>
    <row r="61" spans="1:4">
      <c r="A61" s="22">
        <v>12</v>
      </c>
      <c r="B61" s="21" t="s">
        <v>605</v>
      </c>
      <c r="C61" s="21">
        <v>1</v>
      </c>
      <c r="D61" s="21" t="s">
        <v>340</v>
      </c>
    </row>
    <row r="62" spans="1:4">
      <c r="A62" s="22">
        <v>12</v>
      </c>
      <c r="B62" s="21" t="s">
        <v>606</v>
      </c>
      <c r="C62" s="21">
        <v>1</v>
      </c>
      <c r="D62" s="21" t="s">
        <v>327</v>
      </c>
    </row>
    <row r="63" spans="1:4">
      <c r="A63" s="22">
        <v>12</v>
      </c>
      <c r="B63" s="21" t="s">
        <v>606</v>
      </c>
      <c r="C63" s="21">
        <v>2</v>
      </c>
      <c r="D63" s="21" t="s">
        <v>51</v>
      </c>
    </row>
    <row r="64" spans="1:4">
      <c r="A64" s="23">
        <v>13</v>
      </c>
      <c r="B64" s="24" t="s">
        <v>604</v>
      </c>
      <c r="C64" s="24">
        <v>1</v>
      </c>
      <c r="D64" s="24" t="s">
        <v>52</v>
      </c>
    </row>
    <row r="65" spans="1:4">
      <c r="A65" s="23">
        <v>13</v>
      </c>
      <c r="B65" s="24" t="s">
        <v>604</v>
      </c>
      <c r="C65" s="24">
        <v>2</v>
      </c>
      <c r="D65" s="24" t="s">
        <v>337</v>
      </c>
    </row>
    <row r="66" spans="1:4">
      <c r="A66" s="23">
        <v>13</v>
      </c>
      <c r="B66" s="24" t="s">
        <v>605</v>
      </c>
      <c r="C66" s="24">
        <v>1</v>
      </c>
      <c r="D66" s="24" t="s">
        <v>60</v>
      </c>
    </row>
    <row r="67" spans="1:4">
      <c r="A67" s="23">
        <v>13</v>
      </c>
      <c r="B67" s="24" t="s">
        <v>606</v>
      </c>
      <c r="C67" s="24">
        <v>1</v>
      </c>
      <c r="D67" s="24" t="s">
        <v>43</v>
      </c>
    </row>
    <row r="68" spans="1:4">
      <c r="A68" s="23">
        <v>13</v>
      </c>
      <c r="B68" s="24" t="s">
        <v>606</v>
      </c>
      <c r="C68" s="24">
        <v>2</v>
      </c>
      <c r="D68" s="24" t="s">
        <v>329</v>
      </c>
    </row>
    <row r="69" spans="1:4">
      <c r="A69" s="22">
        <v>14</v>
      </c>
      <c r="B69" s="21" t="s">
        <v>604</v>
      </c>
      <c r="C69" s="21">
        <v>1</v>
      </c>
      <c r="D69" s="21" t="s">
        <v>44</v>
      </c>
    </row>
    <row r="70" spans="1:4">
      <c r="A70" s="22">
        <v>14</v>
      </c>
      <c r="B70" s="21" t="s">
        <v>604</v>
      </c>
      <c r="C70" s="21">
        <v>2</v>
      </c>
      <c r="D70" s="21" t="s">
        <v>325</v>
      </c>
    </row>
    <row r="71" spans="1:4">
      <c r="A71" s="22">
        <v>14</v>
      </c>
      <c r="B71" s="21" t="s">
        <v>605</v>
      </c>
      <c r="C71" s="21">
        <v>1</v>
      </c>
      <c r="D71" s="21" t="s">
        <v>53</v>
      </c>
    </row>
    <row r="72" spans="1:4">
      <c r="A72" s="22">
        <v>14</v>
      </c>
      <c r="B72" s="21" t="s">
        <v>605</v>
      </c>
      <c r="C72" s="21">
        <v>2</v>
      </c>
      <c r="D72" s="21" t="s">
        <v>61</v>
      </c>
    </row>
    <row r="73" spans="1:4">
      <c r="A73" s="22">
        <v>14</v>
      </c>
      <c r="B73" s="21" t="s">
        <v>606</v>
      </c>
      <c r="C73" s="21">
        <v>1</v>
      </c>
      <c r="D73" s="21" t="s">
        <v>38</v>
      </c>
    </row>
    <row r="74" spans="1:4">
      <c r="A74" s="23">
        <v>15</v>
      </c>
      <c r="B74" s="24" t="s">
        <v>604</v>
      </c>
      <c r="C74" s="24">
        <v>1</v>
      </c>
      <c r="D74" s="24" t="s">
        <v>328</v>
      </c>
    </row>
    <row r="75" spans="1:4">
      <c r="A75" s="23">
        <v>15</v>
      </c>
      <c r="B75" s="24" t="s">
        <v>604</v>
      </c>
      <c r="C75" s="24">
        <v>2</v>
      </c>
      <c r="D75" s="24" t="s">
        <v>39</v>
      </c>
    </row>
    <row r="76" spans="1:4">
      <c r="A76" s="23">
        <v>15</v>
      </c>
      <c r="B76" s="24" t="s">
        <v>605</v>
      </c>
      <c r="C76" s="24">
        <v>1</v>
      </c>
      <c r="D76" s="24" t="s">
        <v>21</v>
      </c>
    </row>
    <row r="77" spans="1:4">
      <c r="A77" s="23">
        <v>15</v>
      </c>
      <c r="B77" s="24" t="s">
        <v>606</v>
      </c>
      <c r="C77" s="24">
        <v>1</v>
      </c>
      <c r="D77" s="24" t="s">
        <v>352</v>
      </c>
    </row>
    <row r="78" spans="1:4">
      <c r="A78" s="23">
        <v>15</v>
      </c>
      <c r="B78" s="24" t="s">
        <v>606</v>
      </c>
      <c r="C78" s="24">
        <v>2</v>
      </c>
      <c r="D78" s="24" t="s">
        <v>45</v>
      </c>
    </row>
    <row r="79" spans="1:4">
      <c r="A79" s="22">
        <v>16</v>
      </c>
      <c r="B79" s="21" t="s">
        <v>604</v>
      </c>
      <c r="C79" s="21">
        <v>1</v>
      </c>
      <c r="D79" s="21" t="s">
        <v>345</v>
      </c>
    </row>
    <row r="80" spans="1:4">
      <c r="A80" s="22">
        <v>16</v>
      </c>
      <c r="B80" s="21" t="s">
        <v>604</v>
      </c>
      <c r="C80" s="21">
        <v>2</v>
      </c>
      <c r="D80" s="21" t="s">
        <v>25</v>
      </c>
    </row>
    <row r="81" spans="1:7">
      <c r="A81" s="22">
        <v>16</v>
      </c>
      <c r="B81" s="21" t="s">
        <v>605</v>
      </c>
      <c r="C81" s="21">
        <v>1</v>
      </c>
      <c r="D81" s="21" t="s">
        <v>24</v>
      </c>
    </row>
    <row r="82" spans="1:7">
      <c r="A82" s="22">
        <v>16</v>
      </c>
      <c r="B82" s="21" t="s">
        <v>605</v>
      </c>
      <c r="C82" s="21">
        <v>2</v>
      </c>
      <c r="D82" s="21" t="s">
        <v>353</v>
      </c>
    </row>
    <row r="83" spans="1:7">
      <c r="A83" s="22">
        <v>16</v>
      </c>
      <c r="B83" s="21" t="s">
        <v>606</v>
      </c>
      <c r="C83" s="21">
        <v>1</v>
      </c>
      <c r="D83" s="21" t="s">
        <v>330</v>
      </c>
    </row>
    <row r="84" spans="1:7">
      <c r="A84" s="23">
        <v>17</v>
      </c>
      <c r="B84" s="24" t="s">
        <v>604</v>
      </c>
      <c r="C84" s="24">
        <v>1</v>
      </c>
      <c r="D84" s="24" t="s">
        <v>331</v>
      </c>
    </row>
    <row r="85" spans="1:7">
      <c r="A85" s="23">
        <v>17</v>
      </c>
      <c r="B85" s="24" t="s">
        <v>605</v>
      </c>
      <c r="C85" s="24">
        <v>1</v>
      </c>
      <c r="D85" s="24" t="s">
        <v>27</v>
      </c>
    </row>
    <row r="86" spans="1:7">
      <c r="A86" s="23">
        <v>17</v>
      </c>
      <c r="B86" s="24" t="s">
        <v>605</v>
      </c>
      <c r="C86" s="24">
        <v>2</v>
      </c>
      <c r="D86" s="24" t="s">
        <v>341</v>
      </c>
    </row>
    <row r="87" spans="1:7">
      <c r="A87" s="23">
        <v>17</v>
      </c>
      <c r="B87" s="24" t="s">
        <v>606</v>
      </c>
      <c r="C87" s="24">
        <v>1</v>
      </c>
      <c r="D87" s="24" t="s">
        <v>354</v>
      </c>
    </row>
    <row r="88" spans="1:7">
      <c r="A88" s="23">
        <v>17</v>
      </c>
      <c r="B88" s="24" t="s">
        <v>606</v>
      </c>
      <c r="C88" s="24">
        <v>2</v>
      </c>
      <c r="D88" s="24" t="s">
        <v>346</v>
      </c>
    </row>
    <row r="89" spans="1:7">
      <c r="A89" s="22">
        <v>18</v>
      </c>
      <c r="B89" s="21" t="s">
        <v>604</v>
      </c>
      <c r="C89" s="21">
        <v>1</v>
      </c>
      <c r="D89" s="21" t="s">
        <v>347</v>
      </c>
    </row>
    <row r="90" spans="1:7">
      <c r="A90" s="22">
        <v>18</v>
      </c>
      <c r="B90" s="21" t="s">
        <v>605</v>
      </c>
      <c r="C90" s="21">
        <v>1</v>
      </c>
      <c r="D90" s="21" t="s">
        <v>333</v>
      </c>
    </row>
    <row r="91" spans="1:7">
      <c r="A91" s="22">
        <v>18</v>
      </c>
      <c r="B91" s="21" t="s">
        <v>605</v>
      </c>
      <c r="C91" s="21">
        <v>2</v>
      </c>
      <c r="D91" s="21" t="s">
        <v>348</v>
      </c>
    </row>
    <row r="92" spans="1:7">
      <c r="A92" s="22">
        <v>18</v>
      </c>
      <c r="B92" s="21" t="s">
        <v>606</v>
      </c>
      <c r="C92" s="21">
        <v>1</v>
      </c>
      <c r="D92" s="21" t="s">
        <v>338</v>
      </c>
    </row>
    <row r="93" spans="1:7">
      <c r="A93" s="22">
        <v>18</v>
      </c>
      <c r="B93" s="21" t="s">
        <v>606</v>
      </c>
      <c r="C93" s="21">
        <v>2</v>
      </c>
      <c r="D93" s="21" t="s">
        <v>342</v>
      </c>
    </row>
    <row r="96" spans="1:7" ht="15.5">
      <c r="B96" s="41" t="s">
        <v>705</v>
      </c>
      <c r="C96" s="41"/>
      <c r="D96" s="41"/>
      <c r="E96" s="41"/>
      <c r="F96" s="41"/>
      <c r="G96" s="41"/>
    </row>
    <row r="97" spans="2:7">
      <c r="B97" s="42" t="s">
        <v>608</v>
      </c>
      <c r="C97" s="43" t="s">
        <v>706</v>
      </c>
      <c r="D97" s="43"/>
      <c r="E97" s="43"/>
      <c r="F97" s="43" t="s">
        <v>610</v>
      </c>
      <c r="G97" s="43"/>
    </row>
    <row r="98" spans="2:7">
      <c r="B98" s="44">
        <v>1</v>
      </c>
      <c r="C98" s="45" t="s">
        <v>707</v>
      </c>
      <c r="D98" s="45"/>
      <c r="E98" s="45"/>
      <c r="F98" s="45" t="s">
        <v>611</v>
      </c>
      <c r="G98" s="45"/>
    </row>
    <row r="99" spans="2:7">
      <c r="B99" s="44">
        <v>2</v>
      </c>
      <c r="C99" s="45" t="s">
        <v>708</v>
      </c>
      <c r="D99" s="45"/>
      <c r="E99" s="45"/>
      <c r="F99" s="45" t="s">
        <v>611</v>
      </c>
      <c r="G99" s="45"/>
    </row>
    <row r="100" spans="2:7">
      <c r="B100" s="44">
        <v>3</v>
      </c>
      <c r="C100" s="45" t="s">
        <v>709</v>
      </c>
      <c r="D100" s="45"/>
      <c r="E100" s="45"/>
      <c r="F100" s="45" t="s">
        <v>613</v>
      </c>
      <c r="G100" s="45"/>
    </row>
    <row r="101" spans="2:7">
      <c r="B101" s="44">
        <v>4</v>
      </c>
      <c r="C101" s="45" t="s">
        <v>710</v>
      </c>
      <c r="D101" s="45"/>
      <c r="E101" s="45"/>
      <c r="F101" s="45" t="s">
        <v>613</v>
      </c>
      <c r="G101" s="45"/>
    </row>
    <row r="102" spans="2:7">
      <c r="B102" s="44">
        <v>5</v>
      </c>
      <c r="C102" s="45" t="s">
        <v>711</v>
      </c>
      <c r="D102" s="45"/>
      <c r="E102" s="45"/>
      <c r="F102" s="45" t="s">
        <v>613</v>
      </c>
      <c r="G102" s="45"/>
    </row>
    <row r="103" spans="2:7">
      <c r="B103" s="44">
        <v>6</v>
      </c>
      <c r="C103" s="45" t="s">
        <v>712</v>
      </c>
      <c r="D103" s="45"/>
      <c r="E103" s="45"/>
      <c r="F103" s="45" t="s">
        <v>613</v>
      </c>
      <c r="G103" s="45"/>
    </row>
    <row r="104" spans="2:7">
      <c r="B104" s="44">
        <v>7</v>
      </c>
      <c r="C104" s="45" t="s">
        <v>713</v>
      </c>
      <c r="D104" s="45"/>
      <c r="E104" s="45"/>
      <c r="F104" s="45" t="s">
        <v>613</v>
      </c>
      <c r="G104" s="45"/>
    </row>
    <row r="105" spans="2:7">
      <c r="B105" s="44">
        <v>8</v>
      </c>
      <c r="C105" s="45" t="s">
        <v>714</v>
      </c>
      <c r="D105" s="45"/>
      <c r="E105" s="45"/>
      <c r="F105" s="45" t="s">
        <v>615</v>
      </c>
      <c r="G105" s="45"/>
    </row>
    <row r="106" spans="2:7">
      <c r="B106" s="44">
        <v>9</v>
      </c>
      <c r="C106" s="45" t="s">
        <v>715</v>
      </c>
      <c r="D106" s="45"/>
      <c r="E106" s="45"/>
      <c r="F106" s="45" t="s">
        <v>615</v>
      </c>
      <c r="G106" s="45"/>
    </row>
    <row r="107" spans="2:7">
      <c r="B107" s="44">
        <v>10</v>
      </c>
      <c r="C107" s="45" t="s">
        <v>716</v>
      </c>
      <c r="D107" s="45"/>
      <c r="E107" s="45"/>
      <c r="F107" s="45" t="s">
        <v>615</v>
      </c>
      <c r="G107" s="45"/>
    </row>
    <row r="110" spans="2:7" ht="15.5">
      <c r="B110" s="41" t="s">
        <v>717</v>
      </c>
      <c r="C110" s="41"/>
      <c r="D110" s="41"/>
      <c r="E110" s="41"/>
      <c r="F110" s="41"/>
      <c r="G110" s="41"/>
    </row>
    <row r="111" spans="2:7">
      <c r="B111" s="42" t="s">
        <v>608</v>
      </c>
      <c r="C111" s="43" t="s">
        <v>706</v>
      </c>
      <c r="D111" s="43"/>
      <c r="E111" s="43"/>
      <c r="F111" s="43" t="s">
        <v>610</v>
      </c>
      <c r="G111" s="43"/>
    </row>
    <row r="112" spans="2:7">
      <c r="B112" s="44">
        <v>1</v>
      </c>
      <c r="C112" s="45" t="s">
        <v>718</v>
      </c>
      <c r="D112" s="45"/>
      <c r="E112" s="45"/>
      <c r="F112" s="45" t="s">
        <v>611</v>
      </c>
      <c r="G112" s="45"/>
    </row>
    <row r="113" spans="2:7">
      <c r="B113" s="44">
        <v>2</v>
      </c>
      <c r="C113" s="45" t="s">
        <v>719</v>
      </c>
      <c r="D113" s="45"/>
      <c r="E113" s="45"/>
      <c r="F113" s="45" t="s">
        <v>611</v>
      </c>
      <c r="G113" s="45"/>
    </row>
    <row r="114" spans="2:7">
      <c r="B114" s="44">
        <v>3</v>
      </c>
      <c r="C114" s="45" t="s">
        <v>720</v>
      </c>
      <c r="D114" s="45"/>
      <c r="E114" s="45"/>
      <c r="F114" s="45" t="s">
        <v>611</v>
      </c>
      <c r="G114" s="45"/>
    </row>
    <row r="115" spans="2:7">
      <c r="B115" s="44">
        <v>4</v>
      </c>
      <c r="C115" s="45" t="s">
        <v>721</v>
      </c>
      <c r="D115" s="45"/>
      <c r="E115" s="45"/>
      <c r="F115" s="45" t="s">
        <v>611</v>
      </c>
      <c r="G115" s="45"/>
    </row>
    <row r="116" spans="2:7">
      <c r="B116" s="44">
        <v>5</v>
      </c>
      <c r="C116" s="45" t="s">
        <v>722</v>
      </c>
      <c r="D116" s="45"/>
      <c r="E116" s="45"/>
      <c r="F116" s="45" t="s">
        <v>611</v>
      </c>
      <c r="G116" s="45"/>
    </row>
    <row r="117" spans="2:7">
      <c r="B117" s="44">
        <v>6</v>
      </c>
      <c r="C117" s="45" t="s">
        <v>723</v>
      </c>
      <c r="D117" s="45"/>
      <c r="E117" s="45"/>
      <c r="F117" s="45" t="s">
        <v>613</v>
      </c>
      <c r="G117" s="45"/>
    </row>
    <row r="118" spans="2:7">
      <c r="B118" s="44">
        <v>7</v>
      </c>
      <c r="C118" s="45" t="s">
        <v>724</v>
      </c>
      <c r="D118" s="45"/>
      <c r="E118" s="45"/>
      <c r="F118" s="45" t="s">
        <v>613</v>
      </c>
      <c r="G118" s="45"/>
    </row>
    <row r="119" spans="2:7">
      <c r="B119" s="44">
        <v>8</v>
      </c>
      <c r="C119" s="45" t="s">
        <v>725</v>
      </c>
      <c r="D119" s="45"/>
      <c r="E119" s="45"/>
      <c r="F119" s="45" t="s">
        <v>615</v>
      </c>
      <c r="G119" s="45"/>
    </row>
    <row r="120" spans="2:7">
      <c r="B120" s="44">
        <v>9</v>
      </c>
      <c r="C120" s="45" t="s">
        <v>726</v>
      </c>
      <c r="D120" s="45"/>
      <c r="E120" s="45"/>
      <c r="F120" s="45" t="s">
        <v>615</v>
      </c>
      <c r="G120" s="45"/>
    </row>
    <row r="121" spans="2:7">
      <c r="B121" s="44">
        <v>10</v>
      </c>
      <c r="C121" s="45" t="s">
        <v>727</v>
      </c>
      <c r="D121" s="45"/>
      <c r="E121" s="45"/>
      <c r="F121" s="45" t="s">
        <v>615</v>
      </c>
      <c r="G121" s="45"/>
    </row>
    <row r="124" spans="2:7" ht="15.5">
      <c r="B124" s="41" t="s">
        <v>728</v>
      </c>
      <c r="C124" s="41"/>
      <c r="D124" s="41"/>
      <c r="E124" s="41"/>
      <c r="F124" s="41"/>
      <c r="G124" s="41"/>
    </row>
    <row r="125" spans="2:7">
      <c r="B125" s="42" t="s">
        <v>608</v>
      </c>
      <c r="C125" s="43" t="s">
        <v>706</v>
      </c>
      <c r="D125" s="43"/>
      <c r="E125" s="43"/>
      <c r="F125" s="43" t="s">
        <v>610</v>
      </c>
      <c r="G125" s="43"/>
    </row>
    <row r="126" spans="2:7">
      <c r="B126" s="44">
        <v>1</v>
      </c>
      <c r="C126" s="45" t="s">
        <v>729</v>
      </c>
      <c r="D126" s="45"/>
      <c r="E126" s="45"/>
      <c r="F126" s="45" t="s">
        <v>611</v>
      </c>
      <c r="G126" s="45"/>
    </row>
    <row r="127" spans="2:7">
      <c r="B127" s="44">
        <v>2</v>
      </c>
      <c r="C127" s="45" t="s">
        <v>730</v>
      </c>
      <c r="D127" s="45"/>
      <c r="E127" s="45"/>
      <c r="F127" s="45" t="s">
        <v>611</v>
      </c>
      <c r="G127" s="45"/>
    </row>
    <row r="128" spans="2:7">
      <c r="B128" s="44">
        <v>3</v>
      </c>
      <c r="C128" s="45" t="s">
        <v>731</v>
      </c>
      <c r="D128" s="45"/>
      <c r="E128" s="45"/>
      <c r="F128" s="45" t="s">
        <v>611</v>
      </c>
      <c r="G128" s="45"/>
    </row>
    <row r="129" spans="2:7">
      <c r="B129" s="44">
        <v>4</v>
      </c>
      <c r="C129" s="45" t="s">
        <v>732</v>
      </c>
      <c r="D129" s="45"/>
      <c r="E129" s="45"/>
      <c r="F129" s="45" t="s">
        <v>611</v>
      </c>
      <c r="G129" s="45"/>
    </row>
    <row r="130" spans="2:7">
      <c r="B130" s="44">
        <v>5</v>
      </c>
      <c r="C130" s="45" t="s">
        <v>733</v>
      </c>
      <c r="D130" s="45"/>
      <c r="E130" s="45"/>
      <c r="F130" s="45" t="s">
        <v>611</v>
      </c>
      <c r="G130" s="45"/>
    </row>
    <row r="131" spans="2:7">
      <c r="B131" s="44">
        <v>6</v>
      </c>
      <c r="C131" s="45" t="s">
        <v>734</v>
      </c>
      <c r="D131" s="45"/>
      <c r="E131" s="45"/>
      <c r="F131" s="45" t="s">
        <v>611</v>
      </c>
      <c r="G131" s="45"/>
    </row>
    <row r="132" spans="2:7">
      <c r="B132" s="44">
        <v>7</v>
      </c>
      <c r="C132" s="45" t="s">
        <v>735</v>
      </c>
      <c r="D132" s="45"/>
      <c r="E132" s="45"/>
      <c r="F132" s="45" t="s">
        <v>611</v>
      </c>
      <c r="G132" s="45"/>
    </row>
    <row r="133" spans="2:7">
      <c r="B133" s="44">
        <v>8</v>
      </c>
      <c r="C133" s="45" t="s">
        <v>736</v>
      </c>
      <c r="D133" s="45"/>
      <c r="E133" s="45"/>
      <c r="F133" s="45" t="s">
        <v>611</v>
      </c>
      <c r="G133" s="45"/>
    </row>
    <row r="134" spans="2:7">
      <c r="B134" s="44">
        <v>9</v>
      </c>
      <c r="C134" s="45" t="s">
        <v>737</v>
      </c>
      <c r="D134" s="45"/>
      <c r="E134" s="45"/>
      <c r="F134" s="45" t="s">
        <v>613</v>
      </c>
      <c r="G134" s="45"/>
    </row>
    <row r="135" spans="2:7">
      <c r="B135" s="44">
        <v>10</v>
      </c>
      <c r="C135" s="45" t="s">
        <v>738</v>
      </c>
      <c r="D135" s="45"/>
      <c r="E135" s="45"/>
      <c r="F135" s="45" t="s">
        <v>613</v>
      </c>
      <c r="G135" s="45"/>
    </row>
    <row r="138" spans="2:7" ht="15.5">
      <c r="B138" s="41" t="s">
        <v>739</v>
      </c>
      <c r="C138" s="41"/>
      <c r="D138" s="41"/>
      <c r="E138" s="41"/>
      <c r="F138" s="41"/>
      <c r="G138" s="41"/>
    </row>
    <row r="139" spans="2:7">
      <c r="B139" s="42" t="s">
        <v>608</v>
      </c>
      <c r="C139" s="43" t="s">
        <v>706</v>
      </c>
      <c r="D139" s="43"/>
      <c r="E139" s="43"/>
      <c r="F139" s="43" t="s">
        <v>610</v>
      </c>
      <c r="G139" s="43"/>
    </row>
    <row r="140" spans="2:7">
      <c r="B140" s="44">
        <v>1</v>
      </c>
      <c r="C140" s="45" t="s">
        <v>740</v>
      </c>
      <c r="D140" s="45"/>
      <c r="E140" s="45"/>
      <c r="F140" s="45" t="s">
        <v>615</v>
      </c>
      <c r="G140" s="45"/>
    </row>
    <row r="141" spans="2:7">
      <c r="B141" s="44">
        <v>2</v>
      </c>
      <c r="C141" s="45" t="s">
        <v>741</v>
      </c>
      <c r="D141" s="45"/>
      <c r="E141" s="45"/>
      <c r="F141" s="45" t="s">
        <v>615</v>
      </c>
      <c r="G141" s="45"/>
    </row>
    <row r="142" spans="2:7">
      <c r="B142" s="44">
        <v>3</v>
      </c>
      <c r="C142" s="45" t="s">
        <v>742</v>
      </c>
      <c r="D142" s="45"/>
      <c r="E142" s="45"/>
      <c r="F142" s="45" t="s">
        <v>615</v>
      </c>
      <c r="G142" s="45"/>
    </row>
    <row r="143" spans="2:7">
      <c r="B143" s="44">
        <v>4</v>
      </c>
      <c r="C143" s="45" t="s">
        <v>743</v>
      </c>
      <c r="D143" s="45"/>
      <c r="E143" s="45"/>
      <c r="F143" s="45" t="s">
        <v>615</v>
      </c>
      <c r="G143" s="45"/>
    </row>
    <row r="144" spans="2:7">
      <c r="B144" s="44">
        <v>5</v>
      </c>
      <c r="C144" s="45" t="s">
        <v>744</v>
      </c>
      <c r="D144" s="45"/>
      <c r="E144" s="45"/>
      <c r="F144" s="45" t="s">
        <v>615</v>
      </c>
      <c r="G144" s="45"/>
    </row>
    <row r="145" spans="2:7">
      <c r="B145" s="44">
        <v>6</v>
      </c>
      <c r="C145" s="45" t="s">
        <v>745</v>
      </c>
      <c r="D145" s="45"/>
      <c r="E145" s="45"/>
      <c r="F145" s="45" t="s">
        <v>615</v>
      </c>
      <c r="G145" s="45"/>
    </row>
    <row r="146" spans="2:7">
      <c r="B146" s="44">
        <v>7</v>
      </c>
      <c r="C146" s="45" t="s">
        <v>746</v>
      </c>
      <c r="D146" s="45"/>
      <c r="E146" s="45"/>
      <c r="F146" s="45" t="s">
        <v>615</v>
      </c>
      <c r="G146" s="45"/>
    </row>
    <row r="147" spans="2:7">
      <c r="B147" s="44">
        <v>8</v>
      </c>
      <c r="C147" s="45" t="s">
        <v>747</v>
      </c>
      <c r="D147" s="45"/>
      <c r="E147" s="45"/>
      <c r="F147" s="45" t="s">
        <v>615</v>
      </c>
      <c r="G147" s="45"/>
    </row>
    <row r="148" spans="2:7">
      <c r="B148" s="44">
        <v>9</v>
      </c>
      <c r="C148" s="45" t="s">
        <v>748</v>
      </c>
      <c r="D148" s="45"/>
      <c r="E148" s="45"/>
      <c r="F148" s="45" t="s">
        <v>615</v>
      </c>
      <c r="G148" s="45"/>
    </row>
    <row r="149" spans="2:7">
      <c r="B149" s="44">
        <v>10</v>
      </c>
      <c r="C149" s="45" t="s">
        <v>749</v>
      </c>
      <c r="D149" s="45"/>
      <c r="E149" s="45"/>
      <c r="F149" s="45" t="s">
        <v>615</v>
      </c>
      <c r="G149" s="45"/>
    </row>
    <row r="152" spans="2:7" ht="15.5">
      <c r="B152" s="41" t="s">
        <v>750</v>
      </c>
      <c r="C152" s="41"/>
      <c r="D152" s="41"/>
      <c r="E152" s="41"/>
      <c r="F152" s="41"/>
      <c r="G152" s="41"/>
    </row>
    <row r="153" spans="2:7">
      <c r="B153" s="42" t="s">
        <v>608</v>
      </c>
      <c r="C153" s="43" t="s">
        <v>706</v>
      </c>
      <c r="D153" s="43"/>
      <c r="E153" s="43"/>
      <c r="F153" s="43" t="s">
        <v>610</v>
      </c>
      <c r="G153" s="43"/>
    </row>
    <row r="154" spans="2:7">
      <c r="B154" s="44">
        <v>1</v>
      </c>
      <c r="C154" s="45" t="s">
        <v>751</v>
      </c>
      <c r="D154" s="45"/>
      <c r="E154" s="45"/>
      <c r="F154" s="45" t="s">
        <v>611</v>
      </c>
      <c r="G154" s="45"/>
    </row>
    <row r="155" spans="2:7">
      <c r="B155" s="44">
        <v>2</v>
      </c>
      <c r="C155" s="45" t="s">
        <v>752</v>
      </c>
      <c r="D155" s="45"/>
      <c r="E155" s="45"/>
      <c r="F155" s="45" t="s">
        <v>613</v>
      </c>
      <c r="G155" s="45"/>
    </row>
    <row r="156" spans="2:7">
      <c r="B156" s="44">
        <v>3</v>
      </c>
      <c r="C156" s="45" t="s">
        <v>753</v>
      </c>
      <c r="D156" s="45"/>
      <c r="E156" s="45"/>
      <c r="F156" s="45" t="s">
        <v>615</v>
      </c>
      <c r="G156" s="45"/>
    </row>
    <row r="157" spans="2:7">
      <c r="B157" s="44">
        <v>4</v>
      </c>
      <c r="C157" s="45" t="s">
        <v>754</v>
      </c>
      <c r="D157" s="45"/>
      <c r="E157" s="45"/>
      <c r="F157" s="45" t="s">
        <v>615</v>
      </c>
      <c r="G157" s="45"/>
    </row>
    <row r="158" spans="2:7">
      <c r="B158" s="44">
        <v>5</v>
      </c>
      <c r="C158" s="45" t="s">
        <v>755</v>
      </c>
      <c r="D158" s="45"/>
      <c r="E158" s="45"/>
      <c r="F158" s="45" t="s">
        <v>615</v>
      </c>
      <c r="G158" s="45"/>
    </row>
    <row r="159" spans="2:7">
      <c r="B159" s="44">
        <v>6</v>
      </c>
      <c r="C159" s="45" t="s">
        <v>756</v>
      </c>
      <c r="D159" s="45"/>
      <c r="E159" s="45"/>
      <c r="F159" s="45" t="s">
        <v>615</v>
      </c>
      <c r="G159" s="45"/>
    </row>
    <row r="160" spans="2:7">
      <c r="B160" s="44">
        <v>7</v>
      </c>
      <c r="C160" s="45" t="s">
        <v>757</v>
      </c>
      <c r="D160" s="45"/>
      <c r="E160" s="45"/>
      <c r="F160" s="45" t="s">
        <v>615</v>
      </c>
      <c r="G160" s="45"/>
    </row>
    <row r="161" spans="2:7">
      <c r="B161" s="44">
        <v>8</v>
      </c>
      <c r="C161" s="45" t="s">
        <v>758</v>
      </c>
      <c r="D161" s="45"/>
      <c r="E161" s="45"/>
      <c r="F161" s="45" t="s">
        <v>615</v>
      </c>
      <c r="G161" s="45"/>
    </row>
    <row r="162" spans="2:7">
      <c r="B162" s="44">
        <v>9</v>
      </c>
      <c r="C162" s="45" t="s">
        <v>759</v>
      </c>
      <c r="D162" s="45"/>
      <c r="E162" s="45"/>
      <c r="F162" s="45" t="s">
        <v>615</v>
      </c>
      <c r="G162" s="45"/>
    </row>
    <row r="163" spans="2:7">
      <c r="B163" s="44">
        <v>10</v>
      </c>
      <c r="C163" s="45" t="s">
        <v>760</v>
      </c>
      <c r="D163" s="45"/>
      <c r="E163" s="45"/>
      <c r="F163" s="45" t="s">
        <v>615</v>
      </c>
      <c r="G163" s="45"/>
    </row>
  </sheetData>
  <mergeCells count="116">
    <mergeCell ref="C161:E161"/>
    <mergeCell ref="F161:G161"/>
    <mergeCell ref="C162:E162"/>
    <mergeCell ref="F162:G162"/>
    <mergeCell ref="C163:E163"/>
    <mergeCell ref="F163:G163"/>
    <mergeCell ref="C158:E158"/>
    <mergeCell ref="F158:G158"/>
    <mergeCell ref="C159:E159"/>
    <mergeCell ref="F159:G159"/>
    <mergeCell ref="C160:E160"/>
    <mergeCell ref="F160:G160"/>
    <mergeCell ref="C155:E155"/>
    <mergeCell ref="F155:G155"/>
    <mergeCell ref="C156:E156"/>
    <mergeCell ref="F156:G156"/>
    <mergeCell ref="C157:E157"/>
    <mergeCell ref="F157:G157"/>
    <mergeCell ref="B152:G152"/>
    <mergeCell ref="C153:E153"/>
    <mergeCell ref="F153:G153"/>
    <mergeCell ref="C154:E154"/>
    <mergeCell ref="F154:G154"/>
    <mergeCell ref="C147:E147"/>
    <mergeCell ref="F147:G147"/>
    <mergeCell ref="C148:E148"/>
    <mergeCell ref="F148:G148"/>
    <mergeCell ref="C149:E149"/>
    <mergeCell ref="F149:G149"/>
    <mergeCell ref="C144:E144"/>
    <mergeCell ref="F144:G144"/>
    <mergeCell ref="C145:E145"/>
    <mergeCell ref="F145:G145"/>
    <mergeCell ref="C146:E146"/>
    <mergeCell ref="F146:G146"/>
    <mergeCell ref="C141:E141"/>
    <mergeCell ref="F141:G141"/>
    <mergeCell ref="C142:E142"/>
    <mergeCell ref="F142:G142"/>
    <mergeCell ref="C143:E143"/>
    <mergeCell ref="F143:G143"/>
    <mergeCell ref="B138:G138"/>
    <mergeCell ref="C139:E139"/>
    <mergeCell ref="F139:G139"/>
    <mergeCell ref="C140:E140"/>
    <mergeCell ref="F140:G140"/>
    <mergeCell ref="C133:E133"/>
    <mergeCell ref="F133:G133"/>
    <mergeCell ref="C134:E134"/>
    <mergeCell ref="F134:G134"/>
    <mergeCell ref="C135:E135"/>
    <mergeCell ref="F135:G135"/>
    <mergeCell ref="C130:E130"/>
    <mergeCell ref="F130:G130"/>
    <mergeCell ref="C131:E131"/>
    <mergeCell ref="F131:G131"/>
    <mergeCell ref="C132:E132"/>
    <mergeCell ref="F132:G132"/>
    <mergeCell ref="C127:E127"/>
    <mergeCell ref="F127:G127"/>
    <mergeCell ref="C128:E128"/>
    <mergeCell ref="F128:G128"/>
    <mergeCell ref="C129:E129"/>
    <mergeCell ref="F129:G129"/>
    <mergeCell ref="B124:G124"/>
    <mergeCell ref="C125:E125"/>
    <mergeCell ref="F125:G125"/>
    <mergeCell ref="C126:E126"/>
    <mergeCell ref="F126:G126"/>
    <mergeCell ref="C119:E119"/>
    <mergeCell ref="F119:G119"/>
    <mergeCell ref="C120:E120"/>
    <mergeCell ref="F120:G120"/>
    <mergeCell ref="C121:E121"/>
    <mergeCell ref="F121:G121"/>
    <mergeCell ref="C116:E116"/>
    <mergeCell ref="F116:G116"/>
    <mergeCell ref="C117:E117"/>
    <mergeCell ref="F117:G117"/>
    <mergeCell ref="C118:E118"/>
    <mergeCell ref="F118:G118"/>
    <mergeCell ref="C113:E113"/>
    <mergeCell ref="F113:G113"/>
    <mergeCell ref="C114:E114"/>
    <mergeCell ref="F114:G114"/>
    <mergeCell ref="C115:E115"/>
    <mergeCell ref="F115:G115"/>
    <mergeCell ref="B110:G110"/>
    <mergeCell ref="C111:E111"/>
    <mergeCell ref="F111:G111"/>
    <mergeCell ref="C112:E112"/>
    <mergeCell ref="F112:G112"/>
    <mergeCell ref="C105:E105"/>
    <mergeCell ref="F105:G105"/>
    <mergeCell ref="C106:E106"/>
    <mergeCell ref="F106:G106"/>
    <mergeCell ref="C107:E107"/>
    <mergeCell ref="F107:G107"/>
    <mergeCell ref="C102:E102"/>
    <mergeCell ref="F102:G102"/>
    <mergeCell ref="C103:E103"/>
    <mergeCell ref="F103:G103"/>
    <mergeCell ref="C104:E104"/>
    <mergeCell ref="F104:G104"/>
    <mergeCell ref="C99:E99"/>
    <mergeCell ref="F99:G99"/>
    <mergeCell ref="C100:E100"/>
    <mergeCell ref="F100:G100"/>
    <mergeCell ref="C101:E101"/>
    <mergeCell ref="F101:G101"/>
    <mergeCell ref="A1:D1"/>
    <mergeCell ref="B96:G96"/>
    <mergeCell ref="C97:E97"/>
    <mergeCell ref="F97:G97"/>
    <mergeCell ref="C98:E98"/>
    <mergeCell ref="F98:G9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D54E-8F8C-4740-B32D-C9C00DB87863}">
  <dimension ref="A1:N784"/>
  <sheetViews>
    <sheetView showGridLines="0" rightToLeft="1" workbookViewId="0">
      <pane ySplit="3" topLeftCell="A124" activePane="bottomLeft" state="frozen"/>
      <selection pane="bottomLeft" activeCell="F143" sqref="C143:G146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12.7265625" style="10" customWidth="1"/>
    <col min="5" max="5" width="40" style="10" customWidth="1"/>
    <col min="6" max="7" width="15.453125" style="10" customWidth="1"/>
    <col min="8" max="8" width="4.54296875" style="10" customWidth="1"/>
    <col min="9" max="14" width="15.453125" style="9" customWidth="1"/>
    <col min="15" max="15" width="7.6328125" style="9" customWidth="1"/>
    <col min="16" max="16" width="18.1796875" style="9" customWidth="1"/>
    <col min="17" max="17" width="10.1796875" style="9" bestFit="1" customWidth="1"/>
    <col min="18" max="21" width="15.453125" style="9" customWidth="1"/>
    <col min="22" max="16384" width="8.7265625" style="9"/>
  </cols>
  <sheetData>
    <row r="1" spans="1:8" ht="24" customHeight="1">
      <c r="A1" s="39" t="s">
        <v>82</v>
      </c>
      <c r="B1" s="39"/>
      <c r="C1" s="39"/>
      <c r="D1" s="39"/>
      <c r="E1" s="39"/>
      <c r="F1"/>
      <c r="G1"/>
      <c r="H1"/>
    </row>
    <row r="2" spans="1:8" ht="12" customHeight="1">
      <c r="A2" s="19"/>
      <c r="B2" s="19"/>
      <c r="C2" s="19"/>
      <c r="D2" s="19"/>
      <c r="E2" s="19"/>
      <c r="F2"/>
      <c r="G2"/>
      <c r="H2"/>
    </row>
    <row r="3" spans="1:8" ht="22" customHeight="1">
      <c r="A3" s="20" t="s">
        <v>12</v>
      </c>
      <c r="B3" s="20" t="s">
        <v>13</v>
      </c>
      <c r="C3" s="20" t="s">
        <v>14</v>
      </c>
      <c r="D3" s="20" t="s">
        <v>33</v>
      </c>
      <c r="E3" s="20" t="s">
        <v>15</v>
      </c>
      <c r="F3"/>
      <c r="G3"/>
      <c r="H3"/>
    </row>
    <row r="4" spans="1:8">
      <c r="A4" s="23">
        <v>1</v>
      </c>
      <c r="B4" s="24" t="s">
        <v>604</v>
      </c>
      <c r="C4" s="24">
        <v>1</v>
      </c>
      <c r="D4" s="24">
        <v>1</v>
      </c>
      <c r="E4" s="24" t="s">
        <v>18</v>
      </c>
      <c r="F4"/>
      <c r="G4"/>
      <c r="H4"/>
    </row>
    <row r="5" spans="1:8">
      <c r="A5" s="23">
        <v>1</v>
      </c>
      <c r="B5" s="24" t="s">
        <v>604</v>
      </c>
      <c r="C5" s="24">
        <v>2</v>
      </c>
      <c r="D5" s="24">
        <v>1</v>
      </c>
      <c r="E5" s="24" t="s">
        <v>17</v>
      </c>
      <c r="F5"/>
      <c r="G5"/>
      <c r="H5"/>
    </row>
    <row r="6" spans="1:8">
      <c r="A6" s="23">
        <v>1</v>
      </c>
      <c r="B6" s="24" t="s">
        <v>605</v>
      </c>
      <c r="C6" s="24">
        <v>1</v>
      </c>
      <c r="D6" s="24">
        <v>1</v>
      </c>
      <c r="E6" s="24" t="s">
        <v>19</v>
      </c>
      <c r="F6"/>
      <c r="G6"/>
      <c r="H6"/>
    </row>
    <row r="7" spans="1:8">
      <c r="A7" s="23">
        <v>1</v>
      </c>
      <c r="B7" s="24" t="s">
        <v>605</v>
      </c>
      <c r="C7" s="24">
        <v>2</v>
      </c>
      <c r="D7" s="24">
        <v>2</v>
      </c>
      <c r="E7" s="24" t="s">
        <v>70</v>
      </c>
      <c r="F7"/>
      <c r="G7"/>
      <c r="H7"/>
    </row>
    <row r="8" spans="1:8">
      <c r="A8" s="23">
        <v>1</v>
      </c>
      <c r="B8" s="24" t="s">
        <v>606</v>
      </c>
      <c r="C8" s="24">
        <v>1</v>
      </c>
      <c r="D8" s="24">
        <v>2</v>
      </c>
      <c r="E8" s="24" t="s">
        <v>78</v>
      </c>
      <c r="F8"/>
      <c r="G8"/>
      <c r="H8"/>
    </row>
    <row r="9" spans="1:8">
      <c r="A9" s="23">
        <v>1</v>
      </c>
      <c r="B9" s="24" t="s">
        <v>606</v>
      </c>
      <c r="C9" s="24">
        <v>2</v>
      </c>
      <c r="D9" s="24">
        <v>2</v>
      </c>
      <c r="E9" s="24" t="s">
        <v>84</v>
      </c>
      <c r="F9"/>
      <c r="G9"/>
      <c r="H9"/>
    </row>
    <row r="10" spans="1:8">
      <c r="A10" s="22">
        <v>2</v>
      </c>
      <c r="B10" s="21" t="s">
        <v>604</v>
      </c>
      <c r="C10" s="21">
        <v>1</v>
      </c>
      <c r="D10" s="21">
        <v>2</v>
      </c>
      <c r="E10" s="21" t="s">
        <v>62</v>
      </c>
      <c r="F10"/>
      <c r="G10"/>
      <c r="H10"/>
    </row>
    <row r="11" spans="1:8">
      <c r="A11" s="22">
        <v>2</v>
      </c>
      <c r="B11" s="21" t="s">
        <v>604</v>
      </c>
      <c r="C11" s="21">
        <v>2</v>
      </c>
      <c r="D11" s="21">
        <v>2</v>
      </c>
      <c r="E11" s="21" t="s">
        <v>71</v>
      </c>
      <c r="F11"/>
      <c r="G11"/>
      <c r="H11"/>
    </row>
    <row r="12" spans="1:8">
      <c r="A12" s="22">
        <v>2</v>
      </c>
      <c r="B12" s="21" t="s">
        <v>605</v>
      </c>
      <c r="C12" s="21">
        <v>1</v>
      </c>
      <c r="D12" s="21">
        <v>1</v>
      </c>
      <c r="E12" s="21" t="s">
        <v>20</v>
      </c>
      <c r="F12"/>
      <c r="G12"/>
      <c r="H12"/>
    </row>
    <row r="13" spans="1:8">
      <c r="A13" s="22">
        <v>2</v>
      </c>
      <c r="B13" s="21" t="s">
        <v>605</v>
      </c>
      <c r="C13" s="21">
        <v>2</v>
      </c>
      <c r="D13" s="21">
        <v>2</v>
      </c>
      <c r="E13" s="21" t="s">
        <v>115</v>
      </c>
      <c r="F13"/>
      <c r="G13"/>
      <c r="H13"/>
    </row>
    <row r="14" spans="1:8">
      <c r="A14" s="22">
        <v>2</v>
      </c>
      <c r="B14" s="21" t="s">
        <v>606</v>
      </c>
      <c r="C14" s="21">
        <v>1</v>
      </c>
      <c r="D14" s="21">
        <v>1</v>
      </c>
      <c r="E14" s="21" t="s">
        <v>22</v>
      </c>
      <c r="F14"/>
      <c r="G14"/>
      <c r="H14"/>
    </row>
    <row r="15" spans="1:8">
      <c r="A15" s="22">
        <v>2</v>
      </c>
      <c r="B15" s="21" t="s">
        <v>606</v>
      </c>
      <c r="C15" s="21">
        <v>2</v>
      </c>
      <c r="D15" s="21">
        <v>1</v>
      </c>
      <c r="E15" s="21" t="s">
        <v>227</v>
      </c>
      <c r="F15"/>
      <c r="G15"/>
      <c r="H15"/>
    </row>
    <row r="16" spans="1:8">
      <c r="A16" s="23">
        <v>3</v>
      </c>
      <c r="B16" s="24" t="s">
        <v>604</v>
      </c>
      <c r="C16" s="24">
        <v>1</v>
      </c>
      <c r="D16" s="24">
        <v>2</v>
      </c>
      <c r="E16" s="24" t="s">
        <v>79</v>
      </c>
      <c r="F16"/>
      <c r="G16"/>
      <c r="H16"/>
    </row>
    <row r="17" spans="1:8">
      <c r="A17" s="23">
        <v>3</v>
      </c>
      <c r="B17" s="24" t="s">
        <v>604</v>
      </c>
      <c r="C17" s="24">
        <v>2</v>
      </c>
      <c r="D17" s="24">
        <v>2</v>
      </c>
      <c r="E17" s="24" t="s">
        <v>247</v>
      </c>
      <c r="F17"/>
      <c r="G17"/>
      <c r="H17"/>
    </row>
    <row r="18" spans="1:8">
      <c r="A18" s="23">
        <v>3</v>
      </c>
      <c r="B18" s="24" t="s">
        <v>605</v>
      </c>
      <c r="C18" s="24">
        <v>1</v>
      </c>
      <c r="D18" s="24">
        <v>1</v>
      </c>
      <c r="E18" s="24" t="s">
        <v>228</v>
      </c>
      <c r="F18"/>
      <c r="G18"/>
      <c r="H18"/>
    </row>
    <row r="19" spans="1:8">
      <c r="A19" s="23">
        <v>3</v>
      </c>
      <c r="B19" s="24" t="s">
        <v>605</v>
      </c>
      <c r="C19" s="24">
        <v>2</v>
      </c>
      <c r="D19" s="24">
        <v>2</v>
      </c>
      <c r="E19" s="24" t="s">
        <v>54</v>
      </c>
      <c r="F19"/>
      <c r="G19"/>
      <c r="H19"/>
    </row>
    <row r="20" spans="1:8">
      <c r="A20" s="23">
        <v>3</v>
      </c>
      <c r="B20" s="24" t="s">
        <v>606</v>
      </c>
      <c r="C20" s="24">
        <v>1</v>
      </c>
      <c r="D20" s="24">
        <v>1</v>
      </c>
      <c r="E20" s="24" t="s">
        <v>23</v>
      </c>
      <c r="F20"/>
      <c r="G20"/>
      <c r="H20"/>
    </row>
    <row r="21" spans="1:8">
      <c r="A21" s="23">
        <v>3</v>
      </c>
      <c r="B21" s="24" t="s">
        <v>606</v>
      </c>
      <c r="C21" s="24">
        <v>2</v>
      </c>
      <c r="D21" s="24">
        <v>1</v>
      </c>
      <c r="E21" s="24" t="s">
        <v>229</v>
      </c>
      <c r="F21"/>
      <c r="G21"/>
      <c r="H21"/>
    </row>
    <row r="22" spans="1:8">
      <c r="A22" s="22">
        <v>4</v>
      </c>
      <c r="B22" s="21" t="s">
        <v>604</v>
      </c>
      <c r="C22" s="21">
        <v>1</v>
      </c>
      <c r="D22" s="21">
        <v>1</v>
      </c>
      <c r="E22" s="21" t="s">
        <v>26</v>
      </c>
      <c r="F22"/>
      <c r="G22"/>
      <c r="H22"/>
    </row>
    <row r="23" spans="1:8">
      <c r="A23" s="22">
        <v>4</v>
      </c>
      <c r="B23" s="21" t="s">
        <v>604</v>
      </c>
      <c r="C23" s="21">
        <v>2</v>
      </c>
      <c r="D23" s="21">
        <v>2</v>
      </c>
      <c r="E23" s="21" t="s">
        <v>249</v>
      </c>
      <c r="F23"/>
      <c r="G23"/>
      <c r="H23"/>
    </row>
    <row r="24" spans="1:8">
      <c r="A24" s="22">
        <v>4</v>
      </c>
      <c r="B24" s="21" t="s">
        <v>605</v>
      </c>
      <c r="C24" s="21">
        <v>1</v>
      </c>
      <c r="D24" s="21">
        <v>1</v>
      </c>
      <c r="E24" s="21" t="s">
        <v>230</v>
      </c>
      <c r="F24"/>
      <c r="G24"/>
      <c r="H24"/>
    </row>
    <row r="25" spans="1:8">
      <c r="A25" s="22">
        <v>4</v>
      </c>
      <c r="B25" s="21" t="s">
        <v>605</v>
      </c>
      <c r="C25" s="21">
        <v>2</v>
      </c>
      <c r="D25" s="21">
        <v>2</v>
      </c>
      <c r="E25" s="21" t="s">
        <v>248</v>
      </c>
      <c r="F25"/>
      <c r="G25"/>
      <c r="H25"/>
    </row>
    <row r="26" spans="1:8">
      <c r="A26" s="22">
        <v>4</v>
      </c>
      <c r="B26" s="21" t="s">
        <v>606</v>
      </c>
      <c r="C26" s="21">
        <v>1</v>
      </c>
      <c r="D26" s="21">
        <v>1</v>
      </c>
      <c r="E26" s="21" t="s">
        <v>28</v>
      </c>
      <c r="F26"/>
      <c r="G26"/>
      <c r="H26"/>
    </row>
    <row r="27" spans="1:8">
      <c r="A27" s="22">
        <v>4</v>
      </c>
      <c r="B27" s="21" t="s">
        <v>606</v>
      </c>
      <c r="C27" s="21">
        <v>2</v>
      </c>
      <c r="D27" s="21">
        <v>2</v>
      </c>
      <c r="E27" s="21" t="s">
        <v>69</v>
      </c>
      <c r="F27"/>
      <c r="G27"/>
      <c r="H27"/>
    </row>
    <row r="28" spans="1:8">
      <c r="A28" s="23">
        <v>5</v>
      </c>
      <c r="B28" s="24" t="s">
        <v>604</v>
      </c>
      <c r="C28" s="24">
        <v>1</v>
      </c>
      <c r="D28" s="24">
        <v>1</v>
      </c>
      <c r="E28" s="24" t="s">
        <v>31</v>
      </c>
      <c r="F28"/>
      <c r="G28"/>
      <c r="H28"/>
    </row>
    <row r="29" spans="1:8">
      <c r="A29" s="23">
        <v>5</v>
      </c>
      <c r="B29" s="24" t="s">
        <v>604</v>
      </c>
      <c r="C29" s="24">
        <v>2</v>
      </c>
      <c r="D29" s="24">
        <v>2</v>
      </c>
      <c r="E29" s="24" t="s">
        <v>296</v>
      </c>
      <c r="F29"/>
      <c r="G29"/>
      <c r="H29"/>
    </row>
    <row r="30" spans="1:8">
      <c r="A30" s="23">
        <v>5</v>
      </c>
      <c r="B30" s="24" t="s">
        <v>605</v>
      </c>
      <c r="C30" s="24">
        <v>1</v>
      </c>
      <c r="D30" s="24">
        <v>1</v>
      </c>
      <c r="E30" s="24" t="s">
        <v>30</v>
      </c>
      <c r="F30"/>
      <c r="G30"/>
      <c r="H30"/>
    </row>
    <row r="31" spans="1:8">
      <c r="A31" s="23">
        <v>5</v>
      </c>
      <c r="B31" s="24" t="s">
        <v>605</v>
      </c>
      <c r="C31" s="24">
        <v>2</v>
      </c>
      <c r="D31" s="24">
        <v>2</v>
      </c>
      <c r="E31" s="24" t="s">
        <v>239</v>
      </c>
      <c r="F31"/>
      <c r="G31"/>
      <c r="H31"/>
    </row>
    <row r="32" spans="1:8">
      <c r="A32" s="23">
        <v>5</v>
      </c>
      <c r="B32" s="24" t="s">
        <v>606</v>
      </c>
      <c r="C32" s="24">
        <v>1</v>
      </c>
      <c r="D32" s="24">
        <v>1</v>
      </c>
      <c r="E32" s="24" t="s">
        <v>29</v>
      </c>
      <c r="F32"/>
      <c r="G32"/>
      <c r="H32"/>
    </row>
    <row r="33" spans="1:8">
      <c r="A33" s="23">
        <v>5</v>
      </c>
      <c r="B33" s="24" t="s">
        <v>606</v>
      </c>
      <c r="C33" s="24">
        <v>2</v>
      </c>
      <c r="D33" s="24">
        <v>2</v>
      </c>
      <c r="E33" s="24" t="s">
        <v>63</v>
      </c>
      <c r="F33"/>
      <c r="G33"/>
      <c r="H33"/>
    </row>
    <row r="34" spans="1:8">
      <c r="A34" s="22">
        <v>6</v>
      </c>
      <c r="B34" s="21" t="s">
        <v>604</v>
      </c>
      <c r="C34" s="21">
        <v>1</v>
      </c>
      <c r="D34" s="21">
        <v>1</v>
      </c>
      <c r="E34" s="21" t="s">
        <v>327</v>
      </c>
      <c r="F34"/>
      <c r="G34"/>
      <c r="H34"/>
    </row>
    <row r="35" spans="1:8">
      <c r="A35" s="22">
        <v>6</v>
      </c>
      <c r="B35" s="21" t="s">
        <v>604</v>
      </c>
      <c r="C35" s="21">
        <v>2</v>
      </c>
      <c r="D35" s="21">
        <v>1</v>
      </c>
      <c r="E35" s="21" t="s">
        <v>325</v>
      </c>
      <c r="F35"/>
      <c r="G35"/>
      <c r="H35"/>
    </row>
    <row r="36" spans="1:8">
      <c r="A36" s="22">
        <v>6</v>
      </c>
      <c r="B36" s="21" t="s">
        <v>605</v>
      </c>
      <c r="C36" s="21">
        <v>1</v>
      </c>
      <c r="D36" s="21">
        <v>1</v>
      </c>
      <c r="E36" s="21" t="s">
        <v>326</v>
      </c>
      <c r="F36"/>
      <c r="G36"/>
      <c r="H36"/>
    </row>
    <row r="37" spans="1:8">
      <c r="A37" s="22">
        <v>6</v>
      </c>
      <c r="B37" s="21" t="s">
        <v>605</v>
      </c>
      <c r="C37" s="21">
        <v>2</v>
      </c>
      <c r="D37" s="21">
        <v>2</v>
      </c>
      <c r="E37" s="21" t="s">
        <v>51</v>
      </c>
      <c r="F37"/>
      <c r="G37"/>
      <c r="H37"/>
    </row>
    <row r="38" spans="1:8">
      <c r="A38" s="22">
        <v>6</v>
      </c>
      <c r="B38" s="21" t="s">
        <v>606</v>
      </c>
      <c r="C38" s="21">
        <v>1</v>
      </c>
      <c r="D38" s="21">
        <v>2</v>
      </c>
      <c r="E38" s="21" t="s">
        <v>87</v>
      </c>
      <c r="F38"/>
      <c r="G38"/>
      <c r="H38"/>
    </row>
    <row r="39" spans="1:8">
      <c r="A39" s="22">
        <v>6</v>
      </c>
      <c r="B39" s="21" t="s">
        <v>606</v>
      </c>
      <c r="C39" s="21">
        <v>2</v>
      </c>
      <c r="D39" s="21">
        <v>2</v>
      </c>
      <c r="E39" s="21" t="s">
        <v>240</v>
      </c>
      <c r="F39"/>
      <c r="G39"/>
      <c r="H39"/>
    </row>
    <row r="40" spans="1:8">
      <c r="A40" s="23">
        <v>7</v>
      </c>
      <c r="B40" s="24" t="s">
        <v>604</v>
      </c>
      <c r="C40" s="24">
        <v>1</v>
      </c>
      <c r="D40" s="24">
        <v>1</v>
      </c>
      <c r="E40" s="24" t="s">
        <v>329</v>
      </c>
      <c r="F40"/>
      <c r="G40"/>
      <c r="H40"/>
    </row>
    <row r="41" spans="1:8">
      <c r="A41" s="23">
        <v>7</v>
      </c>
      <c r="B41" s="24" t="s">
        <v>604</v>
      </c>
      <c r="C41" s="24">
        <v>2</v>
      </c>
      <c r="D41" s="24">
        <v>2</v>
      </c>
      <c r="E41" s="24" t="s">
        <v>46</v>
      </c>
      <c r="F41"/>
      <c r="G41"/>
      <c r="H41"/>
    </row>
    <row r="42" spans="1:8">
      <c r="A42" s="23">
        <v>7</v>
      </c>
      <c r="B42" s="24" t="s">
        <v>605</v>
      </c>
      <c r="C42" s="24">
        <v>1</v>
      </c>
      <c r="D42" s="24">
        <v>2</v>
      </c>
      <c r="E42" s="24" t="s">
        <v>88</v>
      </c>
      <c r="F42"/>
      <c r="G42"/>
      <c r="H42"/>
    </row>
    <row r="43" spans="1:8">
      <c r="A43" s="23">
        <v>7</v>
      </c>
      <c r="B43" s="24" t="s">
        <v>605</v>
      </c>
      <c r="C43" s="24">
        <v>2</v>
      </c>
      <c r="D43" s="24">
        <v>2</v>
      </c>
      <c r="E43" s="24" t="s">
        <v>77</v>
      </c>
      <c r="F43"/>
      <c r="G43"/>
      <c r="H43"/>
    </row>
    <row r="44" spans="1:8">
      <c r="A44" s="23">
        <v>7</v>
      </c>
      <c r="B44" s="24" t="s">
        <v>606</v>
      </c>
      <c r="C44" s="24">
        <v>1</v>
      </c>
      <c r="D44" s="24">
        <v>1</v>
      </c>
      <c r="E44" s="24" t="s">
        <v>328</v>
      </c>
      <c r="F44"/>
      <c r="G44"/>
      <c r="H44"/>
    </row>
    <row r="45" spans="1:8">
      <c r="A45" s="23">
        <v>7</v>
      </c>
      <c r="B45" s="24" t="s">
        <v>606</v>
      </c>
      <c r="C45" s="24">
        <v>2</v>
      </c>
      <c r="D45" s="24">
        <v>1</v>
      </c>
      <c r="E45" s="24" t="s">
        <v>21</v>
      </c>
      <c r="F45"/>
      <c r="G45"/>
      <c r="H45"/>
    </row>
    <row r="46" spans="1:8">
      <c r="A46" s="22">
        <v>8</v>
      </c>
      <c r="B46" s="21" t="s">
        <v>604</v>
      </c>
      <c r="C46" s="21">
        <v>1</v>
      </c>
      <c r="D46" s="21">
        <v>1</v>
      </c>
      <c r="E46" s="21" t="s">
        <v>25</v>
      </c>
      <c r="F46"/>
      <c r="G46"/>
      <c r="H46"/>
    </row>
    <row r="47" spans="1:8">
      <c r="A47" s="22">
        <v>8</v>
      </c>
      <c r="B47" s="21" t="s">
        <v>604</v>
      </c>
      <c r="C47" s="21">
        <v>2</v>
      </c>
      <c r="D47" s="21">
        <v>2</v>
      </c>
      <c r="E47" s="21" t="s">
        <v>350</v>
      </c>
      <c r="F47"/>
      <c r="G47"/>
      <c r="H47"/>
    </row>
    <row r="48" spans="1:8">
      <c r="A48" s="22">
        <v>8</v>
      </c>
      <c r="B48" s="21" t="s">
        <v>605</v>
      </c>
      <c r="C48" s="21">
        <v>1</v>
      </c>
      <c r="D48" s="21">
        <v>1</v>
      </c>
      <c r="E48" s="21" t="s">
        <v>330</v>
      </c>
      <c r="F48"/>
      <c r="G48"/>
      <c r="H48"/>
    </row>
    <row r="49" spans="1:8">
      <c r="A49" s="22">
        <v>8</v>
      </c>
      <c r="B49" s="21" t="s">
        <v>605</v>
      </c>
      <c r="C49" s="21">
        <v>2</v>
      </c>
      <c r="D49" s="21">
        <v>2</v>
      </c>
      <c r="E49" s="21" t="s">
        <v>355</v>
      </c>
      <c r="F49"/>
      <c r="G49"/>
      <c r="H49"/>
    </row>
    <row r="50" spans="1:8">
      <c r="A50" s="22">
        <v>8</v>
      </c>
      <c r="B50" s="21" t="s">
        <v>606</v>
      </c>
      <c r="C50" s="21">
        <v>1</v>
      </c>
      <c r="D50" s="21">
        <v>1</v>
      </c>
      <c r="E50" s="21" t="s">
        <v>24</v>
      </c>
      <c r="F50"/>
      <c r="G50"/>
      <c r="H50"/>
    </row>
    <row r="51" spans="1:8">
      <c r="A51" s="22">
        <v>8</v>
      </c>
      <c r="B51" s="21" t="s">
        <v>606</v>
      </c>
      <c r="C51" s="21">
        <v>2</v>
      </c>
      <c r="D51" s="21">
        <v>2</v>
      </c>
      <c r="E51" s="21" t="s">
        <v>356</v>
      </c>
      <c r="F51"/>
      <c r="G51"/>
      <c r="H51"/>
    </row>
    <row r="52" spans="1:8">
      <c r="A52" s="23">
        <v>9</v>
      </c>
      <c r="B52" s="24" t="s">
        <v>604</v>
      </c>
      <c r="C52" s="24">
        <v>1</v>
      </c>
      <c r="D52" s="24">
        <v>1</v>
      </c>
      <c r="E52" s="24" t="s">
        <v>27</v>
      </c>
      <c r="F52"/>
      <c r="G52"/>
      <c r="H52"/>
    </row>
    <row r="53" spans="1:8">
      <c r="A53" s="23">
        <v>9</v>
      </c>
      <c r="B53" s="24" t="s">
        <v>604</v>
      </c>
      <c r="C53" s="24">
        <v>2</v>
      </c>
      <c r="D53" s="24">
        <v>2</v>
      </c>
      <c r="E53" s="24" t="s">
        <v>305</v>
      </c>
      <c r="F53"/>
      <c r="G53"/>
      <c r="H53"/>
    </row>
    <row r="54" spans="1:8">
      <c r="A54" s="23">
        <v>9</v>
      </c>
      <c r="B54" s="24" t="s">
        <v>605</v>
      </c>
      <c r="C54" s="24">
        <v>1</v>
      </c>
      <c r="D54" s="24">
        <v>1</v>
      </c>
      <c r="E54" s="24" t="s">
        <v>331</v>
      </c>
      <c r="F54"/>
      <c r="G54"/>
      <c r="H54"/>
    </row>
    <row r="55" spans="1:8">
      <c r="A55" s="23">
        <v>9</v>
      </c>
      <c r="B55" s="24" t="s">
        <v>605</v>
      </c>
      <c r="C55" s="24">
        <v>2</v>
      </c>
      <c r="D55" s="24">
        <v>1</v>
      </c>
      <c r="E55" s="24" t="s">
        <v>332</v>
      </c>
      <c r="F55"/>
      <c r="G55"/>
      <c r="H55"/>
    </row>
    <row r="56" spans="1:8">
      <c r="A56" s="23">
        <v>9</v>
      </c>
      <c r="B56" s="24" t="s">
        <v>606</v>
      </c>
      <c r="C56" s="24">
        <v>1</v>
      </c>
      <c r="D56" s="24">
        <v>2</v>
      </c>
      <c r="E56" s="24" t="s">
        <v>351</v>
      </c>
      <c r="F56"/>
      <c r="G56"/>
      <c r="H56"/>
    </row>
    <row r="57" spans="1:8">
      <c r="A57" s="23">
        <v>9</v>
      </c>
      <c r="B57" s="24" t="s">
        <v>606</v>
      </c>
      <c r="C57" s="24">
        <v>2</v>
      </c>
      <c r="D57" s="24">
        <v>2</v>
      </c>
      <c r="E57" s="24" t="s">
        <v>352</v>
      </c>
      <c r="F57"/>
      <c r="G57"/>
      <c r="H57"/>
    </row>
    <row r="58" spans="1:8">
      <c r="A58" s="22">
        <v>10</v>
      </c>
      <c r="B58" s="21" t="s">
        <v>604</v>
      </c>
      <c r="C58" s="21">
        <v>1</v>
      </c>
      <c r="D58" s="21">
        <v>1</v>
      </c>
      <c r="E58" s="21" t="s">
        <v>335</v>
      </c>
      <c r="F58"/>
      <c r="G58"/>
      <c r="H58"/>
    </row>
    <row r="59" spans="1:8">
      <c r="A59" s="22">
        <v>10</v>
      </c>
      <c r="B59" s="21" t="s">
        <v>604</v>
      </c>
      <c r="C59" s="21">
        <v>2</v>
      </c>
      <c r="D59" s="21">
        <v>2</v>
      </c>
      <c r="E59" s="21" t="s">
        <v>345</v>
      </c>
      <c r="F59"/>
      <c r="G59"/>
      <c r="H59"/>
    </row>
    <row r="60" spans="1:8">
      <c r="A60" s="22">
        <v>10</v>
      </c>
      <c r="B60" s="21" t="s">
        <v>605</v>
      </c>
      <c r="C60" s="21">
        <v>1</v>
      </c>
      <c r="D60" s="21">
        <v>1</v>
      </c>
      <c r="E60" s="21" t="s">
        <v>334</v>
      </c>
      <c r="F60"/>
      <c r="G60"/>
      <c r="H60"/>
    </row>
    <row r="61" spans="1:8">
      <c r="A61" s="22">
        <v>10</v>
      </c>
      <c r="B61" s="21" t="s">
        <v>605</v>
      </c>
      <c r="C61" s="21">
        <v>2</v>
      </c>
      <c r="D61" s="21">
        <v>2</v>
      </c>
      <c r="E61" s="21" t="s">
        <v>370</v>
      </c>
      <c r="F61"/>
      <c r="G61"/>
      <c r="H61"/>
    </row>
    <row r="62" spans="1:8">
      <c r="A62" s="22">
        <v>10</v>
      </c>
      <c r="B62" s="21" t="s">
        <v>606</v>
      </c>
      <c r="C62" s="21">
        <v>1</v>
      </c>
      <c r="D62" s="21">
        <v>1</v>
      </c>
      <c r="E62" s="21" t="s">
        <v>333</v>
      </c>
      <c r="F62"/>
      <c r="G62"/>
      <c r="H62"/>
    </row>
    <row r="63" spans="1:8">
      <c r="A63" s="22">
        <v>10</v>
      </c>
      <c r="B63" s="21" t="s">
        <v>606</v>
      </c>
      <c r="C63" s="21">
        <v>2</v>
      </c>
      <c r="D63" s="21">
        <v>2</v>
      </c>
      <c r="E63" s="21" t="s">
        <v>85</v>
      </c>
      <c r="F63"/>
      <c r="G63"/>
      <c r="H63"/>
    </row>
    <row r="64" spans="1:8">
      <c r="A64" s="23">
        <v>11</v>
      </c>
      <c r="B64" s="24" t="s">
        <v>604</v>
      </c>
      <c r="C64" s="24">
        <v>1</v>
      </c>
      <c r="D64" s="24">
        <v>1</v>
      </c>
      <c r="E64" s="24" t="s">
        <v>17</v>
      </c>
      <c r="F64"/>
      <c r="G64"/>
      <c r="H64"/>
    </row>
    <row r="65" spans="1:8">
      <c r="A65" s="23">
        <v>11</v>
      </c>
      <c r="B65" s="24" t="s">
        <v>604</v>
      </c>
      <c r="C65" s="24">
        <v>2</v>
      </c>
      <c r="D65" s="24">
        <v>2</v>
      </c>
      <c r="E65" s="24" t="s">
        <v>75</v>
      </c>
      <c r="F65"/>
      <c r="G65"/>
      <c r="H65"/>
    </row>
    <row r="66" spans="1:8">
      <c r="A66" s="23">
        <v>11</v>
      </c>
      <c r="B66" s="24" t="s">
        <v>605</v>
      </c>
      <c r="C66" s="24">
        <v>1</v>
      </c>
      <c r="D66" s="24">
        <v>1</v>
      </c>
      <c r="E66" s="24" t="s">
        <v>18</v>
      </c>
      <c r="F66"/>
      <c r="G66"/>
      <c r="H66"/>
    </row>
    <row r="67" spans="1:8">
      <c r="A67" s="23">
        <v>11</v>
      </c>
      <c r="B67" s="24" t="s">
        <v>605</v>
      </c>
      <c r="C67" s="24">
        <v>2</v>
      </c>
      <c r="D67" s="24">
        <v>2</v>
      </c>
      <c r="E67" s="24" t="s">
        <v>86</v>
      </c>
      <c r="F67"/>
      <c r="G67"/>
      <c r="H67"/>
    </row>
    <row r="68" spans="1:8">
      <c r="A68" s="23">
        <v>11</v>
      </c>
      <c r="B68" s="24" t="s">
        <v>606</v>
      </c>
      <c r="C68" s="24">
        <v>1</v>
      </c>
      <c r="D68" s="24">
        <v>1</v>
      </c>
      <c r="E68" s="24" t="s">
        <v>19</v>
      </c>
      <c r="F68"/>
      <c r="G68"/>
      <c r="H68"/>
    </row>
    <row r="69" spans="1:8">
      <c r="A69" s="23">
        <v>11</v>
      </c>
      <c r="B69" s="24" t="s">
        <v>606</v>
      </c>
      <c r="C69" s="24">
        <v>2</v>
      </c>
      <c r="D69" s="24">
        <v>2</v>
      </c>
      <c r="E69" s="24" t="s">
        <v>241</v>
      </c>
      <c r="F69"/>
      <c r="G69"/>
      <c r="H69"/>
    </row>
    <row r="70" spans="1:8">
      <c r="A70" s="22">
        <v>12</v>
      </c>
      <c r="B70" s="21" t="s">
        <v>604</v>
      </c>
      <c r="C70" s="21">
        <v>1</v>
      </c>
      <c r="D70" s="21">
        <v>2</v>
      </c>
      <c r="E70" s="21" t="s">
        <v>68</v>
      </c>
      <c r="F70"/>
      <c r="G70"/>
      <c r="H70"/>
    </row>
    <row r="71" spans="1:8">
      <c r="A71" s="22">
        <v>12</v>
      </c>
      <c r="B71" s="21" t="s">
        <v>604</v>
      </c>
      <c r="C71" s="21">
        <v>2</v>
      </c>
      <c r="D71" s="21">
        <v>2</v>
      </c>
      <c r="E71" s="21" t="s">
        <v>353</v>
      </c>
      <c r="F71"/>
      <c r="G71"/>
      <c r="H71"/>
    </row>
    <row r="72" spans="1:8">
      <c r="A72" s="22">
        <v>12</v>
      </c>
      <c r="B72" s="21" t="s">
        <v>605</v>
      </c>
      <c r="C72" s="21">
        <v>1</v>
      </c>
      <c r="D72" s="21">
        <v>1</v>
      </c>
      <c r="E72" s="21" t="s">
        <v>20</v>
      </c>
      <c r="F72"/>
      <c r="G72"/>
      <c r="H72"/>
    </row>
    <row r="73" spans="1:8">
      <c r="A73" s="22">
        <v>12</v>
      </c>
      <c r="B73" s="21" t="s">
        <v>605</v>
      </c>
      <c r="C73" s="21">
        <v>2</v>
      </c>
      <c r="D73" s="21">
        <v>1</v>
      </c>
      <c r="E73" s="21" t="s">
        <v>227</v>
      </c>
      <c r="F73"/>
      <c r="G73"/>
      <c r="H73"/>
    </row>
    <row r="74" spans="1:8">
      <c r="A74" s="22">
        <v>12</v>
      </c>
      <c r="B74" s="21" t="s">
        <v>606</v>
      </c>
      <c r="C74" s="21">
        <v>1</v>
      </c>
      <c r="D74" s="21">
        <v>1</v>
      </c>
      <c r="E74" s="21" t="s">
        <v>22</v>
      </c>
      <c r="F74"/>
      <c r="G74"/>
      <c r="H74"/>
    </row>
    <row r="75" spans="1:8">
      <c r="A75" s="22">
        <v>12</v>
      </c>
      <c r="B75" s="21" t="s">
        <v>606</v>
      </c>
      <c r="C75" s="21">
        <v>2</v>
      </c>
      <c r="D75" s="21">
        <v>2</v>
      </c>
      <c r="E75" s="21" t="s">
        <v>76</v>
      </c>
      <c r="F75"/>
      <c r="G75"/>
      <c r="H75"/>
    </row>
    <row r="76" spans="1:8">
      <c r="A76" s="23">
        <v>13</v>
      </c>
      <c r="B76" s="24" t="s">
        <v>604</v>
      </c>
      <c r="C76" s="24">
        <v>1</v>
      </c>
      <c r="D76" s="24">
        <v>1</v>
      </c>
      <c r="E76" s="24" t="s">
        <v>228</v>
      </c>
      <c r="F76"/>
      <c r="G76"/>
      <c r="H76"/>
    </row>
    <row r="77" spans="1:8">
      <c r="A77" s="23">
        <v>13</v>
      </c>
      <c r="B77" s="24" t="s">
        <v>604</v>
      </c>
      <c r="C77" s="24">
        <v>2</v>
      </c>
      <c r="D77" s="24">
        <v>2</v>
      </c>
      <c r="E77" s="24" t="s">
        <v>357</v>
      </c>
      <c r="F77"/>
      <c r="G77"/>
      <c r="H77"/>
    </row>
    <row r="78" spans="1:8">
      <c r="A78" s="23">
        <v>13</v>
      </c>
      <c r="B78" s="24" t="s">
        <v>605</v>
      </c>
      <c r="C78" s="24">
        <v>1</v>
      </c>
      <c r="D78" s="24">
        <v>2</v>
      </c>
      <c r="E78" s="24" t="s">
        <v>58</v>
      </c>
      <c r="F78"/>
      <c r="G78"/>
      <c r="H78"/>
    </row>
    <row r="79" spans="1:8">
      <c r="A79" s="23">
        <v>13</v>
      </c>
      <c r="B79" s="24" t="s">
        <v>605</v>
      </c>
      <c r="C79" s="24">
        <v>2</v>
      </c>
      <c r="D79" s="24">
        <v>2</v>
      </c>
      <c r="E79" s="24" t="s">
        <v>236</v>
      </c>
      <c r="F79"/>
      <c r="G79"/>
      <c r="H79"/>
    </row>
    <row r="80" spans="1:8">
      <c r="A80" s="23">
        <v>13</v>
      </c>
      <c r="B80" s="24" t="s">
        <v>606</v>
      </c>
      <c r="C80" s="24">
        <v>1</v>
      </c>
      <c r="D80" s="24">
        <v>1</v>
      </c>
      <c r="E80" s="24" t="s">
        <v>229</v>
      </c>
      <c r="F80"/>
      <c r="G80"/>
      <c r="H80"/>
    </row>
    <row r="81" spans="1:8">
      <c r="A81" s="23">
        <v>13</v>
      </c>
      <c r="B81" s="24" t="s">
        <v>606</v>
      </c>
      <c r="C81" s="24">
        <v>2</v>
      </c>
      <c r="D81" s="24">
        <v>1</v>
      </c>
      <c r="E81" s="24" t="s">
        <v>23</v>
      </c>
      <c r="F81"/>
      <c r="G81"/>
      <c r="H81"/>
    </row>
    <row r="82" spans="1:8">
      <c r="A82" s="22">
        <v>14</v>
      </c>
      <c r="B82" s="21" t="s">
        <v>604</v>
      </c>
      <c r="C82" s="21">
        <v>1</v>
      </c>
      <c r="D82" s="21">
        <v>1</v>
      </c>
      <c r="E82" s="21" t="s">
        <v>26</v>
      </c>
      <c r="F82"/>
      <c r="G82"/>
      <c r="H82"/>
    </row>
    <row r="83" spans="1:8">
      <c r="A83" s="22">
        <v>14</v>
      </c>
      <c r="B83" s="21" t="s">
        <v>604</v>
      </c>
      <c r="C83" s="21">
        <v>2</v>
      </c>
      <c r="D83" s="21">
        <v>1</v>
      </c>
      <c r="E83" s="21" t="s">
        <v>230</v>
      </c>
      <c r="F83"/>
      <c r="G83"/>
      <c r="H83"/>
    </row>
    <row r="84" spans="1:8">
      <c r="A84" s="22">
        <v>14</v>
      </c>
      <c r="B84" s="21" t="s">
        <v>605</v>
      </c>
      <c r="C84" s="21">
        <v>1</v>
      </c>
      <c r="D84" s="21">
        <v>2</v>
      </c>
      <c r="E84" s="21" t="s">
        <v>341</v>
      </c>
      <c r="F84"/>
      <c r="G84"/>
      <c r="H84"/>
    </row>
    <row r="85" spans="1:8">
      <c r="A85" s="22">
        <v>14</v>
      </c>
      <c r="B85" s="21" t="s">
        <v>605</v>
      </c>
      <c r="C85" s="21">
        <v>2</v>
      </c>
      <c r="D85" s="21">
        <v>2</v>
      </c>
      <c r="E85" s="21" t="s">
        <v>359</v>
      </c>
      <c r="F85"/>
      <c r="G85"/>
      <c r="H85"/>
    </row>
    <row r="86" spans="1:8">
      <c r="A86" s="22">
        <v>14</v>
      </c>
      <c r="B86" s="21" t="s">
        <v>606</v>
      </c>
      <c r="C86" s="21">
        <v>1</v>
      </c>
      <c r="D86" s="21">
        <v>1</v>
      </c>
      <c r="E86" s="21" t="s">
        <v>28</v>
      </c>
      <c r="F86"/>
      <c r="G86"/>
      <c r="H86"/>
    </row>
    <row r="87" spans="1:8">
      <c r="A87" s="22">
        <v>14</v>
      </c>
      <c r="B87" s="21" t="s">
        <v>606</v>
      </c>
      <c r="C87" s="21">
        <v>2</v>
      </c>
      <c r="D87" s="21">
        <v>2</v>
      </c>
      <c r="E87" s="21" t="s">
        <v>358</v>
      </c>
      <c r="F87"/>
      <c r="G87"/>
      <c r="H87"/>
    </row>
    <row r="88" spans="1:8">
      <c r="A88" s="23">
        <v>15</v>
      </c>
      <c r="B88" s="24" t="s">
        <v>604</v>
      </c>
      <c r="C88" s="24">
        <v>1</v>
      </c>
      <c r="D88" s="24">
        <v>1</v>
      </c>
      <c r="E88" s="24" t="s">
        <v>31</v>
      </c>
      <c r="F88"/>
      <c r="G88"/>
      <c r="H88"/>
    </row>
    <row r="89" spans="1:8">
      <c r="A89" s="23">
        <v>15</v>
      </c>
      <c r="B89" s="24" t="s">
        <v>604</v>
      </c>
      <c r="C89" s="24">
        <v>2</v>
      </c>
      <c r="D89" s="24">
        <v>1</v>
      </c>
      <c r="E89" s="24" t="s">
        <v>30</v>
      </c>
      <c r="F89"/>
      <c r="G89"/>
      <c r="H89"/>
    </row>
    <row r="90" spans="1:8">
      <c r="A90" s="23">
        <v>15</v>
      </c>
      <c r="B90" s="24" t="s">
        <v>605</v>
      </c>
      <c r="C90" s="24">
        <v>1</v>
      </c>
      <c r="D90" s="24">
        <v>1</v>
      </c>
      <c r="E90" s="24" t="s">
        <v>29</v>
      </c>
      <c r="F90"/>
      <c r="G90"/>
      <c r="H90"/>
    </row>
    <row r="91" spans="1:8">
      <c r="A91" s="23">
        <v>15</v>
      </c>
      <c r="B91" s="24" t="s">
        <v>605</v>
      </c>
      <c r="C91" s="24">
        <v>2</v>
      </c>
      <c r="D91" s="24">
        <v>2</v>
      </c>
      <c r="E91" s="24" t="s">
        <v>84</v>
      </c>
      <c r="F91"/>
      <c r="G91"/>
      <c r="H91"/>
    </row>
    <row r="92" spans="1:8">
      <c r="A92" s="23">
        <v>15</v>
      </c>
      <c r="B92" s="24" t="s">
        <v>606</v>
      </c>
      <c r="C92" s="24">
        <v>1</v>
      </c>
      <c r="D92" s="24">
        <v>2</v>
      </c>
      <c r="E92" s="24" t="s">
        <v>70</v>
      </c>
      <c r="F92"/>
      <c r="G92"/>
      <c r="H92"/>
    </row>
    <row r="93" spans="1:8">
      <c r="A93" s="23">
        <v>15</v>
      </c>
      <c r="B93" s="24" t="s">
        <v>606</v>
      </c>
      <c r="C93" s="24">
        <v>2</v>
      </c>
      <c r="D93" s="24">
        <v>2</v>
      </c>
      <c r="E93" s="24" t="s">
        <v>78</v>
      </c>
      <c r="F93"/>
      <c r="G93"/>
      <c r="H93"/>
    </row>
    <row r="94" spans="1:8">
      <c r="A94" s="22">
        <v>16</v>
      </c>
      <c r="B94" s="21" t="s">
        <v>604</v>
      </c>
      <c r="C94" s="21">
        <v>1</v>
      </c>
      <c r="D94" s="21">
        <v>2</v>
      </c>
      <c r="E94" s="21" t="s">
        <v>71</v>
      </c>
      <c r="F94"/>
      <c r="G94"/>
      <c r="H94"/>
    </row>
    <row r="95" spans="1:8">
      <c r="A95" s="22">
        <v>16</v>
      </c>
      <c r="B95" s="21" t="s">
        <v>604</v>
      </c>
      <c r="C95" s="21">
        <v>2</v>
      </c>
      <c r="D95" s="21">
        <v>2</v>
      </c>
      <c r="E95" s="21" t="s">
        <v>62</v>
      </c>
      <c r="F95"/>
      <c r="G95"/>
      <c r="H95"/>
    </row>
    <row r="96" spans="1:8">
      <c r="A96" s="22">
        <v>16</v>
      </c>
      <c r="B96" s="21" t="s">
        <v>605</v>
      </c>
      <c r="C96" s="21">
        <v>1</v>
      </c>
      <c r="D96" s="21">
        <v>1</v>
      </c>
      <c r="E96" s="21" t="s">
        <v>326</v>
      </c>
      <c r="F96"/>
      <c r="G96"/>
      <c r="H96"/>
    </row>
    <row r="97" spans="1:8">
      <c r="A97" s="22">
        <v>16</v>
      </c>
      <c r="B97" s="21" t="s">
        <v>605</v>
      </c>
      <c r="C97" s="21">
        <v>2</v>
      </c>
      <c r="D97" s="21">
        <v>1</v>
      </c>
      <c r="E97" s="21" t="s">
        <v>327</v>
      </c>
      <c r="F97"/>
      <c r="G97"/>
      <c r="H97"/>
    </row>
    <row r="98" spans="1:8">
      <c r="A98" s="22">
        <v>16</v>
      </c>
      <c r="B98" s="21" t="s">
        <v>606</v>
      </c>
      <c r="C98" s="21">
        <v>1</v>
      </c>
      <c r="D98" s="21">
        <v>1</v>
      </c>
      <c r="E98" s="21" t="s">
        <v>325</v>
      </c>
      <c r="F98"/>
      <c r="G98"/>
      <c r="H98"/>
    </row>
    <row r="99" spans="1:8">
      <c r="A99" s="22">
        <v>16</v>
      </c>
      <c r="B99" s="21" t="s">
        <v>606</v>
      </c>
      <c r="C99" s="21">
        <v>2</v>
      </c>
      <c r="D99" s="21">
        <v>2</v>
      </c>
      <c r="E99" s="21" t="s">
        <v>115</v>
      </c>
      <c r="F99"/>
      <c r="G99"/>
      <c r="H99"/>
    </row>
    <row r="100" spans="1:8">
      <c r="A100" s="23">
        <v>17</v>
      </c>
      <c r="B100" s="24" t="s">
        <v>604</v>
      </c>
      <c r="C100" s="24">
        <v>1</v>
      </c>
      <c r="D100" s="24">
        <v>1</v>
      </c>
      <c r="E100" s="24" t="s">
        <v>328</v>
      </c>
      <c r="F100"/>
      <c r="G100"/>
      <c r="H100"/>
    </row>
    <row r="101" spans="1:8">
      <c r="A101" s="23">
        <v>17</v>
      </c>
      <c r="B101" s="24" t="s">
        <v>604</v>
      </c>
      <c r="C101" s="24">
        <v>2</v>
      </c>
      <c r="D101" s="24">
        <v>2</v>
      </c>
      <c r="E101" s="24" t="s">
        <v>79</v>
      </c>
      <c r="F101"/>
      <c r="G101"/>
      <c r="H101"/>
    </row>
    <row r="102" spans="1:8">
      <c r="A102" s="23">
        <v>17</v>
      </c>
      <c r="B102" s="24" t="s">
        <v>605</v>
      </c>
      <c r="C102" s="24">
        <v>1</v>
      </c>
      <c r="D102" s="24">
        <v>1</v>
      </c>
      <c r="E102" s="24" t="s">
        <v>21</v>
      </c>
      <c r="F102"/>
      <c r="G102"/>
      <c r="H102"/>
    </row>
    <row r="103" spans="1:8">
      <c r="A103" s="23">
        <v>17</v>
      </c>
      <c r="B103" s="24" t="s">
        <v>605</v>
      </c>
      <c r="C103" s="24">
        <v>2</v>
      </c>
      <c r="D103" s="24">
        <v>2</v>
      </c>
      <c r="E103" s="24" t="s">
        <v>247</v>
      </c>
      <c r="F103"/>
      <c r="G103"/>
      <c r="H103"/>
    </row>
    <row r="104" spans="1:8">
      <c r="A104" s="23">
        <v>17</v>
      </c>
      <c r="B104" s="24" t="s">
        <v>606</v>
      </c>
      <c r="C104" s="24">
        <v>1</v>
      </c>
      <c r="D104" s="24">
        <v>1</v>
      </c>
      <c r="E104" s="24" t="s">
        <v>329</v>
      </c>
      <c r="F104"/>
      <c r="G104"/>
      <c r="H104"/>
    </row>
    <row r="105" spans="1:8">
      <c r="A105" s="23">
        <v>17</v>
      </c>
      <c r="B105" s="24" t="s">
        <v>606</v>
      </c>
      <c r="C105" s="24">
        <v>2</v>
      </c>
      <c r="D105" s="24">
        <v>2</v>
      </c>
      <c r="E105" s="24" t="s">
        <v>54</v>
      </c>
      <c r="F105"/>
      <c r="G105"/>
      <c r="H105"/>
    </row>
    <row r="106" spans="1:8">
      <c r="A106" s="22">
        <v>18</v>
      </c>
      <c r="B106" s="21" t="s">
        <v>604</v>
      </c>
      <c r="C106" s="21">
        <v>1</v>
      </c>
      <c r="D106" s="21">
        <v>2</v>
      </c>
      <c r="E106" s="21" t="s">
        <v>249</v>
      </c>
      <c r="F106"/>
      <c r="G106"/>
      <c r="H106"/>
    </row>
    <row r="107" spans="1:8">
      <c r="A107" s="22">
        <v>18</v>
      </c>
      <c r="B107" s="21" t="s">
        <v>604</v>
      </c>
      <c r="C107" s="21">
        <v>2</v>
      </c>
      <c r="D107" s="21">
        <v>2</v>
      </c>
      <c r="E107" s="21" t="s">
        <v>69</v>
      </c>
      <c r="F107"/>
      <c r="G107"/>
      <c r="H107"/>
    </row>
    <row r="108" spans="1:8">
      <c r="A108" s="22">
        <v>18</v>
      </c>
      <c r="B108" s="21" t="s">
        <v>605</v>
      </c>
      <c r="C108" s="21">
        <v>1</v>
      </c>
      <c r="D108" s="21">
        <v>1</v>
      </c>
      <c r="E108" s="21" t="s">
        <v>25</v>
      </c>
      <c r="F108"/>
      <c r="G108"/>
      <c r="H108"/>
    </row>
    <row r="109" spans="1:8">
      <c r="A109" s="22">
        <v>18</v>
      </c>
      <c r="B109" s="21" t="s">
        <v>605</v>
      </c>
      <c r="C109" s="21">
        <v>2</v>
      </c>
      <c r="D109" s="21">
        <v>2</v>
      </c>
      <c r="E109" s="21" t="s">
        <v>248</v>
      </c>
      <c r="F109"/>
      <c r="G109"/>
      <c r="H109"/>
    </row>
    <row r="110" spans="1:8">
      <c r="A110" s="22">
        <v>18</v>
      </c>
      <c r="B110" s="21" t="s">
        <v>606</v>
      </c>
      <c r="C110" s="21">
        <v>1</v>
      </c>
      <c r="D110" s="21">
        <v>1</v>
      </c>
      <c r="E110" s="21" t="s">
        <v>330</v>
      </c>
      <c r="F110"/>
      <c r="G110"/>
      <c r="H110"/>
    </row>
    <row r="111" spans="1:8">
      <c r="A111" s="22">
        <v>18</v>
      </c>
      <c r="B111" s="21" t="s">
        <v>606</v>
      </c>
      <c r="C111" s="21">
        <v>2</v>
      </c>
      <c r="D111" s="21">
        <v>1</v>
      </c>
      <c r="E111" s="21" t="s">
        <v>24</v>
      </c>
      <c r="F111"/>
      <c r="G111"/>
      <c r="H111"/>
    </row>
    <row r="112" spans="1:8">
      <c r="A112" s="23">
        <v>19</v>
      </c>
      <c r="B112" s="24" t="s">
        <v>604</v>
      </c>
      <c r="C112" s="24">
        <v>1</v>
      </c>
      <c r="D112" s="24">
        <v>1</v>
      </c>
      <c r="E112" s="24" t="s">
        <v>332</v>
      </c>
      <c r="F112"/>
      <c r="G112"/>
      <c r="H112"/>
    </row>
    <row r="113" spans="1:8">
      <c r="A113" s="23">
        <v>19</v>
      </c>
      <c r="B113" s="24" t="s">
        <v>604</v>
      </c>
      <c r="C113" s="24">
        <v>2</v>
      </c>
      <c r="D113" s="24">
        <v>2</v>
      </c>
      <c r="E113" s="24" t="s">
        <v>296</v>
      </c>
      <c r="F113"/>
      <c r="G113"/>
      <c r="H113"/>
    </row>
    <row r="114" spans="1:8">
      <c r="A114" s="23">
        <v>19</v>
      </c>
      <c r="B114" s="24" t="s">
        <v>605</v>
      </c>
      <c r="C114" s="24">
        <v>1</v>
      </c>
      <c r="D114" s="24">
        <v>1</v>
      </c>
      <c r="E114" s="24" t="s">
        <v>27</v>
      </c>
      <c r="F114"/>
      <c r="G114"/>
      <c r="H114"/>
    </row>
    <row r="115" spans="1:8">
      <c r="A115" s="23">
        <v>19</v>
      </c>
      <c r="B115" s="24" t="s">
        <v>605</v>
      </c>
      <c r="C115" s="24">
        <v>2</v>
      </c>
      <c r="D115" s="24">
        <v>1</v>
      </c>
      <c r="E115" s="24" t="s">
        <v>331</v>
      </c>
      <c r="F115"/>
      <c r="G115"/>
      <c r="H115"/>
    </row>
    <row r="116" spans="1:8">
      <c r="A116" s="23">
        <v>19</v>
      </c>
      <c r="B116" s="24" t="s">
        <v>606</v>
      </c>
      <c r="C116" s="24">
        <v>1</v>
      </c>
      <c r="D116" s="24">
        <v>2</v>
      </c>
      <c r="E116" s="24" t="s">
        <v>63</v>
      </c>
      <c r="F116"/>
      <c r="G116"/>
      <c r="H116"/>
    </row>
    <row r="117" spans="1:8">
      <c r="A117" s="23">
        <v>19</v>
      </c>
      <c r="B117" s="24" t="s">
        <v>606</v>
      </c>
      <c r="C117" s="24">
        <v>2</v>
      </c>
      <c r="D117" s="24">
        <v>2</v>
      </c>
      <c r="E117" s="24" t="s">
        <v>239</v>
      </c>
      <c r="F117"/>
      <c r="G117"/>
      <c r="H117"/>
    </row>
    <row r="118" spans="1:8">
      <c r="A118" s="22">
        <v>20</v>
      </c>
      <c r="B118" s="21" t="s">
        <v>604</v>
      </c>
      <c r="C118" s="21">
        <v>1</v>
      </c>
      <c r="D118" s="21">
        <v>1</v>
      </c>
      <c r="E118" s="21" t="s">
        <v>334</v>
      </c>
      <c r="F118"/>
      <c r="G118"/>
      <c r="H118"/>
    </row>
    <row r="119" spans="1:8">
      <c r="A119" s="22">
        <v>20</v>
      </c>
      <c r="B119" s="21" t="s">
        <v>604</v>
      </c>
      <c r="C119" s="21">
        <v>2</v>
      </c>
      <c r="D119" s="21">
        <v>1</v>
      </c>
      <c r="E119" s="21" t="s">
        <v>333</v>
      </c>
      <c r="F119"/>
      <c r="G119"/>
      <c r="H119"/>
    </row>
    <row r="120" spans="1:8">
      <c r="A120" s="22">
        <v>20</v>
      </c>
      <c r="B120" s="21" t="s">
        <v>605</v>
      </c>
      <c r="C120" s="21">
        <v>1</v>
      </c>
      <c r="D120" s="21">
        <v>2</v>
      </c>
      <c r="E120" s="21" t="s">
        <v>240</v>
      </c>
      <c r="F120"/>
      <c r="G120"/>
      <c r="H120"/>
    </row>
    <row r="121" spans="1:8">
      <c r="A121" s="22">
        <v>20</v>
      </c>
      <c r="B121" s="21" t="s">
        <v>605</v>
      </c>
      <c r="C121" s="21">
        <v>2</v>
      </c>
      <c r="D121" s="21">
        <v>2</v>
      </c>
      <c r="E121" s="21" t="s">
        <v>51</v>
      </c>
      <c r="F121"/>
      <c r="G121"/>
      <c r="H121"/>
    </row>
    <row r="122" spans="1:8">
      <c r="A122" s="22">
        <v>20</v>
      </c>
      <c r="B122" s="21" t="s">
        <v>606</v>
      </c>
      <c r="C122" s="21">
        <v>1</v>
      </c>
      <c r="D122" s="21">
        <v>1</v>
      </c>
      <c r="E122" s="21" t="s">
        <v>335</v>
      </c>
      <c r="F122"/>
      <c r="G122"/>
      <c r="H122"/>
    </row>
    <row r="123" spans="1:8">
      <c r="A123" s="22">
        <v>20</v>
      </c>
      <c r="B123" s="21" t="s">
        <v>606</v>
      </c>
      <c r="C123" s="21">
        <v>2</v>
      </c>
      <c r="D123" s="21">
        <v>2</v>
      </c>
      <c r="E123" s="21" t="s">
        <v>87</v>
      </c>
      <c r="F123"/>
      <c r="G123"/>
      <c r="H123"/>
    </row>
    <row r="124" spans="1:8">
      <c r="A124" s="23">
        <v>21</v>
      </c>
      <c r="B124" s="24" t="s">
        <v>604</v>
      </c>
      <c r="C124" s="24">
        <v>1</v>
      </c>
      <c r="D124" s="24">
        <v>2</v>
      </c>
      <c r="E124" s="24" t="s">
        <v>88</v>
      </c>
      <c r="F124"/>
      <c r="G124"/>
      <c r="H124"/>
    </row>
    <row r="125" spans="1:8">
      <c r="A125" s="23">
        <v>21</v>
      </c>
      <c r="B125" s="24" t="s">
        <v>605</v>
      </c>
      <c r="C125" s="24">
        <v>1</v>
      </c>
      <c r="D125" s="24">
        <v>2</v>
      </c>
      <c r="E125" s="24" t="s">
        <v>77</v>
      </c>
      <c r="F125"/>
      <c r="G125"/>
      <c r="H125"/>
    </row>
    <row r="126" spans="1:8">
      <c r="A126" s="23">
        <v>21</v>
      </c>
      <c r="B126" s="24" t="s">
        <v>606</v>
      </c>
      <c r="C126" s="24">
        <v>1</v>
      </c>
      <c r="D126" s="24">
        <v>2</v>
      </c>
      <c r="E126" s="24" t="s">
        <v>46</v>
      </c>
      <c r="F126"/>
      <c r="G126"/>
      <c r="H126"/>
    </row>
    <row r="127" spans="1:8">
      <c r="A127" s="22">
        <v>22</v>
      </c>
      <c r="B127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27" s="21">
        <v>1</v>
      </c>
      <c r="D127" s="21" t="s">
        <v>479</v>
      </c>
      <c r="E127" s="21" t="s">
        <v>89</v>
      </c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14">
      <c r="A129"/>
      <c r="B129"/>
      <c r="C129"/>
      <c r="D129"/>
      <c r="E129"/>
      <c r="F129"/>
      <c r="G129"/>
      <c r="H129"/>
    </row>
    <row r="130" spans="1:14" ht="15.5">
      <c r="A130"/>
      <c r="B130" s="41" t="s">
        <v>761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</row>
    <row r="131" spans="1:14">
      <c r="A131"/>
      <c r="B131" s="42" t="s">
        <v>608</v>
      </c>
      <c r="C131" s="43" t="s">
        <v>762</v>
      </c>
      <c r="D131" s="43"/>
      <c r="E131" s="43"/>
      <c r="F131" s="43" t="s">
        <v>610</v>
      </c>
      <c r="G131" s="43"/>
      <c r="H131" s="46"/>
      <c r="I131" s="42" t="s">
        <v>608</v>
      </c>
      <c r="J131" s="43" t="s">
        <v>769</v>
      </c>
      <c r="K131" s="43"/>
      <c r="L131" s="43"/>
      <c r="M131" s="43" t="s">
        <v>610</v>
      </c>
      <c r="N131" s="43"/>
    </row>
    <row r="132" spans="1:14">
      <c r="A132"/>
      <c r="B132" s="44">
        <v>1</v>
      </c>
      <c r="C132" s="45" t="s">
        <v>763</v>
      </c>
      <c r="D132" s="45"/>
      <c r="E132" s="45"/>
      <c r="F132" s="45" t="s">
        <v>613</v>
      </c>
      <c r="G132" s="45"/>
      <c r="H132" s="46"/>
      <c r="I132" s="44">
        <v>7</v>
      </c>
      <c r="J132" s="45" t="s">
        <v>509</v>
      </c>
      <c r="K132" s="45"/>
      <c r="L132" s="45"/>
      <c r="M132" s="45" t="s">
        <v>611</v>
      </c>
      <c r="N132" s="45"/>
    </row>
    <row r="133" spans="1:14">
      <c r="A133"/>
      <c r="B133" s="44">
        <v>2</v>
      </c>
      <c r="C133" s="45" t="s">
        <v>764</v>
      </c>
      <c r="D133" s="45"/>
      <c r="E133" s="45"/>
      <c r="F133" s="45" t="s">
        <v>615</v>
      </c>
      <c r="G133" s="45"/>
      <c r="H133" s="46"/>
      <c r="I133" s="44">
        <v>8</v>
      </c>
      <c r="J133" s="45" t="s">
        <v>770</v>
      </c>
      <c r="K133" s="45"/>
      <c r="L133" s="45"/>
      <c r="M133" s="45" t="s">
        <v>615</v>
      </c>
      <c r="N133" s="45"/>
    </row>
    <row r="134" spans="1:14">
      <c r="A134"/>
      <c r="B134" s="44">
        <v>3</v>
      </c>
      <c r="C134" s="45" t="s">
        <v>765</v>
      </c>
      <c r="D134" s="45"/>
      <c r="E134" s="45"/>
      <c r="F134" s="45" t="s">
        <v>615</v>
      </c>
      <c r="G134" s="45"/>
      <c r="H134" s="46"/>
      <c r="I134" s="44">
        <v>9</v>
      </c>
      <c r="J134" s="45" t="s">
        <v>771</v>
      </c>
      <c r="K134" s="45"/>
      <c r="L134" s="45"/>
      <c r="M134" s="45" t="s">
        <v>615</v>
      </c>
      <c r="N134" s="45"/>
    </row>
    <row r="135" spans="1:14">
      <c r="A135"/>
      <c r="B135" s="44">
        <v>4</v>
      </c>
      <c r="C135" s="45" t="s">
        <v>766</v>
      </c>
      <c r="D135" s="45"/>
      <c r="E135" s="45"/>
      <c r="F135" s="45" t="s">
        <v>615</v>
      </c>
      <c r="G135" s="45"/>
      <c r="H135" s="46"/>
      <c r="I135" s="44">
        <v>10</v>
      </c>
      <c r="J135" s="45" t="s">
        <v>772</v>
      </c>
      <c r="K135" s="45"/>
      <c r="L135" s="45"/>
      <c r="M135" s="45" t="s">
        <v>615</v>
      </c>
      <c r="N135" s="45"/>
    </row>
    <row r="136" spans="1:14">
      <c r="A136"/>
      <c r="B136" s="44">
        <v>5</v>
      </c>
      <c r="C136" s="45" t="s">
        <v>767</v>
      </c>
      <c r="D136" s="45"/>
      <c r="E136" s="45"/>
      <c r="F136" s="45" t="s">
        <v>615</v>
      </c>
      <c r="G136" s="45"/>
      <c r="H136" s="46"/>
      <c r="I136" s="44">
        <v>11</v>
      </c>
      <c r="J136" s="45" t="s">
        <v>773</v>
      </c>
      <c r="K136" s="45"/>
      <c r="L136" s="45"/>
      <c r="M136" s="45" t="s">
        <v>615</v>
      </c>
      <c r="N136" s="45"/>
    </row>
    <row r="137" spans="1:14">
      <c r="A137"/>
      <c r="B137" s="44">
        <v>6</v>
      </c>
      <c r="C137" s="45" t="s">
        <v>768</v>
      </c>
      <c r="D137" s="45"/>
      <c r="E137" s="45"/>
      <c r="F137" s="45" t="s">
        <v>615</v>
      </c>
      <c r="G137" s="45"/>
      <c r="H137" s="46"/>
      <c r="I137" s="44">
        <v>12</v>
      </c>
      <c r="J137" s="45" t="s">
        <v>774</v>
      </c>
      <c r="K137" s="45"/>
      <c r="L137" s="45"/>
      <c r="M137" s="45" t="s">
        <v>615</v>
      </c>
      <c r="N137" s="45"/>
    </row>
    <row r="138" spans="1:14">
      <c r="A138"/>
      <c r="B138" s="46"/>
      <c r="C138" s="46"/>
      <c r="D138" s="46"/>
      <c r="E138" s="46"/>
      <c r="F138" s="46"/>
      <c r="G138" s="46"/>
      <c r="H138" s="46"/>
      <c r="I138" s="44">
        <v>13</v>
      </c>
      <c r="J138" s="45" t="s">
        <v>775</v>
      </c>
      <c r="K138" s="45"/>
      <c r="L138" s="45"/>
      <c r="M138" s="45" t="s">
        <v>615</v>
      </c>
      <c r="N138" s="45"/>
    </row>
    <row r="139" spans="1:14">
      <c r="A139"/>
      <c r="B139"/>
      <c r="C139"/>
      <c r="D139"/>
      <c r="E139"/>
      <c r="F139"/>
      <c r="G139"/>
      <c r="H139"/>
    </row>
    <row r="140" spans="1:14">
      <c r="A140"/>
      <c r="B140"/>
      <c r="C140"/>
      <c r="D140"/>
      <c r="E140"/>
      <c r="F140"/>
      <c r="G140"/>
      <c r="H140"/>
    </row>
    <row r="141" spans="1:14" ht="15.5">
      <c r="A141"/>
      <c r="B141" s="41" t="s">
        <v>776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</row>
    <row r="142" spans="1:14">
      <c r="A142"/>
      <c r="B142" s="42" t="s">
        <v>608</v>
      </c>
      <c r="C142" s="43" t="s">
        <v>762</v>
      </c>
      <c r="D142" s="43"/>
      <c r="E142" s="43"/>
      <c r="F142" s="43" t="s">
        <v>610</v>
      </c>
      <c r="G142" s="43"/>
      <c r="H142" s="46"/>
      <c r="I142" s="42" t="s">
        <v>608</v>
      </c>
      <c r="J142" s="43" t="s">
        <v>769</v>
      </c>
      <c r="K142" s="43"/>
      <c r="L142" s="43"/>
      <c r="M142" s="43" t="s">
        <v>610</v>
      </c>
      <c r="N142" s="43"/>
    </row>
    <row r="143" spans="1:14">
      <c r="A143"/>
      <c r="B143" s="44">
        <v>1</v>
      </c>
      <c r="C143" s="45" t="s">
        <v>777</v>
      </c>
      <c r="D143" s="45"/>
      <c r="E143" s="45"/>
      <c r="F143" s="45" t="s">
        <v>611</v>
      </c>
      <c r="G143" s="45"/>
      <c r="H143" s="46"/>
      <c r="I143" s="44">
        <v>7</v>
      </c>
      <c r="J143" s="45" t="s">
        <v>783</v>
      </c>
      <c r="K143" s="45"/>
      <c r="L143" s="45"/>
      <c r="M143" s="45" t="s">
        <v>611</v>
      </c>
      <c r="N143" s="45"/>
    </row>
    <row r="144" spans="1:14">
      <c r="A144"/>
      <c r="B144" s="44">
        <v>2</v>
      </c>
      <c r="C144" s="45" t="s">
        <v>778</v>
      </c>
      <c r="D144" s="45"/>
      <c r="E144" s="45"/>
      <c r="F144" s="45" t="s">
        <v>613</v>
      </c>
      <c r="G144" s="45"/>
      <c r="H144" s="46"/>
      <c r="I144" s="44">
        <v>8</v>
      </c>
      <c r="J144" s="45" t="s">
        <v>784</v>
      </c>
      <c r="K144" s="45"/>
      <c r="L144" s="45"/>
      <c r="M144" s="45" t="s">
        <v>611</v>
      </c>
      <c r="N144" s="45"/>
    </row>
    <row r="145" spans="1:14">
      <c r="A145"/>
      <c r="B145" s="44">
        <v>3</v>
      </c>
      <c r="C145" s="45" t="s">
        <v>779</v>
      </c>
      <c r="D145" s="45"/>
      <c r="E145" s="45"/>
      <c r="F145" s="45" t="s">
        <v>613</v>
      </c>
      <c r="G145" s="45"/>
      <c r="H145" s="46"/>
      <c r="I145" s="44">
        <v>9</v>
      </c>
      <c r="J145" s="45" t="s">
        <v>785</v>
      </c>
      <c r="K145" s="45"/>
      <c r="L145" s="45"/>
      <c r="M145" s="45" t="s">
        <v>613</v>
      </c>
      <c r="N145" s="45"/>
    </row>
    <row r="146" spans="1:14">
      <c r="A146"/>
      <c r="B146" s="44">
        <v>4</v>
      </c>
      <c r="C146" s="45" t="s">
        <v>780</v>
      </c>
      <c r="D146" s="45"/>
      <c r="E146" s="45"/>
      <c r="F146" s="45" t="s">
        <v>613</v>
      </c>
      <c r="G146" s="45"/>
      <c r="H146" s="46"/>
      <c r="I146" s="44">
        <v>10</v>
      </c>
      <c r="J146" s="45" t="s">
        <v>786</v>
      </c>
      <c r="K146" s="45"/>
      <c r="L146" s="45"/>
      <c r="M146" s="45" t="s">
        <v>613</v>
      </c>
      <c r="N146" s="45"/>
    </row>
    <row r="147" spans="1:14">
      <c r="A147"/>
      <c r="B147" s="44">
        <v>5</v>
      </c>
      <c r="C147" s="45" t="s">
        <v>781</v>
      </c>
      <c r="D147" s="45"/>
      <c r="E147" s="45"/>
      <c r="F147" s="45" t="s">
        <v>613</v>
      </c>
      <c r="G147" s="45"/>
      <c r="H147" s="46"/>
      <c r="I147" s="44">
        <v>11</v>
      </c>
      <c r="J147" s="45" t="s">
        <v>787</v>
      </c>
      <c r="K147" s="45"/>
      <c r="L147" s="45"/>
      <c r="M147" s="45" t="s">
        <v>613</v>
      </c>
      <c r="N147" s="45"/>
    </row>
    <row r="148" spans="1:14">
      <c r="A148"/>
      <c r="B148" s="44">
        <v>6</v>
      </c>
      <c r="C148" s="45" t="s">
        <v>782</v>
      </c>
      <c r="D148" s="45"/>
      <c r="E148" s="45"/>
      <c r="F148" s="45" t="s">
        <v>615</v>
      </c>
      <c r="G148" s="45"/>
      <c r="H148" s="46"/>
      <c r="I148" s="44">
        <v>12</v>
      </c>
      <c r="J148" s="45" t="s">
        <v>788</v>
      </c>
      <c r="K148" s="45"/>
      <c r="L148" s="45"/>
      <c r="M148" s="45" t="s">
        <v>615</v>
      </c>
      <c r="N148" s="45"/>
    </row>
    <row r="149" spans="1:14">
      <c r="A149"/>
      <c r="B149" s="46"/>
      <c r="C149" s="46"/>
      <c r="D149" s="46"/>
      <c r="E149" s="46"/>
      <c r="F149" s="46"/>
      <c r="G149" s="46"/>
      <c r="H149" s="46"/>
      <c r="I149" s="44">
        <v>13</v>
      </c>
      <c r="J149" s="45" t="s">
        <v>789</v>
      </c>
      <c r="K149" s="45"/>
      <c r="L149" s="45"/>
      <c r="M149" s="45" t="s">
        <v>615</v>
      </c>
      <c r="N149" s="45"/>
    </row>
    <row r="150" spans="1:14">
      <c r="A150"/>
      <c r="B150"/>
      <c r="C150"/>
      <c r="D150"/>
      <c r="E150"/>
      <c r="F150"/>
      <c r="G150"/>
      <c r="H150"/>
    </row>
    <row r="151" spans="1:14">
      <c r="A151"/>
      <c r="B151"/>
      <c r="C151"/>
      <c r="D151"/>
      <c r="E151"/>
      <c r="F151"/>
      <c r="G151"/>
      <c r="H151"/>
    </row>
    <row r="152" spans="1:14">
      <c r="A152"/>
      <c r="B152"/>
      <c r="C152"/>
      <c r="D152"/>
      <c r="E152"/>
      <c r="F152"/>
      <c r="G152"/>
      <c r="H152"/>
    </row>
    <row r="153" spans="1:14">
      <c r="A153"/>
      <c r="B153"/>
      <c r="C153"/>
      <c r="D153"/>
      <c r="E153"/>
      <c r="F153"/>
      <c r="G153"/>
      <c r="H153"/>
    </row>
    <row r="154" spans="1:14">
      <c r="A154"/>
      <c r="B154"/>
      <c r="C154"/>
      <c r="D154"/>
      <c r="E154"/>
      <c r="F154"/>
      <c r="G154"/>
      <c r="H154"/>
    </row>
    <row r="155" spans="1:14">
      <c r="A155"/>
      <c r="B155"/>
      <c r="C155"/>
      <c r="D155"/>
      <c r="E155"/>
      <c r="F155"/>
      <c r="G155"/>
      <c r="H155"/>
    </row>
    <row r="156" spans="1:14">
      <c r="A156"/>
      <c r="B156"/>
      <c r="C156"/>
      <c r="D156"/>
      <c r="E156"/>
      <c r="F156"/>
      <c r="G156"/>
      <c r="H156"/>
    </row>
    <row r="157" spans="1:14">
      <c r="A157"/>
      <c r="B157"/>
      <c r="C157"/>
      <c r="D157"/>
      <c r="E157"/>
      <c r="F157"/>
      <c r="G157"/>
      <c r="H157"/>
    </row>
    <row r="158" spans="1:14">
      <c r="A158"/>
      <c r="B158"/>
      <c r="C158"/>
      <c r="D158"/>
      <c r="E158"/>
      <c r="F158"/>
      <c r="G158"/>
      <c r="H158"/>
    </row>
    <row r="159" spans="1:14">
      <c r="A159"/>
      <c r="B159"/>
      <c r="C159"/>
      <c r="D159"/>
      <c r="E159"/>
      <c r="F159"/>
      <c r="G159"/>
      <c r="H159"/>
    </row>
    <row r="160" spans="1:14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  <row r="782" s="9" customFormat="1"/>
    <row r="783" s="9" customFormat="1"/>
    <row r="784" s="9" customFormat="1"/>
  </sheetData>
  <mergeCells count="63">
    <mergeCell ref="M147:N147"/>
    <mergeCell ref="J148:L148"/>
    <mergeCell ref="M148:N148"/>
    <mergeCell ref="J149:L149"/>
    <mergeCell ref="M149:N149"/>
    <mergeCell ref="M144:N144"/>
    <mergeCell ref="J145:L145"/>
    <mergeCell ref="M145:N145"/>
    <mergeCell ref="J146:L146"/>
    <mergeCell ref="M146:N146"/>
    <mergeCell ref="C147:E147"/>
    <mergeCell ref="F147:G147"/>
    <mergeCell ref="C148:E148"/>
    <mergeCell ref="F148:G148"/>
    <mergeCell ref="J142:L142"/>
    <mergeCell ref="J143:L143"/>
    <mergeCell ref="J144:L144"/>
    <mergeCell ref="J147:L147"/>
    <mergeCell ref="C144:E144"/>
    <mergeCell ref="F144:G144"/>
    <mergeCell ref="C145:E145"/>
    <mergeCell ref="F145:G145"/>
    <mergeCell ref="C146:E146"/>
    <mergeCell ref="F146:G146"/>
    <mergeCell ref="B141:N141"/>
    <mergeCell ref="C142:E142"/>
    <mergeCell ref="F142:G142"/>
    <mergeCell ref="C143:E143"/>
    <mergeCell ref="F143:G143"/>
    <mergeCell ref="M142:N142"/>
    <mergeCell ref="M143:N143"/>
    <mergeCell ref="M136:N136"/>
    <mergeCell ref="J137:L137"/>
    <mergeCell ref="M137:N137"/>
    <mergeCell ref="J138:L138"/>
    <mergeCell ref="M138:N138"/>
    <mergeCell ref="M133:N133"/>
    <mergeCell ref="J134:L134"/>
    <mergeCell ref="M134:N134"/>
    <mergeCell ref="J135:L135"/>
    <mergeCell ref="M135:N135"/>
    <mergeCell ref="C136:E136"/>
    <mergeCell ref="F136:G136"/>
    <mergeCell ref="C137:E137"/>
    <mergeCell ref="F137:G137"/>
    <mergeCell ref="J131:L131"/>
    <mergeCell ref="J132:L132"/>
    <mergeCell ref="J133:L133"/>
    <mergeCell ref="J136:L136"/>
    <mergeCell ref="C133:E133"/>
    <mergeCell ref="F133:G133"/>
    <mergeCell ref="C134:E134"/>
    <mergeCell ref="F134:G134"/>
    <mergeCell ref="C135:E135"/>
    <mergeCell ref="F135:G135"/>
    <mergeCell ref="A1:E1"/>
    <mergeCell ref="B130:N130"/>
    <mergeCell ref="C131:E131"/>
    <mergeCell ref="F131:G131"/>
    <mergeCell ref="C132:E132"/>
    <mergeCell ref="F132:G132"/>
    <mergeCell ref="M131:N131"/>
    <mergeCell ref="M132:N1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72AD-B4E7-4F73-9EBC-67E1A0B298D6}">
  <dimension ref="A1:P783"/>
  <sheetViews>
    <sheetView showGridLines="0" rightToLeft="1" workbookViewId="0">
      <pane ySplit="3" topLeftCell="A123" activePane="bottomLeft" state="frozen"/>
      <selection pane="bottomLeft" activeCell="F146" sqref="C146:G149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12.7265625" style="10" customWidth="1"/>
    <col min="5" max="5" width="40" style="10" customWidth="1"/>
    <col min="6" max="7" width="15.453125" style="10" customWidth="1"/>
    <col min="8" max="8" width="4.54296875" style="10" customWidth="1"/>
    <col min="9" max="14" width="15.453125" style="9" customWidth="1"/>
    <col min="15" max="16" width="7.6328125" style="9" customWidth="1"/>
    <col min="17" max="17" width="10.1796875" style="9" bestFit="1" customWidth="1"/>
    <col min="18" max="21" width="15.453125" style="9" customWidth="1"/>
    <col min="22" max="16384" width="8.7265625" style="9"/>
  </cols>
  <sheetData>
    <row r="1" spans="1:16" ht="24" customHeight="1">
      <c r="A1" s="39" t="s">
        <v>90</v>
      </c>
      <c r="B1" s="39"/>
      <c r="C1" s="39"/>
      <c r="D1" s="39"/>
      <c r="E1" s="39"/>
      <c r="F1"/>
      <c r="G1"/>
      <c r="H1"/>
      <c r="I1" s="14"/>
      <c r="J1" s="14"/>
      <c r="K1" s="14"/>
      <c r="L1" s="14"/>
      <c r="M1" s="14"/>
      <c r="N1" s="14"/>
      <c r="O1" s="14"/>
      <c r="P1" s="14"/>
    </row>
    <row r="2" spans="1:16" ht="12" customHeight="1">
      <c r="A2" s="19"/>
      <c r="B2" s="19"/>
      <c r="C2" s="19"/>
      <c r="D2" s="19"/>
      <c r="E2" s="19"/>
      <c r="F2"/>
      <c r="G2"/>
      <c r="H2"/>
      <c r="I2" s="14"/>
      <c r="J2" s="14"/>
      <c r="K2" s="14"/>
      <c r="L2" s="14"/>
      <c r="M2" s="14"/>
      <c r="N2" s="14"/>
      <c r="O2" s="14"/>
      <c r="P2" s="14"/>
    </row>
    <row r="3" spans="1:16" ht="22" customHeight="1">
      <c r="A3" s="20" t="s">
        <v>12</v>
      </c>
      <c r="B3" s="20" t="s">
        <v>13</v>
      </c>
      <c r="C3" s="20" t="s">
        <v>14</v>
      </c>
      <c r="D3" s="20" t="s">
        <v>33</v>
      </c>
      <c r="E3" s="20" t="s">
        <v>15</v>
      </c>
      <c r="F3"/>
      <c r="G3"/>
      <c r="H3"/>
      <c r="I3" s="14"/>
      <c r="J3" s="14"/>
      <c r="K3" s="14"/>
      <c r="L3" s="14"/>
      <c r="M3" s="14"/>
      <c r="N3" s="14"/>
      <c r="O3" s="14"/>
      <c r="P3" s="14"/>
    </row>
    <row r="4" spans="1:16">
      <c r="A4" s="23">
        <v>1</v>
      </c>
      <c r="B4" s="24" t="s">
        <v>604</v>
      </c>
      <c r="C4" s="24">
        <v>1</v>
      </c>
      <c r="D4" s="24">
        <v>1</v>
      </c>
      <c r="E4" s="24" t="s">
        <v>30</v>
      </c>
      <c r="F4"/>
      <c r="G4"/>
      <c r="H4"/>
      <c r="I4" s="14"/>
      <c r="J4" s="14"/>
      <c r="K4" s="14"/>
      <c r="L4" s="14"/>
      <c r="M4" s="14"/>
      <c r="N4" s="14"/>
      <c r="O4" s="14"/>
      <c r="P4" s="14"/>
    </row>
    <row r="5" spans="1:16">
      <c r="A5" s="23">
        <v>1</v>
      </c>
      <c r="B5" s="24" t="s">
        <v>604</v>
      </c>
      <c r="C5" s="24">
        <v>2</v>
      </c>
      <c r="D5" s="24">
        <v>2</v>
      </c>
      <c r="E5" s="24" t="s">
        <v>77</v>
      </c>
      <c r="F5"/>
      <c r="G5"/>
      <c r="H5"/>
      <c r="I5" s="14"/>
      <c r="J5" s="14"/>
      <c r="K5" s="14"/>
      <c r="L5" s="14"/>
      <c r="M5" s="14"/>
      <c r="N5" s="14"/>
      <c r="O5" s="14"/>
      <c r="P5" s="14"/>
    </row>
    <row r="6" spans="1:16">
      <c r="A6" s="23">
        <v>1</v>
      </c>
      <c r="B6" s="24" t="s">
        <v>605</v>
      </c>
      <c r="C6" s="24">
        <v>1</v>
      </c>
      <c r="D6" s="24">
        <v>1</v>
      </c>
      <c r="E6" s="24" t="s">
        <v>31</v>
      </c>
      <c r="F6"/>
      <c r="G6"/>
      <c r="H6"/>
      <c r="I6" s="14"/>
      <c r="J6" s="14"/>
      <c r="K6" s="14"/>
      <c r="L6" s="14"/>
      <c r="M6" s="14"/>
      <c r="N6" s="14"/>
      <c r="O6" s="14"/>
      <c r="P6" s="14"/>
    </row>
    <row r="7" spans="1:16">
      <c r="A7" s="23">
        <v>1</v>
      </c>
      <c r="B7" s="24" t="s">
        <v>605</v>
      </c>
      <c r="C7" s="24">
        <v>2</v>
      </c>
      <c r="D7" s="24">
        <v>1</v>
      </c>
      <c r="E7" s="24" t="s">
        <v>36</v>
      </c>
      <c r="F7"/>
      <c r="G7"/>
      <c r="H7"/>
      <c r="I7" s="14"/>
      <c r="J7" s="14"/>
      <c r="K7" s="14"/>
      <c r="L7" s="14"/>
      <c r="M7" s="14"/>
      <c r="N7" s="14"/>
      <c r="O7" s="14"/>
      <c r="P7" s="14"/>
    </row>
    <row r="8" spans="1:16">
      <c r="A8" s="23">
        <v>1</v>
      </c>
      <c r="B8" s="24" t="s">
        <v>606</v>
      </c>
      <c r="C8" s="24">
        <v>1</v>
      </c>
      <c r="D8" s="24">
        <v>2</v>
      </c>
      <c r="E8" s="24" t="s">
        <v>88</v>
      </c>
      <c r="F8"/>
      <c r="G8"/>
      <c r="H8"/>
      <c r="I8" s="14"/>
      <c r="J8" s="14"/>
      <c r="K8" s="14"/>
      <c r="L8" s="14"/>
      <c r="M8" s="14"/>
      <c r="N8" s="14"/>
      <c r="O8" s="14"/>
      <c r="P8" s="14"/>
    </row>
    <row r="9" spans="1:16">
      <c r="A9" s="23">
        <v>1</v>
      </c>
      <c r="B9" s="24" t="s">
        <v>606</v>
      </c>
      <c r="C9" s="24">
        <v>2</v>
      </c>
      <c r="D9" s="24">
        <v>2</v>
      </c>
      <c r="E9" s="24" t="s">
        <v>91</v>
      </c>
      <c r="F9"/>
      <c r="G9"/>
      <c r="H9"/>
      <c r="I9" s="14"/>
      <c r="J9" s="14"/>
      <c r="K9" s="14"/>
      <c r="L9" s="14"/>
      <c r="M9" s="14"/>
      <c r="N9" s="14"/>
      <c r="O9" s="14"/>
      <c r="P9" s="14"/>
    </row>
    <row r="10" spans="1:16">
      <c r="A10" s="22">
        <v>2</v>
      </c>
      <c r="B10" s="21" t="s">
        <v>604</v>
      </c>
      <c r="C10" s="21">
        <v>1</v>
      </c>
      <c r="D10" s="21">
        <v>2</v>
      </c>
      <c r="E10" s="21" t="s">
        <v>70</v>
      </c>
      <c r="F10"/>
      <c r="G10"/>
      <c r="H10"/>
      <c r="I10" s="14"/>
      <c r="J10" s="14"/>
      <c r="K10" s="14"/>
      <c r="L10" s="14"/>
      <c r="M10" s="14"/>
      <c r="N10" s="14"/>
      <c r="O10" s="14"/>
      <c r="P10" s="14"/>
    </row>
    <row r="11" spans="1:16">
      <c r="A11" s="22">
        <v>2</v>
      </c>
      <c r="B11" s="21" t="s">
        <v>604</v>
      </c>
      <c r="C11" s="21">
        <v>2</v>
      </c>
      <c r="D11" s="21">
        <v>2</v>
      </c>
      <c r="E11" s="21" t="s">
        <v>92</v>
      </c>
      <c r="F11"/>
      <c r="G11"/>
      <c r="H11"/>
      <c r="I11" s="14"/>
      <c r="J11" s="14"/>
      <c r="K11" s="14"/>
      <c r="L11" s="14"/>
      <c r="M11" s="14"/>
      <c r="N11" s="14"/>
      <c r="O11" s="14"/>
      <c r="P11" s="14"/>
    </row>
    <row r="12" spans="1:16">
      <c r="A12" s="22">
        <v>2</v>
      </c>
      <c r="B12" s="21" t="s">
        <v>605</v>
      </c>
      <c r="C12" s="21">
        <v>1</v>
      </c>
      <c r="D12" s="21">
        <v>2</v>
      </c>
      <c r="E12" s="21" t="s">
        <v>78</v>
      </c>
      <c r="F12"/>
      <c r="G12"/>
      <c r="H12"/>
      <c r="I12" s="14"/>
      <c r="J12" s="14"/>
      <c r="K12" s="14"/>
      <c r="L12" s="14"/>
      <c r="M12" s="14"/>
      <c r="N12" s="14"/>
      <c r="O12" s="14"/>
      <c r="P12" s="14"/>
    </row>
    <row r="13" spans="1:16">
      <c r="A13" s="22">
        <v>2</v>
      </c>
      <c r="B13" s="21" t="s">
        <v>605</v>
      </c>
      <c r="C13" s="21">
        <v>2</v>
      </c>
      <c r="D13" s="21">
        <v>1</v>
      </c>
      <c r="E13" s="21" t="s">
        <v>37</v>
      </c>
      <c r="F13"/>
      <c r="G13"/>
      <c r="H13"/>
      <c r="I13" s="14"/>
      <c r="J13" s="14"/>
      <c r="K13" s="14"/>
      <c r="L13" s="14"/>
      <c r="M13" s="14"/>
      <c r="N13" s="14"/>
      <c r="O13" s="14"/>
      <c r="P13" s="14"/>
    </row>
    <row r="14" spans="1:16">
      <c r="A14" s="22">
        <v>2</v>
      </c>
      <c r="B14" s="21" t="s">
        <v>606</v>
      </c>
      <c r="C14" s="21">
        <v>1</v>
      </c>
      <c r="D14" s="21">
        <v>1</v>
      </c>
      <c r="E14" s="21" t="s">
        <v>18</v>
      </c>
      <c r="F14"/>
      <c r="G14"/>
      <c r="H14"/>
      <c r="I14" s="14"/>
      <c r="J14" s="14"/>
      <c r="K14" s="14"/>
      <c r="L14" s="14"/>
      <c r="M14" s="14"/>
      <c r="N14" s="14"/>
      <c r="O14" s="14"/>
      <c r="P14" s="14"/>
    </row>
    <row r="15" spans="1:16">
      <c r="A15" s="22">
        <v>2</v>
      </c>
      <c r="B15" s="21" t="s">
        <v>606</v>
      </c>
      <c r="C15" s="21">
        <v>2</v>
      </c>
      <c r="D15" s="21">
        <v>1</v>
      </c>
      <c r="E15" s="21" t="s">
        <v>19</v>
      </c>
      <c r="F15"/>
      <c r="G15"/>
      <c r="H15"/>
      <c r="I15" s="14"/>
      <c r="J15" s="14"/>
      <c r="K15" s="14"/>
      <c r="L15" s="14"/>
      <c r="M15" s="14"/>
      <c r="N15" s="14"/>
      <c r="O15" s="14"/>
      <c r="P15" s="14"/>
    </row>
    <row r="16" spans="1:16">
      <c r="A16" s="23">
        <v>3</v>
      </c>
      <c r="B16" s="24" t="s">
        <v>604</v>
      </c>
      <c r="C16" s="24">
        <v>1</v>
      </c>
      <c r="D16" s="24">
        <v>1</v>
      </c>
      <c r="E16" s="24" t="s">
        <v>231</v>
      </c>
      <c r="F16"/>
      <c r="G16"/>
      <c r="H16"/>
      <c r="I16" s="14"/>
      <c r="J16" s="14"/>
      <c r="K16" s="14"/>
      <c r="L16" s="14"/>
      <c r="M16" s="14"/>
      <c r="N16" s="14"/>
      <c r="O16" s="14"/>
      <c r="P16" s="14"/>
    </row>
    <row r="17" spans="1:16">
      <c r="A17" s="23">
        <v>3</v>
      </c>
      <c r="B17" s="24" t="s">
        <v>604</v>
      </c>
      <c r="C17" s="24">
        <v>2</v>
      </c>
      <c r="D17" s="24">
        <v>1</v>
      </c>
      <c r="E17" s="24" t="s">
        <v>22</v>
      </c>
      <c r="F17"/>
      <c r="G17"/>
      <c r="H17"/>
      <c r="I17" s="14"/>
      <c r="J17" s="14"/>
      <c r="K17" s="14"/>
      <c r="L17" s="14"/>
      <c r="M17" s="14"/>
      <c r="N17" s="14"/>
      <c r="O17" s="14"/>
      <c r="P17" s="14"/>
    </row>
    <row r="18" spans="1:16">
      <c r="A18" s="23">
        <v>3</v>
      </c>
      <c r="B18" s="24" t="s">
        <v>605</v>
      </c>
      <c r="C18" s="24">
        <v>1</v>
      </c>
      <c r="D18" s="24">
        <v>2</v>
      </c>
      <c r="E18" s="24" t="s">
        <v>84</v>
      </c>
      <c r="F18"/>
      <c r="G18"/>
      <c r="H18"/>
      <c r="I18" s="14"/>
      <c r="J18" s="14"/>
      <c r="K18" s="14"/>
      <c r="L18" s="14"/>
      <c r="M18" s="14"/>
      <c r="N18" s="14"/>
      <c r="O18" s="14"/>
      <c r="P18" s="14"/>
    </row>
    <row r="19" spans="1:16">
      <c r="A19" s="23">
        <v>3</v>
      </c>
      <c r="B19" s="24" t="s">
        <v>605</v>
      </c>
      <c r="C19" s="24">
        <v>2</v>
      </c>
      <c r="D19" s="24">
        <v>2</v>
      </c>
      <c r="E19" s="24" t="s">
        <v>62</v>
      </c>
      <c r="F19"/>
      <c r="G19"/>
      <c r="H19"/>
      <c r="I19" s="14"/>
      <c r="J19" s="14"/>
      <c r="K19" s="14"/>
      <c r="L19" s="14"/>
      <c r="M19" s="14"/>
      <c r="N19" s="14"/>
      <c r="O19" s="14"/>
      <c r="P19" s="14"/>
    </row>
    <row r="20" spans="1:16">
      <c r="A20" s="23">
        <v>3</v>
      </c>
      <c r="B20" s="24" t="s">
        <v>606</v>
      </c>
      <c r="C20" s="24">
        <v>1</v>
      </c>
      <c r="D20" s="24">
        <v>1</v>
      </c>
      <c r="E20" s="24" t="s">
        <v>17</v>
      </c>
      <c r="F20"/>
      <c r="G20"/>
      <c r="H20"/>
      <c r="I20" s="14"/>
      <c r="J20" s="14"/>
      <c r="K20" s="14"/>
      <c r="L20" s="14"/>
      <c r="M20" s="14"/>
      <c r="N20" s="14"/>
      <c r="O20" s="14"/>
      <c r="P20" s="14"/>
    </row>
    <row r="21" spans="1:16">
      <c r="A21" s="23">
        <v>3</v>
      </c>
      <c r="B21" s="24" t="s">
        <v>606</v>
      </c>
      <c r="C21" s="24">
        <v>2</v>
      </c>
      <c r="D21" s="24">
        <v>2</v>
      </c>
      <c r="E21" s="24" t="s">
        <v>250</v>
      </c>
      <c r="F21"/>
      <c r="G21"/>
      <c r="H21"/>
      <c r="I21" s="14"/>
      <c r="J21" s="14"/>
      <c r="K21" s="14"/>
      <c r="L21" s="14"/>
      <c r="M21" s="14"/>
      <c r="N21" s="14"/>
      <c r="O21" s="14"/>
      <c r="P21" s="14"/>
    </row>
    <row r="22" spans="1:16">
      <c r="A22" s="22">
        <v>4</v>
      </c>
      <c r="B22" s="21" t="s">
        <v>604</v>
      </c>
      <c r="C22" s="21">
        <v>1</v>
      </c>
      <c r="D22" s="21">
        <v>1</v>
      </c>
      <c r="E22" s="21" t="s">
        <v>232</v>
      </c>
      <c r="F22"/>
      <c r="G22"/>
      <c r="H22"/>
      <c r="I22" s="14"/>
      <c r="J22" s="14"/>
      <c r="K22" s="14"/>
      <c r="L22" s="14"/>
      <c r="M22" s="14"/>
      <c r="N22" s="14"/>
      <c r="O22" s="14"/>
      <c r="P22" s="14"/>
    </row>
    <row r="23" spans="1:16">
      <c r="A23" s="22">
        <v>4</v>
      </c>
      <c r="B23" s="21" t="s">
        <v>604</v>
      </c>
      <c r="C23" s="21">
        <v>2</v>
      </c>
      <c r="D23" s="21">
        <v>2</v>
      </c>
      <c r="E23" s="21" t="s">
        <v>76</v>
      </c>
      <c r="F23"/>
      <c r="G23"/>
      <c r="H23"/>
      <c r="I23" s="14"/>
      <c r="J23" s="14"/>
      <c r="K23" s="14"/>
      <c r="L23" s="14"/>
      <c r="M23" s="14"/>
      <c r="N23" s="14"/>
      <c r="O23" s="14"/>
      <c r="P23" s="14"/>
    </row>
    <row r="24" spans="1:16">
      <c r="A24" s="22">
        <v>4</v>
      </c>
      <c r="B24" s="21" t="s">
        <v>605</v>
      </c>
      <c r="C24" s="21">
        <v>1</v>
      </c>
      <c r="D24" s="21">
        <v>1</v>
      </c>
      <c r="E24" s="21" t="s">
        <v>20</v>
      </c>
      <c r="F24"/>
      <c r="G24"/>
      <c r="H24"/>
      <c r="I24" s="14"/>
      <c r="J24" s="14"/>
      <c r="K24" s="14"/>
      <c r="L24" s="14"/>
      <c r="M24" s="14"/>
      <c r="N24" s="14"/>
      <c r="O24" s="14"/>
      <c r="P24" s="14"/>
    </row>
    <row r="25" spans="1:16">
      <c r="A25" s="22">
        <v>4</v>
      </c>
      <c r="B25" s="21" t="s">
        <v>605</v>
      </c>
      <c r="C25" s="21">
        <v>2</v>
      </c>
      <c r="D25" s="21">
        <v>2</v>
      </c>
      <c r="E25" s="21" t="s">
        <v>247</v>
      </c>
      <c r="F25"/>
      <c r="G25"/>
      <c r="H25"/>
      <c r="I25" s="14"/>
      <c r="J25" s="14"/>
      <c r="K25" s="14"/>
      <c r="L25" s="14"/>
      <c r="M25" s="14"/>
      <c r="N25" s="14"/>
      <c r="O25" s="14"/>
      <c r="P25" s="14"/>
    </row>
    <row r="26" spans="1:16">
      <c r="A26" s="22">
        <v>4</v>
      </c>
      <c r="B26" s="21" t="s">
        <v>606</v>
      </c>
      <c r="C26" s="21">
        <v>1</v>
      </c>
      <c r="D26" s="21">
        <v>1</v>
      </c>
      <c r="E26" s="21" t="s">
        <v>227</v>
      </c>
      <c r="F26"/>
      <c r="G26"/>
      <c r="H26"/>
      <c r="I26" s="14"/>
      <c r="J26" s="14"/>
      <c r="K26" s="14"/>
      <c r="L26" s="14"/>
      <c r="M26" s="14"/>
      <c r="N26" s="14"/>
      <c r="O26" s="14"/>
      <c r="P26" s="14"/>
    </row>
    <row r="27" spans="1:16">
      <c r="A27" s="22">
        <v>4</v>
      </c>
      <c r="B27" s="21" t="s">
        <v>606</v>
      </c>
      <c r="C27" s="21">
        <v>2</v>
      </c>
      <c r="D27" s="21">
        <v>2</v>
      </c>
      <c r="E27" s="21" t="s">
        <v>251</v>
      </c>
      <c r="F27"/>
      <c r="G27"/>
      <c r="H27"/>
      <c r="I27" s="14"/>
      <c r="J27" s="14"/>
      <c r="K27" s="14"/>
      <c r="L27" s="14"/>
      <c r="M27" s="14"/>
      <c r="N27" s="14"/>
      <c r="O27" s="14"/>
      <c r="P27" s="14"/>
    </row>
    <row r="28" spans="1:16">
      <c r="A28" s="23">
        <v>5</v>
      </c>
      <c r="B28" s="24" t="s">
        <v>604</v>
      </c>
      <c r="C28" s="24">
        <v>1</v>
      </c>
      <c r="D28" s="24">
        <v>1</v>
      </c>
      <c r="E28" s="24" t="s">
        <v>23</v>
      </c>
      <c r="F28"/>
      <c r="G28"/>
      <c r="H28"/>
      <c r="I28" s="14"/>
      <c r="J28" s="14"/>
      <c r="K28" s="14"/>
      <c r="L28" s="14"/>
      <c r="M28" s="14"/>
      <c r="N28" s="14"/>
      <c r="O28" s="14"/>
      <c r="P28" s="14"/>
    </row>
    <row r="29" spans="1:16">
      <c r="A29" s="23">
        <v>5</v>
      </c>
      <c r="B29" s="24" t="s">
        <v>604</v>
      </c>
      <c r="C29" s="24">
        <v>2</v>
      </c>
      <c r="D29" s="24">
        <v>2</v>
      </c>
      <c r="E29" s="24" t="s">
        <v>249</v>
      </c>
      <c r="F29"/>
      <c r="G29"/>
      <c r="H29"/>
      <c r="I29" s="14"/>
      <c r="J29" s="14"/>
      <c r="K29" s="14"/>
      <c r="L29" s="14"/>
      <c r="M29" s="14"/>
      <c r="N29" s="14"/>
      <c r="O29" s="14"/>
      <c r="P29" s="14"/>
    </row>
    <row r="30" spans="1:16">
      <c r="A30" s="23">
        <v>5</v>
      </c>
      <c r="B30" s="24" t="s">
        <v>605</v>
      </c>
      <c r="C30" s="24">
        <v>1</v>
      </c>
      <c r="D30" s="24">
        <v>1</v>
      </c>
      <c r="E30" s="24" t="s">
        <v>229</v>
      </c>
      <c r="F30"/>
      <c r="G30"/>
      <c r="H30"/>
      <c r="I30" s="14"/>
      <c r="J30" s="14"/>
      <c r="K30" s="14"/>
      <c r="L30" s="14"/>
      <c r="M30" s="14"/>
      <c r="N30" s="14"/>
      <c r="O30" s="14"/>
      <c r="P30" s="14"/>
    </row>
    <row r="31" spans="1:16">
      <c r="A31" s="23">
        <v>5</v>
      </c>
      <c r="B31" s="24" t="s">
        <v>605</v>
      </c>
      <c r="C31" s="24">
        <v>2</v>
      </c>
      <c r="D31" s="24">
        <v>2</v>
      </c>
      <c r="E31" s="24" t="s">
        <v>248</v>
      </c>
      <c r="F31"/>
      <c r="G31"/>
      <c r="H31"/>
      <c r="I31" s="14"/>
      <c r="J31" s="14"/>
      <c r="K31" s="14"/>
      <c r="L31" s="14"/>
      <c r="M31" s="14"/>
      <c r="N31" s="14"/>
      <c r="O31" s="14"/>
      <c r="P31" s="14"/>
    </row>
    <row r="32" spans="1:16">
      <c r="A32" s="23">
        <v>5</v>
      </c>
      <c r="B32" s="24" t="s">
        <v>606</v>
      </c>
      <c r="C32" s="24">
        <v>1</v>
      </c>
      <c r="D32" s="24">
        <v>2</v>
      </c>
      <c r="E32" s="24" t="s">
        <v>71</v>
      </c>
      <c r="F32"/>
      <c r="G32"/>
      <c r="H32"/>
      <c r="I32" s="14"/>
      <c r="J32" s="14"/>
      <c r="K32" s="14"/>
      <c r="L32" s="14"/>
      <c r="M32" s="14"/>
      <c r="N32" s="14"/>
      <c r="O32" s="14"/>
      <c r="P32" s="14"/>
    </row>
    <row r="33" spans="1:16">
      <c r="A33" s="23">
        <v>5</v>
      </c>
      <c r="B33" s="24" t="s">
        <v>606</v>
      </c>
      <c r="C33" s="24">
        <v>2</v>
      </c>
      <c r="D33" s="24">
        <v>1</v>
      </c>
      <c r="E33" s="24" t="s">
        <v>228</v>
      </c>
      <c r="F33"/>
      <c r="G33"/>
      <c r="H33"/>
      <c r="I33" s="14"/>
      <c r="J33" s="14"/>
      <c r="K33" s="14"/>
      <c r="L33" s="14"/>
      <c r="M33" s="14"/>
      <c r="N33" s="14"/>
      <c r="O33" s="14"/>
      <c r="P33" s="14"/>
    </row>
    <row r="34" spans="1:16">
      <c r="A34" s="22">
        <v>6</v>
      </c>
      <c r="B34" s="21" t="s">
        <v>604</v>
      </c>
      <c r="C34" s="21">
        <v>1</v>
      </c>
      <c r="D34" s="21">
        <v>1</v>
      </c>
      <c r="E34" s="21" t="s">
        <v>26</v>
      </c>
      <c r="F34"/>
      <c r="G34"/>
      <c r="H34"/>
      <c r="I34" s="14"/>
      <c r="J34" s="14"/>
      <c r="K34" s="14"/>
      <c r="L34" s="14"/>
      <c r="M34" s="14"/>
      <c r="N34" s="14"/>
      <c r="O34" s="14"/>
      <c r="P34" s="14"/>
    </row>
    <row r="35" spans="1:16">
      <c r="A35" s="22">
        <v>6</v>
      </c>
      <c r="B35" s="21" t="s">
        <v>604</v>
      </c>
      <c r="C35" s="21">
        <v>2</v>
      </c>
      <c r="D35" s="21">
        <v>2</v>
      </c>
      <c r="E35" s="21" t="s">
        <v>58</v>
      </c>
      <c r="F35"/>
      <c r="G35"/>
      <c r="H35"/>
      <c r="I35" s="14"/>
      <c r="J35" s="14"/>
      <c r="K35" s="14"/>
      <c r="L35" s="14"/>
      <c r="M35" s="14"/>
      <c r="N35" s="14"/>
      <c r="O35" s="14"/>
      <c r="P35" s="14"/>
    </row>
    <row r="36" spans="1:16">
      <c r="A36" s="22">
        <v>6</v>
      </c>
      <c r="B36" s="21" t="s">
        <v>605</v>
      </c>
      <c r="C36" s="21">
        <v>1</v>
      </c>
      <c r="D36" s="21">
        <v>1</v>
      </c>
      <c r="E36" s="21" t="s">
        <v>230</v>
      </c>
      <c r="F36"/>
      <c r="G36"/>
      <c r="H36"/>
      <c r="I36" s="14"/>
      <c r="J36" s="14"/>
      <c r="K36" s="14"/>
      <c r="L36" s="14"/>
      <c r="M36" s="14"/>
      <c r="N36" s="14"/>
      <c r="O36" s="14"/>
      <c r="P36" s="14"/>
    </row>
    <row r="37" spans="1:16">
      <c r="A37" s="22">
        <v>6</v>
      </c>
      <c r="B37" s="21" t="s">
        <v>605</v>
      </c>
      <c r="C37" s="21">
        <v>2</v>
      </c>
      <c r="D37" s="21">
        <v>2</v>
      </c>
      <c r="E37" s="21" t="s">
        <v>95</v>
      </c>
      <c r="F37"/>
      <c r="G37"/>
      <c r="H37"/>
      <c r="I37" s="14"/>
      <c r="J37" s="14"/>
      <c r="K37" s="14"/>
      <c r="L37" s="14"/>
      <c r="M37" s="14"/>
      <c r="N37" s="14"/>
      <c r="O37" s="14"/>
      <c r="P37" s="14"/>
    </row>
    <row r="38" spans="1:16">
      <c r="A38" s="22">
        <v>6</v>
      </c>
      <c r="B38" s="21" t="s">
        <v>606</v>
      </c>
      <c r="C38" s="21">
        <v>1</v>
      </c>
      <c r="D38" s="21">
        <v>2</v>
      </c>
      <c r="E38" s="21" t="s">
        <v>239</v>
      </c>
      <c r="F38"/>
      <c r="G38"/>
      <c r="H38"/>
      <c r="I38" s="14"/>
      <c r="J38" s="14"/>
      <c r="K38" s="14"/>
      <c r="L38" s="14"/>
      <c r="M38" s="14"/>
      <c r="N38" s="14"/>
      <c r="O38" s="14"/>
      <c r="P38" s="14"/>
    </row>
    <row r="39" spans="1:16">
      <c r="A39" s="22">
        <v>6</v>
      </c>
      <c r="B39" s="21" t="s">
        <v>606</v>
      </c>
      <c r="C39" s="21">
        <v>2</v>
      </c>
      <c r="D39" s="21">
        <v>1</v>
      </c>
      <c r="E39" s="21" t="s">
        <v>40</v>
      </c>
      <c r="F39"/>
      <c r="G39"/>
      <c r="H39"/>
      <c r="I39" s="14"/>
      <c r="J39" s="14"/>
      <c r="K39" s="14"/>
      <c r="L39" s="14"/>
      <c r="M39" s="14"/>
      <c r="N39" s="14"/>
      <c r="O39" s="14"/>
      <c r="P39" s="14"/>
    </row>
    <row r="40" spans="1:16">
      <c r="A40" s="23">
        <v>7</v>
      </c>
      <c r="B40" s="24" t="s">
        <v>604</v>
      </c>
      <c r="C40" s="24">
        <v>1</v>
      </c>
      <c r="D40" s="24">
        <v>1</v>
      </c>
      <c r="E40" s="24" t="s">
        <v>41</v>
      </c>
      <c r="F40"/>
      <c r="G40"/>
      <c r="H40"/>
      <c r="I40" s="14"/>
      <c r="J40" s="14"/>
      <c r="K40" s="14"/>
      <c r="L40" s="14"/>
      <c r="M40" s="14"/>
      <c r="N40" s="14"/>
      <c r="O40" s="14"/>
      <c r="P40" s="14"/>
    </row>
    <row r="41" spans="1:16">
      <c r="A41" s="23">
        <v>7</v>
      </c>
      <c r="B41" s="24" t="s">
        <v>604</v>
      </c>
      <c r="C41" s="24">
        <v>2</v>
      </c>
      <c r="D41" s="24">
        <v>2</v>
      </c>
      <c r="E41" s="24" t="s">
        <v>87</v>
      </c>
      <c r="F41"/>
      <c r="G41"/>
      <c r="H41"/>
      <c r="I41" s="14"/>
      <c r="J41" s="14"/>
      <c r="K41" s="14"/>
      <c r="L41" s="14"/>
      <c r="M41" s="14"/>
      <c r="N41" s="14"/>
      <c r="O41" s="14"/>
      <c r="P41" s="14"/>
    </row>
    <row r="42" spans="1:16">
      <c r="A42" s="23">
        <v>7</v>
      </c>
      <c r="B42" s="24" t="s">
        <v>605</v>
      </c>
      <c r="C42" s="24">
        <v>1</v>
      </c>
      <c r="D42" s="24">
        <v>2</v>
      </c>
      <c r="E42" s="24" t="s">
        <v>96</v>
      </c>
      <c r="F42"/>
      <c r="G42"/>
      <c r="H42"/>
      <c r="I42" s="14"/>
      <c r="J42" s="14"/>
      <c r="K42" s="14"/>
      <c r="L42" s="14"/>
      <c r="M42" s="14"/>
      <c r="N42" s="14"/>
      <c r="O42" s="14"/>
      <c r="P42" s="14"/>
    </row>
    <row r="43" spans="1:16">
      <c r="A43" s="23">
        <v>7</v>
      </c>
      <c r="B43" s="24" t="s">
        <v>605</v>
      </c>
      <c r="C43" s="24">
        <v>2</v>
      </c>
      <c r="D43" s="24">
        <v>2</v>
      </c>
      <c r="E43" s="24" t="s">
        <v>54</v>
      </c>
      <c r="F43"/>
      <c r="G43"/>
      <c r="H43"/>
      <c r="I43" s="14"/>
      <c r="J43" s="14"/>
      <c r="K43" s="14"/>
      <c r="L43" s="14"/>
      <c r="M43" s="14"/>
      <c r="N43" s="14"/>
      <c r="O43" s="14"/>
      <c r="P43" s="14"/>
    </row>
    <row r="44" spans="1:16">
      <c r="A44" s="23">
        <v>7</v>
      </c>
      <c r="B44" s="24" t="s">
        <v>606</v>
      </c>
      <c r="C44" s="24">
        <v>1</v>
      </c>
      <c r="D44" s="24">
        <v>1</v>
      </c>
      <c r="E44" s="24" t="s">
        <v>29</v>
      </c>
      <c r="F44"/>
      <c r="G44"/>
      <c r="H44"/>
      <c r="I44" s="14"/>
      <c r="J44" s="14"/>
      <c r="K44" s="14"/>
      <c r="L44" s="14"/>
      <c r="M44" s="14"/>
      <c r="N44" s="14"/>
      <c r="O44" s="14"/>
      <c r="P44" s="14"/>
    </row>
    <row r="45" spans="1:16">
      <c r="A45" s="23">
        <v>7</v>
      </c>
      <c r="B45" s="24" t="s">
        <v>606</v>
      </c>
      <c r="C45" s="24">
        <v>2</v>
      </c>
      <c r="D45" s="24">
        <v>1</v>
      </c>
      <c r="E45" s="24" t="s">
        <v>28</v>
      </c>
      <c r="F45"/>
      <c r="G45"/>
      <c r="H45"/>
      <c r="I45" s="14"/>
      <c r="J45" s="14"/>
      <c r="K45" s="14"/>
      <c r="L45" s="14"/>
      <c r="M45" s="14"/>
      <c r="N45" s="14"/>
      <c r="O45" s="14"/>
      <c r="P45" s="14"/>
    </row>
    <row r="46" spans="1:16">
      <c r="A46" s="22">
        <v>8</v>
      </c>
      <c r="B46" s="21" t="s">
        <v>604</v>
      </c>
      <c r="C46" s="21">
        <v>1</v>
      </c>
      <c r="D46" s="21">
        <v>1</v>
      </c>
      <c r="E46" s="21" t="s">
        <v>335</v>
      </c>
      <c r="F46"/>
      <c r="G46"/>
      <c r="H46"/>
      <c r="I46" s="14"/>
      <c r="J46" s="14"/>
      <c r="K46" s="14"/>
      <c r="L46" s="14"/>
      <c r="M46" s="14"/>
      <c r="N46" s="14"/>
      <c r="O46" s="14"/>
      <c r="P46" s="14"/>
    </row>
    <row r="47" spans="1:16">
      <c r="A47" s="22">
        <v>8</v>
      </c>
      <c r="B47" s="21" t="s">
        <v>604</v>
      </c>
      <c r="C47" s="21">
        <v>2</v>
      </c>
      <c r="D47" s="21">
        <v>1</v>
      </c>
      <c r="E47" s="21" t="s">
        <v>334</v>
      </c>
      <c r="F47"/>
      <c r="G47"/>
      <c r="H47"/>
      <c r="I47" s="14"/>
      <c r="J47" s="14"/>
      <c r="K47" s="14"/>
      <c r="L47" s="14"/>
      <c r="M47" s="14"/>
      <c r="N47" s="14"/>
      <c r="O47" s="14"/>
      <c r="P47" s="14"/>
    </row>
    <row r="48" spans="1:16">
      <c r="A48" s="22">
        <v>8</v>
      </c>
      <c r="B48" s="21" t="s">
        <v>605</v>
      </c>
      <c r="C48" s="21">
        <v>1</v>
      </c>
      <c r="D48" s="21">
        <v>1</v>
      </c>
      <c r="E48" s="21" t="s">
        <v>336</v>
      </c>
      <c r="F48"/>
      <c r="G48"/>
      <c r="H48"/>
      <c r="I48" s="14"/>
      <c r="J48" s="14"/>
      <c r="K48" s="14"/>
      <c r="L48" s="14"/>
      <c r="M48" s="14"/>
      <c r="N48" s="14"/>
      <c r="O48" s="14"/>
      <c r="P48" s="14"/>
    </row>
    <row r="49" spans="1:16">
      <c r="A49" s="22">
        <v>8</v>
      </c>
      <c r="B49" s="21" t="s">
        <v>605</v>
      </c>
      <c r="C49" s="21">
        <v>2</v>
      </c>
      <c r="D49" s="21">
        <v>2</v>
      </c>
      <c r="E49" s="21" t="s">
        <v>360</v>
      </c>
      <c r="F49"/>
      <c r="G49"/>
      <c r="H49"/>
      <c r="I49" s="14"/>
      <c r="J49" s="14"/>
      <c r="K49" s="14"/>
      <c r="L49" s="14"/>
      <c r="M49" s="14"/>
      <c r="N49" s="14"/>
      <c r="O49" s="14"/>
      <c r="P49" s="14"/>
    </row>
    <row r="50" spans="1:16">
      <c r="A50" s="22">
        <v>8</v>
      </c>
      <c r="B50" s="21" t="s">
        <v>606</v>
      </c>
      <c r="C50" s="21">
        <v>1</v>
      </c>
      <c r="D50" s="21">
        <v>2</v>
      </c>
      <c r="E50" s="21" t="s">
        <v>358</v>
      </c>
      <c r="F50"/>
      <c r="G50"/>
      <c r="H50"/>
      <c r="I50" s="14"/>
      <c r="J50" s="14"/>
      <c r="K50" s="14"/>
      <c r="L50" s="14"/>
      <c r="M50" s="14"/>
      <c r="N50" s="14"/>
      <c r="O50" s="14"/>
      <c r="P50" s="14"/>
    </row>
    <row r="51" spans="1:16">
      <c r="A51" s="22">
        <v>8</v>
      </c>
      <c r="B51" s="21" t="s">
        <v>606</v>
      </c>
      <c r="C51" s="21">
        <v>2</v>
      </c>
      <c r="D51" s="21">
        <v>2</v>
      </c>
      <c r="E51" s="21" t="s">
        <v>359</v>
      </c>
      <c r="F51"/>
      <c r="G51"/>
      <c r="H51"/>
      <c r="I51" s="14"/>
      <c r="J51" s="14"/>
      <c r="K51" s="14"/>
      <c r="L51" s="14"/>
      <c r="M51" s="14"/>
      <c r="N51" s="14"/>
      <c r="O51" s="14"/>
      <c r="P51" s="14"/>
    </row>
    <row r="52" spans="1:16">
      <c r="A52" s="23">
        <v>9</v>
      </c>
      <c r="B52" s="24" t="s">
        <v>604</v>
      </c>
      <c r="C52" s="24">
        <v>1</v>
      </c>
      <c r="D52" s="24">
        <v>2</v>
      </c>
      <c r="E52" s="24" t="s">
        <v>356</v>
      </c>
      <c r="F52"/>
      <c r="G52"/>
      <c r="H52"/>
      <c r="I52" s="14"/>
      <c r="J52" s="14"/>
      <c r="K52" s="14"/>
      <c r="L52" s="14"/>
      <c r="M52" s="14"/>
      <c r="N52" s="14"/>
      <c r="O52" s="14"/>
      <c r="P52" s="14"/>
    </row>
    <row r="53" spans="1:16">
      <c r="A53" s="23">
        <v>9</v>
      </c>
      <c r="B53" s="24" t="s">
        <v>604</v>
      </c>
      <c r="C53" s="24">
        <v>2</v>
      </c>
      <c r="D53" s="24">
        <v>2</v>
      </c>
      <c r="E53" s="24" t="s">
        <v>350</v>
      </c>
      <c r="F53"/>
      <c r="G53"/>
      <c r="H53"/>
      <c r="I53" s="14"/>
      <c r="J53" s="14"/>
      <c r="K53" s="14"/>
      <c r="L53" s="14"/>
      <c r="M53" s="14"/>
      <c r="N53" s="14"/>
      <c r="O53" s="14"/>
      <c r="P53" s="14"/>
    </row>
    <row r="54" spans="1:16">
      <c r="A54" s="23">
        <v>9</v>
      </c>
      <c r="B54" s="24" t="s">
        <v>605</v>
      </c>
      <c r="C54" s="24">
        <v>1</v>
      </c>
      <c r="D54" s="24">
        <v>1</v>
      </c>
      <c r="E54" s="24" t="s">
        <v>327</v>
      </c>
      <c r="F54"/>
      <c r="G54"/>
      <c r="H54"/>
      <c r="I54" s="14"/>
      <c r="J54" s="14"/>
      <c r="K54" s="14"/>
      <c r="L54" s="14"/>
      <c r="M54" s="14"/>
      <c r="N54" s="14"/>
      <c r="O54" s="14"/>
      <c r="P54" s="14"/>
    </row>
    <row r="55" spans="1:16">
      <c r="A55" s="23">
        <v>9</v>
      </c>
      <c r="B55" s="24" t="s">
        <v>605</v>
      </c>
      <c r="C55" s="24">
        <v>2</v>
      </c>
      <c r="D55" s="24">
        <v>1</v>
      </c>
      <c r="E55" s="24" t="s">
        <v>337</v>
      </c>
      <c r="F55"/>
      <c r="G55"/>
      <c r="H55"/>
      <c r="I55" s="14"/>
      <c r="J55" s="14"/>
      <c r="K55" s="14"/>
      <c r="L55" s="14"/>
      <c r="M55" s="14"/>
      <c r="N55" s="14"/>
      <c r="O55" s="14"/>
      <c r="P55" s="14"/>
    </row>
    <row r="56" spans="1:16">
      <c r="A56" s="23">
        <v>9</v>
      </c>
      <c r="B56" s="24" t="s">
        <v>606</v>
      </c>
      <c r="C56" s="24">
        <v>1</v>
      </c>
      <c r="D56" s="24">
        <v>1</v>
      </c>
      <c r="E56" s="24" t="s">
        <v>326</v>
      </c>
      <c r="F56"/>
      <c r="G56"/>
      <c r="H56"/>
      <c r="I56" s="14"/>
      <c r="J56" s="14"/>
      <c r="K56" s="14"/>
      <c r="L56" s="14"/>
      <c r="M56" s="14"/>
      <c r="N56" s="14"/>
      <c r="O56" s="14"/>
      <c r="P56" s="14"/>
    </row>
    <row r="57" spans="1:16">
      <c r="A57" s="23">
        <v>9</v>
      </c>
      <c r="B57" s="24" t="s">
        <v>606</v>
      </c>
      <c r="C57" s="24">
        <v>2</v>
      </c>
      <c r="D57" s="24">
        <v>2</v>
      </c>
      <c r="E57" s="24" t="s">
        <v>311</v>
      </c>
      <c r="F57"/>
      <c r="G57"/>
      <c r="H57"/>
      <c r="I57" s="14"/>
      <c r="J57" s="14"/>
      <c r="K57" s="14"/>
      <c r="L57" s="14"/>
      <c r="M57" s="14"/>
      <c r="N57" s="14"/>
      <c r="O57" s="14"/>
      <c r="P57" s="14"/>
    </row>
    <row r="58" spans="1:16">
      <c r="A58" s="22">
        <v>10</v>
      </c>
      <c r="B58" s="21" t="s">
        <v>604</v>
      </c>
      <c r="C58" s="21">
        <v>1</v>
      </c>
      <c r="D58" s="21">
        <v>2</v>
      </c>
      <c r="E58" s="21" t="s">
        <v>355</v>
      </c>
      <c r="F58"/>
      <c r="G58"/>
      <c r="H58"/>
      <c r="I58" s="14"/>
      <c r="J58" s="14"/>
      <c r="K58" s="14"/>
      <c r="L58" s="14"/>
      <c r="M58" s="14"/>
      <c r="N58" s="14"/>
      <c r="O58" s="14"/>
      <c r="P58" s="14"/>
    </row>
    <row r="59" spans="1:16">
      <c r="A59" s="22">
        <v>10</v>
      </c>
      <c r="B59" s="21" t="s">
        <v>604</v>
      </c>
      <c r="C59" s="21">
        <v>2</v>
      </c>
      <c r="D59" s="21">
        <v>1</v>
      </c>
      <c r="E59" s="21" t="s">
        <v>38</v>
      </c>
      <c r="F59"/>
      <c r="G59"/>
      <c r="H59"/>
      <c r="I59" s="14"/>
      <c r="J59" s="14"/>
      <c r="K59" s="14"/>
      <c r="L59" s="14"/>
      <c r="M59" s="14"/>
      <c r="N59" s="14"/>
      <c r="O59" s="14"/>
      <c r="P59" s="14"/>
    </row>
    <row r="60" spans="1:16">
      <c r="A60" s="22">
        <v>10</v>
      </c>
      <c r="B60" s="21" t="s">
        <v>605</v>
      </c>
      <c r="C60" s="21">
        <v>1</v>
      </c>
      <c r="D60" s="21">
        <v>1</v>
      </c>
      <c r="E60" s="21" t="s">
        <v>325</v>
      </c>
      <c r="F60"/>
      <c r="G60"/>
      <c r="H60"/>
      <c r="I60" s="14"/>
      <c r="J60" s="14"/>
      <c r="K60" s="14"/>
      <c r="L60" s="14"/>
      <c r="M60" s="14"/>
      <c r="N60" s="14"/>
      <c r="O60" s="14"/>
      <c r="P60" s="14"/>
    </row>
    <row r="61" spans="1:16">
      <c r="A61" s="22">
        <v>10</v>
      </c>
      <c r="B61" s="21" t="s">
        <v>605</v>
      </c>
      <c r="C61" s="21">
        <v>2</v>
      </c>
      <c r="D61" s="21">
        <v>2</v>
      </c>
      <c r="E61" s="21" t="s">
        <v>352</v>
      </c>
      <c r="F61"/>
      <c r="G61"/>
      <c r="H61"/>
      <c r="I61" s="14"/>
      <c r="J61" s="14"/>
      <c r="K61" s="14"/>
      <c r="L61" s="14"/>
      <c r="M61" s="14"/>
      <c r="N61" s="14"/>
      <c r="O61" s="14"/>
      <c r="P61" s="14"/>
    </row>
    <row r="62" spans="1:16">
      <c r="A62" s="22">
        <v>10</v>
      </c>
      <c r="B62" s="21" t="s">
        <v>606</v>
      </c>
      <c r="C62" s="21">
        <v>1</v>
      </c>
      <c r="D62" s="21">
        <v>1</v>
      </c>
      <c r="E62" s="21" t="s">
        <v>329</v>
      </c>
      <c r="F62"/>
      <c r="G62"/>
      <c r="H62"/>
      <c r="I62" s="14"/>
      <c r="J62" s="14"/>
      <c r="K62" s="14"/>
      <c r="L62" s="14"/>
      <c r="M62" s="14"/>
      <c r="N62" s="14"/>
      <c r="O62" s="14"/>
      <c r="P62" s="14"/>
    </row>
    <row r="63" spans="1:16">
      <c r="A63" s="22">
        <v>10</v>
      </c>
      <c r="B63" s="21" t="s">
        <v>606</v>
      </c>
      <c r="C63" s="21">
        <v>2</v>
      </c>
      <c r="D63" s="21">
        <v>2</v>
      </c>
      <c r="E63" s="21" t="s">
        <v>93</v>
      </c>
      <c r="F63"/>
      <c r="G63"/>
      <c r="H63"/>
      <c r="I63" s="14"/>
      <c r="J63" s="14"/>
      <c r="K63" s="14"/>
      <c r="L63" s="14"/>
      <c r="M63" s="14"/>
      <c r="N63" s="14"/>
      <c r="O63" s="14"/>
      <c r="P63" s="14"/>
    </row>
    <row r="64" spans="1:16">
      <c r="A64" s="23">
        <v>11</v>
      </c>
      <c r="B64" s="24" t="s">
        <v>604</v>
      </c>
      <c r="C64" s="24">
        <v>1</v>
      </c>
      <c r="D64" s="24">
        <v>1</v>
      </c>
      <c r="E64" s="24" t="s">
        <v>328</v>
      </c>
      <c r="F64"/>
      <c r="G64"/>
      <c r="H64"/>
      <c r="I64" s="14"/>
      <c r="J64" s="14"/>
      <c r="K64" s="14"/>
      <c r="L64" s="14"/>
      <c r="M64" s="14"/>
      <c r="N64" s="14"/>
      <c r="O64" s="14"/>
      <c r="P64" s="14"/>
    </row>
    <row r="65" spans="1:16">
      <c r="A65" s="23">
        <v>11</v>
      </c>
      <c r="B65" s="24" t="s">
        <v>604</v>
      </c>
      <c r="C65" s="24">
        <v>2</v>
      </c>
      <c r="D65" s="24">
        <v>2</v>
      </c>
      <c r="E65" s="24" t="s">
        <v>94</v>
      </c>
      <c r="F65"/>
      <c r="G65"/>
      <c r="H65"/>
      <c r="I65" s="14"/>
      <c r="J65" s="14"/>
      <c r="K65" s="14"/>
      <c r="L65" s="14"/>
      <c r="M65" s="14"/>
      <c r="N65" s="14"/>
      <c r="O65" s="14"/>
      <c r="P65" s="14"/>
    </row>
    <row r="66" spans="1:16">
      <c r="A66" s="23">
        <v>11</v>
      </c>
      <c r="B66" s="24" t="s">
        <v>605</v>
      </c>
      <c r="C66" s="24">
        <v>1</v>
      </c>
      <c r="D66" s="24">
        <v>2</v>
      </c>
      <c r="E66" s="24" t="s">
        <v>296</v>
      </c>
      <c r="F66"/>
      <c r="G66"/>
      <c r="H66"/>
      <c r="I66" s="14"/>
      <c r="J66" s="14"/>
      <c r="K66" s="14"/>
      <c r="L66" s="14"/>
      <c r="M66" s="14"/>
      <c r="N66" s="14"/>
      <c r="O66" s="14"/>
      <c r="P66" s="14"/>
    </row>
    <row r="67" spans="1:16">
      <c r="A67" s="23">
        <v>11</v>
      </c>
      <c r="B67" s="24" t="s">
        <v>605</v>
      </c>
      <c r="C67" s="24">
        <v>2</v>
      </c>
      <c r="D67" s="24">
        <v>2</v>
      </c>
      <c r="E67" s="24" t="s">
        <v>85</v>
      </c>
      <c r="F67"/>
      <c r="G67"/>
      <c r="H67"/>
      <c r="I67" s="14"/>
      <c r="J67" s="14"/>
      <c r="K67" s="14"/>
      <c r="L67" s="14"/>
      <c r="M67" s="14"/>
      <c r="N67" s="14"/>
      <c r="O67" s="14"/>
      <c r="P67" s="14"/>
    </row>
    <row r="68" spans="1:16">
      <c r="A68" s="23">
        <v>11</v>
      </c>
      <c r="B68" s="24" t="s">
        <v>606</v>
      </c>
      <c r="C68" s="24">
        <v>1</v>
      </c>
      <c r="D68" s="24">
        <v>1</v>
      </c>
      <c r="E68" s="24" t="s">
        <v>39</v>
      </c>
      <c r="F68"/>
      <c r="G68"/>
      <c r="H68"/>
      <c r="I68" s="14"/>
      <c r="J68" s="14"/>
      <c r="K68" s="14"/>
      <c r="L68" s="14"/>
      <c r="M68" s="14"/>
      <c r="N68" s="14"/>
      <c r="O68" s="14"/>
      <c r="P68" s="14"/>
    </row>
    <row r="69" spans="1:16">
      <c r="A69" s="23">
        <v>11</v>
      </c>
      <c r="B69" s="24" t="s">
        <v>606</v>
      </c>
      <c r="C69" s="24">
        <v>2</v>
      </c>
      <c r="D69" s="24">
        <v>1</v>
      </c>
      <c r="E69" s="24" t="s">
        <v>21</v>
      </c>
      <c r="F69"/>
      <c r="G69"/>
      <c r="H69"/>
      <c r="I69" s="14"/>
      <c r="J69" s="14"/>
      <c r="K69" s="14"/>
      <c r="L69" s="14"/>
      <c r="M69" s="14"/>
      <c r="N69" s="14"/>
      <c r="O69" s="14"/>
      <c r="P69" s="14"/>
    </row>
    <row r="70" spans="1:16">
      <c r="A70" s="22">
        <v>12</v>
      </c>
      <c r="B70" s="21" t="s">
        <v>604</v>
      </c>
      <c r="C70" s="21">
        <v>1</v>
      </c>
      <c r="D70" s="21">
        <v>2</v>
      </c>
      <c r="E70" s="21" t="s">
        <v>86</v>
      </c>
      <c r="F70"/>
      <c r="G70"/>
      <c r="H70"/>
      <c r="I70" s="14"/>
      <c r="J70" s="14"/>
      <c r="K70" s="14"/>
      <c r="L70" s="14"/>
      <c r="M70" s="14"/>
      <c r="N70" s="14"/>
      <c r="O70" s="14"/>
      <c r="P70" s="14"/>
    </row>
    <row r="71" spans="1:16">
      <c r="A71" s="22">
        <v>12</v>
      </c>
      <c r="B71" s="21" t="s">
        <v>604</v>
      </c>
      <c r="C71" s="21">
        <v>2</v>
      </c>
      <c r="D71" s="21">
        <v>1</v>
      </c>
      <c r="E71" s="21" t="s">
        <v>25</v>
      </c>
      <c r="F71"/>
      <c r="G71"/>
      <c r="H71"/>
      <c r="I71" s="14"/>
      <c r="J71" s="14"/>
      <c r="K71" s="14"/>
      <c r="L71" s="14"/>
      <c r="M71" s="14"/>
      <c r="N71" s="14"/>
      <c r="O71" s="14"/>
      <c r="P71" s="14"/>
    </row>
    <row r="72" spans="1:16">
      <c r="A72" s="22">
        <v>12</v>
      </c>
      <c r="B72" s="21" t="s">
        <v>605</v>
      </c>
      <c r="C72" s="21">
        <v>1</v>
      </c>
      <c r="D72" s="21">
        <v>1</v>
      </c>
      <c r="E72" s="21" t="s">
        <v>24</v>
      </c>
      <c r="F72"/>
      <c r="G72"/>
      <c r="H72"/>
      <c r="I72" s="14"/>
      <c r="J72" s="14"/>
      <c r="K72" s="14"/>
      <c r="L72" s="14"/>
      <c r="M72" s="14"/>
      <c r="N72" s="14"/>
      <c r="O72" s="14"/>
      <c r="P72" s="14"/>
    </row>
    <row r="73" spans="1:16">
      <c r="A73" s="22">
        <v>12</v>
      </c>
      <c r="B73" s="21" t="s">
        <v>605</v>
      </c>
      <c r="C73" s="21">
        <v>2</v>
      </c>
      <c r="D73" s="21">
        <v>2</v>
      </c>
      <c r="E73" s="21" t="s">
        <v>75</v>
      </c>
      <c r="F73"/>
      <c r="G73"/>
      <c r="H73"/>
      <c r="I73" s="14"/>
      <c r="J73" s="14"/>
      <c r="K73" s="14"/>
      <c r="L73" s="14"/>
      <c r="M73" s="14"/>
      <c r="N73" s="14"/>
      <c r="O73" s="14"/>
      <c r="P73" s="14"/>
    </row>
    <row r="74" spans="1:16">
      <c r="A74" s="22">
        <v>12</v>
      </c>
      <c r="B74" s="21" t="s">
        <v>606</v>
      </c>
      <c r="C74" s="21">
        <v>1</v>
      </c>
      <c r="D74" s="21">
        <v>2</v>
      </c>
      <c r="E74" s="21" t="s">
        <v>351</v>
      </c>
      <c r="F74"/>
      <c r="G74"/>
      <c r="H74"/>
      <c r="I74" s="14"/>
      <c r="J74" s="14"/>
      <c r="K74" s="14"/>
      <c r="L74" s="14"/>
      <c r="M74" s="14"/>
      <c r="N74" s="14"/>
      <c r="O74" s="14"/>
      <c r="P74" s="14"/>
    </row>
    <row r="75" spans="1:16">
      <c r="A75" s="22">
        <v>12</v>
      </c>
      <c r="B75" s="21" t="s">
        <v>606</v>
      </c>
      <c r="C75" s="21">
        <v>2</v>
      </c>
      <c r="D75" s="21">
        <v>1</v>
      </c>
      <c r="E75" s="21" t="s">
        <v>330</v>
      </c>
      <c r="F75"/>
      <c r="G75"/>
      <c r="H75"/>
      <c r="I75" s="14"/>
      <c r="J75" s="14"/>
      <c r="K75" s="14"/>
      <c r="L75" s="14"/>
      <c r="M75" s="14"/>
      <c r="N75" s="14"/>
      <c r="O75" s="14"/>
      <c r="P75" s="14"/>
    </row>
    <row r="76" spans="1:16">
      <c r="A76" s="23">
        <v>13</v>
      </c>
      <c r="B76" s="24" t="s">
        <v>604</v>
      </c>
      <c r="C76" s="24">
        <v>1</v>
      </c>
      <c r="D76" s="24">
        <v>1</v>
      </c>
      <c r="E76" s="24" t="s">
        <v>27</v>
      </c>
      <c r="F76"/>
      <c r="G76"/>
      <c r="H76"/>
      <c r="I76" s="14"/>
      <c r="J76" s="14"/>
      <c r="K76" s="14"/>
      <c r="L76" s="14"/>
      <c r="M76" s="14"/>
      <c r="N76" s="14"/>
      <c r="O76" s="14"/>
      <c r="P76" s="14"/>
    </row>
    <row r="77" spans="1:16">
      <c r="A77" s="23">
        <v>13</v>
      </c>
      <c r="B77" s="24" t="s">
        <v>604</v>
      </c>
      <c r="C77" s="24">
        <v>2</v>
      </c>
      <c r="D77" s="24">
        <v>1</v>
      </c>
      <c r="E77" s="24" t="s">
        <v>338</v>
      </c>
      <c r="F77"/>
      <c r="G77"/>
      <c r="H77"/>
      <c r="I77" s="14"/>
      <c r="J77" s="14"/>
      <c r="K77" s="14"/>
      <c r="L77" s="14"/>
      <c r="M77" s="14"/>
      <c r="N77" s="14"/>
      <c r="O77" s="14"/>
      <c r="P77" s="14"/>
    </row>
    <row r="78" spans="1:16">
      <c r="A78" s="23">
        <v>13</v>
      </c>
      <c r="B78" s="24" t="s">
        <v>605</v>
      </c>
      <c r="C78" s="24">
        <v>1</v>
      </c>
      <c r="D78" s="24">
        <v>2</v>
      </c>
      <c r="E78" s="24" t="s">
        <v>68</v>
      </c>
      <c r="F78"/>
      <c r="G78"/>
      <c r="H78"/>
      <c r="I78" s="14"/>
      <c r="J78" s="14"/>
      <c r="K78" s="14"/>
      <c r="L78" s="14"/>
      <c r="M78" s="14"/>
      <c r="N78" s="14"/>
      <c r="O78" s="14"/>
      <c r="P78" s="14"/>
    </row>
    <row r="79" spans="1:16">
      <c r="A79" s="23">
        <v>13</v>
      </c>
      <c r="B79" s="24" t="s">
        <v>605</v>
      </c>
      <c r="C79" s="24">
        <v>2</v>
      </c>
      <c r="D79" s="24">
        <v>2</v>
      </c>
      <c r="E79" s="24" t="s">
        <v>361</v>
      </c>
      <c r="F79"/>
      <c r="G79"/>
      <c r="H79"/>
      <c r="I79" s="14"/>
      <c r="J79" s="14"/>
      <c r="K79" s="14"/>
      <c r="L79" s="14"/>
      <c r="M79" s="14"/>
      <c r="N79" s="14"/>
      <c r="O79" s="14"/>
      <c r="P79" s="14"/>
    </row>
    <row r="80" spans="1:16">
      <c r="A80" s="23">
        <v>13</v>
      </c>
      <c r="B80" s="24" t="s">
        <v>606</v>
      </c>
      <c r="C80" s="24">
        <v>1</v>
      </c>
      <c r="D80" s="24">
        <v>1</v>
      </c>
      <c r="E80" s="24" t="s">
        <v>331</v>
      </c>
      <c r="F80"/>
      <c r="G80"/>
      <c r="H80"/>
      <c r="I80" s="14"/>
      <c r="J80" s="14"/>
      <c r="K80" s="14"/>
      <c r="L80" s="14"/>
      <c r="M80" s="14"/>
      <c r="N80" s="14"/>
      <c r="O80" s="14"/>
      <c r="P80" s="14"/>
    </row>
    <row r="81" spans="1:16">
      <c r="A81" s="23">
        <v>13</v>
      </c>
      <c r="B81" s="24" t="s">
        <v>606</v>
      </c>
      <c r="C81" s="24">
        <v>2</v>
      </c>
      <c r="D81" s="24">
        <v>2</v>
      </c>
      <c r="E81" s="24" t="s">
        <v>240</v>
      </c>
      <c r="F81"/>
      <c r="G81"/>
      <c r="H81"/>
      <c r="I81" s="14"/>
      <c r="J81" s="14"/>
      <c r="K81" s="14"/>
      <c r="L81" s="14"/>
      <c r="M81" s="14"/>
      <c r="N81" s="14"/>
      <c r="O81" s="14"/>
      <c r="P81" s="14"/>
    </row>
    <row r="82" spans="1:16">
      <c r="A82" s="22">
        <v>14</v>
      </c>
      <c r="B82" s="21" t="s">
        <v>604</v>
      </c>
      <c r="C82" s="21">
        <v>1</v>
      </c>
      <c r="D82" s="21">
        <v>2</v>
      </c>
      <c r="E82" s="21" t="s">
        <v>362</v>
      </c>
      <c r="F82"/>
      <c r="G82"/>
      <c r="H82"/>
      <c r="I82" s="14"/>
      <c r="J82" s="14"/>
      <c r="K82" s="14"/>
      <c r="L82" s="14"/>
      <c r="M82" s="14"/>
      <c r="N82" s="14"/>
      <c r="O82" s="14"/>
      <c r="P82" s="14"/>
    </row>
    <row r="83" spans="1:16">
      <c r="A83" s="22">
        <v>14</v>
      </c>
      <c r="B83" s="21" t="s">
        <v>604</v>
      </c>
      <c r="C83" s="21">
        <v>2</v>
      </c>
      <c r="D83" s="21">
        <v>2</v>
      </c>
      <c r="E83" s="21" t="s">
        <v>345</v>
      </c>
      <c r="F83"/>
      <c r="G83"/>
      <c r="H83"/>
      <c r="I83" s="14"/>
      <c r="J83" s="14"/>
      <c r="K83" s="14"/>
      <c r="L83" s="14"/>
      <c r="M83" s="14"/>
      <c r="N83" s="14"/>
      <c r="O83" s="14"/>
      <c r="P83" s="14"/>
    </row>
    <row r="84" spans="1:16">
      <c r="A84" s="22">
        <v>14</v>
      </c>
      <c r="B84" s="21" t="s">
        <v>605</v>
      </c>
      <c r="C84" s="21">
        <v>1</v>
      </c>
      <c r="D84" s="21">
        <v>1</v>
      </c>
      <c r="E84" s="21" t="s">
        <v>332</v>
      </c>
      <c r="F84"/>
      <c r="G84"/>
      <c r="H84"/>
      <c r="I84" s="14"/>
      <c r="J84" s="14"/>
      <c r="K84" s="14"/>
      <c r="L84" s="14"/>
      <c r="M84" s="14"/>
      <c r="N84" s="14"/>
      <c r="O84" s="14"/>
      <c r="P84" s="14"/>
    </row>
    <row r="85" spans="1:16">
      <c r="A85" s="22">
        <v>14</v>
      </c>
      <c r="B85" s="21" t="s">
        <v>605</v>
      </c>
      <c r="C85" s="21">
        <v>2</v>
      </c>
      <c r="D85" s="21">
        <v>1</v>
      </c>
      <c r="E85" s="21" t="s">
        <v>333</v>
      </c>
      <c r="F85"/>
      <c r="G85"/>
      <c r="H85"/>
      <c r="I85" s="14"/>
      <c r="J85" s="14"/>
      <c r="K85" s="14"/>
      <c r="L85" s="14"/>
      <c r="M85" s="14"/>
      <c r="N85" s="14"/>
      <c r="O85" s="14"/>
      <c r="P85" s="14"/>
    </row>
    <row r="86" spans="1:16">
      <c r="A86" s="22">
        <v>14</v>
      </c>
      <c r="B86" s="21" t="s">
        <v>606</v>
      </c>
      <c r="C86" s="21">
        <v>1</v>
      </c>
      <c r="D86" s="21">
        <v>1</v>
      </c>
      <c r="E86" s="21" t="s">
        <v>339</v>
      </c>
      <c r="F86"/>
      <c r="G86"/>
      <c r="H86"/>
      <c r="I86" s="14"/>
      <c r="J86" s="14"/>
      <c r="K86" s="14"/>
      <c r="L86" s="14"/>
      <c r="M86" s="14"/>
      <c r="N86" s="14"/>
      <c r="O86" s="14"/>
      <c r="P86" s="14"/>
    </row>
    <row r="87" spans="1:16">
      <c r="A87" s="22">
        <v>14</v>
      </c>
      <c r="B87" s="21" t="s">
        <v>606</v>
      </c>
      <c r="C87" s="21">
        <v>2</v>
      </c>
      <c r="D87" s="21">
        <v>2</v>
      </c>
      <c r="E87" s="21" t="s">
        <v>357</v>
      </c>
      <c r="F87"/>
      <c r="G87"/>
      <c r="H87"/>
      <c r="I87" s="14"/>
      <c r="J87" s="14"/>
      <c r="K87" s="14"/>
      <c r="L87" s="14"/>
      <c r="M87" s="14"/>
      <c r="N87" s="14"/>
      <c r="O87" s="14"/>
      <c r="P87" s="14"/>
    </row>
    <row r="88" spans="1:16">
      <c r="A88" s="23">
        <v>15</v>
      </c>
      <c r="B88" s="24" t="s">
        <v>604</v>
      </c>
      <c r="C88" s="24">
        <v>1</v>
      </c>
      <c r="D88" s="24">
        <v>2</v>
      </c>
      <c r="E88" s="24" t="s">
        <v>88</v>
      </c>
      <c r="F88"/>
      <c r="G88"/>
      <c r="H88"/>
      <c r="I88" s="14"/>
      <c r="J88" s="14"/>
      <c r="K88" s="14"/>
      <c r="L88" s="14"/>
      <c r="M88" s="14"/>
      <c r="N88" s="14"/>
      <c r="O88" s="14"/>
      <c r="P88" s="14"/>
    </row>
    <row r="89" spans="1:16">
      <c r="A89" s="23">
        <v>15</v>
      </c>
      <c r="B89" s="24" t="s">
        <v>604</v>
      </c>
      <c r="C89" s="24">
        <v>2</v>
      </c>
      <c r="D89" s="24">
        <v>1</v>
      </c>
      <c r="E89" s="24" t="s">
        <v>36</v>
      </c>
      <c r="F89"/>
      <c r="G89"/>
      <c r="H89"/>
      <c r="I89" s="14"/>
      <c r="J89" s="14"/>
      <c r="K89" s="14"/>
      <c r="L89" s="14"/>
      <c r="M89" s="14"/>
      <c r="N89" s="14"/>
      <c r="O89" s="14"/>
      <c r="P89" s="14"/>
    </row>
    <row r="90" spans="1:16">
      <c r="A90" s="23">
        <v>15</v>
      </c>
      <c r="B90" s="24" t="s">
        <v>605</v>
      </c>
      <c r="C90" s="24">
        <v>1</v>
      </c>
      <c r="D90" s="24">
        <v>1</v>
      </c>
      <c r="E90" s="24" t="s">
        <v>31</v>
      </c>
      <c r="F90"/>
      <c r="G90"/>
      <c r="H90"/>
      <c r="I90" s="14"/>
      <c r="J90" s="14"/>
      <c r="K90" s="14"/>
      <c r="L90" s="14"/>
      <c r="M90" s="14"/>
      <c r="N90" s="14"/>
      <c r="O90" s="14"/>
      <c r="P90" s="14"/>
    </row>
    <row r="91" spans="1:16">
      <c r="A91" s="23">
        <v>15</v>
      </c>
      <c r="B91" s="24" t="s">
        <v>605</v>
      </c>
      <c r="C91" s="24">
        <v>2</v>
      </c>
      <c r="D91" s="24">
        <v>1</v>
      </c>
      <c r="E91" s="24" t="s">
        <v>30</v>
      </c>
      <c r="F91"/>
      <c r="G91"/>
      <c r="H91"/>
      <c r="I91" s="14"/>
      <c r="J91" s="14"/>
      <c r="K91" s="14"/>
      <c r="L91" s="14"/>
      <c r="M91" s="14"/>
      <c r="N91" s="14"/>
      <c r="O91" s="14"/>
      <c r="P91" s="14"/>
    </row>
    <row r="92" spans="1:16">
      <c r="A92" s="23">
        <v>15</v>
      </c>
      <c r="B92" s="24" t="s">
        <v>606</v>
      </c>
      <c r="C92" s="24">
        <v>1</v>
      </c>
      <c r="D92" s="24">
        <v>2</v>
      </c>
      <c r="E92" s="24" t="s">
        <v>77</v>
      </c>
      <c r="F92"/>
      <c r="G92"/>
      <c r="H92"/>
      <c r="I92" s="14"/>
      <c r="J92" s="14"/>
      <c r="K92" s="14"/>
      <c r="L92" s="14"/>
      <c r="M92" s="14"/>
      <c r="N92" s="14"/>
      <c r="O92" s="14"/>
      <c r="P92" s="14"/>
    </row>
    <row r="93" spans="1:16">
      <c r="A93" s="23">
        <v>15</v>
      </c>
      <c r="B93" s="24" t="s">
        <v>606</v>
      </c>
      <c r="C93" s="24">
        <v>2</v>
      </c>
      <c r="D93" s="24">
        <v>2</v>
      </c>
      <c r="E93" s="24" t="s">
        <v>91</v>
      </c>
      <c r="F93"/>
      <c r="G93"/>
      <c r="H93"/>
      <c r="I93" s="14"/>
      <c r="J93" s="14"/>
      <c r="K93" s="14"/>
      <c r="L93" s="14"/>
      <c r="M93" s="14"/>
      <c r="N93" s="14"/>
      <c r="O93" s="14"/>
      <c r="P93" s="14"/>
    </row>
    <row r="94" spans="1:16">
      <c r="A94" s="22">
        <v>16</v>
      </c>
      <c r="B94" s="21" t="s">
        <v>604</v>
      </c>
      <c r="C94" s="21">
        <v>1</v>
      </c>
      <c r="D94" s="21">
        <v>2</v>
      </c>
      <c r="E94" s="21" t="s">
        <v>78</v>
      </c>
      <c r="F94"/>
      <c r="G94"/>
      <c r="H94"/>
      <c r="I94" s="14"/>
      <c r="J94" s="14"/>
      <c r="K94" s="14"/>
      <c r="L94" s="14"/>
      <c r="M94" s="14"/>
      <c r="N94" s="14"/>
      <c r="O94" s="14"/>
      <c r="P94" s="14"/>
    </row>
    <row r="95" spans="1:16">
      <c r="A95" s="22">
        <v>16</v>
      </c>
      <c r="B95" s="21" t="s">
        <v>604</v>
      </c>
      <c r="C95" s="21">
        <v>2</v>
      </c>
      <c r="D95" s="21">
        <v>1</v>
      </c>
      <c r="E95" s="21" t="s">
        <v>19</v>
      </c>
      <c r="F95"/>
      <c r="G95"/>
      <c r="H95"/>
      <c r="I95" s="14"/>
      <c r="J95" s="14"/>
      <c r="K95" s="14"/>
      <c r="L95" s="14"/>
      <c r="M95" s="14"/>
      <c r="N95" s="14"/>
      <c r="O95" s="14"/>
      <c r="P95" s="14"/>
    </row>
    <row r="96" spans="1:16">
      <c r="A96" s="22">
        <v>16</v>
      </c>
      <c r="B96" s="21" t="s">
        <v>605</v>
      </c>
      <c r="C96" s="21">
        <v>1</v>
      </c>
      <c r="D96" s="21">
        <v>2</v>
      </c>
      <c r="E96" s="21" t="s">
        <v>92</v>
      </c>
      <c r="F96"/>
      <c r="G96"/>
      <c r="H96"/>
      <c r="I96" s="14"/>
      <c r="J96" s="14"/>
      <c r="K96" s="14"/>
      <c r="L96" s="14"/>
      <c r="M96" s="14"/>
      <c r="N96" s="14"/>
      <c r="O96" s="14"/>
      <c r="P96" s="14"/>
    </row>
    <row r="97" spans="1:16">
      <c r="A97" s="22">
        <v>16</v>
      </c>
      <c r="B97" s="21" t="s">
        <v>605</v>
      </c>
      <c r="C97" s="21">
        <v>2</v>
      </c>
      <c r="D97" s="21">
        <v>2</v>
      </c>
      <c r="E97" s="21" t="s">
        <v>70</v>
      </c>
      <c r="F97"/>
      <c r="G97"/>
      <c r="H97"/>
      <c r="I97" s="14"/>
      <c r="J97" s="14"/>
      <c r="K97" s="14"/>
      <c r="L97" s="14"/>
      <c r="M97" s="14"/>
      <c r="N97" s="14"/>
      <c r="O97" s="14"/>
      <c r="P97" s="14"/>
    </row>
    <row r="98" spans="1:16">
      <c r="A98" s="22">
        <v>16</v>
      </c>
      <c r="B98" s="21" t="s">
        <v>606</v>
      </c>
      <c r="C98" s="21">
        <v>1</v>
      </c>
      <c r="D98" s="21">
        <v>1</v>
      </c>
      <c r="E98" s="21" t="s">
        <v>18</v>
      </c>
      <c r="F98"/>
      <c r="G98"/>
      <c r="H98"/>
      <c r="I98" s="14"/>
      <c r="J98" s="14"/>
      <c r="K98" s="14"/>
      <c r="L98" s="14"/>
      <c r="M98" s="14"/>
      <c r="N98" s="14"/>
      <c r="O98" s="14"/>
      <c r="P98" s="14"/>
    </row>
    <row r="99" spans="1:16">
      <c r="A99" s="22">
        <v>16</v>
      </c>
      <c r="B99" s="21" t="s">
        <v>606</v>
      </c>
      <c r="C99" s="21">
        <v>2</v>
      </c>
      <c r="D99" s="21">
        <v>1</v>
      </c>
      <c r="E99" s="21" t="s">
        <v>37</v>
      </c>
      <c r="F99"/>
      <c r="G99"/>
      <c r="H99"/>
      <c r="I99" s="14"/>
      <c r="J99" s="14"/>
      <c r="K99" s="14"/>
      <c r="L99" s="14"/>
      <c r="M99" s="14"/>
      <c r="N99" s="14"/>
      <c r="O99" s="14"/>
      <c r="P99" s="14"/>
    </row>
    <row r="100" spans="1:16">
      <c r="A100" s="23">
        <v>17</v>
      </c>
      <c r="B100" s="24" t="s">
        <v>604</v>
      </c>
      <c r="C100" s="24">
        <v>1</v>
      </c>
      <c r="D100" s="24">
        <v>1</v>
      </c>
      <c r="E100" s="24" t="s">
        <v>17</v>
      </c>
      <c r="F100"/>
      <c r="G100"/>
      <c r="H100"/>
      <c r="I100" s="14"/>
      <c r="J100" s="14"/>
      <c r="K100" s="14"/>
      <c r="L100" s="14"/>
      <c r="M100" s="14"/>
      <c r="N100" s="14"/>
      <c r="O100" s="14"/>
      <c r="P100" s="14"/>
    </row>
    <row r="101" spans="1:16">
      <c r="A101" s="23">
        <v>17</v>
      </c>
      <c r="B101" s="24" t="s">
        <v>604</v>
      </c>
      <c r="C101" s="24">
        <v>2</v>
      </c>
      <c r="D101" s="24">
        <v>2</v>
      </c>
      <c r="E101" s="24" t="s">
        <v>250</v>
      </c>
      <c r="F101"/>
      <c r="G101"/>
      <c r="H101"/>
      <c r="I101" s="14"/>
      <c r="J101" s="14"/>
      <c r="K101" s="14"/>
      <c r="L101" s="14"/>
      <c r="M101" s="14"/>
      <c r="N101" s="14"/>
      <c r="O101" s="14"/>
      <c r="P101" s="14"/>
    </row>
    <row r="102" spans="1:16">
      <c r="A102" s="23">
        <v>17</v>
      </c>
      <c r="B102" s="24" t="s">
        <v>605</v>
      </c>
      <c r="C102" s="24">
        <v>1</v>
      </c>
      <c r="D102" s="24">
        <v>2</v>
      </c>
      <c r="E102" s="24" t="s">
        <v>84</v>
      </c>
      <c r="F102"/>
      <c r="G102"/>
      <c r="H102"/>
      <c r="I102" s="14"/>
      <c r="J102" s="14"/>
      <c r="K102" s="14"/>
      <c r="L102" s="14"/>
      <c r="M102" s="14"/>
      <c r="N102" s="14"/>
      <c r="O102" s="14"/>
      <c r="P102" s="14"/>
    </row>
    <row r="103" spans="1:16">
      <c r="A103" s="23">
        <v>17</v>
      </c>
      <c r="B103" s="24" t="s">
        <v>605</v>
      </c>
      <c r="C103" s="24">
        <v>2</v>
      </c>
      <c r="D103" s="24">
        <v>1</v>
      </c>
      <c r="E103" s="24" t="s">
        <v>22</v>
      </c>
      <c r="F103"/>
      <c r="G103"/>
      <c r="H103"/>
      <c r="I103" s="14"/>
      <c r="J103" s="14"/>
      <c r="K103" s="14"/>
      <c r="L103" s="14"/>
      <c r="M103" s="14"/>
      <c r="N103" s="14"/>
      <c r="O103" s="14"/>
      <c r="P103" s="14"/>
    </row>
    <row r="104" spans="1:16">
      <c r="A104" s="23">
        <v>17</v>
      </c>
      <c r="B104" s="24" t="s">
        <v>606</v>
      </c>
      <c r="C104" s="24">
        <v>1</v>
      </c>
      <c r="D104" s="24">
        <v>1</v>
      </c>
      <c r="E104" s="24" t="s">
        <v>231</v>
      </c>
      <c r="F104"/>
      <c r="G104"/>
      <c r="H104"/>
      <c r="I104" s="14"/>
      <c r="J104" s="14"/>
      <c r="K104" s="14"/>
      <c r="L104" s="14"/>
      <c r="M104" s="14"/>
      <c r="N104" s="14"/>
      <c r="O104" s="14"/>
      <c r="P104" s="14"/>
    </row>
    <row r="105" spans="1:16">
      <c r="A105" s="23">
        <v>17</v>
      </c>
      <c r="B105" s="24" t="s">
        <v>606</v>
      </c>
      <c r="C105" s="24">
        <v>2</v>
      </c>
      <c r="D105" s="24">
        <v>2</v>
      </c>
      <c r="E105" s="24" t="s">
        <v>62</v>
      </c>
      <c r="F105"/>
      <c r="G105"/>
      <c r="H105"/>
      <c r="I105" s="14"/>
      <c r="J105" s="14"/>
      <c r="K105" s="14"/>
      <c r="L105" s="14"/>
      <c r="M105" s="14"/>
      <c r="N105" s="14"/>
      <c r="O105" s="14"/>
      <c r="P105" s="14"/>
    </row>
    <row r="106" spans="1:16">
      <c r="A106" s="22">
        <v>18</v>
      </c>
      <c r="B106" s="21" t="s">
        <v>604</v>
      </c>
      <c r="C106" s="21">
        <v>1</v>
      </c>
      <c r="D106" s="21">
        <v>1</v>
      </c>
      <c r="E106" s="21" t="s">
        <v>20</v>
      </c>
      <c r="F106"/>
      <c r="G106"/>
      <c r="H106"/>
      <c r="I106" s="14"/>
      <c r="J106" s="14"/>
      <c r="K106" s="14"/>
      <c r="L106" s="14"/>
      <c r="M106" s="14"/>
      <c r="N106" s="14"/>
      <c r="O106" s="14"/>
      <c r="P106" s="14"/>
    </row>
    <row r="107" spans="1:16">
      <c r="A107" s="22">
        <v>18</v>
      </c>
      <c r="B107" s="21" t="s">
        <v>604</v>
      </c>
      <c r="C107" s="21">
        <v>2</v>
      </c>
      <c r="D107" s="21">
        <v>2</v>
      </c>
      <c r="E107" s="21" t="s">
        <v>251</v>
      </c>
      <c r="F107"/>
      <c r="G107"/>
      <c r="H107"/>
      <c r="I107" s="14"/>
      <c r="J107" s="14"/>
      <c r="K107" s="14"/>
      <c r="L107" s="14"/>
      <c r="M107" s="14"/>
      <c r="N107" s="14"/>
      <c r="O107" s="14"/>
      <c r="P107" s="14"/>
    </row>
    <row r="108" spans="1:16">
      <c r="A108" s="22">
        <v>18</v>
      </c>
      <c r="B108" s="21" t="s">
        <v>605</v>
      </c>
      <c r="C108" s="21">
        <v>1</v>
      </c>
      <c r="D108" s="21">
        <v>1</v>
      </c>
      <c r="E108" s="21" t="s">
        <v>227</v>
      </c>
      <c r="F108"/>
      <c r="G108"/>
      <c r="H108"/>
      <c r="I108" s="14"/>
      <c r="J108" s="14"/>
      <c r="K108" s="14"/>
      <c r="L108" s="14"/>
      <c r="M108" s="14"/>
      <c r="N108" s="14"/>
      <c r="O108" s="14"/>
      <c r="P108" s="14"/>
    </row>
    <row r="109" spans="1:16">
      <c r="A109" s="22">
        <v>18</v>
      </c>
      <c r="B109" s="21" t="s">
        <v>605</v>
      </c>
      <c r="C109" s="21">
        <v>2</v>
      </c>
      <c r="D109" s="21">
        <v>2</v>
      </c>
      <c r="E109" s="21" t="s">
        <v>76</v>
      </c>
      <c r="F109"/>
      <c r="G109"/>
      <c r="H109"/>
      <c r="I109" s="14"/>
      <c r="J109" s="14"/>
      <c r="K109" s="14"/>
      <c r="L109" s="14"/>
      <c r="M109" s="14"/>
      <c r="N109" s="14"/>
      <c r="O109" s="14"/>
      <c r="P109" s="14"/>
    </row>
    <row r="110" spans="1:16">
      <c r="A110" s="22">
        <v>18</v>
      </c>
      <c r="B110" s="21" t="s">
        <v>606</v>
      </c>
      <c r="C110" s="21">
        <v>1</v>
      </c>
      <c r="D110" s="21">
        <v>1</v>
      </c>
      <c r="E110" s="21" t="s">
        <v>232</v>
      </c>
      <c r="F110"/>
      <c r="G110"/>
      <c r="H110"/>
      <c r="I110" s="14"/>
      <c r="J110" s="14"/>
      <c r="K110" s="14"/>
      <c r="L110" s="14"/>
      <c r="M110" s="14"/>
      <c r="N110" s="14"/>
      <c r="O110" s="14"/>
      <c r="P110" s="14"/>
    </row>
    <row r="111" spans="1:16">
      <c r="A111" s="22">
        <v>18</v>
      </c>
      <c r="B111" s="21" t="s">
        <v>606</v>
      </c>
      <c r="C111" s="21">
        <v>2</v>
      </c>
      <c r="D111" s="21">
        <v>2</v>
      </c>
      <c r="E111" s="21" t="s">
        <v>247</v>
      </c>
      <c r="F111"/>
      <c r="G111"/>
      <c r="H111"/>
      <c r="I111" s="14"/>
      <c r="J111" s="14"/>
      <c r="K111" s="14"/>
      <c r="L111" s="14"/>
      <c r="M111" s="14"/>
      <c r="N111" s="14"/>
      <c r="O111" s="14"/>
      <c r="P111" s="14"/>
    </row>
    <row r="112" spans="1:16">
      <c r="A112" s="23">
        <v>19</v>
      </c>
      <c r="B112" s="24" t="s">
        <v>604</v>
      </c>
      <c r="C112" s="24">
        <v>1</v>
      </c>
      <c r="D112" s="24">
        <v>2</v>
      </c>
      <c r="E112" s="24" t="s">
        <v>71</v>
      </c>
      <c r="F112"/>
      <c r="G112"/>
      <c r="H112"/>
      <c r="I112" s="14"/>
      <c r="J112" s="14"/>
      <c r="K112" s="14"/>
      <c r="L112" s="14"/>
      <c r="M112" s="14"/>
      <c r="N112" s="14"/>
      <c r="O112" s="14"/>
      <c r="P112" s="14"/>
    </row>
    <row r="113" spans="1:16">
      <c r="A113" s="23">
        <v>19</v>
      </c>
      <c r="B113" s="24" t="s">
        <v>604</v>
      </c>
      <c r="C113" s="24">
        <v>2</v>
      </c>
      <c r="D113" s="24">
        <v>2</v>
      </c>
      <c r="E113" s="24" t="s">
        <v>249</v>
      </c>
      <c r="F113"/>
      <c r="G113"/>
      <c r="H113"/>
      <c r="I113" s="14"/>
      <c r="J113" s="14"/>
      <c r="K113" s="14"/>
      <c r="L113" s="14"/>
      <c r="M113" s="14"/>
      <c r="N113" s="14"/>
      <c r="O113" s="14"/>
      <c r="P113" s="14"/>
    </row>
    <row r="114" spans="1:16">
      <c r="A114" s="23">
        <v>19</v>
      </c>
      <c r="B114" s="24" t="s">
        <v>605</v>
      </c>
      <c r="C114" s="24">
        <v>1</v>
      </c>
      <c r="D114" s="24">
        <v>1</v>
      </c>
      <c r="E114" s="24" t="s">
        <v>228</v>
      </c>
      <c r="F114"/>
      <c r="G114"/>
      <c r="H114"/>
      <c r="I114" s="14"/>
      <c r="J114" s="14"/>
      <c r="K114" s="14"/>
      <c r="L114" s="14"/>
      <c r="M114" s="14"/>
      <c r="N114" s="14"/>
      <c r="O114" s="14"/>
      <c r="P114" s="14"/>
    </row>
    <row r="115" spans="1:16">
      <c r="A115" s="23">
        <v>19</v>
      </c>
      <c r="B115" s="24" t="s">
        <v>605</v>
      </c>
      <c r="C115" s="24">
        <v>2</v>
      </c>
      <c r="D115" s="24">
        <v>2</v>
      </c>
      <c r="E115" s="24" t="s">
        <v>248</v>
      </c>
      <c r="F115"/>
      <c r="G115"/>
      <c r="H115"/>
      <c r="I115" s="14"/>
      <c r="J115" s="14"/>
      <c r="K115" s="14"/>
      <c r="L115" s="14"/>
      <c r="M115" s="14"/>
      <c r="N115" s="14"/>
      <c r="O115" s="14"/>
      <c r="P115" s="14"/>
    </row>
    <row r="116" spans="1:16">
      <c r="A116" s="23">
        <v>19</v>
      </c>
      <c r="B116" s="24" t="s">
        <v>606</v>
      </c>
      <c r="C116" s="24">
        <v>1</v>
      </c>
      <c r="D116" s="24">
        <v>1</v>
      </c>
      <c r="E116" s="24" t="s">
        <v>23</v>
      </c>
      <c r="F116"/>
      <c r="G116"/>
      <c r="H116"/>
      <c r="I116" s="14"/>
      <c r="J116" s="14"/>
      <c r="K116" s="14"/>
      <c r="L116" s="14"/>
      <c r="M116" s="14"/>
      <c r="N116" s="14"/>
      <c r="O116" s="14"/>
      <c r="P116" s="14"/>
    </row>
    <row r="117" spans="1:16">
      <c r="A117" s="23">
        <v>19</v>
      </c>
      <c r="B117" s="24" t="s">
        <v>606</v>
      </c>
      <c r="C117" s="24">
        <v>2</v>
      </c>
      <c r="D117" s="24">
        <v>1</v>
      </c>
      <c r="E117" s="24" t="s">
        <v>229</v>
      </c>
      <c r="F117"/>
      <c r="G117"/>
      <c r="H117"/>
      <c r="I117" s="14"/>
      <c r="J117" s="14"/>
      <c r="K117" s="14"/>
      <c r="L117" s="14"/>
      <c r="M117" s="14"/>
      <c r="N117" s="14"/>
      <c r="O117" s="14"/>
      <c r="P117" s="14"/>
    </row>
    <row r="118" spans="1:16">
      <c r="A118" s="22">
        <v>20</v>
      </c>
      <c r="B118" s="21" t="s">
        <v>604</v>
      </c>
      <c r="C118" s="21">
        <v>1</v>
      </c>
      <c r="D118" s="21">
        <v>2</v>
      </c>
      <c r="E118" s="21" t="s">
        <v>239</v>
      </c>
      <c r="F118"/>
      <c r="G118"/>
      <c r="H118"/>
      <c r="I118" s="14"/>
      <c r="J118" s="14"/>
      <c r="K118" s="14"/>
      <c r="L118" s="14"/>
      <c r="M118" s="14"/>
      <c r="N118" s="14"/>
      <c r="O118" s="14"/>
      <c r="P118" s="14"/>
    </row>
    <row r="119" spans="1:16">
      <c r="A119" s="22">
        <v>20</v>
      </c>
      <c r="B119" s="21" t="s">
        <v>604</v>
      </c>
      <c r="C119" s="21">
        <v>2</v>
      </c>
      <c r="D119" s="21">
        <v>1</v>
      </c>
      <c r="E119" s="21" t="s">
        <v>230</v>
      </c>
      <c r="F119"/>
      <c r="G119"/>
      <c r="H119"/>
      <c r="I119" s="14"/>
      <c r="J119" s="14"/>
      <c r="K119" s="14"/>
      <c r="L119" s="14"/>
      <c r="M119" s="14"/>
      <c r="N119" s="14"/>
      <c r="O119" s="14"/>
      <c r="P119" s="14"/>
    </row>
    <row r="120" spans="1:16">
      <c r="A120" s="22">
        <v>20</v>
      </c>
      <c r="B120" s="21" t="s">
        <v>605</v>
      </c>
      <c r="C120" s="21">
        <v>1</v>
      </c>
      <c r="D120" s="21">
        <v>1</v>
      </c>
      <c r="E120" s="21" t="s">
        <v>40</v>
      </c>
      <c r="F120"/>
      <c r="G120"/>
      <c r="H120"/>
      <c r="I120" s="14"/>
      <c r="J120" s="14"/>
      <c r="K120" s="14"/>
      <c r="L120" s="14"/>
      <c r="M120" s="14"/>
      <c r="N120" s="14"/>
      <c r="O120" s="14"/>
      <c r="P120" s="14"/>
    </row>
    <row r="121" spans="1:16">
      <c r="A121" s="22">
        <v>20</v>
      </c>
      <c r="B121" s="21" t="s">
        <v>605</v>
      </c>
      <c r="C121" s="21">
        <v>2</v>
      </c>
      <c r="D121" s="21">
        <v>1</v>
      </c>
      <c r="E121" s="21" t="s">
        <v>26</v>
      </c>
      <c r="F121"/>
      <c r="G121"/>
      <c r="H121"/>
      <c r="I121" s="14"/>
      <c r="J121" s="14"/>
      <c r="K121" s="14"/>
      <c r="L121" s="14"/>
      <c r="M121" s="14"/>
      <c r="N121" s="14"/>
      <c r="O121" s="14"/>
      <c r="P121" s="14"/>
    </row>
    <row r="122" spans="1:16">
      <c r="A122" s="22">
        <v>20</v>
      </c>
      <c r="B122" s="21" t="s">
        <v>606</v>
      </c>
      <c r="C122" s="21">
        <v>1</v>
      </c>
      <c r="D122" s="21">
        <v>2</v>
      </c>
      <c r="E122" s="21" t="s">
        <v>58</v>
      </c>
      <c r="F122"/>
      <c r="G122"/>
      <c r="H122"/>
      <c r="I122" s="14"/>
      <c r="J122" s="14"/>
      <c r="K122" s="14"/>
      <c r="L122" s="14"/>
      <c r="M122" s="14"/>
      <c r="N122" s="14"/>
      <c r="O122" s="14"/>
      <c r="P122" s="14"/>
    </row>
    <row r="123" spans="1:16">
      <c r="A123" s="22">
        <v>20</v>
      </c>
      <c r="B123" s="21" t="s">
        <v>606</v>
      </c>
      <c r="C123" s="21">
        <v>2</v>
      </c>
      <c r="D123" s="21">
        <v>2</v>
      </c>
      <c r="E123" s="21" t="s">
        <v>95</v>
      </c>
      <c r="F123"/>
      <c r="G123"/>
      <c r="H123"/>
      <c r="I123" s="14"/>
      <c r="J123" s="14"/>
      <c r="K123" s="14"/>
      <c r="L123" s="14"/>
      <c r="M123" s="14"/>
      <c r="N123" s="14"/>
      <c r="O123" s="14"/>
      <c r="P123" s="14"/>
    </row>
    <row r="124" spans="1:16">
      <c r="A124" s="23">
        <v>21</v>
      </c>
      <c r="B124" s="24" t="s">
        <v>604</v>
      </c>
      <c r="C124" s="24">
        <v>1</v>
      </c>
      <c r="D124" s="24">
        <v>1</v>
      </c>
      <c r="E124" s="24" t="s">
        <v>29</v>
      </c>
      <c r="F124"/>
      <c r="G124"/>
      <c r="H124"/>
      <c r="I124" s="14"/>
      <c r="J124" s="14"/>
      <c r="K124" s="14"/>
      <c r="L124" s="14"/>
      <c r="M124" s="14"/>
      <c r="N124" s="14"/>
      <c r="O124" s="14"/>
      <c r="P124" s="14"/>
    </row>
    <row r="125" spans="1:16">
      <c r="A125" s="23">
        <v>21</v>
      </c>
      <c r="B125" s="24" t="s">
        <v>604</v>
      </c>
      <c r="C125" s="24">
        <v>2</v>
      </c>
      <c r="D125" s="24">
        <v>1</v>
      </c>
      <c r="E125" s="24" t="s">
        <v>28</v>
      </c>
      <c r="F125"/>
      <c r="G125"/>
      <c r="H125"/>
      <c r="I125" s="14"/>
      <c r="J125" s="14"/>
      <c r="K125" s="14"/>
      <c r="L125" s="14"/>
      <c r="M125" s="14"/>
      <c r="N125" s="14"/>
      <c r="O125" s="14"/>
      <c r="P125" s="14"/>
    </row>
    <row r="126" spans="1:16">
      <c r="A126" s="23">
        <v>21</v>
      </c>
      <c r="B126" s="24" t="s">
        <v>605</v>
      </c>
      <c r="C126" s="24">
        <v>1</v>
      </c>
      <c r="D126" s="24">
        <v>1</v>
      </c>
      <c r="E126" s="24" t="s">
        <v>41</v>
      </c>
      <c r="F126"/>
      <c r="G126"/>
      <c r="H126"/>
      <c r="I126" s="14"/>
      <c r="J126" s="14"/>
      <c r="K126" s="14"/>
      <c r="L126" s="14"/>
      <c r="M126" s="14"/>
      <c r="N126" s="14"/>
      <c r="O126" s="14"/>
      <c r="P126" s="14"/>
    </row>
    <row r="127" spans="1:16">
      <c r="A127" s="23">
        <v>21</v>
      </c>
      <c r="B127" s="24" t="s">
        <v>605</v>
      </c>
      <c r="C127" s="24">
        <v>2</v>
      </c>
      <c r="D127" s="24">
        <v>2</v>
      </c>
      <c r="E127" s="24" t="s">
        <v>96</v>
      </c>
      <c r="F127"/>
      <c r="G127"/>
      <c r="H127"/>
      <c r="I127" s="14"/>
      <c r="J127" s="14"/>
      <c r="K127" s="14"/>
      <c r="L127" s="14"/>
      <c r="M127" s="14"/>
      <c r="N127" s="14"/>
      <c r="O127" s="14"/>
      <c r="P127" s="14"/>
    </row>
    <row r="128" spans="1:16">
      <c r="A128" s="23">
        <v>21</v>
      </c>
      <c r="B128" s="24" t="s">
        <v>606</v>
      </c>
      <c r="C128" s="24">
        <v>1</v>
      </c>
      <c r="D128" s="24">
        <v>2</v>
      </c>
      <c r="E128" s="24" t="s">
        <v>87</v>
      </c>
      <c r="F128"/>
      <c r="G128"/>
      <c r="H128"/>
      <c r="I128" s="14"/>
      <c r="J128" s="14"/>
      <c r="K128" s="14"/>
      <c r="L128" s="14"/>
      <c r="M128" s="14"/>
      <c r="N128" s="14"/>
      <c r="O128" s="14"/>
      <c r="P128" s="14"/>
    </row>
    <row r="129" spans="1:16">
      <c r="A129" s="23">
        <v>21</v>
      </c>
      <c r="B129" s="24" t="s">
        <v>606</v>
      </c>
      <c r="C129" s="24">
        <v>2</v>
      </c>
      <c r="D129" s="24">
        <v>2</v>
      </c>
      <c r="E129" s="24" t="s">
        <v>54</v>
      </c>
      <c r="F129"/>
      <c r="G129"/>
      <c r="H129"/>
      <c r="I129" s="14"/>
      <c r="J129" s="14"/>
      <c r="K129" s="14"/>
      <c r="L129" s="14"/>
      <c r="M129" s="14"/>
      <c r="N129" s="14"/>
      <c r="O129" s="14"/>
      <c r="P129" s="14"/>
    </row>
    <row r="130" spans="1:16">
      <c r="A130" s="22">
        <v>22</v>
      </c>
      <c r="B130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30" s="21">
        <v>1</v>
      </c>
      <c r="D130" s="21" t="s">
        <v>479</v>
      </c>
      <c r="E130" s="21" t="s">
        <v>89</v>
      </c>
      <c r="F130"/>
      <c r="G130"/>
      <c r="H130"/>
      <c r="I130" s="14"/>
      <c r="J130" s="14"/>
      <c r="K130" s="14"/>
      <c r="L130" s="14"/>
      <c r="M130" s="14"/>
      <c r="N130" s="14"/>
      <c r="O130" s="14"/>
      <c r="P130" s="14"/>
    </row>
    <row r="131" spans="1:16">
      <c r="A131"/>
      <c r="B131"/>
      <c r="C131"/>
      <c r="D131"/>
      <c r="E131"/>
      <c r="F131"/>
      <c r="G131"/>
      <c r="H131"/>
    </row>
    <row r="132" spans="1:16">
      <c r="A132"/>
      <c r="B132"/>
      <c r="C132"/>
      <c r="D132"/>
      <c r="E132"/>
      <c r="F132"/>
      <c r="G132"/>
      <c r="H132"/>
    </row>
    <row r="133" spans="1:16" ht="15.5">
      <c r="A133"/>
      <c r="B133" s="41" t="s">
        <v>790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</row>
    <row r="134" spans="1:16">
      <c r="A134"/>
      <c r="B134" s="42" t="s">
        <v>608</v>
      </c>
      <c r="C134" s="43" t="s">
        <v>791</v>
      </c>
      <c r="D134" s="43"/>
      <c r="E134" s="43"/>
      <c r="F134" s="43" t="s">
        <v>610</v>
      </c>
      <c r="G134" s="43"/>
      <c r="H134" s="46"/>
      <c r="I134" s="42" t="s">
        <v>608</v>
      </c>
      <c r="J134" s="43" t="s">
        <v>799</v>
      </c>
      <c r="K134" s="43"/>
      <c r="L134" s="43"/>
      <c r="M134" s="43" t="s">
        <v>610</v>
      </c>
      <c r="N134" s="43"/>
    </row>
    <row r="135" spans="1:16">
      <c r="A135"/>
      <c r="B135" s="44">
        <v>1</v>
      </c>
      <c r="C135" s="45" t="s">
        <v>792</v>
      </c>
      <c r="D135" s="45"/>
      <c r="E135" s="45"/>
      <c r="F135" s="45" t="s">
        <v>611</v>
      </c>
      <c r="G135" s="45"/>
      <c r="H135" s="46"/>
      <c r="I135" s="44">
        <v>8</v>
      </c>
      <c r="J135" s="45" t="s">
        <v>800</v>
      </c>
      <c r="K135" s="45"/>
      <c r="L135" s="45"/>
      <c r="M135" s="45" t="s">
        <v>611</v>
      </c>
      <c r="N135" s="45"/>
    </row>
    <row r="136" spans="1:16">
      <c r="A136"/>
      <c r="B136" s="44">
        <v>2</v>
      </c>
      <c r="C136" s="45" t="s">
        <v>793</v>
      </c>
      <c r="D136" s="45"/>
      <c r="E136" s="45"/>
      <c r="F136" s="45" t="s">
        <v>611</v>
      </c>
      <c r="G136" s="45"/>
      <c r="H136" s="46"/>
      <c r="I136" s="44">
        <v>9</v>
      </c>
      <c r="J136" s="45" t="s">
        <v>801</v>
      </c>
      <c r="K136" s="45"/>
      <c r="L136" s="45"/>
      <c r="M136" s="45" t="s">
        <v>611</v>
      </c>
      <c r="N136" s="45"/>
    </row>
    <row r="137" spans="1:16">
      <c r="A137"/>
      <c r="B137" s="44">
        <v>3</v>
      </c>
      <c r="C137" s="45" t="s">
        <v>794</v>
      </c>
      <c r="D137" s="45"/>
      <c r="E137" s="45"/>
      <c r="F137" s="45" t="s">
        <v>611</v>
      </c>
      <c r="G137" s="45"/>
      <c r="H137" s="46"/>
      <c r="I137" s="44">
        <v>10</v>
      </c>
      <c r="J137" s="45" t="s">
        <v>802</v>
      </c>
      <c r="K137" s="45"/>
      <c r="L137" s="45"/>
      <c r="M137" s="45" t="s">
        <v>611</v>
      </c>
      <c r="N137" s="45"/>
    </row>
    <row r="138" spans="1:16">
      <c r="A138"/>
      <c r="B138" s="44">
        <v>4</v>
      </c>
      <c r="C138" s="45" t="s">
        <v>795</v>
      </c>
      <c r="D138" s="45"/>
      <c r="E138" s="45"/>
      <c r="F138" s="45" t="s">
        <v>613</v>
      </c>
      <c r="G138" s="45"/>
      <c r="H138" s="46"/>
      <c r="I138" s="44">
        <v>11</v>
      </c>
      <c r="J138" s="45" t="s">
        <v>803</v>
      </c>
      <c r="K138" s="45"/>
      <c r="L138" s="45"/>
      <c r="M138" s="45" t="s">
        <v>613</v>
      </c>
      <c r="N138" s="45"/>
    </row>
    <row r="139" spans="1:16">
      <c r="A139"/>
      <c r="B139" s="44">
        <v>5</v>
      </c>
      <c r="C139" s="45" t="s">
        <v>796</v>
      </c>
      <c r="D139" s="45"/>
      <c r="E139" s="45"/>
      <c r="F139" s="45" t="s">
        <v>613</v>
      </c>
      <c r="G139" s="45"/>
      <c r="H139" s="46"/>
      <c r="I139" s="44">
        <v>12</v>
      </c>
      <c r="J139" s="45" t="s">
        <v>804</v>
      </c>
      <c r="K139" s="45"/>
      <c r="L139" s="45"/>
      <c r="M139" s="45" t="s">
        <v>613</v>
      </c>
      <c r="N139" s="45"/>
    </row>
    <row r="140" spans="1:16">
      <c r="A140"/>
      <c r="B140" s="44">
        <v>6</v>
      </c>
      <c r="C140" s="45" t="s">
        <v>797</v>
      </c>
      <c r="D140" s="45"/>
      <c r="E140" s="45"/>
      <c r="F140" s="45" t="s">
        <v>613</v>
      </c>
      <c r="G140" s="45"/>
      <c r="H140" s="46"/>
      <c r="I140" s="44">
        <v>13</v>
      </c>
      <c r="J140" s="45" t="s">
        <v>805</v>
      </c>
      <c r="K140" s="45"/>
      <c r="L140" s="45"/>
      <c r="M140" s="45" t="s">
        <v>613</v>
      </c>
      <c r="N140" s="45"/>
    </row>
    <row r="141" spans="1:16">
      <c r="A141"/>
      <c r="B141" s="44">
        <v>7</v>
      </c>
      <c r="C141" s="45" t="s">
        <v>798</v>
      </c>
      <c r="D141" s="45"/>
      <c r="E141" s="45"/>
      <c r="F141" s="45" t="s">
        <v>613</v>
      </c>
      <c r="G141" s="45"/>
      <c r="H141" s="46"/>
      <c r="I141" s="44">
        <v>14</v>
      </c>
      <c r="J141" s="45" t="s">
        <v>806</v>
      </c>
      <c r="K141" s="45"/>
      <c r="L141" s="45"/>
      <c r="M141" s="45" t="s">
        <v>613</v>
      </c>
      <c r="N141" s="45"/>
    </row>
    <row r="142" spans="1:16">
      <c r="A142"/>
      <c r="B142"/>
      <c r="C142"/>
      <c r="D142"/>
      <c r="E142"/>
      <c r="F142"/>
      <c r="G142"/>
      <c r="H142"/>
    </row>
    <row r="143" spans="1:16">
      <c r="A143"/>
      <c r="B143"/>
      <c r="C143"/>
      <c r="D143"/>
      <c r="E143"/>
      <c r="F143"/>
      <c r="G143"/>
      <c r="H143"/>
    </row>
    <row r="144" spans="1:16" ht="15.5">
      <c r="A144"/>
      <c r="B144" s="41" t="s">
        <v>807</v>
      </c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</row>
    <row r="145" spans="1:14">
      <c r="A145"/>
      <c r="B145" s="42" t="s">
        <v>608</v>
      </c>
      <c r="C145" s="43" t="s">
        <v>791</v>
      </c>
      <c r="D145" s="43"/>
      <c r="E145" s="43"/>
      <c r="F145" s="43" t="s">
        <v>610</v>
      </c>
      <c r="G145" s="43"/>
      <c r="H145" s="46"/>
      <c r="I145" s="42" t="s">
        <v>608</v>
      </c>
      <c r="J145" s="43" t="s">
        <v>799</v>
      </c>
      <c r="K145" s="43"/>
      <c r="L145" s="43"/>
      <c r="M145" s="43" t="s">
        <v>610</v>
      </c>
      <c r="N145" s="43"/>
    </row>
    <row r="146" spans="1:14">
      <c r="A146"/>
      <c r="B146" s="44">
        <v>1</v>
      </c>
      <c r="C146" s="45" t="s">
        <v>808</v>
      </c>
      <c r="D146" s="45"/>
      <c r="E146" s="45"/>
      <c r="F146" s="45" t="s">
        <v>611</v>
      </c>
      <c r="G146" s="45"/>
      <c r="H146" s="46"/>
      <c r="I146" s="44">
        <v>8</v>
      </c>
      <c r="J146" s="45" t="s">
        <v>815</v>
      </c>
      <c r="K146" s="45"/>
      <c r="L146" s="45"/>
      <c r="M146" s="45" t="s">
        <v>613</v>
      </c>
      <c r="N146" s="45"/>
    </row>
    <row r="147" spans="1:14">
      <c r="A147"/>
      <c r="B147" s="44">
        <v>2</v>
      </c>
      <c r="C147" s="45" t="s">
        <v>809</v>
      </c>
      <c r="D147" s="45"/>
      <c r="E147" s="45"/>
      <c r="F147" s="45" t="s">
        <v>613</v>
      </c>
      <c r="G147" s="45"/>
      <c r="H147" s="46"/>
      <c r="I147" s="44">
        <v>9</v>
      </c>
      <c r="J147" s="45" t="s">
        <v>816</v>
      </c>
      <c r="K147" s="45"/>
      <c r="L147" s="45"/>
      <c r="M147" s="45" t="s">
        <v>613</v>
      </c>
      <c r="N147" s="45"/>
    </row>
    <row r="148" spans="1:14">
      <c r="A148"/>
      <c r="B148" s="44">
        <v>3</v>
      </c>
      <c r="C148" s="45" t="s">
        <v>810</v>
      </c>
      <c r="D148" s="45"/>
      <c r="E148" s="45"/>
      <c r="F148" s="45" t="s">
        <v>615</v>
      </c>
      <c r="G148" s="45"/>
      <c r="H148" s="46"/>
      <c r="I148" s="44">
        <v>10</v>
      </c>
      <c r="J148" s="45" t="s">
        <v>817</v>
      </c>
      <c r="K148" s="45"/>
      <c r="L148" s="45"/>
      <c r="M148" s="45" t="s">
        <v>615</v>
      </c>
      <c r="N148" s="45"/>
    </row>
    <row r="149" spans="1:14">
      <c r="A149"/>
      <c r="B149" s="44">
        <v>4</v>
      </c>
      <c r="C149" s="45" t="s">
        <v>811</v>
      </c>
      <c r="D149" s="45"/>
      <c r="E149" s="45"/>
      <c r="F149" s="45" t="s">
        <v>615</v>
      </c>
      <c r="G149" s="45"/>
      <c r="H149" s="46"/>
      <c r="I149" s="44">
        <v>11</v>
      </c>
      <c r="J149" s="45" t="s">
        <v>818</v>
      </c>
      <c r="K149" s="45"/>
      <c r="L149" s="45"/>
      <c r="M149" s="45" t="s">
        <v>615</v>
      </c>
      <c r="N149" s="45"/>
    </row>
    <row r="150" spans="1:14">
      <c r="A150"/>
      <c r="B150" s="44">
        <v>5</v>
      </c>
      <c r="C150" s="45" t="s">
        <v>812</v>
      </c>
      <c r="D150" s="45"/>
      <c r="E150" s="45"/>
      <c r="F150" s="45" t="s">
        <v>615</v>
      </c>
      <c r="G150" s="45"/>
      <c r="H150" s="46"/>
      <c r="I150" s="44">
        <v>12</v>
      </c>
      <c r="J150" s="45" t="s">
        <v>819</v>
      </c>
      <c r="K150" s="45"/>
      <c r="L150" s="45"/>
      <c r="M150" s="45" t="s">
        <v>615</v>
      </c>
      <c r="N150" s="45"/>
    </row>
    <row r="151" spans="1:14">
      <c r="A151"/>
      <c r="B151" s="44">
        <v>6</v>
      </c>
      <c r="C151" s="45" t="s">
        <v>813</v>
      </c>
      <c r="D151" s="45"/>
      <c r="E151" s="45"/>
      <c r="F151" s="45" t="s">
        <v>615</v>
      </c>
      <c r="G151" s="45"/>
      <c r="H151" s="46"/>
      <c r="I151" s="44">
        <v>13</v>
      </c>
      <c r="J151" s="45" t="s">
        <v>820</v>
      </c>
      <c r="K151" s="45"/>
      <c r="L151" s="45"/>
      <c r="M151" s="45" t="s">
        <v>615</v>
      </c>
      <c r="N151" s="45"/>
    </row>
    <row r="152" spans="1:14">
      <c r="A152"/>
      <c r="B152" s="44">
        <v>7</v>
      </c>
      <c r="C152" s="45" t="s">
        <v>814</v>
      </c>
      <c r="D152" s="45"/>
      <c r="E152" s="45"/>
      <c r="F152" s="45" t="s">
        <v>615</v>
      </c>
      <c r="G152" s="45"/>
      <c r="H152" s="46"/>
      <c r="I152" s="44">
        <v>14</v>
      </c>
      <c r="J152" s="45" t="s">
        <v>821</v>
      </c>
      <c r="K152" s="45"/>
      <c r="L152" s="45"/>
      <c r="M152" s="45" t="s">
        <v>615</v>
      </c>
      <c r="N152" s="45"/>
    </row>
    <row r="153" spans="1:14">
      <c r="A153"/>
      <c r="B153"/>
      <c r="C153"/>
      <c r="D153"/>
      <c r="E153"/>
      <c r="F153"/>
      <c r="G153"/>
      <c r="H153"/>
    </row>
    <row r="154" spans="1:14">
      <c r="A154"/>
      <c r="B154"/>
      <c r="C154"/>
      <c r="D154"/>
      <c r="E154"/>
      <c r="F154"/>
      <c r="G154"/>
      <c r="H154"/>
    </row>
    <row r="155" spans="1:14">
      <c r="A155"/>
      <c r="B155"/>
      <c r="C155"/>
      <c r="D155"/>
      <c r="E155"/>
      <c r="F155"/>
      <c r="G155"/>
      <c r="H155"/>
    </row>
    <row r="156" spans="1:14">
      <c r="A156"/>
      <c r="B156"/>
      <c r="C156"/>
      <c r="D156"/>
      <c r="E156"/>
      <c r="F156"/>
      <c r="G156"/>
      <c r="H156"/>
    </row>
    <row r="157" spans="1:14">
      <c r="A157"/>
      <c r="B157"/>
      <c r="C157"/>
      <c r="D157"/>
      <c r="E157"/>
      <c r="F157"/>
      <c r="G157"/>
      <c r="H157"/>
    </row>
    <row r="158" spans="1:14">
      <c r="A158"/>
      <c r="B158"/>
      <c r="C158"/>
      <c r="D158"/>
      <c r="E158"/>
      <c r="F158"/>
      <c r="G158"/>
      <c r="H158"/>
    </row>
    <row r="159" spans="1:14">
      <c r="A159"/>
      <c r="B159"/>
      <c r="C159"/>
      <c r="D159"/>
      <c r="E159"/>
      <c r="F159"/>
      <c r="G159"/>
      <c r="H159"/>
    </row>
    <row r="160" spans="1:14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  <row r="782" s="9" customFormat="1"/>
    <row r="783" s="9" customFormat="1"/>
  </sheetData>
  <mergeCells count="67">
    <mergeCell ref="J150:L150"/>
    <mergeCell ref="M150:N150"/>
    <mergeCell ref="J151:L151"/>
    <mergeCell ref="M151:N151"/>
    <mergeCell ref="J152:L152"/>
    <mergeCell ref="M152:N152"/>
    <mergeCell ref="J147:L147"/>
    <mergeCell ref="M147:N147"/>
    <mergeCell ref="J148:L148"/>
    <mergeCell ref="M148:N148"/>
    <mergeCell ref="J149:L149"/>
    <mergeCell ref="M149:N149"/>
    <mergeCell ref="C150:E150"/>
    <mergeCell ref="F150:G150"/>
    <mergeCell ref="C151:E151"/>
    <mergeCell ref="F151:G151"/>
    <mergeCell ref="C152:E152"/>
    <mergeCell ref="F152:G152"/>
    <mergeCell ref="C147:E147"/>
    <mergeCell ref="F147:G147"/>
    <mergeCell ref="C148:E148"/>
    <mergeCell ref="F148:G148"/>
    <mergeCell ref="C149:E149"/>
    <mergeCell ref="F149:G149"/>
    <mergeCell ref="B144:N144"/>
    <mergeCell ref="C145:E145"/>
    <mergeCell ref="F145:G145"/>
    <mergeCell ref="C146:E146"/>
    <mergeCell ref="F146:G146"/>
    <mergeCell ref="J145:L145"/>
    <mergeCell ref="M145:N145"/>
    <mergeCell ref="J146:L146"/>
    <mergeCell ref="M146:N146"/>
    <mergeCell ref="J139:L139"/>
    <mergeCell ref="M139:N139"/>
    <mergeCell ref="J140:L140"/>
    <mergeCell ref="M140:N140"/>
    <mergeCell ref="J141:L141"/>
    <mergeCell ref="M141:N141"/>
    <mergeCell ref="J136:L136"/>
    <mergeCell ref="M136:N136"/>
    <mergeCell ref="J137:L137"/>
    <mergeCell ref="M137:N137"/>
    <mergeCell ref="J138:L138"/>
    <mergeCell ref="M138:N138"/>
    <mergeCell ref="C139:E139"/>
    <mergeCell ref="F139:G139"/>
    <mergeCell ref="C140:E140"/>
    <mergeCell ref="F140:G140"/>
    <mergeCell ref="C141:E141"/>
    <mergeCell ref="F141:G141"/>
    <mergeCell ref="C136:E136"/>
    <mergeCell ref="F136:G136"/>
    <mergeCell ref="C137:E137"/>
    <mergeCell ref="F137:G137"/>
    <mergeCell ref="C138:E138"/>
    <mergeCell ref="F138:G138"/>
    <mergeCell ref="A1:E1"/>
    <mergeCell ref="B133:N133"/>
    <mergeCell ref="C134:E134"/>
    <mergeCell ref="F134:G134"/>
    <mergeCell ref="C135:E135"/>
    <mergeCell ref="F135:G135"/>
    <mergeCell ref="J134:L134"/>
    <mergeCell ref="M134:N134"/>
    <mergeCell ref="J135:L135"/>
    <mergeCell ref="M135:N1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6E1D-A121-4C70-8C8F-1C2054D130F4}">
  <dimension ref="A1:N781"/>
  <sheetViews>
    <sheetView showGridLines="0" rightToLeft="1" workbookViewId="0">
      <pane ySplit="3" topLeftCell="A170" activePane="bottomLeft" state="frozen"/>
      <selection pane="bottomLeft" activeCell="M189" sqref="J189:N191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12.7265625" style="10" customWidth="1"/>
    <col min="5" max="5" width="40" style="10" customWidth="1"/>
    <col min="6" max="7" width="15.453125" style="10" customWidth="1"/>
    <col min="8" max="8" width="4.54296875" style="10" customWidth="1"/>
    <col min="9" max="14" width="15.453125" style="9" customWidth="1"/>
    <col min="15" max="18" width="7.6328125" style="9" customWidth="1"/>
    <col min="19" max="21" width="15.453125" style="9" customWidth="1"/>
    <col min="22" max="16384" width="8.7265625" style="9"/>
  </cols>
  <sheetData>
    <row r="1" spans="1:8" ht="24" customHeight="1">
      <c r="A1" s="39" t="s">
        <v>103</v>
      </c>
      <c r="B1" s="39"/>
      <c r="C1" s="39"/>
      <c r="D1" s="39"/>
      <c r="E1" s="39"/>
      <c r="F1"/>
      <c r="G1"/>
      <c r="H1"/>
    </row>
    <row r="2" spans="1:8" ht="12" customHeight="1">
      <c r="A2" s="19"/>
      <c r="B2" s="19"/>
      <c r="C2" s="19"/>
      <c r="D2" s="19"/>
      <c r="E2" s="19"/>
      <c r="F2"/>
      <c r="G2"/>
      <c r="H2"/>
    </row>
    <row r="3" spans="1:8" ht="22" customHeight="1">
      <c r="A3" s="20" t="s">
        <v>12</v>
      </c>
      <c r="B3" s="20" t="s">
        <v>13</v>
      </c>
      <c r="C3" s="20" t="s">
        <v>14</v>
      </c>
      <c r="D3" s="20" t="s">
        <v>33</v>
      </c>
      <c r="E3" s="20" t="s">
        <v>15</v>
      </c>
      <c r="F3"/>
      <c r="G3"/>
      <c r="H3"/>
    </row>
    <row r="4" spans="1:8">
      <c r="A4" s="23">
        <v>1</v>
      </c>
      <c r="B4" s="24" t="s">
        <v>604</v>
      </c>
      <c r="C4" s="24">
        <v>1</v>
      </c>
      <c r="D4" s="24">
        <v>1</v>
      </c>
      <c r="E4" s="24" t="s">
        <v>36</v>
      </c>
      <c r="F4"/>
      <c r="G4"/>
      <c r="H4"/>
    </row>
    <row r="5" spans="1:8">
      <c r="A5" s="23">
        <v>1</v>
      </c>
      <c r="B5" s="24" t="s">
        <v>604</v>
      </c>
      <c r="C5" s="24">
        <v>2</v>
      </c>
      <c r="D5" s="24">
        <v>1</v>
      </c>
      <c r="E5" s="24" t="s">
        <v>30</v>
      </c>
      <c r="F5"/>
      <c r="G5"/>
      <c r="H5"/>
    </row>
    <row r="6" spans="1:8">
      <c r="A6" s="23">
        <v>1</v>
      </c>
      <c r="B6" s="24" t="s">
        <v>604</v>
      </c>
      <c r="C6" s="24">
        <v>3</v>
      </c>
      <c r="D6" s="24">
        <v>1</v>
      </c>
      <c r="E6" s="24" t="s">
        <v>31</v>
      </c>
      <c r="F6"/>
      <c r="G6"/>
      <c r="H6"/>
    </row>
    <row r="7" spans="1:8">
      <c r="A7" s="23">
        <v>1</v>
      </c>
      <c r="B7" s="24" t="s">
        <v>605</v>
      </c>
      <c r="C7" s="24">
        <v>1</v>
      </c>
      <c r="D7" s="24">
        <v>2</v>
      </c>
      <c r="E7" s="24" t="s">
        <v>97</v>
      </c>
      <c r="F7"/>
      <c r="G7"/>
      <c r="H7"/>
    </row>
    <row r="8" spans="1:8">
      <c r="A8" s="23">
        <v>1</v>
      </c>
      <c r="B8" s="24" t="s">
        <v>605</v>
      </c>
      <c r="C8" s="24">
        <v>2</v>
      </c>
      <c r="D8" s="24">
        <v>2</v>
      </c>
      <c r="E8" s="24" t="s">
        <v>104</v>
      </c>
      <c r="F8"/>
      <c r="G8"/>
      <c r="H8"/>
    </row>
    <row r="9" spans="1:8">
      <c r="A9" s="23">
        <v>1</v>
      </c>
      <c r="B9" s="24" t="s">
        <v>606</v>
      </c>
      <c r="C9" s="24">
        <v>1</v>
      </c>
      <c r="D9" s="24">
        <v>1</v>
      </c>
      <c r="E9" s="24" t="s">
        <v>42</v>
      </c>
      <c r="F9"/>
      <c r="G9"/>
      <c r="H9"/>
    </row>
    <row r="10" spans="1:8">
      <c r="A10" s="23">
        <v>1</v>
      </c>
      <c r="B10" s="24" t="s">
        <v>606</v>
      </c>
      <c r="C10" s="24">
        <v>2</v>
      </c>
      <c r="D10" s="24">
        <v>2</v>
      </c>
      <c r="E10" s="24" t="s">
        <v>96</v>
      </c>
      <c r="F10"/>
      <c r="G10"/>
      <c r="H10"/>
    </row>
    <row r="11" spans="1:8">
      <c r="A11" s="23">
        <v>1</v>
      </c>
      <c r="B11" s="24" t="s">
        <v>606</v>
      </c>
      <c r="C11" s="24">
        <v>3</v>
      </c>
      <c r="D11" s="24">
        <v>2</v>
      </c>
      <c r="E11" s="24" t="s">
        <v>87</v>
      </c>
      <c r="F11"/>
      <c r="G11"/>
      <c r="H11"/>
    </row>
    <row r="12" spans="1:8">
      <c r="A12" s="22">
        <v>2</v>
      </c>
      <c r="B12" s="21" t="s">
        <v>604</v>
      </c>
      <c r="C12" s="21">
        <v>1</v>
      </c>
      <c r="D12" s="21">
        <v>2</v>
      </c>
      <c r="E12" s="21" t="s">
        <v>77</v>
      </c>
      <c r="F12"/>
      <c r="G12"/>
      <c r="H12"/>
    </row>
    <row r="13" spans="1:8">
      <c r="A13" s="22">
        <v>2</v>
      </c>
      <c r="B13" s="21" t="s">
        <v>604</v>
      </c>
      <c r="C13" s="21">
        <v>2</v>
      </c>
      <c r="D13" s="21">
        <v>1</v>
      </c>
      <c r="E13" s="21" t="s">
        <v>37</v>
      </c>
      <c r="F13"/>
      <c r="G13"/>
      <c r="H13"/>
    </row>
    <row r="14" spans="1:8">
      <c r="A14" s="22">
        <v>2</v>
      </c>
      <c r="B14" s="21" t="s">
        <v>604</v>
      </c>
      <c r="C14" s="21">
        <v>3</v>
      </c>
      <c r="D14" s="21">
        <v>2</v>
      </c>
      <c r="E14" s="21" t="s">
        <v>254</v>
      </c>
      <c r="F14"/>
      <c r="G14"/>
      <c r="H14"/>
    </row>
    <row r="15" spans="1:8">
      <c r="A15" s="22">
        <v>2</v>
      </c>
      <c r="B15" s="21" t="s">
        <v>605</v>
      </c>
      <c r="C15" s="21">
        <v>1</v>
      </c>
      <c r="D15" s="21">
        <v>1</v>
      </c>
      <c r="E15" s="21" t="s">
        <v>19</v>
      </c>
      <c r="F15"/>
      <c r="G15"/>
      <c r="H15"/>
    </row>
    <row r="16" spans="1:8">
      <c r="A16" s="22">
        <v>2</v>
      </c>
      <c r="B16" s="21" t="s">
        <v>605</v>
      </c>
      <c r="C16" s="21">
        <v>2</v>
      </c>
      <c r="D16" s="21">
        <v>1</v>
      </c>
      <c r="E16" s="21" t="s">
        <v>18</v>
      </c>
      <c r="F16"/>
      <c r="G16"/>
      <c r="H16"/>
    </row>
    <row r="17" spans="1:8">
      <c r="A17" s="22">
        <v>2</v>
      </c>
      <c r="B17" s="21" t="s">
        <v>606</v>
      </c>
      <c r="C17" s="21">
        <v>1</v>
      </c>
      <c r="D17" s="21">
        <v>2</v>
      </c>
      <c r="E17" s="21" t="s">
        <v>98</v>
      </c>
      <c r="F17"/>
      <c r="G17"/>
      <c r="H17"/>
    </row>
    <row r="18" spans="1:8">
      <c r="A18" s="22">
        <v>2</v>
      </c>
      <c r="B18" s="21" t="s">
        <v>606</v>
      </c>
      <c r="C18" s="21">
        <v>2</v>
      </c>
      <c r="D18" s="21">
        <v>1</v>
      </c>
      <c r="E18" s="21" t="s">
        <v>233</v>
      </c>
      <c r="F18"/>
      <c r="G18"/>
      <c r="H18"/>
    </row>
    <row r="19" spans="1:8">
      <c r="A19" s="22">
        <v>2</v>
      </c>
      <c r="B19" s="21" t="s">
        <v>606</v>
      </c>
      <c r="C19" s="21">
        <v>3</v>
      </c>
      <c r="D19" s="21">
        <v>2</v>
      </c>
      <c r="E19" s="21" t="s">
        <v>88</v>
      </c>
      <c r="F19"/>
      <c r="G19"/>
      <c r="H19"/>
    </row>
    <row r="20" spans="1:8">
      <c r="A20" s="23">
        <v>3</v>
      </c>
      <c r="B20" s="24" t="s">
        <v>604</v>
      </c>
      <c r="C20" s="24">
        <v>1</v>
      </c>
      <c r="D20" s="24">
        <v>2</v>
      </c>
      <c r="E20" s="24" t="s">
        <v>70</v>
      </c>
      <c r="F20"/>
      <c r="G20"/>
      <c r="H20"/>
    </row>
    <row r="21" spans="1:8">
      <c r="A21" s="23">
        <v>3</v>
      </c>
      <c r="B21" s="24" t="s">
        <v>604</v>
      </c>
      <c r="C21" s="24">
        <v>2</v>
      </c>
      <c r="D21" s="24">
        <v>1</v>
      </c>
      <c r="E21" s="24" t="s">
        <v>234</v>
      </c>
      <c r="F21"/>
      <c r="G21"/>
      <c r="H21"/>
    </row>
    <row r="22" spans="1:8">
      <c r="A22" s="23">
        <v>3</v>
      </c>
      <c r="B22" s="24" t="s">
        <v>604</v>
      </c>
      <c r="C22" s="24">
        <v>3</v>
      </c>
      <c r="D22" s="24">
        <v>2</v>
      </c>
      <c r="E22" s="24" t="s">
        <v>252</v>
      </c>
      <c r="F22"/>
      <c r="G22"/>
      <c r="H22"/>
    </row>
    <row r="23" spans="1:8">
      <c r="A23" s="23">
        <v>3</v>
      </c>
      <c r="B23" s="24" t="s">
        <v>605</v>
      </c>
      <c r="C23" s="24">
        <v>1</v>
      </c>
      <c r="D23" s="24">
        <v>1</v>
      </c>
      <c r="E23" s="24" t="s">
        <v>17</v>
      </c>
      <c r="F23"/>
      <c r="G23"/>
      <c r="H23"/>
    </row>
    <row r="24" spans="1:8">
      <c r="A24" s="23">
        <v>3</v>
      </c>
      <c r="B24" s="24" t="s">
        <v>605</v>
      </c>
      <c r="C24" s="24">
        <v>2</v>
      </c>
      <c r="D24" s="24">
        <v>1</v>
      </c>
      <c r="E24" s="24" t="s">
        <v>22</v>
      </c>
      <c r="F24"/>
      <c r="G24"/>
      <c r="H24"/>
    </row>
    <row r="25" spans="1:8">
      <c r="A25" s="23">
        <v>3</v>
      </c>
      <c r="B25" s="24" t="s">
        <v>605</v>
      </c>
      <c r="C25" s="24">
        <v>3</v>
      </c>
      <c r="D25" s="24">
        <v>2</v>
      </c>
      <c r="E25" s="24" t="s">
        <v>91</v>
      </c>
      <c r="F25"/>
      <c r="G25"/>
      <c r="H25"/>
    </row>
    <row r="26" spans="1:8">
      <c r="A26" s="23">
        <v>3</v>
      </c>
      <c r="B26" s="24" t="s">
        <v>606</v>
      </c>
      <c r="C26" s="24">
        <v>1</v>
      </c>
      <c r="D26" s="24">
        <v>1</v>
      </c>
      <c r="E26" s="24" t="s">
        <v>231</v>
      </c>
      <c r="F26"/>
      <c r="G26"/>
      <c r="H26"/>
    </row>
    <row r="27" spans="1:8">
      <c r="A27" s="23">
        <v>3</v>
      </c>
      <c r="B27" s="24" t="s">
        <v>606</v>
      </c>
      <c r="C27" s="24">
        <v>2</v>
      </c>
      <c r="D27" s="24">
        <v>2</v>
      </c>
      <c r="E27" s="24" t="s">
        <v>255</v>
      </c>
      <c r="F27"/>
      <c r="G27"/>
      <c r="H27"/>
    </row>
    <row r="28" spans="1:8">
      <c r="A28" s="22">
        <v>4</v>
      </c>
      <c r="B28" s="21" t="s">
        <v>604</v>
      </c>
      <c r="C28" s="21">
        <v>1</v>
      </c>
      <c r="D28" s="21">
        <v>1</v>
      </c>
      <c r="E28" s="21" t="s">
        <v>232</v>
      </c>
      <c r="F28"/>
      <c r="G28"/>
      <c r="H28"/>
    </row>
    <row r="29" spans="1:8">
      <c r="A29" s="22">
        <v>4</v>
      </c>
      <c r="B29" s="21" t="s">
        <v>604</v>
      </c>
      <c r="C29" s="21">
        <v>2</v>
      </c>
      <c r="D29" s="21">
        <v>1</v>
      </c>
      <c r="E29" s="21" t="s">
        <v>227</v>
      </c>
      <c r="F29"/>
      <c r="G29"/>
      <c r="H29"/>
    </row>
    <row r="30" spans="1:8">
      <c r="A30" s="22">
        <v>4</v>
      </c>
      <c r="B30" s="21" t="s">
        <v>605</v>
      </c>
      <c r="C30" s="21">
        <v>1</v>
      </c>
      <c r="D30" s="21">
        <v>1</v>
      </c>
      <c r="E30" s="21" t="s">
        <v>20</v>
      </c>
      <c r="F30"/>
      <c r="G30"/>
      <c r="H30"/>
    </row>
    <row r="31" spans="1:8">
      <c r="A31" s="22">
        <v>4</v>
      </c>
      <c r="B31" s="21" t="s">
        <v>605</v>
      </c>
      <c r="C31" s="21">
        <v>2</v>
      </c>
      <c r="D31" s="21">
        <v>2</v>
      </c>
      <c r="E31" s="21" t="s">
        <v>250</v>
      </c>
      <c r="F31"/>
      <c r="G31"/>
      <c r="H31"/>
    </row>
    <row r="32" spans="1:8">
      <c r="A32" s="22">
        <v>4</v>
      </c>
      <c r="B32" s="21" t="s">
        <v>605</v>
      </c>
      <c r="C32" s="21">
        <v>3</v>
      </c>
      <c r="D32" s="21">
        <v>2</v>
      </c>
      <c r="E32" s="21" t="s">
        <v>253</v>
      </c>
      <c r="F32"/>
      <c r="G32"/>
      <c r="H32"/>
    </row>
    <row r="33" spans="1:8">
      <c r="A33" s="22">
        <v>4</v>
      </c>
      <c r="B33" s="21" t="s">
        <v>606</v>
      </c>
      <c r="C33" s="21">
        <v>1</v>
      </c>
      <c r="D33" s="21">
        <v>1</v>
      </c>
      <c r="E33" s="21" t="s">
        <v>235</v>
      </c>
      <c r="F33"/>
      <c r="G33"/>
      <c r="H33"/>
    </row>
    <row r="34" spans="1:8">
      <c r="A34" s="22">
        <v>4</v>
      </c>
      <c r="B34" s="21" t="s">
        <v>606</v>
      </c>
      <c r="C34" s="21">
        <v>2</v>
      </c>
      <c r="D34" s="21">
        <v>2</v>
      </c>
      <c r="E34" s="21" t="s">
        <v>256</v>
      </c>
      <c r="F34"/>
      <c r="G34"/>
      <c r="H34"/>
    </row>
    <row r="35" spans="1:8">
      <c r="A35" s="22">
        <v>4</v>
      </c>
      <c r="B35" s="21" t="s">
        <v>606</v>
      </c>
      <c r="C35" s="21">
        <v>3</v>
      </c>
      <c r="D35" s="21">
        <v>2</v>
      </c>
      <c r="E35" s="21" t="s">
        <v>86</v>
      </c>
      <c r="F35"/>
      <c r="G35"/>
      <c r="H35"/>
    </row>
    <row r="36" spans="1:8">
      <c r="A36" s="23">
        <v>5</v>
      </c>
      <c r="B36" s="24" t="s">
        <v>604</v>
      </c>
      <c r="C36" s="24">
        <v>1</v>
      </c>
      <c r="D36" s="24">
        <v>1</v>
      </c>
      <c r="E36" s="24" t="s">
        <v>228</v>
      </c>
      <c r="F36"/>
      <c r="G36"/>
      <c r="H36"/>
    </row>
    <row r="37" spans="1:8">
      <c r="A37" s="23">
        <v>5</v>
      </c>
      <c r="B37" s="24" t="s">
        <v>604</v>
      </c>
      <c r="C37" s="24">
        <v>2</v>
      </c>
      <c r="D37" s="24">
        <v>1</v>
      </c>
      <c r="E37" s="24" t="s">
        <v>46</v>
      </c>
      <c r="F37"/>
      <c r="G37"/>
      <c r="H37"/>
    </row>
    <row r="38" spans="1:8">
      <c r="A38" s="23">
        <v>5</v>
      </c>
      <c r="B38" s="24" t="s">
        <v>604</v>
      </c>
      <c r="C38" s="24">
        <v>3</v>
      </c>
      <c r="D38" s="24">
        <v>2</v>
      </c>
      <c r="E38" s="24" t="s">
        <v>251</v>
      </c>
      <c r="F38"/>
      <c r="G38"/>
      <c r="H38"/>
    </row>
    <row r="39" spans="1:8">
      <c r="A39" s="23">
        <v>5</v>
      </c>
      <c r="B39" s="24" t="s">
        <v>605</v>
      </c>
      <c r="C39" s="24">
        <v>1</v>
      </c>
      <c r="D39" s="24">
        <v>2</v>
      </c>
      <c r="E39" s="24" t="s">
        <v>108</v>
      </c>
      <c r="F39"/>
      <c r="G39"/>
      <c r="H39"/>
    </row>
    <row r="40" spans="1:8">
      <c r="A40" s="23">
        <v>5</v>
      </c>
      <c r="B40" s="24" t="s">
        <v>605</v>
      </c>
      <c r="C40" s="24">
        <v>2</v>
      </c>
      <c r="D40" s="24">
        <v>2</v>
      </c>
      <c r="E40" s="24" t="s">
        <v>247</v>
      </c>
      <c r="F40"/>
      <c r="G40"/>
      <c r="H40"/>
    </row>
    <row r="41" spans="1:8">
      <c r="A41" s="23">
        <v>5</v>
      </c>
      <c r="B41" s="24" t="s">
        <v>605</v>
      </c>
      <c r="C41" s="24">
        <v>3</v>
      </c>
      <c r="D41" s="24">
        <v>2</v>
      </c>
      <c r="E41" s="24" t="s">
        <v>78</v>
      </c>
      <c r="F41"/>
      <c r="G41"/>
      <c r="H41"/>
    </row>
    <row r="42" spans="1:8">
      <c r="A42" s="23">
        <v>5</v>
      </c>
      <c r="B42" s="24" t="s">
        <v>606</v>
      </c>
      <c r="C42" s="24">
        <v>1</v>
      </c>
      <c r="D42" s="24">
        <v>1</v>
      </c>
      <c r="E42" s="24" t="s">
        <v>229</v>
      </c>
      <c r="F42"/>
      <c r="G42"/>
      <c r="H42"/>
    </row>
    <row r="43" spans="1:8">
      <c r="A43" s="23">
        <v>5</v>
      </c>
      <c r="B43" s="24" t="s">
        <v>606</v>
      </c>
      <c r="C43" s="24">
        <v>2</v>
      </c>
      <c r="D43" s="24">
        <v>1</v>
      </c>
      <c r="E43" s="24" t="s">
        <v>23</v>
      </c>
      <c r="F43"/>
      <c r="G43"/>
      <c r="H43"/>
    </row>
    <row r="44" spans="1:8">
      <c r="A44" s="22">
        <v>6</v>
      </c>
      <c r="B44" s="21" t="s">
        <v>604</v>
      </c>
      <c r="C44" s="21">
        <v>1</v>
      </c>
      <c r="D44" s="21">
        <v>2</v>
      </c>
      <c r="E44" s="21" t="s">
        <v>101</v>
      </c>
      <c r="F44"/>
      <c r="G44"/>
      <c r="H44"/>
    </row>
    <row r="45" spans="1:8">
      <c r="A45" s="22">
        <v>6</v>
      </c>
      <c r="B45" s="21" t="s">
        <v>604</v>
      </c>
      <c r="C45" s="21">
        <v>2</v>
      </c>
      <c r="D45" s="21">
        <v>2</v>
      </c>
      <c r="E45" s="21" t="s">
        <v>109</v>
      </c>
      <c r="F45"/>
      <c r="G45"/>
      <c r="H45"/>
    </row>
    <row r="46" spans="1:8">
      <c r="A46" s="22">
        <v>6</v>
      </c>
      <c r="B46" s="21" t="s">
        <v>604</v>
      </c>
      <c r="C46" s="21">
        <v>3</v>
      </c>
      <c r="D46" s="21">
        <v>2</v>
      </c>
      <c r="E46" s="21" t="s">
        <v>68</v>
      </c>
      <c r="F46"/>
      <c r="G46"/>
      <c r="H46"/>
    </row>
    <row r="47" spans="1:8">
      <c r="A47" s="22">
        <v>6</v>
      </c>
      <c r="B47" s="21" t="s">
        <v>605</v>
      </c>
      <c r="C47" s="21">
        <v>1</v>
      </c>
      <c r="D47" s="21">
        <v>1</v>
      </c>
      <c r="E47" s="21" t="s">
        <v>230</v>
      </c>
      <c r="F47"/>
      <c r="G47"/>
      <c r="H47"/>
    </row>
    <row r="48" spans="1:8">
      <c r="A48" s="22">
        <v>6</v>
      </c>
      <c r="B48" s="21" t="s">
        <v>605</v>
      </c>
      <c r="C48" s="21">
        <v>2</v>
      </c>
      <c r="D48" s="21">
        <v>1</v>
      </c>
      <c r="E48" s="21" t="s">
        <v>40</v>
      </c>
      <c r="F48"/>
      <c r="G48"/>
      <c r="H48"/>
    </row>
    <row r="49" spans="1:8">
      <c r="A49" s="22">
        <v>6</v>
      </c>
      <c r="B49" s="21" t="s">
        <v>605</v>
      </c>
      <c r="C49" s="21">
        <v>3</v>
      </c>
      <c r="D49" s="21">
        <v>1</v>
      </c>
      <c r="E49" s="21" t="s">
        <v>47</v>
      </c>
      <c r="F49"/>
      <c r="G49"/>
      <c r="H49"/>
    </row>
    <row r="50" spans="1:8">
      <c r="A50" s="22">
        <v>6</v>
      </c>
      <c r="B50" s="21" t="s">
        <v>606</v>
      </c>
      <c r="C50" s="21">
        <v>1</v>
      </c>
      <c r="D50" s="21">
        <v>1</v>
      </c>
      <c r="E50" s="21" t="s">
        <v>26</v>
      </c>
      <c r="F50"/>
      <c r="G50"/>
      <c r="H50"/>
    </row>
    <row r="51" spans="1:8">
      <c r="A51" s="22">
        <v>6</v>
      </c>
      <c r="B51" s="21" t="s">
        <v>606</v>
      </c>
      <c r="C51" s="21">
        <v>2</v>
      </c>
      <c r="D51" s="21">
        <v>2</v>
      </c>
      <c r="E51" s="21" t="s">
        <v>248</v>
      </c>
      <c r="F51"/>
      <c r="G51"/>
      <c r="H51"/>
    </row>
    <row r="52" spans="1:8">
      <c r="A52" s="23">
        <v>7</v>
      </c>
      <c r="B52" s="24" t="s">
        <v>604</v>
      </c>
      <c r="C52" s="24">
        <v>1</v>
      </c>
      <c r="D52" s="24">
        <v>1</v>
      </c>
      <c r="E52" s="24" t="s">
        <v>29</v>
      </c>
      <c r="F52"/>
      <c r="G52"/>
      <c r="H52"/>
    </row>
    <row r="53" spans="1:8">
      <c r="A53" s="23">
        <v>7</v>
      </c>
      <c r="B53" s="24" t="s">
        <v>604</v>
      </c>
      <c r="C53" s="24">
        <v>2</v>
      </c>
      <c r="D53" s="24">
        <v>2</v>
      </c>
      <c r="E53" s="24" t="s">
        <v>102</v>
      </c>
      <c r="F53"/>
      <c r="G53"/>
      <c r="H53"/>
    </row>
    <row r="54" spans="1:8">
      <c r="A54" s="23">
        <v>7</v>
      </c>
      <c r="B54" s="24" t="s">
        <v>604</v>
      </c>
      <c r="C54" s="24">
        <v>3</v>
      </c>
      <c r="D54" s="24">
        <v>2</v>
      </c>
      <c r="E54" s="24" t="s">
        <v>95</v>
      </c>
      <c r="F54"/>
      <c r="G54"/>
      <c r="H54"/>
    </row>
    <row r="55" spans="1:8">
      <c r="A55" s="23">
        <v>7</v>
      </c>
      <c r="B55" s="24" t="s">
        <v>605</v>
      </c>
      <c r="C55" s="24">
        <v>1</v>
      </c>
      <c r="D55" s="24">
        <v>1</v>
      </c>
      <c r="E55" s="24" t="s">
        <v>48</v>
      </c>
      <c r="F55"/>
      <c r="G55"/>
      <c r="H55"/>
    </row>
    <row r="56" spans="1:8">
      <c r="A56" s="23">
        <v>7</v>
      </c>
      <c r="B56" s="24" t="s">
        <v>605</v>
      </c>
      <c r="C56" s="24">
        <v>2</v>
      </c>
      <c r="D56" s="24">
        <v>2</v>
      </c>
      <c r="E56" s="24" t="s">
        <v>110</v>
      </c>
      <c r="F56"/>
      <c r="G56"/>
      <c r="H56"/>
    </row>
    <row r="57" spans="1:8">
      <c r="A57" s="23">
        <v>7</v>
      </c>
      <c r="B57" s="24" t="s">
        <v>605</v>
      </c>
      <c r="C57" s="24">
        <v>3</v>
      </c>
      <c r="D57" s="24">
        <v>2</v>
      </c>
      <c r="E57" s="24" t="s">
        <v>62</v>
      </c>
      <c r="F57"/>
      <c r="G57"/>
      <c r="H57"/>
    </row>
    <row r="58" spans="1:8">
      <c r="A58" s="23">
        <v>7</v>
      </c>
      <c r="B58" s="24" t="s">
        <v>606</v>
      </c>
      <c r="C58" s="24">
        <v>1</v>
      </c>
      <c r="D58" s="24">
        <v>1</v>
      </c>
      <c r="E58" s="24" t="s">
        <v>41</v>
      </c>
      <c r="F58"/>
      <c r="G58"/>
      <c r="H58"/>
    </row>
    <row r="59" spans="1:8">
      <c r="A59" s="23">
        <v>7</v>
      </c>
      <c r="B59" s="24" t="s">
        <v>606</v>
      </c>
      <c r="C59" s="24">
        <v>2</v>
      </c>
      <c r="D59" s="24">
        <v>1</v>
      </c>
      <c r="E59" s="24" t="s">
        <v>28</v>
      </c>
      <c r="F59"/>
      <c r="G59"/>
      <c r="H59"/>
    </row>
    <row r="60" spans="1:8">
      <c r="A60" s="22">
        <v>8</v>
      </c>
      <c r="B60" s="21" t="s">
        <v>604</v>
      </c>
      <c r="C60" s="21">
        <v>1</v>
      </c>
      <c r="D60" s="21">
        <v>1</v>
      </c>
      <c r="E60" s="21" t="s">
        <v>335</v>
      </c>
      <c r="F60"/>
      <c r="G60"/>
      <c r="H60"/>
    </row>
    <row r="61" spans="1:8">
      <c r="A61" s="22">
        <v>8</v>
      </c>
      <c r="B61" s="21" t="s">
        <v>604</v>
      </c>
      <c r="C61" s="21">
        <v>2</v>
      </c>
      <c r="D61" s="21">
        <v>2</v>
      </c>
      <c r="E61" s="21" t="s">
        <v>366</v>
      </c>
      <c r="F61"/>
      <c r="G61"/>
      <c r="H61"/>
    </row>
    <row r="62" spans="1:8">
      <c r="A62" s="22">
        <v>8</v>
      </c>
      <c r="B62" s="21" t="s">
        <v>605</v>
      </c>
      <c r="C62" s="21">
        <v>1</v>
      </c>
      <c r="D62" s="21">
        <v>1</v>
      </c>
      <c r="E62" s="21" t="s">
        <v>334</v>
      </c>
      <c r="F62"/>
      <c r="G62"/>
      <c r="H62"/>
    </row>
    <row r="63" spans="1:8">
      <c r="A63" s="22">
        <v>8</v>
      </c>
      <c r="B63" s="21" t="s">
        <v>605</v>
      </c>
      <c r="C63" s="21">
        <v>2</v>
      </c>
      <c r="D63" s="21">
        <v>2</v>
      </c>
      <c r="E63" s="21" t="s">
        <v>357</v>
      </c>
      <c r="F63"/>
      <c r="G63"/>
      <c r="H63"/>
    </row>
    <row r="64" spans="1:8">
      <c r="A64" s="22">
        <v>8</v>
      </c>
      <c r="B64" s="21" t="s">
        <v>605</v>
      </c>
      <c r="C64" s="21">
        <v>3</v>
      </c>
      <c r="D64" s="21">
        <v>1</v>
      </c>
      <c r="E64" s="21" t="s">
        <v>340</v>
      </c>
      <c r="F64"/>
      <c r="G64"/>
      <c r="H64"/>
    </row>
    <row r="65" spans="1:8">
      <c r="A65" s="22">
        <v>8</v>
      </c>
      <c r="B65" s="21" t="s">
        <v>606</v>
      </c>
      <c r="C65" s="21">
        <v>1</v>
      </c>
      <c r="D65" s="21">
        <v>1</v>
      </c>
      <c r="E65" s="21" t="s">
        <v>336</v>
      </c>
      <c r="F65"/>
      <c r="G65"/>
      <c r="H65"/>
    </row>
    <row r="66" spans="1:8">
      <c r="A66" s="22">
        <v>8</v>
      </c>
      <c r="B66" s="21" t="s">
        <v>606</v>
      </c>
      <c r="C66" s="21">
        <v>2</v>
      </c>
      <c r="D66" s="21">
        <v>2</v>
      </c>
      <c r="E66" s="21" t="s">
        <v>362</v>
      </c>
      <c r="F66"/>
      <c r="G66"/>
      <c r="H66"/>
    </row>
    <row r="67" spans="1:8">
      <c r="A67" s="22">
        <v>8</v>
      </c>
      <c r="B67" s="21" t="s">
        <v>606</v>
      </c>
      <c r="C67" s="21">
        <v>3</v>
      </c>
      <c r="D67" s="21">
        <v>2</v>
      </c>
      <c r="E67" s="21" t="s">
        <v>363</v>
      </c>
      <c r="F67"/>
      <c r="G67"/>
      <c r="H67"/>
    </row>
    <row r="68" spans="1:8">
      <c r="A68" s="23">
        <v>9</v>
      </c>
      <c r="B68" s="24" t="s">
        <v>604</v>
      </c>
      <c r="C68" s="24">
        <v>1</v>
      </c>
      <c r="D68" s="24">
        <v>2</v>
      </c>
      <c r="E68" s="24" t="s">
        <v>358</v>
      </c>
      <c r="F68"/>
      <c r="G68"/>
      <c r="H68"/>
    </row>
    <row r="69" spans="1:8">
      <c r="A69" s="23">
        <v>9</v>
      </c>
      <c r="B69" s="24" t="s">
        <v>604</v>
      </c>
      <c r="C69" s="24">
        <v>2</v>
      </c>
      <c r="D69" s="24">
        <v>1</v>
      </c>
      <c r="E69" s="24" t="s">
        <v>337</v>
      </c>
      <c r="F69"/>
      <c r="G69"/>
      <c r="H69"/>
    </row>
    <row r="70" spans="1:8">
      <c r="A70" s="23">
        <v>9</v>
      </c>
      <c r="B70" s="24" t="s">
        <v>605</v>
      </c>
      <c r="C70" s="24">
        <v>1</v>
      </c>
      <c r="D70" s="24">
        <v>2</v>
      </c>
      <c r="E70" s="24" t="s">
        <v>308</v>
      </c>
      <c r="F70"/>
      <c r="G70"/>
      <c r="H70"/>
    </row>
    <row r="71" spans="1:8">
      <c r="A71" s="23">
        <v>9</v>
      </c>
      <c r="B71" s="24" t="s">
        <v>605</v>
      </c>
      <c r="C71" s="24">
        <v>2</v>
      </c>
      <c r="D71" s="24">
        <v>2</v>
      </c>
      <c r="E71" s="24" t="s">
        <v>359</v>
      </c>
      <c r="F71"/>
      <c r="G71"/>
      <c r="H71"/>
    </row>
    <row r="72" spans="1:8">
      <c r="A72" s="23">
        <v>9</v>
      </c>
      <c r="B72" s="24" t="s">
        <v>605</v>
      </c>
      <c r="C72" s="24">
        <v>3</v>
      </c>
      <c r="D72" s="24">
        <v>2</v>
      </c>
      <c r="E72" s="24" t="s">
        <v>105</v>
      </c>
      <c r="F72"/>
      <c r="G72"/>
      <c r="H72"/>
    </row>
    <row r="73" spans="1:8">
      <c r="A73" s="23">
        <v>9</v>
      </c>
      <c r="B73" s="24" t="s">
        <v>606</v>
      </c>
      <c r="C73" s="24">
        <v>1</v>
      </c>
      <c r="D73" s="24">
        <v>1</v>
      </c>
      <c r="E73" s="24" t="s">
        <v>43</v>
      </c>
      <c r="F73"/>
      <c r="G73"/>
      <c r="H73"/>
    </row>
    <row r="74" spans="1:8">
      <c r="A74" s="23">
        <v>9</v>
      </c>
      <c r="B74" s="24" t="s">
        <v>606</v>
      </c>
      <c r="C74" s="24">
        <v>2</v>
      </c>
      <c r="D74" s="24">
        <v>1</v>
      </c>
      <c r="E74" s="24" t="s">
        <v>326</v>
      </c>
      <c r="F74"/>
      <c r="G74"/>
      <c r="H74"/>
    </row>
    <row r="75" spans="1:8">
      <c r="A75" s="23">
        <v>9</v>
      </c>
      <c r="B75" s="24" t="s">
        <v>606</v>
      </c>
      <c r="C75" s="24">
        <v>3</v>
      </c>
      <c r="D75" s="24">
        <v>1</v>
      </c>
      <c r="E75" s="24" t="s">
        <v>327</v>
      </c>
      <c r="F75"/>
      <c r="G75"/>
      <c r="H75"/>
    </row>
    <row r="76" spans="1:8">
      <c r="A76" s="22">
        <v>10</v>
      </c>
      <c r="B76" s="21" t="s">
        <v>604</v>
      </c>
      <c r="C76" s="21">
        <v>1</v>
      </c>
      <c r="D76" s="21">
        <v>2</v>
      </c>
      <c r="E76" s="21" t="s">
        <v>99</v>
      </c>
      <c r="F76"/>
      <c r="G76"/>
      <c r="H76"/>
    </row>
    <row r="77" spans="1:8">
      <c r="A77" s="22">
        <v>10</v>
      </c>
      <c r="B77" s="21" t="s">
        <v>604</v>
      </c>
      <c r="C77" s="21">
        <v>2</v>
      </c>
      <c r="D77" s="21">
        <v>2</v>
      </c>
      <c r="E77" s="21" t="s">
        <v>106</v>
      </c>
      <c r="F77"/>
      <c r="G77"/>
      <c r="H77"/>
    </row>
    <row r="78" spans="1:8">
      <c r="A78" s="22">
        <v>10</v>
      </c>
      <c r="B78" s="21" t="s">
        <v>605</v>
      </c>
      <c r="C78" s="21">
        <v>1</v>
      </c>
      <c r="D78" s="21">
        <v>1</v>
      </c>
      <c r="E78" s="21" t="s">
        <v>329</v>
      </c>
      <c r="F78"/>
      <c r="G78"/>
      <c r="H78"/>
    </row>
    <row r="79" spans="1:8">
      <c r="A79" s="22">
        <v>10</v>
      </c>
      <c r="B79" s="21" t="s">
        <v>605</v>
      </c>
      <c r="C79" s="21">
        <v>2</v>
      </c>
      <c r="D79" s="21">
        <v>1</v>
      </c>
      <c r="E79" s="21" t="s">
        <v>38</v>
      </c>
      <c r="F79"/>
      <c r="G79"/>
      <c r="H79"/>
    </row>
    <row r="80" spans="1:8">
      <c r="A80" s="22">
        <v>10</v>
      </c>
      <c r="B80" s="21" t="s">
        <v>605</v>
      </c>
      <c r="C80" s="21">
        <v>3</v>
      </c>
      <c r="D80" s="21">
        <v>1</v>
      </c>
      <c r="E80" s="21" t="s">
        <v>325</v>
      </c>
      <c r="F80"/>
      <c r="G80"/>
      <c r="H80"/>
    </row>
    <row r="81" spans="1:8">
      <c r="A81" s="22">
        <v>10</v>
      </c>
      <c r="B81" s="21" t="s">
        <v>606</v>
      </c>
      <c r="C81" s="21">
        <v>1</v>
      </c>
      <c r="D81" s="21">
        <v>1</v>
      </c>
      <c r="E81" s="21" t="s">
        <v>44</v>
      </c>
      <c r="F81"/>
      <c r="G81"/>
      <c r="H81"/>
    </row>
    <row r="82" spans="1:8">
      <c r="A82" s="22">
        <v>10</v>
      </c>
      <c r="B82" s="21" t="s">
        <v>606</v>
      </c>
      <c r="C82" s="21">
        <v>2</v>
      </c>
      <c r="D82" s="21">
        <v>2</v>
      </c>
      <c r="E82" s="21" t="s">
        <v>360</v>
      </c>
      <c r="F82"/>
      <c r="G82"/>
      <c r="H82"/>
    </row>
    <row r="83" spans="1:8">
      <c r="A83" s="22">
        <v>10</v>
      </c>
      <c r="B83" s="21" t="s">
        <v>606</v>
      </c>
      <c r="C83" s="21">
        <v>3</v>
      </c>
      <c r="D83" s="21">
        <v>2</v>
      </c>
      <c r="E83" s="21" t="s">
        <v>350</v>
      </c>
      <c r="F83"/>
      <c r="G83"/>
      <c r="H83"/>
    </row>
    <row r="84" spans="1:8">
      <c r="A84" s="23">
        <v>11</v>
      </c>
      <c r="B84" s="24" t="s">
        <v>604</v>
      </c>
      <c r="C84" s="24">
        <v>1</v>
      </c>
      <c r="D84" s="24">
        <v>1</v>
      </c>
      <c r="E84" s="24" t="s">
        <v>39</v>
      </c>
      <c r="F84"/>
      <c r="G84"/>
      <c r="H84"/>
    </row>
    <row r="85" spans="1:8">
      <c r="A85" s="23">
        <v>11</v>
      </c>
      <c r="B85" s="24" t="s">
        <v>604</v>
      </c>
      <c r="C85" s="24">
        <v>2</v>
      </c>
      <c r="D85" s="24">
        <v>1</v>
      </c>
      <c r="E85" s="24" t="s">
        <v>45</v>
      </c>
      <c r="F85"/>
      <c r="G85"/>
      <c r="H85"/>
    </row>
    <row r="86" spans="1:8">
      <c r="A86" s="23">
        <v>11</v>
      </c>
      <c r="B86" s="24" t="s">
        <v>604</v>
      </c>
      <c r="C86" s="24">
        <v>3</v>
      </c>
      <c r="D86" s="24">
        <v>1</v>
      </c>
      <c r="E86" s="24" t="s">
        <v>21</v>
      </c>
      <c r="F86"/>
      <c r="G86"/>
      <c r="H86"/>
    </row>
    <row r="87" spans="1:8">
      <c r="A87" s="23">
        <v>11</v>
      </c>
      <c r="B87" s="24" t="s">
        <v>605</v>
      </c>
      <c r="C87" s="24">
        <v>1</v>
      </c>
      <c r="D87" s="24">
        <v>2</v>
      </c>
      <c r="E87" s="24" t="s">
        <v>100</v>
      </c>
      <c r="F87"/>
      <c r="G87"/>
      <c r="H87"/>
    </row>
    <row r="88" spans="1:8">
      <c r="A88" s="23">
        <v>11</v>
      </c>
      <c r="B88" s="24" t="s">
        <v>605</v>
      </c>
      <c r="C88" s="24">
        <v>2</v>
      </c>
      <c r="D88" s="24">
        <v>2</v>
      </c>
      <c r="E88" s="24" t="s">
        <v>107</v>
      </c>
      <c r="F88"/>
      <c r="G88"/>
      <c r="H88"/>
    </row>
    <row r="89" spans="1:8">
      <c r="A89" s="23">
        <v>11</v>
      </c>
      <c r="B89" s="24" t="s">
        <v>606</v>
      </c>
      <c r="C89" s="24">
        <v>1</v>
      </c>
      <c r="D89" s="24">
        <v>2</v>
      </c>
      <c r="E89" s="24" t="s">
        <v>249</v>
      </c>
      <c r="F89"/>
      <c r="G89"/>
      <c r="H89"/>
    </row>
    <row r="90" spans="1:8">
      <c r="A90" s="23">
        <v>11</v>
      </c>
      <c r="B90" s="24" t="s">
        <v>606</v>
      </c>
      <c r="C90" s="24">
        <v>2</v>
      </c>
      <c r="D90" s="24">
        <v>1</v>
      </c>
      <c r="E90" s="24" t="s">
        <v>328</v>
      </c>
      <c r="F90"/>
      <c r="G90"/>
      <c r="H90"/>
    </row>
    <row r="91" spans="1:8">
      <c r="A91" s="23">
        <v>11</v>
      </c>
      <c r="B91" s="24" t="s">
        <v>606</v>
      </c>
      <c r="C91" s="24">
        <v>3</v>
      </c>
      <c r="D91" s="24">
        <v>2</v>
      </c>
      <c r="E91" s="24" t="s">
        <v>93</v>
      </c>
      <c r="F91"/>
      <c r="G91"/>
      <c r="H91"/>
    </row>
    <row r="92" spans="1:8">
      <c r="A92" s="22">
        <v>12</v>
      </c>
      <c r="B92" s="21" t="s">
        <v>604</v>
      </c>
      <c r="C92" s="21">
        <v>1</v>
      </c>
      <c r="D92" s="21">
        <v>1</v>
      </c>
      <c r="E92" s="21" t="s">
        <v>25</v>
      </c>
      <c r="F92"/>
      <c r="G92"/>
      <c r="H92"/>
    </row>
    <row r="93" spans="1:8">
      <c r="A93" s="22">
        <v>12</v>
      </c>
      <c r="B93" s="21" t="s">
        <v>604</v>
      </c>
      <c r="C93" s="21">
        <v>2</v>
      </c>
      <c r="D93" s="21">
        <v>2</v>
      </c>
      <c r="E93" s="21" t="s">
        <v>94</v>
      </c>
      <c r="F93"/>
      <c r="G93"/>
      <c r="H93"/>
    </row>
    <row r="94" spans="1:8">
      <c r="A94" s="22">
        <v>12</v>
      </c>
      <c r="B94" s="21" t="s">
        <v>605</v>
      </c>
      <c r="C94" s="21">
        <v>1</v>
      </c>
      <c r="D94" s="21">
        <v>1</v>
      </c>
      <c r="E94" s="21" t="s">
        <v>341</v>
      </c>
      <c r="F94"/>
      <c r="G94"/>
      <c r="H94"/>
    </row>
    <row r="95" spans="1:8">
      <c r="A95" s="22">
        <v>12</v>
      </c>
      <c r="B95" s="21" t="s">
        <v>605</v>
      </c>
      <c r="C95" s="21">
        <v>2</v>
      </c>
      <c r="D95" s="21">
        <v>1</v>
      </c>
      <c r="E95" s="21" t="s">
        <v>330</v>
      </c>
      <c r="F95"/>
      <c r="G95"/>
      <c r="H95"/>
    </row>
    <row r="96" spans="1:8">
      <c r="A96" s="22">
        <v>12</v>
      </c>
      <c r="B96" s="21" t="s">
        <v>605</v>
      </c>
      <c r="C96" s="21">
        <v>3</v>
      </c>
      <c r="D96" s="21">
        <v>2</v>
      </c>
      <c r="E96" s="21" t="s">
        <v>356</v>
      </c>
      <c r="F96"/>
      <c r="G96"/>
      <c r="H96"/>
    </row>
    <row r="97" spans="1:8">
      <c r="A97" s="22">
        <v>12</v>
      </c>
      <c r="B97" s="21" t="s">
        <v>606</v>
      </c>
      <c r="C97" s="21">
        <v>1</v>
      </c>
      <c r="D97" s="21">
        <v>1</v>
      </c>
      <c r="E97" s="21" t="s">
        <v>24</v>
      </c>
      <c r="F97"/>
      <c r="G97"/>
      <c r="H97"/>
    </row>
    <row r="98" spans="1:8">
      <c r="A98" s="22">
        <v>12</v>
      </c>
      <c r="B98" s="21" t="s">
        <v>606</v>
      </c>
      <c r="C98" s="21">
        <v>2</v>
      </c>
      <c r="D98" s="21">
        <v>2</v>
      </c>
      <c r="E98" s="21" t="s">
        <v>367</v>
      </c>
      <c r="F98"/>
      <c r="G98"/>
      <c r="H98"/>
    </row>
    <row r="99" spans="1:8">
      <c r="A99" s="22">
        <v>12</v>
      </c>
      <c r="B99" s="21" t="s">
        <v>606</v>
      </c>
      <c r="C99" s="21">
        <v>3</v>
      </c>
      <c r="D99" s="21">
        <v>2</v>
      </c>
      <c r="E99" s="21" t="s">
        <v>85</v>
      </c>
      <c r="F99"/>
      <c r="G99"/>
      <c r="H99"/>
    </row>
    <row r="100" spans="1:8">
      <c r="A100" s="23">
        <v>13</v>
      </c>
      <c r="B100" s="24" t="s">
        <v>604</v>
      </c>
      <c r="C100" s="24">
        <v>1</v>
      </c>
      <c r="D100" s="24">
        <v>1</v>
      </c>
      <c r="E100" s="24" t="s">
        <v>331</v>
      </c>
      <c r="F100"/>
      <c r="G100"/>
      <c r="H100"/>
    </row>
    <row r="101" spans="1:8">
      <c r="A101" s="23">
        <v>13</v>
      </c>
      <c r="B101" s="24" t="s">
        <v>604</v>
      </c>
      <c r="C101" s="24">
        <v>2</v>
      </c>
      <c r="D101" s="24">
        <v>1</v>
      </c>
      <c r="E101" s="24" t="s">
        <v>342</v>
      </c>
      <c r="F101"/>
      <c r="G101"/>
      <c r="H101"/>
    </row>
    <row r="102" spans="1:8">
      <c r="A102" s="23">
        <v>13</v>
      </c>
      <c r="B102" s="24" t="s">
        <v>604</v>
      </c>
      <c r="C102" s="24">
        <v>3</v>
      </c>
      <c r="D102" s="24">
        <v>2</v>
      </c>
      <c r="E102" s="24" t="s">
        <v>239</v>
      </c>
      <c r="F102"/>
      <c r="G102"/>
      <c r="H102"/>
    </row>
    <row r="103" spans="1:8">
      <c r="A103" s="23">
        <v>13</v>
      </c>
      <c r="B103" s="24" t="s">
        <v>605</v>
      </c>
      <c r="C103" s="24">
        <v>1</v>
      </c>
      <c r="D103" s="24">
        <v>1</v>
      </c>
      <c r="E103" s="24" t="s">
        <v>27</v>
      </c>
      <c r="F103"/>
      <c r="G103"/>
      <c r="H103"/>
    </row>
    <row r="104" spans="1:8">
      <c r="A104" s="23">
        <v>13</v>
      </c>
      <c r="B104" s="24" t="s">
        <v>605</v>
      </c>
      <c r="C104" s="24">
        <v>2</v>
      </c>
      <c r="D104" s="24">
        <v>2</v>
      </c>
      <c r="E104" s="24" t="s">
        <v>368</v>
      </c>
      <c r="F104"/>
      <c r="G104"/>
      <c r="H104"/>
    </row>
    <row r="105" spans="1:8">
      <c r="A105" s="23">
        <v>13</v>
      </c>
      <c r="B105" s="24" t="s">
        <v>605</v>
      </c>
      <c r="C105" s="24">
        <v>3</v>
      </c>
      <c r="D105" s="24">
        <v>2</v>
      </c>
      <c r="E105" s="24" t="s">
        <v>364</v>
      </c>
      <c r="F105"/>
      <c r="G105"/>
      <c r="H105"/>
    </row>
    <row r="106" spans="1:8">
      <c r="A106" s="23">
        <v>13</v>
      </c>
      <c r="B106" s="24" t="s">
        <v>606</v>
      </c>
      <c r="C106" s="24">
        <v>1</v>
      </c>
      <c r="D106" s="24">
        <v>1</v>
      </c>
      <c r="E106" s="24" t="s">
        <v>338</v>
      </c>
      <c r="F106"/>
      <c r="G106"/>
      <c r="H106"/>
    </row>
    <row r="107" spans="1:8">
      <c r="A107" s="23">
        <v>13</v>
      </c>
      <c r="B107" s="24" t="s">
        <v>606</v>
      </c>
      <c r="C107" s="24">
        <v>2</v>
      </c>
      <c r="D107" s="24">
        <v>2</v>
      </c>
      <c r="E107" s="24" t="s">
        <v>75</v>
      </c>
      <c r="F107"/>
      <c r="G107"/>
      <c r="H107"/>
    </row>
    <row r="108" spans="1:8">
      <c r="A108" s="22">
        <v>14</v>
      </c>
      <c r="B108" s="21" t="s">
        <v>604</v>
      </c>
      <c r="C108" s="21">
        <v>1</v>
      </c>
      <c r="D108" s="21">
        <v>2</v>
      </c>
      <c r="E108" s="21" t="s">
        <v>352</v>
      </c>
      <c r="F108"/>
      <c r="G108"/>
      <c r="H108"/>
    </row>
    <row r="109" spans="1:8">
      <c r="A109" s="22">
        <v>14</v>
      </c>
      <c r="B109" s="21" t="s">
        <v>604</v>
      </c>
      <c r="C109" s="21">
        <v>2</v>
      </c>
      <c r="D109" s="21">
        <v>2</v>
      </c>
      <c r="E109" s="21" t="s">
        <v>365</v>
      </c>
      <c r="F109"/>
      <c r="G109"/>
      <c r="H109"/>
    </row>
    <row r="110" spans="1:8">
      <c r="A110" s="22">
        <v>14</v>
      </c>
      <c r="B110" s="21" t="s">
        <v>604</v>
      </c>
      <c r="C110" s="21">
        <v>3</v>
      </c>
      <c r="D110" s="21">
        <v>2</v>
      </c>
      <c r="E110" s="21" t="s">
        <v>369</v>
      </c>
      <c r="F110"/>
      <c r="G110"/>
      <c r="H110"/>
    </row>
    <row r="111" spans="1:8">
      <c r="A111" s="22">
        <v>14</v>
      </c>
      <c r="B111" s="21" t="s">
        <v>605</v>
      </c>
      <c r="C111" s="21">
        <v>1</v>
      </c>
      <c r="D111" s="21">
        <v>1</v>
      </c>
      <c r="E111" s="21" t="s">
        <v>343</v>
      </c>
      <c r="F111"/>
      <c r="G111"/>
      <c r="H111"/>
    </row>
    <row r="112" spans="1:8">
      <c r="A112" s="22">
        <v>14</v>
      </c>
      <c r="B112" s="21" t="s">
        <v>605</v>
      </c>
      <c r="C112" s="21">
        <v>2</v>
      </c>
      <c r="D112" s="21">
        <v>1</v>
      </c>
      <c r="E112" s="21" t="s">
        <v>332</v>
      </c>
      <c r="F112"/>
      <c r="G112"/>
      <c r="H112"/>
    </row>
    <row r="113" spans="1:8">
      <c r="A113" s="22">
        <v>14</v>
      </c>
      <c r="B113" s="21" t="s">
        <v>605</v>
      </c>
      <c r="C113" s="21">
        <v>3</v>
      </c>
      <c r="D113" s="21">
        <v>2</v>
      </c>
      <c r="E113" s="21" t="s">
        <v>361</v>
      </c>
      <c r="F113"/>
      <c r="G113"/>
      <c r="H113"/>
    </row>
    <row r="114" spans="1:8">
      <c r="A114" s="22">
        <v>14</v>
      </c>
      <c r="B114" s="21" t="s">
        <v>606</v>
      </c>
      <c r="C114" s="21">
        <v>1</v>
      </c>
      <c r="D114" s="21">
        <v>1</v>
      </c>
      <c r="E114" s="21" t="s">
        <v>333</v>
      </c>
      <c r="F114"/>
      <c r="G114"/>
      <c r="H114"/>
    </row>
    <row r="115" spans="1:8">
      <c r="A115" s="22">
        <v>14</v>
      </c>
      <c r="B115" s="21" t="s">
        <v>606</v>
      </c>
      <c r="C115" s="21">
        <v>2</v>
      </c>
      <c r="D115" s="21">
        <v>1</v>
      </c>
      <c r="E115" s="21" t="s">
        <v>339</v>
      </c>
      <c r="F115"/>
      <c r="G115"/>
      <c r="H115"/>
    </row>
    <row r="116" spans="1:8">
      <c r="A116" s="23">
        <v>15</v>
      </c>
      <c r="B116" s="24" t="s">
        <v>604</v>
      </c>
      <c r="C116" s="24">
        <v>1</v>
      </c>
      <c r="D116" s="24">
        <v>1</v>
      </c>
      <c r="E116" s="24" t="s">
        <v>31</v>
      </c>
      <c r="F116"/>
      <c r="G116"/>
      <c r="H116"/>
    </row>
    <row r="117" spans="1:8">
      <c r="A117" s="23">
        <v>15</v>
      </c>
      <c r="B117" s="24" t="s">
        <v>604</v>
      </c>
      <c r="C117" s="24">
        <v>2</v>
      </c>
      <c r="D117" s="24">
        <v>2</v>
      </c>
      <c r="E117" s="24" t="s">
        <v>96</v>
      </c>
      <c r="F117"/>
      <c r="G117"/>
      <c r="H117"/>
    </row>
    <row r="118" spans="1:8">
      <c r="A118" s="23">
        <v>15</v>
      </c>
      <c r="B118" s="24" t="s">
        <v>605</v>
      </c>
      <c r="C118" s="24">
        <v>1</v>
      </c>
      <c r="D118" s="24">
        <v>2</v>
      </c>
      <c r="E118" s="24" t="s">
        <v>87</v>
      </c>
      <c r="F118"/>
      <c r="G118"/>
      <c r="H118"/>
    </row>
    <row r="119" spans="1:8">
      <c r="A119" s="23">
        <v>15</v>
      </c>
      <c r="B119" s="24" t="s">
        <v>605</v>
      </c>
      <c r="C119" s="24">
        <v>2</v>
      </c>
      <c r="D119" s="24">
        <v>1</v>
      </c>
      <c r="E119" s="24" t="s">
        <v>36</v>
      </c>
      <c r="F119"/>
      <c r="G119"/>
      <c r="H119"/>
    </row>
    <row r="120" spans="1:8">
      <c r="A120" s="23">
        <v>15</v>
      </c>
      <c r="B120" s="24" t="s">
        <v>605</v>
      </c>
      <c r="C120" s="24">
        <v>3</v>
      </c>
      <c r="D120" s="24">
        <v>2</v>
      </c>
      <c r="E120" s="24" t="s">
        <v>97</v>
      </c>
      <c r="F120"/>
      <c r="G120"/>
      <c r="H120"/>
    </row>
    <row r="121" spans="1:8">
      <c r="A121" s="23">
        <v>15</v>
      </c>
      <c r="B121" s="24" t="s">
        <v>606</v>
      </c>
      <c r="C121" s="24">
        <v>1</v>
      </c>
      <c r="D121" s="24">
        <v>1</v>
      </c>
      <c r="E121" s="24" t="s">
        <v>42</v>
      </c>
      <c r="F121"/>
      <c r="G121"/>
      <c r="H121"/>
    </row>
    <row r="122" spans="1:8">
      <c r="A122" s="23">
        <v>15</v>
      </c>
      <c r="B122" s="24" t="s">
        <v>606</v>
      </c>
      <c r="C122" s="24">
        <v>2</v>
      </c>
      <c r="D122" s="24">
        <v>1</v>
      </c>
      <c r="E122" s="24" t="s">
        <v>30</v>
      </c>
      <c r="F122"/>
      <c r="G122"/>
      <c r="H122"/>
    </row>
    <row r="123" spans="1:8">
      <c r="A123" s="23">
        <v>15</v>
      </c>
      <c r="B123" s="24" t="s">
        <v>606</v>
      </c>
      <c r="C123" s="24">
        <v>3</v>
      </c>
      <c r="D123" s="24">
        <v>2</v>
      </c>
      <c r="E123" s="24" t="s">
        <v>104</v>
      </c>
      <c r="F123"/>
      <c r="G123"/>
      <c r="H123"/>
    </row>
    <row r="124" spans="1:8">
      <c r="A124" s="22">
        <v>16</v>
      </c>
      <c r="B124" s="21" t="s">
        <v>604</v>
      </c>
      <c r="C124" s="21">
        <v>1</v>
      </c>
      <c r="D124" s="21">
        <v>2</v>
      </c>
      <c r="E124" s="21" t="s">
        <v>98</v>
      </c>
      <c r="F124"/>
      <c r="G124"/>
      <c r="H124"/>
    </row>
    <row r="125" spans="1:8">
      <c r="A125" s="22">
        <v>16</v>
      </c>
      <c r="B125" s="21" t="s">
        <v>604</v>
      </c>
      <c r="C125" s="21">
        <v>2</v>
      </c>
      <c r="D125" s="21">
        <v>1</v>
      </c>
      <c r="E125" s="21" t="s">
        <v>233</v>
      </c>
      <c r="F125"/>
      <c r="G125"/>
      <c r="H125"/>
    </row>
    <row r="126" spans="1:8">
      <c r="A126" s="22">
        <v>16</v>
      </c>
      <c r="B126" s="21" t="s">
        <v>604</v>
      </c>
      <c r="C126" s="21">
        <v>3</v>
      </c>
      <c r="D126" s="21">
        <v>2</v>
      </c>
      <c r="E126" s="21" t="s">
        <v>88</v>
      </c>
      <c r="F126"/>
      <c r="G126"/>
      <c r="H126"/>
    </row>
    <row r="127" spans="1:8">
      <c r="A127" s="22">
        <v>16</v>
      </c>
      <c r="B127" s="21" t="s">
        <v>605</v>
      </c>
      <c r="C127" s="21">
        <v>1</v>
      </c>
      <c r="D127" s="21">
        <v>1</v>
      </c>
      <c r="E127" s="21" t="s">
        <v>18</v>
      </c>
      <c r="F127"/>
      <c r="G127"/>
      <c r="H127"/>
    </row>
    <row r="128" spans="1:8">
      <c r="A128" s="22">
        <v>16</v>
      </c>
      <c r="B128" s="21" t="s">
        <v>605</v>
      </c>
      <c r="C128" s="21">
        <v>2</v>
      </c>
      <c r="D128" s="21">
        <v>1</v>
      </c>
      <c r="E128" s="21" t="s">
        <v>37</v>
      </c>
      <c r="F128"/>
      <c r="G128"/>
      <c r="H128"/>
    </row>
    <row r="129" spans="1:8">
      <c r="A129" s="22">
        <v>16</v>
      </c>
      <c r="B129" s="21" t="s">
        <v>605</v>
      </c>
      <c r="C129" s="21">
        <v>3</v>
      </c>
      <c r="D129" s="21">
        <v>2</v>
      </c>
      <c r="E129" s="21" t="s">
        <v>254</v>
      </c>
      <c r="F129"/>
      <c r="G129"/>
      <c r="H129"/>
    </row>
    <row r="130" spans="1:8">
      <c r="A130" s="22">
        <v>16</v>
      </c>
      <c r="B130" s="21" t="s">
        <v>606</v>
      </c>
      <c r="C130" s="21">
        <v>1</v>
      </c>
      <c r="D130" s="21">
        <v>1</v>
      </c>
      <c r="E130" s="21" t="s">
        <v>19</v>
      </c>
      <c r="F130"/>
      <c r="G130"/>
      <c r="H130"/>
    </row>
    <row r="131" spans="1:8">
      <c r="A131" s="22">
        <v>16</v>
      </c>
      <c r="B131" s="21" t="s">
        <v>606</v>
      </c>
      <c r="C131" s="21">
        <v>2</v>
      </c>
      <c r="D131" s="21">
        <v>2</v>
      </c>
      <c r="E131" s="21" t="s">
        <v>77</v>
      </c>
      <c r="F131"/>
      <c r="G131"/>
      <c r="H131"/>
    </row>
    <row r="132" spans="1:8">
      <c r="A132" s="23">
        <v>17</v>
      </c>
      <c r="B132" s="24" t="s">
        <v>604</v>
      </c>
      <c r="C132" s="24">
        <v>1</v>
      </c>
      <c r="D132" s="24">
        <v>1</v>
      </c>
      <c r="E132" s="24" t="s">
        <v>22</v>
      </c>
      <c r="F132"/>
      <c r="G132"/>
      <c r="H132"/>
    </row>
    <row r="133" spans="1:8">
      <c r="A133" s="23">
        <v>17</v>
      </c>
      <c r="B133" s="24" t="s">
        <v>604</v>
      </c>
      <c r="C133" s="24">
        <v>2</v>
      </c>
      <c r="D133" s="24">
        <v>1</v>
      </c>
      <c r="E133" s="24" t="s">
        <v>17</v>
      </c>
      <c r="F133"/>
      <c r="G133"/>
      <c r="H133"/>
    </row>
    <row r="134" spans="1:8">
      <c r="A134" s="23">
        <v>17</v>
      </c>
      <c r="B134" s="24" t="s">
        <v>604</v>
      </c>
      <c r="C134" s="24">
        <v>3</v>
      </c>
      <c r="D134" s="24">
        <v>2</v>
      </c>
      <c r="E134" s="24" t="s">
        <v>255</v>
      </c>
      <c r="F134"/>
      <c r="G134"/>
      <c r="H134"/>
    </row>
    <row r="135" spans="1:8">
      <c r="A135" s="23">
        <v>17</v>
      </c>
      <c r="B135" s="24" t="s">
        <v>605</v>
      </c>
      <c r="C135" s="24">
        <v>1</v>
      </c>
      <c r="D135" s="24">
        <v>1</v>
      </c>
      <c r="E135" s="24" t="s">
        <v>234</v>
      </c>
      <c r="F135"/>
      <c r="G135"/>
      <c r="H135"/>
    </row>
    <row r="136" spans="1:8">
      <c r="A136" s="23">
        <v>17</v>
      </c>
      <c r="B136" s="24" t="s">
        <v>605</v>
      </c>
      <c r="C136" s="24">
        <v>2</v>
      </c>
      <c r="D136" s="24">
        <v>2</v>
      </c>
      <c r="E136" s="24" t="s">
        <v>70</v>
      </c>
      <c r="F136"/>
      <c r="G136"/>
      <c r="H136"/>
    </row>
    <row r="137" spans="1:8">
      <c r="A137" s="23">
        <v>17</v>
      </c>
      <c r="B137" s="24" t="s">
        <v>606</v>
      </c>
      <c r="C137" s="24">
        <v>1</v>
      </c>
      <c r="D137" s="24">
        <v>1</v>
      </c>
      <c r="E137" s="24" t="s">
        <v>231</v>
      </c>
      <c r="F137"/>
      <c r="G137"/>
      <c r="H137"/>
    </row>
    <row r="138" spans="1:8">
      <c r="A138" s="23">
        <v>17</v>
      </c>
      <c r="B138" s="24" t="s">
        <v>606</v>
      </c>
      <c r="C138" s="24">
        <v>2</v>
      </c>
      <c r="D138" s="24">
        <v>2</v>
      </c>
      <c r="E138" s="24" t="s">
        <v>252</v>
      </c>
      <c r="F138"/>
      <c r="G138"/>
      <c r="H138"/>
    </row>
    <row r="139" spans="1:8">
      <c r="A139" s="23">
        <v>17</v>
      </c>
      <c r="B139" s="24" t="s">
        <v>606</v>
      </c>
      <c r="C139" s="24">
        <v>3</v>
      </c>
      <c r="D139" s="24">
        <v>2</v>
      </c>
      <c r="E139" s="24" t="s">
        <v>91</v>
      </c>
      <c r="F139"/>
      <c r="G139"/>
      <c r="H139"/>
    </row>
    <row r="140" spans="1:8">
      <c r="A140" s="22">
        <v>18</v>
      </c>
      <c r="B140" s="21" t="s">
        <v>604</v>
      </c>
      <c r="C140" s="21">
        <v>1</v>
      </c>
      <c r="D140" s="21">
        <v>2</v>
      </c>
      <c r="E140" s="21" t="s">
        <v>86</v>
      </c>
      <c r="F140"/>
      <c r="G140"/>
      <c r="H140"/>
    </row>
    <row r="141" spans="1:8">
      <c r="A141" s="22">
        <v>18</v>
      </c>
      <c r="B141" s="21" t="s">
        <v>604</v>
      </c>
      <c r="C141" s="21">
        <v>2</v>
      </c>
      <c r="D141" s="21">
        <v>2</v>
      </c>
      <c r="E141" s="21" t="s">
        <v>253</v>
      </c>
      <c r="F141"/>
      <c r="G141"/>
      <c r="H141"/>
    </row>
    <row r="142" spans="1:8">
      <c r="A142" s="22">
        <v>18</v>
      </c>
      <c r="B142" s="21" t="s">
        <v>604</v>
      </c>
      <c r="C142" s="21">
        <v>3</v>
      </c>
      <c r="D142" s="21">
        <v>1</v>
      </c>
      <c r="E142" s="21" t="s">
        <v>20</v>
      </c>
      <c r="F142"/>
      <c r="G142"/>
      <c r="H142"/>
    </row>
    <row r="143" spans="1:8">
      <c r="A143" s="22">
        <v>18</v>
      </c>
      <c r="B143" s="21" t="s">
        <v>605</v>
      </c>
      <c r="C143" s="21">
        <v>1</v>
      </c>
      <c r="D143" s="21">
        <v>1</v>
      </c>
      <c r="E143" s="21" t="s">
        <v>232</v>
      </c>
      <c r="F143"/>
      <c r="G143"/>
      <c r="H143"/>
    </row>
    <row r="144" spans="1:8">
      <c r="A144" s="22">
        <v>18</v>
      </c>
      <c r="B144" s="21" t="s">
        <v>605</v>
      </c>
      <c r="C144" s="21">
        <v>2</v>
      </c>
      <c r="D144" s="21">
        <v>1</v>
      </c>
      <c r="E144" s="21" t="s">
        <v>227</v>
      </c>
      <c r="F144"/>
      <c r="G144"/>
      <c r="H144"/>
    </row>
    <row r="145" spans="1:8">
      <c r="A145" s="22">
        <v>18</v>
      </c>
      <c r="B145" s="21" t="s">
        <v>606</v>
      </c>
      <c r="C145" s="21">
        <v>1</v>
      </c>
      <c r="D145" s="21">
        <v>2</v>
      </c>
      <c r="E145" s="21" t="s">
        <v>256</v>
      </c>
      <c r="F145"/>
      <c r="G145"/>
      <c r="H145"/>
    </row>
    <row r="146" spans="1:8">
      <c r="A146" s="22">
        <v>18</v>
      </c>
      <c r="B146" s="21" t="s">
        <v>606</v>
      </c>
      <c r="C146" s="21">
        <v>2</v>
      </c>
      <c r="D146" s="21">
        <v>2</v>
      </c>
      <c r="E146" s="21" t="s">
        <v>250</v>
      </c>
      <c r="F146"/>
      <c r="G146"/>
      <c r="H146"/>
    </row>
    <row r="147" spans="1:8">
      <c r="A147" s="22">
        <v>18</v>
      </c>
      <c r="B147" s="21" t="s">
        <v>606</v>
      </c>
      <c r="C147" s="21">
        <v>3</v>
      </c>
      <c r="D147" s="21">
        <v>1</v>
      </c>
      <c r="E147" s="21" t="s">
        <v>235</v>
      </c>
      <c r="F147"/>
      <c r="G147"/>
      <c r="H147"/>
    </row>
    <row r="148" spans="1:8">
      <c r="A148" s="23">
        <v>19</v>
      </c>
      <c r="B148" s="24" t="s">
        <v>604</v>
      </c>
      <c r="C148" s="24">
        <v>1</v>
      </c>
      <c r="D148" s="24">
        <v>1</v>
      </c>
      <c r="E148" s="24" t="s">
        <v>46</v>
      </c>
      <c r="F148"/>
      <c r="G148"/>
      <c r="H148"/>
    </row>
    <row r="149" spans="1:8">
      <c r="A149" s="23">
        <v>19</v>
      </c>
      <c r="B149" s="24" t="s">
        <v>604</v>
      </c>
      <c r="C149" s="24">
        <v>2</v>
      </c>
      <c r="D149" s="24">
        <v>2</v>
      </c>
      <c r="E149" s="24" t="s">
        <v>78</v>
      </c>
      <c r="F149"/>
      <c r="G149"/>
      <c r="H149"/>
    </row>
    <row r="150" spans="1:8">
      <c r="A150" s="23">
        <v>19</v>
      </c>
      <c r="B150" s="24" t="s">
        <v>604</v>
      </c>
      <c r="C150" s="24">
        <v>3</v>
      </c>
      <c r="D150" s="24">
        <v>2</v>
      </c>
      <c r="E150" s="24" t="s">
        <v>251</v>
      </c>
      <c r="F150"/>
      <c r="G150"/>
      <c r="H150"/>
    </row>
    <row r="151" spans="1:8">
      <c r="A151" s="23">
        <v>19</v>
      </c>
      <c r="B151" s="24" t="s">
        <v>605</v>
      </c>
      <c r="C151" s="24">
        <v>1</v>
      </c>
      <c r="D151" s="24">
        <v>1</v>
      </c>
      <c r="E151" s="24" t="s">
        <v>23</v>
      </c>
      <c r="F151"/>
      <c r="G151"/>
      <c r="H151"/>
    </row>
    <row r="152" spans="1:8">
      <c r="A152" s="23">
        <v>19</v>
      </c>
      <c r="B152" s="24" t="s">
        <v>605</v>
      </c>
      <c r="C152" s="24">
        <v>2</v>
      </c>
      <c r="D152" s="24">
        <v>2</v>
      </c>
      <c r="E152" s="24" t="s">
        <v>247</v>
      </c>
      <c r="F152"/>
      <c r="G152"/>
      <c r="H152"/>
    </row>
    <row r="153" spans="1:8">
      <c r="A153" s="23">
        <v>19</v>
      </c>
      <c r="B153" s="24" t="s">
        <v>606</v>
      </c>
      <c r="C153" s="24">
        <v>1</v>
      </c>
      <c r="D153" s="24">
        <v>1</v>
      </c>
      <c r="E153" s="24" t="s">
        <v>229</v>
      </c>
      <c r="F153"/>
      <c r="G153"/>
      <c r="H153"/>
    </row>
    <row r="154" spans="1:8">
      <c r="A154" s="23">
        <v>19</v>
      </c>
      <c r="B154" s="24" t="s">
        <v>606</v>
      </c>
      <c r="C154" s="24">
        <v>2</v>
      </c>
      <c r="D154" s="24">
        <v>1</v>
      </c>
      <c r="E154" s="24" t="s">
        <v>228</v>
      </c>
      <c r="F154"/>
      <c r="G154"/>
      <c r="H154"/>
    </row>
    <row r="155" spans="1:8">
      <c r="A155" s="23">
        <v>19</v>
      </c>
      <c r="B155" s="24" t="s">
        <v>606</v>
      </c>
      <c r="C155" s="24">
        <v>3</v>
      </c>
      <c r="D155" s="24">
        <v>2</v>
      </c>
      <c r="E155" s="24" t="s">
        <v>108</v>
      </c>
      <c r="F155"/>
      <c r="G155"/>
      <c r="H155"/>
    </row>
    <row r="156" spans="1:8">
      <c r="A156" s="22">
        <v>20</v>
      </c>
      <c r="B156" s="21" t="s">
        <v>604</v>
      </c>
      <c r="C156" s="21">
        <v>1</v>
      </c>
      <c r="D156" s="21">
        <v>1</v>
      </c>
      <c r="E156" s="21" t="s">
        <v>230</v>
      </c>
      <c r="F156"/>
      <c r="G156"/>
      <c r="H156"/>
    </row>
    <row r="157" spans="1:8">
      <c r="A157" s="22">
        <v>20</v>
      </c>
      <c r="B157" s="21" t="s">
        <v>604</v>
      </c>
      <c r="C157" s="21">
        <v>2</v>
      </c>
      <c r="D157" s="21">
        <v>2</v>
      </c>
      <c r="E157" s="21" t="s">
        <v>109</v>
      </c>
      <c r="F157"/>
      <c r="G157"/>
      <c r="H157"/>
    </row>
    <row r="158" spans="1:8">
      <c r="A158" s="22">
        <v>20</v>
      </c>
      <c r="B158" s="21" t="s">
        <v>605</v>
      </c>
      <c r="C158" s="21">
        <v>1</v>
      </c>
      <c r="D158" s="21">
        <v>1</v>
      </c>
      <c r="E158" s="21" t="s">
        <v>40</v>
      </c>
      <c r="F158"/>
      <c r="G158"/>
      <c r="H158"/>
    </row>
    <row r="159" spans="1:8">
      <c r="A159" s="22">
        <v>20</v>
      </c>
      <c r="B159" s="21" t="s">
        <v>605</v>
      </c>
      <c r="C159" s="21">
        <v>2</v>
      </c>
      <c r="D159" s="21">
        <v>1</v>
      </c>
      <c r="E159" s="21" t="s">
        <v>47</v>
      </c>
      <c r="F159"/>
      <c r="G159"/>
      <c r="H159"/>
    </row>
    <row r="160" spans="1:8">
      <c r="A160" s="22">
        <v>20</v>
      </c>
      <c r="B160" s="21" t="s">
        <v>605</v>
      </c>
      <c r="C160" s="21">
        <v>3</v>
      </c>
      <c r="D160" s="21">
        <v>2</v>
      </c>
      <c r="E160" s="21" t="s">
        <v>248</v>
      </c>
      <c r="F160"/>
      <c r="G160"/>
      <c r="H160"/>
    </row>
    <row r="161" spans="1:14">
      <c r="A161" s="22">
        <v>20</v>
      </c>
      <c r="B161" s="21" t="s">
        <v>606</v>
      </c>
      <c r="C161" s="21">
        <v>1</v>
      </c>
      <c r="D161" s="21">
        <v>2</v>
      </c>
      <c r="E161" s="21" t="s">
        <v>68</v>
      </c>
      <c r="F161"/>
      <c r="G161"/>
      <c r="H161"/>
    </row>
    <row r="162" spans="1:14">
      <c r="A162" s="22">
        <v>20</v>
      </c>
      <c r="B162" s="21" t="s">
        <v>606</v>
      </c>
      <c r="C162" s="21">
        <v>2</v>
      </c>
      <c r="D162" s="21">
        <v>1</v>
      </c>
      <c r="E162" s="21" t="s">
        <v>26</v>
      </c>
      <c r="F162"/>
      <c r="G162"/>
      <c r="H162"/>
    </row>
    <row r="163" spans="1:14">
      <c r="A163" s="22">
        <v>20</v>
      </c>
      <c r="B163" s="21" t="s">
        <v>606</v>
      </c>
      <c r="C163" s="21">
        <v>3</v>
      </c>
      <c r="D163" s="21">
        <v>2</v>
      </c>
      <c r="E163" s="21" t="s">
        <v>101</v>
      </c>
      <c r="F163"/>
      <c r="G163"/>
      <c r="H163"/>
    </row>
    <row r="164" spans="1:14">
      <c r="A164" s="23">
        <v>21</v>
      </c>
      <c r="B164" s="24" t="s">
        <v>604</v>
      </c>
      <c r="C164" s="24">
        <v>1</v>
      </c>
      <c r="D164" s="24">
        <v>1</v>
      </c>
      <c r="E164" s="24" t="s">
        <v>28</v>
      </c>
      <c r="F164"/>
      <c r="G164"/>
      <c r="H164"/>
    </row>
    <row r="165" spans="1:14">
      <c r="A165" s="23">
        <v>21</v>
      </c>
      <c r="B165" s="24" t="s">
        <v>604</v>
      </c>
      <c r="C165" s="24">
        <v>2</v>
      </c>
      <c r="D165" s="24">
        <v>1</v>
      </c>
      <c r="E165" s="24" t="s">
        <v>48</v>
      </c>
      <c r="F165"/>
      <c r="G165"/>
      <c r="H165"/>
    </row>
    <row r="166" spans="1:14">
      <c r="A166" s="23">
        <v>21</v>
      </c>
      <c r="B166" s="24" t="s">
        <v>604</v>
      </c>
      <c r="C166" s="24">
        <v>3</v>
      </c>
      <c r="D166" s="24">
        <v>1</v>
      </c>
      <c r="E166" s="24" t="s">
        <v>29</v>
      </c>
      <c r="F166"/>
      <c r="G166"/>
      <c r="H166"/>
    </row>
    <row r="167" spans="1:14">
      <c r="A167" s="23">
        <v>21</v>
      </c>
      <c r="B167" s="24" t="s">
        <v>605</v>
      </c>
      <c r="C167" s="24">
        <v>1</v>
      </c>
      <c r="D167" s="24">
        <v>2</v>
      </c>
      <c r="E167" s="24" t="s">
        <v>95</v>
      </c>
      <c r="F167"/>
      <c r="G167"/>
      <c r="H167"/>
    </row>
    <row r="168" spans="1:14">
      <c r="A168" s="23">
        <v>21</v>
      </c>
      <c r="B168" s="24" t="s">
        <v>605</v>
      </c>
      <c r="C168" s="24">
        <v>2</v>
      </c>
      <c r="D168" s="24">
        <v>2</v>
      </c>
      <c r="E168" s="24" t="s">
        <v>62</v>
      </c>
      <c r="F168"/>
      <c r="G168"/>
      <c r="H168"/>
    </row>
    <row r="169" spans="1:14">
      <c r="A169" s="23">
        <v>21</v>
      </c>
      <c r="B169" s="24" t="s">
        <v>606</v>
      </c>
      <c r="C169" s="24">
        <v>1</v>
      </c>
      <c r="D169" s="24">
        <v>1</v>
      </c>
      <c r="E169" s="24" t="s">
        <v>41</v>
      </c>
      <c r="F169"/>
      <c r="G169"/>
      <c r="H169"/>
    </row>
    <row r="170" spans="1:14">
      <c r="A170" s="23">
        <v>21</v>
      </c>
      <c r="B170" s="24" t="s">
        <v>606</v>
      </c>
      <c r="C170" s="24">
        <v>2</v>
      </c>
      <c r="D170" s="24">
        <v>2</v>
      </c>
      <c r="E170" s="24" t="s">
        <v>102</v>
      </c>
      <c r="F170"/>
      <c r="G170"/>
      <c r="H170"/>
    </row>
    <row r="171" spans="1:14">
      <c r="A171" s="23">
        <v>21</v>
      </c>
      <c r="B171" s="24" t="s">
        <v>606</v>
      </c>
      <c r="C171" s="24">
        <v>3</v>
      </c>
      <c r="D171" s="24">
        <v>2</v>
      </c>
      <c r="E171" s="24" t="s">
        <v>110</v>
      </c>
      <c r="F171"/>
      <c r="G171"/>
      <c r="H171"/>
    </row>
    <row r="172" spans="1:14">
      <c r="A172" s="22">
        <v>22</v>
      </c>
      <c r="B172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172" s="21">
        <v>1</v>
      </c>
      <c r="D172" s="21" t="s">
        <v>479</v>
      </c>
      <c r="E172" s="21" t="s">
        <v>89</v>
      </c>
      <c r="F172"/>
      <c r="G172"/>
      <c r="H172"/>
    </row>
    <row r="173" spans="1:14">
      <c r="A173"/>
      <c r="B173"/>
      <c r="C173"/>
      <c r="D173"/>
      <c r="E173"/>
      <c r="F173"/>
      <c r="G173"/>
      <c r="H173"/>
    </row>
    <row r="174" spans="1:14">
      <c r="A174"/>
      <c r="B174"/>
      <c r="C174"/>
      <c r="D174"/>
      <c r="E174"/>
      <c r="F174"/>
      <c r="G174"/>
      <c r="H174"/>
    </row>
    <row r="175" spans="1:14" ht="15.5">
      <c r="A175"/>
      <c r="B175" s="41" t="s">
        <v>822</v>
      </c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</row>
    <row r="176" spans="1:14">
      <c r="A176"/>
      <c r="B176" s="42" t="s">
        <v>608</v>
      </c>
      <c r="C176" s="43" t="s">
        <v>823</v>
      </c>
      <c r="D176" s="43"/>
      <c r="E176" s="43"/>
      <c r="F176" s="43" t="s">
        <v>610</v>
      </c>
      <c r="G176" s="43"/>
      <c r="H176" s="46"/>
      <c r="I176" s="42" t="s">
        <v>608</v>
      </c>
      <c r="J176" s="43" t="s">
        <v>832</v>
      </c>
      <c r="K176" s="43"/>
      <c r="L176" s="43"/>
      <c r="M176" s="43" t="s">
        <v>610</v>
      </c>
      <c r="N176" s="43"/>
    </row>
    <row r="177" spans="1:14">
      <c r="A177"/>
      <c r="B177" s="44">
        <v>1</v>
      </c>
      <c r="C177" s="45" t="s">
        <v>824</v>
      </c>
      <c r="D177" s="45"/>
      <c r="E177" s="45"/>
      <c r="F177" s="45" t="s">
        <v>611</v>
      </c>
      <c r="G177" s="45"/>
      <c r="H177" s="46"/>
      <c r="I177" s="44">
        <v>9</v>
      </c>
      <c r="J177" s="45" t="s">
        <v>833</v>
      </c>
      <c r="K177" s="45"/>
      <c r="L177" s="45"/>
      <c r="M177" s="45" t="s">
        <v>613</v>
      </c>
      <c r="N177" s="45"/>
    </row>
    <row r="178" spans="1:14">
      <c r="A178"/>
      <c r="B178" s="44">
        <v>2</v>
      </c>
      <c r="C178" s="45" t="s">
        <v>825</v>
      </c>
      <c r="D178" s="45"/>
      <c r="E178" s="45"/>
      <c r="F178" s="45" t="s">
        <v>615</v>
      </c>
      <c r="G178" s="45"/>
      <c r="H178" s="46"/>
      <c r="I178" s="44">
        <v>10</v>
      </c>
      <c r="J178" s="45" t="s">
        <v>834</v>
      </c>
      <c r="K178" s="45"/>
      <c r="L178" s="45"/>
      <c r="M178" s="45" t="s">
        <v>615</v>
      </c>
      <c r="N178" s="45"/>
    </row>
    <row r="179" spans="1:14">
      <c r="A179"/>
      <c r="B179" s="44">
        <v>3</v>
      </c>
      <c r="C179" s="45" t="s">
        <v>826</v>
      </c>
      <c r="D179" s="45"/>
      <c r="E179" s="45"/>
      <c r="F179" s="45" t="s">
        <v>615</v>
      </c>
      <c r="G179" s="45"/>
      <c r="H179" s="46"/>
      <c r="I179" s="44">
        <v>11</v>
      </c>
      <c r="J179" s="45" t="s">
        <v>835</v>
      </c>
      <c r="K179" s="45"/>
      <c r="L179" s="45"/>
      <c r="M179" s="45" t="s">
        <v>615</v>
      </c>
      <c r="N179" s="45"/>
    </row>
    <row r="180" spans="1:14">
      <c r="A180"/>
      <c r="B180" s="44">
        <v>4</v>
      </c>
      <c r="C180" s="45" t="s">
        <v>827</v>
      </c>
      <c r="D180" s="45"/>
      <c r="E180" s="45"/>
      <c r="F180" s="45" t="s">
        <v>615</v>
      </c>
      <c r="G180" s="45"/>
      <c r="H180" s="46"/>
      <c r="I180" s="44">
        <v>12</v>
      </c>
      <c r="J180" s="45" t="s">
        <v>836</v>
      </c>
      <c r="K180" s="45"/>
      <c r="L180" s="45"/>
      <c r="M180" s="45" t="s">
        <v>615</v>
      </c>
      <c r="N180" s="45"/>
    </row>
    <row r="181" spans="1:14">
      <c r="A181"/>
      <c r="B181" s="44">
        <v>5</v>
      </c>
      <c r="C181" s="45" t="s">
        <v>828</v>
      </c>
      <c r="D181" s="45"/>
      <c r="E181" s="45"/>
      <c r="F181" s="45" t="s">
        <v>615</v>
      </c>
      <c r="G181" s="45"/>
      <c r="H181" s="46"/>
      <c r="I181" s="44">
        <v>13</v>
      </c>
      <c r="J181" s="45" t="s">
        <v>837</v>
      </c>
      <c r="K181" s="45"/>
      <c r="L181" s="45"/>
      <c r="M181" s="45" t="s">
        <v>615</v>
      </c>
      <c r="N181" s="45"/>
    </row>
    <row r="182" spans="1:14">
      <c r="A182"/>
      <c r="B182" s="44">
        <v>6</v>
      </c>
      <c r="C182" s="45" t="s">
        <v>829</v>
      </c>
      <c r="D182" s="45"/>
      <c r="E182" s="45"/>
      <c r="F182" s="45" t="s">
        <v>615</v>
      </c>
      <c r="G182" s="45"/>
      <c r="H182" s="46"/>
      <c r="I182" s="44">
        <v>14</v>
      </c>
      <c r="J182" s="45" t="s">
        <v>838</v>
      </c>
      <c r="K182" s="45"/>
      <c r="L182" s="45"/>
      <c r="M182" s="45" t="s">
        <v>615</v>
      </c>
      <c r="N182" s="45"/>
    </row>
    <row r="183" spans="1:14">
      <c r="A183"/>
      <c r="B183" s="44">
        <v>7</v>
      </c>
      <c r="C183" s="45" t="s">
        <v>830</v>
      </c>
      <c r="D183" s="45"/>
      <c r="E183" s="45"/>
      <c r="F183" s="45" t="s">
        <v>615</v>
      </c>
      <c r="G183" s="45"/>
      <c r="H183" s="46"/>
      <c r="I183" s="44">
        <v>15</v>
      </c>
      <c r="J183" s="45" t="s">
        <v>839</v>
      </c>
      <c r="K183" s="45"/>
      <c r="L183" s="45"/>
      <c r="M183" s="45" t="s">
        <v>615</v>
      </c>
      <c r="N183" s="45"/>
    </row>
    <row r="184" spans="1:14">
      <c r="A184"/>
      <c r="B184" s="44">
        <v>8</v>
      </c>
      <c r="C184" s="45" t="s">
        <v>831</v>
      </c>
      <c r="D184" s="45"/>
      <c r="E184" s="45"/>
      <c r="F184" s="45" t="s">
        <v>615</v>
      </c>
      <c r="G184" s="45"/>
      <c r="H184" s="46"/>
      <c r="I184" s="44">
        <v>16</v>
      </c>
      <c r="J184" s="45" t="s">
        <v>840</v>
      </c>
      <c r="K184" s="45"/>
      <c r="L184" s="45"/>
      <c r="M184" s="45" t="s">
        <v>615</v>
      </c>
      <c r="N184" s="45"/>
    </row>
    <row r="185" spans="1:14">
      <c r="A185"/>
      <c r="B185"/>
      <c r="C185"/>
      <c r="D185"/>
      <c r="E185"/>
      <c r="F185"/>
      <c r="G185"/>
      <c r="H185"/>
    </row>
    <row r="186" spans="1:14">
      <c r="A186"/>
      <c r="B186"/>
      <c r="C186"/>
      <c r="D186"/>
      <c r="E186"/>
      <c r="F186"/>
      <c r="G186"/>
      <c r="H186"/>
    </row>
    <row r="187" spans="1:14" ht="15.5">
      <c r="A187"/>
      <c r="B187" s="41" t="s">
        <v>841</v>
      </c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</row>
    <row r="188" spans="1:14">
      <c r="A188"/>
      <c r="B188" s="42" t="s">
        <v>608</v>
      </c>
      <c r="C188" s="43" t="s">
        <v>823</v>
      </c>
      <c r="D188" s="43"/>
      <c r="E188" s="43"/>
      <c r="F188" s="43" t="s">
        <v>610</v>
      </c>
      <c r="G188" s="43"/>
      <c r="H188" s="46"/>
      <c r="I188" s="42" t="s">
        <v>608</v>
      </c>
      <c r="J188" s="43" t="s">
        <v>832</v>
      </c>
      <c r="K188" s="43"/>
      <c r="L188" s="43"/>
      <c r="M188" s="43" t="s">
        <v>610</v>
      </c>
      <c r="N188" s="43"/>
    </row>
    <row r="189" spans="1:14">
      <c r="A189"/>
      <c r="B189" s="44">
        <v>1</v>
      </c>
      <c r="C189" s="45" t="s">
        <v>842</v>
      </c>
      <c r="D189" s="45"/>
      <c r="E189" s="45"/>
      <c r="F189" s="45" t="s">
        <v>611</v>
      </c>
      <c r="G189" s="45"/>
      <c r="H189" s="46"/>
      <c r="I189" s="44">
        <v>9</v>
      </c>
      <c r="J189" s="45" t="s">
        <v>850</v>
      </c>
      <c r="K189" s="45"/>
      <c r="L189" s="45"/>
      <c r="M189" s="45" t="s">
        <v>611</v>
      </c>
      <c r="N189" s="45"/>
    </row>
    <row r="190" spans="1:14">
      <c r="A190"/>
      <c r="B190" s="44">
        <v>2</v>
      </c>
      <c r="C190" s="45" t="s">
        <v>843</v>
      </c>
      <c r="D190" s="45"/>
      <c r="E190" s="45"/>
      <c r="F190" s="45" t="s">
        <v>611</v>
      </c>
      <c r="G190" s="45"/>
      <c r="H190" s="46"/>
      <c r="I190" s="44">
        <v>10</v>
      </c>
      <c r="J190" s="45" t="s">
        <v>851</v>
      </c>
      <c r="K190" s="45"/>
      <c r="L190" s="45"/>
      <c r="M190" s="45" t="s">
        <v>613</v>
      </c>
      <c r="N190" s="45"/>
    </row>
    <row r="191" spans="1:14">
      <c r="A191"/>
      <c r="B191" s="44">
        <v>3</v>
      </c>
      <c r="C191" s="45" t="s">
        <v>844</v>
      </c>
      <c r="D191" s="45"/>
      <c r="E191" s="45"/>
      <c r="F191" s="45" t="s">
        <v>613</v>
      </c>
      <c r="G191" s="45"/>
      <c r="H191" s="46"/>
      <c r="I191" s="44">
        <v>11</v>
      </c>
      <c r="J191" s="45" t="s">
        <v>852</v>
      </c>
      <c r="K191" s="45"/>
      <c r="L191" s="45"/>
      <c r="M191" s="45" t="s">
        <v>613</v>
      </c>
      <c r="N191" s="45"/>
    </row>
    <row r="192" spans="1:14">
      <c r="A192"/>
      <c r="B192" s="44">
        <v>4</v>
      </c>
      <c r="C192" s="45" t="s">
        <v>845</v>
      </c>
      <c r="D192" s="45"/>
      <c r="E192" s="45"/>
      <c r="F192" s="45" t="s">
        <v>615</v>
      </c>
      <c r="G192" s="45"/>
      <c r="H192" s="46"/>
      <c r="I192" s="44">
        <v>12</v>
      </c>
      <c r="J192" s="45" t="s">
        <v>853</v>
      </c>
      <c r="K192" s="45"/>
      <c r="L192" s="45"/>
      <c r="M192" s="45" t="s">
        <v>615</v>
      </c>
      <c r="N192" s="45"/>
    </row>
    <row r="193" spans="1:14">
      <c r="A193"/>
      <c r="B193" s="44">
        <v>5</v>
      </c>
      <c r="C193" s="45" t="s">
        <v>846</v>
      </c>
      <c r="D193" s="45"/>
      <c r="E193" s="45"/>
      <c r="F193" s="45" t="s">
        <v>615</v>
      </c>
      <c r="G193" s="45"/>
      <c r="H193" s="46"/>
      <c r="I193" s="44">
        <v>13</v>
      </c>
      <c r="J193" s="45" t="s">
        <v>854</v>
      </c>
      <c r="K193" s="45"/>
      <c r="L193" s="45"/>
      <c r="M193" s="45" t="s">
        <v>615</v>
      </c>
      <c r="N193" s="45"/>
    </row>
    <row r="194" spans="1:14">
      <c r="A194"/>
      <c r="B194" s="44">
        <v>6</v>
      </c>
      <c r="C194" s="45" t="s">
        <v>847</v>
      </c>
      <c r="D194" s="45"/>
      <c r="E194" s="45"/>
      <c r="F194" s="45" t="s">
        <v>615</v>
      </c>
      <c r="G194" s="45"/>
      <c r="H194" s="46"/>
      <c r="I194" s="44">
        <v>14</v>
      </c>
      <c r="J194" s="45" t="s">
        <v>855</v>
      </c>
      <c r="K194" s="45"/>
      <c r="L194" s="45"/>
      <c r="M194" s="45" t="s">
        <v>615</v>
      </c>
      <c r="N194" s="45"/>
    </row>
    <row r="195" spans="1:14">
      <c r="A195"/>
      <c r="B195" s="44">
        <v>7</v>
      </c>
      <c r="C195" s="45" t="s">
        <v>848</v>
      </c>
      <c r="D195" s="45"/>
      <c r="E195" s="45"/>
      <c r="F195" s="45" t="s">
        <v>615</v>
      </c>
      <c r="G195" s="45"/>
      <c r="H195" s="46"/>
      <c r="I195" s="44">
        <v>15</v>
      </c>
      <c r="J195" s="45" t="s">
        <v>856</v>
      </c>
      <c r="K195" s="45"/>
      <c r="L195" s="45"/>
      <c r="M195" s="45" t="s">
        <v>615</v>
      </c>
      <c r="N195" s="45"/>
    </row>
    <row r="196" spans="1:14">
      <c r="A196"/>
      <c r="B196" s="44">
        <v>8</v>
      </c>
      <c r="C196" s="45" t="s">
        <v>849</v>
      </c>
      <c r="D196" s="45"/>
      <c r="E196" s="45"/>
      <c r="F196" s="45" t="s">
        <v>615</v>
      </c>
      <c r="G196" s="45"/>
      <c r="H196" s="46"/>
      <c r="I196" s="44">
        <v>16</v>
      </c>
      <c r="J196" s="45" t="s">
        <v>857</v>
      </c>
      <c r="K196" s="45"/>
      <c r="L196" s="45"/>
      <c r="M196" s="45" t="s">
        <v>615</v>
      </c>
      <c r="N196" s="45"/>
    </row>
    <row r="197" spans="1:14">
      <c r="A197"/>
      <c r="B197"/>
      <c r="C197"/>
      <c r="D197"/>
      <c r="E197"/>
      <c r="F197"/>
      <c r="G197"/>
      <c r="H197"/>
    </row>
    <row r="198" spans="1:14">
      <c r="A198"/>
      <c r="B198"/>
      <c r="C198"/>
      <c r="D198"/>
      <c r="E198"/>
      <c r="F198"/>
      <c r="G198"/>
      <c r="H198"/>
    </row>
    <row r="199" spans="1:14">
      <c r="A199"/>
      <c r="B199"/>
      <c r="C199"/>
      <c r="D199"/>
      <c r="E199"/>
      <c r="F199"/>
      <c r="G199"/>
      <c r="H199"/>
    </row>
    <row r="200" spans="1:14">
      <c r="A200"/>
      <c r="B200"/>
      <c r="C200"/>
      <c r="D200"/>
      <c r="E200"/>
      <c r="F200"/>
      <c r="G200"/>
      <c r="H200"/>
    </row>
    <row r="201" spans="1:14">
      <c r="A201"/>
      <c r="B201"/>
      <c r="C201"/>
      <c r="D201"/>
      <c r="E201"/>
      <c r="F201"/>
      <c r="G201"/>
      <c r="H201"/>
    </row>
    <row r="202" spans="1:14">
      <c r="A202"/>
      <c r="B202"/>
      <c r="C202"/>
      <c r="D202"/>
      <c r="E202"/>
      <c r="F202"/>
      <c r="G202"/>
      <c r="H202"/>
    </row>
    <row r="203" spans="1:14">
      <c r="A203"/>
      <c r="B203"/>
      <c r="C203"/>
      <c r="D203"/>
      <c r="E203"/>
      <c r="F203"/>
      <c r="G203"/>
      <c r="H203"/>
    </row>
    <row r="204" spans="1:14">
      <c r="A204"/>
      <c r="B204"/>
      <c r="C204"/>
      <c r="D204"/>
      <c r="E204"/>
      <c r="F204"/>
      <c r="G204"/>
      <c r="H204"/>
    </row>
    <row r="205" spans="1:14">
      <c r="A205"/>
      <c r="B205"/>
      <c r="C205"/>
      <c r="D205"/>
      <c r="E205"/>
      <c r="F205"/>
      <c r="G205"/>
      <c r="H205"/>
    </row>
    <row r="206" spans="1:14">
      <c r="A206"/>
      <c r="B206"/>
      <c r="C206"/>
      <c r="D206"/>
      <c r="E206"/>
      <c r="F206"/>
      <c r="G206"/>
      <c r="H206"/>
    </row>
    <row r="207" spans="1:14">
      <c r="A207"/>
      <c r="B207"/>
      <c r="C207"/>
      <c r="D207"/>
      <c r="E207"/>
      <c r="F207"/>
      <c r="G207"/>
      <c r="H207"/>
    </row>
    <row r="208" spans="1:14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  <row r="781" s="9" customFormat="1"/>
  </sheetData>
  <mergeCells count="75">
    <mergeCell ref="J194:L194"/>
    <mergeCell ref="M194:N194"/>
    <mergeCell ref="J195:L195"/>
    <mergeCell ref="M195:N195"/>
    <mergeCell ref="J196:L196"/>
    <mergeCell ref="M196:N196"/>
    <mergeCell ref="J191:L191"/>
    <mergeCell ref="M191:N191"/>
    <mergeCell ref="J192:L192"/>
    <mergeCell ref="M192:N192"/>
    <mergeCell ref="J193:L193"/>
    <mergeCell ref="M193:N193"/>
    <mergeCell ref="J188:L188"/>
    <mergeCell ref="M188:N188"/>
    <mergeCell ref="J189:L189"/>
    <mergeCell ref="M189:N189"/>
    <mergeCell ref="J190:L190"/>
    <mergeCell ref="M190:N190"/>
    <mergeCell ref="C194:E194"/>
    <mergeCell ref="F194:G194"/>
    <mergeCell ref="C195:E195"/>
    <mergeCell ref="F195:G195"/>
    <mergeCell ref="C196:E196"/>
    <mergeCell ref="F196:G196"/>
    <mergeCell ref="C191:E191"/>
    <mergeCell ref="F191:G191"/>
    <mergeCell ref="C192:E192"/>
    <mergeCell ref="F192:G192"/>
    <mergeCell ref="C193:E193"/>
    <mergeCell ref="F193:G193"/>
    <mergeCell ref="C188:E188"/>
    <mergeCell ref="F188:G188"/>
    <mergeCell ref="C189:E189"/>
    <mergeCell ref="F189:G189"/>
    <mergeCell ref="C190:E190"/>
    <mergeCell ref="F190:G190"/>
    <mergeCell ref="J183:L183"/>
    <mergeCell ref="M183:N183"/>
    <mergeCell ref="J184:L184"/>
    <mergeCell ref="M184:N184"/>
    <mergeCell ref="B187:N187"/>
    <mergeCell ref="C184:E184"/>
    <mergeCell ref="F184:G184"/>
    <mergeCell ref="J176:L176"/>
    <mergeCell ref="M176:N176"/>
    <mergeCell ref="J177:L177"/>
    <mergeCell ref="M177:N177"/>
    <mergeCell ref="J178:L178"/>
    <mergeCell ref="M178:N178"/>
    <mergeCell ref="J179:L179"/>
    <mergeCell ref="M179:N179"/>
    <mergeCell ref="J180:L180"/>
    <mergeCell ref="M180:N180"/>
    <mergeCell ref="J181:L181"/>
    <mergeCell ref="M181:N181"/>
    <mergeCell ref="J182:L182"/>
    <mergeCell ref="M182:N182"/>
    <mergeCell ref="C181:E181"/>
    <mergeCell ref="F181:G181"/>
    <mergeCell ref="C182:E182"/>
    <mergeCell ref="F182:G182"/>
    <mergeCell ref="C183:E183"/>
    <mergeCell ref="F183:G183"/>
    <mergeCell ref="C178:E178"/>
    <mergeCell ref="F178:G178"/>
    <mergeCell ref="C179:E179"/>
    <mergeCell ref="F179:G179"/>
    <mergeCell ref="C180:E180"/>
    <mergeCell ref="F180:G180"/>
    <mergeCell ref="A1:E1"/>
    <mergeCell ref="B175:N175"/>
    <mergeCell ref="C176:E176"/>
    <mergeCell ref="F176:G176"/>
    <mergeCell ref="C177:E177"/>
    <mergeCell ref="F177:G17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B3D-005A-4F3C-95B8-7F8D1CE906A0}">
  <dimension ref="A1:R780"/>
  <sheetViews>
    <sheetView showGridLines="0" rightToLeft="1" workbookViewId="0">
      <pane ySplit="3" topLeftCell="A135" activePane="bottomLeft" state="frozen"/>
      <selection pane="bottomLeft" activeCell="F144" sqref="C144:G149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29.08984375" style="10" customWidth="1"/>
    <col min="5" max="5" width="7.6328125" style="10" customWidth="1"/>
    <col min="6" max="7" width="15.453125" style="10" customWidth="1"/>
    <col min="8" max="18" width="7.6328125" style="9" customWidth="1"/>
    <col min="19" max="20" width="15.453125" style="9" customWidth="1"/>
    <col min="21" max="16384" width="8.7265625" style="9"/>
  </cols>
  <sheetData>
    <row r="1" spans="1:18" ht="24" customHeight="1">
      <c r="A1" s="39" t="s">
        <v>111</v>
      </c>
      <c r="B1" s="39"/>
      <c r="C1" s="39"/>
      <c r="D1" s="39"/>
      <c r="E1"/>
      <c r="F1"/>
      <c r="G1"/>
      <c r="H1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2" customHeight="1">
      <c r="A2" s="19"/>
      <c r="B2" s="19"/>
      <c r="C2" s="19"/>
      <c r="D2" s="19"/>
      <c r="E2"/>
      <c r="F2"/>
      <c r="G2"/>
      <c r="H2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2" customHeight="1">
      <c r="A3" s="20" t="s">
        <v>12</v>
      </c>
      <c r="B3" s="20" t="s">
        <v>13</v>
      </c>
      <c r="C3" s="20" t="s">
        <v>14</v>
      </c>
      <c r="D3" s="20" t="s">
        <v>15</v>
      </c>
      <c r="E3"/>
      <c r="F3"/>
      <c r="G3"/>
      <c r="H3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>
      <c r="A4" s="23">
        <v>1</v>
      </c>
      <c r="B4" s="24" t="s">
        <v>604</v>
      </c>
      <c r="C4" s="24">
        <v>1</v>
      </c>
      <c r="D4" s="24" t="s">
        <v>418</v>
      </c>
      <c r="E4"/>
      <c r="F4"/>
      <c r="G4"/>
      <c r="H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>
      <c r="A5" s="23">
        <v>1</v>
      </c>
      <c r="B5" s="24" t="s">
        <v>604</v>
      </c>
      <c r="C5" s="24">
        <v>2</v>
      </c>
      <c r="D5" s="24" t="s">
        <v>419</v>
      </c>
      <c r="E5"/>
      <c r="F5"/>
      <c r="G5"/>
      <c r="H5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>
      <c r="A6" s="23">
        <v>1</v>
      </c>
      <c r="B6" s="24" t="s">
        <v>605</v>
      </c>
      <c r="C6" s="24">
        <v>1</v>
      </c>
      <c r="D6" s="24" t="s">
        <v>79</v>
      </c>
      <c r="E6"/>
      <c r="F6"/>
      <c r="G6"/>
      <c r="H6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>
      <c r="A7" s="23">
        <v>1</v>
      </c>
      <c r="B7" s="24" t="s">
        <v>605</v>
      </c>
      <c r="C7" s="24">
        <v>2</v>
      </c>
      <c r="D7" s="24" t="s">
        <v>416</v>
      </c>
      <c r="E7"/>
      <c r="F7"/>
      <c r="G7"/>
      <c r="H7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>
      <c r="A8" s="23">
        <v>1</v>
      </c>
      <c r="B8" s="24" t="s">
        <v>605</v>
      </c>
      <c r="C8" s="24">
        <v>3</v>
      </c>
      <c r="D8" s="24" t="s">
        <v>62</v>
      </c>
      <c r="E8"/>
      <c r="F8"/>
      <c r="G8"/>
      <c r="H8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3">
        <v>1</v>
      </c>
      <c r="B9" s="24" t="s">
        <v>606</v>
      </c>
      <c r="C9" s="24">
        <v>1</v>
      </c>
      <c r="D9" s="24" t="s">
        <v>417</v>
      </c>
      <c r="E9"/>
      <c r="F9"/>
      <c r="G9"/>
      <c r="H9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>
      <c r="A10" s="23">
        <v>1</v>
      </c>
      <c r="B10" s="24" t="s">
        <v>606</v>
      </c>
      <c r="C10" s="24">
        <v>2</v>
      </c>
      <c r="D10" s="24" t="s">
        <v>415</v>
      </c>
      <c r="E10"/>
      <c r="F10"/>
      <c r="G10"/>
      <c r="H10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>
      <c r="A11" s="23">
        <v>1</v>
      </c>
      <c r="B11" s="24" t="s">
        <v>606</v>
      </c>
      <c r="C11" s="24">
        <v>3</v>
      </c>
      <c r="D11" s="24" t="s">
        <v>71</v>
      </c>
      <c r="E11"/>
      <c r="F11"/>
      <c r="G11"/>
      <c r="H11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>
      <c r="A12" s="22">
        <v>2</v>
      </c>
      <c r="B12" s="21" t="s">
        <v>604</v>
      </c>
      <c r="C12" s="21">
        <v>1</v>
      </c>
      <c r="D12" s="21" t="s">
        <v>422</v>
      </c>
      <c r="E12"/>
      <c r="F12"/>
      <c r="G12"/>
      <c r="H12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>
      <c r="A13" s="22">
        <v>2</v>
      </c>
      <c r="B13" s="21" t="s">
        <v>604</v>
      </c>
      <c r="C13" s="21">
        <v>2</v>
      </c>
      <c r="D13" s="21" t="s">
        <v>420</v>
      </c>
      <c r="E13"/>
      <c r="F13"/>
      <c r="G13"/>
      <c r="H13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>
      <c r="A14" s="22">
        <v>2</v>
      </c>
      <c r="B14" s="21" t="s">
        <v>604</v>
      </c>
      <c r="C14" s="21">
        <v>3</v>
      </c>
      <c r="D14" s="21" t="s">
        <v>421</v>
      </c>
      <c r="E14"/>
      <c r="F14"/>
      <c r="G14"/>
      <c r="H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>
      <c r="A15" s="22">
        <v>2</v>
      </c>
      <c r="B15" s="21" t="s">
        <v>605</v>
      </c>
      <c r="C15" s="21">
        <v>1</v>
      </c>
      <c r="D15" s="21" t="s">
        <v>423</v>
      </c>
      <c r="E15"/>
      <c r="F15"/>
      <c r="G15"/>
      <c r="H15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>
      <c r="A16" s="22">
        <v>2</v>
      </c>
      <c r="B16" s="21" t="s">
        <v>605</v>
      </c>
      <c r="C16" s="21">
        <v>2</v>
      </c>
      <c r="D16" s="21" t="s">
        <v>80</v>
      </c>
      <c r="E16"/>
      <c r="F16"/>
      <c r="G16"/>
      <c r="H16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>
      <c r="A17" s="22">
        <v>2</v>
      </c>
      <c r="B17" s="21" t="s">
        <v>605</v>
      </c>
      <c r="C17" s="21">
        <v>3</v>
      </c>
      <c r="D17" s="21" t="s">
        <v>72</v>
      </c>
      <c r="E17"/>
      <c r="F17"/>
      <c r="G17"/>
      <c r="H17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>
      <c r="A18" s="22">
        <v>2</v>
      </c>
      <c r="B18" s="21" t="s">
        <v>606</v>
      </c>
      <c r="C18" s="21">
        <v>1</v>
      </c>
      <c r="D18" s="21" t="s">
        <v>54</v>
      </c>
      <c r="E18"/>
      <c r="F18"/>
      <c r="G18"/>
      <c r="H18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>
      <c r="A19" s="22">
        <v>2</v>
      </c>
      <c r="B19" s="21" t="s">
        <v>606</v>
      </c>
      <c r="C19" s="21">
        <v>2</v>
      </c>
      <c r="D19" s="21" t="s">
        <v>63</v>
      </c>
      <c r="E19"/>
      <c r="F19"/>
      <c r="G19"/>
      <c r="H19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>
      <c r="A20" s="23">
        <v>3</v>
      </c>
      <c r="B20" s="24" t="s">
        <v>604</v>
      </c>
      <c r="C20" s="24">
        <v>1</v>
      </c>
      <c r="D20" s="24" t="s">
        <v>46</v>
      </c>
      <c r="E20"/>
      <c r="F20"/>
      <c r="G20"/>
      <c r="H20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>
      <c r="A21" s="23">
        <v>3</v>
      </c>
      <c r="B21" s="24" t="s">
        <v>604</v>
      </c>
      <c r="C21" s="24">
        <v>2</v>
      </c>
      <c r="D21" s="24" t="s">
        <v>424</v>
      </c>
      <c r="E21"/>
      <c r="F21"/>
      <c r="G21"/>
      <c r="H21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>
      <c r="A22" s="23">
        <v>3</v>
      </c>
      <c r="B22" s="24" t="s">
        <v>605</v>
      </c>
      <c r="C22" s="24">
        <v>1</v>
      </c>
      <c r="D22" s="24" t="s">
        <v>257</v>
      </c>
      <c r="E22"/>
      <c r="F22"/>
      <c r="G22"/>
      <c r="H22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>
      <c r="A23" s="23">
        <v>3</v>
      </c>
      <c r="B23" s="24" t="s">
        <v>605</v>
      </c>
      <c r="C23" s="24">
        <v>2</v>
      </c>
      <c r="D23" s="24" t="s">
        <v>73</v>
      </c>
      <c r="E23"/>
      <c r="F23"/>
      <c r="G23"/>
      <c r="H23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>
      <c r="A24" s="23">
        <v>3</v>
      </c>
      <c r="B24" s="24" t="s">
        <v>605</v>
      </c>
      <c r="C24" s="24">
        <v>3</v>
      </c>
      <c r="D24" s="24" t="s">
        <v>425</v>
      </c>
      <c r="E24"/>
      <c r="F24"/>
      <c r="G24"/>
      <c r="H2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>
      <c r="A25" s="23">
        <v>3</v>
      </c>
      <c r="B25" s="24" t="s">
        <v>606</v>
      </c>
      <c r="C25" s="24">
        <v>1</v>
      </c>
      <c r="D25" s="24" t="s">
        <v>64</v>
      </c>
      <c r="E25"/>
      <c r="F25"/>
      <c r="G25"/>
      <c r="H25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>
      <c r="A26" s="23">
        <v>3</v>
      </c>
      <c r="B26" s="24" t="s">
        <v>606</v>
      </c>
      <c r="C26" s="24">
        <v>2</v>
      </c>
      <c r="D26" s="24" t="s">
        <v>81</v>
      </c>
      <c r="E26"/>
      <c r="F26"/>
      <c r="G26"/>
      <c r="H26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>
      <c r="A27" s="23">
        <v>3</v>
      </c>
      <c r="B27" s="24" t="s">
        <v>606</v>
      </c>
      <c r="C27" s="24">
        <v>3</v>
      </c>
      <c r="D27" s="24" t="s">
        <v>55</v>
      </c>
      <c r="E27"/>
      <c r="F27"/>
      <c r="G27"/>
      <c r="H27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>
      <c r="A28" s="22">
        <v>4</v>
      </c>
      <c r="B28" s="21" t="s">
        <v>604</v>
      </c>
      <c r="C28" s="21">
        <v>1</v>
      </c>
      <c r="D28" s="21" t="s">
        <v>40</v>
      </c>
      <c r="E28"/>
      <c r="F28"/>
      <c r="G28"/>
      <c r="H28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>
      <c r="A29" s="22">
        <v>4</v>
      </c>
      <c r="B29" s="21" t="s">
        <v>604</v>
      </c>
      <c r="C29" s="21">
        <v>2</v>
      </c>
      <c r="D29" s="21" t="s">
        <v>65</v>
      </c>
      <c r="E29"/>
      <c r="F29"/>
      <c r="G29"/>
      <c r="H29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>
      <c r="A30" s="22">
        <v>4</v>
      </c>
      <c r="B30" s="21" t="s">
        <v>604</v>
      </c>
      <c r="C30" s="21">
        <v>3</v>
      </c>
      <c r="D30" s="21" t="s">
        <v>56</v>
      </c>
      <c r="E30"/>
      <c r="F30"/>
      <c r="G30"/>
      <c r="H30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>
      <c r="A31" s="22">
        <v>4</v>
      </c>
      <c r="B31" s="21" t="s">
        <v>605</v>
      </c>
      <c r="C31" s="21">
        <v>1</v>
      </c>
      <c r="D31" s="21" t="s">
        <v>254</v>
      </c>
      <c r="E31"/>
      <c r="F31"/>
      <c r="G31"/>
      <c r="H31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>
      <c r="A32" s="22">
        <v>4</v>
      </c>
      <c r="B32" s="21" t="s">
        <v>605</v>
      </c>
      <c r="C32" s="21">
        <v>2</v>
      </c>
      <c r="D32" s="21" t="s">
        <v>47</v>
      </c>
      <c r="E32"/>
      <c r="F32"/>
      <c r="G32"/>
      <c r="H32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1:18">
      <c r="A33" s="22">
        <v>4</v>
      </c>
      <c r="B33" s="21" t="s">
        <v>605</v>
      </c>
      <c r="C33" s="21">
        <v>3</v>
      </c>
      <c r="D33" s="21" t="s">
        <v>426</v>
      </c>
      <c r="E33"/>
      <c r="F33"/>
      <c r="G33"/>
      <c r="H33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>
      <c r="A34" s="22">
        <v>4</v>
      </c>
      <c r="B34" s="21" t="s">
        <v>606</v>
      </c>
      <c r="C34" s="21">
        <v>1</v>
      </c>
      <c r="D34" s="21" t="s">
        <v>258</v>
      </c>
      <c r="E34"/>
      <c r="F34"/>
      <c r="G34"/>
      <c r="H3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>
      <c r="A35" s="22">
        <v>4</v>
      </c>
      <c r="B35" s="21" t="s">
        <v>606</v>
      </c>
      <c r="C35" s="21">
        <v>2</v>
      </c>
      <c r="D35" s="21" t="s">
        <v>66</v>
      </c>
      <c r="E35"/>
      <c r="F35"/>
      <c r="G35"/>
      <c r="H35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>
      <c r="A36" s="23">
        <v>5</v>
      </c>
      <c r="B36" s="24" t="s">
        <v>604</v>
      </c>
      <c r="C36" s="24">
        <v>1</v>
      </c>
      <c r="D36" s="24" t="s">
        <v>252</v>
      </c>
      <c r="E36"/>
      <c r="F36"/>
      <c r="G36"/>
      <c r="H36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1:18">
      <c r="A37" s="23">
        <v>5</v>
      </c>
      <c r="B37" s="24" t="s">
        <v>604</v>
      </c>
      <c r="C37" s="24">
        <v>2</v>
      </c>
      <c r="D37" s="24" t="s">
        <v>259</v>
      </c>
      <c r="E37"/>
      <c r="F37"/>
      <c r="G37"/>
      <c r="H37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>
      <c r="A38" s="23">
        <v>5</v>
      </c>
      <c r="B38" s="24" t="s">
        <v>604</v>
      </c>
      <c r="C38" s="24">
        <v>3</v>
      </c>
      <c r="D38" s="24" t="s">
        <v>255</v>
      </c>
      <c r="E38"/>
      <c r="F38"/>
      <c r="G38"/>
      <c r="H38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8">
      <c r="A39" s="23">
        <v>5</v>
      </c>
      <c r="B39" s="24" t="s">
        <v>605</v>
      </c>
      <c r="C39" s="24">
        <v>1</v>
      </c>
      <c r="D39" s="24" t="s">
        <v>49</v>
      </c>
      <c r="E39"/>
      <c r="F39"/>
      <c r="G39"/>
      <c r="H39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>
      <c r="A40" s="23">
        <v>5</v>
      </c>
      <c r="B40" s="24" t="s">
        <v>605</v>
      </c>
      <c r="C40" s="24">
        <v>2</v>
      </c>
      <c r="D40" s="24" t="s">
        <v>427</v>
      </c>
      <c r="E40"/>
      <c r="F40"/>
      <c r="G40"/>
      <c r="H40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18">
      <c r="A41" s="23">
        <v>5</v>
      </c>
      <c r="B41" s="24" t="s">
        <v>606</v>
      </c>
      <c r="C41" s="24">
        <v>1</v>
      </c>
      <c r="D41" s="24" t="s">
        <v>41</v>
      </c>
      <c r="E41"/>
      <c r="F41"/>
      <c r="G41"/>
      <c r="H41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>
      <c r="A42" s="23">
        <v>5</v>
      </c>
      <c r="B42" s="24" t="s">
        <v>606</v>
      </c>
      <c r="C42" s="24">
        <v>2</v>
      </c>
      <c r="D42" s="24" t="s">
        <v>28</v>
      </c>
      <c r="E42"/>
      <c r="F42"/>
      <c r="G42"/>
      <c r="H42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8">
      <c r="A43" s="23">
        <v>5</v>
      </c>
      <c r="B43" s="24" t="s">
        <v>606</v>
      </c>
      <c r="C43" s="24">
        <v>3</v>
      </c>
      <c r="D43" s="24" t="s">
        <v>48</v>
      </c>
      <c r="E43"/>
      <c r="F43"/>
      <c r="G43"/>
      <c r="H43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spans="1:18">
      <c r="A44" s="22">
        <v>6</v>
      </c>
      <c r="B44" s="21" t="s">
        <v>604</v>
      </c>
      <c r="C44" s="21">
        <v>1</v>
      </c>
      <c r="D44" s="21" t="s">
        <v>30</v>
      </c>
      <c r="E44"/>
      <c r="F44"/>
      <c r="G44"/>
      <c r="H4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1:18">
      <c r="A45" s="22">
        <v>6</v>
      </c>
      <c r="B45" s="21" t="s">
        <v>604</v>
      </c>
      <c r="C45" s="21">
        <v>2</v>
      </c>
      <c r="D45" s="21" t="s">
        <v>307</v>
      </c>
      <c r="E45"/>
      <c r="F45"/>
      <c r="G45"/>
      <c r="H45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>
      <c r="A46" s="22">
        <v>6</v>
      </c>
      <c r="B46" s="21" t="s">
        <v>605</v>
      </c>
      <c r="C46" s="21">
        <v>1</v>
      </c>
      <c r="D46" s="21" t="s">
        <v>31</v>
      </c>
      <c r="E46"/>
      <c r="F46"/>
      <c r="G46"/>
      <c r="H46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>
      <c r="A47" s="22">
        <v>6</v>
      </c>
      <c r="B47" s="21" t="s">
        <v>605</v>
      </c>
      <c r="C47" s="21">
        <v>2</v>
      </c>
      <c r="D47" s="21" t="s">
        <v>256</v>
      </c>
      <c r="E47"/>
      <c r="F47"/>
      <c r="G47"/>
      <c r="H47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>
      <c r="A48" s="22">
        <v>6</v>
      </c>
      <c r="B48" s="21" t="s">
        <v>605</v>
      </c>
      <c r="C48" s="21">
        <v>3</v>
      </c>
      <c r="D48" s="21" t="s">
        <v>253</v>
      </c>
      <c r="E48"/>
      <c r="F48"/>
      <c r="G48"/>
      <c r="H48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>
      <c r="A49" s="22">
        <v>6</v>
      </c>
      <c r="B49" s="21" t="s">
        <v>606</v>
      </c>
      <c r="C49" s="21">
        <v>1</v>
      </c>
      <c r="D49" s="21" t="s">
        <v>250</v>
      </c>
      <c r="E49"/>
      <c r="F49"/>
      <c r="G49"/>
      <c r="H49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>
      <c r="A50" s="22">
        <v>6</v>
      </c>
      <c r="B50" s="21" t="s">
        <v>606</v>
      </c>
      <c r="C50" s="21">
        <v>2</v>
      </c>
      <c r="D50" s="21" t="s">
        <v>36</v>
      </c>
      <c r="E50"/>
      <c r="F50"/>
      <c r="G50"/>
      <c r="H50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>
      <c r="A51" s="22">
        <v>6</v>
      </c>
      <c r="B51" s="21" t="s">
        <v>606</v>
      </c>
      <c r="C51" s="21">
        <v>3</v>
      </c>
      <c r="D51" s="21" t="s">
        <v>428</v>
      </c>
      <c r="E51"/>
      <c r="F51"/>
      <c r="G51"/>
      <c r="H51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>
      <c r="A52" s="23">
        <v>7</v>
      </c>
      <c r="B52" s="24" t="s">
        <v>604</v>
      </c>
      <c r="C52" s="24">
        <v>1</v>
      </c>
      <c r="D52" s="24" t="s">
        <v>18</v>
      </c>
      <c r="E52"/>
      <c r="F52"/>
      <c r="G52"/>
      <c r="H52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1:18">
      <c r="A53" s="23">
        <v>7</v>
      </c>
      <c r="B53" s="24" t="s">
        <v>604</v>
      </c>
      <c r="C53" s="24">
        <v>2</v>
      </c>
      <c r="D53" s="24" t="s">
        <v>251</v>
      </c>
      <c r="E53"/>
      <c r="F53"/>
      <c r="G53"/>
      <c r="H53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>
      <c r="A54" s="23">
        <v>7</v>
      </c>
      <c r="B54" s="24" t="s">
        <v>604</v>
      </c>
      <c r="C54" s="24">
        <v>3</v>
      </c>
      <c r="D54" s="24" t="s">
        <v>309</v>
      </c>
      <c r="E54"/>
      <c r="F54"/>
      <c r="G54"/>
      <c r="H5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>
      <c r="A55" s="23">
        <v>7</v>
      </c>
      <c r="B55" s="24" t="s">
        <v>605</v>
      </c>
      <c r="C55" s="24">
        <v>1</v>
      </c>
      <c r="D55" s="24" t="s">
        <v>429</v>
      </c>
      <c r="E55"/>
      <c r="F55"/>
      <c r="G55"/>
      <c r="H55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1:18">
      <c r="A56" s="23">
        <v>7</v>
      </c>
      <c r="B56" s="24" t="s">
        <v>605</v>
      </c>
      <c r="C56" s="24">
        <v>2</v>
      </c>
      <c r="D56" s="24" t="s">
        <v>74</v>
      </c>
      <c r="E56"/>
      <c r="F56"/>
      <c r="G56"/>
      <c r="H56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>
      <c r="A57" s="23">
        <v>7</v>
      </c>
      <c r="B57" s="24" t="s">
        <v>606</v>
      </c>
      <c r="C57" s="24">
        <v>1</v>
      </c>
      <c r="D57" s="24" t="s">
        <v>247</v>
      </c>
      <c r="E57"/>
      <c r="F57"/>
      <c r="G57"/>
      <c r="H57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18">
      <c r="A58" s="23">
        <v>7</v>
      </c>
      <c r="B58" s="24" t="s">
        <v>606</v>
      </c>
      <c r="C58" s="24">
        <v>2</v>
      </c>
      <c r="D58" s="24" t="s">
        <v>19</v>
      </c>
      <c r="E58"/>
      <c r="F58"/>
      <c r="G58"/>
      <c r="H58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>
      <c r="A59" s="23">
        <v>7</v>
      </c>
      <c r="B59" s="24" t="s">
        <v>606</v>
      </c>
      <c r="C59" s="24">
        <v>3</v>
      </c>
      <c r="D59" s="24" t="s">
        <v>308</v>
      </c>
      <c r="E59"/>
      <c r="F59"/>
      <c r="G59"/>
      <c r="H59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>
      <c r="A60" s="22">
        <v>8</v>
      </c>
      <c r="B60" s="21" t="s">
        <v>604</v>
      </c>
      <c r="C60" s="21">
        <v>1</v>
      </c>
      <c r="D60" s="21" t="s">
        <v>312</v>
      </c>
      <c r="E60"/>
      <c r="F60"/>
      <c r="G60"/>
      <c r="H60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1:18">
      <c r="A61" s="22">
        <v>8</v>
      </c>
      <c r="B61" s="21" t="s">
        <v>604</v>
      </c>
      <c r="C61" s="21">
        <v>2</v>
      </c>
      <c r="D61" s="21" t="s">
        <v>67</v>
      </c>
      <c r="E61"/>
      <c r="F61"/>
      <c r="G61"/>
      <c r="H61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1:18">
      <c r="A62" s="22">
        <v>8</v>
      </c>
      <c r="B62" s="21" t="s">
        <v>604</v>
      </c>
      <c r="C62" s="21">
        <v>3</v>
      </c>
      <c r="D62" s="21" t="s">
        <v>249</v>
      </c>
      <c r="E62"/>
      <c r="F62"/>
      <c r="G62"/>
      <c r="H62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>
      <c r="A63" s="22">
        <v>8</v>
      </c>
      <c r="B63" s="21" t="s">
        <v>605</v>
      </c>
      <c r="C63" s="21">
        <v>1</v>
      </c>
      <c r="D63" s="21" t="s">
        <v>431</v>
      </c>
      <c r="E63"/>
      <c r="F63"/>
      <c r="G63"/>
      <c r="H63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>
      <c r="A64" s="22">
        <v>8</v>
      </c>
      <c r="B64" s="21" t="s">
        <v>605</v>
      </c>
      <c r="C64" s="21">
        <v>2</v>
      </c>
      <c r="D64" s="21" t="s">
        <v>22</v>
      </c>
      <c r="E64"/>
      <c r="F64"/>
      <c r="G64"/>
      <c r="H6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1:18">
      <c r="A65" s="22">
        <v>8</v>
      </c>
      <c r="B65" s="21" t="s">
        <v>606</v>
      </c>
      <c r="C65" s="21">
        <v>1</v>
      </c>
      <c r="D65" s="21" t="s">
        <v>430</v>
      </c>
      <c r="E65"/>
      <c r="F65"/>
      <c r="G65"/>
      <c r="H65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1:18">
      <c r="A66" s="22">
        <v>8</v>
      </c>
      <c r="B66" s="21" t="s">
        <v>606</v>
      </c>
      <c r="C66" s="21">
        <v>2</v>
      </c>
      <c r="D66" s="21" t="s">
        <v>248</v>
      </c>
      <c r="E66"/>
      <c r="F66"/>
      <c r="G66"/>
      <c r="H66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spans="1:18">
      <c r="A67" s="22">
        <v>8</v>
      </c>
      <c r="B67" s="21" t="s">
        <v>606</v>
      </c>
      <c r="C67" s="21">
        <v>3</v>
      </c>
      <c r="D67" s="21" t="s">
        <v>311</v>
      </c>
      <c r="E67"/>
      <c r="F67"/>
      <c r="G67"/>
      <c r="H67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1:18">
      <c r="A68" s="23">
        <v>9</v>
      </c>
      <c r="B68" s="24" t="s">
        <v>604</v>
      </c>
      <c r="C68" s="24">
        <v>1</v>
      </c>
      <c r="D68" s="24" t="s">
        <v>57</v>
      </c>
      <c r="E68"/>
      <c r="F68"/>
      <c r="G68"/>
      <c r="H68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>
      <c r="A69" s="23">
        <v>9</v>
      </c>
      <c r="B69" s="24" t="s">
        <v>604</v>
      </c>
      <c r="C69" s="24">
        <v>2</v>
      </c>
      <c r="D69" s="24" t="s">
        <v>433</v>
      </c>
      <c r="E69"/>
      <c r="F69"/>
      <c r="G69"/>
      <c r="H69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1:18">
      <c r="A70" s="23">
        <v>9</v>
      </c>
      <c r="B70" s="24" t="s">
        <v>604</v>
      </c>
      <c r="C70" s="24">
        <v>3</v>
      </c>
      <c r="D70" s="24" t="s">
        <v>296</v>
      </c>
      <c r="E70"/>
      <c r="F70"/>
      <c r="G70"/>
      <c r="H70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1:18">
      <c r="A71" s="23">
        <v>9</v>
      </c>
      <c r="B71" s="24" t="s">
        <v>605</v>
      </c>
      <c r="C71" s="24">
        <v>1</v>
      </c>
      <c r="D71" s="24" t="s">
        <v>432</v>
      </c>
      <c r="E71"/>
      <c r="F71"/>
      <c r="G71"/>
      <c r="H71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>
      <c r="A72" s="23">
        <v>9</v>
      </c>
      <c r="B72" s="24" t="s">
        <v>605</v>
      </c>
      <c r="C72" s="24">
        <v>2</v>
      </c>
      <c r="D72" s="24" t="s">
        <v>239</v>
      </c>
      <c r="E72"/>
      <c r="F72"/>
      <c r="G72"/>
      <c r="H72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spans="1:18">
      <c r="A73" s="23">
        <v>9</v>
      </c>
      <c r="B73" s="24" t="s">
        <v>605</v>
      </c>
      <c r="C73" s="24">
        <v>3</v>
      </c>
      <c r="D73" s="24" t="s">
        <v>434</v>
      </c>
      <c r="E73"/>
      <c r="F73"/>
      <c r="G73"/>
      <c r="H73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1:18">
      <c r="A74" s="23">
        <v>9</v>
      </c>
      <c r="B74" s="24" t="s">
        <v>606</v>
      </c>
      <c r="C74" s="24">
        <v>1</v>
      </c>
      <c r="D74" s="24" t="s">
        <v>435</v>
      </c>
      <c r="E74"/>
      <c r="F74"/>
      <c r="G74"/>
      <c r="H7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1:18">
      <c r="A75" s="23">
        <v>9</v>
      </c>
      <c r="B75" s="24" t="s">
        <v>606</v>
      </c>
      <c r="C75" s="24">
        <v>2</v>
      </c>
      <c r="D75" s="24" t="s">
        <v>305</v>
      </c>
      <c r="E75"/>
      <c r="F75"/>
      <c r="G75"/>
      <c r="H75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spans="1:18">
      <c r="A76" s="22">
        <v>10</v>
      </c>
      <c r="B76" s="21" t="s">
        <v>604</v>
      </c>
      <c r="C76" s="21">
        <v>1</v>
      </c>
      <c r="D76" s="21" t="s">
        <v>439</v>
      </c>
      <c r="E76"/>
      <c r="F76"/>
      <c r="G76"/>
      <c r="H76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8">
      <c r="A77" s="22">
        <v>10</v>
      </c>
      <c r="B77" s="21" t="s">
        <v>604</v>
      </c>
      <c r="C77" s="21">
        <v>2</v>
      </c>
      <c r="D77" s="21" t="s">
        <v>241</v>
      </c>
      <c r="E77"/>
      <c r="F77"/>
      <c r="G77"/>
      <c r="H77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1:18">
      <c r="A78" s="22">
        <v>10</v>
      </c>
      <c r="B78" s="21" t="s">
        <v>605</v>
      </c>
      <c r="C78" s="21">
        <v>1</v>
      </c>
      <c r="D78" s="21" t="s">
        <v>240</v>
      </c>
      <c r="E78"/>
      <c r="F78"/>
      <c r="G78"/>
      <c r="H78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1:18">
      <c r="A79" s="22">
        <v>10</v>
      </c>
      <c r="B79" s="21" t="s">
        <v>605</v>
      </c>
      <c r="C79" s="21">
        <v>2</v>
      </c>
      <c r="D79" s="21" t="s">
        <v>436</v>
      </c>
      <c r="E79"/>
      <c r="F79"/>
      <c r="G79"/>
      <c r="H79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1:18">
      <c r="A80" s="22">
        <v>10</v>
      </c>
      <c r="B80" s="21" t="s">
        <v>605</v>
      </c>
      <c r="C80" s="21">
        <v>3</v>
      </c>
      <c r="D80" s="21" t="s">
        <v>438</v>
      </c>
      <c r="E80"/>
      <c r="F80"/>
      <c r="G80"/>
      <c r="H80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18">
      <c r="A81" s="22">
        <v>10</v>
      </c>
      <c r="B81" s="21" t="s">
        <v>606</v>
      </c>
      <c r="C81" s="21">
        <v>1</v>
      </c>
      <c r="D81" s="21" t="s">
        <v>50</v>
      </c>
      <c r="E81"/>
      <c r="F81"/>
      <c r="G81"/>
      <c r="H81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1:18">
      <c r="A82" s="22">
        <v>10</v>
      </c>
      <c r="B82" s="21" t="s">
        <v>606</v>
      </c>
      <c r="C82" s="21">
        <v>2</v>
      </c>
      <c r="D82" s="21" t="s">
        <v>437</v>
      </c>
      <c r="E82"/>
      <c r="F82"/>
      <c r="G82"/>
      <c r="H82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spans="1:18">
      <c r="A83" s="22">
        <v>10</v>
      </c>
      <c r="B83" s="21" t="s">
        <v>606</v>
      </c>
      <c r="C83" s="21">
        <v>3</v>
      </c>
      <c r="D83" s="21" t="s">
        <v>297</v>
      </c>
      <c r="E83"/>
      <c r="F83"/>
      <c r="G83"/>
      <c r="H83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spans="1:18">
      <c r="A84" s="23">
        <v>11</v>
      </c>
      <c r="B84" s="24" t="s">
        <v>604</v>
      </c>
      <c r="C84" s="24">
        <v>1</v>
      </c>
      <c r="D84" s="24" t="s">
        <v>242</v>
      </c>
      <c r="E84"/>
      <c r="F84"/>
      <c r="G84"/>
      <c r="H8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>
      <c r="A85" s="23">
        <v>11</v>
      </c>
      <c r="B85" s="24" t="s">
        <v>604</v>
      </c>
      <c r="C85" s="24">
        <v>2</v>
      </c>
      <c r="D85" s="24" t="s">
        <v>243</v>
      </c>
      <c r="E85"/>
      <c r="F85"/>
      <c r="G85"/>
      <c r="H85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spans="1:18">
      <c r="A86" s="23">
        <v>11</v>
      </c>
      <c r="B86" s="24" t="s">
        <v>605</v>
      </c>
      <c r="C86" s="24">
        <v>1</v>
      </c>
      <c r="D86" s="24" t="s">
        <v>298</v>
      </c>
      <c r="E86"/>
      <c r="F86"/>
      <c r="G86"/>
      <c r="H86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spans="1:18">
      <c r="A87" s="23">
        <v>11</v>
      </c>
      <c r="B87" s="24" t="s">
        <v>605</v>
      </c>
      <c r="C87" s="24">
        <v>2</v>
      </c>
      <c r="D87" s="24" t="s">
        <v>440</v>
      </c>
      <c r="E87"/>
      <c r="F87"/>
      <c r="G87"/>
      <c r="H87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18">
      <c r="A88" s="23">
        <v>11</v>
      </c>
      <c r="B88" s="24" t="s">
        <v>605</v>
      </c>
      <c r="C88" s="24">
        <v>3</v>
      </c>
      <c r="D88" s="24" t="s">
        <v>236</v>
      </c>
      <c r="E88"/>
      <c r="F88"/>
      <c r="G88"/>
      <c r="H88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spans="1:18">
      <c r="A89" s="23">
        <v>11</v>
      </c>
      <c r="B89" s="24" t="s">
        <v>606</v>
      </c>
      <c r="C89" s="24">
        <v>1</v>
      </c>
      <c r="D89" s="24" t="s">
        <v>42</v>
      </c>
      <c r="E89"/>
      <c r="F89"/>
      <c r="G89"/>
      <c r="H89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>
      <c r="A90" s="23">
        <v>11</v>
      </c>
      <c r="B90" s="24" t="s">
        <v>606</v>
      </c>
      <c r="C90" s="24">
        <v>2</v>
      </c>
      <c r="D90" s="24" t="s">
        <v>441</v>
      </c>
      <c r="E90"/>
      <c r="F90"/>
      <c r="G90"/>
      <c r="H90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spans="1:18">
      <c r="A91" s="23">
        <v>11</v>
      </c>
      <c r="B91" s="24" t="s">
        <v>606</v>
      </c>
      <c r="C91" s="24">
        <v>3</v>
      </c>
      <c r="D91" s="24" t="s">
        <v>116</v>
      </c>
      <c r="E91"/>
      <c r="F91"/>
      <c r="G91"/>
      <c r="H91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>
      <c r="A92" s="22">
        <v>12</v>
      </c>
      <c r="B92" s="21" t="s">
        <v>604</v>
      </c>
      <c r="C92" s="21">
        <v>1</v>
      </c>
      <c r="D92" s="21" t="s">
        <v>300</v>
      </c>
      <c r="E92"/>
      <c r="F92"/>
      <c r="G92"/>
      <c r="H92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>
      <c r="A93" s="22">
        <v>12</v>
      </c>
      <c r="B93" s="21" t="s">
        <v>604</v>
      </c>
      <c r="C93" s="21">
        <v>2</v>
      </c>
      <c r="D93" s="21" t="s">
        <v>244</v>
      </c>
      <c r="E93"/>
      <c r="F93"/>
      <c r="G93"/>
      <c r="H93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1:18">
      <c r="A94" s="22">
        <v>12</v>
      </c>
      <c r="B94" s="21" t="s">
        <v>605</v>
      </c>
      <c r="C94" s="21">
        <v>1</v>
      </c>
      <c r="D94" s="21" t="s">
        <v>233</v>
      </c>
      <c r="E94"/>
      <c r="F94"/>
      <c r="G94"/>
      <c r="H9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>
      <c r="A95" s="22">
        <v>12</v>
      </c>
      <c r="B95" s="21" t="s">
        <v>605</v>
      </c>
      <c r="C95" s="21">
        <v>2</v>
      </c>
      <c r="D95" s="21" t="s">
        <v>117</v>
      </c>
      <c r="E95"/>
      <c r="F95"/>
      <c r="G95"/>
      <c r="H95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>
      <c r="A96" s="22">
        <v>12</v>
      </c>
      <c r="B96" s="21" t="s">
        <v>605</v>
      </c>
      <c r="C96" s="21">
        <v>3</v>
      </c>
      <c r="D96" s="21" t="s">
        <v>37</v>
      </c>
      <c r="E96"/>
      <c r="F96"/>
      <c r="G96"/>
      <c r="H96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spans="1:18">
      <c r="A97" s="22">
        <v>12</v>
      </c>
      <c r="B97" s="21" t="s">
        <v>606</v>
      </c>
      <c r="C97" s="21">
        <v>1</v>
      </c>
      <c r="D97" s="21" t="s">
        <v>108</v>
      </c>
      <c r="E97"/>
      <c r="F97"/>
      <c r="G97"/>
      <c r="H97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spans="1:18">
      <c r="A98" s="22">
        <v>12</v>
      </c>
      <c r="B98" s="21" t="s">
        <v>606</v>
      </c>
      <c r="C98" s="21">
        <v>2</v>
      </c>
      <c r="D98" s="21" t="s">
        <v>245</v>
      </c>
      <c r="E98"/>
      <c r="F98"/>
      <c r="G98"/>
      <c r="H98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>
      <c r="A99" s="22">
        <v>12</v>
      </c>
      <c r="B99" s="21" t="s">
        <v>606</v>
      </c>
      <c r="C99" s="21">
        <v>3</v>
      </c>
      <c r="D99" s="21" t="s">
        <v>238</v>
      </c>
      <c r="E99"/>
      <c r="F99"/>
      <c r="G99"/>
      <c r="H99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>
      <c r="A100" s="23">
        <v>13</v>
      </c>
      <c r="B100" s="24" t="s">
        <v>604</v>
      </c>
      <c r="C100" s="24">
        <v>1</v>
      </c>
      <c r="D100" s="24" t="s">
        <v>231</v>
      </c>
      <c r="E100"/>
      <c r="F100"/>
      <c r="G100"/>
      <c r="H100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spans="1:18">
      <c r="A101" s="23">
        <v>13</v>
      </c>
      <c r="B101" s="24" t="s">
        <v>604</v>
      </c>
      <c r="C101" s="24">
        <v>2</v>
      </c>
      <c r="D101" s="24" t="s">
        <v>17</v>
      </c>
      <c r="E101"/>
      <c r="F101"/>
      <c r="G101"/>
      <c r="H101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>
      <c r="A102" s="23">
        <v>13</v>
      </c>
      <c r="B102" s="24" t="s">
        <v>604</v>
      </c>
      <c r="C102" s="24">
        <v>3</v>
      </c>
      <c r="D102" s="24" t="s">
        <v>237</v>
      </c>
      <c r="E102"/>
      <c r="F102"/>
      <c r="G102"/>
      <c r="H102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spans="1:18">
      <c r="A103" s="23">
        <v>13</v>
      </c>
      <c r="B103" s="24" t="s">
        <v>605</v>
      </c>
      <c r="C103" s="24">
        <v>1</v>
      </c>
      <c r="D103" s="24" t="s">
        <v>246</v>
      </c>
      <c r="E103"/>
      <c r="F103"/>
      <c r="G103"/>
      <c r="H103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spans="1:18">
      <c r="A104" s="23">
        <v>13</v>
      </c>
      <c r="B104" s="24" t="s">
        <v>605</v>
      </c>
      <c r="C104" s="24">
        <v>2</v>
      </c>
      <c r="D104" s="24" t="s">
        <v>234</v>
      </c>
      <c r="E104"/>
      <c r="F104"/>
      <c r="G104"/>
      <c r="H10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spans="1:18">
      <c r="A105" s="23">
        <v>13</v>
      </c>
      <c r="B105" s="24" t="s">
        <v>606</v>
      </c>
      <c r="C105" s="24">
        <v>1</v>
      </c>
      <c r="D105" s="24" t="s">
        <v>101</v>
      </c>
      <c r="E105"/>
      <c r="F105"/>
      <c r="G105"/>
      <c r="H105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>
      <c r="A106" s="23">
        <v>13</v>
      </c>
      <c r="B106" s="24" t="s">
        <v>606</v>
      </c>
      <c r="C106" s="24">
        <v>2</v>
      </c>
      <c r="D106" s="24" t="s">
        <v>109</v>
      </c>
      <c r="E106"/>
      <c r="F106"/>
      <c r="G106"/>
      <c r="H106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spans="1:18">
      <c r="A107" s="23">
        <v>13</v>
      </c>
      <c r="B107" s="24" t="s">
        <v>606</v>
      </c>
      <c r="C107" s="24">
        <v>3</v>
      </c>
      <c r="D107" s="24" t="s">
        <v>118</v>
      </c>
      <c r="E107"/>
      <c r="F107"/>
      <c r="G107"/>
      <c r="H107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>
      <c r="A108" s="22">
        <v>14</v>
      </c>
      <c r="B108" s="21" t="s">
        <v>604</v>
      </c>
      <c r="C108" s="21">
        <v>1</v>
      </c>
      <c r="D108" s="21" t="s">
        <v>95</v>
      </c>
      <c r="E108"/>
      <c r="F108"/>
      <c r="G108"/>
      <c r="H108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1:18">
      <c r="A109" s="22">
        <v>14</v>
      </c>
      <c r="B109" s="21" t="s">
        <v>604</v>
      </c>
      <c r="C109" s="21">
        <v>2</v>
      </c>
      <c r="D109" s="21" t="s">
        <v>102</v>
      </c>
      <c r="E109"/>
      <c r="F109"/>
      <c r="G109"/>
      <c r="H109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spans="1:18">
      <c r="A110" s="22">
        <v>14</v>
      </c>
      <c r="B110" s="21" t="s">
        <v>604</v>
      </c>
      <c r="C110" s="21">
        <v>3</v>
      </c>
      <c r="D110" s="21" t="s">
        <v>227</v>
      </c>
      <c r="E110"/>
      <c r="F110"/>
      <c r="G110"/>
      <c r="H110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>
      <c r="A111" s="22">
        <v>14</v>
      </c>
      <c r="B111" s="21" t="s">
        <v>605</v>
      </c>
      <c r="C111" s="21">
        <v>1</v>
      </c>
      <c r="D111" s="21" t="s">
        <v>110</v>
      </c>
      <c r="E111"/>
      <c r="F111"/>
      <c r="G111"/>
      <c r="H111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spans="1:18">
      <c r="A112" s="22">
        <v>14</v>
      </c>
      <c r="B112" s="21" t="s">
        <v>605</v>
      </c>
      <c r="C112" s="21">
        <v>2</v>
      </c>
      <c r="D112" s="21" t="s">
        <v>119</v>
      </c>
      <c r="E112"/>
      <c r="F112"/>
      <c r="G112"/>
      <c r="H112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spans="1:18">
      <c r="A113" s="22">
        <v>14</v>
      </c>
      <c r="B113" s="21" t="s">
        <v>606</v>
      </c>
      <c r="C113" s="21">
        <v>1</v>
      </c>
      <c r="D113" s="21" t="s">
        <v>232</v>
      </c>
      <c r="E113"/>
      <c r="F113"/>
      <c r="G113"/>
      <c r="H113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>
      <c r="A114" s="22">
        <v>14</v>
      </c>
      <c r="B114" s="21" t="s">
        <v>606</v>
      </c>
      <c r="C114" s="21">
        <v>2</v>
      </c>
      <c r="D114" s="21" t="s">
        <v>20</v>
      </c>
      <c r="E114"/>
      <c r="F114"/>
      <c r="G114"/>
      <c r="H1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>
      <c r="A115" s="22">
        <v>14</v>
      </c>
      <c r="B115" s="21" t="s">
        <v>606</v>
      </c>
      <c r="C115" s="21">
        <v>3</v>
      </c>
      <c r="D115" s="21" t="s">
        <v>235</v>
      </c>
      <c r="E115"/>
      <c r="F115"/>
      <c r="G115"/>
      <c r="H115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>
      <c r="A116" s="23">
        <v>15</v>
      </c>
      <c r="B116" s="24" t="s">
        <v>604</v>
      </c>
      <c r="C116" s="24">
        <v>1</v>
      </c>
      <c r="D116" s="24" t="s">
        <v>120</v>
      </c>
      <c r="E116"/>
      <c r="F116"/>
      <c r="G116"/>
      <c r="H116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>
      <c r="A117" s="23">
        <v>15</v>
      </c>
      <c r="B117" s="24" t="s">
        <v>604</v>
      </c>
      <c r="C117" s="24">
        <v>2</v>
      </c>
      <c r="D117" s="24" t="s">
        <v>96</v>
      </c>
      <c r="E117"/>
      <c r="F117"/>
      <c r="G117"/>
      <c r="H117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spans="1:18">
      <c r="A118" s="23">
        <v>15</v>
      </c>
      <c r="B118" s="24" t="s">
        <v>605</v>
      </c>
      <c r="C118" s="24">
        <v>1</v>
      </c>
      <c r="D118" s="24" t="s">
        <v>87</v>
      </c>
      <c r="E118"/>
      <c r="F118"/>
      <c r="G118"/>
      <c r="H118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1:18">
      <c r="A119" s="23">
        <v>15</v>
      </c>
      <c r="B119" s="24" t="s">
        <v>605</v>
      </c>
      <c r="C119" s="24">
        <v>2</v>
      </c>
      <c r="D119" s="24" t="s">
        <v>229</v>
      </c>
      <c r="E119"/>
      <c r="F119"/>
      <c r="G119"/>
      <c r="H119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>
      <c r="A120" s="23">
        <v>15</v>
      </c>
      <c r="B120" s="24" t="s">
        <v>605</v>
      </c>
      <c r="C120" s="24">
        <v>3</v>
      </c>
      <c r="D120" s="24" t="s">
        <v>228</v>
      </c>
      <c r="E120"/>
      <c r="F120"/>
      <c r="G120"/>
      <c r="H120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spans="1:18">
      <c r="A121" s="23">
        <v>15</v>
      </c>
      <c r="B121" s="24" t="s">
        <v>606</v>
      </c>
      <c r="C121" s="24">
        <v>1</v>
      </c>
      <c r="D121" s="24" t="s">
        <v>23</v>
      </c>
      <c r="E121"/>
      <c r="F121"/>
      <c r="G121"/>
      <c r="H121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>
      <c r="A122" s="23">
        <v>15</v>
      </c>
      <c r="B122" s="24" t="s">
        <v>606</v>
      </c>
      <c r="C122" s="24">
        <v>2</v>
      </c>
      <c r="D122" s="24" t="s">
        <v>97</v>
      </c>
      <c r="E122"/>
      <c r="F122"/>
      <c r="G122"/>
      <c r="H122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>
      <c r="A123" s="23">
        <v>15</v>
      </c>
      <c r="B123" s="24" t="s">
        <v>606</v>
      </c>
      <c r="C123" s="24">
        <v>3</v>
      </c>
      <c r="D123" s="24" t="s">
        <v>104</v>
      </c>
      <c r="E123"/>
      <c r="F123"/>
      <c r="G123"/>
      <c r="H123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spans="1:18">
      <c r="A124" s="22">
        <v>16</v>
      </c>
      <c r="B124" s="21" t="s">
        <v>604</v>
      </c>
      <c r="C124" s="21">
        <v>1</v>
      </c>
      <c r="D124" s="21" t="s">
        <v>121</v>
      </c>
      <c r="E124"/>
      <c r="F124"/>
      <c r="G124"/>
      <c r="H12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spans="1:18">
      <c r="A125" s="22">
        <v>16</v>
      </c>
      <c r="B125" s="21" t="s">
        <v>604</v>
      </c>
      <c r="C125" s="21">
        <v>2</v>
      </c>
      <c r="D125" s="21" t="s">
        <v>26</v>
      </c>
      <c r="E125"/>
      <c r="F125"/>
      <c r="G125"/>
      <c r="H125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>
      <c r="A126" s="22">
        <v>16</v>
      </c>
      <c r="B126" s="21" t="s">
        <v>604</v>
      </c>
      <c r="C126" s="21">
        <v>3</v>
      </c>
      <c r="D126" s="21" t="s">
        <v>230</v>
      </c>
      <c r="E126"/>
      <c r="F126"/>
      <c r="G126"/>
      <c r="H126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spans="1:18">
      <c r="A127" s="22">
        <v>16</v>
      </c>
      <c r="B127" s="21" t="s">
        <v>605</v>
      </c>
      <c r="C127" s="21">
        <v>1</v>
      </c>
      <c r="D127" s="21" t="s">
        <v>91</v>
      </c>
      <c r="E127"/>
      <c r="F127"/>
      <c r="G127"/>
      <c r="H127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spans="1:18">
      <c r="A128" s="22">
        <v>16</v>
      </c>
      <c r="B128" s="21" t="s">
        <v>605</v>
      </c>
      <c r="C128" s="21">
        <v>2</v>
      </c>
      <c r="D128" s="21" t="s">
        <v>122</v>
      </c>
      <c r="E128"/>
      <c r="F128"/>
      <c r="G128"/>
      <c r="H128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>
      <c r="A129" s="22">
        <v>16</v>
      </c>
      <c r="B129" s="21" t="s">
        <v>605</v>
      </c>
      <c r="C129" s="21">
        <v>3</v>
      </c>
      <c r="D129" s="21" t="s">
        <v>442</v>
      </c>
      <c r="E129"/>
      <c r="F129"/>
      <c r="G129"/>
      <c r="H129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spans="1:18">
      <c r="A130" s="22">
        <v>16</v>
      </c>
      <c r="B130" s="21" t="s">
        <v>606</v>
      </c>
      <c r="C130" s="21">
        <v>1</v>
      </c>
      <c r="D130" s="21" t="s">
        <v>88</v>
      </c>
      <c r="E130"/>
      <c r="F130"/>
      <c r="G130"/>
      <c r="H130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spans="1:18">
      <c r="A131" s="22">
        <v>16</v>
      </c>
      <c r="B131" s="21" t="s">
        <v>606</v>
      </c>
      <c r="C131" s="21">
        <v>2</v>
      </c>
      <c r="D131" s="21" t="s">
        <v>77</v>
      </c>
      <c r="E131"/>
      <c r="F131"/>
      <c r="G131"/>
      <c r="H131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>
      <c r="A132" s="23">
        <v>17</v>
      </c>
      <c r="B132" s="24" t="s">
        <v>604</v>
      </c>
      <c r="C132" s="24">
        <v>1</v>
      </c>
      <c r="D132" s="24" t="s">
        <v>78</v>
      </c>
      <c r="E132"/>
      <c r="F132"/>
      <c r="G132"/>
      <c r="H132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spans="1:18">
      <c r="A133" s="23">
        <v>17</v>
      </c>
      <c r="B133" s="24" t="s">
        <v>604</v>
      </c>
      <c r="C133" s="24">
        <v>2</v>
      </c>
      <c r="D133" s="24" t="s">
        <v>84</v>
      </c>
      <c r="E133"/>
      <c r="F133"/>
      <c r="G133"/>
      <c r="H133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>
      <c r="A134" s="23">
        <v>17</v>
      </c>
      <c r="B134" s="24" t="s">
        <v>604</v>
      </c>
      <c r="C134" s="24">
        <v>3</v>
      </c>
      <c r="D134" s="24" t="s">
        <v>443</v>
      </c>
      <c r="E134"/>
      <c r="F134"/>
      <c r="G134"/>
      <c r="H13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spans="1:18">
      <c r="A135" s="23">
        <v>17</v>
      </c>
      <c r="B135" s="24" t="s">
        <v>605</v>
      </c>
      <c r="C135" s="24">
        <v>1</v>
      </c>
      <c r="D135" s="24" t="s">
        <v>123</v>
      </c>
      <c r="E135"/>
      <c r="F135"/>
      <c r="G135"/>
      <c r="H135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>
      <c r="A136" s="23">
        <v>17</v>
      </c>
      <c r="B136" s="24" t="s">
        <v>605</v>
      </c>
      <c r="C136" s="24">
        <v>2</v>
      </c>
      <c r="D136" s="24" t="s">
        <v>70</v>
      </c>
      <c r="E136"/>
      <c r="F136"/>
      <c r="G136"/>
      <c r="H136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>
      <c r="A137" s="23">
        <v>17</v>
      </c>
      <c r="B137" s="24" t="s">
        <v>605</v>
      </c>
      <c r="C137" s="24">
        <v>3</v>
      </c>
      <c r="D137" s="24" t="s">
        <v>29</v>
      </c>
      <c r="E137"/>
      <c r="F137"/>
      <c r="G137"/>
      <c r="H137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>
      <c r="A138" s="23">
        <v>17</v>
      </c>
      <c r="B138" s="24" t="s">
        <v>606</v>
      </c>
      <c r="C138" s="24">
        <v>1</v>
      </c>
      <c r="D138" s="24" t="s">
        <v>445</v>
      </c>
      <c r="E138"/>
      <c r="F138"/>
      <c r="G138"/>
      <c r="H138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spans="1:18">
      <c r="A139" s="23">
        <v>17</v>
      </c>
      <c r="B139" s="24" t="s">
        <v>606</v>
      </c>
      <c r="C139" s="24">
        <v>2</v>
      </c>
      <c r="D139" s="24" t="s">
        <v>444</v>
      </c>
      <c r="E139"/>
      <c r="F139"/>
      <c r="G139"/>
      <c r="H139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>
      <c r="A140"/>
      <c r="B140"/>
      <c r="C140"/>
      <c r="D140"/>
      <c r="E140"/>
      <c r="F140"/>
      <c r="G140"/>
      <c r="H140"/>
    </row>
    <row r="141" spans="1:18">
      <c r="A141"/>
      <c r="B141"/>
      <c r="C141"/>
      <c r="D141"/>
      <c r="E141"/>
      <c r="F141"/>
      <c r="G141"/>
      <c r="H141"/>
    </row>
    <row r="142" spans="1:18" ht="15.5">
      <c r="A142"/>
      <c r="B142" s="41" t="s">
        <v>858</v>
      </c>
      <c r="C142" s="41"/>
      <c r="D142" s="41"/>
      <c r="E142" s="41"/>
      <c r="F142" s="41"/>
      <c r="G142" s="41"/>
      <c r="H142"/>
    </row>
    <row r="143" spans="1:18">
      <c r="A143"/>
      <c r="B143" s="42" t="s">
        <v>608</v>
      </c>
      <c r="C143" s="43" t="s">
        <v>859</v>
      </c>
      <c r="D143" s="43"/>
      <c r="E143" s="43"/>
      <c r="F143" s="43" t="s">
        <v>610</v>
      </c>
      <c r="G143" s="43"/>
      <c r="H143"/>
    </row>
    <row r="144" spans="1:18">
      <c r="A144"/>
      <c r="B144" s="44">
        <v>1</v>
      </c>
      <c r="C144" s="45" t="s">
        <v>860</v>
      </c>
      <c r="D144" s="45"/>
      <c r="E144" s="45"/>
      <c r="F144" s="45" t="s">
        <v>611</v>
      </c>
      <c r="G144" s="45"/>
      <c r="H144"/>
    </row>
    <row r="145" spans="1:8">
      <c r="A145"/>
      <c r="B145" s="44">
        <v>2</v>
      </c>
      <c r="C145" s="45" t="s">
        <v>861</v>
      </c>
      <c r="D145" s="45"/>
      <c r="E145" s="45"/>
      <c r="F145" s="45" t="s">
        <v>611</v>
      </c>
      <c r="G145" s="45"/>
      <c r="H145"/>
    </row>
    <row r="146" spans="1:8">
      <c r="A146"/>
      <c r="B146" s="44">
        <v>3</v>
      </c>
      <c r="C146" s="45" t="s">
        <v>862</v>
      </c>
      <c r="D146" s="45"/>
      <c r="E146" s="45"/>
      <c r="F146" s="45" t="s">
        <v>611</v>
      </c>
      <c r="G146" s="45"/>
      <c r="H146"/>
    </row>
    <row r="147" spans="1:8">
      <c r="A147"/>
      <c r="B147" s="44">
        <v>4</v>
      </c>
      <c r="C147" s="45" t="s">
        <v>863</v>
      </c>
      <c r="D147" s="45"/>
      <c r="E147" s="45"/>
      <c r="F147" s="45" t="s">
        <v>613</v>
      </c>
      <c r="G147" s="45"/>
      <c r="H147"/>
    </row>
    <row r="148" spans="1:8">
      <c r="A148"/>
      <c r="B148" s="44">
        <v>5</v>
      </c>
      <c r="C148" s="45" t="s">
        <v>864</v>
      </c>
      <c r="D148" s="45"/>
      <c r="E148" s="45"/>
      <c r="F148" s="45" t="s">
        <v>613</v>
      </c>
      <c r="G148" s="45"/>
      <c r="H148"/>
    </row>
    <row r="149" spans="1:8">
      <c r="A149"/>
      <c r="B149" s="44">
        <v>6</v>
      </c>
      <c r="C149" s="45" t="s">
        <v>865</v>
      </c>
      <c r="D149" s="45"/>
      <c r="E149" s="45"/>
      <c r="F149" s="45" t="s">
        <v>613</v>
      </c>
      <c r="G149" s="45"/>
      <c r="H149"/>
    </row>
    <row r="150" spans="1:8">
      <c r="A150"/>
      <c r="B150" s="44">
        <v>7</v>
      </c>
      <c r="C150" s="45" t="s">
        <v>866</v>
      </c>
      <c r="D150" s="45"/>
      <c r="E150" s="45"/>
      <c r="F150" s="45" t="s">
        <v>613</v>
      </c>
      <c r="G150" s="45"/>
      <c r="H150"/>
    </row>
    <row r="151" spans="1:8">
      <c r="A151"/>
      <c r="B151" s="44">
        <v>8</v>
      </c>
      <c r="C151" s="45" t="s">
        <v>867</v>
      </c>
      <c r="D151" s="45"/>
      <c r="E151" s="45"/>
      <c r="F151" s="45" t="s">
        <v>613</v>
      </c>
      <c r="G151" s="45"/>
      <c r="H151"/>
    </row>
    <row r="152" spans="1:8">
      <c r="A152"/>
      <c r="B152" s="44">
        <v>9</v>
      </c>
      <c r="C152" s="45" t="s">
        <v>868</v>
      </c>
      <c r="D152" s="45"/>
      <c r="E152" s="45"/>
      <c r="F152" s="45" t="s">
        <v>613</v>
      </c>
      <c r="G152" s="45"/>
      <c r="H152"/>
    </row>
    <row r="153" spans="1:8">
      <c r="A153"/>
      <c r="B153" s="44">
        <v>10</v>
      </c>
      <c r="C153" s="45" t="s">
        <v>869</v>
      </c>
      <c r="D153" s="45"/>
      <c r="E153" s="45"/>
      <c r="F153" s="45" t="s">
        <v>613</v>
      </c>
      <c r="G153" s="45"/>
      <c r="H153"/>
    </row>
    <row r="154" spans="1:8">
      <c r="A154"/>
      <c r="B154" s="44">
        <v>11</v>
      </c>
      <c r="C154" s="45" t="s">
        <v>870</v>
      </c>
      <c r="D154" s="45"/>
      <c r="E154" s="45"/>
      <c r="F154" s="45" t="s">
        <v>613</v>
      </c>
      <c r="G154" s="45"/>
      <c r="H154"/>
    </row>
    <row r="155" spans="1:8">
      <c r="A155"/>
      <c r="B155" s="44">
        <v>12</v>
      </c>
      <c r="C155" s="45" t="s">
        <v>871</v>
      </c>
      <c r="D155" s="45"/>
      <c r="E155" s="45"/>
      <c r="F155" s="45" t="s">
        <v>613</v>
      </c>
      <c r="G155" s="45"/>
      <c r="H155"/>
    </row>
    <row r="156" spans="1:8">
      <c r="A156"/>
      <c r="B156" s="44">
        <v>13</v>
      </c>
      <c r="C156" s="45" t="s">
        <v>872</v>
      </c>
      <c r="D156" s="45"/>
      <c r="E156" s="45"/>
      <c r="F156" s="45" t="s">
        <v>613</v>
      </c>
      <c r="G156" s="45"/>
      <c r="H156"/>
    </row>
    <row r="157" spans="1:8">
      <c r="A157"/>
      <c r="B157" s="44">
        <v>14</v>
      </c>
      <c r="C157" s="45" t="s">
        <v>873</v>
      </c>
      <c r="D157" s="45"/>
      <c r="E157" s="45"/>
      <c r="F157" s="45" t="s">
        <v>615</v>
      </c>
      <c r="G157" s="45"/>
      <c r="H157"/>
    </row>
    <row r="158" spans="1:8">
      <c r="A158"/>
      <c r="B158" s="44">
        <v>15</v>
      </c>
      <c r="C158" s="45" t="s">
        <v>874</v>
      </c>
      <c r="D158" s="45"/>
      <c r="E158" s="45"/>
      <c r="F158" s="45" t="s">
        <v>615</v>
      </c>
      <c r="G158" s="45"/>
      <c r="H158"/>
    </row>
    <row r="159" spans="1:8">
      <c r="A159"/>
      <c r="B159" s="44">
        <v>16</v>
      </c>
      <c r="C159" s="45" t="s">
        <v>875</v>
      </c>
      <c r="D159" s="45"/>
      <c r="E159" s="45"/>
      <c r="F159" s="45" t="s">
        <v>615</v>
      </c>
      <c r="G159" s="45"/>
      <c r="H159"/>
    </row>
    <row r="160" spans="1:8">
      <c r="A160"/>
      <c r="B160" s="44">
        <v>17</v>
      </c>
      <c r="C160" s="45" t="s">
        <v>876</v>
      </c>
      <c r="D160" s="45"/>
      <c r="E160" s="45"/>
      <c r="F160" s="45" t="s">
        <v>615</v>
      </c>
      <c r="G160" s="45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  <row r="764" s="9" customFormat="1"/>
    <row r="765" s="9" customFormat="1"/>
    <row r="766" s="9" customFormat="1"/>
    <row r="767" s="9" customFormat="1"/>
    <row r="768" s="9" customFormat="1"/>
    <row r="769" s="9" customFormat="1"/>
    <row r="770" s="9" customFormat="1"/>
    <row r="771" s="9" customFormat="1"/>
    <row r="772" s="9" customFormat="1"/>
    <row r="773" s="9" customFormat="1"/>
    <row r="774" s="9" customFormat="1"/>
    <row r="775" s="9" customFormat="1"/>
    <row r="776" s="9" customFormat="1"/>
    <row r="777" s="9" customFormat="1"/>
    <row r="778" s="9" customFormat="1"/>
    <row r="779" s="9" customFormat="1"/>
    <row r="780" s="9" customFormat="1"/>
  </sheetData>
  <mergeCells count="38">
    <mergeCell ref="C160:E160"/>
    <mergeCell ref="F160:G160"/>
    <mergeCell ref="C157:E157"/>
    <mergeCell ref="F157:G157"/>
    <mergeCell ref="C158:E158"/>
    <mergeCell ref="F158:G158"/>
    <mergeCell ref="C159:E159"/>
    <mergeCell ref="F159:G159"/>
    <mergeCell ref="C154:E154"/>
    <mergeCell ref="F154:G154"/>
    <mergeCell ref="C155:E155"/>
    <mergeCell ref="F155:G155"/>
    <mergeCell ref="C156:E156"/>
    <mergeCell ref="F156:G156"/>
    <mergeCell ref="C151:E151"/>
    <mergeCell ref="F151:G151"/>
    <mergeCell ref="C152:E152"/>
    <mergeCell ref="F152:G152"/>
    <mergeCell ref="C153:E153"/>
    <mergeCell ref="F153:G153"/>
    <mergeCell ref="C148:E148"/>
    <mergeCell ref="F148:G148"/>
    <mergeCell ref="C149:E149"/>
    <mergeCell ref="F149:G149"/>
    <mergeCell ref="C150:E150"/>
    <mergeCell ref="F150:G150"/>
    <mergeCell ref="C145:E145"/>
    <mergeCell ref="F145:G145"/>
    <mergeCell ref="C146:E146"/>
    <mergeCell ref="F146:G146"/>
    <mergeCell ref="C147:E147"/>
    <mergeCell ref="F147:G147"/>
    <mergeCell ref="A1:D1"/>
    <mergeCell ref="B142:G142"/>
    <mergeCell ref="C143:E143"/>
    <mergeCell ref="F143:G143"/>
    <mergeCell ref="C144:E144"/>
    <mergeCell ref="F144:G1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5753-1A15-47F4-AB9E-1A6C10131DD3}">
  <dimension ref="A1:AB256"/>
  <sheetViews>
    <sheetView showGridLines="0" rightToLeft="1" topLeftCell="R1" workbookViewId="0">
      <pane ySplit="3" topLeftCell="A235" activePane="bottomLeft" state="frozen"/>
      <selection pane="bottomLeft" activeCell="M251" sqref="J251:N254"/>
    </sheetView>
  </sheetViews>
  <sheetFormatPr defaultRowHeight="14.5"/>
  <cols>
    <col min="1" max="1" width="10" customWidth="1"/>
    <col min="2" max="2" width="20" customWidth="1"/>
    <col min="3" max="3" width="10" customWidth="1"/>
    <col min="4" max="4" width="12.7265625" customWidth="1"/>
    <col min="5" max="5" width="40" customWidth="1"/>
    <col min="6" max="7" width="15.453125" customWidth="1"/>
    <col min="8" max="8" width="4.54296875" customWidth="1"/>
    <col min="9" max="14" width="15.453125" customWidth="1"/>
    <col min="15" max="15" width="4.54296875" customWidth="1"/>
    <col min="16" max="21" width="15.453125" customWidth="1"/>
    <col min="22" max="22" width="4.54296875" customWidth="1"/>
    <col min="23" max="28" width="15.453125" customWidth="1"/>
  </cols>
  <sheetData>
    <row r="1" spans="1:5" ht="24" customHeight="1">
      <c r="A1" s="39" t="s">
        <v>537</v>
      </c>
      <c r="B1" s="39"/>
      <c r="C1" s="39"/>
      <c r="D1" s="39"/>
      <c r="E1" s="39"/>
    </row>
    <row r="2" spans="1:5" ht="12" customHeight="1">
      <c r="A2" s="19"/>
      <c r="B2" s="19"/>
      <c r="C2" s="19"/>
      <c r="D2" s="19"/>
      <c r="E2" s="19"/>
    </row>
    <row r="3" spans="1:5" ht="22" customHeight="1">
      <c r="A3" s="20" t="s">
        <v>12</v>
      </c>
      <c r="B3" s="20" t="s">
        <v>13</v>
      </c>
      <c r="C3" s="20" t="s">
        <v>14</v>
      </c>
      <c r="D3" s="20" t="s">
        <v>33</v>
      </c>
      <c r="E3" s="20" t="s">
        <v>15</v>
      </c>
    </row>
    <row r="4" spans="1:5">
      <c r="A4" s="23">
        <v>1</v>
      </c>
      <c r="B4" s="24" t="s">
        <v>604</v>
      </c>
      <c r="C4" s="24">
        <v>1</v>
      </c>
      <c r="D4" s="24">
        <v>3</v>
      </c>
      <c r="E4" s="24" t="s">
        <v>108</v>
      </c>
    </row>
    <row r="5" spans="1:5">
      <c r="A5" s="23">
        <v>1</v>
      </c>
      <c r="B5" s="24" t="s">
        <v>604</v>
      </c>
      <c r="C5" s="24">
        <v>2</v>
      </c>
      <c r="D5" s="24">
        <v>1</v>
      </c>
      <c r="E5" s="24" t="s">
        <v>19</v>
      </c>
    </row>
    <row r="6" spans="1:5">
      <c r="A6" s="23">
        <v>1</v>
      </c>
      <c r="B6" s="24" t="s">
        <v>604</v>
      </c>
      <c r="C6" s="24">
        <v>3</v>
      </c>
      <c r="D6" s="24">
        <v>4</v>
      </c>
      <c r="E6" s="24" t="s">
        <v>157</v>
      </c>
    </row>
    <row r="7" spans="1:5">
      <c r="A7" s="23">
        <v>1</v>
      </c>
      <c r="B7" s="24" t="s">
        <v>604</v>
      </c>
      <c r="C7" s="24">
        <v>4</v>
      </c>
      <c r="D7" s="24">
        <v>3</v>
      </c>
      <c r="E7" s="24" t="s">
        <v>117</v>
      </c>
    </row>
    <row r="8" spans="1:5">
      <c r="A8" s="23">
        <v>1</v>
      </c>
      <c r="B8" s="24" t="s">
        <v>605</v>
      </c>
      <c r="C8" s="24">
        <v>1</v>
      </c>
      <c r="D8" s="24">
        <v>3</v>
      </c>
      <c r="E8" s="24" t="s">
        <v>125</v>
      </c>
    </row>
    <row r="9" spans="1:5">
      <c r="A9" s="23">
        <v>1</v>
      </c>
      <c r="B9" s="24" t="s">
        <v>605</v>
      </c>
      <c r="C9" s="24">
        <v>2</v>
      </c>
      <c r="D9" s="24">
        <v>2</v>
      </c>
      <c r="E9" s="24" t="s">
        <v>62</v>
      </c>
    </row>
    <row r="10" spans="1:5">
      <c r="A10" s="23">
        <v>1</v>
      </c>
      <c r="B10" s="24" t="s">
        <v>605</v>
      </c>
      <c r="C10" s="24">
        <v>3</v>
      </c>
      <c r="D10" s="24">
        <v>2</v>
      </c>
      <c r="E10" s="24" t="s">
        <v>71</v>
      </c>
    </row>
    <row r="11" spans="1:5">
      <c r="A11" s="23">
        <v>1</v>
      </c>
      <c r="B11" s="24" t="s">
        <v>605</v>
      </c>
      <c r="C11" s="24">
        <v>4</v>
      </c>
      <c r="D11" s="24">
        <v>2</v>
      </c>
      <c r="E11" s="24" t="s">
        <v>79</v>
      </c>
    </row>
    <row r="12" spans="1:5">
      <c r="A12" s="23">
        <v>1</v>
      </c>
      <c r="B12" s="24" t="s">
        <v>606</v>
      </c>
      <c r="C12" s="24">
        <v>1</v>
      </c>
      <c r="D12" s="24">
        <v>1</v>
      </c>
      <c r="E12" s="24" t="s">
        <v>17</v>
      </c>
    </row>
    <row r="13" spans="1:5">
      <c r="A13" s="23">
        <v>1</v>
      </c>
      <c r="B13" s="24" t="s">
        <v>606</v>
      </c>
      <c r="C13" s="24">
        <v>2</v>
      </c>
      <c r="D13" s="24">
        <v>1</v>
      </c>
      <c r="E13" s="24" t="s">
        <v>18</v>
      </c>
    </row>
    <row r="14" spans="1:5">
      <c r="A14" s="23">
        <v>1</v>
      </c>
      <c r="B14" s="24" t="s">
        <v>606</v>
      </c>
      <c r="C14" s="24">
        <v>3</v>
      </c>
      <c r="D14" s="24">
        <v>4</v>
      </c>
      <c r="E14" s="24" t="s">
        <v>151</v>
      </c>
    </row>
    <row r="15" spans="1:5">
      <c r="A15" s="23">
        <v>1</v>
      </c>
      <c r="B15" s="24" t="s">
        <v>606</v>
      </c>
      <c r="C15" s="24">
        <v>4</v>
      </c>
      <c r="D15" s="24">
        <v>4</v>
      </c>
      <c r="E15" s="24" t="s">
        <v>145</v>
      </c>
    </row>
    <row r="16" spans="1:5">
      <c r="A16" s="22">
        <v>2</v>
      </c>
      <c r="B16" s="21" t="s">
        <v>604</v>
      </c>
      <c r="C16" s="21">
        <v>1</v>
      </c>
      <c r="D16" s="21">
        <v>1</v>
      </c>
      <c r="E16" s="21" t="s">
        <v>20</v>
      </c>
    </row>
    <row r="17" spans="1:5">
      <c r="A17" s="22">
        <v>2</v>
      </c>
      <c r="B17" s="21" t="s">
        <v>604</v>
      </c>
      <c r="C17" s="21">
        <v>2</v>
      </c>
      <c r="D17" s="21">
        <v>2</v>
      </c>
      <c r="E17" s="21" t="s">
        <v>54</v>
      </c>
    </row>
    <row r="18" spans="1:5">
      <c r="A18" s="22">
        <v>2</v>
      </c>
      <c r="B18" s="21" t="s">
        <v>604</v>
      </c>
      <c r="C18" s="21">
        <v>3</v>
      </c>
      <c r="D18" s="21">
        <v>4</v>
      </c>
      <c r="E18" s="21" t="s">
        <v>141</v>
      </c>
    </row>
    <row r="19" spans="1:5">
      <c r="A19" s="22">
        <v>2</v>
      </c>
      <c r="B19" s="21" t="s">
        <v>604</v>
      </c>
      <c r="C19" s="21">
        <v>4</v>
      </c>
      <c r="D19" s="21">
        <v>3</v>
      </c>
      <c r="E19" s="21" t="s">
        <v>113</v>
      </c>
    </row>
    <row r="20" spans="1:5">
      <c r="A20" s="22">
        <v>2</v>
      </c>
      <c r="B20" s="21" t="s">
        <v>605</v>
      </c>
      <c r="C20" s="21">
        <v>1</v>
      </c>
      <c r="D20" s="21">
        <v>1</v>
      </c>
      <c r="E20" s="21" t="s">
        <v>22</v>
      </c>
    </row>
    <row r="21" spans="1:5">
      <c r="A21" s="22">
        <v>2</v>
      </c>
      <c r="B21" s="21" t="s">
        <v>605</v>
      </c>
      <c r="C21" s="21">
        <v>2</v>
      </c>
      <c r="D21" s="21">
        <v>1</v>
      </c>
      <c r="E21" s="21" t="s">
        <v>227</v>
      </c>
    </row>
    <row r="22" spans="1:5">
      <c r="A22" s="22">
        <v>2</v>
      </c>
      <c r="B22" s="21" t="s">
        <v>605</v>
      </c>
      <c r="C22" s="21">
        <v>3</v>
      </c>
      <c r="D22" s="21">
        <v>4</v>
      </c>
      <c r="E22" s="21" t="s">
        <v>149</v>
      </c>
    </row>
    <row r="23" spans="1:5">
      <c r="A23" s="22">
        <v>2</v>
      </c>
      <c r="B23" s="21" t="s">
        <v>605</v>
      </c>
      <c r="C23" s="21">
        <v>4</v>
      </c>
      <c r="D23" s="21">
        <v>4</v>
      </c>
      <c r="E23" s="21" t="s">
        <v>268</v>
      </c>
    </row>
    <row r="24" spans="1:5">
      <c r="A24" s="22">
        <v>2</v>
      </c>
      <c r="B24" s="21" t="s">
        <v>606</v>
      </c>
      <c r="C24" s="21">
        <v>1</v>
      </c>
      <c r="D24" s="21">
        <v>2</v>
      </c>
      <c r="E24" s="21" t="s">
        <v>69</v>
      </c>
    </row>
    <row r="25" spans="1:5">
      <c r="A25" s="22">
        <v>2</v>
      </c>
      <c r="B25" s="21" t="s">
        <v>606</v>
      </c>
      <c r="C25" s="21">
        <v>2</v>
      </c>
      <c r="D25" s="21">
        <v>2</v>
      </c>
      <c r="E25" s="21" t="s">
        <v>248</v>
      </c>
    </row>
    <row r="26" spans="1:5">
      <c r="A26" s="22">
        <v>2</v>
      </c>
      <c r="B26" s="21" t="s">
        <v>606</v>
      </c>
      <c r="C26" s="21">
        <v>3</v>
      </c>
      <c r="D26" s="21">
        <v>3</v>
      </c>
      <c r="E26" s="21" t="s">
        <v>101</v>
      </c>
    </row>
    <row r="27" spans="1:5">
      <c r="A27" s="22">
        <v>2</v>
      </c>
      <c r="B27" s="21" t="s">
        <v>606</v>
      </c>
      <c r="C27" s="21">
        <v>4</v>
      </c>
      <c r="D27" s="21">
        <v>3</v>
      </c>
      <c r="E27" s="21" t="s">
        <v>260</v>
      </c>
    </row>
    <row r="28" spans="1:5">
      <c r="A28" s="23">
        <v>3</v>
      </c>
      <c r="B28" s="24" t="s">
        <v>604</v>
      </c>
      <c r="C28" s="24">
        <v>1</v>
      </c>
      <c r="D28" s="24">
        <v>1</v>
      </c>
      <c r="E28" s="24" t="s">
        <v>229</v>
      </c>
    </row>
    <row r="29" spans="1:5">
      <c r="A29" s="23">
        <v>3</v>
      </c>
      <c r="B29" s="24" t="s">
        <v>604</v>
      </c>
      <c r="C29" s="24">
        <v>2</v>
      </c>
      <c r="D29" s="24">
        <v>2</v>
      </c>
      <c r="E29" s="24" t="s">
        <v>63</v>
      </c>
    </row>
    <row r="30" spans="1:5">
      <c r="A30" s="23">
        <v>3</v>
      </c>
      <c r="B30" s="24" t="s">
        <v>604</v>
      </c>
      <c r="C30" s="24">
        <v>3</v>
      </c>
      <c r="D30" s="24">
        <v>3</v>
      </c>
      <c r="E30" s="24" t="s">
        <v>261</v>
      </c>
    </row>
    <row r="31" spans="1:5">
      <c r="A31" s="23">
        <v>3</v>
      </c>
      <c r="B31" s="24" t="s">
        <v>604</v>
      </c>
      <c r="C31" s="24">
        <v>4</v>
      </c>
      <c r="D31" s="24">
        <v>4</v>
      </c>
      <c r="E31" s="24" t="s">
        <v>146</v>
      </c>
    </row>
    <row r="32" spans="1:5">
      <c r="A32" s="23">
        <v>3</v>
      </c>
      <c r="B32" s="24" t="s">
        <v>605</v>
      </c>
      <c r="C32" s="24">
        <v>1</v>
      </c>
      <c r="D32" s="24">
        <v>2</v>
      </c>
      <c r="E32" s="24" t="s">
        <v>239</v>
      </c>
    </row>
    <row r="33" spans="1:5">
      <c r="A33" s="23">
        <v>3</v>
      </c>
      <c r="B33" s="24" t="s">
        <v>605</v>
      </c>
      <c r="C33" s="24">
        <v>2</v>
      </c>
      <c r="D33" s="24">
        <v>3</v>
      </c>
      <c r="E33" s="24" t="s">
        <v>257</v>
      </c>
    </row>
    <row r="34" spans="1:5">
      <c r="A34" s="23">
        <v>3</v>
      </c>
      <c r="B34" s="24" t="s">
        <v>605</v>
      </c>
      <c r="C34" s="24">
        <v>3</v>
      </c>
      <c r="D34" s="24">
        <v>4</v>
      </c>
      <c r="E34" s="24" t="s">
        <v>279</v>
      </c>
    </row>
    <row r="35" spans="1:5">
      <c r="A35" s="23">
        <v>3</v>
      </c>
      <c r="B35" s="24" t="s">
        <v>605</v>
      </c>
      <c r="C35" s="24">
        <v>4</v>
      </c>
      <c r="D35" s="24">
        <v>3</v>
      </c>
      <c r="E35" s="24" t="s">
        <v>109</v>
      </c>
    </row>
    <row r="36" spans="1:5">
      <c r="A36" s="23">
        <v>3</v>
      </c>
      <c r="B36" s="24" t="s">
        <v>606</v>
      </c>
      <c r="C36" s="24">
        <v>1</v>
      </c>
      <c r="D36" s="24">
        <v>1</v>
      </c>
      <c r="E36" s="24" t="s">
        <v>23</v>
      </c>
    </row>
    <row r="37" spans="1:5">
      <c r="A37" s="23">
        <v>3</v>
      </c>
      <c r="B37" s="24" t="s">
        <v>606</v>
      </c>
      <c r="C37" s="24">
        <v>2</v>
      </c>
      <c r="D37" s="24">
        <v>2</v>
      </c>
      <c r="E37" s="24" t="s">
        <v>296</v>
      </c>
    </row>
    <row r="38" spans="1:5">
      <c r="A38" s="23">
        <v>3</v>
      </c>
      <c r="B38" s="24" t="s">
        <v>606</v>
      </c>
      <c r="C38" s="24">
        <v>3</v>
      </c>
      <c r="D38" s="24">
        <v>1</v>
      </c>
      <c r="E38" s="24" t="s">
        <v>228</v>
      </c>
    </row>
    <row r="39" spans="1:5">
      <c r="A39" s="23">
        <v>3</v>
      </c>
      <c r="B39" s="24" t="s">
        <v>606</v>
      </c>
      <c r="C39" s="24">
        <v>4</v>
      </c>
      <c r="D39" s="24">
        <v>4</v>
      </c>
      <c r="E39" s="24" t="s">
        <v>270</v>
      </c>
    </row>
    <row r="40" spans="1:5">
      <c r="A40" s="22">
        <v>4</v>
      </c>
      <c r="B40" s="21" t="s">
        <v>604</v>
      </c>
      <c r="C40" s="21">
        <v>1</v>
      </c>
      <c r="D40" s="21">
        <v>1</v>
      </c>
      <c r="E40" s="21" t="s">
        <v>230</v>
      </c>
    </row>
    <row r="41" spans="1:5">
      <c r="A41" s="22">
        <v>4</v>
      </c>
      <c r="B41" s="21" t="s">
        <v>604</v>
      </c>
      <c r="C41" s="21">
        <v>2</v>
      </c>
      <c r="D41" s="21">
        <v>2</v>
      </c>
      <c r="E41" s="21" t="s">
        <v>77</v>
      </c>
    </row>
    <row r="42" spans="1:5">
      <c r="A42" s="22">
        <v>4</v>
      </c>
      <c r="B42" s="21" t="s">
        <v>604</v>
      </c>
      <c r="C42" s="21">
        <v>3</v>
      </c>
      <c r="D42" s="21">
        <v>2</v>
      </c>
      <c r="E42" s="21" t="s">
        <v>51</v>
      </c>
    </row>
    <row r="43" spans="1:5">
      <c r="A43" s="22">
        <v>4</v>
      </c>
      <c r="B43" s="21" t="s">
        <v>604</v>
      </c>
      <c r="C43" s="21">
        <v>4</v>
      </c>
      <c r="D43" s="21">
        <v>4</v>
      </c>
      <c r="E43" s="21" t="s">
        <v>282</v>
      </c>
    </row>
    <row r="44" spans="1:5">
      <c r="A44" s="22">
        <v>4</v>
      </c>
      <c r="B44" s="21" t="s">
        <v>605</v>
      </c>
      <c r="C44" s="21">
        <v>1</v>
      </c>
      <c r="D44" s="21">
        <v>1</v>
      </c>
      <c r="E44" s="21" t="s">
        <v>28</v>
      </c>
    </row>
    <row r="45" spans="1:5">
      <c r="A45" s="22">
        <v>4</v>
      </c>
      <c r="B45" s="21" t="s">
        <v>605</v>
      </c>
      <c r="C45" s="21">
        <v>2</v>
      </c>
      <c r="D45" s="21">
        <v>1</v>
      </c>
      <c r="E45" s="21" t="s">
        <v>26</v>
      </c>
    </row>
    <row r="46" spans="1:5">
      <c r="A46" s="22">
        <v>4</v>
      </c>
      <c r="B46" s="21" t="s">
        <v>605</v>
      </c>
      <c r="C46" s="21">
        <v>3</v>
      </c>
      <c r="D46" s="21">
        <v>2</v>
      </c>
      <c r="E46" s="21" t="s">
        <v>240</v>
      </c>
    </row>
    <row r="47" spans="1:5">
      <c r="A47" s="22">
        <v>4</v>
      </c>
      <c r="B47" s="21" t="s">
        <v>605</v>
      </c>
      <c r="C47" s="21">
        <v>4</v>
      </c>
      <c r="D47" s="21">
        <v>4</v>
      </c>
      <c r="E47" s="21" t="s">
        <v>140</v>
      </c>
    </row>
    <row r="48" spans="1:5">
      <c r="A48" s="22">
        <v>4</v>
      </c>
      <c r="B48" s="21" t="s">
        <v>606</v>
      </c>
      <c r="C48" s="21">
        <v>1</v>
      </c>
      <c r="D48" s="21">
        <v>3</v>
      </c>
      <c r="E48" s="21" t="s">
        <v>99</v>
      </c>
    </row>
    <row r="49" spans="1:5">
      <c r="A49" s="22">
        <v>4</v>
      </c>
      <c r="B49" s="21" t="s">
        <v>606</v>
      </c>
      <c r="C49" s="21">
        <v>2</v>
      </c>
      <c r="D49" s="21">
        <v>3</v>
      </c>
      <c r="E49" s="21" t="s">
        <v>128</v>
      </c>
    </row>
    <row r="50" spans="1:5">
      <c r="A50" s="22">
        <v>4</v>
      </c>
      <c r="B50" s="21" t="s">
        <v>606</v>
      </c>
      <c r="C50" s="21">
        <v>3</v>
      </c>
      <c r="D50" s="21">
        <v>4</v>
      </c>
      <c r="E50" s="21" t="s">
        <v>155</v>
      </c>
    </row>
    <row r="51" spans="1:5">
      <c r="A51" s="22">
        <v>4</v>
      </c>
      <c r="B51" s="21" t="s">
        <v>606</v>
      </c>
      <c r="C51" s="21">
        <v>4</v>
      </c>
      <c r="D51" s="21">
        <v>3</v>
      </c>
      <c r="E51" s="21" t="s">
        <v>254</v>
      </c>
    </row>
    <row r="52" spans="1:5">
      <c r="A52" s="23">
        <v>5</v>
      </c>
      <c r="B52" s="24" t="s">
        <v>604</v>
      </c>
      <c r="C52" s="24">
        <v>1</v>
      </c>
      <c r="D52" s="24">
        <v>1</v>
      </c>
      <c r="E52" s="24" t="s">
        <v>30</v>
      </c>
    </row>
    <row r="53" spans="1:5">
      <c r="A53" s="23">
        <v>5</v>
      </c>
      <c r="B53" s="24" t="s">
        <v>604</v>
      </c>
      <c r="C53" s="24">
        <v>2</v>
      </c>
      <c r="D53" s="24">
        <v>3</v>
      </c>
      <c r="E53" s="24" t="s">
        <v>116</v>
      </c>
    </row>
    <row r="54" spans="1:5">
      <c r="A54" s="23">
        <v>5</v>
      </c>
      <c r="B54" s="24" t="s">
        <v>604</v>
      </c>
      <c r="C54" s="24">
        <v>3</v>
      </c>
      <c r="D54" s="24">
        <v>3</v>
      </c>
      <c r="E54" s="24" t="s">
        <v>95</v>
      </c>
    </row>
    <row r="55" spans="1:5">
      <c r="A55" s="23">
        <v>5</v>
      </c>
      <c r="B55" s="24" t="s">
        <v>604</v>
      </c>
      <c r="C55" s="24">
        <v>4</v>
      </c>
      <c r="D55" s="24">
        <v>4</v>
      </c>
      <c r="E55" s="24" t="s">
        <v>156</v>
      </c>
    </row>
    <row r="56" spans="1:5">
      <c r="A56" s="23">
        <v>5</v>
      </c>
      <c r="B56" s="24" t="s">
        <v>605</v>
      </c>
      <c r="C56" s="24">
        <v>1</v>
      </c>
      <c r="D56" s="24">
        <v>2</v>
      </c>
      <c r="E56" s="24" t="s">
        <v>70</v>
      </c>
    </row>
    <row r="57" spans="1:5">
      <c r="A57" s="23">
        <v>5</v>
      </c>
      <c r="B57" s="24" t="s">
        <v>605</v>
      </c>
      <c r="C57" s="24">
        <v>2</v>
      </c>
      <c r="D57" s="24">
        <v>3</v>
      </c>
      <c r="E57" s="24" t="s">
        <v>129</v>
      </c>
    </row>
    <row r="58" spans="1:5">
      <c r="A58" s="23">
        <v>5</v>
      </c>
      <c r="B58" s="24" t="s">
        <v>605</v>
      </c>
      <c r="C58" s="24">
        <v>3</v>
      </c>
      <c r="D58" s="24">
        <v>2</v>
      </c>
      <c r="E58" s="24" t="s">
        <v>78</v>
      </c>
    </row>
    <row r="59" spans="1:5">
      <c r="A59" s="23">
        <v>5</v>
      </c>
      <c r="B59" s="24" t="s">
        <v>605</v>
      </c>
      <c r="C59" s="24">
        <v>4</v>
      </c>
      <c r="D59" s="24">
        <v>2</v>
      </c>
      <c r="E59" s="24" t="s">
        <v>46</v>
      </c>
    </row>
    <row r="60" spans="1:5">
      <c r="A60" s="23">
        <v>5</v>
      </c>
      <c r="B60" s="24" t="s">
        <v>606</v>
      </c>
      <c r="C60" s="24">
        <v>1</v>
      </c>
      <c r="D60" s="24">
        <v>1</v>
      </c>
      <c r="E60" s="24" t="s">
        <v>31</v>
      </c>
    </row>
    <row r="61" spans="1:5">
      <c r="A61" s="23">
        <v>5</v>
      </c>
      <c r="B61" s="24" t="s">
        <v>606</v>
      </c>
      <c r="C61" s="24">
        <v>2</v>
      </c>
      <c r="D61" s="24">
        <v>1</v>
      </c>
      <c r="E61" s="24" t="s">
        <v>29</v>
      </c>
    </row>
    <row r="62" spans="1:5">
      <c r="A62" s="23">
        <v>5</v>
      </c>
      <c r="B62" s="24" t="s">
        <v>606</v>
      </c>
      <c r="C62" s="24">
        <v>3</v>
      </c>
      <c r="D62" s="24">
        <v>4</v>
      </c>
      <c r="E62" s="24" t="s">
        <v>150</v>
      </c>
    </row>
    <row r="63" spans="1:5">
      <c r="A63" s="23">
        <v>5</v>
      </c>
      <c r="B63" s="24" t="s">
        <v>606</v>
      </c>
      <c r="C63" s="24">
        <v>4</v>
      </c>
      <c r="D63" s="24">
        <v>4</v>
      </c>
      <c r="E63" s="24" t="s">
        <v>139</v>
      </c>
    </row>
    <row r="64" spans="1:5">
      <c r="A64" s="22">
        <v>6</v>
      </c>
      <c r="B64" s="21" t="s">
        <v>604</v>
      </c>
      <c r="C64" s="21">
        <v>1</v>
      </c>
      <c r="D64" s="21">
        <v>1</v>
      </c>
      <c r="E64" s="21" t="s">
        <v>326</v>
      </c>
    </row>
    <row r="65" spans="1:5">
      <c r="A65" s="22">
        <v>6</v>
      </c>
      <c r="B65" s="21" t="s">
        <v>604</v>
      </c>
      <c r="C65" s="21">
        <v>2</v>
      </c>
      <c r="D65" s="21">
        <v>2</v>
      </c>
      <c r="E65" s="21" t="s">
        <v>370</v>
      </c>
    </row>
    <row r="66" spans="1:5">
      <c r="A66" s="22">
        <v>6</v>
      </c>
      <c r="B66" s="21" t="s">
        <v>604</v>
      </c>
      <c r="C66" s="21">
        <v>3</v>
      </c>
      <c r="D66" s="21">
        <v>3</v>
      </c>
      <c r="E66" s="21" t="s">
        <v>367</v>
      </c>
    </row>
    <row r="67" spans="1:5">
      <c r="A67" s="22">
        <v>6</v>
      </c>
      <c r="B67" s="21" t="s">
        <v>604</v>
      </c>
      <c r="C67" s="21">
        <v>4</v>
      </c>
      <c r="D67" s="21">
        <v>3</v>
      </c>
      <c r="E67" s="21" t="s">
        <v>375</v>
      </c>
    </row>
    <row r="68" spans="1:5">
      <c r="A68" s="22">
        <v>6</v>
      </c>
      <c r="B68" s="21" t="s">
        <v>605</v>
      </c>
      <c r="C68" s="21">
        <v>1</v>
      </c>
      <c r="D68" s="21">
        <v>1</v>
      </c>
      <c r="E68" s="21" t="s">
        <v>325</v>
      </c>
    </row>
    <row r="69" spans="1:5">
      <c r="A69" s="22">
        <v>6</v>
      </c>
      <c r="B69" s="21" t="s">
        <v>605</v>
      </c>
      <c r="C69" s="21">
        <v>2</v>
      </c>
      <c r="D69" s="21">
        <v>1</v>
      </c>
      <c r="E69" s="21" t="s">
        <v>327</v>
      </c>
    </row>
    <row r="70" spans="1:5">
      <c r="A70" s="22">
        <v>6</v>
      </c>
      <c r="B70" s="21" t="s">
        <v>605</v>
      </c>
      <c r="C70" s="21">
        <v>3</v>
      </c>
      <c r="D70" s="21">
        <v>4</v>
      </c>
      <c r="E70" s="21" t="s">
        <v>386</v>
      </c>
    </row>
    <row r="71" spans="1:5">
      <c r="A71" s="22">
        <v>6</v>
      </c>
      <c r="B71" s="21" t="s">
        <v>605</v>
      </c>
      <c r="C71" s="21">
        <v>4</v>
      </c>
      <c r="D71" s="21">
        <v>4</v>
      </c>
      <c r="E71" s="21" t="s">
        <v>384</v>
      </c>
    </row>
    <row r="72" spans="1:5">
      <c r="A72" s="22">
        <v>6</v>
      </c>
      <c r="B72" s="21" t="s">
        <v>606</v>
      </c>
      <c r="C72" s="21">
        <v>1</v>
      </c>
      <c r="D72" s="21">
        <v>2</v>
      </c>
      <c r="E72" s="21" t="s">
        <v>351</v>
      </c>
    </row>
    <row r="73" spans="1:5">
      <c r="A73" s="22">
        <v>6</v>
      </c>
      <c r="B73" s="21" t="s">
        <v>606</v>
      </c>
      <c r="C73" s="21">
        <v>2</v>
      </c>
      <c r="D73" s="21">
        <v>3</v>
      </c>
      <c r="E73" s="21" t="s">
        <v>371</v>
      </c>
    </row>
    <row r="74" spans="1:5">
      <c r="A74" s="22">
        <v>6</v>
      </c>
      <c r="B74" s="21" t="s">
        <v>606</v>
      </c>
      <c r="C74" s="21">
        <v>3</v>
      </c>
      <c r="D74" s="21">
        <v>2</v>
      </c>
      <c r="E74" s="21" t="s">
        <v>352</v>
      </c>
    </row>
    <row r="75" spans="1:5">
      <c r="A75" s="22">
        <v>6</v>
      </c>
      <c r="B75" s="21" t="s">
        <v>606</v>
      </c>
      <c r="C75" s="21">
        <v>4</v>
      </c>
      <c r="D75" s="21">
        <v>4</v>
      </c>
      <c r="E75" s="21" t="s">
        <v>392</v>
      </c>
    </row>
    <row r="76" spans="1:5">
      <c r="A76" s="23">
        <v>7</v>
      </c>
      <c r="B76" s="24" t="s">
        <v>604</v>
      </c>
      <c r="C76" s="24">
        <v>1</v>
      </c>
      <c r="D76" s="24">
        <v>2</v>
      </c>
      <c r="E76" s="24" t="s">
        <v>345</v>
      </c>
    </row>
    <row r="77" spans="1:5">
      <c r="A77" s="23">
        <v>7</v>
      </c>
      <c r="B77" s="24" t="s">
        <v>604</v>
      </c>
      <c r="C77" s="24">
        <v>2</v>
      </c>
      <c r="D77" s="24">
        <v>4</v>
      </c>
      <c r="E77" s="24" t="s">
        <v>379</v>
      </c>
    </row>
    <row r="78" spans="1:5">
      <c r="A78" s="23">
        <v>7</v>
      </c>
      <c r="B78" s="24" t="s">
        <v>604</v>
      </c>
      <c r="C78" s="24">
        <v>3</v>
      </c>
      <c r="D78" s="24">
        <v>4</v>
      </c>
      <c r="E78" s="24" t="s">
        <v>152</v>
      </c>
    </row>
    <row r="79" spans="1:5">
      <c r="A79" s="23">
        <v>7</v>
      </c>
      <c r="B79" s="24" t="s">
        <v>604</v>
      </c>
      <c r="C79" s="24">
        <v>4</v>
      </c>
      <c r="D79" s="24">
        <v>4</v>
      </c>
      <c r="E79" s="24" t="s">
        <v>390</v>
      </c>
    </row>
    <row r="80" spans="1:5">
      <c r="A80" s="23">
        <v>7</v>
      </c>
      <c r="B80" s="24" t="s">
        <v>605</v>
      </c>
      <c r="C80" s="24">
        <v>1</v>
      </c>
      <c r="D80" s="24">
        <v>1</v>
      </c>
      <c r="E80" s="24" t="s">
        <v>328</v>
      </c>
    </row>
    <row r="81" spans="1:5">
      <c r="A81" s="23">
        <v>7</v>
      </c>
      <c r="B81" s="24" t="s">
        <v>605</v>
      </c>
      <c r="C81" s="24">
        <v>2</v>
      </c>
      <c r="D81" s="24">
        <v>2</v>
      </c>
      <c r="E81" s="24" t="s">
        <v>75</v>
      </c>
    </row>
    <row r="82" spans="1:5">
      <c r="A82" s="23">
        <v>7</v>
      </c>
      <c r="B82" s="24" t="s">
        <v>605</v>
      </c>
      <c r="C82" s="24">
        <v>3</v>
      </c>
      <c r="D82" s="24">
        <v>2</v>
      </c>
      <c r="E82" s="24" t="s">
        <v>241</v>
      </c>
    </row>
    <row r="83" spans="1:5">
      <c r="A83" s="23">
        <v>7</v>
      </c>
      <c r="B83" s="24" t="s">
        <v>605</v>
      </c>
      <c r="C83" s="24">
        <v>4</v>
      </c>
      <c r="D83" s="24">
        <v>3</v>
      </c>
      <c r="E83" s="24" t="s">
        <v>126</v>
      </c>
    </row>
    <row r="84" spans="1:5">
      <c r="A84" s="23">
        <v>7</v>
      </c>
      <c r="B84" s="24" t="s">
        <v>606</v>
      </c>
      <c r="C84" s="24">
        <v>1</v>
      </c>
      <c r="D84" s="24">
        <v>1</v>
      </c>
      <c r="E84" s="24" t="s">
        <v>21</v>
      </c>
    </row>
    <row r="85" spans="1:5">
      <c r="A85" s="23">
        <v>7</v>
      </c>
      <c r="B85" s="24" t="s">
        <v>606</v>
      </c>
      <c r="C85" s="24">
        <v>2</v>
      </c>
      <c r="D85" s="24">
        <v>1</v>
      </c>
      <c r="E85" s="24" t="s">
        <v>329</v>
      </c>
    </row>
    <row r="86" spans="1:5">
      <c r="A86" s="23">
        <v>7</v>
      </c>
      <c r="B86" s="24" t="s">
        <v>606</v>
      </c>
      <c r="C86" s="24">
        <v>3</v>
      </c>
      <c r="D86" s="24">
        <v>3</v>
      </c>
      <c r="E86" s="24" t="s">
        <v>364</v>
      </c>
    </row>
    <row r="87" spans="1:5">
      <c r="A87" s="23">
        <v>7</v>
      </c>
      <c r="B87" s="24" t="s">
        <v>606</v>
      </c>
      <c r="C87" s="24">
        <v>4</v>
      </c>
      <c r="D87" s="24">
        <v>3</v>
      </c>
      <c r="E87" s="24" t="s">
        <v>258</v>
      </c>
    </row>
    <row r="88" spans="1:5">
      <c r="A88" s="22">
        <v>8</v>
      </c>
      <c r="B88" s="21" t="s">
        <v>604</v>
      </c>
      <c r="C88" s="21">
        <v>1</v>
      </c>
      <c r="D88" s="21">
        <v>1</v>
      </c>
      <c r="E88" s="21" t="s">
        <v>330</v>
      </c>
    </row>
    <row r="89" spans="1:5">
      <c r="A89" s="22">
        <v>8</v>
      </c>
      <c r="B89" s="21" t="s">
        <v>604</v>
      </c>
      <c r="C89" s="21">
        <v>2</v>
      </c>
      <c r="D89" s="21">
        <v>3</v>
      </c>
      <c r="E89" s="21" t="s">
        <v>112</v>
      </c>
    </row>
    <row r="90" spans="1:5">
      <c r="A90" s="22">
        <v>8</v>
      </c>
      <c r="B90" s="21" t="s">
        <v>604</v>
      </c>
      <c r="C90" s="21">
        <v>3</v>
      </c>
      <c r="D90" s="21">
        <v>3</v>
      </c>
      <c r="E90" s="21" t="s">
        <v>127</v>
      </c>
    </row>
    <row r="91" spans="1:5">
      <c r="A91" s="22">
        <v>8</v>
      </c>
      <c r="B91" s="21" t="s">
        <v>604</v>
      </c>
      <c r="C91" s="21">
        <v>4</v>
      </c>
      <c r="D91" s="21">
        <v>3</v>
      </c>
      <c r="E91" s="21" t="s">
        <v>368</v>
      </c>
    </row>
    <row r="92" spans="1:5">
      <c r="A92" s="22">
        <v>8</v>
      </c>
      <c r="B92" s="21" t="s">
        <v>605</v>
      </c>
      <c r="C92" s="21">
        <v>1</v>
      </c>
      <c r="D92" s="21">
        <v>1</v>
      </c>
      <c r="E92" s="21" t="s">
        <v>24</v>
      </c>
    </row>
    <row r="93" spans="1:5">
      <c r="A93" s="22">
        <v>8</v>
      </c>
      <c r="B93" s="21" t="s">
        <v>605</v>
      </c>
      <c r="C93" s="21">
        <v>2</v>
      </c>
      <c r="D93" s="21">
        <v>2</v>
      </c>
      <c r="E93" s="21" t="s">
        <v>68</v>
      </c>
    </row>
    <row r="94" spans="1:5">
      <c r="A94" s="22">
        <v>8</v>
      </c>
      <c r="B94" s="21" t="s">
        <v>605</v>
      </c>
      <c r="C94" s="21">
        <v>3</v>
      </c>
      <c r="D94" s="21">
        <v>2</v>
      </c>
      <c r="E94" s="21" t="s">
        <v>353</v>
      </c>
    </row>
    <row r="95" spans="1:5">
      <c r="A95" s="22">
        <v>8</v>
      </c>
      <c r="B95" s="21" t="s">
        <v>605</v>
      </c>
      <c r="C95" s="21">
        <v>4</v>
      </c>
      <c r="D95" s="21">
        <v>4</v>
      </c>
      <c r="E95" s="21" t="s">
        <v>396</v>
      </c>
    </row>
    <row r="96" spans="1:5">
      <c r="A96" s="22">
        <v>8</v>
      </c>
      <c r="B96" s="21" t="s">
        <v>606</v>
      </c>
      <c r="C96" s="21">
        <v>1</v>
      </c>
      <c r="D96" s="21">
        <v>2</v>
      </c>
      <c r="E96" s="21" t="s">
        <v>76</v>
      </c>
    </row>
    <row r="97" spans="1:5">
      <c r="A97" s="22">
        <v>8</v>
      </c>
      <c r="B97" s="21" t="s">
        <v>606</v>
      </c>
      <c r="C97" s="21">
        <v>2</v>
      </c>
      <c r="D97" s="21">
        <v>1</v>
      </c>
      <c r="E97" s="21" t="s">
        <v>25</v>
      </c>
    </row>
    <row r="98" spans="1:5">
      <c r="A98" s="22">
        <v>8</v>
      </c>
      <c r="B98" s="21" t="s">
        <v>606</v>
      </c>
      <c r="C98" s="21">
        <v>3</v>
      </c>
      <c r="D98" s="21">
        <v>4</v>
      </c>
      <c r="E98" s="21" t="s">
        <v>148</v>
      </c>
    </row>
    <row r="99" spans="1:5">
      <c r="A99" s="22">
        <v>8</v>
      </c>
      <c r="B99" s="21" t="s">
        <v>606</v>
      </c>
      <c r="C99" s="21">
        <v>4</v>
      </c>
      <c r="D99" s="21">
        <v>4</v>
      </c>
      <c r="E99" s="21" t="s">
        <v>153</v>
      </c>
    </row>
    <row r="100" spans="1:5">
      <c r="A100" s="23">
        <v>9</v>
      </c>
      <c r="B100" s="24" t="s">
        <v>604</v>
      </c>
      <c r="C100" s="24">
        <v>1</v>
      </c>
      <c r="D100" s="24">
        <v>1</v>
      </c>
      <c r="E100" s="24" t="s">
        <v>331</v>
      </c>
    </row>
    <row r="101" spans="1:5">
      <c r="A101" s="23">
        <v>9</v>
      </c>
      <c r="B101" s="24" t="s">
        <v>604</v>
      </c>
      <c r="C101" s="24">
        <v>2</v>
      </c>
      <c r="D101" s="24">
        <v>2</v>
      </c>
      <c r="E101" s="24" t="s">
        <v>58</v>
      </c>
    </row>
    <row r="102" spans="1:5">
      <c r="A102" s="23">
        <v>9</v>
      </c>
      <c r="B102" s="24" t="s">
        <v>604</v>
      </c>
      <c r="C102" s="24">
        <v>3</v>
      </c>
      <c r="D102" s="24">
        <v>4</v>
      </c>
      <c r="E102" s="24" t="s">
        <v>143</v>
      </c>
    </row>
    <row r="103" spans="1:5">
      <c r="A103" s="23">
        <v>9</v>
      </c>
      <c r="B103" s="24" t="s">
        <v>604</v>
      </c>
      <c r="C103" s="24">
        <v>4</v>
      </c>
      <c r="D103" s="24">
        <v>4</v>
      </c>
      <c r="E103" s="24" t="s">
        <v>381</v>
      </c>
    </row>
    <row r="104" spans="1:5">
      <c r="A104" s="23">
        <v>9</v>
      </c>
      <c r="B104" s="24" t="s">
        <v>605</v>
      </c>
      <c r="C104" s="24">
        <v>1</v>
      </c>
      <c r="D104" s="24">
        <v>1</v>
      </c>
      <c r="E104" s="24" t="s">
        <v>27</v>
      </c>
    </row>
    <row r="105" spans="1:5">
      <c r="A105" s="23">
        <v>9</v>
      </c>
      <c r="B105" s="24" t="s">
        <v>605</v>
      </c>
      <c r="C105" s="24">
        <v>2</v>
      </c>
      <c r="D105" s="24">
        <v>3</v>
      </c>
      <c r="E105" s="24" t="s">
        <v>376</v>
      </c>
    </row>
    <row r="106" spans="1:5">
      <c r="A106" s="23">
        <v>9</v>
      </c>
      <c r="B106" s="24" t="s">
        <v>605</v>
      </c>
      <c r="C106" s="24">
        <v>3</v>
      </c>
      <c r="D106" s="24">
        <v>3</v>
      </c>
      <c r="E106" s="24" t="s">
        <v>252</v>
      </c>
    </row>
    <row r="107" spans="1:5">
      <c r="A107" s="23">
        <v>9</v>
      </c>
      <c r="B107" s="24" t="s">
        <v>605</v>
      </c>
      <c r="C107" s="24">
        <v>4</v>
      </c>
      <c r="D107" s="24">
        <v>3</v>
      </c>
      <c r="E107" s="24" t="s">
        <v>105</v>
      </c>
    </row>
    <row r="108" spans="1:5">
      <c r="A108" s="23">
        <v>9</v>
      </c>
      <c r="B108" s="24" t="s">
        <v>606</v>
      </c>
      <c r="C108" s="24">
        <v>1</v>
      </c>
      <c r="D108" s="24">
        <v>1</v>
      </c>
      <c r="E108" s="24" t="s">
        <v>332</v>
      </c>
    </row>
    <row r="109" spans="1:5">
      <c r="A109" s="23">
        <v>9</v>
      </c>
      <c r="B109" s="24" t="s">
        <v>606</v>
      </c>
      <c r="C109" s="24">
        <v>2</v>
      </c>
      <c r="D109" s="24">
        <v>2</v>
      </c>
      <c r="E109" s="24" t="s">
        <v>359</v>
      </c>
    </row>
    <row r="110" spans="1:5">
      <c r="A110" s="23">
        <v>9</v>
      </c>
      <c r="B110" s="24" t="s">
        <v>606</v>
      </c>
      <c r="C110" s="24">
        <v>3</v>
      </c>
      <c r="D110" s="24">
        <v>2</v>
      </c>
      <c r="E110" s="24" t="s">
        <v>236</v>
      </c>
    </row>
    <row r="111" spans="1:5">
      <c r="A111" s="23">
        <v>9</v>
      </c>
      <c r="B111" s="24" t="s">
        <v>606</v>
      </c>
      <c r="C111" s="24">
        <v>4</v>
      </c>
      <c r="D111" s="24">
        <v>4</v>
      </c>
      <c r="E111" s="24" t="s">
        <v>266</v>
      </c>
    </row>
    <row r="112" spans="1:5">
      <c r="A112" s="22">
        <v>10</v>
      </c>
      <c r="B112" s="21" t="s">
        <v>604</v>
      </c>
      <c r="C112" s="21">
        <v>1</v>
      </c>
      <c r="D112" s="21">
        <v>2</v>
      </c>
      <c r="E112" s="21" t="s">
        <v>350</v>
      </c>
    </row>
    <row r="113" spans="1:5">
      <c r="A113" s="22">
        <v>10</v>
      </c>
      <c r="B113" s="21" t="s">
        <v>604</v>
      </c>
      <c r="C113" s="21">
        <v>2</v>
      </c>
      <c r="D113" s="21">
        <v>3</v>
      </c>
      <c r="E113" s="21" t="s">
        <v>377</v>
      </c>
    </row>
    <row r="114" spans="1:5">
      <c r="A114" s="22">
        <v>10</v>
      </c>
      <c r="B114" s="21" t="s">
        <v>604</v>
      </c>
      <c r="C114" s="21">
        <v>3</v>
      </c>
      <c r="D114" s="21">
        <v>3</v>
      </c>
      <c r="E114" s="21" t="s">
        <v>361</v>
      </c>
    </row>
    <row r="115" spans="1:5">
      <c r="A115" s="22">
        <v>10</v>
      </c>
      <c r="B115" s="21" t="s">
        <v>604</v>
      </c>
      <c r="C115" s="21">
        <v>4</v>
      </c>
      <c r="D115" s="21">
        <v>4</v>
      </c>
      <c r="E115" s="21" t="s">
        <v>395</v>
      </c>
    </row>
    <row r="116" spans="1:5">
      <c r="A116" s="22">
        <v>10</v>
      </c>
      <c r="B116" s="21" t="s">
        <v>605</v>
      </c>
      <c r="C116" s="21">
        <v>1</v>
      </c>
      <c r="D116" s="21">
        <v>2</v>
      </c>
      <c r="E116" s="21" t="s">
        <v>356</v>
      </c>
    </row>
    <row r="117" spans="1:5">
      <c r="A117" s="22">
        <v>10</v>
      </c>
      <c r="B117" s="21" t="s">
        <v>605</v>
      </c>
      <c r="C117" s="21">
        <v>2</v>
      </c>
      <c r="D117" s="21">
        <v>1</v>
      </c>
      <c r="E117" s="21" t="s">
        <v>334</v>
      </c>
    </row>
    <row r="118" spans="1:5">
      <c r="A118" s="22">
        <v>10</v>
      </c>
      <c r="B118" s="21" t="s">
        <v>605</v>
      </c>
      <c r="C118" s="21">
        <v>3</v>
      </c>
      <c r="D118" s="21">
        <v>2</v>
      </c>
      <c r="E118" s="21" t="s">
        <v>341</v>
      </c>
    </row>
    <row r="119" spans="1:5">
      <c r="A119" s="22">
        <v>10</v>
      </c>
      <c r="B119" s="21" t="s">
        <v>605</v>
      </c>
      <c r="C119" s="21">
        <v>4</v>
      </c>
      <c r="D119" s="21">
        <v>4</v>
      </c>
      <c r="E119" s="21" t="s">
        <v>383</v>
      </c>
    </row>
    <row r="120" spans="1:5">
      <c r="A120" s="22">
        <v>10</v>
      </c>
      <c r="B120" s="21" t="s">
        <v>606</v>
      </c>
      <c r="C120" s="21">
        <v>1</v>
      </c>
      <c r="D120" s="21">
        <v>1</v>
      </c>
      <c r="E120" s="21" t="s">
        <v>333</v>
      </c>
    </row>
    <row r="121" spans="1:5">
      <c r="A121" s="22">
        <v>10</v>
      </c>
      <c r="B121" s="21" t="s">
        <v>606</v>
      </c>
      <c r="C121" s="21">
        <v>2</v>
      </c>
      <c r="D121" s="21">
        <v>1</v>
      </c>
      <c r="E121" s="21" t="s">
        <v>335</v>
      </c>
    </row>
    <row r="122" spans="1:5">
      <c r="A122" s="22">
        <v>10</v>
      </c>
      <c r="B122" s="21" t="s">
        <v>606</v>
      </c>
      <c r="C122" s="21">
        <v>3</v>
      </c>
      <c r="D122" s="21">
        <v>3</v>
      </c>
      <c r="E122" s="21" t="s">
        <v>372</v>
      </c>
    </row>
    <row r="123" spans="1:5">
      <c r="A123" s="22">
        <v>10</v>
      </c>
      <c r="B123" s="21" t="s">
        <v>606</v>
      </c>
      <c r="C123" s="21">
        <v>4</v>
      </c>
      <c r="D123" s="21">
        <v>4</v>
      </c>
      <c r="E123" s="21" t="s">
        <v>382</v>
      </c>
    </row>
    <row r="124" spans="1:5">
      <c r="A124" s="23">
        <v>11</v>
      </c>
      <c r="B124" s="24" t="s">
        <v>604</v>
      </c>
      <c r="C124" s="24">
        <v>1</v>
      </c>
      <c r="D124" s="24">
        <v>1</v>
      </c>
      <c r="E124" s="24" t="s">
        <v>19</v>
      </c>
    </row>
    <row r="125" spans="1:5">
      <c r="A125" s="23">
        <v>11</v>
      </c>
      <c r="B125" s="24" t="s">
        <v>604</v>
      </c>
      <c r="C125" s="24">
        <v>2</v>
      </c>
      <c r="D125" s="24">
        <v>2</v>
      </c>
      <c r="E125" s="24" t="s">
        <v>71</v>
      </c>
    </row>
    <row r="126" spans="1:5">
      <c r="A126" s="23">
        <v>11</v>
      </c>
      <c r="B126" s="24" t="s">
        <v>604</v>
      </c>
      <c r="C126" s="24">
        <v>3</v>
      </c>
      <c r="D126" s="24">
        <v>2</v>
      </c>
      <c r="E126" s="24" t="s">
        <v>79</v>
      </c>
    </row>
    <row r="127" spans="1:5">
      <c r="A127" s="23">
        <v>11</v>
      </c>
      <c r="B127" s="24" t="s">
        <v>604</v>
      </c>
      <c r="C127" s="24">
        <v>4</v>
      </c>
      <c r="D127" s="24">
        <v>3</v>
      </c>
      <c r="E127" s="24" t="s">
        <v>108</v>
      </c>
    </row>
    <row r="128" spans="1:5">
      <c r="A128" s="23">
        <v>11</v>
      </c>
      <c r="B128" s="24" t="s">
        <v>605</v>
      </c>
      <c r="C128" s="24">
        <v>1</v>
      </c>
      <c r="D128" s="24">
        <v>1</v>
      </c>
      <c r="E128" s="24" t="s">
        <v>17</v>
      </c>
    </row>
    <row r="129" spans="1:5">
      <c r="A129" s="23">
        <v>11</v>
      </c>
      <c r="B129" s="24" t="s">
        <v>605</v>
      </c>
      <c r="C129" s="24">
        <v>2</v>
      </c>
      <c r="D129" s="24">
        <v>1</v>
      </c>
      <c r="E129" s="24" t="s">
        <v>18</v>
      </c>
    </row>
    <row r="130" spans="1:5">
      <c r="A130" s="23">
        <v>11</v>
      </c>
      <c r="B130" s="24" t="s">
        <v>605</v>
      </c>
      <c r="C130" s="24">
        <v>3</v>
      </c>
      <c r="D130" s="24">
        <v>3</v>
      </c>
      <c r="E130" s="24" t="s">
        <v>117</v>
      </c>
    </row>
    <row r="131" spans="1:5">
      <c r="A131" s="23">
        <v>11</v>
      </c>
      <c r="B131" s="24" t="s">
        <v>605</v>
      </c>
      <c r="C131" s="24">
        <v>4</v>
      </c>
      <c r="D131" s="24">
        <v>4</v>
      </c>
      <c r="E131" s="24" t="s">
        <v>151</v>
      </c>
    </row>
    <row r="132" spans="1:5">
      <c r="A132" s="23">
        <v>11</v>
      </c>
      <c r="B132" s="24" t="s">
        <v>606</v>
      </c>
      <c r="C132" s="24">
        <v>1</v>
      </c>
      <c r="D132" s="24">
        <v>2</v>
      </c>
      <c r="E132" s="24" t="s">
        <v>62</v>
      </c>
    </row>
    <row r="133" spans="1:5">
      <c r="A133" s="23">
        <v>11</v>
      </c>
      <c r="B133" s="24" t="s">
        <v>606</v>
      </c>
      <c r="C133" s="24">
        <v>2</v>
      </c>
      <c r="D133" s="24">
        <v>3</v>
      </c>
      <c r="E133" s="24" t="s">
        <v>125</v>
      </c>
    </row>
    <row r="134" spans="1:5">
      <c r="A134" s="23">
        <v>11</v>
      </c>
      <c r="B134" s="24" t="s">
        <v>606</v>
      </c>
      <c r="C134" s="24">
        <v>3</v>
      </c>
      <c r="D134" s="24">
        <v>4</v>
      </c>
      <c r="E134" s="24" t="s">
        <v>145</v>
      </c>
    </row>
    <row r="135" spans="1:5">
      <c r="A135" s="23">
        <v>11</v>
      </c>
      <c r="B135" s="24" t="s">
        <v>606</v>
      </c>
      <c r="C135" s="24">
        <v>4</v>
      </c>
      <c r="D135" s="24">
        <v>4</v>
      </c>
      <c r="E135" s="24" t="s">
        <v>157</v>
      </c>
    </row>
    <row r="136" spans="1:5">
      <c r="A136" s="22">
        <v>12</v>
      </c>
      <c r="B136" s="21" t="s">
        <v>604</v>
      </c>
      <c r="C136" s="21">
        <v>1</v>
      </c>
      <c r="D136" s="21">
        <v>1</v>
      </c>
      <c r="E136" s="21" t="s">
        <v>20</v>
      </c>
    </row>
    <row r="137" spans="1:5">
      <c r="A137" s="22">
        <v>12</v>
      </c>
      <c r="B137" s="21" t="s">
        <v>604</v>
      </c>
      <c r="C137" s="21">
        <v>2</v>
      </c>
      <c r="D137" s="21">
        <v>1</v>
      </c>
      <c r="E137" s="21" t="s">
        <v>227</v>
      </c>
    </row>
    <row r="138" spans="1:5">
      <c r="A138" s="22">
        <v>12</v>
      </c>
      <c r="B138" s="21" t="s">
        <v>604</v>
      </c>
      <c r="C138" s="21">
        <v>3</v>
      </c>
      <c r="D138" s="21">
        <v>2</v>
      </c>
      <c r="E138" s="21" t="s">
        <v>248</v>
      </c>
    </row>
    <row r="139" spans="1:5">
      <c r="A139" s="22">
        <v>12</v>
      </c>
      <c r="B139" s="21" t="s">
        <v>604</v>
      </c>
      <c r="C139" s="21">
        <v>4</v>
      </c>
      <c r="D139" s="21">
        <v>4</v>
      </c>
      <c r="E139" s="21" t="s">
        <v>149</v>
      </c>
    </row>
    <row r="140" spans="1:5">
      <c r="A140" s="22">
        <v>12</v>
      </c>
      <c r="B140" s="21" t="s">
        <v>605</v>
      </c>
      <c r="C140" s="21">
        <v>1</v>
      </c>
      <c r="D140" s="21">
        <v>2</v>
      </c>
      <c r="E140" s="21" t="s">
        <v>54</v>
      </c>
    </row>
    <row r="141" spans="1:5">
      <c r="A141" s="22">
        <v>12</v>
      </c>
      <c r="B141" s="21" t="s">
        <v>605</v>
      </c>
      <c r="C141" s="21">
        <v>2</v>
      </c>
      <c r="D141" s="21">
        <v>3</v>
      </c>
      <c r="E141" s="21" t="s">
        <v>113</v>
      </c>
    </row>
    <row r="142" spans="1:5">
      <c r="A142" s="22">
        <v>12</v>
      </c>
      <c r="B142" s="21" t="s">
        <v>605</v>
      </c>
      <c r="C142" s="21">
        <v>3</v>
      </c>
      <c r="D142" s="21">
        <v>4</v>
      </c>
      <c r="E142" s="21" t="s">
        <v>141</v>
      </c>
    </row>
    <row r="143" spans="1:5">
      <c r="A143" s="22">
        <v>12</v>
      </c>
      <c r="B143" s="21" t="s">
        <v>605</v>
      </c>
      <c r="C143" s="21">
        <v>4</v>
      </c>
      <c r="D143" s="21">
        <v>4</v>
      </c>
      <c r="E143" s="21" t="s">
        <v>268</v>
      </c>
    </row>
    <row r="144" spans="1:5">
      <c r="A144" s="22">
        <v>12</v>
      </c>
      <c r="B144" s="21" t="s">
        <v>606</v>
      </c>
      <c r="C144" s="21">
        <v>1</v>
      </c>
      <c r="D144" s="21">
        <v>1</v>
      </c>
      <c r="E144" s="21" t="s">
        <v>22</v>
      </c>
    </row>
    <row r="145" spans="1:5">
      <c r="A145" s="22">
        <v>12</v>
      </c>
      <c r="B145" s="21" t="s">
        <v>606</v>
      </c>
      <c r="C145" s="21">
        <v>2</v>
      </c>
      <c r="D145" s="21">
        <v>3</v>
      </c>
      <c r="E145" s="21" t="s">
        <v>101</v>
      </c>
    </row>
    <row r="146" spans="1:5">
      <c r="A146" s="22">
        <v>12</v>
      </c>
      <c r="B146" s="21" t="s">
        <v>606</v>
      </c>
      <c r="C146" s="21">
        <v>3</v>
      </c>
      <c r="D146" s="21">
        <v>2</v>
      </c>
      <c r="E146" s="21" t="s">
        <v>69</v>
      </c>
    </row>
    <row r="147" spans="1:5">
      <c r="A147" s="22">
        <v>12</v>
      </c>
      <c r="B147" s="21" t="s">
        <v>606</v>
      </c>
      <c r="C147" s="21">
        <v>4</v>
      </c>
      <c r="D147" s="21">
        <v>3</v>
      </c>
      <c r="E147" s="21" t="s">
        <v>260</v>
      </c>
    </row>
    <row r="148" spans="1:5">
      <c r="A148" s="23">
        <v>13</v>
      </c>
      <c r="B148" s="24" t="s">
        <v>604</v>
      </c>
      <c r="C148" s="24">
        <v>1</v>
      </c>
      <c r="D148" s="24">
        <v>3</v>
      </c>
      <c r="E148" s="24" t="s">
        <v>109</v>
      </c>
    </row>
    <row r="149" spans="1:5">
      <c r="A149" s="23">
        <v>13</v>
      </c>
      <c r="B149" s="24" t="s">
        <v>604</v>
      </c>
      <c r="C149" s="24">
        <v>2</v>
      </c>
      <c r="D149" s="24">
        <v>4</v>
      </c>
      <c r="E149" s="24" t="s">
        <v>146</v>
      </c>
    </row>
    <row r="150" spans="1:5">
      <c r="A150" s="23">
        <v>13</v>
      </c>
      <c r="B150" s="24" t="s">
        <v>604</v>
      </c>
      <c r="C150" s="24">
        <v>3</v>
      </c>
      <c r="D150" s="24">
        <v>2</v>
      </c>
      <c r="E150" s="24" t="s">
        <v>239</v>
      </c>
    </row>
    <row r="151" spans="1:5">
      <c r="A151" s="23">
        <v>13</v>
      </c>
      <c r="B151" s="24" t="s">
        <v>604</v>
      </c>
      <c r="C151" s="24">
        <v>4</v>
      </c>
      <c r="D151" s="24">
        <v>4</v>
      </c>
      <c r="E151" s="24" t="s">
        <v>270</v>
      </c>
    </row>
    <row r="152" spans="1:5">
      <c r="A152" s="23">
        <v>13</v>
      </c>
      <c r="B152" s="24" t="s">
        <v>605</v>
      </c>
      <c r="C152" s="24">
        <v>1</v>
      </c>
      <c r="D152" s="24">
        <v>1</v>
      </c>
      <c r="E152" s="24" t="s">
        <v>228</v>
      </c>
    </row>
    <row r="153" spans="1:5">
      <c r="A153" s="23">
        <v>13</v>
      </c>
      <c r="B153" s="24" t="s">
        <v>605</v>
      </c>
      <c r="C153" s="24">
        <v>2</v>
      </c>
      <c r="D153" s="24">
        <v>1</v>
      </c>
      <c r="E153" s="24" t="s">
        <v>23</v>
      </c>
    </row>
    <row r="154" spans="1:5">
      <c r="A154" s="23">
        <v>13</v>
      </c>
      <c r="B154" s="24" t="s">
        <v>605</v>
      </c>
      <c r="C154" s="24">
        <v>3</v>
      </c>
      <c r="D154" s="24">
        <v>1</v>
      </c>
      <c r="E154" s="24" t="s">
        <v>229</v>
      </c>
    </row>
    <row r="155" spans="1:5">
      <c r="A155" s="23">
        <v>13</v>
      </c>
      <c r="B155" s="24" t="s">
        <v>605</v>
      </c>
      <c r="C155" s="24">
        <v>4</v>
      </c>
      <c r="D155" s="24">
        <v>3</v>
      </c>
      <c r="E155" s="24" t="s">
        <v>261</v>
      </c>
    </row>
    <row r="156" spans="1:5">
      <c r="A156" s="23">
        <v>13</v>
      </c>
      <c r="B156" s="24" t="s">
        <v>606</v>
      </c>
      <c r="C156" s="24">
        <v>1</v>
      </c>
      <c r="D156" s="24">
        <v>4</v>
      </c>
      <c r="E156" s="24" t="s">
        <v>279</v>
      </c>
    </row>
    <row r="157" spans="1:5">
      <c r="A157" s="23">
        <v>13</v>
      </c>
      <c r="B157" s="24" t="s">
        <v>606</v>
      </c>
      <c r="C157" s="24">
        <v>2</v>
      </c>
      <c r="D157" s="24">
        <v>2</v>
      </c>
      <c r="E157" s="24" t="s">
        <v>63</v>
      </c>
    </row>
    <row r="158" spans="1:5">
      <c r="A158" s="23">
        <v>13</v>
      </c>
      <c r="B158" s="24" t="s">
        <v>606</v>
      </c>
      <c r="C158" s="24">
        <v>3</v>
      </c>
      <c r="D158" s="24">
        <v>3</v>
      </c>
      <c r="E158" s="24" t="s">
        <v>257</v>
      </c>
    </row>
    <row r="159" spans="1:5">
      <c r="A159" s="23">
        <v>13</v>
      </c>
      <c r="B159" s="24" t="s">
        <v>606</v>
      </c>
      <c r="C159" s="24">
        <v>4</v>
      </c>
      <c r="D159" s="24">
        <v>2</v>
      </c>
      <c r="E159" s="24" t="s">
        <v>296</v>
      </c>
    </row>
    <row r="160" spans="1:5">
      <c r="A160" s="22">
        <v>14</v>
      </c>
      <c r="B160" s="21" t="s">
        <v>604</v>
      </c>
      <c r="C160" s="21">
        <v>1</v>
      </c>
      <c r="D160" s="21">
        <v>1</v>
      </c>
      <c r="E160" s="21" t="s">
        <v>28</v>
      </c>
    </row>
    <row r="161" spans="1:5">
      <c r="A161" s="22">
        <v>14</v>
      </c>
      <c r="B161" s="21" t="s">
        <v>604</v>
      </c>
      <c r="C161" s="21">
        <v>2</v>
      </c>
      <c r="D161" s="21">
        <v>1</v>
      </c>
      <c r="E161" s="21" t="s">
        <v>230</v>
      </c>
    </row>
    <row r="162" spans="1:5">
      <c r="A162" s="22">
        <v>14</v>
      </c>
      <c r="B162" s="21" t="s">
        <v>604</v>
      </c>
      <c r="C162" s="21">
        <v>3</v>
      </c>
      <c r="D162" s="21">
        <v>3</v>
      </c>
      <c r="E162" s="21" t="s">
        <v>99</v>
      </c>
    </row>
    <row r="163" spans="1:5">
      <c r="A163" s="22">
        <v>14</v>
      </c>
      <c r="B163" s="21" t="s">
        <v>604</v>
      </c>
      <c r="C163" s="21">
        <v>4</v>
      </c>
      <c r="D163" s="21">
        <v>3</v>
      </c>
      <c r="E163" s="21" t="s">
        <v>128</v>
      </c>
    </row>
    <row r="164" spans="1:5">
      <c r="A164" s="22">
        <v>14</v>
      </c>
      <c r="B164" s="21" t="s">
        <v>605</v>
      </c>
      <c r="C164" s="21">
        <v>1</v>
      </c>
      <c r="D164" s="21">
        <v>2</v>
      </c>
      <c r="E164" s="21" t="s">
        <v>51</v>
      </c>
    </row>
    <row r="165" spans="1:5">
      <c r="A165" s="22">
        <v>14</v>
      </c>
      <c r="B165" s="21" t="s">
        <v>605</v>
      </c>
      <c r="C165" s="21">
        <v>2</v>
      </c>
      <c r="D165" s="21">
        <v>2</v>
      </c>
      <c r="E165" s="21" t="s">
        <v>240</v>
      </c>
    </row>
    <row r="166" spans="1:5">
      <c r="A166" s="22">
        <v>14</v>
      </c>
      <c r="B166" s="21" t="s">
        <v>605</v>
      </c>
      <c r="C166" s="21">
        <v>3</v>
      </c>
      <c r="D166" s="21">
        <v>4</v>
      </c>
      <c r="E166" s="21" t="s">
        <v>282</v>
      </c>
    </row>
    <row r="167" spans="1:5">
      <c r="A167" s="22">
        <v>14</v>
      </c>
      <c r="B167" s="21" t="s">
        <v>605</v>
      </c>
      <c r="C167" s="21">
        <v>4</v>
      </c>
      <c r="D167" s="21">
        <v>4</v>
      </c>
      <c r="E167" s="21" t="s">
        <v>155</v>
      </c>
    </row>
    <row r="168" spans="1:5">
      <c r="A168" s="22">
        <v>14</v>
      </c>
      <c r="B168" s="21" t="s">
        <v>606</v>
      </c>
      <c r="C168" s="21">
        <v>1</v>
      </c>
      <c r="D168" s="21">
        <v>1</v>
      </c>
      <c r="E168" s="21" t="s">
        <v>26</v>
      </c>
    </row>
    <row r="169" spans="1:5">
      <c r="A169" s="22">
        <v>14</v>
      </c>
      <c r="B169" s="21" t="s">
        <v>606</v>
      </c>
      <c r="C169" s="21">
        <v>2</v>
      </c>
      <c r="D169" s="21">
        <v>3</v>
      </c>
      <c r="E169" s="21" t="s">
        <v>254</v>
      </c>
    </row>
    <row r="170" spans="1:5">
      <c r="A170" s="22">
        <v>14</v>
      </c>
      <c r="B170" s="21" t="s">
        <v>606</v>
      </c>
      <c r="C170" s="21">
        <v>3</v>
      </c>
      <c r="D170" s="21">
        <v>2</v>
      </c>
      <c r="E170" s="21" t="s">
        <v>77</v>
      </c>
    </row>
    <row r="171" spans="1:5">
      <c r="A171" s="22">
        <v>14</v>
      </c>
      <c r="B171" s="21" t="s">
        <v>606</v>
      </c>
      <c r="C171" s="21">
        <v>4</v>
      </c>
      <c r="D171" s="21">
        <v>4</v>
      </c>
      <c r="E171" s="21" t="s">
        <v>140</v>
      </c>
    </row>
    <row r="172" spans="1:5">
      <c r="A172" s="23">
        <v>15</v>
      </c>
      <c r="B172" s="24" t="s">
        <v>604</v>
      </c>
      <c r="C172" s="24">
        <v>1</v>
      </c>
      <c r="D172" s="24">
        <v>2</v>
      </c>
      <c r="E172" s="24" t="s">
        <v>70</v>
      </c>
    </row>
    <row r="173" spans="1:5">
      <c r="A173" s="23">
        <v>15</v>
      </c>
      <c r="B173" s="24" t="s">
        <v>604</v>
      </c>
      <c r="C173" s="24">
        <v>2</v>
      </c>
      <c r="D173" s="24">
        <v>2</v>
      </c>
      <c r="E173" s="24" t="s">
        <v>78</v>
      </c>
    </row>
    <row r="174" spans="1:5">
      <c r="A174" s="23">
        <v>15</v>
      </c>
      <c r="B174" s="24" t="s">
        <v>604</v>
      </c>
      <c r="C174" s="24">
        <v>3</v>
      </c>
      <c r="D174" s="24">
        <v>2</v>
      </c>
      <c r="E174" s="24" t="s">
        <v>46</v>
      </c>
    </row>
    <row r="175" spans="1:5">
      <c r="A175" s="23">
        <v>15</v>
      </c>
      <c r="B175" s="24" t="s">
        <v>604</v>
      </c>
      <c r="C175" s="24">
        <v>4</v>
      </c>
      <c r="D175" s="24">
        <v>4</v>
      </c>
      <c r="E175" s="24" t="s">
        <v>156</v>
      </c>
    </row>
    <row r="176" spans="1:5">
      <c r="A176" s="23">
        <v>15</v>
      </c>
      <c r="B176" s="24" t="s">
        <v>605</v>
      </c>
      <c r="C176" s="24">
        <v>1</v>
      </c>
      <c r="D176" s="24">
        <v>1</v>
      </c>
      <c r="E176" s="24" t="s">
        <v>31</v>
      </c>
    </row>
    <row r="177" spans="1:5">
      <c r="A177" s="23">
        <v>15</v>
      </c>
      <c r="B177" s="24" t="s">
        <v>605</v>
      </c>
      <c r="C177" s="24">
        <v>2</v>
      </c>
      <c r="D177" s="24">
        <v>3</v>
      </c>
      <c r="E177" s="24" t="s">
        <v>95</v>
      </c>
    </row>
    <row r="178" spans="1:5">
      <c r="A178" s="23">
        <v>15</v>
      </c>
      <c r="B178" s="24" t="s">
        <v>605</v>
      </c>
      <c r="C178" s="24">
        <v>3</v>
      </c>
      <c r="D178" s="24">
        <v>3</v>
      </c>
      <c r="E178" s="24" t="s">
        <v>129</v>
      </c>
    </row>
    <row r="179" spans="1:5">
      <c r="A179" s="23">
        <v>15</v>
      </c>
      <c r="B179" s="24" t="s">
        <v>605</v>
      </c>
      <c r="C179" s="24">
        <v>4</v>
      </c>
      <c r="D179" s="24">
        <v>3</v>
      </c>
      <c r="E179" s="24" t="s">
        <v>116</v>
      </c>
    </row>
    <row r="180" spans="1:5">
      <c r="A180" s="23">
        <v>15</v>
      </c>
      <c r="B180" s="24" t="s">
        <v>606</v>
      </c>
      <c r="C180" s="24">
        <v>1</v>
      </c>
      <c r="D180" s="24">
        <v>1</v>
      </c>
      <c r="E180" s="24" t="s">
        <v>29</v>
      </c>
    </row>
    <row r="181" spans="1:5">
      <c r="A181" s="23">
        <v>15</v>
      </c>
      <c r="B181" s="24" t="s">
        <v>606</v>
      </c>
      <c r="C181" s="24">
        <v>2</v>
      </c>
      <c r="D181" s="24">
        <v>1</v>
      </c>
      <c r="E181" s="24" t="s">
        <v>30</v>
      </c>
    </row>
    <row r="182" spans="1:5">
      <c r="A182" s="23">
        <v>15</v>
      </c>
      <c r="B182" s="24" t="s">
        <v>606</v>
      </c>
      <c r="C182" s="24">
        <v>3</v>
      </c>
      <c r="D182" s="24">
        <v>4</v>
      </c>
      <c r="E182" s="24" t="s">
        <v>150</v>
      </c>
    </row>
    <row r="183" spans="1:5">
      <c r="A183" s="23">
        <v>15</v>
      </c>
      <c r="B183" s="24" t="s">
        <v>606</v>
      </c>
      <c r="C183" s="24">
        <v>4</v>
      </c>
      <c r="D183" s="24">
        <v>4</v>
      </c>
      <c r="E183" s="24" t="s">
        <v>139</v>
      </c>
    </row>
    <row r="184" spans="1:5">
      <c r="A184" s="22">
        <v>16</v>
      </c>
      <c r="B184" s="21" t="s">
        <v>604</v>
      </c>
      <c r="C184" s="21">
        <v>1</v>
      </c>
      <c r="D184" s="21">
        <v>1</v>
      </c>
      <c r="E184" s="21" t="s">
        <v>327</v>
      </c>
    </row>
    <row r="185" spans="1:5">
      <c r="A185" s="22">
        <v>16</v>
      </c>
      <c r="B185" s="21" t="s">
        <v>604</v>
      </c>
      <c r="C185" s="21">
        <v>2</v>
      </c>
      <c r="D185" s="21">
        <v>1</v>
      </c>
      <c r="E185" s="21" t="s">
        <v>326</v>
      </c>
    </row>
    <row r="186" spans="1:5">
      <c r="A186" s="22">
        <v>16</v>
      </c>
      <c r="B186" s="21" t="s">
        <v>604</v>
      </c>
      <c r="C186" s="21">
        <v>3</v>
      </c>
      <c r="D186" s="21">
        <v>3</v>
      </c>
      <c r="E186" s="21" t="s">
        <v>371</v>
      </c>
    </row>
    <row r="187" spans="1:5">
      <c r="A187" s="22">
        <v>16</v>
      </c>
      <c r="B187" s="21" t="s">
        <v>604</v>
      </c>
      <c r="C187" s="21">
        <v>4</v>
      </c>
      <c r="D187" s="21">
        <v>4</v>
      </c>
      <c r="E187" s="21" t="s">
        <v>386</v>
      </c>
    </row>
    <row r="188" spans="1:5">
      <c r="A188" s="22">
        <v>16</v>
      </c>
      <c r="B188" s="21" t="s">
        <v>605</v>
      </c>
      <c r="C188" s="21">
        <v>1</v>
      </c>
      <c r="D188" s="21">
        <v>2</v>
      </c>
      <c r="E188" s="21" t="s">
        <v>370</v>
      </c>
    </row>
    <row r="189" spans="1:5">
      <c r="A189" s="22">
        <v>16</v>
      </c>
      <c r="B189" s="21" t="s">
        <v>605</v>
      </c>
      <c r="C189" s="21">
        <v>2</v>
      </c>
      <c r="D189" s="21">
        <v>1</v>
      </c>
      <c r="E189" s="21" t="s">
        <v>325</v>
      </c>
    </row>
    <row r="190" spans="1:5">
      <c r="A190" s="22">
        <v>16</v>
      </c>
      <c r="B190" s="21" t="s">
        <v>605</v>
      </c>
      <c r="C190" s="21">
        <v>3</v>
      </c>
      <c r="D190" s="21">
        <v>4</v>
      </c>
      <c r="E190" s="21" t="s">
        <v>392</v>
      </c>
    </row>
    <row r="191" spans="1:5">
      <c r="A191" s="22">
        <v>16</v>
      </c>
      <c r="B191" s="21" t="s">
        <v>605</v>
      </c>
      <c r="C191" s="21">
        <v>4</v>
      </c>
      <c r="D191" s="21">
        <v>4</v>
      </c>
      <c r="E191" s="21" t="s">
        <v>384</v>
      </c>
    </row>
    <row r="192" spans="1:5">
      <c r="A192" s="22">
        <v>16</v>
      </c>
      <c r="B192" s="21" t="s">
        <v>606</v>
      </c>
      <c r="C192" s="21">
        <v>1</v>
      </c>
      <c r="D192" s="21">
        <v>2</v>
      </c>
      <c r="E192" s="21" t="s">
        <v>352</v>
      </c>
    </row>
    <row r="193" spans="1:5">
      <c r="A193" s="22">
        <v>16</v>
      </c>
      <c r="B193" s="21" t="s">
        <v>606</v>
      </c>
      <c r="C193" s="21">
        <v>2</v>
      </c>
      <c r="D193" s="21">
        <v>3</v>
      </c>
      <c r="E193" s="21" t="s">
        <v>367</v>
      </c>
    </row>
    <row r="194" spans="1:5">
      <c r="A194" s="22">
        <v>16</v>
      </c>
      <c r="B194" s="21" t="s">
        <v>606</v>
      </c>
      <c r="C194" s="21">
        <v>3</v>
      </c>
      <c r="D194" s="21">
        <v>3</v>
      </c>
      <c r="E194" s="21" t="s">
        <v>375</v>
      </c>
    </row>
    <row r="195" spans="1:5">
      <c r="A195" s="22">
        <v>16</v>
      </c>
      <c r="B195" s="21" t="s">
        <v>606</v>
      </c>
      <c r="C195" s="21">
        <v>4</v>
      </c>
      <c r="D195" s="21">
        <v>2</v>
      </c>
      <c r="E195" s="21" t="s">
        <v>351</v>
      </c>
    </row>
    <row r="196" spans="1:5">
      <c r="A196" s="23">
        <v>17</v>
      </c>
      <c r="B196" s="24" t="s">
        <v>604</v>
      </c>
      <c r="C196" s="24">
        <v>1</v>
      </c>
      <c r="D196" s="24">
        <v>1</v>
      </c>
      <c r="E196" s="24" t="s">
        <v>328</v>
      </c>
    </row>
    <row r="197" spans="1:5">
      <c r="A197" s="23">
        <v>17</v>
      </c>
      <c r="B197" s="24" t="s">
        <v>604</v>
      </c>
      <c r="C197" s="24">
        <v>2</v>
      </c>
      <c r="D197" s="24">
        <v>4</v>
      </c>
      <c r="E197" s="24" t="s">
        <v>152</v>
      </c>
    </row>
    <row r="198" spans="1:5">
      <c r="A198" s="23">
        <v>17</v>
      </c>
      <c r="B198" s="24" t="s">
        <v>604</v>
      </c>
      <c r="C198" s="24">
        <v>3</v>
      </c>
      <c r="D198" s="24">
        <v>2</v>
      </c>
      <c r="E198" s="24" t="s">
        <v>75</v>
      </c>
    </row>
    <row r="199" spans="1:5">
      <c r="A199" s="23">
        <v>17</v>
      </c>
      <c r="B199" s="24" t="s">
        <v>604</v>
      </c>
      <c r="C199" s="24">
        <v>4</v>
      </c>
      <c r="D199" s="24">
        <v>2</v>
      </c>
      <c r="E199" s="24" t="s">
        <v>345</v>
      </c>
    </row>
    <row r="200" spans="1:5">
      <c r="A200" s="23">
        <v>17</v>
      </c>
      <c r="B200" s="24" t="s">
        <v>605</v>
      </c>
      <c r="C200" s="24">
        <v>1</v>
      </c>
      <c r="D200" s="24">
        <v>1</v>
      </c>
      <c r="E200" s="24" t="s">
        <v>329</v>
      </c>
    </row>
    <row r="201" spans="1:5">
      <c r="A201" s="23">
        <v>17</v>
      </c>
      <c r="B201" s="24" t="s">
        <v>605</v>
      </c>
      <c r="C201" s="24">
        <v>2</v>
      </c>
      <c r="D201" s="24">
        <v>4</v>
      </c>
      <c r="E201" s="24" t="s">
        <v>390</v>
      </c>
    </row>
    <row r="202" spans="1:5">
      <c r="A202" s="23">
        <v>17</v>
      </c>
      <c r="B202" s="24" t="s">
        <v>605</v>
      </c>
      <c r="C202" s="24">
        <v>3</v>
      </c>
      <c r="D202" s="24">
        <v>3</v>
      </c>
      <c r="E202" s="24" t="s">
        <v>364</v>
      </c>
    </row>
    <row r="203" spans="1:5">
      <c r="A203" s="23">
        <v>17</v>
      </c>
      <c r="B203" s="24" t="s">
        <v>605</v>
      </c>
      <c r="C203" s="24">
        <v>4</v>
      </c>
      <c r="D203" s="24">
        <v>4</v>
      </c>
      <c r="E203" s="24" t="s">
        <v>379</v>
      </c>
    </row>
    <row r="204" spans="1:5">
      <c r="A204" s="23">
        <v>17</v>
      </c>
      <c r="B204" s="24" t="s">
        <v>606</v>
      </c>
      <c r="C204" s="24">
        <v>1</v>
      </c>
      <c r="D204" s="24">
        <v>1</v>
      </c>
      <c r="E204" s="24" t="s">
        <v>21</v>
      </c>
    </row>
    <row r="205" spans="1:5">
      <c r="A205" s="23">
        <v>17</v>
      </c>
      <c r="B205" s="24" t="s">
        <v>606</v>
      </c>
      <c r="C205" s="24">
        <v>2</v>
      </c>
      <c r="D205" s="24">
        <v>3</v>
      </c>
      <c r="E205" s="24" t="s">
        <v>258</v>
      </c>
    </row>
    <row r="206" spans="1:5">
      <c r="A206" s="23">
        <v>17</v>
      </c>
      <c r="B206" s="24" t="s">
        <v>606</v>
      </c>
      <c r="C206" s="24">
        <v>3</v>
      </c>
      <c r="D206" s="24">
        <v>2</v>
      </c>
      <c r="E206" s="24" t="s">
        <v>241</v>
      </c>
    </row>
    <row r="207" spans="1:5">
      <c r="A207" s="23">
        <v>17</v>
      </c>
      <c r="B207" s="24" t="s">
        <v>606</v>
      </c>
      <c r="C207" s="24">
        <v>4</v>
      </c>
      <c r="D207" s="24">
        <v>3</v>
      </c>
      <c r="E207" s="24" t="s">
        <v>126</v>
      </c>
    </row>
    <row r="208" spans="1:5">
      <c r="A208" s="22">
        <v>18</v>
      </c>
      <c r="B208" s="21" t="s">
        <v>604</v>
      </c>
      <c r="C208" s="21">
        <v>1</v>
      </c>
      <c r="D208" s="21">
        <v>1</v>
      </c>
      <c r="E208" s="21" t="s">
        <v>25</v>
      </c>
    </row>
    <row r="209" spans="1:5">
      <c r="A209" s="22">
        <v>18</v>
      </c>
      <c r="B209" s="21" t="s">
        <v>604</v>
      </c>
      <c r="C209" s="21">
        <v>2</v>
      </c>
      <c r="D209" s="21">
        <v>2</v>
      </c>
      <c r="E209" s="21" t="s">
        <v>68</v>
      </c>
    </row>
    <row r="210" spans="1:5">
      <c r="A210" s="22">
        <v>18</v>
      </c>
      <c r="B210" s="21" t="s">
        <v>604</v>
      </c>
      <c r="C210" s="21">
        <v>3</v>
      </c>
      <c r="D210" s="21">
        <v>2</v>
      </c>
      <c r="E210" s="21" t="s">
        <v>353</v>
      </c>
    </row>
    <row r="211" spans="1:5">
      <c r="A211" s="22">
        <v>18</v>
      </c>
      <c r="B211" s="21" t="s">
        <v>604</v>
      </c>
      <c r="C211" s="21">
        <v>4</v>
      </c>
      <c r="D211" s="21">
        <v>4</v>
      </c>
      <c r="E211" s="21" t="s">
        <v>148</v>
      </c>
    </row>
    <row r="212" spans="1:5">
      <c r="A212" s="22">
        <v>18</v>
      </c>
      <c r="B212" s="21" t="s">
        <v>605</v>
      </c>
      <c r="C212" s="21">
        <v>1</v>
      </c>
      <c r="D212" s="21">
        <v>2</v>
      </c>
      <c r="E212" s="21" t="s">
        <v>76</v>
      </c>
    </row>
    <row r="213" spans="1:5">
      <c r="A213" s="22">
        <v>18</v>
      </c>
      <c r="B213" s="21" t="s">
        <v>605</v>
      </c>
      <c r="C213" s="21">
        <v>2</v>
      </c>
      <c r="D213" s="21">
        <v>3</v>
      </c>
      <c r="E213" s="21" t="s">
        <v>368</v>
      </c>
    </row>
    <row r="214" spans="1:5">
      <c r="A214" s="22">
        <v>18</v>
      </c>
      <c r="B214" s="21" t="s">
        <v>605</v>
      </c>
      <c r="C214" s="21">
        <v>3</v>
      </c>
      <c r="D214" s="21">
        <v>3</v>
      </c>
      <c r="E214" s="21" t="s">
        <v>112</v>
      </c>
    </row>
    <row r="215" spans="1:5">
      <c r="A215" s="22">
        <v>18</v>
      </c>
      <c r="B215" s="21" t="s">
        <v>605</v>
      </c>
      <c r="C215" s="21">
        <v>4</v>
      </c>
      <c r="D215" s="21">
        <v>3</v>
      </c>
      <c r="E215" s="21" t="s">
        <v>127</v>
      </c>
    </row>
    <row r="216" spans="1:5">
      <c r="A216" s="22">
        <v>18</v>
      </c>
      <c r="B216" s="21" t="s">
        <v>606</v>
      </c>
      <c r="C216" s="21">
        <v>1</v>
      </c>
      <c r="D216" s="21">
        <v>1</v>
      </c>
      <c r="E216" s="21" t="s">
        <v>24</v>
      </c>
    </row>
    <row r="217" spans="1:5">
      <c r="A217" s="22">
        <v>18</v>
      </c>
      <c r="B217" s="21" t="s">
        <v>606</v>
      </c>
      <c r="C217" s="21">
        <v>2</v>
      </c>
      <c r="D217" s="21">
        <v>1</v>
      </c>
      <c r="E217" s="21" t="s">
        <v>330</v>
      </c>
    </row>
    <row r="218" spans="1:5">
      <c r="A218" s="22">
        <v>18</v>
      </c>
      <c r="B218" s="21" t="s">
        <v>606</v>
      </c>
      <c r="C218" s="21">
        <v>3</v>
      </c>
      <c r="D218" s="21">
        <v>4</v>
      </c>
      <c r="E218" s="21" t="s">
        <v>153</v>
      </c>
    </row>
    <row r="219" spans="1:5">
      <c r="A219" s="22">
        <v>18</v>
      </c>
      <c r="B219" s="21" t="s">
        <v>606</v>
      </c>
      <c r="C219" s="21">
        <v>4</v>
      </c>
      <c r="D219" s="21">
        <v>4</v>
      </c>
      <c r="E219" s="21" t="s">
        <v>396</v>
      </c>
    </row>
    <row r="220" spans="1:5">
      <c r="A220" s="23">
        <v>19</v>
      </c>
      <c r="B220" s="24" t="s">
        <v>604</v>
      </c>
      <c r="C220" s="24">
        <v>1</v>
      </c>
      <c r="D220" s="24">
        <v>1</v>
      </c>
      <c r="E220" s="24" t="s">
        <v>331</v>
      </c>
    </row>
    <row r="221" spans="1:5">
      <c r="A221" s="23">
        <v>19</v>
      </c>
      <c r="B221" s="24" t="s">
        <v>604</v>
      </c>
      <c r="C221" s="24">
        <v>2</v>
      </c>
      <c r="D221" s="24">
        <v>2</v>
      </c>
      <c r="E221" s="24" t="s">
        <v>359</v>
      </c>
    </row>
    <row r="222" spans="1:5">
      <c r="A222" s="23">
        <v>19</v>
      </c>
      <c r="B222" s="24" t="s">
        <v>604</v>
      </c>
      <c r="C222" s="24">
        <v>3</v>
      </c>
      <c r="D222" s="24">
        <v>3</v>
      </c>
      <c r="E222" s="24" t="s">
        <v>105</v>
      </c>
    </row>
    <row r="223" spans="1:5">
      <c r="A223" s="23">
        <v>19</v>
      </c>
      <c r="B223" s="24" t="s">
        <v>604</v>
      </c>
      <c r="C223" s="24">
        <v>4</v>
      </c>
      <c r="D223" s="24">
        <v>1</v>
      </c>
      <c r="E223" s="24" t="s">
        <v>332</v>
      </c>
    </row>
    <row r="224" spans="1:5">
      <c r="A224" s="23">
        <v>19</v>
      </c>
      <c r="B224" s="24" t="s">
        <v>605</v>
      </c>
      <c r="C224" s="24">
        <v>1</v>
      </c>
      <c r="D224" s="24">
        <v>1</v>
      </c>
      <c r="E224" s="24" t="s">
        <v>27</v>
      </c>
    </row>
    <row r="225" spans="1:5">
      <c r="A225" s="23">
        <v>19</v>
      </c>
      <c r="B225" s="24" t="s">
        <v>605</v>
      </c>
      <c r="C225" s="24">
        <v>2</v>
      </c>
      <c r="D225" s="24">
        <v>4</v>
      </c>
      <c r="E225" s="24" t="s">
        <v>381</v>
      </c>
    </row>
    <row r="226" spans="1:5">
      <c r="A226" s="23">
        <v>19</v>
      </c>
      <c r="B226" s="24" t="s">
        <v>605</v>
      </c>
      <c r="C226" s="24">
        <v>3</v>
      </c>
      <c r="D226" s="24">
        <v>4</v>
      </c>
      <c r="E226" s="24" t="s">
        <v>143</v>
      </c>
    </row>
    <row r="227" spans="1:5">
      <c r="A227" s="23">
        <v>19</v>
      </c>
      <c r="B227" s="24" t="s">
        <v>605</v>
      </c>
      <c r="C227" s="24">
        <v>4</v>
      </c>
      <c r="D227" s="24">
        <v>4</v>
      </c>
      <c r="E227" s="24" t="s">
        <v>266</v>
      </c>
    </row>
    <row r="228" spans="1:5">
      <c r="A228" s="23">
        <v>19</v>
      </c>
      <c r="B228" s="24" t="s">
        <v>606</v>
      </c>
      <c r="C228" s="24">
        <v>1</v>
      </c>
      <c r="D228" s="24">
        <v>2</v>
      </c>
      <c r="E228" s="24" t="s">
        <v>236</v>
      </c>
    </row>
    <row r="229" spans="1:5">
      <c r="A229" s="23">
        <v>19</v>
      </c>
      <c r="B229" s="24" t="s">
        <v>606</v>
      </c>
      <c r="C229" s="24">
        <v>2</v>
      </c>
      <c r="D229" s="24">
        <v>3</v>
      </c>
      <c r="E229" s="24" t="s">
        <v>376</v>
      </c>
    </row>
    <row r="230" spans="1:5">
      <c r="A230" s="23">
        <v>19</v>
      </c>
      <c r="B230" s="24" t="s">
        <v>606</v>
      </c>
      <c r="C230" s="24">
        <v>3</v>
      </c>
      <c r="D230" s="24">
        <v>2</v>
      </c>
      <c r="E230" s="24" t="s">
        <v>58</v>
      </c>
    </row>
    <row r="231" spans="1:5">
      <c r="A231" s="23">
        <v>19</v>
      </c>
      <c r="B231" s="24" t="s">
        <v>606</v>
      </c>
      <c r="C231" s="24">
        <v>4</v>
      </c>
      <c r="D231" s="24">
        <v>3</v>
      </c>
      <c r="E231" s="24" t="s">
        <v>252</v>
      </c>
    </row>
    <row r="232" spans="1:5">
      <c r="A232" s="22">
        <v>20</v>
      </c>
      <c r="B232" s="21" t="s">
        <v>604</v>
      </c>
      <c r="C232" s="21">
        <v>1</v>
      </c>
      <c r="D232" s="21">
        <v>2</v>
      </c>
      <c r="E232" s="21" t="s">
        <v>341</v>
      </c>
    </row>
    <row r="233" spans="1:5">
      <c r="A233" s="22">
        <v>20</v>
      </c>
      <c r="B233" s="21" t="s">
        <v>604</v>
      </c>
      <c r="C233" s="21">
        <v>2</v>
      </c>
      <c r="D233" s="21">
        <v>4</v>
      </c>
      <c r="E233" s="21" t="s">
        <v>382</v>
      </c>
    </row>
    <row r="234" spans="1:5">
      <c r="A234" s="22">
        <v>20</v>
      </c>
      <c r="B234" s="21" t="s">
        <v>604</v>
      </c>
      <c r="C234" s="21">
        <v>3</v>
      </c>
      <c r="D234" s="21">
        <v>4</v>
      </c>
      <c r="E234" s="21" t="s">
        <v>395</v>
      </c>
    </row>
    <row r="235" spans="1:5">
      <c r="A235" s="22">
        <v>20</v>
      </c>
      <c r="B235" s="21" t="s">
        <v>604</v>
      </c>
      <c r="C235" s="21">
        <v>4</v>
      </c>
      <c r="D235" s="21">
        <v>3</v>
      </c>
      <c r="E235" s="21" t="s">
        <v>377</v>
      </c>
    </row>
    <row r="236" spans="1:5">
      <c r="A236" s="22">
        <v>20</v>
      </c>
      <c r="B236" s="21" t="s">
        <v>605</v>
      </c>
      <c r="C236" s="21">
        <v>1</v>
      </c>
      <c r="D236" s="21">
        <v>1</v>
      </c>
      <c r="E236" s="21" t="s">
        <v>333</v>
      </c>
    </row>
    <row r="237" spans="1:5">
      <c r="A237" s="22">
        <v>20</v>
      </c>
      <c r="B237" s="21" t="s">
        <v>605</v>
      </c>
      <c r="C237" s="21">
        <v>2</v>
      </c>
      <c r="D237" s="21">
        <v>2</v>
      </c>
      <c r="E237" s="21" t="s">
        <v>350</v>
      </c>
    </row>
    <row r="238" spans="1:5">
      <c r="A238" s="22">
        <v>20</v>
      </c>
      <c r="B238" s="21" t="s">
        <v>605</v>
      </c>
      <c r="C238" s="21">
        <v>3</v>
      </c>
      <c r="D238" s="21">
        <v>3</v>
      </c>
      <c r="E238" s="21" t="s">
        <v>372</v>
      </c>
    </row>
    <row r="239" spans="1:5">
      <c r="A239" s="22">
        <v>20</v>
      </c>
      <c r="B239" s="21" t="s">
        <v>605</v>
      </c>
      <c r="C239" s="21">
        <v>4</v>
      </c>
      <c r="D239" s="21">
        <v>3</v>
      </c>
      <c r="E239" s="21" t="s">
        <v>361</v>
      </c>
    </row>
    <row r="240" spans="1:5">
      <c r="A240" s="22">
        <v>20</v>
      </c>
      <c r="B240" s="21" t="s">
        <v>606</v>
      </c>
      <c r="C240" s="21">
        <v>1</v>
      </c>
      <c r="D240" s="21">
        <v>1</v>
      </c>
      <c r="E240" s="21" t="s">
        <v>335</v>
      </c>
    </row>
    <row r="241" spans="1:28">
      <c r="A241" s="22">
        <v>20</v>
      </c>
      <c r="B241" s="21" t="s">
        <v>606</v>
      </c>
      <c r="C241" s="21">
        <v>2</v>
      </c>
      <c r="D241" s="21">
        <v>1</v>
      </c>
      <c r="E241" s="21" t="s">
        <v>334</v>
      </c>
    </row>
    <row r="242" spans="1:28">
      <c r="A242" s="22">
        <v>20</v>
      </c>
      <c r="B242" s="21" t="s">
        <v>606</v>
      </c>
      <c r="C242" s="21">
        <v>3</v>
      </c>
      <c r="D242" s="21">
        <v>2</v>
      </c>
      <c r="E242" s="21" t="s">
        <v>356</v>
      </c>
    </row>
    <row r="243" spans="1:28">
      <c r="A243" s="22">
        <v>20</v>
      </c>
      <c r="B243" s="21" t="s">
        <v>606</v>
      </c>
      <c r="C243" s="21">
        <v>4</v>
      </c>
      <c r="D243" s="21">
        <v>4</v>
      </c>
      <c r="E243" s="21" t="s">
        <v>383</v>
      </c>
    </row>
    <row r="244" spans="1:28">
      <c r="A244" s="23">
        <v>21</v>
      </c>
      <c r="B244" s="2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4" s="24">
        <v>1</v>
      </c>
      <c r="D244" s="24" t="s">
        <v>479</v>
      </c>
      <c r="E244" s="24" t="s">
        <v>397</v>
      </c>
    </row>
    <row r="245" spans="1:28">
      <c r="A245" s="23">
        <v>21</v>
      </c>
      <c r="B245" s="2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5" s="24">
        <v>2</v>
      </c>
      <c r="D245" s="24" t="s">
        <v>479</v>
      </c>
      <c r="E245" s="24" t="s">
        <v>373</v>
      </c>
    </row>
    <row r="246" spans="1:28">
      <c r="A246" s="22">
        <v>22</v>
      </c>
      <c r="B246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46" s="21">
        <v>1</v>
      </c>
      <c r="D246" s="21" t="s">
        <v>479</v>
      </c>
      <c r="E246" s="21" t="s">
        <v>374</v>
      </c>
    </row>
    <row r="249" spans="1:28" ht="15.5">
      <c r="B249" s="41" t="s">
        <v>877</v>
      </c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pans="1:28">
      <c r="B250" s="42" t="s">
        <v>608</v>
      </c>
      <c r="C250" s="43" t="s">
        <v>762</v>
      </c>
      <c r="D250" s="43"/>
      <c r="E250" s="43"/>
      <c r="F250" s="43" t="s">
        <v>610</v>
      </c>
      <c r="G250" s="43"/>
      <c r="H250" s="46"/>
      <c r="I250" s="42" t="s">
        <v>608</v>
      </c>
      <c r="J250" s="43" t="s">
        <v>884</v>
      </c>
      <c r="K250" s="43"/>
      <c r="L250" s="43"/>
      <c r="M250" s="43" t="s">
        <v>610</v>
      </c>
      <c r="N250" s="43"/>
      <c r="O250" s="46"/>
      <c r="P250" s="42" t="s">
        <v>608</v>
      </c>
      <c r="Q250" s="43" t="s">
        <v>891</v>
      </c>
      <c r="R250" s="43"/>
      <c r="S250" s="43"/>
      <c r="T250" s="43" t="s">
        <v>610</v>
      </c>
      <c r="U250" s="43"/>
      <c r="V250" s="46"/>
      <c r="W250" s="42" t="s">
        <v>608</v>
      </c>
      <c r="X250" s="43" t="s">
        <v>898</v>
      </c>
      <c r="Y250" s="43"/>
      <c r="Z250" s="43"/>
      <c r="AA250" s="43" t="s">
        <v>610</v>
      </c>
      <c r="AB250" s="43"/>
    </row>
    <row r="251" spans="1:28">
      <c r="B251" s="44">
        <v>1</v>
      </c>
      <c r="C251" s="45" t="s">
        <v>878</v>
      </c>
      <c r="D251" s="45"/>
      <c r="E251" s="45"/>
      <c r="F251" s="45" t="s">
        <v>611</v>
      </c>
      <c r="G251" s="45"/>
      <c r="H251" s="46"/>
      <c r="I251" s="44">
        <v>7</v>
      </c>
      <c r="J251" s="45" t="s">
        <v>885</v>
      </c>
      <c r="K251" s="45"/>
      <c r="L251" s="45"/>
      <c r="M251" s="45" t="s">
        <v>611</v>
      </c>
      <c r="N251" s="45"/>
      <c r="O251" s="46"/>
      <c r="P251" s="44">
        <v>13</v>
      </c>
      <c r="Q251" s="45" t="s">
        <v>892</v>
      </c>
      <c r="R251" s="45"/>
      <c r="S251" s="45"/>
      <c r="T251" s="45" t="s">
        <v>613</v>
      </c>
      <c r="U251" s="45"/>
      <c r="V251" s="46"/>
      <c r="W251" s="44">
        <v>19</v>
      </c>
      <c r="X251" s="45" t="s">
        <v>899</v>
      </c>
      <c r="Y251" s="45"/>
      <c r="Z251" s="45"/>
      <c r="AA251" s="45" t="s">
        <v>613</v>
      </c>
      <c r="AB251" s="45"/>
    </row>
    <row r="252" spans="1:28">
      <c r="B252" s="44">
        <v>2</v>
      </c>
      <c r="C252" s="45" t="s">
        <v>879</v>
      </c>
      <c r="D252" s="45"/>
      <c r="E252" s="45"/>
      <c r="F252" s="45" t="s">
        <v>613</v>
      </c>
      <c r="G252" s="45"/>
      <c r="H252" s="46"/>
      <c r="I252" s="44">
        <v>8</v>
      </c>
      <c r="J252" s="45" t="s">
        <v>886</v>
      </c>
      <c r="K252" s="45"/>
      <c r="L252" s="45"/>
      <c r="M252" s="45" t="s">
        <v>613</v>
      </c>
      <c r="N252" s="45"/>
      <c r="O252" s="46"/>
      <c r="P252" s="44">
        <v>14</v>
      </c>
      <c r="Q252" s="45" t="s">
        <v>893</v>
      </c>
      <c r="R252" s="45"/>
      <c r="S252" s="45"/>
      <c r="T252" s="45" t="s">
        <v>613</v>
      </c>
      <c r="U252" s="45"/>
      <c r="V252" s="46"/>
      <c r="W252" s="44">
        <v>20</v>
      </c>
      <c r="X252" s="45" t="s">
        <v>900</v>
      </c>
      <c r="Y252" s="45"/>
      <c r="Z252" s="45"/>
      <c r="AA252" s="45" t="s">
        <v>615</v>
      </c>
      <c r="AB252" s="45"/>
    </row>
    <row r="253" spans="1:28">
      <c r="B253" s="44">
        <v>3</v>
      </c>
      <c r="C253" s="45" t="s">
        <v>880</v>
      </c>
      <c r="D253" s="45"/>
      <c r="E253" s="45"/>
      <c r="F253" s="45" t="s">
        <v>615</v>
      </c>
      <c r="G253" s="45"/>
      <c r="H253" s="46"/>
      <c r="I253" s="44">
        <v>9</v>
      </c>
      <c r="J253" s="45" t="s">
        <v>887</v>
      </c>
      <c r="K253" s="45"/>
      <c r="L253" s="45"/>
      <c r="M253" s="45" t="s">
        <v>615</v>
      </c>
      <c r="N253" s="45"/>
      <c r="O253" s="46"/>
      <c r="P253" s="44">
        <v>15</v>
      </c>
      <c r="Q253" s="45" t="s">
        <v>894</v>
      </c>
      <c r="R253" s="45"/>
      <c r="S253" s="45"/>
      <c r="T253" s="45" t="s">
        <v>615</v>
      </c>
      <c r="U253" s="45"/>
      <c r="V253" s="46"/>
      <c r="W253" s="44">
        <v>21</v>
      </c>
      <c r="X253" s="45" t="s">
        <v>901</v>
      </c>
      <c r="Y253" s="45"/>
      <c r="Z253" s="45"/>
      <c r="AA253" s="45" t="s">
        <v>615</v>
      </c>
      <c r="AB253" s="45"/>
    </row>
    <row r="254" spans="1:28">
      <c r="B254" s="44">
        <v>4</v>
      </c>
      <c r="C254" s="45" t="s">
        <v>881</v>
      </c>
      <c r="D254" s="45"/>
      <c r="E254" s="45"/>
      <c r="F254" s="45" t="s">
        <v>615</v>
      </c>
      <c r="G254" s="45"/>
      <c r="H254" s="46"/>
      <c r="I254" s="44">
        <v>10</v>
      </c>
      <c r="J254" s="45" t="s">
        <v>888</v>
      </c>
      <c r="K254" s="45"/>
      <c r="L254" s="45"/>
      <c r="M254" s="45" t="s">
        <v>615</v>
      </c>
      <c r="N254" s="45"/>
      <c r="O254" s="46"/>
      <c r="P254" s="44">
        <v>16</v>
      </c>
      <c r="Q254" s="45" t="s">
        <v>895</v>
      </c>
      <c r="R254" s="45"/>
      <c r="S254" s="45"/>
      <c r="T254" s="45" t="s">
        <v>615</v>
      </c>
      <c r="U254" s="45"/>
      <c r="V254" s="46"/>
      <c r="W254" s="44">
        <v>22</v>
      </c>
      <c r="X254" s="45" t="s">
        <v>902</v>
      </c>
      <c r="Y254" s="45"/>
      <c r="Z254" s="45"/>
      <c r="AA254" s="45" t="s">
        <v>615</v>
      </c>
      <c r="AB254" s="45"/>
    </row>
    <row r="255" spans="1:28">
      <c r="B255" s="44">
        <v>5</v>
      </c>
      <c r="C255" s="45" t="s">
        <v>882</v>
      </c>
      <c r="D255" s="45"/>
      <c r="E255" s="45"/>
      <c r="F255" s="45" t="s">
        <v>615</v>
      </c>
      <c r="G255" s="45"/>
      <c r="H255" s="46"/>
      <c r="I255" s="44">
        <v>11</v>
      </c>
      <c r="J255" s="45" t="s">
        <v>889</v>
      </c>
      <c r="K255" s="45"/>
      <c r="L255" s="45"/>
      <c r="M255" s="45" t="s">
        <v>615</v>
      </c>
      <c r="N255" s="45"/>
      <c r="O255" s="46"/>
      <c r="P255" s="44">
        <v>17</v>
      </c>
      <c r="Q255" s="45" t="s">
        <v>896</v>
      </c>
      <c r="R255" s="45"/>
      <c r="S255" s="45"/>
      <c r="T255" s="45" t="s">
        <v>615</v>
      </c>
      <c r="U255" s="45"/>
      <c r="V255" s="46"/>
      <c r="W255" s="44">
        <v>23</v>
      </c>
      <c r="X255" s="45" t="s">
        <v>903</v>
      </c>
      <c r="Y255" s="45"/>
      <c r="Z255" s="45"/>
      <c r="AA255" s="45" t="s">
        <v>615</v>
      </c>
      <c r="AB255" s="45"/>
    </row>
    <row r="256" spans="1:28">
      <c r="B256" s="44">
        <v>6</v>
      </c>
      <c r="C256" s="45" t="s">
        <v>883</v>
      </c>
      <c r="D256" s="45"/>
      <c r="E256" s="45"/>
      <c r="F256" s="45" t="s">
        <v>615</v>
      </c>
      <c r="G256" s="45"/>
      <c r="H256" s="46"/>
      <c r="I256" s="44">
        <v>12</v>
      </c>
      <c r="J256" s="45" t="s">
        <v>890</v>
      </c>
      <c r="K256" s="45"/>
      <c r="L256" s="45"/>
      <c r="M256" s="45" t="s">
        <v>615</v>
      </c>
      <c r="N256" s="45"/>
      <c r="O256" s="46"/>
      <c r="P256" s="44">
        <v>18</v>
      </c>
      <c r="Q256" s="45" t="s">
        <v>897</v>
      </c>
      <c r="R256" s="45"/>
      <c r="S256" s="45"/>
      <c r="T256" s="45" t="s">
        <v>615</v>
      </c>
      <c r="U256" s="45"/>
      <c r="V256" s="46"/>
      <c r="W256" s="44">
        <v>24</v>
      </c>
      <c r="X256" s="45" t="s">
        <v>904</v>
      </c>
      <c r="Y256" s="45"/>
      <c r="Z256" s="45"/>
      <c r="AA256" s="45" t="s">
        <v>615</v>
      </c>
      <c r="AB256" s="45"/>
    </row>
  </sheetData>
  <mergeCells count="58">
    <mergeCell ref="T256:U256"/>
    <mergeCell ref="X250:Z250"/>
    <mergeCell ref="AA250:AB250"/>
    <mergeCell ref="X251:Z251"/>
    <mergeCell ref="AA251:AB251"/>
    <mergeCell ref="X252:Z252"/>
    <mergeCell ref="AA252:AB252"/>
    <mergeCell ref="X253:Z253"/>
    <mergeCell ref="AA253:AB253"/>
    <mergeCell ref="X254:Z254"/>
    <mergeCell ref="AA254:AB254"/>
    <mergeCell ref="X255:Z255"/>
    <mergeCell ref="AA255:AB255"/>
    <mergeCell ref="X256:Z256"/>
    <mergeCell ref="AA256:AB256"/>
    <mergeCell ref="M255:N255"/>
    <mergeCell ref="J256:L256"/>
    <mergeCell ref="M256:N256"/>
    <mergeCell ref="Q250:S250"/>
    <mergeCell ref="T250:U250"/>
    <mergeCell ref="Q251:S251"/>
    <mergeCell ref="T251:U251"/>
    <mergeCell ref="Q252:S252"/>
    <mergeCell ref="T252:U252"/>
    <mergeCell ref="Q253:S253"/>
    <mergeCell ref="T253:U253"/>
    <mergeCell ref="Q254:S254"/>
    <mergeCell ref="T254:U254"/>
    <mergeCell ref="Q255:S255"/>
    <mergeCell ref="T255:U255"/>
    <mergeCell ref="Q256:S256"/>
    <mergeCell ref="M252:N252"/>
    <mergeCell ref="J253:L253"/>
    <mergeCell ref="M253:N253"/>
    <mergeCell ref="J254:L254"/>
    <mergeCell ref="M254:N254"/>
    <mergeCell ref="C255:E255"/>
    <mergeCell ref="F255:G255"/>
    <mergeCell ref="C256:E256"/>
    <mergeCell ref="F256:G256"/>
    <mergeCell ref="J250:L250"/>
    <mergeCell ref="J251:L251"/>
    <mergeCell ref="J252:L252"/>
    <mergeCell ref="J255:L255"/>
    <mergeCell ref="C252:E252"/>
    <mergeCell ref="F252:G252"/>
    <mergeCell ref="C253:E253"/>
    <mergeCell ref="F253:G253"/>
    <mergeCell ref="C254:E254"/>
    <mergeCell ref="F254:G254"/>
    <mergeCell ref="A1:E1"/>
    <mergeCell ref="B249:AB249"/>
    <mergeCell ref="C250:E250"/>
    <mergeCell ref="F250:G250"/>
    <mergeCell ref="C251:E251"/>
    <mergeCell ref="F251:G251"/>
    <mergeCell ref="M250:N250"/>
    <mergeCell ref="M251:N2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05E2-59FF-4F71-AE7D-AF7D5CCC18A9}">
  <dimension ref="A1:U272"/>
  <sheetViews>
    <sheetView showGridLines="0" rightToLeft="1" tabSelected="1" topLeftCell="F1" workbookViewId="0">
      <pane ySplit="3" topLeftCell="A248" activePane="bottomLeft" state="frozen"/>
      <selection pane="bottomLeft" activeCell="T263" sqref="Q263:U266"/>
    </sheetView>
  </sheetViews>
  <sheetFormatPr defaultRowHeight="14.5"/>
  <cols>
    <col min="1" max="1" width="10" customWidth="1"/>
    <col min="2" max="2" width="20" customWidth="1"/>
    <col min="3" max="3" width="10" customWidth="1"/>
    <col min="4" max="4" width="12.7265625" customWidth="1"/>
    <col min="5" max="5" width="40" customWidth="1"/>
    <col min="6" max="7" width="15.453125" customWidth="1"/>
    <col min="8" max="8" width="4.54296875" customWidth="1"/>
    <col min="9" max="14" width="15.453125" customWidth="1"/>
    <col min="15" max="15" width="4.54296875" customWidth="1"/>
    <col min="16" max="21" width="15.453125" customWidth="1"/>
  </cols>
  <sheetData>
    <row r="1" spans="1:5" ht="24" customHeight="1">
      <c r="A1" s="39" t="s">
        <v>538</v>
      </c>
      <c r="B1" s="39"/>
      <c r="C1" s="39"/>
      <c r="D1" s="39"/>
      <c r="E1" s="39"/>
    </row>
    <row r="2" spans="1:5" ht="12" customHeight="1">
      <c r="A2" s="19"/>
      <c r="B2" s="19"/>
      <c r="C2" s="19"/>
      <c r="D2" s="19"/>
      <c r="E2" s="19"/>
    </row>
    <row r="3" spans="1:5" ht="22" customHeight="1">
      <c r="A3" s="20" t="s">
        <v>12</v>
      </c>
      <c r="B3" s="20" t="s">
        <v>13</v>
      </c>
      <c r="C3" s="20" t="s">
        <v>14</v>
      </c>
      <c r="D3" s="20" t="s">
        <v>33</v>
      </c>
      <c r="E3" s="20" t="s">
        <v>15</v>
      </c>
    </row>
    <row r="4" spans="1:5">
      <c r="A4" s="23">
        <v>1</v>
      </c>
      <c r="B4" s="24" t="s">
        <v>604</v>
      </c>
      <c r="C4" s="24">
        <v>1</v>
      </c>
      <c r="D4" s="24">
        <v>1</v>
      </c>
      <c r="E4" s="24" t="s">
        <v>41</v>
      </c>
    </row>
    <row r="5" spans="1:5">
      <c r="A5" s="23">
        <v>1</v>
      </c>
      <c r="B5" s="24" t="s">
        <v>604</v>
      </c>
      <c r="C5" s="24">
        <v>2</v>
      </c>
      <c r="D5" s="24">
        <v>2</v>
      </c>
      <c r="E5" s="24" t="s">
        <v>137</v>
      </c>
    </row>
    <row r="6" spans="1:5">
      <c r="A6" s="23">
        <v>1</v>
      </c>
      <c r="B6" s="24" t="s">
        <v>604</v>
      </c>
      <c r="C6" s="24">
        <v>3</v>
      </c>
      <c r="D6" s="24">
        <v>3</v>
      </c>
      <c r="E6" s="24" t="s">
        <v>204</v>
      </c>
    </row>
    <row r="7" spans="1:5">
      <c r="A7" s="23">
        <v>1</v>
      </c>
      <c r="B7" s="24" t="s">
        <v>604</v>
      </c>
      <c r="C7" s="24">
        <v>4</v>
      </c>
      <c r="D7" s="24">
        <v>3</v>
      </c>
      <c r="E7" s="24" t="s">
        <v>168</v>
      </c>
    </row>
    <row r="8" spans="1:5">
      <c r="A8" s="23">
        <v>1</v>
      </c>
      <c r="B8" s="24" t="s">
        <v>605</v>
      </c>
      <c r="C8" s="24">
        <v>1</v>
      </c>
      <c r="D8" s="24">
        <v>2</v>
      </c>
      <c r="E8" s="24" t="s">
        <v>118</v>
      </c>
    </row>
    <row r="9" spans="1:5">
      <c r="A9" s="23">
        <v>1</v>
      </c>
      <c r="B9" s="24" t="s">
        <v>605</v>
      </c>
      <c r="C9" s="24">
        <v>2</v>
      </c>
      <c r="D9" s="24">
        <v>1</v>
      </c>
      <c r="E9" s="24" t="s">
        <v>49</v>
      </c>
    </row>
    <row r="10" spans="1:5">
      <c r="A10" s="23">
        <v>1</v>
      </c>
      <c r="B10" s="24" t="s">
        <v>605</v>
      </c>
      <c r="C10" s="24">
        <v>3</v>
      </c>
      <c r="D10" s="24">
        <v>1</v>
      </c>
      <c r="E10" s="24" t="s">
        <v>28</v>
      </c>
    </row>
    <row r="11" spans="1:5">
      <c r="A11" s="23">
        <v>1</v>
      </c>
      <c r="B11" s="24" t="s">
        <v>605</v>
      </c>
      <c r="C11" s="24">
        <v>4</v>
      </c>
      <c r="D11" s="24">
        <v>2</v>
      </c>
      <c r="E11" s="24" t="s">
        <v>136</v>
      </c>
    </row>
    <row r="12" spans="1:5">
      <c r="A12" s="23">
        <v>1</v>
      </c>
      <c r="B12" s="24" t="s">
        <v>605</v>
      </c>
      <c r="C12" s="24">
        <v>5</v>
      </c>
      <c r="D12" s="24">
        <v>3</v>
      </c>
      <c r="E12" s="24" t="s">
        <v>205</v>
      </c>
    </row>
    <row r="13" spans="1:5">
      <c r="A13" s="23">
        <v>1</v>
      </c>
      <c r="B13" s="24" t="s">
        <v>606</v>
      </c>
      <c r="C13" s="24">
        <v>1</v>
      </c>
      <c r="D13" s="24">
        <v>1</v>
      </c>
      <c r="E13" s="24" t="s">
        <v>48</v>
      </c>
    </row>
    <row r="14" spans="1:5">
      <c r="A14" s="23">
        <v>1</v>
      </c>
      <c r="B14" s="24" t="s">
        <v>606</v>
      </c>
      <c r="C14" s="24">
        <v>2</v>
      </c>
      <c r="D14" s="24">
        <v>2</v>
      </c>
      <c r="E14" s="24" t="s">
        <v>101</v>
      </c>
    </row>
    <row r="15" spans="1:5">
      <c r="A15" s="23">
        <v>1</v>
      </c>
      <c r="B15" s="24" t="s">
        <v>606</v>
      </c>
      <c r="C15" s="24">
        <v>3</v>
      </c>
      <c r="D15" s="24">
        <v>2</v>
      </c>
      <c r="E15" s="24" t="s">
        <v>109</v>
      </c>
    </row>
    <row r="16" spans="1:5">
      <c r="A16" s="23">
        <v>1</v>
      </c>
      <c r="B16" s="24" t="s">
        <v>606</v>
      </c>
      <c r="C16" s="24">
        <v>4</v>
      </c>
      <c r="D16" s="24">
        <v>3</v>
      </c>
      <c r="E16" s="24" t="s">
        <v>177</v>
      </c>
    </row>
    <row r="17" spans="1:5">
      <c r="A17" s="23">
        <v>1</v>
      </c>
      <c r="B17" s="24" t="s">
        <v>606</v>
      </c>
      <c r="C17" s="24">
        <v>5</v>
      </c>
      <c r="D17" s="24">
        <v>3</v>
      </c>
      <c r="E17" s="24" t="s">
        <v>162</v>
      </c>
    </row>
    <row r="18" spans="1:5">
      <c r="A18" s="22">
        <v>2</v>
      </c>
      <c r="B18" s="21" t="s">
        <v>604</v>
      </c>
      <c r="C18" s="21">
        <v>1</v>
      </c>
      <c r="D18" s="21">
        <v>1</v>
      </c>
      <c r="E18" s="21" t="s">
        <v>50</v>
      </c>
    </row>
    <row r="19" spans="1:5">
      <c r="A19" s="22">
        <v>2</v>
      </c>
      <c r="B19" s="21" t="s">
        <v>604</v>
      </c>
      <c r="C19" s="21">
        <v>2</v>
      </c>
      <c r="D19" s="21">
        <v>1</v>
      </c>
      <c r="E19" s="21" t="s">
        <v>36</v>
      </c>
    </row>
    <row r="20" spans="1:5">
      <c r="A20" s="22">
        <v>2</v>
      </c>
      <c r="B20" s="21" t="s">
        <v>604</v>
      </c>
      <c r="C20" s="21">
        <v>3</v>
      </c>
      <c r="D20" s="21">
        <v>3</v>
      </c>
      <c r="E20" s="21" t="s">
        <v>163</v>
      </c>
    </row>
    <row r="21" spans="1:5">
      <c r="A21" s="22">
        <v>2</v>
      </c>
      <c r="B21" s="21" t="s">
        <v>604</v>
      </c>
      <c r="C21" s="21">
        <v>4</v>
      </c>
      <c r="D21" s="21">
        <v>3</v>
      </c>
      <c r="E21" s="21" t="s">
        <v>287</v>
      </c>
    </row>
    <row r="22" spans="1:5">
      <c r="A22" s="22">
        <v>2</v>
      </c>
      <c r="B22" s="21" t="s">
        <v>605</v>
      </c>
      <c r="C22" s="21">
        <v>1</v>
      </c>
      <c r="D22" s="21">
        <v>2</v>
      </c>
      <c r="E22" s="21" t="s">
        <v>110</v>
      </c>
    </row>
    <row r="23" spans="1:5">
      <c r="A23" s="22">
        <v>2</v>
      </c>
      <c r="B23" s="21" t="s">
        <v>605</v>
      </c>
      <c r="C23" s="21">
        <v>2</v>
      </c>
      <c r="D23" s="21">
        <v>2</v>
      </c>
      <c r="E23" s="21" t="s">
        <v>131</v>
      </c>
    </row>
    <row r="24" spans="1:5">
      <c r="A24" s="22">
        <v>2</v>
      </c>
      <c r="B24" s="21" t="s">
        <v>605</v>
      </c>
      <c r="C24" s="21">
        <v>3</v>
      </c>
      <c r="D24" s="21">
        <v>1</v>
      </c>
      <c r="E24" s="21" t="s">
        <v>30</v>
      </c>
    </row>
    <row r="25" spans="1:5">
      <c r="A25" s="22">
        <v>2</v>
      </c>
      <c r="B25" s="21" t="s">
        <v>605</v>
      </c>
      <c r="C25" s="21">
        <v>4</v>
      </c>
      <c r="D25" s="21">
        <v>2</v>
      </c>
      <c r="E25" s="21" t="s">
        <v>95</v>
      </c>
    </row>
    <row r="26" spans="1:5">
      <c r="A26" s="22">
        <v>2</v>
      </c>
      <c r="B26" s="21" t="s">
        <v>605</v>
      </c>
      <c r="C26" s="21">
        <v>5</v>
      </c>
      <c r="D26" s="21">
        <v>3</v>
      </c>
      <c r="E26" s="21" t="s">
        <v>155</v>
      </c>
    </row>
    <row r="27" spans="1:5">
      <c r="A27" s="22">
        <v>2</v>
      </c>
      <c r="B27" s="21" t="s">
        <v>606</v>
      </c>
      <c r="C27" s="21">
        <v>1</v>
      </c>
      <c r="D27" s="21">
        <v>1</v>
      </c>
      <c r="E27" s="21" t="s">
        <v>31</v>
      </c>
    </row>
    <row r="28" spans="1:5">
      <c r="A28" s="22">
        <v>2</v>
      </c>
      <c r="B28" s="21" t="s">
        <v>606</v>
      </c>
      <c r="C28" s="21">
        <v>2</v>
      </c>
      <c r="D28" s="21">
        <v>2</v>
      </c>
      <c r="E28" s="21" t="s">
        <v>263</v>
      </c>
    </row>
    <row r="29" spans="1:5">
      <c r="A29" s="22">
        <v>2</v>
      </c>
      <c r="B29" s="21" t="s">
        <v>606</v>
      </c>
      <c r="C29" s="21">
        <v>3</v>
      </c>
      <c r="D29" s="21">
        <v>2</v>
      </c>
      <c r="E29" s="21" t="s">
        <v>102</v>
      </c>
    </row>
    <row r="30" spans="1:5">
      <c r="A30" s="22">
        <v>2</v>
      </c>
      <c r="B30" s="21" t="s">
        <v>606</v>
      </c>
      <c r="C30" s="21">
        <v>4</v>
      </c>
      <c r="D30" s="21">
        <v>3</v>
      </c>
      <c r="E30" s="21" t="s">
        <v>539</v>
      </c>
    </row>
    <row r="31" spans="1:5">
      <c r="A31" s="22">
        <v>2</v>
      </c>
      <c r="B31" s="21" t="s">
        <v>606</v>
      </c>
      <c r="C31" s="21">
        <v>5</v>
      </c>
      <c r="D31" s="21">
        <v>3</v>
      </c>
      <c r="E31" s="21" t="s">
        <v>164</v>
      </c>
    </row>
    <row r="32" spans="1:5">
      <c r="A32" s="23">
        <v>3</v>
      </c>
      <c r="B32" s="24" t="s">
        <v>604</v>
      </c>
      <c r="C32" s="24">
        <v>1</v>
      </c>
      <c r="D32" s="24">
        <v>2</v>
      </c>
      <c r="E32" s="24" t="s">
        <v>96</v>
      </c>
    </row>
    <row r="33" spans="1:5">
      <c r="A33" s="23">
        <v>3</v>
      </c>
      <c r="B33" s="24" t="s">
        <v>604</v>
      </c>
      <c r="C33" s="24">
        <v>2</v>
      </c>
      <c r="D33" s="24">
        <v>3</v>
      </c>
      <c r="E33" s="24" t="s">
        <v>169</v>
      </c>
    </row>
    <row r="34" spans="1:5">
      <c r="A34" s="23">
        <v>3</v>
      </c>
      <c r="B34" s="24" t="s">
        <v>604</v>
      </c>
      <c r="C34" s="24">
        <v>3</v>
      </c>
      <c r="D34" s="24">
        <v>2</v>
      </c>
      <c r="E34" s="24" t="s">
        <v>87</v>
      </c>
    </row>
    <row r="35" spans="1:5">
      <c r="A35" s="23">
        <v>3</v>
      </c>
      <c r="B35" s="24" t="s">
        <v>604</v>
      </c>
      <c r="C35" s="24">
        <v>4</v>
      </c>
      <c r="D35" s="24">
        <v>1</v>
      </c>
      <c r="E35" s="24" t="s">
        <v>42</v>
      </c>
    </row>
    <row r="36" spans="1:5">
      <c r="A36" s="23">
        <v>3</v>
      </c>
      <c r="B36" s="24" t="s">
        <v>604</v>
      </c>
      <c r="C36" s="24">
        <v>5</v>
      </c>
      <c r="D36" s="24">
        <v>2</v>
      </c>
      <c r="E36" s="24" t="s">
        <v>264</v>
      </c>
    </row>
    <row r="37" spans="1:5">
      <c r="A37" s="23">
        <v>3</v>
      </c>
      <c r="B37" s="24" t="s">
        <v>605</v>
      </c>
      <c r="C37" s="24">
        <v>1</v>
      </c>
      <c r="D37" s="24">
        <v>1</v>
      </c>
      <c r="E37" s="24" t="s">
        <v>18</v>
      </c>
    </row>
    <row r="38" spans="1:5">
      <c r="A38" s="23">
        <v>3</v>
      </c>
      <c r="B38" s="24" t="s">
        <v>605</v>
      </c>
      <c r="C38" s="24">
        <v>2</v>
      </c>
      <c r="D38" s="24">
        <v>1</v>
      </c>
      <c r="E38" s="24" t="s">
        <v>19</v>
      </c>
    </row>
    <row r="39" spans="1:5">
      <c r="A39" s="23">
        <v>3</v>
      </c>
      <c r="B39" s="24" t="s">
        <v>605</v>
      </c>
      <c r="C39" s="24">
        <v>3</v>
      </c>
      <c r="D39" s="24">
        <v>3</v>
      </c>
      <c r="E39" s="24" t="s">
        <v>290</v>
      </c>
    </row>
    <row r="40" spans="1:5">
      <c r="A40" s="23">
        <v>3</v>
      </c>
      <c r="B40" s="24" t="s">
        <v>605</v>
      </c>
      <c r="C40" s="24">
        <v>4</v>
      </c>
      <c r="D40" s="24">
        <v>3</v>
      </c>
      <c r="E40" s="24" t="s">
        <v>150</v>
      </c>
    </row>
    <row r="41" spans="1:5">
      <c r="A41" s="23">
        <v>3</v>
      </c>
      <c r="B41" s="24" t="s">
        <v>605</v>
      </c>
      <c r="C41" s="24">
        <v>5</v>
      </c>
      <c r="D41" s="24">
        <v>3</v>
      </c>
      <c r="E41" s="24" t="s">
        <v>288</v>
      </c>
    </row>
    <row r="42" spans="1:5">
      <c r="A42" s="23">
        <v>3</v>
      </c>
      <c r="B42" s="24" t="s">
        <v>606</v>
      </c>
      <c r="C42" s="24">
        <v>1</v>
      </c>
      <c r="D42" s="24">
        <v>1</v>
      </c>
      <c r="E42" s="24" t="s">
        <v>236</v>
      </c>
    </row>
    <row r="43" spans="1:5">
      <c r="A43" s="23">
        <v>3</v>
      </c>
      <c r="B43" s="24" t="s">
        <v>606</v>
      </c>
      <c r="C43" s="24">
        <v>2</v>
      </c>
      <c r="D43" s="24">
        <v>2</v>
      </c>
      <c r="E43" s="24" t="s">
        <v>119</v>
      </c>
    </row>
    <row r="44" spans="1:5">
      <c r="A44" s="23">
        <v>3</v>
      </c>
      <c r="B44" s="24" t="s">
        <v>606</v>
      </c>
      <c r="C44" s="24">
        <v>3</v>
      </c>
      <c r="D44" s="24">
        <v>2</v>
      </c>
      <c r="E44" s="24" t="s">
        <v>260</v>
      </c>
    </row>
    <row r="45" spans="1:5">
      <c r="A45" s="23">
        <v>3</v>
      </c>
      <c r="B45" s="24" t="s">
        <v>606</v>
      </c>
      <c r="C45" s="24">
        <v>4</v>
      </c>
      <c r="D45" s="24">
        <v>3</v>
      </c>
      <c r="E45" s="24" t="s">
        <v>156</v>
      </c>
    </row>
    <row r="46" spans="1:5">
      <c r="A46" s="22">
        <v>4</v>
      </c>
      <c r="B46" s="21" t="s">
        <v>604</v>
      </c>
      <c r="C46" s="21">
        <v>1</v>
      </c>
      <c r="D46" s="21">
        <v>1</v>
      </c>
      <c r="E46" s="21" t="s">
        <v>233</v>
      </c>
    </row>
    <row r="47" spans="1:5">
      <c r="A47" s="22">
        <v>4</v>
      </c>
      <c r="B47" s="21" t="s">
        <v>604</v>
      </c>
      <c r="C47" s="21">
        <v>2</v>
      </c>
      <c r="D47" s="21">
        <v>1</v>
      </c>
      <c r="E47" s="21" t="s">
        <v>22</v>
      </c>
    </row>
    <row r="48" spans="1:5">
      <c r="A48" s="22">
        <v>4</v>
      </c>
      <c r="B48" s="21" t="s">
        <v>604</v>
      </c>
      <c r="C48" s="21">
        <v>3</v>
      </c>
      <c r="D48" s="21">
        <v>1</v>
      </c>
      <c r="E48" s="21" t="s">
        <v>238</v>
      </c>
    </row>
    <row r="49" spans="1:5">
      <c r="A49" s="22">
        <v>4</v>
      </c>
      <c r="B49" s="21" t="s">
        <v>604</v>
      </c>
      <c r="C49" s="21">
        <v>4</v>
      </c>
      <c r="D49" s="21">
        <v>2</v>
      </c>
      <c r="E49" s="21" t="s">
        <v>107</v>
      </c>
    </row>
    <row r="50" spans="1:5">
      <c r="A50" s="22">
        <v>4</v>
      </c>
      <c r="B50" s="21" t="s">
        <v>605</v>
      </c>
      <c r="C50" s="21">
        <v>1</v>
      </c>
      <c r="D50" s="21">
        <v>2</v>
      </c>
      <c r="E50" s="21" t="s">
        <v>265</v>
      </c>
    </row>
    <row r="51" spans="1:5">
      <c r="A51" s="22">
        <v>4</v>
      </c>
      <c r="B51" s="21" t="s">
        <v>605</v>
      </c>
      <c r="C51" s="21">
        <v>2</v>
      </c>
      <c r="D51" s="21">
        <v>3</v>
      </c>
      <c r="E51" s="21" t="s">
        <v>145</v>
      </c>
    </row>
    <row r="52" spans="1:5">
      <c r="A52" s="22">
        <v>4</v>
      </c>
      <c r="B52" s="21" t="s">
        <v>605</v>
      </c>
      <c r="C52" s="21">
        <v>3</v>
      </c>
      <c r="D52" s="21">
        <v>2</v>
      </c>
      <c r="E52" s="21" t="s">
        <v>257</v>
      </c>
    </row>
    <row r="53" spans="1:5">
      <c r="A53" s="22">
        <v>4</v>
      </c>
      <c r="B53" s="21" t="s">
        <v>605</v>
      </c>
      <c r="C53" s="21">
        <v>4</v>
      </c>
      <c r="D53" s="21">
        <v>3</v>
      </c>
      <c r="E53" s="21" t="s">
        <v>292</v>
      </c>
    </row>
    <row r="54" spans="1:5">
      <c r="A54" s="22">
        <v>4</v>
      </c>
      <c r="B54" s="21" t="s">
        <v>605</v>
      </c>
      <c r="C54" s="21">
        <v>5</v>
      </c>
      <c r="D54" s="21">
        <v>3</v>
      </c>
      <c r="E54" s="21" t="s">
        <v>294</v>
      </c>
    </row>
    <row r="55" spans="1:5">
      <c r="A55" s="22">
        <v>4</v>
      </c>
      <c r="B55" s="21" t="s">
        <v>606</v>
      </c>
      <c r="C55" s="21">
        <v>1</v>
      </c>
      <c r="D55" s="21">
        <v>1</v>
      </c>
      <c r="E55" s="21" t="s">
        <v>37</v>
      </c>
    </row>
    <row r="56" spans="1:5">
      <c r="A56" s="22">
        <v>4</v>
      </c>
      <c r="B56" s="21" t="s">
        <v>606</v>
      </c>
      <c r="C56" s="21">
        <v>2</v>
      </c>
      <c r="D56" s="21">
        <v>2</v>
      </c>
      <c r="E56" s="21" t="s">
        <v>77</v>
      </c>
    </row>
    <row r="57" spans="1:5">
      <c r="A57" s="22">
        <v>4</v>
      </c>
      <c r="B57" s="21" t="s">
        <v>606</v>
      </c>
      <c r="C57" s="21">
        <v>3</v>
      </c>
      <c r="D57" s="21">
        <v>2</v>
      </c>
      <c r="E57" s="21" t="s">
        <v>261</v>
      </c>
    </row>
    <row r="58" spans="1:5">
      <c r="A58" s="22">
        <v>4</v>
      </c>
      <c r="B58" s="21" t="s">
        <v>606</v>
      </c>
      <c r="C58" s="21">
        <v>4</v>
      </c>
      <c r="D58" s="21">
        <v>3</v>
      </c>
      <c r="E58" s="21" t="s">
        <v>174</v>
      </c>
    </row>
    <row r="59" spans="1:5">
      <c r="A59" s="22">
        <v>4</v>
      </c>
      <c r="B59" s="21" t="s">
        <v>606</v>
      </c>
      <c r="C59" s="21">
        <v>5</v>
      </c>
      <c r="D59" s="21">
        <v>3</v>
      </c>
      <c r="E59" s="21" t="s">
        <v>293</v>
      </c>
    </row>
    <row r="60" spans="1:5">
      <c r="A60" s="23">
        <v>5</v>
      </c>
      <c r="B60" s="24" t="s">
        <v>604</v>
      </c>
      <c r="C60" s="24">
        <v>1</v>
      </c>
      <c r="D60" s="24">
        <v>2</v>
      </c>
      <c r="E60" s="24" t="s">
        <v>315</v>
      </c>
    </row>
    <row r="61" spans="1:5">
      <c r="A61" s="23">
        <v>5</v>
      </c>
      <c r="B61" s="24" t="s">
        <v>604</v>
      </c>
      <c r="C61" s="24">
        <v>2</v>
      </c>
      <c r="D61" s="24">
        <v>2</v>
      </c>
      <c r="E61" s="24" t="s">
        <v>262</v>
      </c>
    </row>
    <row r="62" spans="1:5">
      <c r="A62" s="23">
        <v>5</v>
      </c>
      <c r="B62" s="24" t="s">
        <v>604</v>
      </c>
      <c r="C62" s="24">
        <v>3</v>
      </c>
      <c r="D62" s="24">
        <v>3</v>
      </c>
      <c r="E62" s="24" t="s">
        <v>314</v>
      </c>
    </row>
    <row r="63" spans="1:5">
      <c r="A63" s="23">
        <v>5</v>
      </c>
      <c r="B63" s="24" t="s">
        <v>604</v>
      </c>
      <c r="C63" s="24">
        <v>4</v>
      </c>
      <c r="D63" s="24">
        <v>3</v>
      </c>
      <c r="E63" s="24" t="s">
        <v>159</v>
      </c>
    </row>
    <row r="64" spans="1:5">
      <c r="A64" s="23">
        <v>5</v>
      </c>
      <c r="B64" s="24" t="s">
        <v>605</v>
      </c>
      <c r="C64" s="24">
        <v>1</v>
      </c>
      <c r="D64" s="24">
        <v>1</v>
      </c>
      <c r="E64" s="24" t="s">
        <v>237</v>
      </c>
    </row>
    <row r="65" spans="1:5">
      <c r="A65" s="23">
        <v>5</v>
      </c>
      <c r="B65" s="24" t="s">
        <v>605</v>
      </c>
      <c r="C65" s="24">
        <v>2</v>
      </c>
      <c r="D65" s="24">
        <v>1</v>
      </c>
      <c r="E65" s="24" t="s">
        <v>231</v>
      </c>
    </row>
    <row r="66" spans="1:5">
      <c r="A66" s="23">
        <v>5</v>
      </c>
      <c r="B66" s="24" t="s">
        <v>605</v>
      </c>
      <c r="C66" s="24">
        <v>3</v>
      </c>
      <c r="D66" s="24">
        <v>1</v>
      </c>
      <c r="E66" s="24" t="s">
        <v>17</v>
      </c>
    </row>
    <row r="67" spans="1:5">
      <c r="A67" s="23">
        <v>5</v>
      </c>
      <c r="B67" s="24" t="s">
        <v>605</v>
      </c>
      <c r="C67" s="24">
        <v>4</v>
      </c>
      <c r="D67" s="24">
        <v>2</v>
      </c>
      <c r="E67" s="24" t="s">
        <v>97</v>
      </c>
    </row>
    <row r="68" spans="1:5">
      <c r="A68" s="23">
        <v>5</v>
      </c>
      <c r="B68" s="24" t="s">
        <v>605</v>
      </c>
      <c r="C68" s="24">
        <v>5</v>
      </c>
      <c r="D68" s="24">
        <v>3</v>
      </c>
      <c r="E68" s="24" t="s">
        <v>408</v>
      </c>
    </row>
    <row r="69" spans="1:5">
      <c r="A69" s="23">
        <v>5</v>
      </c>
      <c r="B69" s="24" t="s">
        <v>606</v>
      </c>
      <c r="C69" s="24">
        <v>1</v>
      </c>
      <c r="D69" s="24">
        <v>1</v>
      </c>
      <c r="E69" s="24" t="s">
        <v>234</v>
      </c>
    </row>
    <row r="70" spans="1:5">
      <c r="A70" s="23">
        <v>5</v>
      </c>
      <c r="B70" s="24" t="s">
        <v>606</v>
      </c>
      <c r="C70" s="24">
        <v>2</v>
      </c>
      <c r="D70" s="24">
        <v>2</v>
      </c>
      <c r="E70" s="24" t="s">
        <v>258</v>
      </c>
    </row>
    <row r="71" spans="1:5">
      <c r="A71" s="23">
        <v>5</v>
      </c>
      <c r="B71" s="24" t="s">
        <v>606</v>
      </c>
      <c r="C71" s="24">
        <v>3</v>
      </c>
      <c r="D71" s="24">
        <v>2</v>
      </c>
      <c r="E71" s="24" t="s">
        <v>254</v>
      </c>
    </row>
    <row r="72" spans="1:5">
      <c r="A72" s="23">
        <v>5</v>
      </c>
      <c r="B72" s="24" t="s">
        <v>606</v>
      </c>
      <c r="C72" s="24">
        <v>4</v>
      </c>
      <c r="D72" s="24">
        <v>3</v>
      </c>
      <c r="E72" s="24" t="s">
        <v>271</v>
      </c>
    </row>
    <row r="73" spans="1:5">
      <c r="A73" s="23">
        <v>5</v>
      </c>
      <c r="B73" s="24" t="s">
        <v>606</v>
      </c>
      <c r="C73" s="24">
        <v>5</v>
      </c>
      <c r="D73" s="24">
        <v>3</v>
      </c>
      <c r="E73" s="24" t="s">
        <v>295</v>
      </c>
    </row>
    <row r="74" spans="1:5">
      <c r="A74" s="22">
        <v>6</v>
      </c>
      <c r="B74" s="21" t="s">
        <v>604</v>
      </c>
      <c r="C74" s="21">
        <v>1</v>
      </c>
      <c r="D74" s="21">
        <v>2</v>
      </c>
      <c r="E74" s="21" t="s">
        <v>94</v>
      </c>
    </row>
    <row r="75" spans="1:5">
      <c r="A75" s="22">
        <v>6</v>
      </c>
      <c r="B75" s="21" t="s">
        <v>604</v>
      </c>
      <c r="C75" s="21">
        <v>2</v>
      </c>
      <c r="D75" s="21">
        <v>2</v>
      </c>
      <c r="E75" s="21" t="s">
        <v>252</v>
      </c>
    </row>
    <row r="76" spans="1:5">
      <c r="A76" s="22">
        <v>6</v>
      </c>
      <c r="B76" s="21" t="s">
        <v>604</v>
      </c>
      <c r="C76" s="21">
        <v>3</v>
      </c>
      <c r="D76" s="21">
        <v>3</v>
      </c>
      <c r="E76" s="21" t="s">
        <v>153</v>
      </c>
    </row>
    <row r="77" spans="1:5">
      <c r="A77" s="22">
        <v>6</v>
      </c>
      <c r="B77" s="21" t="s">
        <v>604</v>
      </c>
      <c r="C77" s="21">
        <v>4</v>
      </c>
      <c r="D77" s="21">
        <v>3</v>
      </c>
      <c r="E77" s="21" t="s">
        <v>403</v>
      </c>
    </row>
    <row r="78" spans="1:5">
      <c r="A78" s="22">
        <v>6</v>
      </c>
      <c r="B78" s="21" t="s">
        <v>605</v>
      </c>
      <c r="C78" s="21">
        <v>1</v>
      </c>
      <c r="D78" s="21">
        <v>1</v>
      </c>
      <c r="E78" s="21" t="s">
        <v>235</v>
      </c>
    </row>
    <row r="79" spans="1:5">
      <c r="A79" s="22">
        <v>6</v>
      </c>
      <c r="B79" s="21" t="s">
        <v>605</v>
      </c>
      <c r="C79" s="21">
        <v>2</v>
      </c>
      <c r="D79" s="21">
        <v>2</v>
      </c>
      <c r="E79" s="21" t="s">
        <v>255</v>
      </c>
    </row>
    <row r="80" spans="1:5">
      <c r="A80" s="22">
        <v>6</v>
      </c>
      <c r="B80" s="21" t="s">
        <v>605</v>
      </c>
      <c r="C80" s="21">
        <v>3</v>
      </c>
      <c r="D80" s="21">
        <v>3</v>
      </c>
      <c r="E80" s="21" t="s">
        <v>267</v>
      </c>
    </row>
    <row r="81" spans="1:5">
      <c r="A81" s="22">
        <v>6</v>
      </c>
      <c r="B81" s="21" t="s">
        <v>605</v>
      </c>
      <c r="C81" s="21">
        <v>4</v>
      </c>
      <c r="D81" s="21">
        <v>3</v>
      </c>
      <c r="E81" s="21" t="s">
        <v>182</v>
      </c>
    </row>
    <row r="82" spans="1:5">
      <c r="A82" s="22">
        <v>6</v>
      </c>
      <c r="B82" s="21" t="s">
        <v>605</v>
      </c>
      <c r="C82" s="21">
        <v>5</v>
      </c>
      <c r="D82" s="21">
        <v>3</v>
      </c>
      <c r="E82" s="21" t="s">
        <v>273</v>
      </c>
    </row>
    <row r="83" spans="1:5">
      <c r="A83" s="22">
        <v>6</v>
      </c>
      <c r="B83" s="21" t="s">
        <v>606</v>
      </c>
      <c r="C83" s="21">
        <v>1</v>
      </c>
      <c r="D83" s="21">
        <v>1</v>
      </c>
      <c r="E83" s="21" t="s">
        <v>227</v>
      </c>
    </row>
    <row r="84" spans="1:5">
      <c r="A84" s="22">
        <v>6</v>
      </c>
      <c r="B84" s="21" t="s">
        <v>606</v>
      </c>
      <c r="C84" s="21">
        <v>2</v>
      </c>
      <c r="D84" s="21">
        <v>1</v>
      </c>
      <c r="E84" s="21" t="s">
        <v>20</v>
      </c>
    </row>
    <row r="85" spans="1:5">
      <c r="A85" s="22">
        <v>6</v>
      </c>
      <c r="B85" s="21" t="s">
        <v>606</v>
      </c>
      <c r="C85" s="21">
        <v>3</v>
      </c>
      <c r="D85" s="21">
        <v>1</v>
      </c>
      <c r="E85" s="21" t="s">
        <v>232</v>
      </c>
    </row>
    <row r="86" spans="1:5">
      <c r="A86" s="22">
        <v>6</v>
      </c>
      <c r="B86" s="21" t="s">
        <v>606</v>
      </c>
      <c r="C86" s="21">
        <v>4</v>
      </c>
      <c r="D86" s="21">
        <v>2</v>
      </c>
      <c r="E86" s="21" t="s">
        <v>132</v>
      </c>
    </row>
    <row r="87" spans="1:5">
      <c r="A87" s="22">
        <v>6</v>
      </c>
      <c r="B87" s="21" t="s">
        <v>606</v>
      </c>
      <c r="C87" s="21">
        <v>5</v>
      </c>
      <c r="D87" s="21">
        <v>2</v>
      </c>
      <c r="E87" s="21" t="s">
        <v>259</v>
      </c>
    </row>
    <row r="88" spans="1:5">
      <c r="A88" s="23">
        <v>7</v>
      </c>
      <c r="B88" s="24" t="s">
        <v>604</v>
      </c>
      <c r="C88" s="24">
        <v>1</v>
      </c>
      <c r="D88" s="24">
        <v>1</v>
      </c>
      <c r="E88" s="24" t="s">
        <v>228</v>
      </c>
    </row>
    <row r="89" spans="1:5">
      <c r="A89" s="23">
        <v>7</v>
      </c>
      <c r="B89" s="24" t="s">
        <v>604</v>
      </c>
      <c r="C89" s="24">
        <v>2</v>
      </c>
      <c r="D89" s="24">
        <v>1</v>
      </c>
      <c r="E89" s="24" t="s">
        <v>23</v>
      </c>
    </row>
    <row r="90" spans="1:5">
      <c r="A90" s="23">
        <v>7</v>
      </c>
      <c r="B90" s="24" t="s">
        <v>604</v>
      </c>
      <c r="C90" s="24">
        <v>3</v>
      </c>
      <c r="D90" s="24">
        <v>3</v>
      </c>
      <c r="E90" s="24" t="s">
        <v>269</v>
      </c>
    </row>
    <row r="91" spans="1:5">
      <c r="A91" s="23">
        <v>7</v>
      </c>
      <c r="B91" s="24" t="s">
        <v>604</v>
      </c>
      <c r="C91" s="24">
        <v>4</v>
      </c>
      <c r="D91" s="24">
        <v>3</v>
      </c>
      <c r="E91" s="24" t="s">
        <v>183</v>
      </c>
    </row>
    <row r="92" spans="1:5">
      <c r="A92" s="23">
        <v>7</v>
      </c>
      <c r="B92" s="24" t="s">
        <v>604</v>
      </c>
      <c r="C92" s="24">
        <v>5</v>
      </c>
      <c r="D92" s="24">
        <v>3</v>
      </c>
      <c r="E92" s="24" t="s">
        <v>151</v>
      </c>
    </row>
    <row r="93" spans="1:5">
      <c r="A93" s="23">
        <v>7</v>
      </c>
      <c r="B93" s="24" t="s">
        <v>605</v>
      </c>
      <c r="C93" s="24">
        <v>1</v>
      </c>
      <c r="D93" s="24">
        <v>2</v>
      </c>
      <c r="E93" s="24" t="s">
        <v>88</v>
      </c>
    </row>
    <row r="94" spans="1:5">
      <c r="A94" s="23">
        <v>7</v>
      </c>
      <c r="B94" s="24" t="s">
        <v>605</v>
      </c>
      <c r="C94" s="24">
        <v>2</v>
      </c>
      <c r="D94" s="24">
        <v>2</v>
      </c>
      <c r="E94" s="24" t="s">
        <v>253</v>
      </c>
    </row>
    <row r="95" spans="1:5">
      <c r="A95" s="23">
        <v>7</v>
      </c>
      <c r="B95" s="24" t="s">
        <v>605</v>
      </c>
      <c r="C95" s="24">
        <v>3</v>
      </c>
      <c r="D95" s="24">
        <v>2</v>
      </c>
      <c r="E95" s="24" t="s">
        <v>133</v>
      </c>
    </row>
    <row r="96" spans="1:5">
      <c r="A96" s="23">
        <v>7</v>
      </c>
      <c r="B96" s="24" t="s">
        <v>605</v>
      </c>
      <c r="C96" s="24">
        <v>4</v>
      </c>
      <c r="D96" s="24">
        <v>2</v>
      </c>
      <c r="E96" s="24" t="s">
        <v>128</v>
      </c>
    </row>
    <row r="97" spans="1:5">
      <c r="A97" s="23">
        <v>7</v>
      </c>
      <c r="B97" s="24" t="s">
        <v>605</v>
      </c>
      <c r="C97" s="24">
        <v>5</v>
      </c>
      <c r="D97" s="24">
        <v>3</v>
      </c>
      <c r="E97" s="24" t="s">
        <v>179</v>
      </c>
    </row>
    <row r="98" spans="1:5">
      <c r="A98" s="23">
        <v>7</v>
      </c>
      <c r="B98" s="24" t="s">
        <v>606</v>
      </c>
      <c r="C98" s="24">
        <v>1</v>
      </c>
      <c r="D98" s="24">
        <v>1</v>
      </c>
      <c r="E98" s="24" t="s">
        <v>54</v>
      </c>
    </row>
    <row r="99" spans="1:5">
      <c r="A99" s="23">
        <v>7</v>
      </c>
      <c r="B99" s="24" t="s">
        <v>606</v>
      </c>
      <c r="C99" s="24">
        <v>2</v>
      </c>
      <c r="D99" s="24">
        <v>1</v>
      </c>
      <c r="E99" s="24" t="s">
        <v>229</v>
      </c>
    </row>
    <row r="100" spans="1:5">
      <c r="A100" s="23">
        <v>7</v>
      </c>
      <c r="B100" s="24" t="s">
        <v>606</v>
      </c>
      <c r="C100" s="24">
        <v>3</v>
      </c>
      <c r="D100" s="24">
        <v>2</v>
      </c>
      <c r="E100" s="24" t="s">
        <v>250</v>
      </c>
    </row>
    <row r="101" spans="1:5">
      <c r="A101" s="23">
        <v>7</v>
      </c>
      <c r="B101" s="24" t="s">
        <v>606</v>
      </c>
      <c r="C101" s="24">
        <v>4</v>
      </c>
      <c r="D101" s="24">
        <v>3</v>
      </c>
      <c r="E101" s="24" t="s">
        <v>268</v>
      </c>
    </row>
    <row r="102" spans="1:5">
      <c r="A102" s="22">
        <v>8</v>
      </c>
      <c r="B102" s="21" t="s">
        <v>604</v>
      </c>
      <c r="C102" s="21">
        <v>1</v>
      </c>
      <c r="D102" s="21">
        <v>1</v>
      </c>
      <c r="E102" s="21" t="s">
        <v>55</v>
      </c>
    </row>
    <row r="103" spans="1:5">
      <c r="A103" s="22">
        <v>8</v>
      </c>
      <c r="B103" s="21" t="s">
        <v>604</v>
      </c>
      <c r="C103" s="21">
        <v>2</v>
      </c>
      <c r="D103" s="21">
        <v>2</v>
      </c>
      <c r="E103" s="21" t="s">
        <v>116</v>
      </c>
    </row>
    <row r="104" spans="1:5">
      <c r="A104" s="22">
        <v>8</v>
      </c>
      <c r="B104" s="21" t="s">
        <v>604</v>
      </c>
      <c r="C104" s="21">
        <v>3</v>
      </c>
      <c r="D104" s="21">
        <v>3</v>
      </c>
      <c r="E104" s="21" t="s">
        <v>180</v>
      </c>
    </row>
    <row r="105" spans="1:5">
      <c r="A105" s="22">
        <v>8</v>
      </c>
      <c r="B105" s="21" t="s">
        <v>604</v>
      </c>
      <c r="C105" s="21">
        <v>4</v>
      </c>
      <c r="D105" s="21">
        <v>2</v>
      </c>
      <c r="E105" s="21" t="s">
        <v>129</v>
      </c>
    </row>
    <row r="106" spans="1:5">
      <c r="A106" s="22">
        <v>8</v>
      </c>
      <c r="B106" s="21" t="s">
        <v>604</v>
      </c>
      <c r="C106" s="21">
        <v>5</v>
      </c>
      <c r="D106" s="21">
        <v>2</v>
      </c>
      <c r="E106" s="21" t="s">
        <v>75</v>
      </c>
    </row>
    <row r="107" spans="1:5">
      <c r="A107" s="22">
        <v>8</v>
      </c>
      <c r="B107" s="21" t="s">
        <v>605</v>
      </c>
      <c r="C107" s="21">
        <v>1</v>
      </c>
      <c r="D107" s="21">
        <v>1</v>
      </c>
      <c r="E107" s="21" t="s">
        <v>230</v>
      </c>
    </row>
    <row r="108" spans="1:5">
      <c r="A108" s="22">
        <v>8</v>
      </c>
      <c r="B108" s="21" t="s">
        <v>605</v>
      </c>
      <c r="C108" s="21">
        <v>2</v>
      </c>
      <c r="D108" s="21">
        <v>1</v>
      </c>
      <c r="E108" s="21" t="s">
        <v>26</v>
      </c>
    </row>
    <row r="109" spans="1:5">
      <c r="A109" s="22">
        <v>8</v>
      </c>
      <c r="B109" s="21" t="s">
        <v>605</v>
      </c>
      <c r="C109" s="21">
        <v>3</v>
      </c>
      <c r="D109" s="21">
        <v>1</v>
      </c>
      <c r="E109" s="21" t="s">
        <v>46</v>
      </c>
    </row>
    <row r="110" spans="1:5">
      <c r="A110" s="22">
        <v>8</v>
      </c>
      <c r="B110" s="21" t="s">
        <v>605</v>
      </c>
      <c r="C110" s="21">
        <v>4</v>
      </c>
      <c r="D110" s="21">
        <v>3</v>
      </c>
      <c r="E110" s="21" t="s">
        <v>143</v>
      </c>
    </row>
    <row r="111" spans="1:5">
      <c r="A111" s="22">
        <v>8</v>
      </c>
      <c r="B111" s="21" t="s">
        <v>606</v>
      </c>
      <c r="C111" s="21">
        <v>1</v>
      </c>
      <c r="D111" s="21">
        <v>3</v>
      </c>
      <c r="E111" s="21" t="s">
        <v>175</v>
      </c>
    </row>
    <row r="112" spans="1:5">
      <c r="A112" s="22">
        <v>8</v>
      </c>
      <c r="B112" s="21" t="s">
        <v>606</v>
      </c>
      <c r="C112" s="21">
        <v>2</v>
      </c>
      <c r="D112" s="21">
        <v>2</v>
      </c>
      <c r="E112" s="21" t="s">
        <v>134</v>
      </c>
    </row>
    <row r="113" spans="1:5">
      <c r="A113" s="22">
        <v>8</v>
      </c>
      <c r="B113" s="21" t="s">
        <v>606</v>
      </c>
      <c r="C113" s="21">
        <v>3</v>
      </c>
      <c r="D113" s="21">
        <v>3</v>
      </c>
      <c r="E113" s="21" t="s">
        <v>270</v>
      </c>
    </row>
    <row r="114" spans="1:5">
      <c r="A114" s="22">
        <v>8</v>
      </c>
      <c r="B114" s="21" t="s">
        <v>606</v>
      </c>
      <c r="C114" s="21">
        <v>4</v>
      </c>
      <c r="D114" s="21">
        <v>2</v>
      </c>
      <c r="E114" s="21" t="s">
        <v>247</v>
      </c>
    </row>
    <row r="115" spans="1:5">
      <c r="A115" s="22">
        <v>8</v>
      </c>
      <c r="B115" s="21" t="s">
        <v>606</v>
      </c>
      <c r="C115" s="21">
        <v>5</v>
      </c>
      <c r="D115" s="21">
        <v>3</v>
      </c>
      <c r="E115" s="21" t="s">
        <v>181</v>
      </c>
    </row>
    <row r="116" spans="1:5">
      <c r="A116" s="23">
        <v>9</v>
      </c>
      <c r="B116" s="24" t="s">
        <v>604</v>
      </c>
      <c r="C116" s="24">
        <v>1</v>
      </c>
      <c r="D116" s="24">
        <v>2</v>
      </c>
      <c r="E116" s="24" t="s">
        <v>117</v>
      </c>
    </row>
    <row r="117" spans="1:5">
      <c r="A117" s="23">
        <v>9</v>
      </c>
      <c r="B117" s="24" t="s">
        <v>604</v>
      </c>
      <c r="C117" s="24">
        <v>2</v>
      </c>
      <c r="D117" s="24">
        <v>1</v>
      </c>
      <c r="E117" s="24" t="s">
        <v>40</v>
      </c>
    </row>
    <row r="118" spans="1:5">
      <c r="A118" s="23">
        <v>9</v>
      </c>
      <c r="B118" s="24" t="s">
        <v>604</v>
      </c>
      <c r="C118" s="24">
        <v>3</v>
      </c>
      <c r="D118" s="24">
        <v>3</v>
      </c>
      <c r="E118" s="24" t="s">
        <v>178</v>
      </c>
    </row>
    <row r="119" spans="1:5">
      <c r="A119" s="23">
        <v>9</v>
      </c>
      <c r="B119" s="24" t="s">
        <v>604</v>
      </c>
      <c r="C119" s="24">
        <v>4</v>
      </c>
      <c r="D119" s="24">
        <v>3</v>
      </c>
      <c r="E119" s="24" t="s">
        <v>167</v>
      </c>
    </row>
    <row r="120" spans="1:5">
      <c r="A120" s="23">
        <v>9</v>
      </c>
      <c r="B120" s="24" t="s">
        <v>604</v>
      </c>
      <c r="C120" s="24">
        <v>5</v>
      </c>
      <c r="D120" s="24">
        <v>3</v>
      </c>
      <c r="E120" s="24" t="s">
        <v>203</v>
      </c>
    </row>
    <row r="121" spans="1:5">
      <c r="A121" s="23">
        <v>9</v>
      </c>
      <c r="B121" s="24" t="s">
        <v>605</v>
      </c>
      <c r="C121" s="24">
        <v>1</v>
      </c>
      <c r="D121" s="24">
        <v>1</v>
      </c>
      <c r="E121" s="24" t="s">
        <v>56</v>
      </c>
    </row>
    <row r="122" spans="1:5">
      <c r="A122" s="23">
        <v>9</v>
      </c>
      <c r="B122" s="24" t="s">
        <v>605</v>
      </c>
      <c r="C122" s="24">
        <v>2</v>
      </c>
      <c r="D122" s="24">
        <v>1</v>
      </c>
      <c r="E122" s="24" t="s">
        <v>29</v>
      </c>
    </row>
    <row r="123" spans="1:5">
      <c r="A123" s="23">
        <v>9</v>
      </c>
      <c r="B123" s="24" t="s">
        <v>605</v>
      </c>
      <c r="C123" s="24">
        <v>3</v>
      </c>
      <c r="D123" s="24">
        <v>2</v>
      </c>
      <c r="E123" s="24" t="s">
        <v>135</v>
      </c>
    </row>
    <row r="124" spans="1:5">
      <c r="A124" s="23">
        <v>9</v>
      </c>
      <c r="B124" s="24" t="s">
        <v>605</v>
      </c>
      <c r="C124" s="24">
        <v>4</v>
      </c>
      <c r="D124" s="24">
        <v>3</v>
      </c>
      <c r="E124" s="24" t="s">
        <v>141</v>
      </c>
    </row>
    <row r="125" spans="1:5">
      <c r="A125" s="23">
        <v>9</v>
      </c>
      <c r="B125" s="24" t="s">
        <v>605</v>
      </c>
      <c r="C125" s="24">
        <v>5</v>
      </c>
      <c r="D125" s="24">
        <v>3</v>
      </c>
      <c r="E125" s="24" t="s">
        <v>176</v>
      </c>
    </row>
    <row r="126" spans="1:5">
      <c r="A126" s="23">
        <v>9</v>
      </c>
      <c r="B126" s="24" t="s">
        <v>606</v>
      </c>
      <c r="C126" s="24">
        <v>1</v>
      </c>
      <c r="D126" s="24">
        <v>1</v>
      </c>
      <c r="E126" s="24" t="s">
        <v>47</v>
      </c>
    </row>
    <row r="127" spans="1:5">
      <c r="A127" s="23">
        <v>9</v>
      </c>
      <c r="B127" s="24" t="s">
        <v>606</v>
      </c>
      <c r="C127" s="24">
        <v>2</v>
      </c>
      <c r="D127" s="24">
        <v>2</v>
      </c>
      <c r="E127" s="24" t="s">
        <v>125</v>
      </c>
    </row>
    <row r="128" spans="1:5">
      <c r="A128" s="23">
        <v>9</v>
      </c>
      <c r="B128" s="24" t="s">
        <v>606</v>
      </c>
      <c r="C128" s="24">
        <v>3</v>
      </c>
      <c r="D128" s="24">
        <v>2</v>
      </c>
      <c r="E128" s="24" t="s">
        <v>108</v>
      </c>
    </row>
    <row r="129" spans="1:5">
      <c r="A129" s="23">
        <v>9</v>
      </c>
      <c r="B129" s="24" t="s">
        <v>606</v>
      </c>
      <c r="C129" s="24">
        <v>4</v>
      </c>
      <c r="D129" s="24">
        <v>2</v>
      </c>
      <c r="E129" s="24" t="s">
        <v>70</v>
      </c>
    </row>
    <row r="130" spans="1:5">
      <c r="A130" s="22">
        <v>10</v>
      </c>
      <c r="B130" s="21" t="s">
        <v>604</v>
      </c>
      <c r="C130" s="21">
        <v>1</v>
      </c>
      <c r="D130" s="21">
        <v>1</v>
      </c>
      <c r="E130" s="21" t="s">
        <v>332</v>
      </c>
    </row>
    <row r="131" spans="1:5">
      <c r="A131" s="22">
        <v>10</v>
      </c>
      <c r="B131" s="21" t="s">
        <v>604</v>
      </c>
      <c r="C131" s="21">
        <v>2</v>
      </c>
      <c r="D131" s="21">
        <v>2</v>
      </c>
      <c r="E131" s="21" t="s">
        <v>541</v>
      </c>
    </row>
    <row r="132" spans="1:5">
      <c r="A132" s="22">
        <v>10</v>
      </c>
      <c r="B132" s="21" t="s">
        <v>604</v>
      </c>
      <c r="C132" s="21">
        <v>3</v>
      </c>
      <c r="D132" s="21">
        <v>1</v>
      </c>
      <c r="E132" s="21" t="s">
        <v>339</v>
      </c>
    </row>
    <row r="133" spans="1:5">
      <c r="A133" s="22">
        <v>10</v>
      </c>
      <c r="B133" s="21" t="s">
        <v>604</v>
      </c>
      <c r="C133" s="21">
        <v>4</v>
      </c>
      <c r="D133" s="21">
        <v>3</v>
      </c>
      <c r="E133" s="21" t="s">
        <v>405</v>
      </c>
    </row>
    <row r="134" spans="1:5">
      <c r="A134" s="22">
        <v>10</v>
      </c>
      <c r="B134" s="21" t="s">
        <v>605</v>
      </c>
      <c r="C134" s="21">
        <v>1</v>
      </c>
      <c r="D134" s="21">
        <v>2</v>
      </c>
      <c r="E134" s="21" t="s">
        <v>364</v>
      </c>
    </row>
    <row r="135" spans="1:5">
      <c r="A135" s="22">
        <v>10</v>
      </c>
      <c r="B135" s="21" t="s">
        <v>605</v>
      </c>
      <c r="C135" s="21">
        <v>2</v>
      </c>
      <c r="D135" s="21">
        <v>2</v>
      </c>
      <c r="E135" s="21" t="s">
        <v>378</v>
      </c>
    </row>
    <row r="136" spans="1:5">
      <c r="A136" s="22">
        <v>10</v>
      </c>
      <c r="B136" s="21" t="s">
        <v>605</v>
      </c>
      <c r="C136" s="21">
        <v>3</v>
      </c>
      <c r="D136" s="21">
        <v>2</v>
      </c>
      <c r="E136" s="21" t="s">
        <v>394</v>
      </c>
    </row>
    <row r="137" spans="1:5">
      <c r="A137" s="22">
        <v>10</v>
      </c>
      <c r="B137" s="21" t="s">
        <v>605</v>
      </c>
      <c r="C137" s="21">
        <v>4</v>
      </c>
      <c r="D137" s="21">
        <v>2</v>
      </c>
      <c r="E137" s="21" t="s">
        <v>368</v>
      </c>
    </row>
    <row r="138" spans="1:5">
      <c r="A138" s="22">
        <v>10</v>
      </c>
      <c r="B138" s="21" t="s">
        <v>605</v>
      </c>
      <c r="C138" s="21">
        <v>5</v>
      </c>
      <c r="D138" s="21">
        <v>3</v>
      </c>
      <c r="E138" s="21" t="s">
        <v>399</v>
      </c>
    </row>
    <row r="139" spans="1:5">
      <c r="A139" s="22">
        <v>10</v>
      </c>
      <c r="B139" s="21" t="s">
        <v>606</v>
      </c>
      <c r="C139" s="21">
        <v>1</v>
      </c>
      <c r="D139" s="21">
        <v>1</v>
      </c>
      <c r="E139" s="21" t="s">
        <v>344</v>
      </c>
    </row>
    <row r="140" spans="1:5">
      <c r="A140" s="22">
        <v>10</v>
      </c>
      <c r="B140" s="21" t="s">
        <v>606</v>
      </c>
      <c r="C140" s="21">
        <v>2</v>
      </c>
      <c r="D140" s="21">
        <v>1</v>
      </c>
      <c r="E140" s="21" t="s">
        <v>343</v>
      </c>
    </row>
    <row r="141" spans="1:5">
      <c r="A141" s="22">
        <v>10</v>
      </c>
      <c r="B141" s="21" t="s">
        <v>606</v>
      </c>
      <c r="C141" s="21">
        <v>3</v>
      </c>
      <c r="D141" s="21">
        <v>3</v>
      </c>
      <c r="E141" s="21" t="s">
        <v>540</v>
      </c>
    </row>
    <row r="142" spans="1:5">
      <c r="A142" s="22">
        <v>10</v>
      </c>
      <c r="B142" s="21" t="s">
        <v>606</v>
      </c>
      <c r="C142" s="21">
        <v>4</v>
      </c>
      <c r="D142" s="21">
        <v>3</v>
      </c>
      <c r="E142" s="21" t="s">
        <v>542</v>
      </c>
    </row>
    <row r="143" spans="1:5">
      <c r="A143" s="22">
        <v>10</v>
      </c>
      <c r="B143" s="21" t="s">
        <v>606</v>
      </c>
      <c r="C143" s="21">
        <v>5</v>
      </c>
      <c r="D143" s="21">
        <v>3</v>
      </c>
      <c r="E143" s="21" t="s">
        <v>385</v>
      </c>
    </row>
    <row r="144" spans="1:5">
      <c r="A144" s="23">
        <v>11</v>
      </c>
      <c r="B144" s="24" t="s">
        <v>604</v>
      </c>
      <c r="C144" s="24">
        <v>1</v>
      </c>
      <c r="D144" s="24">
        <v>2</v>
      </c>
      <c r="E144" s="24" t="s">
        <v>543</v>
      </c>
    </row>
    <row r="145" spans="1:5">
      <c r="A145" s="23">
        <v>11</v>
      </c>
      <c r="B145" s="24" t="s">
        <v>604</v>
      </c>
      <c r="C145" s="24">
        <v>2</v>
      </c>
      <c r="D145" s="24">
        <v>3</v>
      </c>
      <c r="E145" s="24" t="s">
        <v>400</v>
      </c>
    </row>
    <row r="146" spans="1:5">
      <c r="A146" s="23">
        <v>11</v>
      </c>
      <c r="B146" s="24" t="s">
        <v>604</v>
      </c>
      <c r="C146" s="24">
        <v>3</v>
      </c>
      <c r="D146" s="24">
        <v>2</v>
      </c>
      <c r="E146" s="24" t="s">
        <v>361</v>
      </c>
    </row>
    <row r="147" spans="1:5">
      <c r="A147" s="23">
        <v>11</v>
      </c>
      <c r="B147" s="24" t="s">
        <v>604</v>
      </c>
      <c r="C147" s="24">
        <v>4</v>
      </c>
      <c r="D147" s="24">
        <v>3</v>
      </c>
      <c r="E147" s="24" t="s">
        <v>381</v>
      </c>
    </row>
    <row r="148" spans="1:5">
      <c r="A148" s="23">
        <v>11</v>
      </c>
      <c r="B148" s="24" t="s">
        <v>605</v>
      </c>
      <c r="C148" s="24">
        <v>1</v>
      </c>
      <c r="D148" s="24">
        <v>1</v>
      </c>
      <c r="E148" s="24" t="s">
        <v>334</v>
      </c>
    </row>
    <row r="149" spans="1:5">
      <c r="A149" s="23">
        <v>11</v>
      </c>
      <c r="B149" s="24" t="s">
        <v>605</v>
      </c>
      <c r="C149" s="24">
        <v>2</v>
      </c>
      <c r="D149" s="24">
        <v>1</v>
      </c>
      <c r="E149" s="24" t="s">
        <v>335</v>
      </c>
    </row>
    <row r="150" spans="1:5">
      <c r="A150" s="23">
        <v>11</v>
      </c>
      <c r="B150" s="24" t="s">
        <v>605</v>
      </c>
      <c r="C150" s="24">
        <v>3</v>
      </c>
      <c r="D150" s="24">
        <v>3</v>
      </c>
      <c r="E150" s="24" t="s">
        <v>544</v>
      </c>
    </row>
    <row r="151" spans="1:5">
      <c r="A151" s="23">
        <v>11</v>
      </c>
      <c r="B151" s="24" t="s">
        <v>605</v>
      </c>
      <c r="C151" s="24">
        <v>4</v>
      </c>
      <c r="D151" s="24">
        <v>3</v>
      </c>
      <c r="E151" s="24" t="s">
        <v>407</v>
      </c>
    </row>
    <row r="152" spans="1:5">
      <c r="A152" s="23">
        <v>11</v>
      </c>
      <c r="B152" s="24" t="s">
        <v>605</v>
      </c>
      <c r="C152" s="24">
        <v>5</v>
      </c>
      <c r="D152" s="24">
        <v>3</v>
      </c>
      <c r="E152" s="24" t="s">
        <v>380</v>
      </c>
    </row>
    <row r="153" spans="1:5">
      <c r="A153" s="23">
        <v>11</v>
      </c>
      <c r="B153" s="24" t="s">
        <v>606</v>
      </c>
      <c r="C153" s="24">
        <v>1</v>
      </c>
      <c r="D153" s="24">
        <v>1</v>
      </c>
      <c r="E153" s="24" t="s">
        <v>316</v>
      </c>
    </row>
    <row r="154" spans="1:5">
      <c r="A154" s="23">
        <v>11</v>
      </c>
      <c r="B154" s="24" t="s">
        <v>606</v>
      </c>
      <c r="C154" s="24">
        <v>2</v>
      </c>
      <c r="D154" s="24">
        <v>1</v>
      </c>
      <c r="E154" s="24" t="s">
        <v>336</v>
      </c>
    </row>
    <row r="155" spans="1:5">
      <c r="A155" s="23">
        <v>11</v>
      </c>
      <c r="B155" s="24" t="s">
        <v>606</v>
      </c>
      <c r="C155" s="24">
        <v>3</v>
      </c>
      <c r="D155" s="24">
        <v>2</v>
      </c>
      <c r="E155" s="24" t="s">
        <v>306</v>
      </c>
    </row>
    <row r="156" spans="1:5">
      <c r="A156" s="23">
        <v>11</v>
      </c>
      <c r="B156" s="24" t="s">
        <v>606</v>
      </c>
      <c r="C156" s="24">
        <v>4</v>
      </c>
      <c r="D156" s="24">
        <v>2</v>
      </c>
      <c r="E156" s="24" t="s">
        <v>365</v>
      </c>
    </row>
    <row r="157" spans="1:5">
      <c r="A157" s="23">
        <v>11</v>
      </c>
      <c r="B157" s="24" t="s">
        <v>606</v>
      </c>
      <c r="C157" s="24">
        <v>5</v>
      </c>
      <c r="D157" s="24">
        <v>2</v>
      </c>
      <c r="E157" s="24" t="s">
        <v>369</v>
      </c>
    </row>
    <row r="158" spans="1:5">
      <c r="A158" s="22">
        <v>12</v>
      </c>
      <c r="B158" s="21" t="s">
        <v>604</v>
      </c>
      <c r="C158" s="21">
        <v>1</v>
      </c>
      <c r="D158" s="21">
        <v>1</v>
      </c>
      <c r="E158" s="21" t="s">
        <v>327</v>
      </c>
    </row>
    <row r="159" spans="1:5">
      <c r="A159" s="22">
        <v>12</v>
      </c>
      <c r="B159" s="21" t="s">
        <v>604</v>
      </c>
      <c r="C159" s="21">
        <v>2</v>
      </c>
      <c r="D159" s="21">
        <v>1</v>
      </c>
      <c r="E159" s="21" t="s">
        <v>326</v>
      </c>
    </row>
    <row r="160" spans="1:5">
      <c r="A160" s="22">
        <v>12</v>
      </c>
      <c r="B160" s="21" t="s">
        <v>604</v>
      </c>
      <c r="C160" s="21">
        <v>3</v>
      </c>
      <c r="D160" s="21">
        <v>2</v>
      </c>
      <c r="E160" s="21" t="s">
        <v>126</v>
      </c>
    </row>
    <row r="161" spans="1:5">
      <c r="A161" s="22">
        <v>12</v>
      </c>
      <c r="B161" s="21" t="s">
        <v>604</v>
      </c>
      <c r="C161" s="21">
        <v>4</v>
      </c>
      <c r="D161" s="21">
        <v>2</v>
      </c>
      <c r="E161" s="21" t="s">
        <v>362</v>
      </c>
    </row>
    <row r="162" spans="1:5">
      <c r="A162" s="22">
        <v>12</v>
      </c>
      <c r="B162" s="21" t="s">
        <v>604</v>
      </c>
      <c r="C162" s="21">
        <v>5</v>
      </c>
      <c r="D162" s="21">
        <v>2</v>
      </c>
      <c r="E162" s="21" t="s">
        <v>357</v>
      </c>
    </row>
    <row r="163" spans="1:5">
      <c r="A163" s="22">
        <v>12</v>
      </c>
      <c r="B163" s="21" t="s">
        <v>605</v>
      </c>
      <c r="C163" s="21">
        <v>1</v>
      </c>
      <c r="D163" s="21">
        <v>1</v>
      </c>
      <c r="E163" s="21" t="s">
        <v>340</v>
      </c>
    </row>
    <row r="164" spans="1:5">
      <c r="A164" s="22">
        <v>12</v>
      </c>
      <c r="B164" s="21" t="s">
        <v>605</v>
      </c>
      <c r="C164" s="21">
        <v>2</v>
      </c>
      <c r="D164" s="21">
        <v>1</v>
      </c>
      <c r="E164" s="21" t="s">
        <v>51</v>
      </c>
    </row>
    <row r="165" spans="1:5">
      <c r="A165" s="22">
        <v>12</v>
      </c>
      <c r="B165" s="21" t="s">
        <v>605</v>
      </c>
      <c r="C165" s="21">
        <v>3</v>
      </c>
      <c r="D165" s="21">
        <v>2</v>
      </c>
      <c r="E165" s="21" t="s">
        <v>393</v>
      </c>
    </row>
    <row r="166" spans="1:5">
      <c r="A166" s="22">
        <v>12</v>
      </c>
      <c r="B166" s="21" t="s">
        <v>605</v>
      </c>
      <c r="C166" s="21">
        <v>4</v>
      </c>
      <c r="D166" s="21">
        <v>3</v>
      </c>
      <c r="E166" s="21" t="s">
        <v>383</v>
      </c>
    </row>
    <row r="167" spans="1:5">
      <c r="A167" s="22">
        <v>12</v>
      </c>
      <c r="B167" s="21" t="s">
        <v>606</v>
      </c>
      <c r="C167" s="21">
        <v>1</v>
      </c>
      <c r="D167" s="21">
        <v>2</v>
      </c>
      <c r="E167" s="21" t="s">
        <v>545</v>
      </c>
    </row>
    <row r="168" spans="1:5">
      <c r="A168" s="22">
        <v>12</v>
      </c>
      <c r="B168" s="21" t="s">
        <v>606</v>
      </c>
      <c r="C168" s="21">
        <v>2</v>
      </c>
      <c r="D168" s="21">
        <v>3</v>
      </c>
      <c r="E168" s="21" t="s">
        <v>406</v>
      </c>
    </row>
    <row r="169" spans="1:5">
      <c r="A169" s="22">
        <v>12</v>
      </c>
      <c r="B169" s="21" t="s">
        <v>606</v>
      </c>
      <c r="C169" s="21">
        <v>3</v>
      </c>
      <c r="D169" s="21">
        <v>3</v>
      </c>
      <c r="E169" s="21" t="s">
        <v>382</v>
      </c>
    </row>
    <row r="170" spans="1:5">
      <c r="A170" s="22">
        <v>12</v>
      </c>
      <c r="B170" s="21" t="s">
        <v>606</v>
      </c>
      <c r="C170" s="21">
        <v>4</v>
      </c>
      <c r="D170" s="21">
        <v>3</v>
      </c>
      <c r="E170" s="21" t="s">
        <v>546</v>
      </c>
    </row>
    <row r="171" spans="1:5">
      <c r="A171" s="22">
        <v>12</v>
      </c>
      <c r="B171" s="21" t="s">
        <v>606</v>
      </c>
      <c r="C171" s="21">
        <v>5</v>
      </c>
      <c r="D171" s="21">
        <v>3</v>
      </c>
      <c r="E171" s="21" t="s">
        <v>547</v>
      </c>
    </row>
    <row r="172" spans="1:5">
      <c r="A172" s="23">
        <v>13</v>
      </c>
      <c r="B172" s="24" t="s">
        <v>604</v>
      </c>
      <c r="C172" s="24">
        <v>1</v>
      </c>
      <c r="D172" s="24">
        <v>1</v>
      </c>
      <c r="E172" s="24" t="s">
        <v>43</v>
      </c>
    </row>
    <row r="173" spans="1:5">
      <c r="A173" s="23">
        <v>13</v>
      </c>
      <c r="B173" s="24" t="s">
        <v>604</v>
      </c>
      <c r="C173" s="24">
        <v>2</v>
      </c>
      <c r="D173" s="24">
        <v>3</v>
      </c>
      <c r="E173" s="24" t="s">
        <v>401</v>
      </c>
    </row>
    <row r="174" spans="1:5">
      <c r="A174" s="23">
        <v>13</v>
      </c>
      <c r="B174" s="24" t="s">
        <v>604</v>
      </c>
      <c r="C174" s="24">
        <v>3</v>
      </c>
      <c r="D174" s="24">
        <v>3</v>
      </c>
      <c r="E174" s="24" t="s">
        <v>384</v>
      </c>
    </row>
    <row r="175" spans="1:5">
      <c r="A175" s="23">
        <v>13</v>
      </c>
      <c r="B175" s="24" t="s">
        <v>604</v>
      </c>
      <c r="C175" s="24">
        <v>4</v>
      </c>
      <c r="D175" s="24">
        <v>3</v>
      </c>
      <c r="E175" s="24" t="s">
        <v>549</v>
      </c>
    </row>
    <row r="176" spans="1:5">
      <c r="A176" s="23">
        <v>13</v>
      </c>
      <c r="B176" s="24" t="s">
        <v>604</v>
      </c>
      <c r="C176" s="24">
        <v>5</v>
      </c>
      <c r="D176" s="24">
        <v>3</v>
      </c>
      <c r="E176" s="24" t="s">
        <v>550</v>
      </c>
    </row>
    <row r="177" spans="1:5">
      <c r="A177" s="23">
        <v>13</v>
      </c>
      <c r="B177" s="24" t="s">
        <v>605</v>
      </c>
      <c r="C177" s="24">
        <v>1</v>
      </c>
      <c r="D177" s="24">
        <v>1</v>
      </c>
      <c r="E177" s="24" t="s">
        <v>52</v>
      </c>
    </row>
    <row r="178" spans="1:5">
      <c r="A178" s="23">
        <v>13</v>
      </c>
      <c r="B178" s="24" t="s">
        <v>605</v>
      </c>
      <c r="C178" s="24">
        <v>2</v>
      </c>
      <c r="D178" s="24">
        <v>2</v>
      </c>
      <c r="E178" s="24" t="s">
        <v>127</v>
      </c>
    </row>
    <row r="179" spans="1:5">
      <c r="A179" s="23">
        <v>13</v>
      </c>
      <c r="B179" s="24" t="s">
        <v>605</v>
      </c>
      <c r="C179" s="24">
        <v>3</v>
      </c>
      <c r="D179" s="24">
        <v>2</v>
      </c>
      <c r="E179" s="24" t="s">
        <v>359</v>
      </c>
    </row>
    <row r="180" spans="1:5">
      <c r="A180" s="23">
        <v>13</v>
      </c>
      <c r="B180" s="24" t="s">
        <v>605</v>
      </c>
      <c r="C180" s="24">
        <v>4</v>
      </c>
      <c r="D180" s="24">
        <v>2</v>
      </c>
      <c r="E180" s="24" t="s">
        <v>112</v>
      </c>
    </row>
    <row r="181" spans="1:5">
      <c r="A181" s="23">
        <v>13</v>
      </c>
      <c r="B181" s="24" t="s">
        <v>605</v>
      </c>
      <c r="C181" s="24">
        <v>5</v>
      </c>
      <c r="D181" s="24">
        <v>3</v>
      </c>
      <c r="E181" s="24" t="s">
        <v>171</v>
      </c>
    </row>
    <row r="182" spans="1:5">
      <c r="A182" s="23">
        <v>13</v>
      </c>
      <c r="B182" s="24" t="s">
        <v>606</v>
      </c>
      <c r="C182" s="24">
        <v>1</v>
      </c>
      <c r="D182" s="24">
        <v>1</v>
      </c>
      <c r="E182" s="24" t="s">
        <v>329</v>
      </c>
    </row>
    <row r="183" spans="1:5">
      <c r="A183" s="23">
        <v>13</v>
      </c>
      <c r="B183" s="24" t="s">
        <v>606</v>
      </c>
      <c r="C183" s="24">
        <v>2</v>
      </c>
      <c r="D183" s="24">
        <v>2</v>
      </c>
      <c r="E183" s="24" t="s">
        <v>548</v>
      </c>
    </row>
    <row r="184" spans="1:5">
      <c r="A184" s="23">
        <v>13</v>
      </c>
      <c r="B184" s="24" t="s">
        <v>606</v>
      </c>
      <c r="C184" s="24">
        <v>3</v>
      </c>
      <c r="D184" s="24">
        <v>1</v>
      </c>
      <c r="E184" s="24" t="s">
        <v>337</v>
      </c>
    </row>
    <row r="185" spans="1:5">
      <c r="A185" s="23">
        <v>13</v>
      </c>
      <c r="B185" s="24" t="s">
        <v>606</v>
      </c>
      <c r="C185" s="24">
        <v>4</v>
      </c>
      <c r="D185" s="24">
        <v>2</v>
      </c>
      <c r="E185" s="24" t="s">
        <v>256</v>
      </c>
    </row>
    <row r="186" spans="1:5">
      <c r="A186" s="22">
        <v>14</v>
      </c>
      <c r="B186" s="21" t="s">
        <v>604</v>
      </c>
      <c r="C186" s="21">
        <v>1</v>
      </c>
      <c r="D186" s="21">
        <v>2</v>
      </c>
      <c r="E186" s="21" t="s">
        <v>113</v>
      </c>
    </row>
    <row r="187" spans="1:5">
      <c r="A187" s="22">
        <v>14</v>
      </c>
      <c r="B187" s="21" t="s">
        <v>604</v>
      </c>
      <c r="C187" s="21">
        <v>2</v>
      </c>
      <c r="D187" s="21">
        <v>1</v>
      </c>
      <c r="E187" s="21" t="s">
        <v>38</v>
      </c>
    </row>
    <row r="188" spans="1:5">
      <c r="A188" s="22">
        <v>14</v>
      </c>
      <c r="B188" s="21" t="s">
        <v>604</v>
      </c>
      <c r="C188" s="21">
        <v>3</v>
      </c>
      <c r="D188" s="21">
        <v>1</v>
      </c>
      <c r="E188" s="21" t="s">
        <v>53</v>
      </c>
    </row>
    <row r="189" spans="1:5">
      <c r="A189" s="22">
        <v>14</v>
      </c>
      <c r="B189" s="21" t="s">
        <v>604</v>
      </c>
      <c r="C189" s="21">
        <v>4</v>
      </c>
      <c r="D189" s="21">
        <v>2</v>
      </c>
      <c r="E189" s="21" t="s">
        <v>363</v>
      </c>
    </row>
    <row r="190" spans="1:5">
      <c r="A190" s="22">
        <v>14</v>
      </c>
      <c r="B190" s="21" t="s">
        <v>604</v>
      </c>
      <c r="C190" s="21">
        <v>5</v>
      </c>
      <c r="D190" s="21">
        <v>3</v>
      </c>
      <c r="E190" s="21" t="s">
        <v>165</v>
      </c>
    </row>
    <row r="191" spans="1:5">
      <c r="A191" s="22">
        <v>14</v>
      </c>
      <c r="B191" s="21" t="s">
        <v>605</v>
      </c>
      <c r="C191" s="21">
        <v>1</v>
      </c>
      <c r="D191" s="21">
        <v>2</v>
      </c>
      <c r="E191" s="21" t="s">
        <v>105</v>
      </c>
    </row>
    <row r="192" spans="1:5">
      <c r="A192" s="22">
        <v>14</v>
      </c>
      <c r="B192" s="21" t="s">
        <v>605</v>
      </c>
      <c r="C192" s="21">
        <v>2</v>
      </c>
      <c r="D192" s="21">
        <v>1</v>
      </c>
      <c r="E192" s="21" t="s">
        <v>325</v>
      </c>
    </row>
    <row r="193" spans="1:5">
      <c r="A193" s="22">
        <v>14</v>
      </c>
      <c r="B193" s="21" t="s">
        <v>605</v>
      </c>
      <c r="C193" s="21">
        <v>3</v>
      </c>
      <c r="D193" s="21">
        <v>3</v>
      </c>
      <c r="E193" s="21" t="s">
        <v>172</v>
      </c>
    </row>
    <row r="194" spans="1:5">
      <c r="A194" s="22">
        <v>14</v>
      </c>
      <c r="B194" s="21" t="s">
        <v>605</v>
      </c>
      <c r="C194" s="21">
        <v>4</v>
      </c>
      <c r="D194" s="21">
        <v>1</v>
      </c>
      <c r="E194" s="21" t="s">
        <v>44</v>
      </c>
    </row>
    <row r="195" spans="1:5">
      <c r="A195" s="22">
        <v>14</v>
      </c>
      <c r="B195" s="21" t="s">
        <v>605</v>
      </c>
      <c r="C195" s="21">
        <v>5</v>
      </c>
      <c r="D195" s="21">
        <v>2</v>
      </c>
      <c r="E195" s="21" t="s">
        <v>552</v>
      </c>
    </row>
    <row r="196" spans="1:5">
      <c r="A196" s="22">
        <v>14</v>
      </c>
      <c r="B196" s="21" t="s">
        <v>606</v>
      </c>
      <c r="C196" s="21">
        <v>1</v>
      </c>
      <c r="D196" s="21">
        <v>2</v>
      </c>
      <c r="E196" s="21" t="s">
        <v>130</v>
      </c>
    </row>
    <row r="197" spans="1:5">
      <c r="A197" s="22">
        <v>14</v>
      </c>
      <c r="B197" s="21" t="s">
        <v>606</v>
      </c>
      <c r="C197" s="21">
        <v>2</v>
      </c>
      <c r="D197" s="21">
        <v>3</v>
      </c>
      <c r="E197" s="21" t="s">
        <v>551</v>
      </c>
    </row>
    <row r="198" spans="1:5">
      <c r="A198" s="22">
        <v>14</v>
      </c>
      <c r="B198" s="21" t="s">
        <v>606</v>
      </c>
      <c r="C198" s="21">
        <v>3</v>
      </c>
      <c r="D198" s="21">
        <v>3</v>
      </c>
      <c r="E198" s="21" t="s">
        <v>208</v>
      </c>
    </row>
    <row r="199" spans="1:5">
      <c r="A199" s="22">
        <v>14</v>
      </c>
      <c r="B199" s="21" t="s">
        <v>606</v>
      </c>
      <c r="C199" s="21">
        <v>4</v>
      </c>
      <c r="D199" s="21">
        <v>3</v>
      </c>
      <c r="E199" s="21" t="s">
        <v>389</v>
      </c>
    </row>
    <row r="200" spans="1:5">
      <c r="A200" s="23">
        <v>15</v>
      </c>
      <c r="B200" s="24" t="s">
        <v>604</v>
      </c>
      <c r="C200" s="24">
        <v>1</v>
      </c>
      <c r="D200" s="24">
        <v>1</v>
      </c>
      <c r="E200" s="24" t="s">
        <v>45</v>
      </c>
    </row>
    <row r="201" spans="1:5">
      <c r="A201" s="23">
        <v>15</v>
      </c>
      <c r="B201" s="24" t="s">
        <v>604</v>
      </c>
      <c r="C201" s="24">
        <v>2</v>
      </c>
      <c r="D201" s="24">
        <v>2</v>
      </c>
      <c r="E201" s="24" t="s">
        <v>106</v>
      </c>
    </row>
    <row r="202" spans="1:5">
      <c r="A202" s="23">
        <v>15</v>
      </c>
      <c r="B202" s="24" t="s">
        <v>604</v>
      </c>
      <c r="C202" s="24">
        <v>3</v>
      </c>
      <c r="D202" s="24">
        <v>2</v>
      </c>
      <c r="E202" s="24" t="s">
        <v>553</v>
      </c>
    </row>
    <row r="203" spans="1:5">
      <c r="A203" s="23">
        <v>15</v>
      </c>
      <c r="B203" s="24" t="s">
        <v>604</v>
      </c>
      <c r="C203" s="24">
        <v>4</v>
      </c>
      <c r="D203" s="24">
        <v>3</v>
      </c>
      <c r="E203" s="24" t="s">
        <v>391</v>
      </c>
    </row>
    <row r="204" spans="1:5">
      <c r="A204" s="23">
        <v>15</v>
      </c>
      <c r="B204" s="24" t="s">
        <v>604</v>
      </c>
      <c r="C204" s="24">
        <v>5</v>
      </c>
      <c r="D204" s="24">
        <v>3</v>
      </c>
      <c r="E204" s="24" t="s">
        <v>173</v>
      </c>
    </row>
    <row r="205" spans="1:5">
      <c r="A205" s="23">
        <v>15</v>
      </c>
      <c r="B205" s="24" t="s">
        <v>605</v>
      </c>
      <c r="C205" s="24">
        <v>1</v>
      </c>
      <c r="D205" s="24">
        <v>1</v>
      </c>
      <c r="E205" s="24" t="s">
        <v>39</v>
      </c>
    </row>
    <row r="206" spans="1:5">
      <c r="A206" s="23">
        <v>15</v>
      </c>
      <c r="B206" s="24" t="s">
        <v>605</v>
      </c>
      <c r="C206" s="24">
        <v>2</v>
      </c>
      <c r="D206" s="24">
        <v>2</v>
      </c>
      <c r="E206" s="24" t="s">
        <v>99</v>
      </c>
    </row>
    <row r="207" spans="1:5">
      <c r="A207" s="23">
        <v>15</v>
      </c>
      <c r="B207" s="24" t="s">
        <v>605</v>
      </c>
      <c r="C207" s="24">
        <v>3</v>
      </c>
      <c r="D207" s="24">
        <v>3</v>
      </c>
      <c r="E207" s="24" t="s">
        <v>279</v>
      </c>
    </row>
    <row r="208" spans="1:5">
      <c r="A208" s="23">
        <v>15</v>
      </c>
      <c r="B208" s="24" t="s">
        <v>605</v>
      </c>
      <c r="C208" s="24">
        <v>4</v>
      </c>
      <c r="D208" s="24">
        <v>3</v>
      </c>
      <c r="E208" s="24" t="s">
        <v>166</v>
      </c>
    </row>
    <row r="209" spans="1:5">
      <c r="A209" s="23">
        <v>15</v>
      </c>
      <c r="B209" s="24" t="s">
        <v>606</v>
      </c>
      <c r="C209" s="24">
        <v>1</v>
      </c>
      <c r="D209" s="24">
        <v>1</v>
      </c>
      <c r="E209" s="24" t="s">
        <v>21</v>
      </c>
    </row>
    <row r="210" spans="1:5">
      <c r="A210" s="23">
        <v>15</v>
      </c>
      <c r="B210" s="24" t="s">
        <v>606</v>
      </c>
      <c r="C210" s="24">
        <v>2</v>
      </c>
      <c r="D210" s="24">
        <v>1</v>
      </c>
      <c r="E210" s="24" t="s">
        <v>328</v>
      </c>
    </row>
    <row r="211" spans="1:5">
      <c r="A211" s="23">
        <v>15</v>
      </c>
      <c r="B211" s="24" t="s">
        <v>606</v>
      </c>
      <c r="C211" s="24">
        <v>3</v>
      </c>
      <c r="D211" s="24">
        <v>2</v>
      </c>
      <c r="E211" s="24" t="s">
        <v>114</v>
      </c>
    </row>
    <row r="212" spans="1:5">
      <c r="A212" s="23">
        <v>15</v>
      </c>
      <c r="B212" s="24" t="s">
        <v>606</v>
      </c>
      <c r="C212" s="24">
        <v>4</v>
      </c>
      <c r="D212" s="24">
        <v>2</v>
      </c>
      <c r="E212" s="24" t="s">
        <v>251</v>
      </c>
    </row>
    <row r="213" spans="1:5">
      <c r="A213" s="23">
        <v>15</v>
      </c>
      <c r="B213" s="24" t="s">
        <v>606</v>
      </c>
      <c r="C213" s="24">
        <v>5</v>
      </c>
      <c r="D213" s="24">
        <v>3</v>
      </c>
      <c r="E213" s="24" t="s">
        <v>160</v>
      </c>
    </row>
    <row r="214" spans="1:5">
      <c r="A214" s="22">
        <v>16</v>
      </c>
      <c r="B214" s="21" t="s">
        <v>604</v>
      </c>
      <c r="C214" s="21">
        <v>1</v>
      </c>
      <c r="D214" s="21">
        <v>1</v>
      </c>
      <c r="E214" s="21" t="s">
        <v>345</v>
      </c>
    </row>
    <row r="215" spans="1:5">
      <c r="A215" s="22">
        <v>16</v>
      </c>
      <c r="B215" s="21" t="s">
        <v>604</v>
      </c>
      <c r="C215" s="21">
        <v>2</v>
      </c>
      <c r="D215" s="21">
        <v>2</v>
      </c>
      <c r="E215" s="21" t="s">
        <v>554</v>
      </c>
    </row>
    <row r="216" spans="1:5">
      <c r="A216" s="22">
        <v>16</v>
      </c>
      <c r="B216" s="21" t="s">
        <v>604</v>
      </c>
      <c r="C216" s="21">
        <v>3</v>
      </c>
      <c r="D216" s="21">
        <v>2</v>
      </c>
      <c r="E216" s="21" t="s">
        <v>376</v>
      </c>
    </row>
    <row r="217" spans="1:5">
      <c r="A217" s="22">
        <v>16</v>
      </c>
      <c r="B217" s="21" t="s">
        <v>604</v>
      </c>
      <c r="C217" s="21">
        <v>4</v>
      </c>
      <c r="D217" s="21">
        <v>2</v>
      </c>
      <c r="E217" s="21" t="s">
        <v>100</v>
      </c>
    </row>
    <row r="218" spans="1:5">
      <c r="A218" s="22">
        <v>16</v>
      </c>
      <c r="B218" s="21" t="s">
        <v>604</v>
      </c>
      <c r="C218" s="21">
        <v>5</v>
      </c>
      <c r="D218" s="21">
        <v>3</v>
      </c>
      <c r="E218" s="21" t="s">
        <v>152</v>
      </c>
    </row>
    <row r="219" spans="1:5">
      <c r="A219" s="22">
        <v>16</v>
      </c>
      <c r="B219" s="21" t="s">
        <v>605</v>
      </c>
      <c r="C219" s="21">
        <v>1</v>
      </c>
      <c r="D219" s="21">
        <v>1</v>
      </c>
      <c r="E219" s="21" t="s">
        <v>25</v>
      </c>
    </row>
    <row r="220" spans="1:5">
      <c r="A220" s="22">
        <v>16</v>
      </c>
      <c r="B220" s="21" t="s">
        <v>605</v>
      </c>
      <c r="C220" s="21">
        <v>2</v>
      </c>
      <c r="D220" s="21">
        <v>1</v>
      </c>
      <c r="E220" s="21" t="s">
        <v>330</v>
      </c>
    </row>
    <row r="221" spans="1:5">
      <c r="A221" s="22">
        <v>16</v>
      </c>
      <c r="B221" s="21" t="s">
        <v>605</v>
      </c>
      <c r="C221" s="21">
        <v>3</v>
      </c>
      <c r="D221" s="21">
        <v>2</v>
      </c>
      <c r="E221" s="21" t="s">
        <v>93</v>
      </c>
    </row>
    <row r="222" spans="1:5">
      <c r="A222" s="22">
        <v>16</v>
      </c>
      <c r="B222" s="21" t="s">
        <v>605</v>
      </c>
      <c r="C222" s="21">
        <v>4</v>
      </c>
      <c r="D222" s="21">
        <v>3</v>
      </c>
      <c r="E222" s="21" t="s">
        <v>555</v>
      </c>
    </row>
    <row r="223" spans="1:5">
      <c r="A223" s="22">
        <v>16</v>
      </c>
      <c r="B223" s="21" t="s">
        <v>605</v>
      </c>
      <c r="C223" s="21">
        <v>5</v>
      </c>
      <c r="D223" s="21">
        <v>3</v>
      </c>
      <c r="E223" s="21" t="s">
        <v>386</v>
      </c>
    </row>
    <row r="224" spans="1:5">
      <c r="A224" s="22">
        <v>16</v>
      </c>
      <c r="B224" s="21" t="s">
        <v>606</v>
      </c>
      <c r="C224" s="21">
        <v>1</v>
      </c>
      <c r="D224" s="21">
        <v>2</v>
      </c>
      <c r="E224" s="21" t="s">
        <v>358</v>
      </c>
    </row>
    <row r="225" spans="1:5">
      <c r="A225" s="22">
        <v>16</v>
      </c>
      <c r="B225" s="21" t="s">
        <v>606</v>
      </c>
      <c r="C225" s="21">
        <v>2</v>
      </c>
      <c r="D225" s="21">
        <v>1</v>
      </c>
      <c r="E225" s="21" t="s">
        <v>24</v>
      </c>
    </row>
    <row r="226" spans="1:5">
      <c r="A226" s="22">
        <v>16</v>
      </c>
      <c r="B226" s="21" t="s">
        <v>606</v>
      </c>
      <c r="C226" s="21">
        <v>3</v>
      </c>
      <c r="D226" s="21">
        <v>3</v>
      </c>
      <c r="E226" s="21" t="s">
        <v>161</v>
      </c>
    </row>
    <row r="227" spans="1:5">
      <c r="A227" s="22">
        <v>16</v>
      </c>
      <c r="B227" s="21" t="s">
        <v>606</v>
      </c>
      <c r="C227" s="21">
        <v>4</v>
      </c>
      <c r="D227" s="21">
        <v>3</v>
      </c>
      <c r="E227" s="21" t="s">
        <v>556</v>
      </c>
    </row>
    <row r="228" spans="1:5">
      <c r="A228" s="23">
        <v>17</v>
      </c>
      <c r="B228" s="24" t="s">
        <v>604</v>
      </c>
      <c r="C228" s="24">
        <v>1</v>
      </c>
      <c r="D228" s="24">
        <v>1</v>
      </c>
      <c r="E228" s="24" t="s">
        <v>331</v>
      </c>
    </row>
    <row r="229" spans="1:5">
      <c r="A229" s="23">
        <v>17</v>
      </c>
      <c r="B229" s="24" t="s">
        <v>604</v>
      </c>
      <c r="C229" s="24">
        <v>2</v>
      </c>
      <c r="D229" s="24">
        <v>2</v>
      </c>
      <c r="E229" s="24" t="s">
        <v>85</v>
      </c>
    </row>
    <row r="230" spans="1:5">
      <c r="A230" s="23">
        <v>17</v>
      </c>
      <c r="B230" s="24" t="s">
        <v>604</v>
      </c>
      <c r="C230" s="24">
        <v>3</v>
      </c>
      <c r="D230" s="24">
        <v>2</v>
      </c>
      <c r="E230" s="24" t="s">
        <v>248</v>
      </c>
    </row>
    <row r="231" spans="1:5">
      <c r="A231" s="23">
        <v>17</v>
      </c>
      <c r="B231" s="24" t="s">
        <v>604</v>
      </c>
      <c r="C231" s="24">
        <v>4</v>
      </c>
      <c r="D231" s="24">
        <v>3</v>
      </c>
      <c r="E231" s="24" t="s">
        <v>559</v>
      </c>
    </row>
    <row r="232" spans="1:5">
      <c r="A232" s="23">
        <v>17</v>
      </c>
      <c r="B232" s="24" t="s">
        <v>604</v>
      </c>
      <c r="C232" s="24">
        <v>5</v>
      </c>
      <c r="D232" s="24">
        <v>3</v>
      </c>
      <c r="E232" s="24" t="s">
        <v>148</v>
      </c>
    </row>
    <row r="233" spans="1:5">
      <c r="A233" s="23">
        <v>17</v>
      </c>
      <c r="B233" s="24" t="s">
        <v>605</v>
      </c>
      <c r="C233" s="24">
        <v>1</v>
      </c>
      <c r="D233" s="24">
        <v>1</v>
      </c>
      <c r="E233" s="24" t="s">
        <v>341</v>
      </c>
    </row>
    <row r="234" spans="1:5">
      <c r="A234" s="23">
        <v>17</v>
      </c>
      <c r="B234" s="24" t="s">
        <v>605</v>
      </c>
      <c r="C234" s="24">
        <v>2</v>
      </c>
      <c r="D234" s="24">
        <v>2</v>
      </c>
      <c r="E234" s="24" t="s">
        <v>377</v>
      </c>
    </row>
    <row r="235" spans="1:5">
      <c r="A235" s="23">
        <v>17</v>
      </c>
      <c r="B235" s="24" t="s">
        <v>605</v>
      </c>
      <c r="C235" s="24">
        <v>3</v>
      </c>
      <c r="D235" s="24">
        <v>2</v>
      </c>
      <c r="E235" s="24" t="s">
        <v>372</v>
      </c>
    </row>
    <row r="236" spans="1:5">
      <c r="A236" s="23">
        <v>17</v>
      </c>
      <c r="B236" s="24" t="s">
        <v>605</v>
      </c>
      <c r="C236" s="24">
        <v>4</v>
      </c>
      <c r="D236" s="24">
        <v>2</v>
      </c>
      <c r="E236" s="24" t="s">
        <v>558</v>
      </c>
    </row>
    <row r="237" spans="1:5">
      <c r="A237" s="23">
        <v>17</v>
      </c>
      <c r="B237" s="24" t="s">
        <v>605</v>
      </c>
      <c r="C237" s="24">
        <v>5</v>
      </c>
      <c r="D237" s="24">
        <v>3</v>
      </c>
      <c r="E237" s="24" t="s">
        <v>557</v>
      </c>
    </row>
    <row r="238" spans="1:5">
      <c r="A238" s="23">
        <v>17</v>
      </c>
      <c r="B238" s="24" t="s">
        <v>606</v>
      </c>
      <c r="C238" s="24">
        <v>1</v>
      </c>
      <c r="D238" s="24">
        <v>1</v>
      </c>
      <c r="E238" s="24" t="s">
        <v>27</v>
      </c>
    </row>
    <row r="239" spans="1:5">
      <c r="A239" s="23">
        <v>17</v>
      </c>
      <c r="B239" s="24" t="s">
        <v>606</v>
      </c>
      <c r="C239" s="24">
        <v>2</v>
      </c>
      <c r="D239" s="24">
        <v>1</v>
      </c>
      <c r="E239" s="24" t="s">
        <v>346</v>
      </c>
    </row>
    <row r="240" spans="1:5">
      <c r="A240" s="23">
        <v>17</v>
      </c>
      <c r="B240" s="24" t="s">
        <v>606</v>
      </c>
      <c r="C240" s="24">
        <v>3</v>
      </c>
      <c r="D240" s="24">
        <v>3</v>
      </c>
      <c r="E240" s="24" t="s">
        <v>387</v>
      </c>
    </row>
    <row r="241" spans="1:5">
      <c r="A241" s="23">
        <v>17</v>
      </c>
      <c r="B241" s="24" t="s">
        <v>606</v>
      </c>
      <c r="C241" s="24">
        <v>4</v>
      </c>
      <c r="D241" s="24">
        <v>3</v>
      </c>
      <c r="E241" s="24" t="s">
        <v>282</v>
      </c>
    </row>
    <row r="242" spans="1:5">
      <c r="A242" s="22">
        <v>18</v>
      </c>
      <c r="B242" s="21" t="s">
        <v>604</v>
      </c>
      <c r="C242" s="21">
        <v>1</v>
      </c>
      <c r="D242" s="21">
        <v>1</v>
      </c>
      <c r="E242" s="21" t="s">
        <v>333</v>
      </c>
    </row>
    <row r="243" spans="1:5">
      <c r="A243" s="22">
        <v>18</v>
      </c>
      <c r="B243" s="21" t="s">
        <v>604</v>
      </c>
      <c r="C243" s="21">
        <v>2</v>
      </c>
      <c r="D243" s="21">
        <v>1</v>
      </c>
      <c r="E243" s="21" t="s">
        <v>347</v>
      </c>
    </row>
    <row r="244" spans="1:5">
      <c r="A244" s="22">
        <v>18</v>
      </c>
      <c r="B244" s="21" t="s">
        <v>604</v>
      </c>
      <c r="C244" s="21">
        <v>3</v>
      </c>
      <c r="D244" s="21">
        <v>2</v>
      </c>
      <c r="E244" s="21" t="s">
        <v>367</v>
      </c>
    </row>
    <row r="245" spans="1:5">
      <c r="A245" s="22">
        <v>18</v>
      </c>
      <c r="B245" s="21" t="s">
        <v>604</v>
      </c>
      <c r="C245" s="21">
        <v>4</v>
      </c>
      <c r="D245" s="21">
        <v>2</v>
      </c>
      <c r="E245" s="21" t="s">
        <v>371</v>
      </c>
    </row>
    <row r="246" spans="1:5">
      <c r="A246" s="22">
        <v>18</v>
      </c>
      <c r="B246" s="21" t="s">
        <v>604</v>
      </c>
      <c r="C246" s="21">
        <v>5</v>
      </c>
      <c r="D246" s="21">
        <v>3</v>
      </c>
      <c r="E246" s="21" t="s">
        <v>404</v>
      </c>
    </row>
    <row r="247" spans="1:5">
      <c r="A247" s="22">
        <v>18</v>
      </c>
      <c r="B247" s="21" t="s">
        <v>605</v>
      </c>
      <c r="C247" s="21">
        <v>1</v>
      </c>
      <c r="D247" s="21">
        <v>1</v>
      </c>
      <c r="E247" s="21" t="s">
        <v>342</v>
      </c>
    </row>
    <row r="248" spans="1:5">
      <c r="A248" s="22">
        <v>18</v>
      </c>
      <c r="B248" s="21" t="s">
        <v>605</v>
      </c>
      <c r="C248" s="21">
        <v>2</v>
      </c>
      <c r="D248" s="21">
        <v>2</v>
      </c>
      <c r="E248" s="21" t="s">
        <v>350</v>
      </c>
    </row>
    <row r="249" spans="1:5">
      <c r="A249" s="22">
        <v>18</v>
      </c>
      <c r="B249" s="21" t="s">
        <v>605</v>
      </c>
      <c r="C249" s="21">
        <v>3</v>
      </c>
      <c r="D249" s="21">
        <v>2</v>
      </c>
      <c r="E249" s="21" t="s">
        <v>375</v>
      </c>
    </row>
    <row r="250" spans="1:5">
      <c r="A250" s="22">
        <v>18</v>
      </c>
      <c r="B250" s="21" t="s">
        <v>605</v>
      </c>
      <c r="C250" s="21">
        <v>4</v>
      </c>
      <c r="D250" s="21">
        <v>3</v>
      </c>
      <c r="E250" s="21" t="s">
        <v>388</v>
      </c>
    </row>
    <row r="251" spans="1:5">
      <c r="A251" s="22">
        <v>18</v>
      </c>
      <c r="B251" s="21" t="s">
        <v>605</v>
      </c>
      <c r="C251" s="21">
        <v>5</v>
      </c>
      <c r="D251" s="21">
        <v>3</v>
      </c>
      <c r="E251" s="21" t="s">
        <v>379</v>
      </c>
    </row>
    <row r="252" spans="1:5">
      <c r="A252" s="22">
        <v>18</v>
      </c>
      <c r="B252" s="21" t="s">
        <v>606</v>
      </c>
      <c r="C252" s="21">
        <v>1</v>
      </c>
      <c r="D252" s="21">
        <v>1</v>
      </c>
      <c r="E252" s="21" t="s">
        <v>338</v>
      </c>
    </row>
    <row r="253" spans="1:5">
      <c r="A253" s="22">
        <v>18</v>
      </c>
      <c r="B253" s="21" t="s">
        <v>606</v>
      </c>
      <c r="C253" s="21">
        <v>2</v>
      </c>
      <c r="D253" s="21">
        <v>2</v>
      </c>
      <c r="E253" s="21" t="s">
        <v>560</v>
      </c>
    </row>
    <row r="254" spans="1:5">
      <c r="A254" s="22">
        <v>18</v>
      </c>
      <c r="B254" s="21" t="s">
        <v>606</v>
      </c>
      <c r="C254" s="21">
        <v>3</v>
      </c>
      <c r="D254" s="21">
        <v>3</v>
      </c>
      <c r="E254" s="21" t="s">
        <v>562</v>
      </c>
    </row>
    <row r="255" spans="1:5">
      <c r="A255" s="22">
        <v>18</v>
      </c>
      <c r="B255" s="21" t="s">
        <v>606</v>
      </c>
      <c r="C255" s="21">
        <v>4</v>
      </c>
      <c r="D255" s="21">
        <v>3</v>
      </c>
      <c r="E255" s="21" t="s">
        <v>561</v>
      </c>
    </row>
    <row r="256" spans="1:5">
      <c r="A256" s="23">
        <v>19</v>
      </c>
      <c r="B256" s="2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6" s="24">
        <v>1</v>
      </c>
      <c r="D256" s="24" t="s">
        <v>479</v>
      </c>
      <c r="E256" s="24" t="s">
        <v>563</v>
      </c>
    </row>
    <row r="257" spans="1:21">
      <c r="A257" s="23">
        <v>19</v>
      </c>
      <c r="B257" s="24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7" s="24">
        <v>2</v>
      </c>
      <c r="D257" s="24" t="s">
        <v>479</v>
      </c>
      <c r="E257" s="24" t="s">
        <v>373</v>
      </c>
    </row>
    <row r="258" spans="1:21">
      <c r="A258" s="22">
        <v>20</v>
      </c>
      <c r="B258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58" s="21">
        <v>1</v>
      </c>
      <c r="D258" s="21" t="s">
        <v>479</v>
      </c>
      <c r="E258" s="21" t="s">
        <v>374</v>
      </c>
    </row>
    <row r="261" spans="1:21" ht="15.5">
      <c r="B261" s="41" t="s">
        <v>905</v>
      </c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</row>
    <row r="262" spans="1:21">
      <c r="B262" s="42" t="s">
        <v>608</v>
      </c>
      <c r="C262" s="43" t="s">
        <v>906</v>
      </c>
      <c r="D262" s="43"/>
      <c r="E262" s="43"/>
      <c r="F262" s="43" t="s">
        <v>610</v>
      </c>
      <c r="G262" s="43"/>
      <c r="H262" s="46"/>
      <c r="I262" s="42" t="s">
        <v>608</v>
      </c>
      <c r="J262" s="43" t="s">
        <v>915</v>
      </c>
      <c r="K262" s="43"/>
      <c r="L262" s="43"/>
      <c r="M262" s="43" t="s">
        <v>610</v>
      </c>
      <c r="N262" s="43"/>
      <c r="O262" s="46"/>
      <c r="P262" s="42" t="s">
        <v>608</v>
      </c>
      <c r="Q262" s="43" t="s">
        <v>926</v>
      </c>
      <c r="R262" s="43"/>
      <c r="S262" s="43"/>
      <c r="T262" s="43" t="s">
        <v>610</v>
      </c>
      <c r="U262" s="43"/>
    </row>
    <row r="263" spans="1:21">
      <c r="B263" s="44">
        <v>1</v>
      </c>
      <c r="C263" s="45" t="s">
        <v>928</v>
      </c>
      <c r="D263" s="45"/>
      <c r="E263" s="45"/>
      <c r="F263" s="45" t="s">
        <v>611</v>
      </c>
      <c r="G263" s="45"/>
      <c r="H263" s="46"/>
      <c r="I263" s="44">
        <v>10</v>
      </c>
      <c r="J263" s="45" t="s">
        <v>916</v>
      </c>
      <c r="K263" s="45"/>
      <c r="L263" s="45"/>
      <c r="M263" s="45" t="s">
        <v>611</v>
      </c>
      <c r="N263" s="45"/>
      <c r="O263" s="46"/>
      <c r="P263" s="44">
        <v>20</v>
      </c>
      <c r="Q263" s="45" t="s">
        <v>927</v>
      </c>
      <c r="R263" s="45"/>
      <c r="S263" s="45"/>
      <c r="T263" s="45" t="s">
        <v>611</v>
      </c>
      <c r="U263" s="45"/>
    </row>
    <row r="264" spans="1:21">
      <c r="B264" s="44">
        <v>2</v>
      </c>
      <c r="C264" s="45" t="s">
        <v>908</v>
      </c>
      <c r="D264" s="45"/>
      <c r="E264" s="45"/>
      <c r="F264" s="45" t="s">
        <v>611</v>
      </c>
      <c r="G264" s="45"/>
      <c r="H264" s="46"/>
      <c r="I264" s="44">
        <v>11</v>
      </c>
      <c r="J264" s="45" t="s">
        <v>917</v>
      </c>
      <c r="K264" s="45"/>
      <c r="L264" s="45"/>
      <c r="M264" s="45" t="s">
        <v>611</v>
      </c>
      <c r="N264" s="45"/>
      <c r="O264" s="46"/>
      <c r="P264" s="44">
        <v>21</v>
      </c>
      <c r="Q264" s="45" t="s">
        <v>919</v>
      </c>
      <c r="R264" s="45"/>
      <c r="S264" s="45"/>
      <c r="T264" s="45" t="s">
        <v>611</v>
      </c>
      <c r="U264" s="45"/>
    </row>
    <row r="265" spans="1:21">
      <c r="B265" s="44">
        <v>3</v>
      </c>
      <c r="C265" s="45" t="s">
        <v>909</v>
      </c>
      <c r="D265" s="45"/>
      <c r="E265" s="45"/>
      <c r="F265" s="45" t="s">
        <v>611</v>
      </c>
      <c r="G265" s="45"/>
      <c r="H265" s="46"/>
      <c r="I265" s="44">
        <v>12</v>
      </c>
      <c r="J265" s="45" t="s">
        <v>918</v>
      </c>
      <c r="K265" s="45"/>
      <c r="L265" s="45"/>
      <c r="M265" s="45" t="s">
        <v>611</v>
      </c>
      <c r="N265" s="45"/>
      <c r="O265" s="46"/>
      <c r="P265" s="44">
        <v>22</v>
      </c>
      <c r="Q265" s="45" t="s">
        <v>907</v>
      </c>
      <c r="R265" s="45"/>
      <c r="S265" s="45"/>
      <c r="T265" s="45" t="s">
        <v>611</v>
      </c>
      <c r="U265" s="45"/>
    </row>
    <row r="266" spans="1:21">
      <c r="B266" s="44">
        <v>4</v>
      </c>
      <c r="C266" s="45" t="s">
        <v>529</v>
      </c>
      <c r="D266" s="45"/>
      <c r="E266" s="45"/>
      <c r="F266" s="45" t="s">
        <v>611</v>
      </c>
      <c r="G266" s="45"/>
      <c r="H266" s="46"/>
      <c r="I266" s="44">
        <v>13</v>
      </c>
      <c r="J266" s="45" t="s">
        <v>919</v>
      </c>
      <c r="K266" s="45"/>
      <c r="L266" s="45"/>
      <c r="M266" s="45" t="s">
        <v>611</v>
      </c>
      <c r="N266" s="45"/>
      <c r="O266" s="46"/>
      <c r="P266" s="44">
        <v>23</v>
      </c>
      <c r="Q266" s="45" t="s">
        <v>929</v>
      </c>
      <c r="R266" s="45"/>
      <c r="S266" s="45"/>
      <c r="T266" s="45" t="s">
        <v>611</v>
      </c>
      <c r="U266" s="45"/>
    </row>
    <row r="267" spans="1:21">
      <c r="B267" s="44">
        <v>5</v>
      </c>
      <c r="C267" s="45" t="s">
        <v>910</v>
      </c>
      <c r="D267" s="45"/>
      <c r="E267" s="45"/>
      <c r="F267" s="45" t="s">
        <v>613</v>
      </c>
      <c r="G267" s="45"/>
      <c r="H267" s="46"/>
      <c r="I267" s="44">
        <v>14</v>
      </c>
      <c r="J267" s="45" t="s">
        <v>920</v>
      </c>
      <c r="K267" s="45"/>
      <c r="L267" s="45"/>
      <c r="M267" s="45" t="s">
        <v>613</v>
      </c>
      <c r="N267" s="45"/>
      <c r="O267" s="46"/>
      <c r="P267" s="44">
        <v>24</v>
      </c>
      <c r="Q267" s="45" t="s">
        <v>930</v>
      </c>
      <c r="R267" s="45"/>
      <c r="S267" s="45"/>
      <c r="T267" s="45" t="s">
        <v>613</v>
      </c>
      <c r="U267" s="45"/>
    </row>
    <row r="268" spans="1:21">
      <c r="B268" s="44">
        <v>6</v>
      </c>
      <c r="C268" s="45" t="s">
        <v>911</v>
      </c>
      <c r="D268" s="45"/>
      <c r="E268" s="45"/>
      <c r="F268" s="45" t="s">
        <v>613</v>
      </c>
      <c r="G268" s="45"/>
      <c r="H268" s="46"/>
      <c r="I268" s="44">
        <v>15</v>
      </c>
      <c r="J268" s="45" t="s">
        <v>921</v>
      </c>
      <c r="K268" s="45"/>
      <c r="L268" s="45"/>
      <c r="M268" s="45" t="s">
        <v>613</v>
      </c>
      <c r="N268" s="45"/>
      <c r="O268" s="46"/>
      <c r="P268" s="44">
        <v>25</v>
      </c>
      <c r="Q268" s="45" t="s">
        <v>931</v>
      </c>
      <c r="R268" s="45"/>
      <c r="S268" s="45"/>
      <c r="T268" s="45" t="s">
        <v>613</v>
      </c>
      <c r="U268" s="45"/>
    </row>
    <row r="269" spans="1:21">
      <c r="B269" s="44">
        <v>7</v>
      </c>
      <c r="C269" s="45" t="s">
        <v>912</v>
      </c>
      <c r="D269" s="45"/>
      <c r="E269" s="45"/>
      <c r="F269" s="45" t="s">
        <v>613</v>
      </c>
      <c r="G269" s="45"/>
      <c r="H269" s="46"/>
      <c r="I269" s="44">
        <v>16</v>
      </c>
      <c r="J269" s="45" t="s">
        <v>922</v>
      </c>
      <c r="K269" s="45"/>
      <c r="L269" s="45"/>
      <c r="M269" s="45" t="s">
        <v>613</v>
      </c>
      <c r="N269" s="45"/>
      <c r="O269" s="46"/>
      <c r="P269" s="44">
        <v>26</v>
      </c>
      <c r="Q269" s="45" t="s">
        <v>932</v>
      </c>
      <c r="R269" s="45"/>
      <c r="S269" s="45"/>
      <c r="T269" s="45" t="s">
        <v>613</v>
      </c>
      <c r="U269" s="45"/>
    </row>
    <row r="270" spans="1:21">
      <c r="B270" s="44">
        <v>8</v>
      </c>
      <c r="C270" s="45" t="s">
        <v>913</v>
      </c>
      <c r="D270" s="45"/>
      <c r="E270" s="45"/>
      <c r="F270" s="45" t="s">
        <v>613</v>
      </c>
      <c r="G270" s="45"/>
      <c r="H270" s="46"/>
      <c r="I270" s="44">
        <v>17</v>
      </c>
      <c r="J270" s="45" t="s">
        <v>923</v>
      </c>
      <c r="K270" s="45"/>
      <c r="L270" s="45"/>
      <c r="M270" s="45" t="s">
        <v>613</v>
      </c>
      <c r="N270" s="45"/>
      <c r="O270" s="46"/>
      <c r="P270" s="44">
        <v>27</v>
      </c>
      <c r="Q270" s="45" t="s">
        <v>933</v>
      </c>
      <c r="R270" s="45"/>
      <c r="S270" s="45"/>
      <c r="T270" s="45" t="s">
        <v>613</v>
      </c>
      <c r="U270" s="45"/>
    </row>
    <row r="271" spans="1:21">
      <c r="B271" s="44">
        <v>9</v>
      </c>
      <c r="C271" s="45" t="s">
        <v>914</v>
      </c>
      <c r="D271" s="45"/>
      <c r="E271" s="45"/>
      <c r="F271" s="45" t="s">
        <v>615</v>
      </c>
      <c r="G271" s="45"/>
      <c r="H271" s="46"/>
      <c r="I271" s="44">
        <v>18</v>
      </c>
      <c r="J271" s="45" t="s">
        <v>924</v>
      </c>
      <c r="K271" s="45"/>
      <c r="L271" s="45"/>
      <c r="M271" s="45" t="s">
        <v>613</v>
      </c>
      <c r="N271" s="45"/>
      <c r="O271" s="46"/>
      <c r="P271" s="44">
        <v>28</v>
      </c>
      <c r="Q271" s="45" t="s">
        <v>934</v>
      </c>
      <c r="R271" s="45"/>
      <c r="S271" s="45"/>
      <c r="T271" s="45" t="s">
        <v>613</v>
      </c>
      <c r="U271" s="45"/>
    </row>
    <row r="272" spans="1:21">
      <c r="B272" s="46"/>
      <c r="C272" s="46"/>
      <c r="D272" s="46"/>
      <c r="E272" s="46"/>
      <c r="F272" s="46"/>
      <c r="G272" s="46"/>
      <c r="H272" s="46"/>
      <c r="I272" s="44">
        <v>19</v>
      </c>
      <c r="J272" s="45" t="s">
        <v>925</v>
      </c>
      <c r="K272" s="45"/>
      <c r="L272" s="45"/>
      <c r="M272" s="45" t="s">
        <v>615</v>
      </c>
      <c r="N272" s="45"/>
      <c r="O272" s="46"/>
      <c r="P272" s="44">
        <v>29</v>
      </c>
      <c r="Q272" s="45" t="s">
        <v>935</v>
      </c>
      <c r="R272" s="45"/>
      <c r="S272" s="45"/>
      <c r="T272" s="45" t="s">
        <v>615</v>
      </c>
      <c r="U272" s="45"/>
    </row>
  </sheetData>
  <mergeCells count="66">
    <mergeCell ref="Q270:S270"/>
    <mergeCell ref="T270:U270"/>
    <mergeCell ref="Q271:S271"/>
    <mergeCell ref="T271:U271"/>
    <mergeCell ref="Q272:S272"/>
    <mergeCell ref="T272:U272"/>
    <mergeCell ref="Q267:S267"/>
    <mergeCell ref="T267:U267"/>
    <mergeCell ref="Q268:S268"/>
    <mergeCell ref="T268:U268"/>
    <mergeCell ref="Q269:S269"/>
    <mergeCell ref="T269:U269"/>
    <mergeCell ref="Q264:S264"/>
    <mergeCell ref="T264:U264"/>
    <mergeCell ref="Q265:S265"/>
    <mergeCell ref="T265:U265"/>
    <mergeCell ref="Q266:S266"/>
    <mergeCell ref="T266:U266"/>
    <mergeCell ref="M270:N270"/>
    <mergeCell ref="J271:L271"/>
    <mergeCell ref="M271:N271"/>
    <mergeCell ref="J272:L272"/>
    <mergeCell ref="M272:N272"/>
    <mergeCell ref="M267:N267"/>
    <mergeCell ref="J268:L268"/>
    <mergeCell ref="M268:N268"/>
    <mergeCell ref="J269:L269"/>
    <mergeCell ref="M269:N269"/>
    <mergeCell ref="M264:N264"/>
    <mergeCell ref="J265:L265"/>
    <mergeCell ref="M265:N265"/>
    <mergeCell ref="J266:L266"/>
    <mergeCell ref="M266:N266"/>
    <mergeCell ref="C270:E270"/>
    <mergeCell ref="F270:G270"/>
    <mergeCell ref="C271:E271"/>
    <mergeCell ref="F271:G271"/>
    <mergeCell ref="J262:L262"/>
    <mergeCell ref="J263:L263"/>
    <mergeCell ref="J264:L264"/>
    <mergeCell ref="J267:L267"/>
    <mergeCell ref="J270:L270"/>
    <mergeCell ref="C267:E267"/>
    <mergeCell ref="F267:G267"/>
    <mergeCell ref="C268:E268"/>
    <mergeCell ref="F268:G268"/>
    <mergeCell ref="C269:E269"/>
    <mergeCell ref="F269:G269"/>
    <mergeCell ref="C264:E264"/>
    <mergeCell ref="F264:G264"/>
    <mergeCell ref="C265:E265"/>
    <mergeCell ref="F265:G265"/>
    <mergeCell ref="C266:E266"/>
    <mergeCell ref="F266:G266"/>
    <mergeCell ref="A1:E1"/>
    <mergeCell ref="B261:U261"/>
    <mergeCell ref="C262:E262"/>
    <mergeCell ref="F262:G262"/>
    <mergeCell ref="C263:E263"/>
    <mergeCell ref="F263:G263"/>
    <mergeCell ref="M262:N262"/>
    <mergeCell ref="M263:N263"/>
    <mergeCell ref="Q262:S262"/>
    <mergeCell ref="T262:U262"/>
    <mergeCell ref="Q263:S263"/>
    <mergeCell ref="T263:U2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29C5-677F-4014-B4B1-EC089FAABE3C}">
  <dimension ref="A1:AJ763"/>
  <sheetViews>
    <sheetView showGridLines="0" rightToLeft="1" topLeftCell="B1" workbookViewId="0">
      <pane ySplit="3" topLeftCell="A263" activePane="bottomLeft" state="frozen"/>
      <selection pane="bottomLeft" activeCell="M302" sqref="J302:N304"/>
    </sheetView>
  </sheetViews>
  <sheetFormatPr defaultRowHeight="14.5"/>
  <cols>
    <col min="1" max="1" width="10" style="10" customWidth="1"/>
    <col min="2" max="2" width="20" style="10" customWidth="1"/>
    <col min="3" max="3" width="10" style="10" customWidth="1"/>
    <col min="4" max="4" width="12.7265625" style="10" customWidth="1"/>
    <col min="5" max="5" width="40" style="10" customWidth="1"/>
    <col min="6" max="7" width="15.453125" style="10" customWidth="1"/>
    <col min="8" max="8" width="4.54296875" style="10" customWidth="1"/>
    <col min="9" max="14" width="15.453125" style="9" customWidth="1"/>
    <col min="15" max="36" width="7.6328125" style="9" customWidth="1"/>
    <col min="37" max="16384" width="8.7265625" style="9"/>
  </cols>
  <sheetData>
    <row r="1" spans="1:36" ht="24" customHeight="1">
      <c r="A1" s="39" t="s">
        <v>199</v>
      </c>
      <c r="B1" s="39"/>
      <c r="C1" s="39"/>
      <c r="D1" s="39"/>
      <c r="E1" s="39"/>
      <c r="F1"/>
      <c r="G1"/>
      <c r="H1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ht="12" customHeight="1">
      <c r="A2" s="19"/>
      <c r="B2" s="19"/>
      <c r="C2" s="19"/>
      <c r="D2" s="19"/>
      <c r="E2" s="19"/>
      <c r="F2"/>
      <c r="G2"/>
      <c r="H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ht="22" customHeight="1">
      <c r="A3" s="20" t="s">
        <v>12</v>
      </c>
      <c r="B3" s="20" t="s">
        <v>13</v>
      </c>
      <c r="C3" s="20" t="s">
        <v>14</v>
      </c>
      <c r="D3" s="20" t="s">
        <v>33</v>
      </c>
      <c r="E3" s="20" t="s">
        <v>15</v>
      </c>
      <c r="F3"/>
      <c r="G3"/>
      <c r="H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6">
      <c r="A4" s="23">
        <v>1</v>
      </c>
      <c r="B4" s="24" t="s">
        <v>604</v>
      </c>
      <c r="C4" s="24">
        <v>1</v>
      </c>
      <c r="D4" s="24">
        <v>1</v>
      </c>
      <c r="E4" s="24" t="s">
        <v>79</v>
      </c>
      <c r="F4"/>
      <c r="G4"/>
      <c r="H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>
      <c r="A5" s="23">
        <v>1</v>
      </c>
      <c r="B5" s="24" t="s">
        <v>604</v>
      </c>
      <c r="C5" s="24">
        <v>2</v>
      </c>
      <c r="D5" s="24">
        <v>1</v>
      </c>
      <c r="E5" s="24" t="s">
        <v>419</v>
      </c>
      <c r="F5"/>
      <c r="G5"/>
      <c r="H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>
      <c r="A6" s="23">
        <v>1</v>
      </c>
      <c r="B6" s="24" t="s">
        <v>604</v>
      </c>
      <c r="C6" s="24">
        <v>3</v>
      </c>
      <c r="D6" s="24">
        <v>2</v>
      </c>
      <c r="E6" s="24" t="s">
        <v>448</v>
      </c>
      <c r="F6"/>
      <c r="G6"/>
      <c r="H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>
      <c r="A7" s="23">
        <v>1</v>
      </c>
      <c r="B7" s="24" t="s">
        <v>604</v>
      </c>
      <c r="C7" s="24">
        <v>4</v>
      </c>
      <c r="D7" s="24">
        <v>2</v>
      </c>
      <c r="E7" s="24" t="s">
        <v>447</v>
      </c>
      <c r="F7"/>
      <c r="G7"/>
      <c r="H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>
      <c r="A8" s="23">
        <v>1</v>
      </c>
      <c r="B8" s="24" t="s">
        <v>604</v>
      </c>
      <c r="C8" s="24">
        <v>5</v>
      </c>
      <c r="D8" s="24">
        <v>1</v>
      </c>
      <c r="E8" s="24" t="s">
        <v>417</v>
      </c>
      <c r="F8"/>
      <c r="G8"/>
      <c r="H8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>
      <c r="A9" s="23">
        <v>1</v>
      </c>
      <c r="B9" s="24" t="s">
        <v>604</v>
      </c>
      <c r="C9" s="24">
        <v>6</v>
      </c>
      <c r="D9" s="24">
        <v>2</v>
      </c>
      <c r="E9" s="24" t="s">
        <v>175</v>
      </c>
      <c r="F9"/>
      <c r="G9"/>
      <c r="H9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>
      <c r="A10" s="23">
        <v>1</v>
      </c>
      <c r="B10" s="24" t="s">
        <v>605</v>
      </c>
      <c r="C10" s="24">
        <v>1</v>
      </c>
      <c r="D10" s="24">
        <v>1</v>
      </c>
      <c r="E10" s="24" t="s">
        <v>418</v>
      </c>
      <c r="F10"/>
      <c r="G10"/>
      <c r="H10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>
      <c r="A11" s="23">
        <v>1</v>
      </c>
      <c r="B11" s="24" t="s">
        <v>605</v>
      </c>
      <c r="C11" s="24">
        <v>2</v>
      </c>
      <c r="D11" s="24">
        <v>1</v>
      </c>
      <c r="E11" s="24" t="s">
        <v>62</v>
      </c>
      <c r="F11"/>
      <c r="G11"/>
      <c r="H11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>
      <c r="A12" s="23">
        <v>1</v>
      </c>
      <c r="B12" s="24" t="s">
        <v>605</v>
      </c>
      <c r="C12" s="24">
        <v>3</v>
      </c>
      <c r="D12" s="24">
        <v>2</v>
      </c>
      <c r="E12" s="24" t="s">
        <v>180</v>
      </c>
      <c r="F12"/>
      <c r="G12"/>
      <c r="H1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>
      <c r="A13" s="23">
        <v>1</v>
      </c>
      <c r="B13" s="24" t="s">
        <v>605</v>
      </c>
      <c r="C13" s="24">
        <v>4</v>
      </c>
      <c r="D13" s="24">
        <v>2</v>
      </c>
      <c r="E13" s="24" t="s">
        <v>201</v>
      </c>
      <c r="F13"/>
      <c r="G13"/>
      <c r="H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>
      <c r="A14" s="23">
        <v>1</v>
      </c>
      <c r="B14" s="24" t="s">
        <v>605</v>
      </c>
      <c r="C14" s="24">
        <v>5</v>
      </c>
      <c r="D14" s="24">
        <v>2</v>
      </c>
      <c r="E14" s="24" t="s">
        <v>446</v>
      </c>
      <c r="F14"/>
      <c r="G14"/>
      <c r="H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>
      <c r="A15" s="23">
        <v>1</v>
      </c>
      <c r="B15" s="24" t="s">
        <v>606</v>
      </c>
      <c r="C15" s="24">
        <v>1</v>
      </c>
      <c r="D15" s="24">
        <v>1</v>
      </c>
      <c r="E15" s="24" t="s">
        <v>71</v>
      </c>
      <c r="F15"/>
      <c r="G15"/>
      <c r="H15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>
      <c r="A16" s="23">
        <v>1</v>
      </c>
      <c r="B16" s="24" t="s">
        <v>606</v>
      </c>
      <c r="C16" s="24">
        <v>2</v>
      </c>
      <c r="D16" s="24">
        <v>1</v>
      </c>
      <c r="E16" s="24" t="s">
        <v>416</v>
      </c>
      <c r="F16"/>
      <c r="G16"/>
      <c r="H1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>
      <c r="A17" s="23">
        <v>1</v>
      </c>
      <c r="B17" s="24" t="s">
        <v>606</v>
      </c>
      <c r="C17" s="24">
        <v>3</v>
      </c>
      <c r="D17" s="24">
        <v>2</v>
      </c>
      <c r="E17" s="24" t="s">
        <v>200</v>
      </c>
      <c r="F17"/>
      <c r="G17"/>
      <c r="H17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>
      <c r="A18" s="23">
        <v>1</v>
      </c>
      <c r="B18" s="24" t="s">
        <v>606</v>
      </c>
      <c r="C18" s="24">
        <v>4</v>
      </c>
      <c r="D18" s="24">
        <v>1</v>
      </c>
      <c r="E18" s="24" t="s">
        <v>415</v>
      </c>
      <c r="F18"/>
      <c r="G18"/>
      <c r="H1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>
      <c r="A19" s="23">
        <v>1</v>
      </c>
      <c r="B19" s="24" t="s">
        <v>606</v>
      </c>
      <c r="C19" s="24">
        <v>5</v>
      </c>
      <c r="D19" s="24">
        <v>2</v>
      </c>
      <c r="E19" s="24" t="s">
        <v>181</v>
      </c>
      <c r="F19"/>
      <c r="G19"/>
      <c r="H19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>
      <c r="A20" s="22">
        <v>2</v>
      </c>
      <c r="B20" s="21" t="s">
        <v>604</v>
      </c>
      <c r="C20" s="21">
        <v>1</v>
      </c>
      <c r="D20" s="21">
        <v>1</v>
      </c>
      <c r="E20" s="21" t="s">
        <v>54</v>
      </c>
      <c r="F20"/>
      <c r="G20"/>
      <c r="H20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>
      <c r="A21" s="22">
        <v>2</v>
      </c>
      <c r="B21" s="21" t="s">
        <v>604</v>
      </c>
      <c r="C21" s="21">
        <v>2</v>
      </c>
      <c r="D21" s="21">
        <v>1</v>
      </c>
      <c r="E21" s="21" t="s">
        <v>421</v>
      </c>
      <c r="F21"/>
      <c r="G21"/>
      <c r="H21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>
      <c r="A22" s="22">
        <v>2</v>
      </c>
      <c r="B22" s="21" t="s">
        <v>604</v>
      </c>
      <c r="C22" s="21">
        <v>3</v>
      </c>
      <c r="D22" s="21">
        <v>2</v>
      </c>
      <c r="E22" s="21" t="s">
        <v>178</v>
      </c>
      <c r="F22"/>
      <c r="G22"/>
      <c r="H22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>
      <c r="A23" s="22">
        <v>2</v>
      </c>
      <c r="B23" s="21" t="s">
        <v>604</v>
      </c>
      <c r="C23" s="21">
        <v>4</v>
      </c>
      <c r="D23" s="21">
        <v>1</v>
      </c>
      <c r="E23" s="21" t="s">
        <v>422</v>
      </c>
      <c r="F23"/>
      <c r="G23"/>
      <c r="H2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>
      <c r="A24" s="22">
        <v>2</v>
      </c>
      <c r="B24" s="21" t="s">
        <v>604</v>
      </c>
      <c r="C24" s="21">
        <v>5</v>
      </c>
      <c r="D24" s="21">
        <v>2</v>
      </c>
      <c r="E24" s="21" t="s">
        <v>451</v>
      </c>
      <c r="F24"/>
      <c r="G24"/>
      <c r="H2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>
      <c r="A25" s="22">
        <v>2</v>
      </c>
      <c r="B25" s="21" t="s">
        <v>605</v>
      </c>
      <c r="C25" s="21">
        <v>1</v>
      </c>
      <c r="D25" s="21">
        <v>1</v>
      </c>
      <c r="E25" s="21" t="s">
        <v>420</v>
      </c>
      <c r="F25"/>
      <c r="G25"/>
      <c r="H25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>
      <c r="A26" s="22">
        <v>2</v>
      </c>
      <c r="B26" s="21" t="s">
        <v>605</v>
      </c>
      <c r="C26" s="21">
        <v>2</v>
      </c>
      <c r="D26" s="21">
        <v>1</v>
      </c>
      <c r="E26" s="21" t="s">
        <v>423</v>
      </c>
      <c r="F26"/>
      <c r="G26"/>
      <c r="H26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>
      <c r="A27" s="22">
        <v>2</v>
      </c>
      <c r="B27" s="21" t="s">
        <v>605</v>
      </c>
      <c r="C27" s="21">
        <v>3</v>
      </c>
      <c r="D27" s="21">
        <v>1</v>
      </c>
      <c r="E27" s="21" t="s">
        <v>72</v>
      </c>
      <c r="F27"/>
      <c r="G27"/>
      <c r="H2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>
      <c r="A28" s="22">
        <v>2</v>
      </c>
      <c r="B28" s="21" t="s">
        <v>605</v>
      </c>
      <c r="C28" s="21">
        <v>4</v>
      </c>
      <c r="D28" s="21">
        <v>2</v>
      </c>
      <c r="E28" s="21" t="s">
        <v>203</v>
      </c>
      <c r="F28"/>
      <c r="G28"/>
      <c r="H28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>
      <c r="A29" s="22">
        <v>2</v>
      </c>
      <c r="B29" s="21" t="s">
        <v>605</v>
      </c>
      <c r="C29" s="21">
        <v>5</v>
      </c>
      <c r="D29" s="21">
        <v>2</v>
      </c>
      <c r="E29" s="21" t="s">
        <v>176</v>
      </c>
      <c r="F29"/>
      <c r="G29"/>
      <c r="H29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>
      <c r="A30" s="22">
        <v>2</v>
      </c>
      <c r="B30" s="21" t="s">
        <v>606</v>
      </c>
      <c r="C30" s="21">
        <v>1</v>
      </c>
      <c r="D30" s="21">
        <v>1</v>
      </c>
      <c r="E30" s="21" t="s">
        <v>63</v>
      </c>
      <c r="F30"/>
      <c r="G30"/>
      <c r="H30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>
      <c r="A31" s="22">
        <v>2</v>
      </c>
      <c r="B31" s="21" t="s">
        <v>606</v>
      </c>
      <c r="C31" s="21">
        <v>2</v>
      </c>
      <c r="D31" s="21">
        <v>2</v>
      </c>
      <c r="E31" s="21" t="s">
        <v>202</v>
      </c>
      <c r="F31"/>
      <c r="G31"/>
      <c r="H31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>
      <c r="A32" s="22">
        <v>2</v>
      </c>
      <c r="B32" s="21" t="s">
        <v>606</v>
      </c>
      <c r="C32" s="21">
        <v>3</v>
      </c>
      <c r="D32" s="21">
        <v>2</v>
      </c>
      <c r="E32" s="21" t="s">
        <v>167</v>
      </c>
      <c r="F32"/>
      <c r="G32"/>
      <c r="H32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>
      <c r="A33" s="22">
        <v>2</v>
      </c>
      <c r="B33" s="21" t="s">
        <v>606</v>
      </c>
      <c r="C33" s="21">
        <v>4</v>
      </c>
      <c r="D33" s="21">
        <v>1</v>
      </c>
      <c r="E33" s="21" t="s">
        <v>80</v>
      </c>
      <c r="F33"/>
      <c r="G33"/>
      <c r="H3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>
      <c r="A34" s="22">
        <v>2</v>
      </c>
      <c r="B34" s="21" t="s">
        <v>606</v>
      </c>
      <c r="C34" s="21">
        <v>5</v>
      </c>
      <c r="D34" s="21">
        <v>2</v>
      </c>
      <c r="E34" s="21" t="s">
        <v>449</v>
      </c>
      <c r="F34"/>
      <c r="G34"/>
      <c r="H3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>
      <c r="A35" s="22">
        <v>2</v>
      </c>
      <c r="B35" s="21" t="s">
        <v>606</v>
      </c>
      <c r="C35" s="21">
        <v>6</v>
      </c>
      <c r="D35" s="21">
        <v>2</v>
      </c>
      <c r="E35" s="21" t="s">
        <v>450</v>
      </c>
      <c r="F35"/>
      <c r="G35"/>
      <c r="H35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>
      <c r="A36" s="23">
        <v>3</v>
      </c>
      <c r="B36" s="24" t="s">
        <v>604</v>
      </c>
      <c r="C36" s="24">
        <v>1</v>
      </c>
      <c r="D36" s="24">
        <v>1</v>
      </c>
      <c r="E36" s="24" t="s">
        <v>424</v>
      </c>
      <c r="F36"/>
      <c r="G36"/>
      <c r="H36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>
      <c r="A37" s="23">
        <v>3</v>
      </c>
      <c r="B37" s="24" t="s">
        <v>604</v>
      </c>
      <c r="C37" s="24">
        <v>2</v>
      </c>
      <c r="D37" s="24">
        <v>1</v>
      </c>
      <c r="E37" s="24" t="s">
        <v>64</v>
      </c>
      <c r="F37"/>
      <c r="G37"/>
      <c r="H37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23">
        <v>3</v>
      </c>
      <c r="B38" s="24" t="s">
        <v>604</v>
      </c>
      <c r="C38" s="24">
        <v>3</v>
      </c>
      <c r="D38" s="24">
        <v>1</v>
      </c>
      <c r="E38" s="24" t="s">
        <v>73</v>
      </c>
      <c r="F38"/>
      <c r="G38"/>
      <c r="H38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>
      <c r="A39" s="23">
        <v>3</v>
      </c>
      <c r="B39" s="24" t="s">
        <v>604</v>
      </c>
      <c r="C39" s="24">
        <v>4</v>
      </c>
      <c r="D39" s="24">
        <v>2</v>
      </c>
      <c r="E39" s="24" t="s">
        <v>453</v>
      </c>
      <c r="F39"/>
      <c r="G39"/>
      <c r="H39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>
      <c r="A40" s="23">
        <v>3</v>
      </c>
      <c r="B40" s="24" t="s">
        <v>604</v>
      </c>
      <c r="C40" s="24">
        <v>5</v>
      </c>
      <c r="D40" s="24">
        <v>2</v>
      </c>
      <c r="E40" s="24" t="s">
        <v>168</v>
      </c>
      <c r="F40"/>
      <c r="G40"/>
      <c r="H40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>
      <c r="A41" s="23">
        <v>3</v>
      </c>
      <c r="B41" s="24" t="s">
        <v>604</v>
      </c>
      <c r="C41" s="24">
        <v>6</v>
      </c>
      <c r="D41" s="24">
        <v>2</v>
      </c>
      <c r="E41" s="24" t="s">
        <v>205</v>
      </c>
      <c r="F41"/>
      <c r="G41"/>
      <c r="H41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>
      <c r="A42" s="23">
        <v>3</v>
      </c>
      <c r="B42" s="24" t="s">
        <v>605</v>
      </c>
      <c r="C42" s="24">
        <v>1</v>
      </c>
      <c r="D42" s="24">
        <v>1</v>
      </c>
      <c r="E42" s="24" t="s">
        <v>81</v>
      </c>
      <c r="F42"/>
      <c r="G42"/>
      <c r="H42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>
      <c r="A43" s="23">
        <v>3</v>
      </c>
      <c r="B43" s="24" t="s">
        <v>605</v>
      </c>
      <c r="C43" s="24">
        <v>2</v>
      </c>
      <c r="D43" s="24">
        <v>1</v>
      </c>
      <c r="E43" s="24" t="s">
        <v>257</v>
      </c>
      <c r="F43"/>
      <c r="G43"/>
      <c r="H4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>
      <c r="A44" s="23">
        <v>3</v>
      </c>
      <c r="B44" s="24" t="s">
        <v>605</v>
      </c>
      <c r="C44" s="24">
        <v>3</v>
      </c>
      <c r="D44" s="24">
        <v>2</v>
      </c>
      <c r="E44" s="24" t="s">
        <v>452</v>
      </c>
      <c r="F44"/>
      <c r="G44"/>
      <c r="H4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>
      <c r="A45" s="23">
        <v>3</v>
      </c>
      <c r="B45" s="24" t="s">
        <v>605</v>
      </c>
      <c r="C45" s="24">
        <v>4</v>
      </c>
      <c r="D45" s="24">
        <v>2</v>
      </c>
      <c r="E45" s="24" t="s">
        <v>162</v>
      </c>
      <c r="F45"/>
      <c r="G45"/>
      <c r="H4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>
      <c r="A46" s="23">
        <v>3</v>
      </c>
      <c r="B46" s="24" t="s">
        <v>605</v>
      </c>
      <c r="C46" s="24">
        <v>5</v>
      </c>
      <c r="D46" s="24">
        <v>2</v>
      </c>
      <c r="E46" s="24" t="s">
        <v>272</v>
      </c>
      <c r="F46"/>
      <c r="G46"/>
      <c r="H46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>
      <c r="A47" s="23">
        <v>3</v>
      </c>
      <c r="B47" s="24" t="s">
        <v>606</v>
      </c>
      <c r="C47" s="24">
        <v>1</v>
      </c>
      <c r="D47" s="24">
        <v>1</v>
      </c>
      <c r="E47" s="24" t="s">
        <v>55</v>
      </c>
      <c r="F47"/>
      <c r="G47"/>
      <c r="H47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>
      <c r="A48" s="23">
        <v>3</v>
      </c>
      <c r="B48" s="24" t="s">
        <v>606</v>
      </c>
      <c r="C48" s="24">
        <v>2</v>
      </c>
      <c r="D48" s="24">
        <v>1</v>
      </c>
      <c r="E48" s="24" t="s">
        <v>46</v>
      </c>
      <c r="F48"/>
      <c r="G48"/>
      <c r="H48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>
      <c r="A49" s="23">
        <v>3</v>
      </c>
      <c r="B49" s="24" t="s">
        <v>606</v>
      </c>
      <c r="C49" s="24">
        <v>3</v>
      </c>
      <c r="D49" s="24">
        <v>1</v>
      </c>
      <c r="E49" s="24" t="s">
        <v>425</v>
      </c>
      <c r="F49"/>
      <c r="G49"/>
      <c r="H49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>
      <c r="A50" s="23">
        <v>3</v>
      </c>
      <c r="B50" s="24" t="s">
        <v>606</v>
      </c>
      <c r="C50" s="24">
        <v>4</v>
      </c>
      <c r="D50" s="24">
        <v>2</v>
      </c>
      <c r="E50" s="24" t="s">
        <v>204</v>
      </c>
      <c r="F50"/>
      <c r="G50"/>
      <c r="H50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>
      <c r="A51" s="23">
        <v>3</v>
      </c>
      <c r="B51" s="24" t="s">
        <v>606</v>
      </c>
      <c r="C51" s="24">
        <v>5</v>
      </c>
      <c r="D51" s="24">
        <v>2</v>
      </c>
      <c r="E51" s="24" t="s">
        <v>177</v>
      </c>
      <c r="F51"/>
      <c r="G51"/>
      <c r="H51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>
      <c r="A52" s="22">
        <v>4</v>
      </c>
      <c r="B52" s="21" t="s">
        <v>604</v>
      </c>
      <c r="C52" s="21">
        <v>1</v>
      </c>
      <c r="D52" s="21">
        <v>1</v>
      </c>
      <c r="E52" s="21" t="s">
        <v>258</v>
      </c>
      <c r="F52"/>
      <c r="G52"/>
      <c r="H52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>
      <c r="A53" s="22">
        <v>4</v>
      </c>
      <c r="B53" s="21" t="s">
        <v>604</v>
      </c>
      <c r="C53" s="21">
        <v>2</v>
      </c>
      <c r="D53" s="21">
        <v>1</v>
      </c>
      <c r="E53" s="21" t="s">
        <v>426</v>
      </c>
      <c r="F53"/>
      <c r="G53"/>
      <c r="H5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>
      <c r="A54" s="22">
        <v>4</v>
      </c>
      <c r="B54" s="21" t="s">
        <v>604</v>
      </c>
      <c r="C54" s="21">
        <v>3</v>
      </c>
      <c r="D54" s="21">
        <v>1</v>
      </c>
      <c r="E54" s="21" t="s">
        <v>66</v>
      </c>
      <c r="F54"/>
      <c r="G54"/>
      <c r="H5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>
      <c r="A55" s="22">
        <v>4</v>
      </c>
      <c r="B55" s="21" t="s">
        <v>604</v>
      </c>
      <c r="C55" s="21">
        <v>4</v>
      </c>
      <c r="D55" s="21">
        <v>1</v>
      </c>
      <c r="E55" s="21" t="s">
        <v>40</v>
      </c>
      <c r="F55"/>
      <c r="G55"/>
      <c r="H5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>
      <c r="A56" s="22">
        <v>4</v>
      </c>
      <c r="B56" s="21" t="s">
        <v>604</v>
      </c>
      <c r="C56" s="21">
        <v>5</v>
      </c>
      <c r="D56" s="21">
        <v>2</v>
      </c>
      <c r="E56" s="21" t="s">
        <v>169</v>
      </c>
      <c r="F56"/>
      <c r="G56"/>
      <c r="H56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>
      <c r="A57" s="22">
        <v>4</v>
      </c>
      <c r="B57" s="21" t="s">
        <v>604</v>
      </c>
      <c r="C57" s="21">
        <v>6</v>
      </c>
      <c r="D57" s="21">
        <v>2</v>
      </c>
      <c r="E57" s="21" t="s">
        <v>163</v>
      </c>
      <c r="F57"/>
      <c r="G57"/>
      <c r="H57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>
      <c r="A58" s="22">
        <v>4</v>
      </c>
      <c r="B58" s="21" t="s">
        <v>605</v>
      </c>
      <c r="C58" s="21">
        <v>1</v>
      </c>
      <c r="D58" s="21">
        <v>1</v>
      </c>
      <c r="E58" s="21" t="s">
        <v>65</v>
      </c>
      <c r="F58"/>
      <c r="G58"/>
      <c r="H58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>
      <c r="A59" s="22">
        <v>4</v>
      </c>
      <c r="B59" s="21" t="s">
        <v>605</v>
      </c>
      <c r="C59" s="21">
        <v>2</v>
      </c>
      <c r="D59" s="21">
        <v>1</v>
      </c>
      <c r="E59" s="21" t="s">
        <v>254</v>
      </c>
      <c r="F59"/>
      <c r="G59"/>
      <c r="H59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>
      <c r="A60" s="22">
        <v>4</v>
      </c>
      <c r="B60" s="21" t="s">
        <v>605</v>
      </c>
      <c r="C60" s="21">
        <v>3</v>
      </c>
      <c r="D60" s="21">
        <v>1</v>
      </c>
      <c r="E60" s="21" t="s">
        <v>47</v>
      </c>
      <c r="F60"/>
      <c r="G60"/>
      <c r="H60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>
      <c r="A61" s="22">
        <v>4</v>
      </c>
      <c r="B61" s="21" t="s">
        <v>605</v>
      </c>
      <c r="C61" s="21">
        <v>4</v>
      </c>
      <c r="D61" s="21">
        <v>1</v>
      </c>
      <c r="E61" s="21" t="s">
        <v>56</v>
      </c>
      <c r="F61"/>
      <c r="G61"/>
      <c r="H61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>
      <c r="A62" s="22">
        <v>4</v>
      </c>
      <c r="B62" s="21" t="s">
        <v>605</v>
      </c>
      <c r="C62" s="21">
        <v>5</v>
      </c>
      <c r="D62" s="21">
        <v>2</v>
      </c>
      <c r="E62" s="21" t="s">
        <v>274</v>
      </c>
      <c r="F62"/>
      <c r="G62"/>
      <c r="H62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>
      <c r="A63" s="22">
        <v>4</v>
      </c>
      <c r="B63" s="21" t="s">
        <v>606</v>
      </c>
      <c r="C63" s="21">
        <v>1</v>
      </c>
      <c r="D63" s="21">
        <v>2</v>
      </c>
      <c r="E63" s="21" t="s">
        <v>275</v>
      </c>
      <c r="F63"/>
      <c r="G63"/>
      <c r="H6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>
      <c r="A64" s="22">
        <v>4</v>
      </c>
      <c r="B64" s="21" t="s">
        <v>606</v>
      </c>
      <c r="C64" s="21">
        <v>2</v>
      </c>
      <c r="D64" s="21">
        <v>2</v>
      </c>
      <c r="E64" s="21" t="s">
        <v>454</v>
      </c>
      <c r="F64"/>
      <c r="G64"/>
      <c r="H6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>
      <c r="A65" s="22">
        <v>4</v>
      </c>
      <c r="B65" s="21" t="s">
        <v>606</v>
      </c>
      <c r="C65" s="21">
        <v>3</v>
      </c>
      <c r="D65" s="21">
        <v>2</v>
      </c>
      <c r="E65" s="21" t="s">
        <v>206</v>
      </c>
      <c r="F65"/>
      <c r="G65"/>
      <c r="H6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>
      <c r="A66" s="22">
        <v>4</v>
      </c>
      <c r="B66" s="21" t="s">
        <v>606</v>
      </c>
      <c r="C66" s="21">
        <v>4</v>
      </c>
      <c r="D66" s="21">
        <v>2</v>
      </c>
      <c r="E66" s="21" t="s">
        <v>164</v>
      </c>
      <c r="F66"/>
      <c r="G66"/>
      <c r="H66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>
      <c r="A67" s="22">
        <v>4</v>
      </c>
      <c r="B67" s="21" t="s">
        <v>606</v>
      </c>
      <c r="C67" s="21">
        <v>5</v>
      </c>
      <c r="D67" s="21">
        <v>2</v>
      </c>
      <c r="E67" s="21" t="s">
        <v>155</v>
      </c>
      <c r="F67"/>
      <c r="G67"/>
      <c r="H67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>
      <c r="A68" s="23">
        <v>5</v>
      </c>
      <c r="B68" s="24" t="s">
        <v>604</v>
      </c>
      <c r="C68" s="24">
        <v>1</v>
      </c>
      <c r="D68" s="24">
        <v>1</v>
      </c>
      <c r="E68" s="24" t="s">
        <v>48</v>
      </c>
      <c r="F68"/>
      <c r="G68"/>
      <c r="H68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>
      <c r="A69" s="23">
        <v>5</v>
      </c>
      <c r="B69" s="24" t="s">
        <v>604</v>
      </c>
      <c r="C69" s="24">
        <v>2</v>
      </c>
      <c r="D69" s="24">
        <v>2</v>
      </c>
      <c r="E69" s="24" t="s">
        <v>156</v>
      </c>
      <c r="F69"/>
      <c r="G69"/>
      <c r="H69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spans="1:36">
      <c r="A70" s="23">
        <v>5</v>
      </c>
      <c r="B70" s="24" t="s">
        <v>604</v>
      </c>
      <c r="C70" s="24">
        <v>3</v>
      </c>
      <c r="D70" s="24">
        <v>2</v>
      </c>
      <c r="E70" s="24" t="s">
        <v>276</v>
      </c>
      <c r="F70"/>
      <c r="G70"/>
      <c r="H70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spans="1:36">
      <c r="A71" s="23">
        <v>5</v>
      </c>
      <c r="B71" s="24" t="s">
        <v>604</v>
      </c>
      <c r="C71" s="24">
        <v>4</v>
      </c>
      <c r="D71" s="24">
        <v>2</v>
      </c>
      <c r="E71" s="24" t="s">
        <v>278</v>
      </c>
      <c r="F71"/>
      <c r="G71"/>
      <c r="H71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spans="1:36">
      <c r="A72" s="23">
        <v>5</v>
      </c>
      <c r="B72" s="24" t="s">
        <v>604</v>
      </c>
      <c r="C72" s="24">
        <v>5</v>
      </c>
      <c r="D72" s="24">
        <v>2</v>
      </c>
      <c r="E72" s="24" t="s">
        <v>150</v>
      </c>
      <c r="F72"/>
      <c r="G72"/>
      <c r="H72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>
      <c r="A73" s="23">
        <v>5</v>
      </c>
      <c r="B73" s="24" t="s">
        <v>605</v>
      </c>
      <c r="C73" s="24">
        <v>1</v>
      </c>
      <c r="D73" s="24">
        <v>1</v>
      </c>
      <c r="E73" s="24" t="s">
        <v>252</v>
      </c>
      <c r="F73"/>
      <c r="G73"/>
      <c r="H7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>
      <c r="A74" s="23">
        <v>5</v>
      </c>
      <c r="B74" s="24" t="s">
        <v>605</v>
      </c>
      <c r="C74" s="24">
        <v>2</v>
      </c>
      <c r="D74" s="24">
        <v>1</v>
      </c>
      <c r="E74" s="24" t="s">
        <v>259</v>
      </c>
      <c r="F74"/>
      <c r="G74"/>
      <c r="H7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>
      <c r="A75" s="23">
        <v>5</v>
      </c>
      <c r="B75" s="24" t="s">
        <v>605</v>
      </c>
      <c r="C75" s="24">
        <v>3</v>
      </c>
      <c r="D75" s="24">
        <v>2</v>
      </c>
      <c r="E75" s="24" t="s">
        <v>277</v>
      </c>
      <c r="F75"/>
      <c r="G75"/>
      <c r="H75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>
      <c r="A76" s="23">
        <v>5</v>
      </c>
      <c r="B76" s="24" t="s">
        <v>605</v>
      </c>
      <c r="C76" s="24">
        <v>4</v>
      </c>
      <c r="D76" s="24">
        <v>2</v>
      </c>
      <c r="E76" s="24" t="s">
        <v>170</v>
      </c>
      <c r="F76"/>
      <c r="G76"/>
      <c r="H76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1:36">
      <c r="A77" s="23">
        <v>5</v>
      </c>
      <c r="B77" s="24" t="s">
        <v>605</v>
      </c>
      <c r="C77" s="24">
        <v>5</v>
      </c>
      <c r="D77" s="24">
        <v>2</v>
      </c>
      <c r="E77" s="24" t="s">
        <v>455</v>
      </c>
      <c r="F77"/>
      <c r="G77"/>
      <c r="H77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spans="1:36">
      <c r="A78" s="23">
        <v>5</v>
      </c>
      <c r="B78" s="24" t="s">
        <v>606</v>
      </c>
      <c r="C78" s="24">
        <v>1</v>
      </c>
      <c r="D78" s="24">
        <v>1</v>
      </c>
      <c r="E78" s="24" t="s">
        <v>28</v>
      </c>
      <c r="F78"/>
      <c r="G78"/>
      <c r="H78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spans="1:36">
      <c r="A79" s="23">
        <v>5</v>
      </c>
      <c r="B79" s="24" t="s">
        <v>606</v>
      </c>
      <c r="C79" s="24">
        <v>2</v>
      </c>
      <c r="D79" s="24">
        <v>1</v>
      </c>
      <c r="E79" s="24" t="s">
        <v>255</v>
      </c>
      <c r="F79"/>
      <c r="G79"/>
      <c r="H79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>
      <c r="A80" s="23">
        <v>5</v>
      </c>
      <c r="B80" s="24" t="s">
        <v>606</v>
      </c>
      <c r="C80" s="24">
        <v>3</v>
      </c>
      <c r="D80" s="24">
        <v>1</v>
      </c>
      <c r="E80" s="24" t="s">
        <v>41</v>
      </c>
      <c r="F80"/>
      <c r="G80"/>
      <c r="H80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>
      <c r="A81" s="23">
        <v>5</v>
      </c>
      <c r="B81" s="24" t="s">
        <v>606</v>
      </c>
      <c r="C81" s="24">
        <v>4</v>
      </c>
      <c r="D81" s="24">
        <v>1</v>
      </c>
      <c r="E81" s="24" t="s">
        <v>49</v>
      </c>
      <c r="F81"/>
      <c r="G81"/>
      <c r="H81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spans="1:36">
      <c r="A82" s="23">
        <v>5</v>
      </c>
      <c r="B82" s="24" t="s">
        <v>606</v>
      </c>
      <c r="C82" s="24">
        <v>5</v>
      </c>
      <c r="D82" s="24">
        <v>1</v>
      </c>
      <c r="E82" s="24" t="s">
        <v>427</v>
      </c>
      <c r="F82"/>
      <c r="G82"/>
      <c r="H82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spans="1:36">
      <c r="A83" s="23">
        <v>5</v>
      </c>
      <c r="B83" s="24" t="s">
        <v>606</v>
      </c>
      <c r="C83" s="24">
        <v>6</v>
      </c>
      <c r="D83" s="24">
        <v>2</v>
      </c>
      <c r="E83" s="24" t="s">
        <v>159</v>
      </c>
      <c r="F83"/>
      <c r="G83"/>
      <c r="H83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1:36">
      <c r="A84" s="22">
        <v>6</v>
      </c>
      <c r="B84" s="21" t="s">
        <v>604</v>
      </c>
      <c r="C84" s="21">
        <v>1</v>
      </c>
      <c r="D84" s="21">
        <v>1</v>
      </c>
      <c r="E84" s="21" t="s">
        <v>253</v>
      </c>
      <c r="F84"/>
      <c r="G84"/>
      <c r="H8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spans="1:36">
      <c r="A85" s="22">
        <v>6</v>
      </c>
      <c r="B85" s="21" t="s">
        <v>604</v>
      </c>
      <c r="C85" s="21">
        <v>2</v>
      </c>
      <c r="D85" s="21">
        <v>1</v>
      </c>
      <c r="E85" s="21" t="s">
        <v>250</v>
      </c>
      <c r="F85"/>
      <c r="G85"/>
      <c r="H85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spans="1:36">
      <c r="A86" s="22">
        <v>6</v>
      </c>
      <c r="B86" s="21" t="s">
        <v>604</v>
      </c>
      <c r="C86" s="21">
        <v>3</v>
      </c>
      <c r="D86" s="21">
        <v>1</v>
      </c>
      <c r="E86" s="21" t="s">
        <v>256</v>
      </c>
      <c r="F86"/>
      <c r="G86"/>
      <c r="H86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spans="1:36">
      <c r="A87" s="22">
        <v>6</v>
      </c>
      <c r="B87" s="21" t="s">
        <v>604</v>
      </c>
      <c r="C87" s="21">
        <v>4</v>
      </c>
      <c r="D87" s="21">
        <v>2</v>
      </c>
      <c r="E87" s="21" t="s">
        <v>456</v>
      </c>
      <c r="F87"/>
      <c r="G87"/>
      <c r="H87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>
      <c r="A88" s="22">
        <v>6</v>
      </c>
      <c r="B88" s="21" t="s">
        <v>604</v>
      </c>
      <c r="C88" s="21">
        <v>5</v>
      </c>
      <c r="D88" s="21">
        <v>2</v>
      </c>
      <c r="E88" s="21" t="s">
        <v>281</v>
      </c>
      <c r="F88"/>
      <c r="G88"/>
      <c r="H88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>
      <c r="A89" s="22">
        <v>6</v>
      </c>
      <c r="B89" s="21" t="s">
        <v>604</v>
      </c>
      <c r="C89" s="21">
        <v>6</v>
      </c>
      <c r="D89" s="21">
        <v>2</v>
      </c>
      <c r="E89" s="21" t="s">
        <v>280</v>
      </c>
      <c r="F89"/>
      <c r="G89"/>
      <c r="H89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>
      <c r="A90" s="22">
        <v>6</v>
      </c>
      <c r="B90" s="21" t="s">
        <v>605</v>
      </c>
      <c r="C90" s="21">
        <v>1</v>
      </c>
      <c r="D90" s="21">
        <v>1</v>
      </c>
      <c r="E90" s="21" t="s">
        <v>30</v>
      </c>
      <c r="F90"/>
      <c r="G90"/>
      <c r="H90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>
      <c r="A91" s="22">
        <v>6</v>
      </c>
      <c r="B91" s="21" t="s">
        <v>605</v>
      </c>
      <c r="C91" s="21">
        <v>2</v>
      </c>
      <c r="D91" s="21">
        <v>1</v>
      </c>
      <c r="E91" s="21" t="s">
        <v>36</v>
      </c>
      <c r="F91"/>
      <c r="G91"/>
      <c r="H91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>
      <c r="A92" s="22">
        <v>6</v>
      </c>
      <c r="B92" s="21" t="s">
        <v>605</v>
      </c>
      <c r="C92" s="21">
        <v>3</v>
      </c>
      <c r="D92" s="21">
        <v>2</v>
      </c>
      <c r="E92" s="21" t="s">
        <v>151</v>
      </c>
      <c r="F92"/>
      <c r="G92"/>
      <c r="H92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spans="1:36">
      <c r="A93" s="22">
        <v>6</v>
      </c>
      <c r="B93" s="21" t="s">
        <v>605</v>
      </c>
      <c r="C93" s="21">
        <v>4</v>
      </c>
      <c r="D93" s="21">
        <v>1</v>
      </c>
      <c r="E93" s="21" t="s">
        <v>31</v>
      </c>
      <c r="F93"/>
      <c r="G93"/>
      <c r="H93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spans="1:36">
      <c r="A94" s="22">
        <v>6</v>
      </c>
      <c r="B94" s="21" t="s">
        <v>605</v>
      </c>
      <c r="C94" s="21">
        <v>5</v>
      </c>
      <c r="D94" s="21">
        <v>2</v>
      </c>
      <c r="E94" s="21" t="s">
        <v>145</v>
      </c>
      <c r="F94"/>
      <c r="G94"/>
      <c r="H9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spans="1:36">
      <c r="A95" s="22">
        <v>6</v>
      </c>
      <c r="B95" s="21" t="s">
        <v>606</v>
      </c>
      <c r="C95" s="21">
        <v>1</v>
      </c>
      <c r="D95" s="21">
        <v>1</v>
      </c>
      <c r="E95" s="21" t="s">
        <v>307</v>
      </c>
      <c r="F95"/>
      <c r="G95"/>
      <c r="H95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spans="1:36">
      <c r="A96" s="22">
        <v>6</v>
      </c>
      <c r="B96" s="21" t="s">
        <v>606</v>
      </c>
      <c r="C96" s="21">
        <v>2</v>
      </c>
      <c r="D96" s="21">
        <v>2</v>
      </c>
      <c r="E96" s="21" t="s">
        <v>299</v>
      </c>
      <c r="F96"/>
      <c r="G96"/>
      <c r="H96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spans="1:36">
      <c r="A97" s="22">
        <v>6</v>
      </c>
      <c r="B97" s="21" t="s">
        <v>606</v>
      </c>
      <c r="C97" s="21">
        <v>3</v>
      </c>
      <c r="D97" s="21">
        <v>2</v>
      </c>
      <c r="E97" s="21" t="s">
        <v>157</v>
      </c>
      <c r="F97"/>
      <c r="G97"/>
      <c r="H97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spans="1:36">
      <c r="A98" s="22">
        <v>6</v>
      </c>
      <c r="B98" s="21" t="s">
        <v>606</v>
      </c>
      <c r="C98" s="21">
        <v>4</v>
      </c>
      <c r="D98" s="21">
        <v>1</v>
      </c>
      <c r="E98" s="21" t="s">
        <v>428</v>
      </c>
      <c r="F98"/>
      <c r="G98"/>
      <c r="H98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spans="1:36">
      <c r="A99" s="22">
        <v>6</v>
      </c>
      <c r="B99" s="21" t="s">
        <v>606</v>
      </c>
      <c r="C99" s="21">
        <v>5</v>
      </c>
      <c r="D99" s="21">
        <v>2</v>
      </c>
      <c r="E99" s="21" t="s">
        <v>301</v>
      </c>
      <c r="F99"/>
      <c r="G99"/>
      <c r="H99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>
      <c r="A100" s="23">
        <v>7</v>
      </c>
      <c r="B100" s="24" t="s">
        <v>604</v>
      </c>
      <c r="C100" s="24">
        <v>1</v>
      </c>
      <c r="D100" s="24">
        <v>1</v>
      </c>
      <c r="E100" s="24" t="s">
        <v>429</v>
      </c>
      <c r="F100"/>
      <c r="G100"/>
      <c r="H100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spans="1:36">
      <c r="A101" s="23">
        <v>7</v>
      </c>
      <c r="B101" s="24" t="s">
        <v>604</v>
      </c>
      <c r="C101" s="24">
        <v>2</v>
      </c>
      <c r="D101" s="24">
        <v>1</v>
      </c>
      <c r="E101" s="24" t="s">
        <v>308</v>
      </c>
      <c r="F101"/>
      <c r="G101"/>
      <c r="H101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spans="1:36">
      <c r="A102" s="23">
        <v>7</v>
      </c>
      <c r="B102" s="24" t="s">
        <v>604</v>
      </c>
      <c r="C102" s="24">
        <v>3</v>
      </c>
      <c r="D102" s="24">
        <v>1</v>
      </c>
      <c r="E102" s="24" t="s">
        <v>247</v>
      </c>
      <c r="F102"/>
      <c r="G102"/>
      <c r="H102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>
      <c r="A103" s="23">
        <v>7</v>
      </c>
      <c r="B103" s="24" t="s">
        <v>604</v>
      </c>
      <c r="C103" s="24">
        <v>4</v>
      </c>
      <c r="D103" s="24">
        <v>2</v>
      </c>
      <c r="E103" s="24" t="s">
        <v>458</v>
      </c>
      <c r="F103"/>
      <c r="G103"/>
      <c r="H103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>
      <c r="A104" s="23">
        <v>7</v>
      </c>
      <c r="B104" s="24" t="s">
        <v>604</v>
      </c>
      <c r="C104" s="24">
        <v>5</v>
      </c>
      <c r="D104" s="24">
        <v>2</v>
      </c>
      <c r="E104" s="24" t="s">
        <v>146</v>
      </c>
      <c r="F104"/>
      <c r="G104"/>
      <c r="H10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spans="1:36">
      <c r="A105" s="23">
        <v>7</v>
      </c>
      <c r="B105" s="24" t="s">
        <v>605</v>
      </c>
      <c r="C105" s="24">
        <v>1</v>
      </c>
      <c r="D105" s="24">
        <v>1</v>
      </c>
      <c r="E105" s="24" t="s">
        <v>74</v>
      </c>
      <c r="F105"/>
      <c r="G105"/>
      <c r="H105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>
      <c r="A106" s="23">
        <v>7</v>
      </c>
      <c r="B106" s="24" t="s">
        <v>605</v>
      </c>
      <c r="C106" s="24">
        <v>2</v>
      </c>
      <c r="D106" s="24">
        <v>1</v>
      </c>
      <c r="E106" s="24" t="s">
        <v>309</v>
      </c>
      <c r="F106"/>
      <c r="G106"/>
      <c r="H106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>
      <c r="A107" s="23">
        <v>7</v>
      </c>
      <c r="B107" s="24" t="s">
        <v>605</v>
      </c>
      <c r="C107" s="24">
        <v>3</v>
      </c>
      <c r="D107" s="24">
        <v>2</v>
      </c>
      <c r="E107" s="24" t="s">
        <v>284</v>
      </c>
      <c r="F107"/>
      <c r="G107"/>
      <c r="H107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>
      <c r="A108" s="23">
        <v>7</v>
      </c>
      <c r="B108" s="24" t="s">
        <v>605</v>
      </c>
      <c r="C108" s="24">
        <v>4</v>
      </c>
      <c r="D108" s="24">
        <v>2</v>
      </c>
      <c r="E108" s="24" t="s">
        <v>303</v>
      </c>
      <c r="F108"/>
      <c r="G108"/>
      <c r="H108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>
      <c r="A109" s="23">
        <v>7</v>
      </c>
      <c r="B109" s="24" t="s">
        <v>605</v>
      </c>
      <c r="C109" s="24">
        <v>5</v>
      </c>
      <c r="D109" s="24">
        <v>2</v>
      </c>
      <c r="E109" s="24" t="s">
        <v>302</v>
      </c>
      <c r="F109"/>
      <c r="G109"/>
      <c r="H109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>
      <c r="A110" s="23">
        <v>7</v>
      </c>
      <c r="B110" s="24" t="s">
        <v>606</v>
      </c>
      <c r="C110" s="24">
        <v>1</v>
      </c>
      <c r="D110" s="24">
        <v>1</v>
      </c>
      <c r="E110" s="24" t="s">
        <v>18</v>
      </c>
      <c r="F110"/>
      <c r="G110"/>
      <c r="H110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>
      <c r="A111" s="23">
        <v>7</v>
      </c>
      <c r="B111" s="24" t="s">
        <v>606</v>
      </c>
      <c r="C111" s="24">
        <v>2</v>
      </c>
      <c r="D111" s="24">
        <v>1</v>
      </c>
      <c r="E111" s="24" t="s">
        <v>251</v>
      </c>
      <c r="F111"/>
      <c r="G111"/>
      <c r="H111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>
      <c r="A112" s="23">
        <v>7</v>
      </c>
      <c r="B112" s="24" t="s">
        <v>606</v>
      </c>
      <c r="C112" s="24">
        <v>3</v>
      </c>
      <c r="D112" s="24">
        <v>1</v>
      </c>
      <c r="E112" s="24" t="s">
        <v>19</v>
      </c>
      <c r="F112"/>
      <c r="G112"/>
      <c r="H112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>
      <c r="A113" s="23">
        <v>7</v>
      </c>
      <c r="B113" s="24" t="s">
        <v>606</v>
      </c>
      <c r="C113" s="24">
        <v>4</v>
      </c>
      <c r="D113" s="24">
        <v>2</v>
      </c>
      <c r="E113" s="24" t="s">
        <v>141</v>
      </c>
      <c r="F113"/>
      <c r="G113"/>
      <c r="H113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>
      <c r="A114" s="23">
        <v>7</v>
      </c>
      <c r="B114" s="24" t="s">
        <v>606</v>
      </c>
      <c r="C114" s="24">
        <v>5</v>
      </c>
      <c r="D114" s="24">
        <v>2</v>
      </c>
      <c r="E114" s="24" t="s">
        <v>283</v>
      </c>
      <c r="F114"/>
      <c r="G114"/>
      <c r="H1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>
      <c r="A115" s="23">
        <v>7</v>
      </c>
      <c r="B115" s="24" t="s">
        <v>606</v>
      </c>
      <c r="C115" s="24">
        <v>6</v>
      </c>
      <c r="D115" s="24">
        <v>2</v>
      </c>
      <c r="E115" s="24" t="s">
        <v>457</v>
      </c>
      <c r="F115"/>
      <c r="G115"/>
      <c r="H115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>
      <c r="A116" s="22">
        <v>8</v>
      </c>
      <c r="B116" s="21" t="s">
        <v>604</v>
      </c>
      <c r="C116" s="21">
        <v>1</v>
      </c>
      <c r="D116" s="21">
        <v>1</v>
      </c>
      <c r="E116" s="21" t="s">
        <v>311</v>
      </c>
      <c r="F116"/>
      <c r="G116"/>
      <c r="H116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spans="1:36">
      <c r="A117" s="22">
        <v>8</v>
      </c>
      <c r="B117" s="21" t="s">
        <v>604</v>
      </c>
      <c r="C117" s="21">
        <v>2</v>
      </c>
      <c r="D117" s="21">
        <v>1</v>
      </c>
      <c r="E117" s="21" t="s">
        <v>430</v>
      </c>
      <c r="F117"/>
      <c r="G117"/>
      <c r="H117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spans="1:36">
      <c r="A118" s="22">
        <v>8</v>
      </c>
      <c r="B118" s="21" t="s">
        <v>604</v>
      </c>
      <c r="C118" s="21">
        <v>3</v>
      </c>
      <c r="D118" s="21">
        <v>1</v>
      </c>
      <c r="E118" s="21" t="s">
        <v>22</v>
      </c>
      <c r="F118"/>
      <c r="G118"/>
      <c r="H118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spans="1:36">
      <c r="A119" s="22">
        <v>8</v>
      </c>
      <c r="B119" s="21" t="s">
        <v>604</v>
      </c>
      <c r="C119" s="21">
        <v>4</v>
      </c>
      <c r="D119" s="21">
        <v>1</v>
      </c>
      <c r="E119" s="21" t="s">
        <v>248</v>
      </c>
      <c r="F119"/>
      <c r="G119"/>
      <c r="H119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spans="1:36">
      <c r="A120" s="22">
        <v>8</v>
      </c>
      <c r="B120" s="21" t="s">
        <v>604</v>
      </c>
      <c r="C120" s="21">
        <v>5</v>
      </c>
      <c r="D120" s="21">
        <v>1</v>
      </c>
      <c r="E120" s="21" t="s">
        <v>431</v>
      </c>
      <c r="F120"/>
      <c r="G120"/>
      <c r="H120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>
      <c r="A121" s="22">
        <v>8</v>
      </c>
      <c r="B121" s="21" t="s">
        <v>604</v>
      </c>
      <c r="C121" s="21">
        <v>6</v>
      </c>
      <c r="D121" s="21">
        <v>2</v>
      </c>
      <c r="E121" s="21" t="s">
        <v>461</v>
      </c>
      <c r="F121"/>
      <c r="G121"/>
      <c r="H121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>
      <c r="A122" s="22">
        <v>8</v>
      </c>
      <c r="B122" s="21" t="s">
        <v>605</v>
      </c>
      <c r="C122" s="21">
        <v>1</v>
      </c>
      <c r="D122" s="21">
        <v>1</v>
      </c>
      <c r="E122" s="21" t="s">
        <v>312</v>
      </c>
      <c r="F122"/>
      <c r="G122"/>
      <c r="H122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spans="1:36">
      <c r="A123" s="22">
        <v>8</v>
      </c>
      <c r="B123" s="21" t="s">
        <v>605</v>
      </c>
      <c r="C123" s="21">
        <v>2</v>
      </c>
      <c r="D123" s="21">
        <v>2</v>
      </c>
      <c r="E123" s="21" t="s">
        <v>287</v>
      </c>
      <c r="F123"/>
      <c r="G123"/>
      <c r="H123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spans="1:36">
      <c r="A124" s="22">
        <v>8</v>
      </c>
      <c r="B124" s="21" t="s">
        <v>605</v>
      </c>
      <c r="C124" s="21">
        <v>3</v>
      </c>
      <c r="D124" s="21">
        <v>2</v>
      </c>
      <c r="E124" s="21" t="s">
        <v>459</v>
      </c>
      <c r="F124"/>
      <c r="G124"/>
      <c r="H12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spans="1:36">
      <c r="A125" s="22">
        <v>8</v>
      </c>
      <c r="B125" s="21" t="s">
        <v>605</v>
      </c>
      <c r="C125" s="21">
        <v>4</v>
      </c>
      <c r="D125" s="21">
        <v>2</v>
      </c>
      <c r="E125" s="21" t="s">
        <v>139</v>
      </c>
      <c r="F125"/>
      <c r="G125"/>
      <c r="H12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spans="1:36">
      <c r="A126" s="22">
        <v>8</v>
      </c>
      <c r="B126" s="21" t="s">
        <v>605</v>
      </c>
      <c r="C126" s="21">
        <v>5</v>
      </c>
      <c r="D126" s="21">
        <v>2</v>
      </c>
      <c r="E126" s="21" t="s">
        <v>310</v>
      </c>
      <c r="F126"/>
      <c r="G126"/>
      <c r="H126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spans="1:36">
      <c r="A127" s="22">
        <v>8</v>
      </c>
      <c r="B127" s="21" t="s">
        <v>606</v>
      </c>
      <c r="C127" s="21">
        <v>1</v>
      </c>
      <c r="D127" s="21">
        <v>1</v>
      </c>
      <c r="E127" s="21" t="s">
        <v>249</v>
      </c>
      <c r="F127"/>
      <c r="G127"/>
      <c r="H127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spans="1:36">
      <c r="A128" s="22">
        <v>8</v>
      </c>
      <c r="B128" s="21" t="s">
        <v>606</v>
      </c>
      <c r="C128" s="21">
        <v>2</v>
      </c>
      <c r="D128" s="21">
        <v>1</v>
      </c>
      <c r="E128" s="21" t="s">
        <v>67</v>
      </c>
      <c r="F128"/>
      <c r="G128"/>
      <c r="H128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6">
      <c r="A129" s="22">
        <v>8</v>
      </c>
      <c r="B129" s="21" t="s">
        <v>606</v>
      </c>
      <c r="C129" s="21">
        <v>3</v>
      </c>
      <c r="D129" s="21">
        <v>2</v>
      </c>
      <c r="E129" s="21" t="s">
        <v>286</v>
      </c>
      <c r="F129"/>
      <c r="G129"/>
      <c r="H129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6">
      <c r="A130" s="22">
        <v>8</v>
      </c>
      <c r="B130" s="21" t="s">
        <v>606</v>
      </c>
      <c r="C130" s="21">
        <v>4</v>
      </c>
      <c r="D130" s="21">
        <v>2</v>
      </c>
      <c r="E130" s="21" t="s">
        <v>460</v>
      </c>
      <c r="F130"/>
      <c r="G130"/>
      <c r="H130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spans="1:36">
      <c r="A131" s="22">
        <v>8</v>
      </c>
      <c r="B131" s="21" t="s">
        <v>606</v>
      </c>
      <c r="C131" s="21">
        <v>5</v>
      </c>
      <c r="D131" s="21">
        <v>2</v>
      </c>
      <c r="E131" s="21" t="s">
        <v>285</v>
      </c>
      <c r="F131"/>
      <c r="G131"/>
      <c r="H131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spans="1:36">
      <c r="A132" s="23">
        <v>9</v>
      </c>
      <c r="B132" s="24" t="s">
        <v>604</v>
      </c>
      <c r="C132" s="24">
        <v>1</v>
      </c>
      <c r="D132" s="24">
        <v>1</v>
      </c>
      <c r="E132" s="24" t="s">
        <v>239</v>
      </c>
      <c r="F132"/>
      <c r="G132"/>
      <c r="H132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spans="1:36">
      <c r="A133" s="23">
        <v>9</v>
      </c>
      <c r="B133" s="24" t="s">
        <v>604</v>
      </c>
      <c r="C133" s="24">
        <v>2</v>
      </c>
      <c r="D133" s="24">
        <v>1</v>
      </c>
      <c r="E133" s="24" t="s">
        <v>434</v>
      </c>
      <c r="F133"/>
      <c r="G133"/>
      <c r="H133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6">
      <c r="A134" s="23">
        <v>9</v>
      </c>
      <c r="B134" s="24" t="s">
        <v>604</v>
      </c>
      <c r="C134" s="24">
        <v>3</v>
      </c>
      <c r="D134" s="24">
        <v>2</v>
      </c>
      <c r="E134" s="24" t="s">
        <v>289</v>
      </c>
      <c r="F134"/>
      <c r="G134"/>
      <c r="H13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6">
      <c r="A135" s="23">
        <v>9</v>
      </c>
      <c r="B135" s="24" t="s">
        <v>604</v>
      </c>
      <c r="C135" s="24">
        <v>4</v>
      </c>
      <c r="D135" s="24">
        <v>2</v>
      </c>
      <c r="E135" s="24" t="s">
        <v>290</v>
      </c>
      <c r="F135"/>
      <c r="G135"/>
      <c r="H135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6">
      <c r="A136" s="23">
        <v>9</v>
      </c>
      <c r="B136" s="24" t="s">
        <v>604</v>
      </c>
      <c r="C136" s="24">
        <v>5</v>
      </c>
      <c r="D136" s="24">
        <v>2</v>
      </c>
      <c r="E136" s="24" t="s">
        <v>288</v>
      </c>
      <c r="F136"/>
      <c r="G136"/>
      <c r="H136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6">
      <c r="A137" s="23">
        <v>9</v>
      </c>
      <c r="B137" s="24" t="s">
        <v>605</v>
      </c>
      <c r="C137" s="24">
        <v>1</v>
      </c>
      <c r="D137" s="24">
        <v>1</v>
      </c>
      <c r="E137" s="24" t="s">
        <v>305</v>
      </c>
      <c r="F137"/>
      <c r="G137"/>
      <c r="H137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6">
      <c r="A138" s="23">
        <v>9</v>
      </c>
      <c r="B138" s="24" t="s">
        <v>605</v>
      </c>
      <c r="C138" s="24">
        <v>2</v>
      </c>
      <c r="D138" s="24">
        <v>1</v>
      </c>
      <c r="E138" s="24" t="s">
        <v>57</v>
      </c>
      <c r="F138"/>
      <c r="G138"/>
      <c r="H138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>
      <c r="A139" s="23">
        <v>9</v>
      </c>
      <c r="B139" s="24" t="s">
        <v>605</v>
      </c>
      <c r="C139" s="24">
        <v>3</v>
      </c>
      <c r="D139" s="24">
        <v>1</v>
      </c>
      <c r="E139" s="24" t="s">
        <v>296</v>
      </c>
      <c r="F139"/>
      <c r="G139"/>
      <c r="H139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>
      <c r="A140" s="23">
        <v>9</v>
      </c>
      <c r="B140" s="24" t="s">
        <v>605</v>
      </c>
      <c r="C140" s="24">
        <v>4</v>
      </c>
      <c r="D140" s="24">
        <v>2</v>
      </c>
      <c r="E140" s="24" t="s">
        <v>464</v>
      </c>
      <c r="F140"/>
      <c r="G140"/>
      <c r="H140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spans="1:36">
      <c r="A141" s="23">
        <v>9</v>
      </c>
      <c r="B141" s="24" t="s">
        <v>605</v>
      </c>
      <c r="C141" s="24">
        <v>5</v>
      </c>
      <c r="D141" s="24">
        <v>2</v>
      </c>
      <c r="E141" s="24" t="s">
        <v>291</v>
      </c>
      <c r="F141"/>
      <c r="G141"/>
      <c r="H141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spans="1:36">
      <c r="A142" s="23">
        <v>9</v>
      </c>
      <c r="B142" s="24" t="s">
        <v>606</v>
      </c>
      <c r="C142" s="24">
        <v>1</v>
      </c>
      <c r="D142" s="24">
        <v>1</v>
      </c>
      <c r="E142" s="24" t="s">
        <v>432</v>
      </c>
      <c r="F142"/>
      <c r="G142"/>
      <c r="H142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1:36">
      <c r="A143" s="23">
        <v>9</v>
      </c>
      <c r="B143" s="24" t="s">
        <v>606</v>
      </c>
      <c r="C143" s="24">
        <v>2</v>
      </c>
      <c r="D143" s="24">
        <v>1</v>
      </c>
      <c r="E143" s="24" t="s">
        <v>435</v>
      </c>
      <c r="F143"/>
      <c r="G143"/>
      <c r="H143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spans="1:36">
      <c r="A144" s="23">
        <v>9</v>
      </c>
      <c r="B144" s="24" t="s">
        <v>606</v>
      </c>
      <c r="C144" s="24">
        <v>3</v>
      </c>
      <c r="D144" s="24">
        <v>1</v>
      </c>
      <c r="E144" s="24" t="s">
        <v>433</v>
      </c>
      <c r="F144"/>
      <c r="G144"/>
      <c r="H14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spans="1:36">
      <c r="A145" s="23">
        <v>9</v>
      </c>
      <c r="B145" s="24" t="s">
        <v>606</v>
      </c>
      <c r="C145" s="24">
        <v>4</v>
      </c>
      <c r="D145" s="24">
        <v>2</v>
      </c>
      <c r="E145" s="24" t="s">
        <v>463</v>
      </c>
      <c r="F145"/>
      <c r="G145"/>
      <c r="H145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spans="1:36">
      <c r="A146" s="23">
        <v>9</v>
      </c>
      <c r="B146" s="24" t="s">
        <v>606</v>
      </c>
      <c r="C146" s="24">
        <v>5</v>
      </c>
      <c r="D146" s="24">
        <v>2</v>
      </c>
      <c r="E146" s="24" t="s">
        <v>465</v>
      </c>
      <c r="F146"/>
      <c r="G146"/>
      <c r="H146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spans="1:36">
      <c r="A147" s="23">
        <v>9</v>
      </c>
      <c r="B147" s="24" t="s">
        <v>606</v>
      </c>
      <c r="C147" s="24">
        <v>6</v>
      </c>
      <c r="D147" s="24">
        <v>2</v>
      </c>
      <c r="E147" s="24" t="s">
        <v>462</v>
      </c>
      <c r="F147"/>
      <c r="G147"/>
      <c r="H147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spans="1:36">
      <c r="A148" s="22">
        <v>10</v>
      </c>
      <c r="B148" s="21" t="s">
        <v>604</v>
      </c>
      <c r="C148" s="21">
        <v>1</v>
      </c>
      <c r="D148" s="21">
        <v>1</v>
      </c>
      <c r="E148" s="21" t="s">
        <v>50</v>
      </c>
      <c r="F148"/>
      <c r="G148"/>
      <c r="H148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spans="1:36">
      <c r="A149" s="22">
        <v>10</v>
      </c>
      <c r="B149" s="21" t="s">
        <v>604</v>
      </c>
      <c r="C149" s="21">
        <v>2</v>
      </c>
      <c r="D149" s="21">
        <v>1</v>
      </c>
      <c r="E149" s="21" t="s">
        <v>240</v>
      </c>
      <c r="F149"/>
      <c r="G149"/>
      <c r="H149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spans="1:36">
      <c r="A150" s="22">
        <v>10</v>
      </c>
      <c r="B150" s="21" t="s">
        <v>604</v>
      </c>
      <c r="C150" s="21">
        <v>3</v>
      </c>
      <c r="D150" s="21">
        <v>1</v>
      </c>
      <c r="E150" s="21" t="s">
        <v>436</v>
      </c>
      <c r="F150"/>
      <c r="G150"/>
      <c r="H150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spans="1:36">
      <c r="A151" s="22">
        <v>10</v>
      </c>
      <c r="B151" s="21" t="s">
        <v>604</v>
      </c>
      <c r="C151" s="21">
        <v>4</v>
      </c>
      <c r="D151" s="21">
        <v>2</v>
      </c>
      <c r="E151" s="21" t="s">
        <v>207</v>
      </c>
      <c r="F151"/>
      <c r="G151"/>
      <c r="H151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spans="1:36">
      <c r="A152" s="22">
        <v>10</v>
      </c>
      <c r="B152" s="21" t="s">
        <v>604</v>
      </c>
      <c r="C152" s="21">
        <v>5</v>
      </c>
      <c r="D152" s="21">
        <v>2</v>
      </c>
      <c r="E152" s="21" t="s">
        <v>294</v>
      </c>
      <c r="F152"/>
      <c r="G152"/>
      <c r="H152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spans="1:36">
      <c r="A153" s="22">
        <v>10</v>
      </c>
      <c r="B153" s="21" t="s">
        <v>605</v>
      </c>
      <c r="C153" s="21">
        <v>1</v>
      </c>
      <c r="D153" s="21">
        <v>1</v>
      </c>
      <c r="E153" s="21" t="s">
        <v>438</v>
      </c>
      <c r="F153"/>
      <c r="G153"/>
      <c r="H153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spans="1:36">
      <c r="A154" s="22">
        <v>10</v>
      </c>
      <c r="B154" s="21" t="s">
        <v>605</v>
      </c>
      <c r="C154" s="21">
        <v>2</v>
      </c>
      <c r="D154" s="21">
        <v>2</v>
      </c>
      <c r="E154" s="21" t="s">
        <v>313</v>
      </c>
      <c r="F154"/>
      <c r="G154"/>
      <c r="H15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spans="1:36">
      <c r="A155" s="22">
        <v>10</v>
      </c>
      <c r="B155" s="21" t="s">
        <v>605</v>
      </c>
      <c r="C155" s="21">
        <v>3</v>
      </c>
      <c r="D155" s="21">
        <v>1</v>
      </c>
      <c r="E155" s="21" t="s">
        <v>437</v>
      </c>
      <c r="F155"/>
      <c r="G155"/>
      <c r="H15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spans="1:36">
      <c r="A156" s="22">
        <v>10</v>
      </c>
      <c r="B156" s="21" t="s">
        <v>605</v>
      </c>
      <c r="C156" s="21">
        <v>4</v>
      </c>
      <c r="D156" s="21">
        <v>2</v>
      </c>
      <c r="E156" s="21" t="s">
        <v>292</v>
      </c>
      <c r="F156"/>
      <c r="G156"/>
      <c r="H156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spans="1:36">
      <c r="A157" s="22">
        <v>10</v>
      </c>
      <c r="B157" s="21" t="s">
        <v>605</v>
      </c>
      <c r="C157" s="21">
        <v>5</v>
      </c>
      <c r="D157" s="21">
        <v>2</v>
      </c>
      <c r="E157" s="21" t="s">
        <v>293</v>
      </c>
      <c r="F157"/>
      <c r="G157"/>
      <c r="H157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>
      <c r="A158" s="22">
        <v>10</v>
      </c>
      <c r="B158" s="21" t="s">
        <v>605</v>
      </c>
      <c r="C158" s="21">
        <v>6</v>
      </c>
      <c r="D158" s="21">
        <v>2</v>
      </c>
      <c r="E158" s="21" t="s">
        <v>467</v>
      </c>
      <c r="F158"/>
      <c r="G158"/>
      <c r="H158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spans="1:36">
      <c r="A159" s="22">
        <v>10</v>
      </c>
      <c r="B159" s="21" t="s">
        <v>606</v>
      </c>
      <c r="C159" s="21">
        <v>1</v>
      </c>
      <c r="D159" s="21">
        <v>1</v>
      </c>
      <c r="E159" s="21" t="s">
        <v>297</v>
      </c>
      <c r="F159"/>
      <c r="G159"/>
      <c r="H159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spans="1:36">
      <c r="A160" s="22">
        <v>10</v>
      </c>
      <c r="B160" s="21" t="s">
        <v>606</v>
      </c>
      <c r="C160" s="21">
        <v>2</v>
      </c>
      <c r="D160" s="21">
        <v>1</v>
      </c>
      <c r="E160" s="21" t="s">
        <v>439</v>
      </c>
      <c r="F160"/>
      <c r="G160"/>
      <c r="H160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spans="1:36">
      <c r="A161" s="22">
        <v>10</v>
      </c>
      <c r="B161" s="21" t="s">
        <v>606</v>
      </c>
      <c r="C161" s="21">
        <v>3</v>
      </c>
      <c r="D161" s="21">
        <v>1</v>
      </c>
      <c r="E161" s="21" t="s">
        <v>241</v>
      </c>
      <c r="F161"/>
      <c r="G161"/>
      <c r="H161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spans="1:36">
      <c r="A162" s="22">
        <v>10</v>
      </c>
      <c r="B162" s="21" t="s">
        <v>606</v>
      </c>
      <c r="C162" s="21">
        <v>4</v>
      </c>
      <c r="D162" s="21">
        <v>2</v>
      </c>
      <c r="E162" s="21" t="s">
        <v>468</v>
      </c>
      <c r="F162"/>
      <c r="G162"/>
      <c r="H162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spans="1:36">
      <c r="A163" s="22">
        <v>10</v>
      </c>
      <c r="B163" s="21" t="s">
        <v>606</v>
      </c>
      <c r="C163" s="21">
        <v>5</v>
      </c>
      <c r="D163" s="21">
        <v>2</v>
      </c>
      <c r="E163" s="21" t="s">
        <v>466</v>
      </c>
      <c r="F163"/>
      <c r="G163"/>
      <c r="H163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spans="1:36">
      <c r="A164" s="23">
        <v>11</v>
      </c>
      <c r="B164" s="24" t="s">
        <v>604</v>
      </c>
      <c r="C164" s="24">
        <v>1</v>
      </c>
      <c r="D164" s="24">
        <v>2</v>
      </c>
      <c r="E164" s="24" t="s">
        <v>408</v>
      </c>
      <c r="F164"/>
      <c r="G164"/>
      <c r="H16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spans="1:36">
      <c r="A165" s="23">
        <v>11</v>
      </c>
      <c r="B165" s="24" t="s">
        <v>604</v>
      </c>
      <c r="C165" s="24">
        <v>2</v>
      </c>
      <c r="D165" s="24">
        <v>1</v>
      </c>
      <c r="E165" s="24" t="s">
        <v>441</v>
      </c>
      <c r="F165"/>
      <c r="G165"/>
      <c r="H165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spans="1:36">
      <c r="A166" s="23">
        <v>11</v>
      </c>
      <c r="B166" s="24" t="s">
        <v>604</v>
      </c>
      <c r="C166" s="24">
        <v>3</v>
      </c>
      <c r="D166" s="24">
        <v>2</v>
      </c>
      <c r="E166" s="24" t="s">
        <v>470</v>
      </c>
      <c r="F166"/>
      <c r="G166"/>
      <c r="H166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spans="1:36">
      <c r="A167" s="23">
        <v>11</v>
      </c>
      <c r="B167" s="24" t="s">
        <v>604</v>
      </c>
      <c r="C167" s="24">
        <v>4</v>
      </c>
      <c r="D167" s="24">
        <v>1</v>
      </c>
      <c r="E167" s="24" t="s">
        <v>298</v>
      </c>
      <c r="F167"/>
      <c r="G167"/>
      <c r="H167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spans="1:36">
      <c r="A168" s="23">
        <v>11</v>
      </c>
      <c r="B168" s="24" t="s">
        <v>604</v>
      </c>
      <c r="C168" s="24">
        <v>5</v>
      </c>
      <c r="D168" s="24">
        <v>2</v>
      </c>
      <c r="E168" s="24" t="s">
        <v>469</v>
      </c>
      <c r="F168"/>
      <c r="G168"/>
      <c r="H168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>
      <c r="A169" s="23">
        <v>11</v>
      </c>
      <c r="B169" s="24" t="s">
        <v>605</v>
      </c>
      <c r="C169" s="24">
        <v>1</v>
      </c>
      <c r="D169" s="24">
        <v>1</v>
      </c>
      <c r="E169" s="24" t="s">
        <v>243</v>
      </c>
      <c r="F169"/>
      <c r="G169"/>
      <c r="H169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spans="1:36">
      <c r="A170" s="23">
        <v>11</v>
      </c>
      <c r="B170" s="24" t="s">
        <v>605</v>
      </c>
      <c r="C170" s="24">
        <v>2</v>
      </c>
      <c r="D170" s="24">
        <v>1</v>
      </c>
      <c r="E170" s="24" t="s">
        <v>116</v>
      </c>
      <c r="F170"/>
      <c r="G170"/>
      <c r="H170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spans="1:36">
      <c r="A171" s="23">
        <v>11</v>
      </c>
      <c r="B171" s="24" t="s">
        <v>605</v>
      </c>
      <c r="C171" s="24">
        <v>3</v>
      </c>
      <c r="D171" s="24">
        <v>1</v>
      </c>
      <c r="E171" s="24" t="s">
        <v>236</v>
      </c>
      <c r="F171"/>
      <c r="G171"/>
      <c r="H171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spans="1:36">
      <c r="A172" s="23">
        <v>11</v>
      </c>
      <c r="B172" s="24" t="s">
        <v>605</v>
      </c>
      <c r="C172" s="24">
        <v>4</v>
      </c>
      <c r="D172" s="24">
        <v>2</v>
      </c>
      <c r="E172" s="24" t="s">
        <v>209</v>
      </c>
      <c r="F172"/>
      <c r="G172"/>
      <c r="H172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spans="1:36">
      <c r="A173" s="23">
        <v>11</v>
      </c>
      <c r="B173" s="24" t="s">
        <v>605</v>
      </c>
      <c r="C173" s="24">
        <v>5</v>
      </c>
      <c r="D173" s="24">
        <v>2</v>
      </c>
      <c r="E173" s="24" t="s">
        <v>271</v>
      </c>
      <c r="F173"/>
      <c r="G173"/>
      <c r="H173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spans="1:36">
      <c r="A174" s="23">
        <v>11</v>
      </c>
      <c r="B174" s="24" t="s">
        <v>606</v>
      </c>
      <c r="C174" s="24">
        <v>1</v>
      </c>
      <c r="D174" s="24">
        <v>1</v>
      </c>
      <c r="E174" s="24" t="s">
        <v>440</v>
      </c>
      <c r="F174"/>
      <c r="G174"/>
      <c r="H17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spans="1:36">
      <c r="A175" s="23">
        <v>11</v>
      </c>
      <c r="B175" s="24" t="s">
        <v>606</v>
      </c>
      <c r="C175" s="24">
        <v>2</v>
      </c>
      <c r="D175" s="24">
        <v>1</v>
      </c>
      <c r="E175" s="24" t="s">
        <v>242</v>
      </c>
      <c r="F175"/>
      <c r="G175"/>
      <c r="H175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spans="1:36">
      <c r="A176" s="23">
        <v>11</v>
      </c>
      <c r="B176" s="24" t="s">
        <v>606</v>
      </c>
      <c r="C176" s="24">
        <v>3</v>
      </c>
      <c r="D176" s="24">
        <v>1</v>
      </c>
      <c r="E176" s="24" t="s">
        <v>42</v>
      </c>
      <c r="F176"/>
      <c r="G176"/>
      <c r="H176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spans="1:36">
      <c r="A177" s="23">
        <v>11</v>
      </c>
      <c r="B177" s="24" t="s">
        <v>606</v>
      </c>
      <c r="C177" s="24">
        <v>4</v>
      </c>
      <c r="D177" s="24">
        <v>2</v>
      </c>
      <c r="E177" s="24" t="s">
        <v>314</v>
      </c>
      <c r="F177"/>
      <c r="G177"/>
      <c r="H177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spans="1:36">
      <c r="A178" s="23">
        <v>11</v>
      </c>
      <c r="B178" s="24" t="s">
        <v>606</v>
      </c>
      <c r="C178" s="24">
        <v>5</v>
      </c>
      <c r="D178" s="24">
        <v>2</v>
      </c>
      <c r="E178" s="24" t="s">
        <v>295</v>
      </c>
      <c r="F178"/>
      <c r="G178"/>
      <c r="H178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spans="1:36">
      <c r="A179" s="23">
        <v>11</v>
      </c>
      <c r="B179" s="24" t="s">
        <v>606</v>
      </c>
      <c r="C179" s="24">
        <v>6</v>
      </c>
      <c r="D179" s="24">
        <v>2</v>
      </c>
      <c r="E179" s="24" t="s">
        <v>194</v>
      </c>
      <c r="F179"/>
      <c r="G179"/>
      <c r="H179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spans="1:36">
      <c r="A180" s="22">
        <v>12</v>
      </c>
      <c r="B180" s="21" t="s">
        <v>604</v>
      </c>
      <c r="C180" s="21">
        <v>1</v>
      </c>
      <c r="D180" s="21">
        <v>1</v>
      </c>
      <c r="E180" s="21" t="s">
        <v>37</v>
      </c>
      <c r="F180"/>
      <c r="G180"/>
      <c r="H180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spans="1:36">
      <c r="A181" s="22">
        <v>12</v>
      </c>
      <c r="B181" s="21" t="s">
        <v>604</v>
      </c>
      <c r="C181" s="21">
        <v>2</v>
      </c>
      <c r="D181" s="21">
        <v>2</v>
      </c>
      <c r="E181" s="21" t="s">
        <v>273</v>
      </c>
      <c r="F181"/>
      <c r="G181"/>
      <c r="H181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spans="1:36">
      <c r="A182" s="22">
        <v>12</v>
      </c>
      <c r="B182" s="21" t="s">
        <v>604</v>
      </c>
      <c r="C182" s="21">
        <v>3</v>
      </c>
      <c r="D182" s="21">
        <v>1</v>
      </c>
      <c r="E182" s="21" t="s">
        <v>233</v>
      </c>
      <c r="F182"/>
      <c r="G182"/>
      <c r="H182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spans="1:36">
      <c r="A183" s="22">
        <v>12</v>
      </c>
      <c r="B183" s="21" t="s">
        <v>604</v>
      </c>
      <c r="C183" s="21">
        <v>4</v>
      </c>
      <c r="D183" s="21">
        <v>2</v>
      </c>
      <c r="E183" s="21" t="s">
        <v>154</v>
      </c>
      <c r="F183"/>
      <c r="G183"/>
      <c r="H183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spans="1:36">
      <c r="A184" s="22">
        <v>12</v>
      </c>
      <c r="B184" s="21" t="s">
        <v>604</v>
      </c>
      <c r="C184" s="21">
        <v>5</v>
      </c>
      <c r="D184" s="21">
        <v>2</v>
      </c>
      <c r="E184" s="21" t="s">
        <v>196</v>
      </c>
      <c r="F184"/>
      <c r="G184"/>
      <c r="H18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spans="1:36">
      <c r="A185" s="22">
        <v>12</v>
      </c>
      <c r="B185" s="21" t="s">
        <v>605</v>
      </c>
      <c r="C185" s="21">
        <v>1</v>
      </c>
      <c r="D185" s="21">
        <v>1</v>
      </c>
      <c r="E185" s="21" t="s">
        <v>245</v>
      </c>
      <c r="F185"/>
      <c r="G185"/>
      <c r="H185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spans="1:36">
      <c r="A186" s="22">
        <v>12</v>
      </c>
      <c r="B186" s="21" t="s">
        <v>605</v>
      </c>
      <c r="C186" s="21">
        <v>2</v>
      </c>
      <c r="D186" s="21">
        <v>1</v>
      </c>
      <c r="E186" s="21" t="s">
        <v>300</v>
      </c>
      <c r="F186"/>
      <c r="G186"/>
      <c r="H186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spans="1:36">
      <c r="A187" s="22">
        <v>12</v>
      </c>
      <c r="B187" s="21" t="s">
        <v>605</v>
      </c>
      <c r="C187" s="21">
        <v>3</v>
      </c>
      <c r="D187" s="21">
        <v>2</v>
      </c>
      <c r="E187" s="21" t="s">
        <v>407</v>
      </c>
      <c r="F187"/>
      <c r="G187"/>
      <c r="H187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spans="1:36">
      <c r="A188" s="22">
        <v>12</v>
      </c>
      <c r="B188" s="21" t="s">
        <v>605</v>
      </c>
      <c r="C188" s="21">
        <v>4</v>
      </c>
      <c r="D188" s="21">
        <v>1</v>
      </c>
      <c r="E188" s="21" t="s">
        <v>244</v>
      </c>
      <c r="F188"/>
      <c r="G188"/>
      <c r="H188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spans="1:36">
      <c r="A189" s="22">
        <v>12</v>
      </c>
      <c r="B189" s="21" t="s">
        <v>605</v>
      </c>
      <c r="C189" s="21">
        <v>5</v>
      </c>
      <c r="D189" s="21">
        <v>2</v>
      </c>
      <c r="E189" s="21" t="s">
        <v>267</v>
      </c>
      <c r="F189"/>
      <c r="G189"/>
      <c r="H189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spans="1:36">
      <c r="A190" s="22">
        <v>12</v>
      </c>
      <c r="B190" s="21" t="s">
        <v>605</v>
      </c>
      <c r="C190" s="21">
        <v>6</v>
      </c>
      <c r="D190" s="21">
        <v>2</v>
      </c>
      <c r="E190" s="21" t="s">
        <v>403</v>
      </c>
      <c r="F190"/>
      <c r="G190"/>
      <c r="H190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spans="1:36">
      <c r="A191" s="22">
        <v>12</v>
      </c>
      <c r="B191" s="21" t="s">
        <v>606</v>
      </c>
      <c r="C191" s="21">
        <v>1</v>
      </c>
      <c r="D191" s="21">
        <v>1</v>
      </c>
      <c r="E191" s="21" t="s">
        <v>108</v>
      </c>
      <c r="F191"/>
      <c r="G191"/>
      <c r="H191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spans="1:36">
      <c r="A192" s="22">
        <v>12</v>
      </c>
      <c r="B192" s="21" t="s">
        <v>606</v>
      </c>
      <c r="C192" s="21">
        <v>2</v>
      </c>
      <c r="D192" s="21">
        <v>1</v>
      </c>
      <c r="E192" s="21" t="s">
        <v>117</v>
      </c>
      <c r="F192"/>
      <c r="G192"/>
      <c r="H192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>
      <c r="A193" s="22">
        <v>12</v>
      </c>
      <c r="B193" s="21" t="s">
        <v>606</v>
      </c>
      <c r="C193" s="21">
        <v>3</v>
      </c>
      <c r="D193" s="21">
        <v>1</v>
      </c>
      <c r="E193" s="21" t="s">
        <v>238</v>
      </c>
      <c r="F193"/>
      <c r="G193"/>
      <c r="H193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spans="1:36">
      <c r="A194" s="22">
        <v>12</v>
      </c>
      <c r="B194" s="21" t="s">
        <v>606</v>
      </c>
      <c r="C194" s="21">
        <v>4</v>
      </c>
      <c r="D194" s="21">
        <v>2</v>
      </c>
      <c r="E194" s="21" t="s">
        <v>210</v>
      </c>
      <c r="F194"/>
      <c r="G194"/>
      <c r="H19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spans="1:36">
      <c r="A195" s="22">
        <v>12</v>
      </c>
      <c r="B195" s="21" t="s">
        <v>606</v>
      </c>
      <c r="C195" s="21">
        <v>5</v>
      </c>
      <c r="D195" s="21">
        <v>2</v>
      </c>
      <c r="E195" s="21" t="s">
        <v>471</v>
      </c>
      <c r="F195"/>
      <c r="G195"/>
      <c r="H195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spans="1:36">
      <c r="A196" s="23">
        <v>13</v>
      </c>
      <c r="B196" s="24" t="s">
        <v>604</v>
      </c>
      <c r="C196" s="24">
        <v>1</v>
      </c>
      <c r="D196" s="24">
        <v>1</v>
      </c>
      <c r="E196" s="24" t="s">
        <v>246</v>
      </c>
      <c r="F196"/>
      <c r="G196"/>
      <c r="H196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spans="1:36">
      <c r="A197" s="23">
        <v>13</v>
      </c>
      <c r="B197" s="24" t="s">
        <v>604</v>
      </c>
      <c r="C197" s="24">
        <v>2</v>
      </c>
      <c r="D197" s="24">
        <v>1</v>
      </c>
      <c r="E197" s="24" t="s">
        <v>101</v>
      </c>
      <c r="F197"/>
      <c r="G197"/>
      <c r="H197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spans="1:36">
      <c r="A198" s="23">
        <v>13</v>
      </c>
      <c r="B198" s="24" t="s">
        <v>604</v>
      </c>
      <c r="C198" s="24">
        <v>3</v>
      </c>
      <c r="D198" s="24">
        <v>2</v>
      </c>
      <c r="E198" s="24" t="s">
        <v>147</v>
      </c>
      <c r="F198"/>
      <c r="G198"/>
      <c r="H198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spans="1:36">
      <c r="A199" s="23">
        <v>13</v>
      </c>
      <c r="B199" s="24" t="s">
        <v>604</v>
      </c>
      <c r="C199" s="24">
        <v>4</v>
      </c>
      <c r="D199" s="24">
        <v>2</v>
      </c>
      <c r="E199" s="24" t="s">
        <v>191</v>
      </c>
      <c r="F199"/>
      <c r="G199"/>
      <c r="H199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spans="1:36">
      <c r="A200" s="23">
        <v>13</v>
      </c>
      <c r="B200" s="24" t="s">
        <v>604</v>
      </c>
      <c r="C200" s="24">
        <v>5</v>
      </c>
      <c r="D200" s="24">
        <v>2</v>
      </c>
      <c r="E200" s="24" t="s">
        <v>402</v>
      </c>
      <c r="F200"/>
      <c r="G200"/>
      <c r="H200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 spans="1:36">
      <c r="A201" s="23">
        <v>13</v>
      </c>
      <c r="B201" s="24" t="s">
        <v>605</v>
      </c>
      <c r="C201" s="24">
        <v>1</v>
      </c>
      <c r="D201" s="24">
        <v>1</v>
      </c>
      <c r="E201" s="24" t="s">
        <v>237</v>
      </c>
      <c r="F201"/>
      <c r="G201"/>
      <c r="H201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 spans="1:36">
      <c r="A202" s="23">
        <v>13</v>
      </c>
      <c r="B202" s="24" t="s">
        <v>605</v>
      </c>
      <c r="C202" s="24">
        <v>2</v>
      </c>
      <c r="D202" s="24">
        <v>1</v>
      </c>
      <c r="E202" s="24" t="s">
        <v>109</v>
      </c>
      <c r="F202"/>
      <c r="G202"/>
      <c r="H202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 spans="1:36">
      <c r="A203" s="23">
        <v>13</v>
      </c>
      <c r="B203" s="24" t="s">
        <v>605</v>
      </c>
      <c r="C203" s="24">
        <v>3</v>
      </c>
      <c r="D203" s="24">
        <v>1</v>
      </c>
      <c r="E203" s="24" t="s">
        <v>231</v>
      </c>
      <c r="F203"/>
      <c r="G203"/>
      <c r="H203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 spans="1:36">
      <c r="A204" s="23">
        <v>13</v>
      </c>
      <c r="B204" s="24" t="s">
        <v>605</v>
      </c>
      <c r="C204" s="24">
        <v>4</v>
      </c>
      <c r="D204" s="24">
        <v>1</v>
      </c>
      <c r="E204" s="24" t="s">
        <v>17</v>
      </c>
      <c r="F204"/>
      <c r="G204"/>
      <c r="H20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 spans="1:36">
      <c r="A205" s="23">
        <v>13</v>
      </c>
      <c r="B205" s="24" t="s">
        <v>605</v>
      </c>
      <c r="C205" s="24">
        <v>5</v>
      </c>
      <c r="D205" s="24">
        <v>2</v>
      </c>
      <c r="E205" s="24" t="s">
        <v>211</v>
      </c>
      <c r="F205"/>
      <c r="G205"/>
      <c r="H205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 spans="1:36">
      <c r="A206" s="23">
        <v>13</v>
      </c>
      <c r="B206" s="24" t="s">
        <v>606</v>
      </c>
      <c r="C206" s="24">
        <v>1</v>
      </c>
      <c r="D206" s="24">
        <v>1</v>
      </c>
      <c r="E206" s="24" t="s">
        <v>234</v>
      </c>
      <c r="F206"/>
      <c r="G206"/>
      <c r="H206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 spans="1:36">
      <c r="A207" s="23">
        <v>13</v>
      </c>
      <c r="B207" s="24" t="s">
        <v>606</v>
      </c>
      <c r="C207" s="24">
        <v>2</v>
      </c>
      <c r="D207" s="24">
        <v>1</v>
      </c>
      <c r="E207" s="24" t="s">
        <v>118</v>
      </c>
      <c r="F207"/>
      <c r="G207"/>
      <c r="H20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 spans="1:36">
      <c r="A208" s="23">
        <v>13</v>
      </c>
      <c r="B208" s="24" t="s">
        <v>606</v>
      </c>
      <c r="C208" s="24">
        <v>3</v>
      </c>
      <c r="D208" s="24">
        <v>2</v>
      </c>
      <c r="E208" s="24" t="s">
        <v>268</v>
      </c>
      <c r="F208"/>
      <c r="G208"/>
      <c r="H208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 spans="1:36">
      <c r="A209" s="23">
        <v>13</v>
      </c>
      <c r="B209" s="24" t="s">
        <v>606</v>
      </c>
      <c r="C209" s="24">
        <v>4</v>
      </c>
      <c r="D209" s="24">
        <v>2</v>
      </c>
      <c r="E209" s="24" t="s">
        <v>269</v>
      </c>
      <c r="F209"/>
      <c r="G209"/>
      <c r="H209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 spans="1:36">
      <c r="A210" s="23">
        <v>13</v>
      </c>
      <c r="B210" s="24" t="s">
        <v>606</v>
      </c>
      <c r="C210" s="24">
        <v>5</v>
      </c>
      <c r="D210" s="24">
        <v>2</v>
      </c>
      <c r="E210" s="24" t="s">
        <v>197</v>
      </c>
      <c r="F210"/>
      <c r="G210"/>
      <c r="H210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 spans="1:36">
      <c r="A211" s="23">
        <v>13</v>
      </c>
      <c r="B211" s="24" t="s">
        <v>606</v>
      </c>
      <c r="C211" s="24">
        <v>6</v>
      </c>
      <c r="D211" s="24">
        <v>2</v>
      </c>
      <c r="E211" s="24" t="s">
        <v>401</v>
      </c>
      <c r="F211"/>
      <c r="G211"/>
      <c r="H211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 spans="1:36">
      <c r="A212" s="22">
        <v>14</v>
      </c>
      <c r="B212" s="21" t="s">
        <v>604</v>
      </c>
      <c r="C212" s="21">
        <v>1</v>
      </c>
      <c r="D212" s="21">
        <v>1</v>
      </c>
      <c r="E212" s="21" t="s">
        <v>20</v>
      </c>
      <c r="F212"/>
      <c r="G212"/>
      <c r="H212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 spans="1:36">
      <c r="A213" s="22">
        <v>14</v>
      </c>
      <c r="B213" s="21" t="s">
        <v>604</v>
      </c>
      <c r="C213" s="21">
        <v>2</v>
      </c>
      <c r="D213" s="21">
        <v>1</v>
      </c>
      <c r="E213" s="21" t="s">
        <v>227</v>
      </c>
      <c r="F213"/>
      <c r="G213"/>
      <c r="H213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 spans="1:36">
      <c r="A214" s="22">
        <v>14</v>
      </c>
      <c r="B214" s="21" t="s">
        <v>604</v>
      </c>
      <c r="C214" s="21">
        <v>3</v>
      </c>
      <c r="D214" s="21">
        <v>1</v>
      </c>
      <c r="E214" s="21" t="s">
        <v>232</v>
      </c>
      <c r="F214"/>
      <c r="G214"/>
      <c r="H2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 spans="1:36">
      <c r="A215" s="22">
        <v>14</v>
      </c>
      <c r="B215" s="21" t="s">
        <v>604</v>
      </c>
      <c r="C215" s="21">
        <v>4</v>
      </c>
      <c r="D215" s="21">
        <v>2</v>
      </c>
      <c r="E215" s="21" t="s">
        <v>198</v>
      </c>
      <c r="F215"/>
      <c r="G215"/>
      <c r="H215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 spans="1:36">
      <c r="A216" s="22">
        <v>14</v>
      </c>
      <c r="B216" s="21" t="s">
        <v>604</v>
      </c>
      <c r="C216" s="21">
        <v>5</v>
      </c>
      <c r="D216" s="21">
        <v>2</v>
      </c>
      <c r="E216" s="21" t="s">
        <v>279</v>
      </c>
      <c r="F216"/>
      <c r="G216"/>
      <c r="H216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 spans="1:36">
      <c r="A217" s="22">
        <v>14</v>
      </c>
      <c r="B217" s="21" t="s">
        <v>605</v>
      </c>
      <c r="C217" s="21">
        <v>1</v>
      </c>
      <c r="D217" s="21">
        <v>1</v>
      </c>
      <c r="E217" s="21" t="s">
        <v>235</v>
      </c>
      <c r="F217"/>
      <c r="G217"/>
      <c r="H2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 spans="1:36">
      <c r="A218" s="22">
        <v>14</v>
      </c>
      <c r="B218" s="21" t="s">
        <v>605</v>
      </c>
      <c r="C218" s="21">
        <v>2</v>
      </c>
      <c r="D218" s="21">
        <v>2</v>
      </c>
      <c r="E218" s="21" t="s">
        <v>270</v>
      </c>
      <c r="F218"/>
      <c r="G218"/>
      <c r="H218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 spans="1:36">
      <c r="A219" s="22">
        <v>14</v>
      </c>
      <c r="B219" s="21" t="s">
        <v>605</v>
      </c>
      <c r="C219" s="21">
        <v>3</v>
      </c>
      <c r="D219" s="21">
        <v>2</v>
      </c>
      <c r="E219" s="21" t="s">
        <v>144</v>
      </c>
      <c r="F219"/>
      <c r="G219"/>
      <c r="H219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 spans="1:36">
      <c r="A220" s="22">
        <v>14</v>
      </c>
      <c r="B220" s="21" t="s">
        <v>605</v>
      </c>
      <c r="C220" s="21">
        <v>4</v>
      </c>
      <c r="D220" s="21">
        <v>2</v>
      </c>
      <c r="E220" s="21" t="s">
        <v>188</v>
      </c>
      <c r="F220"/>
      <c r="G220"/>
      <c r="H220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 spans="1:36">
      <c r="A221" s="22">
        <v>14</v>
      </c>
      <c r="B221" s="21" t="s">
        <v>605</v>
      </c>
      <c r="C221" s="21">
        <v>5</v>
      </c>
      <c r="D221" s="21">
        <v>2</v>
      </c>
      <c r="E221" s="21" t="s">
        <v>398</v>
      </c>
      <c r="F221"/>
      <c r="G221"/>
      <c r="H221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</row>
    <row r="222" spans="1:36">
      <c r="A222" s="22">
        <v>14</v>
      </c>
      <c r="B222" s="21" t="s">
        <v>606</v>
      </c>
      <c r="C222" s="21">
        <v>1</v>
      </c>
      <c r="D222" s="21">
        <v>1</v>
      </c>
      <c r="E222" s="21" t="s">
        <v>95</v>
      </c>
      <c r="F222"/>
      <c r="G222"/>
      <c r="H222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</row>
    <row r="223" spans="1:36">
      <c r="A223" s="22">
        <v>14</v>
      </c>
      <c r="B223" s="21" t="s">
        <v>606</v>
      </c>
      <c r="C223" s="21">
        <v>2</v>
      </c>
      <c r="D223" s="21">
        <v>1</v>
      </c>
      <c r="E223" s="21" t="s">
        <v>119</v>
      </c>
      <c r="F223"/>
      <c r="G223"/>
      <c r="H223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</row>
    <row r="224" spans="1:36">
      <c r="A224" s="22">
        <v>14</v>
      </c>
      <c r="B224" s="21" t="s">
        <v>606</v>
      </c>
      <c r="C224" s="21">
        <v>3</v>
      </c>
      <c r="D224" s="21">
        <v>1</v>
      </c>
      <c r="E224" s="21" t="s">
        <v>110</v>
      </c>
      <c r="F224"/>
      <c r="G224"/>
      <c r="H22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</row>
    <row r="225" spans="1:36">
      <c r="A225" s="22">
        <v>14</v>
      </c>
      <c r="B225" s="21" t="s">
        <v>606</v>
      </c>
      <c r="C225" s="21">
        <v>4</v>
      </c>
      <c r="D225" s="21">
        <v>2</v>
      </c>
      <c r="E225" s="21" t="s">
        <v>212</v>
      </c>
      <c r="F225"/>
      <c r="G225"/>
      <c r="H225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 spans="1:36">
      <c r="A226" s="22">
        <v>14</v>
      </c>
      <c r="B226" s="21" t="s">
        <v>606</v>
      </c>
      <c r="C226" s="21">
        <v>5</v>
      </c>
      <c r="D226" s="21">
        <v>1</v>
      </c>
      <c r="E226" s="21" t="s">
        <v>102</v>
      </c>
      <c r="F226"/>
      <c r="G226"/>
      <c r="H226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</row>
    <row r="227" spans="1:36">
      <c r="A227" s="22">
        <v>14</v>
      </c>
      <c r="B227" s="21" t="s">
        <v>606</v>
      </c>
      <c r="C227" s="21">
        <v>6</v>
      </c>
      <c r="D227" s="21">
        <v>2</v>
      </c>
      <c r="E227" s="21" t="s">
        <v>192</v>
      </c>
      <c r="F227"/>
      <c r="G227"/>
      <c r="H22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</row>
    <row r="228" spans="1:36">
      <c r="A228" s="23">
        <v>15</v>
      </c>
      <c r="B228" s="24" t="s">
        <v>604</v>
      </c>
      <c r="C228" s="24">
        <v>1</v>
      </c>
      <c r="D228" s="24">
        <v>1</v>
      </c>
      <c r="E228" s="24" t="s">
        <v>104</v>
      </c>
      <c r="F228"/>
      <c r="G228"/>
      <c r="H228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</row>
    <row r="229" spans="1:36">
      <c r="A229" s="23">
        <v>15</v>
      </c>
      <c r="B229" s="24" t="s">
        <v>604</v>
      </c>
      <c r="C229" s="24">
        <v>2</v>
      </c>
      <c r="D229" s="24">
        <v>1</v>
      </c>
      <c r="E229" s="24" t="s">
        <v>87</v>
      </c>
      <c r="F229"/>
      <c r="G229"/>
      <c r="H229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</row>
    <row r="230" spans="1:36">
      <c r="A230" s="23">
        <v>15</v>
      </c>
      <c r="B230" s="24" t="s">
        <v>604</v>
      </c>
      <c r="C230" s="24">
        <v>3</v>
      </c>
      <c r="D230" s="24">
        <v>1</v>
      </c>
      <c r="E230" s="24" t="s">
        <v>120</v>
      </c>
      <c r="F230"/>
      <c r="G230"/>
      <c r="H230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</row>
    <row r="231" spans="1:36">
      <c r="A231" s="23">
        <v>15</v>
      </c>
      <c r="B231" s="24" t="s">
        <v>604</v>
      </c>
      <c r="C231" s="24">
        <v>4</v>
      </c>
      <c r="D231" s="24">
        <v>1</v>
      </c>
      <c r="E231" s="24" t="s">
        <v>228</v>
      </c>
      <c r="F231"/>
      <c r="G231"/>
      <c r="H231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</row>
    <row r="232" spans="1:36">
      <c r="A232" s="23">
        <v>15</v>
      </c>
      <c r="B232" s="24" t="s">
        <v>604</v>
      </c>
      <c r="C232" s="24">
        <v>5</v>
      </c>
      <c r="D232" s="24">
        <v>2</v>
      </c>
      <c r="E232" s="24" t="s">
        <v>213</v>
      </c>
      <c r="F232"/>
      <c r="G232"/>
      <c r="H232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</row>
    <row r="233" spans="1:36">
      <c r="A233" s="23">
        <v>15</v>
      </c>
      <c r="B233" s="24" t="s">
        <v>605</v>
      </c>
      <c r="C233" s="24">
        <v>1</v>
      </c>
      <c r="D233" s="24">
        <v>1</v>
      </c>
      <c r="E233" s="24" t="s">
        <v>96</v>
      </c>
      <c r="F233"/>
      <c r="G233"/>
      <c r="H233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</row>
    <row r="234" spans="1:36">
      <c r="A234" s="23">
        <v>15</v>
      </c>
      <c r="B234" s="24" t="s">
        <v>605</v>
      </c>
      <c r="C234" s="24">
        <v>2</v>
      </c>
      <c r="D234" s="24">
        <v>1</v>
      </c>
      <c r="E234" s="24" t="s">
        <v>229</v>
      </c>
      <c r="F234"/>
      <c r="G234"/>
      <c r="H23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</row>
    <row r="235" spans="1:36">
      <c r="A235" s="23">
        <v>15</v>
      </c>
      <c r="B235" s="24" t="s">
        <v>605</v>
      </c>
      <c r="C235" s="24">
        <v>3</v>
      </c>
      <c r="D235" s="24">
        <v>2</v>
      </c>
      <c r="E235" s="24" t="s">
        <v>282</v>
      </c>
      <c r="F235"/>
      <c r="G235"/>
      <c r="H235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 spans="1:36">
      <c r="A236" s="23">
        <v>15</v>
      </c>
      <c r="B236" s="24" t="s">
        <v>605</v>
      </c>
      <c r="C236" s="24">
        <v>4</v>
      </c>
      <c r="D236" s="24">
        <v>2</v>
      </c>
      <c r="E236" s="24" t="s">
        <v>185</v>
      </c>
      <c r="F236"/>
      <c r="G236"/>
      <c r="H236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</row>
    <row r="237" spans="1:36">
      <c r="A237" s="23">
        <v>15</v>
      </c>
      <c r="B237" s="24" t="s">
        <v>605</v>
      </c>
      <c r="C237" s="24">
        <v>5</v>
      </c>
      <c r="D237" s="24">
        <v>2</v>
      </c>
      <c r="E237" s="24" t="s">
        <v>195</v>
      </c>
      <c r="F237"/>
      <c r="G237"/>
      <c r="H237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</row>
    <row r="238" spans="1:36">
      <c r="A238" s="23">
        <v>15</v>
      </c>
      <c r="B238" s="24" t="s">
        <v>605</v>
      </c>
      <c r="C238" s="24">
        <v>6</v>
      </c>
      <c r="D238" s="24">
        <v>2</v>
      </c>
      <c r="E238" s="24" t="s">
        <v>193</v>
      </c>
      <c r="F238"/>
      <c r="G238"/>
      <c r="H238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</row>
    <row r="239" spans="1:36">
      <c r="A239" s="23">
        <v>15</v>
      </c>
      <c r="B239" s="24" t="s">
        <v>606</v>
      </c>
      <c r="C239" s="24">
        <v>1</v>
      </c>
      <c r="D239" s="24">
        <v>1</v>
      </c>
      <c r="E239" s="24" t="s">
        <v>23</v>
      </c>
      <c r="F239"/>
      <c r="G239"/>
      <c r="H239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</row>
    <row r="240" spans="1:36">
      <c r="A240" s="23">
        <v>15</v>
      </c>
      <c r="B240" s="24" t="s">
        <v>606</v>
      </c>
      <c r="C240" s="24">
        <v>2</v>
      </c>
      <c r="D240" s="24">
        <v>2</v>
      </c>
      <c r="E240" s="24" t="s">
        <v>189</v>
      </c>
      <c r="F240"/>
      <c r="G240"/>
      <c r="H240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</row>
    <row r="241" spans="1:36">
      <c r="A241" s="23">
        <v>15</v>
      </c>
      <c r="B241" s="24" t="s">
        <v>606</v>
      </c>
      <c r="C241" s="24">
        <v>3</v>
      </c>
      <c r="D241" s="24">
        <v>1</v>
      </c>
      <c r="E241" s="24" t="s">
        <v>97</v>
      </c>
      <c r="F241"/>
      <c r="G241"/>
      <c r="H241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</row>
    <row r="242" spans="1:36">
      <c r="A242" s="23">
        <v>15</v>
      </c>
      <c r="B242" s="24" t="s">
        <v>606</v>
      </c>
      <c r="C242" s="24">
        <v>4</v>
      </c>
      <c r="D242" s="24">
        <v>2</v>
      </c>
      <c r="E242" s="24" t="s">
        <v>142</v>
      </c>
      <c r="F242"/>
      <c r="G242"/>
      <c r="H242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spans="1:36">
      <c r="A243" s="23">
        <v>15</v>
      </c>
      <c r="B243" s="24" t="s">
        <v>606</v>
      </c>
      <c r="C243" s="24">
        <v>5</v>
      </c>
      <c r="D243" s="24">
        <v>2</v>
      </c>
      <c r="E243" s="24" t="s">
        <v>390</v>
      </c>
      <c r="F243"/>
      <c r="G243"/>
      <c r="H243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</row>
    <row r="244" spans="1:36">
      <c r="A244" s="22">
        <v>16</v>
      </c>
      <c r="B244" s="21" t="s">
        <v>604</v>
      </c>
      <c r="C244" s="21">
        <v>1</v>
      </c>
      <c r="D244" s="21">
        <v>2</v>
      </c>
      <c r="E244" s="21" t="s">
        <v>266</v>
      </c>
      <c r="F244"/>
      <c r="G244"/>
      <c r="H24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5" spans="1:36">
      <c r="A245" s="22">
        <v>16</v>
      </c>
      <c r="B245" s="21" t="s">
        <v>604</v>
      </c>
      <c r="C245" s="21">
        <v>2</v>
      </c>
      <c r="D245" s="21">
        <v>2</v>
      </c>
      <c r="E245" s="21" t="s">
        <v>472</v>
      </c>
      <c r="F245"/>
      <c r="G245"/>
      <c r="H245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 spans="1:36">
      <c r="A246" s="22">
        <v>16</v>
      </c>
      <c r="B246" s="21" t="s">
        <v>604</v>
      </c>
      <c r="C246" s="21">
        <v>3</v>
      </c>
      <c r="D246" s="21">
        <v>2</v>
      </c>
      <c r="E246" s="21" t="s">
        <v>186</v>
      </c>
      <c r="F246"/>
      <c r="G246"/>
      <c r="H246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</row>
    <row r="247" spans="1:36">
      <c r="A247" s="22">
        <v>16</v>
      </c>
      <c r="B247" s="21" t="s">
        <v>604</v>
      </c>
      <c r="C247" s="21">
        <v>4</v>
      </c>
      <c r="D247" s="21">
        <v>2</v>
      </c>
      <c r="E247" s="21" t="s">
        <v>138</v>
      </c>
      <c r="F247"/>
      <c r="G247"/>
      <c r="H247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</row>
    <row r="248" spans="1:36">
      <c r="A248" s="22">
        <v>16</v>
      </c>
      <c r="B248" s="21" t="s">
        <v>604</v>
      </c>
      <c r="C248" s="21">
        <v>5</v>
      </c>
      <c r="D248" s="21">
        <v>2</v>
      </c>
      <c r="E248" s="21" t="s">
        <v>190</v>
      </c>
      <c r="F248"/>
      <c r="G248"/>
      <c r="H248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 spans="1:36">
      <c r="A249" s="22">
        <v>16</v>
      </c>
      <c r="B249" s="21" t="s">
        <v>605</v>
      </c>
      <c r="C249" s="21">
        <v>1</v>
      </c>
      <c r="D249" s="21">
        <v>1</v>
      </c>
      <c r="E249" s="21" t="s">
        <v>442</v>
      </c>
      <c r="F249"/>
      <c r="G249"/>
      <c r="H249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</row>
    <row r="250" spans="1:36">
      <c r="A250" s="22">
        <v>16</v>
      </c>
      <c r="B250" s="21" t="s">
        <v>605</v>
      </c>
      <c r="C250" s="21">
        <v>2</v>
      </c>
      <c r="D250" s="21">
        <v>1</v>
      </c>
      <c r="E250" s="21" t="s">
        <v>77</v>
      </c>
      <c r="F250"/>
      <c r="G250"/>
      <c r="H250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</row>
    <row r="251" spans="1:36">
      <c r="A251" s="22">
        <v>16</v>
      </c>
      <c r="B251" s="21" t="s">
        <v>605</v>
      </c>
      <c r="C251" s="21">
        <v>3</v>
      </c>
      <c r="D251" s="21">
        <v>1</v>
      </c>
      <c r="E251" s="21" t="s">
        <v>122</v>
      </c>
      <c r="F251"/>
      <c r="G251"/>
      <c r="H251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spans="1:36">
      <c r="A252" s="22">
        <v>16</v>
      </c>
      <c r="B252" s="21" t="s">
        <v>605</v>
      </c>
      <c r="C252" s="21">
        <v>4</v>
      </c>
      <c r="D252" s="21">
        <v>1</v>
      </c>
      <c r="E252" s="21" t="s">
        <v>88</v>
      </c>
      <c r="F252"/>
      <c r="G252"/>
      <c r="H252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</row>
    <row r="253" spans="1:36">
      <c r="A253" s="22">
        <v>16</v>
      </c>
      <c r="B253" s="21" t="s">
        <v>605</v>
      </c>
      <c r="C253" s="21">
        <v>5</v>
      </c>
      <c r="D253" s="21">
        <v>1</v>
      </c>
      <c r="E253" s="21" t="s">
        <v>91</v>
      </c>
      <c r="F253"/>
      <c r="G253"/>
      <c r="H253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4" spans="1:36">
      <c r="A254" s="22">
        <v>16</v>
      </c>
      <c r="B254" s="21" t="s">
        <v>605</v>
      </c>
      <c r="C254" s="21">
        <v>6</v>
      </c>
      <c r="D254" s="21">
        <v>2</v>
      </c>
      <c r="E254" s="21" t="s">
        <v>187</v>
      </c>
      <c r="F254"/>
      <c r="G254"/>
      <c r="H25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spans="1:36">
      <c r="A255" s="22">
        <v>16</v>
      </c>
      <c r="B255" s="21" t="s">
        <v>606</v>
      </c>
      <c r="C255" s="21">
        <v>1</v>
      </c>
      <c r="D255" s="21">
        <v>1</v>
      </c>
      <c r="E255" s="21" t="s">
        <v>121</v>
      </c>
      <c r="F255"/>
      <c r="G255"/>
      <c r="H255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spans="1:36">
      <c r="A256" s="22">
        <v>16</v>
      </c>
      <c r="B256" s="21" t="s">
        <v>606</v>
      </c>
      <c r="C256" s="21">
        <v>2</v>
      </c>
      <c r="D256" s="21">
        <v>1</v>
      </c>
      <c r="E256" s="21" t="s">
        <v>26</v>
      </c>
      <c r="F256"/>
      <c r="G256"/>
      <c r="H256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</row>
    <row r="257" spans="1:36">
      <c r="A257" s="22">
        <v>16</v>
      </c>
      <c r="B257" s="21" t="s">
        <v>606</v>
      </c>
      <c r="C257" s="21">
        <v>3</v>
      </c>
      <c r="D257" s="21">
        <v>1</v>
      </c>
      <c r="E257" s="21" t="s">
        <v>230</v>
      </c>
      <c r="F257"/>
      <c r="G257"/>
      <c r="H257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 spans="1:36">
      <c r="A258" s="22">
        <v>16</v>
      </c>
      <c r="B258" s="21" t="s">
        <v>606</v>
      </c>
      <c r="C258" s="21">
        <v>4</v>
      </c>
      <c r="D258" s="21">
        <v>2</v>
      </c>
      <c r="E258" s="21" t="s">
        <v>473</v>
      </c>
      <c r="F258"/>
      <c r="G258"/>
      <c r="H258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</row>
    <row r="259" spans="1:36">
      <c r="A259" s="22">
        <v>16</v>
      </c>
      <c r="B259" s="21" t="s">
        <v>606</v>
      </c>
      <c r="C259" s="21">
        <v>5</v>
      </c>
      <c r="D259" s="21">
        <v>2</v>
      </c>
      <c r="E259" s="21" t="s">
        <v>182</v>
      </c>
      <c r="F259"/>
      <c r="G259"/>
      <c r="H259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</row>
    <row r="260" spans="1:36">
      <c r="A260" s="23">
        <v>17</v>
      </c>
      <c r="B260" s="24" t="s">
        <v>604</v>
      </c>
      <c r="C260" s="24">
        <v>1</v>
      </c>
      <c r="D260" s="24">
        <v>1</v>
      </c>
      <c r="E260" s="24" t="s">
        <v>123</v>
      </c>
      <c r="F260"/>
      <c r="G260"/>
      <c r="H260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</row>
    <row r="261" spans="1:36">
      <c r="A261" s="23">
        <v>17</v>
      </c>
      <c r="B261" s="24" t="s">
        <v>604</v>
      </c>
      <c r="C261" s="24">
        <v>2</v>
      </c>
      <c r="D261" s="24">
        <v>2</v>
      </c>
      <c r="E261" s="24" t="s">
        <v>475</v>
      </c>
      <c r="F261"/>
      <c r="G261"/>
      <c r="H261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</row>
    <row r="262" spans="1:36">
      <c r="A262" s="23">
        <v>17</v>
      </c>
      <c r="B262" s="24" t="s">
        <v>604</v>
      </c>
      <c r="C262" s="24">
        <v>3</v>
      </c>
      <c r="D262" s="24">
        <v>1</v>
      </c>
      <c r="E262" s="24" t="s">
        <v>443</v>
      </c>
      <c r="F262"/>
      <c r="G262"/>
      <c r="H262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 spans="1:36">
      <c r="A263" s="23">
        <v>17</v>
      </c>
      <c r="B263" s="24" t="s">
        <v>604</v>
      </c>
      <c r="C263" s="24">
        <v>4</v>
      </c>
      <c r="D263" s="24">
        <v>2</v>
      </c>
      <c r="E263" s="24" t="s">
        <v>183</v>
      </c>
      <c r="F263"/>
      <c r="G263"/>
      <c r="H263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</row>
    <row r="264" spans="1:36">
      <c r="A264" s="23">
        <v>17</v>
      </c>
      <c r="B264" s="24" t="s">
        <v>604</v>
      </c>
      <c r="C264" s="24">
        <v>5</v>
      </c>
      <c r="D264" s="24">
        <v>2</v>
      </c>
      <c r="E264" s="24" t="s">
        <v>215</v>
      </c>
      <c r="F264"/>
      <c r="G264"/>
      <c r="H26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</row>
    <row r="265" spans="1:36">
      <c r="A265" s="23">
        <v>17</v>
      </c>
      <c r="B265" s="24" t="s">
        <v>605</v>
      </c>
      <c r="C265" s="24">
        <v>1</v>
      </c>
      <c r="D265" s="24">
        <v>1</v>
      </c>
      <c r="E265" s="24" t="s">
        <v>444</v>
      </c>
      <c r="F265"/>
      <c r="G265"/>
      <c r="H265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</row>
    <row r="266" spans="1:36">
      <c r="A266" s="23">
        <v>17</v>
      </c>
      <c r="B266" s="24" t="s">
        <v>605</v>
      </c>
      <c r="C266" s="24">
        <v>2</v>
      </c>
      <c r="D266" s="24">
        <v>2</v>
      </c>
      <c r="E266" s="24" t="s">
        <v>132</v>
      </c>
      <c r="F266"/>
      <c r="G266"/>
      <c r="H266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</row>
    <row r="267" spans="1:36">
      <c r="A267" s="23">
        <v>17</v>
      </c>
      <c r="B267" s="24" t="s">
        <v>605</v>
      </c>
      <c r="C267" s="24">
        <v>3</v>
      </c>
      <c r="D267" s="24">
        <v>1</v>
      </c>
      <c r="E267" s="24" t="s">
        <v>29</v>
      </c>
      <c r="F267"/>
      <c r="G267"/>
      <c r="H267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 spans="1:36">
      <c r="A268" s="23">
        <v>17</v>
      </c>
      <c r="B268" s="24" t="s">
        <v>605</v>
      </c>
      <c r="C268" s="24">
        <v>4</v>
      </c>
      <c r="D268" s="24">
        <v>2</v>
      </c>
      <c r="E268" s="24" t="s">
        <v>179</v>
      </c>
      <c r="F268"/>
      <c r="G268"/>
      <c r="H268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</row>
    <row r="269" spans="1:36">
      <c r="A269" s="23">
        <v>17</v>
      </c>
      <c r="B269" s="24" t="s">
        <v>605</v>
      </c>
      <c r="C269" s="24">
        <v>5</v>
      </c>
      <c r="D269" s="24">
        <v>2</v>
      </c>
      <c r="E269" s="24" t="s">
        <v>474</v>
      </c>
      <c r="F269"/>
      <c r="G269"/>
      <c r="H269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</row>
    <row r="270" spans="1:36">
      <c r="A270" s="23">
        <v>17</v>
      </c>
      <c r="B270" s="24" t="s">
        <v>606</v>
      </c>
      <c r="C270" s="24">
        <v>1</v>
      </c>
      <c r="D270" s="24">
        <v>1</v>
      </c>
      <c r="E270" s="24" t="s">
        <v>84</v>
      </c>
      <c r="F270"/>
      <c r="G270"/>
      <c r="H270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</row>
    <row r="271" spans="1:36">
      <c r="A271" s="23">
        <v>17</v>
      </c>
      <c r="B271" s="24" t="s">
        <v>606</v>
      </c>
      <c r="C271" s="24">
        <v>2</v>
      </c>
      <c r="D271" s="24">
        <v>1</v>
      </c>
      <c r="E271" s="24" t="s">
        <v>70</v>
      </c>
      <c r="F271"/>
      <c r="G271"/>
      <c r="H271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</row>
    <row r="272" spans="1:36">
      <c r="A272" s="23">
        <v>17</v>
      </c>
      <c r="B272" s="24" t="s">
        <v>606</v>
      </c>
      <c r="C272" s="24">
        <v>3</v>
      </c>
      <c r="D272" s="24">
        <v>1</v>
      </c>
      <c r="E272" s="24" t="s">
        <v>445</v>
      </c>
      <c r="F272"/>
      <c r="G272"/>
      <c r="H272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</row>
    <row r="273" spans="1:36">
      <c r="A273" s="23">
        <v>17</v>
      </c>
      <c r="B273" s="24" t="s">
        <v>606</v>
      </c>
      <c r="C273" s="24">
        <v>4</v>
      </c>
      <c r="D273" s="24">
        <v>2</v>
      </c>
      <c r="E273" s="24" t="s">
        <v>184</v>
      </c>
      <c r="F273"/>
      <c r="G273"/>
      <c r="H273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</row>
    <row r="274" spans="1:36">
      <c r="A274" s="23">
        <v>17</v>
      </c>
      <c r="B274" s="24" t="s">
        <v>606</v>
      </c>
      <c r="C274" s="24">
        <v>5</v>
      </c>
      <c r="D274" s="24">
        <v>1</v>
      </c>
      <c r="E274" s="24" t="s">
        <v>78</v>
      </c>
      <c r="F274"/>
      <c r="G274"/>
      <c r="H27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</row>
    <row r="275" spans="1:36">
      <c r="A275" s="23">
        <v>17</v>
      </c>
      <c r="B275" s="24" t="s">
        <v>606</v>
      </c>
      <c r="C275" s="24">
        <v>6</v>
      </c>
      <c r="D275" s="24">
        <v>2</v>
      </c>
      <c r="E275" s="24" t="s">
        <v>214</v>
      </c>
      <c r="F275"/>
      <c r="G275"/>
      <c r="H275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</row>
    <row r="276" spans="1:36">
      <c r="A276" s="22">
        <v>18</v>
      </c>
      <c r="B276" s="21" t="str">
        <f>MOD(HOUR(المدخلات!$B$5+0*المدخلات!$B$8/1440)-1,12)+1&amp;":"&amp;TEXT(MINUTE(المدخلات!$B$5+0*المدخلات!$B$8/1440),"00")&amp;"–"&amp;MOD(HOUR(المدخلات!$B$5+0*المدخلات!$B$8/1440+المدخلات!$B$6/1440)-1,12)+1&amp;":"&amp;TEXT(MINUTE(المدخلات!$B$5+0*المدخلات!$B$8/1440+المدخلات!$B$6/1440),"00")&amp;IF(HOUR(المدخلات!$B$5+0*المدخلات!$B$8/1440)&lt;12," ص"," م")</f>
        <v>4:00–5:25 م</v>
      </c>
      <c r="C276" s="21">
        <v>1</v>
      </c>
      <c r="D276" s="21" t="s">
        <v>479</v>
      </c>
      <c r="E276" s="21" t="s">
        <v>89</v>
      </c>
      <c r="F276"/>
      <c r="G276"/>
      <c r="H276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</row>
    <row r="277" spans="1:36">
      <c r="A277"/>
      <c r="B277"/>
      <c r="C277"/>
      <c r="D277"/>
      <c r="E277"/>
      <c r="F277"/>
      <c r="G277"/>
      <c r="H277"/>
    </row>
    <row r="278" spans="1:36">
      <c r="A278"/>
      <c r="B278"/>
      <c r="C278"/>
      <c r="D278"/>
      <c r="E278"/>
      <c r="F278"/>
      <c r="G278"/>
      <c r="H278"/>
    </row>
    <row r="279" spans="1:36" ht="15.5">
      <c r="A279"/>
      <c r="B279" s="41" t="s">
        <v>936</v>
      </c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</row>
    <row r="280" spans="1:36">
      <c r="A280"/>
      <c r="B280" s="42" t="s">
        <v>608</v>
      </c>
      <c r="C280" s="43" t="s">
        <v>937</v>
      </c>
      <c r="D280" s="43"/>
      <c r="E280" s="43"/>
      <c r="F280" s="43" t="s">
        <v>610</v>
      </c>
      <c r="G280" s="43"/>
      <c r="H280" s="46"/>
      <c r="I280" s="42" t="s">
        <v>608</v>
      </c>
      <c r="J280" s="43" t="s">
        <v>954</v>
      </c>
      <c r="K280" s="43"/>
      <c r="L280" s="43"/>
      <c r="M280" s="43" t="s">
        <v>610</v>
      </c>
      <c r="N280" s="43"/>
    </row>
    <row r="281" spans="1:36">
      <c r="A281"/>
      <c r="B281" s="44">
        <v>1</v>
      </c>
      <c r="C281" s="45" t="s">
        <v>938</v>
      </c>
      <c r="D281" s="45"/>
      <c r="E281" s="45"/>
      <c r="F281" s="45" t="s">
        <v>611</v>
      </c>
      <c r="G281" s="45"/>
      <c r="H281" s="46"/>
      <c r="I281" s="44">
        <v>18</v>
      </c>
      <c r="J281" s="45" t="s">
        <v>955</v>
      </c>
      <c r="K281" s="45"/>
      <c r="L281" s="45"/>
      <c r="M281" s="45" t="s">
        <v>611</v>
      </c>
      <c r="N281" s="45"/>
    </row>
    <row r="282" spans="1:36">
      <c r="A282"/>
      <c r="B282" s="44">
        <v>2</v>
      </c>
      <c r="C282" s="45" t="s">
        <v>531</v>
      </c>
      <c r="D282" s="45"/>
      <c r="E282" s="45"/>
      <c r="F282" s="45" t="s">
        <v>611</v>
      </c>
      <c r="G282" s="45"/>
      <c r="H282" s="46"/>
      <c r="I282" s="44">
        <v>19</v>
      </c>
      <c r="J282" s="45" t="s">
        <v>956</v>
      </c>
      <c r="K282" s="45"/>
      <c r="L282" s="45"/>
      <c r="M282" s="45" t="s">
        <v>611</v>
      </c>
      <c r="N282" s="45"/>
    </row>
    <row r="283" spans="1:36">
      <c r="A283"/>
      <c r="B283" s="44">
        <v>3</v>
      </c>
      <c r="C283" s="45" t="s">
        <v>939</v>
      </c>
      <c r="D283" s="45"/>
      <c r="E283" s="45"/>
      <c r="F283" s="45" t="s">
        <v>613</v>
      </c>
      <c r="G283" s="45"/>
      <c r="H283" s="46"/>
      <c r="I283" s="44">
        <v>20</v>
      </c>
      <c r="J283" s="45" t="s">
        <v>957</v>
      </c>
      <c r="K283" s="45"/>
      <c r="L283" s="45"/>
      <c r="M283" s="45" t="s">
        <v>613</v>
      </c>
      <c r="N283" s="45"/>
    </row>
    <row r="284" spans="1:36">
      <c r="A284"/>
      <c r="B284" s="44">
        <v>4</v>
      </c>
      <c r="C284" s="45" t="s">
        <v>940</v>
      </c>
      <c r="D284" s="45"/>
      <c r="E284" s="45"/>
      <c r="F284" s="45" t="s">
        <v>613</v>
      </c>
      <c r="G284" s="45"/>
      <c r="H284" s="46"/>
      <c r="I284" s="44">
        <v>21</v>
      </c>
      <c r="J284" s="45" t="s">
        <v>958</v>
      </c>
      <c r="K284" s="45"/>
      <c r="L284" s="45"/>
      <c r="M284" s="45" t="s">
        <v>613</v>
      </c>
      <c r="N284" s="45"/>
    </row>
    <row r="285" spans="1:36">
      <c r="A285"/>
      <c r="B285" s="44">
        <v>5</v>
      </c>
      <c r="C285" s="45" t="s">
        <v>941</v>
      </c>
      <c r="D285" s="45"/>
      <c r="E285" s="45"/>
      <c r="F285" s="45" t="s">
        <v>613</v>
      </c>
      <c r="G285" s="45"/>
      <c r="H285" s="46"/>
      <c r="I285" s="44">
        <v>22</v>
      </c>
      <c r="J285" s="45" t="s">
        <v>959</v>
      </c>
      <c r="K285" s="45"/>
      <c r="L285" s="45"/>
      <c r="M285" s="45" t="s">
        <v>613</v>
      </c>
      <c r="N285" s="45"/>
    </row>
    <row r="286" spans="1:36">
      <c r="A286"/>
      <c r="B286" s="44">
        <v>6</v>
      </c>
      <c r="C286" s="45" t="s">
        <v>942</v>
      </c>
      <c r="D286" s="45"/>
      <c r="E286" s="45"/>
      <c r="F286" s="45" t="s">
        <v>613</v>
      </c>
      <c r="G286" s="45"/>
      <c r="H286" s="46"/>
      <c r="I286" s="44">
        <v>23</v>
      </c>
      <c r="J286" s="45" t="s">
        <v>960</v>
      </c>
      <c r="K286" s="45"/>
      <c r="L286" s="45"/>
      <c r="M286" s="45" t="s">
        <v>613</v>
      </c>
      <c r="N286" s="45"/>
    </row>
    <row r="287" spans="1:36">
      <c r="A287"/>
      <c r="B287" s="44">
        <v>7</v>
      </c>
      <c r="C287" s="45" t="s">
        <v>943</v>
      </c>
      <c r="D287" s="45"/>
      <c r="E287" s="45"/>
      <c r="F287" s="45" t="s">
        <v>613</v>
      </c>
      <c r="G287" s="45"/>
      <c r="H287" s="46"/>
      <c r="I287" s="44">
        <v>24</v>
      </c>
      <c r="J287" s="45" t="s">
        <v>961</v>
      </c>
      <c r="K287" s="45"/>
      <c r="L287" s="45"/>
      <c r="M287" s="45" t="s">
        <v>613</v>
      </c>
      <c r="N287" s="45"/>
    </row>
    <row r="288" spans="1:36">
      <c r="A288"/>
      <c r="B288" s="44">
        <v>8</v>
      </c>
      <c r="C288" s="45" t="s">
        <v>944</v>
      </c>
      <c r="D288" s="45"/>
      <c r="E288" s="45"/>
      <c r="F288" s="45" t="s">
        <v>613</v>
      </c>
      <c r="G288" s="45"/>
      <c r="H288" s="46"/>
      <c r="I288" s="44">
        <v>25</v>
      </c>
      <c r="J288" s="45" t="s">
        <v>962</v>
      </c>
      <c r="K288" s="45"/>
      <c r="L288" s="45"/>
      <c r="M288" s="45" t="s">
        <v>613</v>
      </c>
      <c r="N288" s="45"/>
    </row>
    <row r="289" spans="1:14">
      <c r="A289"/>
      <c r="B289" s="44">
        <v>9</v>
      </c>
      <c r="C289" s="45" t="s">
        <v>945</v>
      </c>
      <c r="D289" s="45"/>
      <c r="E289" s="45"/>
      <c r="F289" s="45" t="s">
        <v>615</v>
      </c>
      <c r="G289" s="45"/>
      <c r="H289" s="46"/>
      <c r="I289" s="44">
        <v>26</v>
      </c>
      <c r="J289" s="45" t="s">
        <v>963</v>
      </c>
      <c r="K289" s="45"/>
      <c r="L289" s="45"/>
      <c r="M289" s="45" t="s">
        <v>615</v>
      </c>
      <c r="N289" s="45"/>
    </row>
    <row r="290" spans="1:14">
      <c r="A290"/>
      <c r="B290" s="44">
        <v>10</v>
      </c>
      <c r="C290" s="45" t="s">
        <v>946</v>
      </c>
      <c r="D290" s="45"/>
      <c r="E290" s="45"/>
      <c r="F290" s="45" t="s">
        <v>615</v>
      </c>
      <c r="G290" s="45"/>
      <c r="H290" s="46"/>
      <c r="I290" s="44">
        <v>27</v>
      </c>
      <c r="J290" s="45" t="s">
        <v>964</v>
      </c>
      <c r="K290" s="45"/>
      <c r="L290" s="45"/>
      <c r="M290" s="45" t="s">
        <v>615</v>
      </c>
      <c r="N290" s="45"/>
    </row>
    <row r="291" spans="1:14">
      <c r="A291"/>
      <c r="B291" s="44">
        <v>11</v>
      </c>
      <c r="C291" s="45" t="s">
        <v>947</v>
      </c>
      <c r="D291" s="45"/>
      <c r="E291" s="45"/>
      <c r="F291" s="45" t="s">
        <v>615</v>
      </c>
      <c r="G291" s="45"/>
      <c r="H291" s="46"/>
      <c r="I291" s="44">
        <v>28</v>
      </c>
      <c r="J291" s="45" t="s">
        <v>965</v>
      </c>
      <c r="K291" s="45"/>
      <c r="L291" s="45"/>
      <c r="M291" s="45" t="s">
        <v>615</v>
      </c>
      <c r="N291" s="45"/>
    </row>
    <row r="292" spans="1:14">
      <c r="A292"/>
      <c r="B292" s="44">
        <v>12</v>
      </c>
      <c r="C292" s="45" t="s">
        <v>948</v>
      </c>
      <c r="D292" s="45"/>
      <c r="E292" s="45"/>
      <c r="F292" s="45" t="s">
        <v>615</v>
      </c>
      <c r="G292" s="45"/>
      <c r="H292" s="46"/>
      <c r="I292" s="44">
        <v>29</v>
      </c>
      <c r="J292" s="45" t="s">
        <v>966</v>
      </c>
      <c r="K292" s="45"/>
      <c r="L292" s="45"/>
      <c r="M292" s="45" t="s">
        <v>615</v>
      </c>
      <c r="N292" s="45"/>
    </row>
    <row r="293" spans="1:14">
      <c r="A293"/>
      <c r="B293" s="44">
        <v>13</v>
      </c>
      <c r="C293" s="45" t="s">
        <v>949</v>
      </c>
      <c r="D293" s="45"/>
      <c r="E293" s="45"/>
      <c r="F293" s="45" t="s">
        <v>615</v>
      </c>
      <c r="G293" s="45"/>
      <c r="H293" s="46"/>
      <c r="I293" s="44">
        <v>30</v>
      </c>
      <c r="J293" s="45" t="s">
        <v>967</v>
      </c>
      <c r="K293" s="45"/>
      <c r="L293" s="45"/>
      <c r="M293" s="45" t="s">
        <v>615</v>
      </c>
      <c r="N293" s="45"/>
    </row>
    <row r="294" spans="1:14">
      <c r="A294"/>
      <c r="B294" s="44">
        <v>14</v>
      </c>
      <c r="C294" s="45" t="s">
        <v>950</v>
      </c>
      <c r="D294" s="45"/>
      <c r="E294" s="45"/>
      <c r="F294" s="45" t="s">
        <v>615</v>
      </c>
      <c r="G294" s="45"/>
      <c r="H294" s="46"/>
      <c r="I294" s="44">
        <v>31</v>
      </c>
      <c r="J294" s="45" t="s">
        <v>968</v>
      </c>
      <c r="K294" s="45"/>
      <c r="L294" s="45"/>
      <c r="M294" s="45" t="s">
        <v>615</v>
      </c>
      <c r="N294" s="45"/>
    </row>
    <row r="295" spans="1:14">
      <c r="A295"/>
      <c r="B295" s="44">
        <v>15</v>
      </c>
      <c r="C295" s="45" t="s">
        <v>951</v>
      </c>
      <c r="D295" s="45"/>
      <c r="E295" s="45"/>
      <c r="F295" s="45" t="s">
        <v>615</v>
      </c>
      <c r="G295" s="45"/>
      <c r="H295" s="46"/>
      <c r="I295" s="44">
        <v>32</v>
      </c>
      <c r="J295" s="45" t="s">
        <v>969</v>
      </c>
      <c r="K295" s="45"/>
      <c r="L295" s="45"/>
      <c r="M295" s="45" t="s">
        <v>615</v>
      </c>
      <c r="N295" s="45"/>
    </row>
    <row r="296" spans="1:14">
      <c r="A296"/>
      <c r="B296" s="44">
        <v>16</v>
      </c>
      <c r="C296" s="45" t="s">
        <v>952</v>
      </c>
      <c r="D296" s="45"/>
      <c r="E296" s="45"/>
      <c r="F296" s="45" t="s">
        <v>615</v>
      </c>
      <c r="G296" s="45"/>
      <c r="H296" s="46"/>
      <c r="I296" s="44">
        <v>33</v>
      </c>
      <c r="J296" s="45" t="s">
        <v>970</v>
      </c>
      <c r="K296" s="45"/>
      <c r="L296" s="45"/>
      <c r="M296" s="45" t="s">
        <v>615</v>
      </c>
      <c r="N296" s="45"/>
    </row>
    <row r="297" spans="1:14">
      <c r="A297"/>
      <c r="B297" s="44">
        <v>17</v>
      </c>
      <c r="C297" s="45" t="s">
        <v>953</v>
      </c>
      <c r="D297" s="45"/>
      <c r="E297" s="45"/>
      <c r="F297" s="45" t="s">
        <v>615</v>
      </c>
      <c r="G297" s="45"/>
      <c r="H297" s="46"/>
      <c r="I297" s="44">
        <v>34</v>
      </c>
      <c r="J297" s="45" t="s">
        <v>971</v>
      </c>
      <c r="K297" s="45"/>
      <c r="L297" s="45"/>
      <c r="M297" s="45" t="s">
        <v>615</v>
      </c>
      <c r="N297" s="45"/>
    </row>
    <row r="298" spans="1:14">
      <c r="A298"/>
      <c r="B298"/>
      <c r="C298"/>
      <c r="D298"/>
      <c r="E298"/>
      <c r="F298"/>
      <c r="G298"/>
      <c r="H298"/>
    </row>
    <row r="299" spans="1:14">
      <c r="A299"/>
      <c r="B299"/>
      <c r="C299"/>
      <c r="D299"/>
      <c r="E299"/>
      <c r="F299"/>
      <c r="G299"/>
      <c r="H299"/>
    </row>
    <row r="300" spans="1:14" ht="15.5">
      <c r="A300"/>
      <c r="B300" s="41" t="s">
        <v>972</v>
      </c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</row>
    <row r="301" spans="1:14">
      <c r="A301"/>
      <c r="B301" s="42" t="s">
        <v>608</v>
      </c>
      <c r="C301" s="43" t="s">
        <v>937</v>
      </c>
      <c r="D301" s="43"/>
      <c r="E301" s="43"/>
      <c r="F301" s="43" t="s">
        <v>610</v>
      </c>
      <c r="G301" s="43"/>
      <c r="H301" s="46"/>
      <c r="I301" s="42" t="s">
        <v>608</v>
      </c>
      <c r="J301" s="43" t="s">
        <v>954</v>
      </c>
      <c r="K301" s="43"/>
      <c r="L301" s="43"/>
      <c r="M301" s="43" t="s">
        <v>610</v>
      </c>
      <c r="N301" s="43"/>
    </row>
    <row r="302" spans="1:14">
      <c r="A302"/>
      <c r="B302" s="44">
        <v>1</v>
      </c>
      <c r="C302" s="45" t="s">
        <v>973</v>
      </c>
      <c r="D302" s="45"/>
      <c r="E302" s="45"/>
      <c r="F302" s="45" t="s">
        <v>611</v>
      </c>
      <c r="G302" s="45"/>
      <c r="H302" s="46"/>
      <c r="I302" s="44">
        <v>18</v>
      </c>
      <c r="J302" s="45" t="s">
        <v>990</v>
      </c>
      <c r="K302" s="45"/>
      <c r="L302" s="45"/>
      <c r="M302" s="45" t="s">
        <v>611</v>
      </c>
      <c r="N302" s="45"/>
    </row>
    <row r="303" spans="1:14">
      <c r="A303"/>
      <c r="B303" s="44">
        <v>2</v>
      </c>
      <c r="C303" s="45" t="s">
        <v>974</v>
      </c>
      <c r="D303" s="45"/>
      <c r="E303" s="45"/>
      <c r="F303" s="45" t="s">
        <v>611</v>
      </c>
      <c r="G303" s="45"/>
      <c r="H303" s="46"/>
      <c r="I303" s="44">
        <v>19</v>
      </c>
      <c r="J303" s="45" t="s">
        <v>991</v>
      </c>
      <c r="K303" s="45"/>
      <c r="L303" s="45"/>
      <c r="M303" s="45" t="s">
        <v>611</v>
      </c>
      <c r="N303" s="45"/>
    </row>
    <row r="304" spans="1:14">
      <c r="A304"/>
      <c r="B304" s="44">
        <v>3</v>
      </c>
      <c r="C304" s="45" t="s">
        <v>975</v>
      </c>
      <c r="D304" s="45"/>
      <c r="E304" s="45"/>
      <c r="F304" s="45" t="s">
        <v>611</v>
      </c>
      <c r="G304" s="45"/>
      <c r="H304" s="46"/>
      <c r="I304" s="44">
        <v>20</v>
      </c>
      <c r="J304" s="45" t="s">
        <v>992</v>
      </c>
      <c r="K304" s="45"/>
      <c r="L304" s="45"/>
      <c r="M304" s="45" t="s">
        <v>611</v>
      </c>
      <c r="N304" s="45"/>
    </row>
    <row r="305" spans="1:14">
      <c r="A305"/>
      <c r="B305" s="44">
        <v>4</v>
      </c>
      <c r="C305" s="45" t="s">
        <v>976</v>
      </c>
      <c r="D305" s="45"/>
      <c r="E305" s="45"/>
      <c r="F305" s="45" t="s">
        <v>613</v>
      </c>
      <c r="G305" s="45"/>
      <c r="H305" s="46"/>
      <c r="I305" s="44">
        <v>21</v>
      </c>
      <c r="J305" s="45" t="s">
        <v>993</v>
      </c>
      <c r="K305" s="45"/>
      <c r="L305" s="45"/>
      <c r="M305" s="45" t="s">
        <v>613</v>
      </c>
      <c r="N305" s="45"/>
    </row>
    <row r="306" spans="1:14">
      <c r="A306"/>
      <c r="B306" s="44">
        <v>5</v>
      </c>
      <c r="C306" s="45" t="s">
        <v>977</v>
      </c>
      <c r="D306" s="45"/>
      <c r="E306" s="45"/>
      <c r="F306" s="45" t="s">
        <v>613</v>
      </c>
      <c r="G306" s="45"/>
      <c r="H306" s="46"/>
      <c r="I306" s="44">
        <v>22</v>
      </c>
      <c r="J306" s="45" t="s">
        <v>994</v>
      </c>
      <c r="K306" s="45"/>
      <c r="L306" s="45"/>
      <c r="M306" s="45" t="s">
        <v>613</v>
      </c>
      <c r="N306" s="45"/>
    </row>
    <row r="307" spans="1:14">
      <c r="A307"/>
      <c r="B307" s="44">
        <v>6</v>
      </c>
      <c r="C307" s="45" t="s">
        <v>978</v>
      </c>
      <c r="D307" s="45"/>
      <c r="E307" s="45"/>
      <c r="F307" s="45" t="s">
        <v>615</v>
      </c>
      <c r="G307" s="45"/>
      <c r="H307" s="46"/>
      <c r="I307" s="44">
        <v>23</v>
      </c>
      <c r="J307" s="45" t="s">
        <v>995</v>
      </c>
      <c r="K307" s="45"/>
      <c r="L307" s="45"/>
      <c r="M307" s="45" t="s">
        <v>615</v>
      </c>
      <c r="N307" s="45"/>
    </row>
    <row r="308" spans="1:14">
      <c r="A308"/>
      <c r="B308" s="44">
        <v>7</v>
      </c>
      <c r="C308" s="45" t="s">
        <v>979</v>
      </c>
      <c r="D308" s="45"/>
      <c r="E308" s="45"/>
      <c r="F308" s="45" t="s">
        <v>615</v>
      </c>
      <c r="G308" s="45"/>
      <c r="H308" s="46"/>
      <c r="I308" s="44">
        <v>24</v>
      </c>
      <c r="J308" s="45" t="s">
        <v>996</v>
      </c>
      <c r="K308" s="45"/>
      <c r="L308" s="45"/>
      <c r="M308" s="45" t="s">
        <v>615</v>
      </c>
      <c r="N308" s="45"/>
    </row>
    <row r="309" spans="1:14">
      <c r="A309"/>
      <c r="B309" s="44">
        <v>8</v>
      </c>
      <c r="C309" s="45" t="s">
        <v>980</v>
      </c>
      <c r="D309" s="45"/>
      <c r="E309" s="45"/>
      <c r="F309" s="45" t="s">
        <v>615</v>
      </c>
      <c r="G309" s="45"/>
      <c r="H309" s="46"/>
      <c r="I309" s="44">
        <v>25</v>
      </c>
      <c r="J309" s="45" t="s">
        <v>997</v>
      </c>
      <c r="K309" s="45"/>
      <c r="L309" s="45"/>
      <c r="M309" s="45" t="s">
        <v>615</v>
      </c>
      <c r="N309" s="45"/>
    </row>
    <row r="310" spans="1:14">
      <c r="A310"/>
      <c r="B310" s="44">
        <v>9</v>
      </c>
      <c r="C310" s="45" t="s">
        <v>981</v>
      </c>
      <c r="D310" s="45"/>
      <c r="E310" s="45"/>
      <c r="F310" s="45" t="s">
        <v>615</v>
      </c>
      <c r="G310" s="45"/>
      <c r="H310" s="46"/>
      <c r="I310" s="44">
        <v>26</v>
      </c>
      <c r="J310" s="45" t="s">
        <v>998</v>
      </c>
      <c r="K310" s="45"/>
      <c r="L310" s="45"/>
      <c r="M310" s="45" t="s">
        <v>615</v>
      </c>
      <c r="N310" s="45"/>
    </row>
    <row r="311" spans="1:14">
      <c r="A311"/>
      <c r="B311" s="44">
        <v>10</v>
      </c>
      <c r="C311" s="45" t="s">
        <v>982</v>
      </c>
      <c r="D311" s="45"/>
      <c r="E311" s="45"/>
      <c r="F311" s="45" t="s">
        <v>615</v>
      </c>
      <c r="G311" s="45"/>
      <c r="H311" s="46"/>
      <c r="I311" s="44">
        <v>27</v>
      </c>
      <c r="J311" s="45" t="s">
        <v>999</v>
      </c>
      <c r="K311" s="45"/>
      <c r="L311" s="45"/>
      <c r="M311" s="45" t="s">
        <v>615</v>
      </c>
      <c r="N311" s="45"/>
    </row>
    <row r="312" spans="1:14">
      <c r="A312"/>
      <c r="B312" s="44">
        <v>11</v>
      </c>
      <c r="C312" s="45" t="s">
        <v>983</v>
      </c>
      <c r="D312" s="45"/>
      <c r="E312" s="45"/>
      <c r="F312" s="45" t="s">
        <v>615</v>
      </c>
      <c r="G312" s="45"/>
      <c r="H312" s="46"/>
      <c r="I312" s="44">
        <v>28</v>
      </c>
      <c r="J312" s="45" t="s">
        <v>1000</v>
      </c>
      <c r="K312" s="45"/>
      <c r="L312" s="45"/>
      <c r="M312" s="45" t="s">
        <v>615</v>
      </c>
      <c r="N312" s="45"/>
    </row>
    <row r="313" spans="1:14">
      <c r="A313"/>
      <c r="B313" s="44">
        <v>12</v>
      </c>
      <c r="C313" s="45" t="s">
        <v>984</v>
      </c>
      <c r="D313" s="45"/>
      <c r="E313" s="45"/>
      <c r="F313" s="45" t="s">
        <v>615</v>
      </c>
      <c r="G313" s="45"/>
      <c r="H313" s="46"/>
      <c r="I313" s="44">
        <v>29</v>
      </c>
      <c r="J313" s="45" t="s">
        <v>1001</v>
      </c>
      <c r="K313" s="45"/>
      <c r="L313" s="45"/>
      <c r="M313" s="45" t="s">
        <v>615</v>
      </c>
      <c r="N313" s="45"/>
    </row>
    <row r="314" spans="1:14">
      <c r="A314"/>
      <c r="B314" s="44">
        <v>13</v>
      </c>
      <c r="C314" s="45" t="s">
        <v>985</v>
      </c>
      <c r="D314" s="45"/>
      <c r="E314" s="45"/>
      <c r="F314" s="45" t="s">
        <v>615</v>
      </c>
      <c r="G314" s="45"/>
      <c r="H314" s="46"/>
      <c r="I314" s="44">
        <v>30</v>
      </c>
      <c r="J314" s="45" t="s">
        <v>1002</v>
      </c>
      <c r="K314" s="45"/>
      <c r="L314" s="45"/>
      <c r="M314" s="45" t="s">
        <v>615</v>
      </c>
      <c r="N314" s="45"/>
    </row>
    <row r="315" spans="1:14">
      <c r="A315"/>
      <c r="B315" s="44">
        <v>14</v>
      </c>
      <c r="C315" s="45" t="s">
        <v>986</v>
      </c>
      <c r="D315" s="45"/>
      <c r="E315" s="45"/>
      <c r="F315" s="45" t="s">
        <v>615</v>
      </c>
      <c r="G315" s="45"/>
      <c r="H315" s="46"/>
      <c r="I315" s="44">
        <v>31</v>
      </c>
      <c r="J315" s="45" t="s">
        <v>1003</v>
      </c>
      <c r="K315" s="45"/>
      <c r="L315" s="45"/>
      <c r="M315" s="45" t="s">
        <v>615</v>
      </c>
      <c r="N315" s="45"/>
    </row>
    <row r="316" spans="1:14">
      <c r="A316"/>
      <c r="B316" s="44">
        <v>15</v>
      </c>
      <c r="C316" s="45" t="s">
        <v>987</v>
      </c>
      <c r="D316" s="45"/>
      <c r="E316" s="45"/>
      <c r="F316" s="45" t="s">
        <v>615</v>
      </c>
      <c r="G316" s="45"/>
      <c r="H316" s="46"/>
      <c r="I316" s="44">
        <v>32</v>
      </c>
      <c r="J316" s="45" t="s">
        <v>1004</v>
      </c>
      <c r="K316" s="45"/>
      <c r="L316" s="45"/>
      <c r="M316" s="45" t="s">
        <v>615</v>
      </c>
      <c r="N316" s="45"/>
    </row>
    <row r="317" spans="1:14">
      <c r="A317"/>
      <c r="B317" s="44">
        <v>16</v>
      </c>
      <c r="C317" s="45" t="s">
        <v>988</v>
      </c>
      <c r="D317" s="45"/>
      <c r="E317" s="45"/>
      <c r="F317" s="45" t="s">
        <v>615</v>
      </c>
      <c r="G317" s="45"/>
      <c r="H317" s="46"/>
      <c r="I317" s="44">
        <v>33</v>
      </c>
      <c r="J317" s="45" t="s">
        <v>1005</v>
      </c>
      <c r="K317" s="45"/>
      <c r="L317" s="45"/>
      <c r="M317" s="45" t="s">
        <v>615</v>
      </c>
      <c r="N317" s="45"/>
    </row>
    <row r="318" spans="1:14">
      <c r="A318"/>
      <c r="B318" s="44">
        <v>17</v>
      </c>
      <c r="C318" s="45" t="s">
        <v>989</v>
      </c>
      <c r="D318" s="45"/>
      <c r="E318" s="45"/>
      <c r="F318" s="45" t="s">
        <v>615</v>
      </c>
      <c r="G318" s="45"/>
      <c r="H318" s="46"/>
      <c r="I318" s="44">
        <v>34</v>
      </c>
      <c r="J318" s="45" t="s">
        <v>1006</v>
      </c>
      <c r="K318" s="45"/>
      <c r="L318" s="45"/>
      <c r="M318" s="45" t="s">
        <v>615</v>
      </c>
      <c r="N318" s="45"/>
    </row>
    <row r="319" spans="1:14">
      <c r="A319"/>
      <c r="B319"/>
      <c r="C319"/>
      <c r="D319"/>
      <c r="E319"/>
      <c r="F319"/>
      <c r="G319"/>
      <c r="H319"/>
    </row>
    <row r="320" spans="1:14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  <row r="470" s="9" customFormat="1"/>
    <row r="471" s="9" customFormat="1"/>
    <row r="472" s="9" customFormat="1"/>
    <row r="473" s="9" customFormat="1"/>
    <row r="474" s="9" customFormat="1"/>
    <row r="475" s="9" customFormat="1"/>
    <row r="476" s="9" customFormat="1"/>
    <row r="477" s="9" customFormat="1"/>
    <row r="478" s="9" customFormat="1"/>
    <row r="479" s="9" customFormat="1"/>
    <row r="480" s="9" customFormat="1"/>
    <row r="481" s="9" customFormat="1"/>
    <row r="482" s="9" customFormat="1"/>
    <row r="483" s="9" customFormat="1"/>
    <row r="484" s="9" customFormat="1"/>
    <row r="485" s="9" customFormat="1"/>
    <row r="486" s="9" customFormat="1"/>
    <row r="487" s="9" customFormat="1"/>
    <row r="488" s="9" customFormat="1"/>
    <row r="489" s="9" customFormat="1"/>
    <row r="490" s="9" customFormat="1"/>
    <row r="491" s="9" customFormat="1"/>
    <row r="492" s="9" customFormat="1"/>
    <row r="493" s="9" customFormat="1"/>
    <row r="494" s="9" customFormat="1"/>
    <row r="495" s="9" customFormat="1"/>
    <row r="496" s="9" customFormat="1"/>
    <row r="497" s="9" customFormat="1"/>
    <row r="498" s="9" customFormat="1"/>
    <row r="499" s="9" customFormat="1"/>
    <row r="500" s="9" customFormat="1"/>
    <row r="501" s="9" customFormat="1"/>
    <row r="502" s="9" customFormat="1"/>
    <row r="503" s="9" customFormat="1"/>
    <row r="504" s="9" customFormat="1"/>
    <row r="505" s="9" customFormat="1"/>
    <row r="506" s="9" customFormat="1"/>
    <row r="507" s="9" customFormat="1"/>
    <row r="508" s="9" customFormat="1"/>
    <row r="509" s="9" customFormat="1"/>
    <row r="510" s="9" customFormat="1"/>
    <row r="511" s="9" customFormat="1"/>
    <row r="512" s="9" customFormat="1"/>
    <row r="513" s="9" customFormat="1"/>
    <row r="514" s="9" customFormat="1"/>
    <row r="515" s="9" customFormat="1"/>
    <row r="516" s="9" customFormat="1"/>
    <row r="517" s="9" customFormat="1"/>
    <row r="518" s="9" customFormat="1"/>
    <row r="519" s="9" customFormat="1"/>
    <row r="520" s="9" customFormat="1"/>
    <row r="521" s="9" customFormat="1"/>
    <row r="522" s="9" customFormat="1"/>
    <row r="523" s="9" customFormat="1"/>
    <row r="524" s="9" customFormat="1"/>
    <row r="525" s="9" customFormat="1"/>
    <row r="526" s="9" customFormat="1"/>
    <row r="527" s="9" customFormat="1"/>
    <row r="528" s="9" customFormat="1"/>
    <row r="529" s="9" customFormat="1"/>
    <row r="530" s="9" customFormat="1"/>
    <row r="531" s="9" customFormat="1"/>
    <row r="532" s="9" customFormat="1"/>
    <row r="533" s="9" customFormat="1"/>
    <row r="534" s="9" customFormat="1"/>
    <row r="535" s="9" customFormat="1"/>
    <row r="536" s="9" customFormat="1"/>
    <row r="537" s="9" customFormat="1"/>
    <row r="538" s="9" customFormat="1"/>
    <row r="539" s="9" customFormat="1"/>
    <row r="540" s="9" customFormat="1"/>
    <row r="541" s="9" customFormat="1"/>
    <row r="542" s="9" customFormat="1"/>
    <row r="543" s="9" customFormat="1"/>
    <row r="544" s="9" customFormat="1"/>
    <row r="545" s="9" customFormat="1"/>
    <row r="546" s="9" customFormat="1"/>
    <row r="547" s="9" customFormat="1"/>
    <row r="548" s="9" customFormat="1"/>
    <row r="549" s="9" customFormat="1"/>
    <row r="550" s="9" customFormat="1"/>
    <row r="551" s="9" customFormat="1"/>
    <row r="552" s="9" customFormat="1"/>
    <row r="553" s="9" customFormat="1"/>
    <row r="554" s="9" customFormat="1"/>
    <row r="555" s="9" customFormat="1"/>
    <row r="556" s="9" customFormat="1"/>
    <row r="557" s="9" customFormat="1"/>
    <row r="558" s="9" customFormat="1"/>
    <row r="559" s="9" customFormat="1"/>
    <row r="560" s="9" customFormat="1"/>
    <row r="561" s="9" customFormat="1"/>
    <row r="562" s="9" customFormat="1"/>
    <row r="563" s="9" customFormat="1"/>
    <row r="564" s="9" customFormat="1"/>
    <row r="565" s="9" customFormat="1"/>
    <row r="566" s="9" customFormat="1"/>
    <row r="567" s="9" customFormat="1"/>
    <row r="568" s="9" customFormat="1"/>
    <row r="569" s="9" customFormat="1"/>
    <row r="570" s="9" customFormat="1"/>
    <row r="571" s="9" customFormat="1"/>
    <row r="572" s="9" customFormat="1"/>
    <row r="573" s="9" customFormat="1"/>
    <row r="574" s="9" customFormat="1"/>
    <row r="575" s="9" customFormat="1"/>
    <row r="576" s="9" customFormat="1"/>
    <row r="577" s="9" customFormat="1"/>
    <row r="578" s="9" customFormat="1"/>
    <row r="579" s="9" customFormat="1"/>
    <row r="580" s="9" customFormat="1"/>
    <row r="581" s="9" customFormat="1"/>
    <row r="582" s="9" customFormat="1"/>
    <row r="583" s="9" customFormat="1"/>
    <row r="584" s="9" customFormat="1"/>
    <row r="585" s="9" customFormat="1"/>
    <row r="586" s="9" customFormat="1"/>
    <row r="587" s="9" customFormat="1"/>
    <row r="588" s="9" customFormat="1"/>
    <row r="589" s="9" customFormat="1"/>
    <row r="590" s="9" customFormat="1"/>
    <row r="591" s="9" customFormat="1"/>
    <row r="592" s="9" customFormat="1"/>
    <row r="593" s="9" customFormat="1"/>
    <row r="594" s="9" customFormat="1"/>
    <row r="595" s="9" customFormat="1"/>
    <row r="596" s="9" customFormat="1"/>
    <row r="597" s="9" customFormat="1"/>
    <row r="598" s="9" customFormat="1"/>
    <row r="599" s="9" customFormat="1"/>
    <row r="600" s="9" customFormat="1"/>
    <row r="601" s="9" customFormat="1"/>
    <row r="602" s="9" customFormat="1"/>
    <row r="603" s="9" customFormat="1"/>
    <row r="604" s="9" customFormat="1"/>
    <row r="605" s="9" customFormat="1"/>
    <row r="606" s="9" customFormat="1"/>
    <row r="607" s="9" customFormat="1"/>
    <row r="608" s="9" customFormat="1"/>
    <row r="609" s="9" customFormat="1"/>
    <row r="610" s="9" customFormat="1"/>
    <row r="611" s="9" customFormat="1"/>
    <row r="612" s="9" customFormat="1"/>
    <row r="613" s="9" customFormat="1"/>
    <row r="614" s="9" customFormat="1"/>
    <row r="615" s="9" customFormat="1"/>
    <row r="616" s="9" customFormat="1"/>
    <row r="617" s="9" customFormat="1"/>
    <row r="618" s="9" customFormat="1"/>
    <row r="619" s="9" customFormat="1"/>
    <row r="620" s="9" customFormat="1"/>
    <row r="621" s="9" customFormat="1"/>
    <row r="622" s="9" customFormat="1"/>
    <row r="623" s="9" customFormat="1"/>
    <row r="624" s="9" customFormat="1"/>
    <row r="625" s="9" customFormat="1"/>
    <row r="626" s="9" customFormat="1"/>
    <row r="627" s="9" customFormat="1"/>
    <row r="628" s="9" customFormat="1"/>
    <row r="629" s="9" customFormat="1"/>
    <row r="630" s="9" customFormat="1"/>
    <row r="631" s="9" customFormat="1"/>
    <row r="632" s="9" customFormat="1"/>
    <row r="633" s="9" customFormat="1"/>
    <row r="634" s="9" customFormat="1"/>
    <row r="635" s="9" customFormat="1"/>
    <row r="636" s="9" customFormat="1"/>
    <row r="637" s="9" customFormat="1"/>
    <row r="638" s="9" customFormat="1"/>
    <row r="639" s="9" customFormat="1"/>
    <row r="640" s="9" customFormat="1"/>
    <row r="641" s="9" customFormat="1"/>
    <row r="642" s="9" customFormat="1"/>
    <row r="643" s="9" customFormat="1"/>
    <row r="644" s="9" customFormat="1"/>
    <row r="645" s="9" customFormat="1"/>
    <row r="646" s="9" customFormat="1"/>
    <row r="647" s="9" customFormat="1"/>
    <row r="648" s="9" customFormat="1"/>
    <row r="649" s="9" customFormat="1"/>
    <row r="650" s="9" customFormat="1"/>
    <row r="651" s="9" customFormat="1"/>
    <row r="652" s="9" customFormat="1"/>
    <row r="653" s="9" customFormat="1"/>
    <row r="654" s="9" customFormat="1"/>
    <row r="655" s="9" customFormat="1"/>
    <row r="656" s="9" customFormat="1"/>
    <row r="657" s="9" customFormat="1"/>
    <row r="658" s="9" customFormat="1"/>
    <row r="659" s="9" customFormat="1"/>
    <row r="660" s="9" customFormat="1"/>
    <row r="661" s="9" customFormat="1"/>
    <row r="662" s="9" customFormat="1"/>
    <row r="663" s="9" customFormat="1"/>
    <row r="664" s="9" customFormat="1"/>
    <row r="665" s="9" customFormat="1"/>
    <row r="666" s="9" customFormat="1"/>
    <row r="667" s="9" customFormat="1"/>
    <row r="668" s="9" customFormat="1"/>
    <row r="669" s="9" customFormat="1"/>
    <row r="670" s="9" customFormat="1"/>
    <row r="671" s="9" customFormat="1"/>
    <row r="672" s="9" customFormat="1"/>
    <row r="673" s="9" customFormat="1"/>
    <row r="674" s="9" customFormat="1"/>
    <row r="675" s="9" customFormat="1"/>
    <row r="676" s="9" customFormat="1"/>
    <row r="677" s="9" customFormat="1"/>
    <row r="678" s="9" customFormat="1"/>
    <row r="679" s="9" customFormat="1"/>
    <row r="680" s="9" customFormat="1"/>
    <row r="681" s="9" customFormat="1"/>
    <row r="682" s="9" customFormat="1"/>
    <row r="683" s="9" customFormat="1"/>
    <row r="684" s="9" customFormat="1"/>
    <row r="685" s="9" customFormat="1"/>
    <row r="686" s="9" customFormat="1"/>
    <row r="687" s="9" customFormat="1"/>
    <row r="688" s="9" customFormat="1"/>
    <row r="689" s="9" customFormat="1"/>
    <row r="690" s="9" customFormat="1"/>
    <row r="691" s="9" customFormat="1"/>
    <row r="692" s="9" customFormat="1"/>
    <row r="693" s="9" customFormat="1"/>
    <row r="694" s="9" customFormat="1"/>
    <row r="695" s="9" customFormat="1"/>
    <row r="696" s="9" customFormat="1"/>
    <row r="697" s="9" customFormat="1"/>
    <row r="698" s="9" customFormat="1"/>
    <row r="699" s="9" customFormat="1"/>
    <row r="700" s="9" customFormat="1"/>
    <row r="701" s="9" customFormat="1"/>
    <row r="702" s="9" customFormat="1"/>
    <row r="703" s="9" customFormat="1"/>
    <row r="704" s="9" customFormat="1"/>
    <row r="705" s="9" customFormat="1"/>
    <row r="706" s="9" customFormat="1"/>
    <row r="707" s="9" customFormat="1"/>
    <row r="708" s="9" customFormat="1"/>
    <row r="709" s="9" customFormat="1"/>
    <row r="710" s="9" customFormat="1"/>
    <row r="711" s="9" customFormat="1"/>
    <row r="712" s="9" customFormat="1"/>
    <row r="713" s="9" customFormat="1"/>
    <row r="714" s="9" customFormat="1"/>
    <row r="715" s="9" customFormat="1"/>
    <row r="716" s="9" customFormat="1"/>
    <row r="717" s="9" customFormat="1"/>
    <row r="718" s="9" customFormat="1"/>
    <row r="719" s="9" customFormat="1"/>
    <row r="720" s="9" customFormat="1"/>
    <row r="721" s="9" customFormat="1"/>
    <row r="722" s="9" customFormat="1"/>
    <row r="723" s="9" customFormat="1"/>
    <row r="724" s="9" customFormat="1"/>
    <row r="725" s="9" customFormat="1"/>
    <row r="726" s="9" customFormat="1"/>
    <row r="727" s="9" customFormat="1"/>
    <row r="728" s="9" customFormat="1"/>
    <row r="729" s="9" customFormat="1"/>
    <row r="730" s="9" customFormat="1"/>
    <row r="731" s="9" customFormat="1"/>
    <row r="732" s="9" customFormat="1"/>
    <row r="733" s="9" customFormat="1"/>
    <row r="734" s="9" customFormat="1"/>
    <row r="735" s="9" customFormat="1"/>
    <row r="736" s="9" customFormat="1"/>
    <row r="737" s="9" customFormat="1"/>
    <row r="738" s="9" customFormat="1"/>
    <row r="739" s="9" customFormat="1"/>
    <row r="740" s="9" customFormat="1"/>
    <row r="741" s="9" customFormat="1"/>
    <row r="742" s="9" customFormat="1"/>
    <row r="743" s="9" customFormat="1"/>
    <row r="744" s="9" customFormat="1"/>
    <row r="745" s="9" customFormat="1"/>
    <row r="746" s="9" customFormat="1"/>
    <row r="747" s="9" customFormat="1"/>
    <row r="748" s="9" customFormat="1"/>
    <row r="749" s="9" customFormat="1"/>
    <row r="750" s="9" customFormat="1"/>
    <row r="751" s="9" customFormat="1"/>
    <row r="752" s="9" customFormat="1"/>
    <row r="753" s="9" customFormat="1"/>
    <row r="754" s="9" customFormat="1"/>
    <row r="755" s="9" customFormat="1"/>
    <row r="756" s="9" customFormat="1"/>
    <row r="757" s="9" customFormat="1"/>
    <row r="758" s="9" customFormat="1"/>
    <row r="759" s="9" customFormat="1"/>
    <row r="760" s="9" customFormat="1"/>
    <row r="761" s="9" customFormat="1"/>
    <row r="762" s="9" customFormat="1"/>
    <row r="763" s="9" customFormat="1"/>
  </sheetData>
  <mergeCells count="147">
    <mergeCell ref="J316:L316"/>
    <mergeCell ref="M316:N316"/>
    <mergeCell ref="J317:L317"/>
    <mergeCell ref="M317:N317"/>
    <mergeCell ref="J318:L318"/>
    <mergeCell ref="M318:N318"/>
    <mergeCell ref="J313:L313"/>
    <mergeCell ref="M313:N313"/>
    <mergeCell ref="J314:L314"/>
    <mergeCell ref="M314:N314"/>
    <mergeCell ref="J315:L315"/>
    <mergeCell ref="M315:N315"/>
    <mergeCell ref="J310:L310"/>
    <mergeCell ref="M310:N310"/>
    <mergeCell ref="J311:L311"/>
    <mergeCell ref="M311:N311"/>
    <mergeCell ref="J312:L312"/>
    <mergeCell ref="M312:N312"/>
    <mergeCell ref="J307:L307"/>
    <mergeCell ref="M307:N307"/>
    <mergeCell ref="J308:L308"/>
    <mergeCell ref="M308:N308"/>
    <mergeCell ref="J309:L309"/>
    <mergeCell ref="M309:N309"/>
    <mergeCell ref="J304:L304"/>
    <mergeCell ref="M304:N304"/>
    <mergeCell ref="J305:L305"/>
    <mergeCell ref="M305:N305"/>
    <mergeCell ref="J306:L306"/>
    <mergeCell ref="M306:N306"/>
    <mergeCell ref="J301:L301"/>
    <mergeCell ref="M301:N301"/>
    <mergeCell ref="J302:L302"/>
    <mergeCell ref="M302:N302"/>
    <mergeCell ref="J303:L303"/>
    <mergeCell ref="M303:N303"/>
    <mergeCell ref="C316:E316"/>
    <mergeCell ref="F316:G316"/>
    <mergeCell ref="C317:E317"/>
    <mergeCell ref="F317:G317"/>
    <mergeCell ref="C318:E318"/>
    <mergeCell ref="F318:G318"/>
    <mergeCell ref="C313:E313"/>
    <mergeCell ref="F313:G313"/>
    <mergeCell ref="C314:E314"/>
    <mergeCell ref="F314:G314"/>
    <mergeCell ref="C315:E315"/>
    <mergeCell ref="F315:G315"/>
    <mergeCell ref="C310:E310"/>
    <mergeCell ref="F310:G310"/>
    <mergeCell ref="C311:E311"/>
    <mergeCell ref="F311:G311"/>
    <mergeCell ref="C312:E312"/>
    <mergeCell ref="F312:G312"/>
    <mergeCell ref="C307:E307"/>
    <mergeCell ref="F307:G307"/>
    <mergeCell ref="C308:E308"/>
    <mergeCell ref="F308:G308"/>
    <mergeCell ref="C309:E309"/>
    <mergeCell ref="F309:G309"/>
    <mergeCell ref="C304:E304"/>
    <mergeCell ref="F304:G304"/>
    <mergeCell ref="C305:E305"/>
    <mergeCell ref="F305:G305"/>
    <mergeCell ref="C306:E306"/>
    <mergeCell ref="F306:G306"/>
    <mergeCell ref="C301:E301"/>
    <mergeCell ref="F301:G301"/>
    <mergeCell ref="C302:E302"/>
    <mergeCell ref="F302:G302"/>
    <mergeCell ref="C303:E303"/>
    <mergeCell ref="F303:G303"/>
    <mergeCell ref="J296:L296"/>
    <mergeCell ref="M296:N296"/>
    <mergeCell ref="J297:L297"/>
    <mergeCell ref="M297:N297"/>
    <mergeCell ref="B300:N300"/>
    <mergeCell ref="J293:L293"/>
    <mergeCell ref="M293:N293"/>
    <mergeCell ref="J294:L294"/>
    <mergeCell ref="M294:N294"/>
    <mergeCell ref="J295:L295"/>
    <mergeCell ref="M295:N295"/>
    <mergeCell ref="J290:L290"/>
    <mergeCell ref="M290:N290"/>
    <mergeCell ref="J291:L291"/>
    <mergeCell ref="M291:N291"/>
    <mergeCell ref="J292:L292"/>
    <mergeCell ref="M292:N292"/>
    <mergeCell ref="J287:L287"/>
    <mergeCell ref="M287:N287"/>
    <mergeCell ref="J288:L288"/>
    <mergeCell ref="M288:N288"/>
    <mergeCell ref="J289:L289"/>
    <mergeCell ref="M289:N289"/>
    <mergeCell ref="C297:E297"/>
    <mergeCell ref="F297:G297"/>
    <mergeCell ref="J280:L280"/>
    <mergeCell ref="M280:N280"/>
    <mergeCell ref="J281:L281"/>
    <mergeCell ref="M281:N281"/>
    <mergeCell ref="J282:L282"/>
    <mergeCell ref="M282:N282"/>
    <mergeCell ref="J283:L283"/>
    <mergeCell ref="M283:N283"/>
    <mergeCell ref="J284:L284"/>
    <mergeCell ref="M284:N284"/>
    <mergeCell ref="J285:L285"/>
    <mergeCell ref="M285:N285"/>
    <mergeCell ref="J286:L286"/>
    <mergeCell ref="M286:N286"/>
    <mergeCell ref="C294:E294"/>
    <mergeCell ref="F294:G294"/>
    <mergeCell ref="C295:E295"/>
    <mergeCell ref="F295:G295"/>
    <mergeCell ref="C296:E296"/>
    <mergeCell ref="F296:G296"/>
    <mergeCell ref="C291:E291"/>
    <mergeCell ref="F291:G291"/>
    <mergeCell ref="C292:E292"/>
    <mergeCell ref="F292:G292"/>
    <mergeCell ref="C293:E293"/>
    <mergeCell ref="F293:G293"/>
    <mergeCell ref="C288:E288"/>
    <mergeCell ref="F288:G288"/>
    <mergeCell ref="C289:E289"/>
    <mergeCell ref="F289:G289"/>
    <mergeCell ref="C290:E290"/>
    <mergeCell ref="F290:G290"/>
    <mergeCell ref="C285:E285"/>
    <mergeCell ref="F285:G285"/>
    <mergeCell ref="C286:E286"/>
    <mergeCell ref="F286:G286"/>
    <mergeCell ref="C287:E287"/>
    <mergeCell ref="F287:G287"/>
    <mergeCell ref="C282:E282"/>
    <mergeCell ref="F282:G282"/>
    <mergeCell ref="C283:E283"/>
    <mergeCell ref="F283:G283"/>
    <mergeCell ref="C284:E284"/>
    <mergeCell ref="F284:G284"/>
    <mergeCell ref="A1:E1"/>
    <mergeCell ref="B279:N279"/>
    <mergeCell ref="C280:E280"/>
    <mergeCell ref="F280:G280"/>
    <mergeCell ref="C281:E281"/>
    <mergeCell ref="F281:G28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1BD4-9666-4F17-81AC-81FB5012E2AA}">
  <dimension ref="A1:CZ60"/>
  <sheetViews>
    <sheetView showGridLines="0" rightToLeft="1" workbookViewId="0">
      <selection activeCell="C15" sqref="C15"/>
    </sheetView>
  </sheetViews>
  <sheetFormatPr defaultRowHeight="14.5"/>
  <cols>
    <col min="1" max="1" width="10" style="9" customWidth="1"/>
    <col min="2" max="2" width="14.54296875" style="9" customWidth="1"/>
    <col min="3" max="3" width="16.36328125" style="9" customWidth="1"/>
    <col min="4" max="4" width="14.54296875" style="9" customWidth="1"/>
    <col min="5" max="5" width="3.6328125" style="9" customWidth="1"/>
    <col min="6" max="6" width="10" style="9" customWidth="1"/>
    <col min="7" max="7" width="14.54296875" style="9" customWidth="1"/>
    <col min="8" max="8" width="16.36328125" style="9" customWidth="1"/>
    <col min="9" max="9" width="14.54296875" style="9" customWidth="1"/>
    <col min="10" max="10" width="3.6328125" style="9" customWidth="1"/>
    <col min="11" max="11" width="10" style="9" customWidth="1"/>
    <col min="12" max="12" width="14.54296875" style="9" customWidth="1"/>
    <col min="13" max="13" width="16.36328125" style="9" customWidth="1"/>
    <col min="14" max="14" width="14.54296875" style="9" customWidth="1"/>
    <col min="15" max="15" width="3.6328125" style="9" customWidth="1"/>
    <col min="16" max="16" width="10" style="9" customWidth="1"/>
    <col min="17" max="17" width="14.54296875" style="9" customWidth="1"/>
    <col min="18" max="18" width="16.36328125" style="9" customWidth="1"/>
    <col min="19" max="19" width="14.54296875" style="9" customWidth="1"/>
    <col min="20" max="20" width="3.6328125" style="9" customWidth="1"/>
    <col min="21" max="21" width="10" style="9" customWidth="1"/>
    <col min="22" max="22" width="14.54296875" style="9" customWidth="1"/>
    <col min="23" max="23" width="16.36328125" style="9" customWidth="1"/>
    <col min="24" max="24" width="14.54296875" style="9" customWidth="1"/>
    <col min="25" max="25" width="3.6328125" style="9" customWidth="1"/>
    <col min="26" max="26" width="10" style="9" customWidth="1"/>
    <col min="27" max="27" width="14.54296875" style="9" customWidth="1"/>
    <col min="28" max="28" width="16.36328125" style="9" customWidth="1"/>
    <col min="29" max="29" width="14.54296875" style="9" customWidth="1"/>
    <col min="30" max="30" width="3.6328125" style="9" customWidth="1"/>
    <col min="31" max="31" width="10" style="9" customWidth="1"/>
    <col min="32" max="32" width="14.54296875" style="9" customWidth="1"/>
    <col min="33" max="33" width="16.36328125" style="9" customWidth="1"/>
    <col min="34" max="34" width="14.54296875" style="9" customWidth="1"/>
    <col min="35" max="35" width="3.6328125" style="9" customWidth="1"/>
    <col min="36" max="36" width="10" style="9" customWidth="1"/>
    <col min="37" max="37" width="14.54296875" style="9" customWidth="1"/>
    <col min="38" max="38" width="16.36328125" style="9" customWidth="1"/>
    <col min="39" max="39" width="14.54296875" style="9" customWidth="1"/>
    <col min="40" max="40" width="3.6328125" style="9" customWidth="1"/>
    <col min="41" max="41" width="10" style="9" customWidth="1"/>
    <col min="42" max="42" width="14.54296875" style="9" customWidth="1"/>
    <col min="43" max="43" width="16.36328125" style="9" customWidth="1"/>
    <col min="44" max="44" width="14.54296875" style="9" customWidth="1"/>
    <col min="45" max="45" width="3.6328125" style="9" customWidth="1"/>
    <col min="46" max="46" width="10" style="9" customWidth="1"/>
    <col min="47" max="47" width="14.54296875" style="9" customWidth="1"/>
    <col min="48" max="48" width="16.36328125" style="9" customWidth="1"/>
    <col min="49" max="49" width="14.54296875" style="9" customWidth="1"/>
    <col min="50" max="50" width="3.6328125" style="9" customWidth="1"/>
    <col min="51" max="51" width="10" style="9" customWidth="1"/>
    <col min="52" max="52" width="14.54296875" style="9" customWidth="1"/>
    <col min="53" max="53" width="16.36328125" style="9" customWidth="1"/>
    <col min="54" max="54" width="14.54296875" style="9" customWidth="1"/>
    <col min="55" max="55" width="3.6328125" style="9" customWidth="1"/>
    <col min="56" max="56" width="10" style="9" customWidth="1"/>
    <col min="57" max="57" width="14.54296875" style="9" customWidth="1"/>
    <col min="58" max="58" width="16.36328125" style="9" customWidth="1"/>
    <col min="59" max="59" width="14.54296875" style="9" customWidth="1"/>
    <col min="60" max="60" width="3.6328125" style="9" customWidth="1"/>
    <col min="61" max="64" width="14.54296875" style="9" customWidth="1"/>
    <col min="65" max="65" width="8.7265625" style="9"/>
    <col min="66" max="69" width="14.54296875" style="9" customWidth="1"/>
    <col min="70" max="70" width="8.7265625" style="9"/>
    <col min="71" max="74" width="14.54296875" style="9" customWidth="1"/>
    <col min="75" max="75" width="8.7265625" style="9"/>
    <col min="76" max="79" width="14.54296875" style="9" customWidth="1"/>
    <col min="80" max="80" width="8.7265625" style="9"/>
    <col min="81" max="84" width="14.54296875" style="9" customWidth="1"/>
    <col min="85" max="16384" width="8.7265625" style="9"/>
  </cols>
  <sheetData>
    <row r="1" spans="1:104">
      <c r="A1" s="40" t="s">
        <v>564</v>
      </c>
      <c r="B1" s="40"/>
      <c r="C1" s="40"/>
      <c r="D1" s="40"/>
      <c r="E1"/>
      <c r="F1" s="40" t="s">
        <v>317</v>
      </c>
      <c r="G1" s="40"/>
      <c r="H1" s="40"/>
      <c r="I1" s="40"/>
      <c r="J1"/>
      <c r="K1" s="40" t="s">
        <v>318</v>
      </c>
      <c r="L1" s="40"/>
      <c r="M1" s="40"/>
      <c r="N1" s="40"/>
      <c r="O1"/>
      <c r="P1" s="40" t="s">
        <v>319</v>
      </c>
      <c r="Q1" s="40"/>
      <c r="R1" s="40"/>
      <c r="S1" s="40"/>
      <c r="T1"/>
      <c r="U1" s="40" t="s">
        <v>565</v>
      </c>
      <c r="V1" s="40"/>
      <c r="W1" s="40"/>
      <c r="X1" s="40"/>
      <c r="Y1"/>
      <c r="Z1" s="40" t="s">
        <v>320</v>
      </c>
      <c r="AA1" s="40"/>
      <c r="AB1" s="40"/>
      <c r="AC1" s="40"/>
      <c r="AD1"/>
      <c r="AE1" s="40" t="s">
        <v>321</v>
      </c>
      <c r="AF1" s="40"/>
      <c r="AG1" s="40"/>
      <c r="AH1" s="40"/>
      <c r="AI1"/>
      <c r="AJ1" s="40" t="s">
        <v>322</v>
      </c>
      <c r="AK1" s="40"/>
      <c r="AL1" s="40"/>
      <c r="AM1" s="40"/>
      <c r="AN1"/>
      <c r="AO1" s="40" t="s">
        <v>323</v>
      </c>
      <c r="AP1" s="40"/>
      <c r="AQ1" s="40"/>
      <c r="AR1" s="40"/>
      <c r="AS1"/>
      <c r="AT1" s="40" t="s">
        <v>566</v>
      </c>
      <c r="AU1" s="40"/>
      <c r="AV1" s="40"/>
      <c r="AW1" s="40"/>
      <c r="AX1"/>
      <c r="AY1" s="40" t="s">
        <v>567</v>
      </c>
      <c r="AZ1" s="40"/>
      <c r="BA1" s="40"/>
      <c r="BB1" s="40"/>
      <c r="BC1"/>
      <c r="BD1" s="40" t="s">
        <v>324</v>
      </c>
      <c r="BE1" s="40"/>
      <c r="BF1" s="40"/>
      <c r="BG1" s="40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</row>
    <row r="2" spans="1:104">
      <c r="A2" s="20" t="s">
        <v>32</v>
      </c>
      <c r="B2" s="20" t="s">
        <v>33</v>
      </c>
      <c r="C2" s="20" t="s">
        <v>34</v>
      </c>
      <c r="D2" s="20" t="s">
        <v>35</v>
      </c>
      <c r="E2"/>
      <c r="F2" s="20" t="s">
        <v>32</v>
      </c>
      <c r="G2" s="20" t="s">
        <v>33</v>
      </c>
      <c r="H2" s="20" t="s">
        <v>34</v>
      </c>
      <c r="I2" s="20" t="s">
        <v>35</v>
      </c>
      <c r="J2"/>
      <c r="K2" s="20" t="s">
        <v>32</v>
      </c>
      <c r="L2" s="20" t="s">
        <v>33</v>
      </c>
      <c r="M2" s="20" t="s">
        <v>34</v>
      </c>
      <c r="N2" s="20" t="s">
        <v>35</v>
      </c>
      <c r="O2"/>
      <c r="P2" s="20" t="s">
        <v>32</v>
      </c>
      <c r="Q2" s="20" t="s">
        <v>33</v>
      </c>
      <c r="R2" s="20" t="s">
        <v>34</v>
      </c>
      <c r="S2" s="20" t="s">
        <v>35</v>
      </c>
      <c r="T2"/>
      <c r="U2" s="20" t="s">
        <v>32</v>
      </c>
      <c r="V2" s="20" t="s">
        <v>33</v>
      </c>
      <c r="W2" s="20" t="s">
        <v>34</v>
      </c>
      <c r="X2" s="20" t="s">
        <v>35</v>
      </c>
      <c r="Y2"/>
      <c r="Z2" s="20" t="s">
        <v>32</v>
      </c>
      <c r="AA2" s="20" t="s">
        <v>33</v>
      </c>
      <c r="AB2" s="20" t="s">
        <v>34</v>
      </c>
      <c r="AC2" s="20" t="s">
        <v>35</v>
      </c>
      <c r="AD2"/>
      <c r="AE2" s="20" t="s">
        <v>32</v>
      </c>
      <c r="AF2" s="20" t="s">
        <v>33</v>
      </c>
      <c r="AG2" s="20" t="s">
        <v>34</v>
      </c>
      <c r="AH2" s="20" t="s">
        <v>35</v>
      </c>
      <c r="AI2"/>
      <c r="AJ2" s="20" t="s">
        <v>32</v>
      </c>
      <c r="AK2" s="20" t="s">
        <v>33</v>
      </c>
      <c r="AL2" s="20" t="s">
        <v>34</v>
      </c>
      <c r="AM2" s="20" t="s">
        <v>35</v>
      </c>
      <c r="AN2"/>
      <c r="AO2" s="20" t="s">
        <v>32</v>
      </c>
      <c r="AP2" s="20" t="s">
        <v>33</v>
      </c>
      <c r="AQ2" s="20" t="s">
        <v>34</v>
      </c>
      <c r="AR2" s="20" t="s">
        <v>35</v>
      </c>
      <c r="AS2"/>
      <c r="AT2" s="20" t="s">
        <v>32</v>
      </c>
      <c r="AU2" s="20" t="s">
        <v>33</v>
      </c>
      <c r="AV2" s="20" t="s">
        <v>34</v>
      </c>
      <c r="AW2" s="20" t="s">
        <v>35</v>
      </c>
      <c r="AX2"/>
      <c r="AY2" s="20" t="s">
        <v>32</v>
      </c>
      <c r="AZ2" s="20" t="s">
        <v>33</v>
      </c>
      <c r="BA2" s="20" t="s">
        <v>34</v>
      </c>
      <c r="BB2" s="20" t="s">
        <v>35</v>
      </c>
      <c r="BC2"/>
      <c r="BD2" s="20" t="s">
        <v>32</v>
      </c>
      <c r="BE2" s="20" t="s">
        <v>33</v>
      </c>
      <c r="BF2" s="20" t="s">
        <v>34</v>
      </c>
      <c r="BG2" s="20" t="s">
        <v>35</v>
      </c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</row>
    <row r="3" spans="1:104">
      <c r="A3" s="21">
        <v>1</v>
      </c>
      <c r="B3" s="21" t="s">
        <v>16</v>
      </c>
      <c r="C3" s="21">
        <f>COUNTIF('5 فرق'!$D$4:$D$43,A3&amp;" ضد *")+COUNTIF('5 فرق'!$D$4:$D$43,"* ضد "&amp;A3)</f>
        <v>16</v>
      </c>
      <c r="D3" s="21">
        <f>COUNTIF($B$3:$B$7,B3)-1</f>
        <v>4</v>
      </c>
      <c r="E3"/>
      <c r="F3" s="21">
        <v>1</v>
      </c>
      <c r="G3" s="21" t="s">
        <v>16</v>
      </c>
      <c r="H3" s="21">
        <f>COUNTIF('6 فرق'!$D$4:$D$63,F3&amp;" ضد *")+COUNTIF('6 فرق'!$D$4:$D$63,"* ضد "&amp;F3)</f>
        <v>20</v>
      </c>
      <c r="I3" s="21">
        <f t="shared" ref="I3:I8" si="0">COUNTIF($G$3:$G$8,G3)-1</f>
        <v>5</v>
      </c>
      <c r="J3"/>
      <c r="K3" s="21">
        <v>1</v>
      </c>
      <c r="L3" s="21" t="s">
        <v>16</v>
      </c>
      <c r="M3" s="21">
        <f>COUNTIF('7 فرق'!$D$4:$D$66,K3&amp;" ضد *")+COUNTIF('7 فرق'!$D$4:$D$66,"* ضد "&amp;K3)</f>
        <v>18</v>
      </c>
      <c r="N3" s="21">
        <f t="shared" ref="N3:N9" si="1">COUNTIF($L$3:$L$9,L3)-1</f>
        <v>6</v>
      </c>
      <c r="O3"/>
      <c r="P3" s="21">
        <v>1</v>
      </c>
      <c r="Q3" s="21" t="s">
        <v>16</v>
      </c>
      <c r="R3" s="21">
        <f>COUNTIF('8 فرق'!$D$4:$D$87,P3&amp;" ضد *")+COUNTIF('8 فرق'!$D$4:$D$87,"* ضد "&amp;P3)</f>
        <v>21</v>
      </c>
      <c r="S3" s="21">
        <f t="shared" ref="S3:S10" si="2">COUNTIF($Q$3:$Q$10,Q3)-1</f>
        <v>7</v>
      </c>
      <c r="T3"/>
      <c r="U3" s="21">
        <v>1</v>
      </c>
      <c r="V3" s="21" t="s">
        <v>16</v>
      </c>
      <c r="W3" s="21">
        <f>COUNTIF('10 فرق'!$D$4:$D$93,U3&amp;" ضد *")+COUNTIF('10 فرق'!$D$4:$D$93,"* ضد "&amp;U3)</f>
        <v>18</v>
      </c>
      <c r="X3" s="21">
        <f t="shared" ref="X3:X12" si="3">COUNTIF($V$3:$V$12,V3)-1</f>
        <v>9</v>
      </c>
      <c r="Y3"/>
      <c r="Z3" s="21">
        <v>1</v>
      </c>
      <c r="AA3" s="21" t="s">
        <v>16</v>
      </c>
      <c r="AB3" s="21">
        <f>COUNTIF('13 فريق'!$E$4:$E$127,Z3&amp;" ضد *")+COUNTIF('13 فريق'!$E$4:$E$127,"* ضد "&amp;Z3)</f>
        <v>20</v>
      </c>
      <c r="AC3" s="21">
        <f t="shared" ref="AC3:AC15" si="4">COUNTIF($AA$3:$AA$15,AA3)-1</f>
        <v>5</v>
      </c>
      <c r="AD3"/>
      <c r="AE3" s="21">
        <v>1</v>
      </c>
      <c r="AF3" s="21" t="s">
        <v>16</v>
      </c>
      <c r="AG3" s="21">
        <f>COUNTIF('14 فريق'!$E$4:$E$130,AE3&amp;" ضد *")+COUNTIF('14 فريق'!$E$4:$E$130,"* ضد "&amp;AE3)</f>
        <v>18</v>
      </c>
      <c r="AH3" s="21">
        <f t="shared" ref="AH3:AH16" si="5">COUNTIF($AF$3:$AF$16,AF3)-1</f>
        <v>6</v>
      </c>
      <c r="AI3"/>
      <c r="AJ3" s="21">
        <v>1</v>
      </c>
      <c r="AK3" s="21" t="s">
        <v>16</v>
      </c>
      <c r="AL3" s="21">
        <f>COUNTIF('16 فريق'!$E$4:$E$172,AJ3&amp;" ضد *")+COUNTIF('16 فريق'!$E$4:$E$172,"* ضد "&amp;AJ3)</f>
        <v>21</v>
      </c>
      <c r="AM3" s="21">
        <f t="shared" ref="AM3:AM18" si="6">COUNTIF($AK$3:$AK$18,AK3)-1</f>
        <v>7</v>
      </c>
      <c r="AN3"/>
      <c r="AO3" s="21">
        <v>1</v>
      </c>
      <c r="AP3" s="21" t="s">
        <v>16</v>
      </c>
      <c r="AQ3" s="21">
        <f>COUNTIF('17 فريق'!$D$4:$D$139,AO3&amp;" ضد *")+COUNTIF('17 فريق'!$D$4:$D$139,"* ضد "&amp;AO3)</f>
        <v>16</v>
      </c>
      <c r="AR3" s="21">
        <f t="shared" ref="AR3:AR19" si="7">COUNTIF($AP$3:$AP$19,AP3)-1</f>
        <v>16</v>
      </c>
      <c r="AS3"/>
      <c r="AT3" s="21">
        <v>1</v>
      </c>
      <c r="AU3" s="21" t="s">
        <v>16</v>
      </c>
      <c r="AV3" s="21">
        <f>COUNTIF('24 فريق'!$E$4:$E$246,AT3&amp;" ضد *")+COUNTIF('24 فريق'!$E$4:$E$246,"* ضد "&amp;AT3)</f>
        <v>20</v>
      </c>
      <c r="AW3" s="21">
        <f t="shared" ref="AW3:AW26" si="8">COUNTIF($AU$3:$AU$26,AU3)-1</f>
        <v>5</v>
      </c>
      <c r="AX3"/>
      <c r="AY3" s="21">
        <v>1</v>
      </c>
      <c r="AZ3" s="21" t="s">
        <v>16</v>
      </c>
      <c r="BA3" s="21">
        <f>COUNTIF('29 فريق'!$E$4:$E$258,AY3&amp;" ضد *")+COUNTIF('29 فريق'!$E$4:$E$258,"* ضد "&amp;AY3)</f>
        <v>16</v>
      </c>
      <c r="BB3" s="21">
        <f t="shared" ref="BB3:BB31" si="9">COUNTIF($AZ$3:$AZ$31,AZ3)-1</f>
        <v>8</v>
      </c>
      <c r="BC3"/>
      <c r="BD3" s="21">
        <v>1</v>
      </c>
      <c r="BE3" s="21" t="s">
        <v>16</v>
      </c>
      <c r="BF3" s="21">
        <f>COUNTIF('34 فريق'!$E$4:$E$276,BD3&amp;" ضد *")+COUNTIF('34 فريق'!$E$4:$E$276,"* ضد "&amp;BD3)</f>
        <v>16</v>
      </c>
      <c r="BG3" s="21">
        <f t="shared" ref="BG3:BG36" si="10">COUNTIF($BE$3:$BE$36,BE3)-1</f>
        <v>16</v>
      </c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</row>
    <row r="4" spans="1:104">
      <c r="A4" s="21">
        <v>2</v>
      </c>
      <c r="B4" s="21" t="s">
        <v>16</v>
      </c>
      <c r="C4" s="21">
        <f>COUNTIF('5 فرق'!$D$4:$D$43,A4&amp;" ضد *")+COUNTIF('5 فرق'!$D$4:$D$43,"* ضد "&amp;A4)</f>
        <v>16</v>
      </c>
      <c r="D4" s="21">
        <f>COUNTIF($B$3:$B$7,B4)-1</f>
        <v>4</v>
      </c>
      <c r="E4"/>
      <c r="F4" s="21">
        <v>2</v>
      </c>
      <c r="G4" s="21" t="s">
        <v>16</v>
      </c>
      <c r="H4" s="21">
        <f>COUNTIF('6 فرق'!$D$4:$D$63,F4&amp;" ضد *")+COUNTIF('6 فرق'!$D$4:$D$63,"* ضد "&amp;F4)</f>
        <v>20</v>
      </c>
      <c r="I4" s="21">
        <f t="shared" si="0"/>
        <v>5</v>
      </c>
      <c r="J4"/>
      <c r="K4" s="21">
        <v>2</v>
      </c>
      <c r="L4" s="21" t="s">
        <v>16</v>
      </c>
      <c r="M4" s="21">
        <f>COUNTIF('7 فرق'!$D$4:$D$66,K4&amp;" ضد *")+COUNTIF('7 فرق'!$D$4:$D$66,"* ضد "&amp;K4)</f>
        <v>18</v>
      </c>
      <c r="N4" s="21">
        <f t="shared" si="1"/>
        <v>6</v>
      </c>
      <c r="O4"/>
      <c r="P4" s="21">
        <v>2</v>
      </c>
      <c r="Q4" s="21" t="s">
        <v>16</v>
      </c>
      <c r="R4" s="21">
        <f>COUNTIF('8 فرق'!$D$4:$D$87,P4&amp;" ضد *")+COUNTIF('8 فرق'!$D$4:$D$87,"* ضد "&amp;P4)</f>
        <v>21</v>
      </c>
      <c r="S4" s="21">
        <f t="shared" si="2"/>
        <v>7</v>
      </c>
      <c r="T4"/>
      <c r="U4" s="21">
        <v>2</v>
      </c>
      <c r="V4" s="21" t="s">
        <v>16</v>
      </c>
      <c r="W4" s="21">
        <f>COUNTIF('10 فرق'!$D$4:$D$93,U4&amp;" ضد *")+COUNTIF('10 فرق'!$D$4:$D$93,"* ضد "&amp;U4)</f>
        <v>18</v>
      </c>
      <c r="X4" s="21">
        <f t="shared" si="3"/>
        <v>9</v>
      </c>
      <c r="Y4"/>
      <c r="Z4" s="21">
        <v>2</v>
      </c>
      <c r="AA4" s="21" t="s">
        <v>16</v>
      </c>
      <c r="AB4" s="21">
        <f>COUNTIF('13 فريق'!$E$4:$E$127,Z4&amp;" ضد *")+COUNTIF('13 فريق'!$E$4:$E$127,"* ضد "&amp;Z4)</f>
        <v>20</v>
      </c>
      <c r="AC4" s="21">
        <f t="shared" si="4"/>
        <v>5</v>
      </c>
      <c r="AD4"/>
      <c r="AE4" s="21">
        <v>2</v>
      </c>
      <c r="AF4" s="21" t="s">
        <v>16</v>
      </c>
      <c r="AG4" s="21">
        <f>COUNTIF('14 فريق'!$E$4:$E$130,AE4&amp;" ضد *")+COUNTIF('14 فريق'!$E$4:$E$130,"* ضد "&amp;AE4)</f>
        <v>18</v>
      </c>
      <c r="AH4" s="21">
        <f t="shared" si="5"/>
        <v>6</v>
      </c>
      <c r="AI4"/>
      <c r="AJ4" s="21">
        <v>2</v>
      </c>
      <c r="AK4" s="21" t="s">
        <v>16</v>
      </c>
      <c r="AL4" s="21">
        <f>COUNTIF('16 فريق'!$E$4:$E$172,AJ4&amp;" ضد *")+COUNTIF('16 فريق'!$E$4:$E$172,"* ضد "&amp;AJ4)</f>
        <v>21</v>
      </c>
      <c r="AM4" s="21">
        <f t="shared" si="6"/>
        <v>7</v>
      </c>
      <c r="AN4"/>
      <c r="AO4" s="21">
        <v>2</v>
      </c>
      <c r="AP4" s="21" t="s">
        <v>16</v>
      </c>
      <c r="AQ4" s="21">
        <f>COUNTIF('17 فريق'!$D$4:$D$139,AO4&amp;" ضد *")+COUNTIF('17 فريق'!$D$4:$D$139,"* ضد "&amp;AO4)</f>
        <v>16</v>
      </c>
      <c r="AR4" s="21">
        <f t="shared" si="7"/>
        <v>16</v>
      </c>
      <c r="AS4"/>
      <c r="AT4" s="21">
        <v>2</v>
      </c>
      <c r="AU4" s="21" t="s">
        <v>16</v>
      </c>
      <c r="AV4" s="21">
        <f>COUNTIF('24 فريق'!$E$4:$E$246,AT4&amp;" ضد *")+COUNTIF('24 فريق'!$E$4:$E$246,"* ضد "&amp;AT4)</f>
        <v>20</v>
      </c>
      <c r="AW4" s="21">
        <f t="shared" si="8"/>
        <v>5</v>
      </c>
      <c r="AX4"/>
      <c r="AY4" s="21">
        <v>2</v>
      </c>
      <c r="AZ4" s="21" t="s">
        <v>16</v>
      </c>
      <c r="BA4" s="21">
        <f>COUNTIF('29 فريق'!$E$4:$E$258,AY4&amp;" ضد *")+COUNTIF('29 فريق'!$E$4:$E$258,"* ضد "&amp;AY4)</f>
        <v>16</v>
      </c>
      <c r="BB4" s="21">
        <f t="shared" si="9"/>
        <v>8</v>
      </c>
      <c r="BC4"/>
      <c r="BD4" s="21">
        <v>2</v>
      </c>
      <c r="BE4" s="21" t="s">
        <v>16</v>
      </c>
      <c r="BF4" s="21">
        <f>COUNTIF('34 فريق'!$E$4:$E$276,BD4&amp;" ضد *")+COUNTIF('34 فريق'!$E$4:$E$276,"* ضد "&amp;BD4)</f>
        <v>16</v>
      </c>
      <c r="BG4" s="21">
        <f t="shared" si="10"/>
        <v>16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</row>
    <row r="5" spans="1:104">
      <c r="A5" s="21">
        <v>3</v>
      </c>
      <c r="B5" s="21" t="s">
        <v>16</v>
      </c>
      <c r="C5" s="21">
        <f>COUNTIF('5 فرق'!$D$4:$D$43,A5&amp;" ضد *")+COUNTIF('5 فرق'!$D$4:$D$43,"* ضد "&amp;A5)</f>
        <v>16</v>
      </c>
      <c r="D5" s="21">
        <f>COUNTIF($B$3:$B$7,B5)-1</f>
        <v>4</v>
      </c>
      <c r="E5"/>
      <c r="F5" s="21">
        <v>3</v>
      </c>
      <c r="G5" s="21" t="s">
        <v>16</v>
      </c>
      <c r="H5" s="21">
        <f>COUNTIF('6 فرق'!$D$4:$D$63,F5&amp;" ضد *")+COUNTIF('6 فرق'!$D$4:$D$63,"* ضد "&amp;F5)</f>
        <v>20</v>
      </c>
      <c r="I5" s="21">
        <f t="shared" si="0"/>
        <v>5</v>
      </c>
      <c r="J5"/>
      <c r="K5" s="21">
        <v>3</v>
      </c>
      <c r="L5" s="21" t="s">
        <v>16</v>
      </c>
      <c r="M5" s="21">
        <f>COUNTIF('7 فرق'!$D$4:$D$66,K5&amp;" ضد *")+COUNTIF('7 فرق'!$D$4:$D$66,"* ضد "&amp;K5)</f>
        <v>18</v>
      </c>
      <c r="N5" s="21">
        <f t="shared" si="1"/>
        <v>6</v>
      </c>
      <c r="O5"/>
      <c r="P5" s="21">
        <v>3</v>
      </c>
      <c r="Q5" s="21" t="s">
        <v>16</v>
      </c>
      <c r="R5" s="21">
        <f>COUNTIF('8 فرق'!$D$4:$D$87,P5&amp;" ضد *")+COUNTIF('8 فرق'!$D$4:$D$87,"* ضد "&amp;P5)</f>
        <v>21</v>
      </c>
      <c r="S5" s="21">
        <f t="shared" si="2"/>
        <v>7</v>
      </c>
      <c r="T5"/>
      <c r="U5" s="21">
        <v>3</v>
      </c>
      <c r="V5" s="21" t="s">
        <v>16</v>
      </c>
      <c r="W5" s="21">
        <f>COUNTIF('10 فرق'!$D$4:$D$93,U5&amp;" ضد *")+COUNTIF('10 فرق'!$D$4:$D$93,"* ضد "&amp;U5)</f>
        <v>18</v>
      </c>
      <c r="X5" s="21">
        <f t="shared" si="3"/>
        <v>9</v>
      </c>
      <c r="Y5"/>
      <c r="Z5" s="21">
        <v>3</v>
      </c>
      <c r="AA5" s="21" t="s">
        <v>16</v>
      </c>
      <c r="AB5" s="21">
        <f>COUNTIF('13 فريق'!$E$4:$E$127,Z5&amp;" ضد *")+COUNTIF('13 فريق'!$E$4:$E$127,"* ضد "&amp;Z5)</f>
        <v>20</v>
      </c>
      <c r="AC5" s="21">
        <f t="shared" si="4"/>
        <v>5</v>
      </c>
      <c r="AD5"/>
      <c r="AE5" s="21">
        <v>3</v>
      </c>
      <c r="AF5" s="21" t="s">
        <v>16</v>
      </c>
      <c r="AG5" s="21">
        <f>COUNTIF('14 فريق'!$E$4:$E$130,AE5&amp;" ضد *")+COUNTIF('14 فريق'!$E$4:$E$130,"* ضد "&amp;AE5)</f>
        <v>18</v>
      </c>
      <c r="AH5" s="21">
        <f t="shared" si="5"/>
        <v>6</v>
      </c>
      <c r="AI5"/>
      <c r="AJ5" s="21">
        <v>3</v>
      </c>
      <c r="AK5" s="21" t="s">
        <v>16</v>
      </c>
      <c r="AL5" s="21">
        <f>COUNTIF('16 فريق'!$E$4:$E$172,AJ5&amp;" ضد *")+COUNTIF('16 فريق'!$E$4:$E$172,"* ضد "&amp;AJ5)</f>
        <v>21</v>
      </c>
      <c r="AM5" s="21">
        <f t="shared" si="6"/>
        <v>7</v>
      </c>
      <c r="AN5"/>
      <c r="AO5" s="21">
        <v>3</v>
      </c>
      <c r="AP5" s="21" t="s">
        <v>16</v>
      </c>
      <c r="AQ5" s="21">
        <f>COUNTIF('17 فريق'!$D$4:$D$139,AO5&amp;" ضد *")+COUNTIF('17 فريق'!$D$4:$D$139,"* ضد "&amp;AO5)</f>
        <v>16</v>
      </c>
      <c r="AR5" s="21">
        <f t="shared" si="7"/>
        <v>16</v>
      </c>
      <c r="AS5"/>
      <c r="AT5" s="21">
        <v>3</v>
      </c>
      <c r="AU5" s="21" t="s">
        <v>16</v>
      </c>
      <c r="AV5" s="21">
        <f>COUNTIF('24 فريق'!$E$4:$E$246,AT5&amp;" ضد *")+COUNTIF('24 فريق'!$E$4:$E$246,"* ضد "&amp;AT5)</f>
        <v>20</v>
      </c>
      <c r="AW5" s="21">
        <f t="shared" si="8"/>
        <v>5</v>
      </c>
      <c r="AX5"/>
      <c r="AY5" s="21">
        <v>3</v>
      </c>
      <c r="AZ5" s="21" t="s">
        <v>16</v>
      </c>
      <c r="BA5" s="21">
        <f>COUNTIF('29 فريق'!$E$4:$E$258,AY5&amp;" ضد *")+COUNTIF('29 فريق'!$E$4:$E$258,"* ضد "&amp;AY5)</f>
        <v>16</v>
      </c>
      <c r="BB5" s="21">
        <f t="shared" si="9"/>
        <v>8</v>
      </c>
      <c r="BC5"/>
      <c r="BD5" s="21">
        <v>3</v>
      </c>
      <c r="BE5" s="21" t="s">
        <v>16</v>
      </c>
      <c r="BF5" s="21">
        <f>COUNTIF('34 فريق'!$E$4:$E$276,BD5&amp;" ضد *")+COUNTIF('34 فريق'!$E$4:$E$276,"* ضد "&amp;BD5)</f>
        <v>16</v>
      </c>
      <c r="BG5" s="21">
        <f t="shared" si="10"/>
        <v>16</v>
      </c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</row>
    <row r="6" spans="1:104">
      <c r="A6" s="21">
        <v>4</v>
      </c>
      <c r="B6" s="21" t="s">
        <v>16</v>
      </c>
      <c r="C6" s="21">
        <f>COUNTIF('5 فرق'!$D$4:$D$43,A6&amp;" ضد *")+COUNTIF('5 فرق'!$D$4:$D$43,"* ضد "&amp;A6)</f>
        <v>16</v>
      </c>
      <c r="D6" s="21">
        <f>COUNTIF($B$3:$B$7,B6)-1</f>
        <v>4</v>
      </c>
      <c r="E6"/>
      <c r="F6" s="21">
        <v>4</v>
      </c>
      <c r="G6" s="21" t="s">
        <v>16</v>
      </c>
      <c r="H6" s="21">
        <f>COUNTIF('6 فرق'!$D$4:$D$63,F6&amp;" ضد *")+COUNTIF('6 فرق'!$D$4:$D$63,"* ضد "&amp;F6)</f>
        <v>20</v>
      </c>
      <c r="I6" s="21">
        <f t="shared" si="0"/>
        <v>5</v>
      </c>
      <c r="J6"/>
      <c r="K6" s="21">
        <v>4</v>
      </c>
      <c r="L6" s="21" t="s">
        <v>16</v>
      </c>
      <c r="M6" s="21">
        <f>COUNTIF('7 فرق'!$D$4:$D$66,K6&amp;" ضد *")+COUNTIF('7 فرق'!$D$4:$D$66,"* ضد "&amp;K6)</f>
        <v>18</v>
      </c>
      <c r="N6" s="21">
        <f t="shared" si="1"/>
        <v>6</v>
      </c>
      <c r="O6"/>
      <c r="P6" s="21">
        <v>4</v>
      </c>
      <c r="Q6" s="21" t="s">
        <v>16</v>
      </c>
      <c r="R6" s="21">
        <f>COUNTIF('8 فرق'!$D$4:$D$87,P6&amp;" ضد *")+COUNTIF('8 فرق'!$D$4:$D$87,"* ضد "&amp;P6)</f>
        <v>21</v>
      </c>
      <c r="S6" s="21">
        <f t="shared" si="2"/>
        <v>7</v>
      </c>
      <c r="T6"/>
      <c r="U6" s="21">
        <v>4</v>
      </c>
      <c r="V6" s="21" t="s">
        <v>16</v>
      </c>
      <c r="W6" s="21">
        <f>COUNTIF('10 فرق'!$D$4:$D$93,U6&amp;" ضد *")+COUNTIF('10 فرق'!$D$4:$D$93,"* ضد "&amp;U6)</f>
        <v>18</v>
      </c>
      <c r="X6" s="21">
        <f t="shared" si="3"/>
        <v>9</v>
      </c>
      <c r="Y6"/>
      <c r="Z6" s="21">
        <v>4</v>
      </c>
      <c r="AA6" s="21" t="s">
        <v>16</v>
      </c>
      <c r="AB6" s="21">
        <f>COUNTIF('13 فريق'!$E$4:$E$127,Z6&amp;" ضد *")+COUNTIF('13 فريق'!$E$4:$E$127,"* ضد "&amp;Z6)</f>
        <v>20</v>
      </c>
      <c r="AC6" s="21">
        <f t="shared" si="4"/>
        <v>5</v>
      </c>
      <c r="AD6"/>
      <c r="AE6" s="21">
        <v>4</v>
      </c>
      <c r="AF6" s="21" t="s">
        <v>16</v>
      </c>
      <c r="AG6" s="21">
        <f>COUNTIF('14 فريق'!$E$4:$E$130,AE6&amp;" ضد *")+COUNTIF('14 فريق'!$E$4:$E$130,"* ضد "&amp;AE6)</f>
        <v>18</v>
      </c>
      <c r="AH6" s="21">
        <f t="shared" si="5"/>
        <v>6</v>
      </c>
      <c r="AI6"/>
      <c r="AJ6" s="21">
        <v>4</v>
      </c>
      <c r="AK6" s="21" t="s">
        <v>16</v>
      </c>
      <c r="AL6" s="21">
        <f>COUNTIF('16 فريق'!$E$4:$E$172,AJ6&amp;" ضد *")+COUNTIF('16 فريق'!$E$4:$E$172,"* ضد "&amp;AJ6)</f>
        <v>21</v>
      </c>
      <c r="AM6" s="21">
        <f t="shared" si="6"/>
        <v>7</v>
      </c>
      <c r="AN6"/>
      <c r="AO6" s="21">
        <v>4</v>
      </c>
      <c r="AP6" s="21" t="s">
        <v>16</v>
      </c>
      <c r="AQ6" s="21">
        <f>COUNTIF('17 فريق'!$D$4:$D$139,AO6&amp;" ضد *")+COUNTIF('17 فريق'!$D$4:$D$139,"* ضد "&amp;AO6)</f>
        <v>16</v>
      </c>
      <c r="AR6" s="21">
        <f t="shared" si="7"/>
        <v>16</v>
      </c>
      <c r="AS6"/>
      <c r="AT6" s="21">
        <v>4</v>
      </c>
      <c r="AU6" s="21" t="s">
        <v>16</v>
      </c>
      <c r="AV6" s="21">
        <f>COUNTIF('24 فريق'!$E$4:$E$246,AT6&amp;" ضد *")+COUNTIF('24 فريق'!$E$4:$E$246,"* ضد "&amp;AT6)</f>
        <v>20</v>
      </c>
      <c r="AW6" s="21">
        <f t="shared" si="8"/>
        <v>5</v>
      </c>
      <c r="AX6"/>
      <c r="AY6" s="21">
        <v>4</v>
      </c>
      <c r="AZ6" s="21" t="s">
        <v>16</v>
      </c>
      <c r="BA6" s="21">
        <f>COUNTIF('29 فريق'!$E$4:$E$258,AY6&amp;" ضد *")+COUNTIF('29 فريق'!$E$4:$E$258,"* ضد "&amp;AY6)</f>
        <v>16</v>
      </c>
      <c r="BB6" s="21">
        <f t="shared" si="9"/>
        <v>8</v>
      </c>
      <c r="BC6"/>
      <c r="BD6" s="21">
        <v>4</v>
      </c>
      <c r="BE6" s="21" t="s">
        <v>16</v>
      </c>
      <c r="BF6" s="21">
        <f>COUNTIF('34 فريق'!$E$4:$E$276,BD6&amp;" ضد *")+COUNTIF('34 فريق'!$E$4:$E$276,"* ضد "&amp;BD6)</f>
        <v>16</v>
      </c>
      <c r="BG6" s="21">
        <f t="shared" si="10"/>
        <v>16</v>
      </c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</row>
    <row r="7" spans="1:104">
      <c r="A7" s="21">
        <v>5</v>
      </c>
      <c r="B7" s="21" t="s">
        <v>16</v>
      </c>
      <c r="C7" s="21">
        <f>COUNTIF('5 فرق'!$D$4:$D$43,A7&amp;" ضد *")+COUNTIF('5 فرق'!$D$4:$D$43,"* ضد "&amp;A7)</f>
        <v>16</v>
      </c>
      <c r="D7" s="21">
        <f>COUNTIF($B$3:$B$7,B7)-1</f>
        <v>4</v>
      </c>
      <c r="E7"/>
      <c r="F7" s="21">
        <v>5</v>
      </c>
      <c r="G7" s="21" t="s">
        <v>16</v>
      </c>
      <c r="H7" s="21">
        <f>COUNTIF('6 فرق'!$D$4:$D$63,F7&amp;" ضد *")+COUNTIF('6 فرق'!$D$4:$D$63,"* ضد "&amp;F7)</f>
        <v>20</v>
      </c>
      <c r="I7" s="21">
        <f t="shared" si="0"/>
        <v>5</v>
      </c>
      <c r="J7"/>
      <c r="K7" s="21">
        <v>5</v>
      </c>
      <c r="L7" s="21" t="s">
        <v>16</v>
      </c>
      <c r="M7" s="21">
        <f>COUNTIF('7 فرق'!$D$4:$D$66,K7&amp;" ضد *")+COUNTIF('7 فرق'!$D$4:$D$66,"* ضد "&amp;K7)</f>
        <v>18</v>
      </c>
      <c r="N7" s="21">
        <f t="shared" si="1"/>
        <v>6</v>
      </c>
      <c r="O7"/>
      <c r="P7" s="21">
        <v>5</v>
      </c>
      <c r="Q7" s="21" t="s">
        <v>16</v>
      </c>
      <c r="R7" s="21">
        <f>COUNTIF('8 فرق'!$D$4:$D$87,P7&amp;" ضد *")+COUNTIF('8 فرق'!$D$4:$D$87,"* ضد "&amp;P7)</f>
        <v>21</v>
      </c>
      <c r="S7" s="21">
        <f t="shared" si="2"/>
        <v>7</v>
      </c>
      <c r="T7"/>
      <c r="U7" s="21">
        <v>5</v>
      </c>
      <c r="V7" s="21" t="s">
        <v>16</v>
      </c>
      <c r="W7" s="21">
        <f>COUNTIF('10 فرق'!$D$4:$D$93,U7&amp;" ضد *")+COUNTIF('10 فرق'!$D$4:$D$93,"* ضد "&amp;U7)</f>
        <v>18</v>
      </c>
      <c r="X7" s="21">
        <f t="shared" si="3"/>
        <v>9</v>
      </c>
      <c r="Y7"/>
      <c r="Z7" s="21">
        <v>5</v>
      </c>
      <c r="AA7" s="21" t="s">
        <v>16</v>
      </c>
      <c r="AB7" s="21">
        <f>COUNTIF('13 فريق'!$E$4:$E$127,Z7&amp;" ضد *")+COUNTIF('13 فريق'!$E$4:$E$127,"* ضد "&amp;Z7)</f>
        <v>20</v>
      </c>
      <c r="AC7" s="21">
        <f t="shared" si="4"/>
        <v>5</v>
      </c>
      <c r="AD7"/>
      <c r="AE7" s="21">
        <v>5</v>
      </c>
      <c r="AF7" s="21" t="s">
        <v>16</v>
      </c>
      <c r="AG7" s="21">
        <f>COUNTIF('14 فريق'!$E$4:$E$130,AE7&amp;" ضد *")+COUNTIF('14 فريق'!$E$4:$E$130,"* ضد "&amp;AE7)</f>
        <v>18</v>
      </c>
      <c r="AH7" s="21">
        <f t="shared" si="5"/>
        <v>6</v>
      </c>
      <c r="AI7"/>
      <c r="AJ7" s="21">
        <v>5</v>
      </c>
      <c r="AK7" s="21" t="s">
        <v>16</v>
      </c>
      <c r="AL7" s="21">
        <f>COUNTIF('16 فريق'!$E$4:$E$172,AJ7&amp;" ضد *")+COUNTIF('16 فريق'!$E$4:$E$172,"* ضد "&amp;AJ7)</f>
        <v>21</v>
      </c>
      <c r="AM7" s="21">
        <f t="shared" si="6"/>
        <v>7</v>
      </c>
      <c r="AN7"/>
      <c r="AO7" s="21">
        <v>5</v>
      </c>
      <c r="AP7" s="21" t="s">
        <v>16</v>
      </c>
      <c r="AQ7" s="21">
        <f>COUNTIF('17 فريق'!$D$4:$D$139,AO7&amp;" ضد *")+COUNTIF('17 فريق'!$D$4:$D$139,"* ضد "&amp;AO7)</f>
        <v>16</v>
      </c>
      <c r="AR7" s="21">
        <f t="shared" si="7"/>
        <v>16</v>
      </c>
      <c r="AS7"/>
      <c r="AT7" s="21">
        <v>5</v>
      </c>
      <c r="AU7" s="21" t="s">
        <v>16</v>
      </c>
      <c r="AV7" s="21">
        <f>COUNTIF('24 فريق'!$E$4:$E$246,AT7&amp;" ضد *")+COUNTIF('24 فريق'!$E$4:$E$246,"* ضد "&amp;AT7)</f>
        <v>20</v>
      </c>
      <c r="AW7" s="21">
        <f t="shared" si="8"/>
        <v>5</v>
      </c>
      <c r="AX7"/>
      <c r="AY7" s="21">
        <v>5</v>
      </c>
      <c r="AZ7" s="21" t="s">
        <v>16</v>
      </c>
      <c r="BA7" s="21">
        <f>COUNTIF('29 فريق'!$E$4:$E$258,AY7&amp;" ضد *")+COUNTIF('29 فريق'!$E$4:$E$258,"* ضد "&amp;AY7)</f>
        <v>16</v>
      </c>
      <c r="BB7" s="21">
        <f t="shared" si="9"/>
        <v>8</v>
      </c>
      <c r="BC7"/>
      <c r="BD7" s="21">
        <v>5</v>
      </c>
      <c r="BE7" s="21" t="s">
        <v>16</v>
      </c>
      <c r="BF7" s="21">
        <f>COUNTIF('34 فريق'!$E$4:$E$276,BD7&amp;" ضد *")+COUNTIF('34 فريق'!$E$4:$E$276,"* ضد "&amp;BD7)</f>
        <v>16</v>
      </c>
      <c r="BG7" s="21">
        <f t="shared" si="10"/>
        <v>16</v>
      </c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</row>
    <row r="8" spans="1:104">
      <c r="A8"/>
      <c r="B8"/>
      <c r="C8"/>
      <c r="D8"/>
      <c r="E8"/>
      <c r="F8" s="21">
        <v>6</v>
      </c>
      <c r="G8" s="21" t="s">
        <v>16</v>
      </c>
      <c r="H8" s="21">
        <f>COUNTIF('6 فرق'!$D$4:$D$63,F8&amp;" ضد *")+COUNTIF('6 فرق'!$D$4:$D$63,"* ضد "&amp;F8)</f>
        <v>20</v>
      </c>
      <c r="I8" s="21">
        <f t="shared" si="0"/>
        <v>5</v>
      </c>
      <c r="J8"/>
      <c r="K8" s="21">
        <v>6</v>
      </c>
      <c r="L8" s="21" t="s">
        <v>16</v>
      </c>
      <c r="M8" s="21">
        <f>COUNTIF('7 فرق'!$D$4:$D$66,K8&amp;" ضد *")+COUNTIF('7 فرق'!$D$4:$D$66,"* ضد "&amp;K8)</f>
        <v>18</v>
      </c>
      <c r="N8" s="21">
        <f t="shared" si="1"/>
        <v>6</v>
      </c>
      <c r="O8"/>
      <c r="P8" s="21">
        <v>6</v>
      </c>
      <c r="Q8" s="21" t="s">
        <v>16</v>
      </c>
      <c r="R8" s="21">
        <f>COUNTIF('8 فرق'!$D$4:$D$87,P8&amp;" ضد *")+COUNTIF('8 فرق'!$D$4:$D$87,"* ضد "&amp;P8)</f>
        <v>21</v>
      </c>
      <c r="S8" s="21">
        <f t="shared" si="2"/>
        <v>7</v>
      </c>
      <c r="T8"/>
      <c r="U8" s="21">
        <v>6</v>
      </c>
      <c r="V8" s="21" t="s">
        <v>16</v>
      </c>
      <c r="W8" s="21">
        <f>COUNTIF('10 فرق'!$D$4:$D$93,U8&amp;" ضد *")+COUNTIF('10 فرق'!$D$4:$D$93,"* ضد "&amp;U8)</f>
        <v>18</v>
      </c>
      <c r="X8" s="21">
        <f t="shared" si="3"/>
        <v>9</v>
      </c>
      <c r="Y8"/>
      <c r="Z8" s="21">
        <v>6</v>
      </c>
      <c r="AA8" s="21" t="s">
        <v>16</v>
      </c>
      <c r="AB8" s="21">
        <f>COUNTIF('13 فريق'!$E$4:$E$127,Z8&amp;" ضد *")+COUNTIF('13 فريق'!$E$4:$E$127,"* ضد "&amp;Z8)</f>
        <v>20</v>
      </c>
      <c r="AC8" s="21">
        <f t="shared" si="4"/>
        <v>5</v>
      </c>
      <c r="AD8"/>
      <c r="AE8" s="21">
        <v>6</v>
      </c>
      <c r="AF8" s="21" t="s">
        <v>16</v>
      </c>
      <c r="AG8" s="21">
        <f>COUNTIF('14 فريق'!$E$4:$E$130,AE8&amp;" ضد *")+COUNTIF('14 فريق'!$E$4:$E$130,"* ضد "&amp;AE8)</f>
        <v>18</v>
      </c>
      <c r="AH8" s="21">
        <f t="shared" si="5"/>
        <v>6</v>
      </c>
      <c r="AI8"/>
      <c r="AJ8" s="21">
        <v>6</v>
      </c>
      <c r="AK8" s="21" t="s">
        <v>16</v>
      </c>
      <c r="AL8" s="21">
        <f>COUNTIF('16 فريق'!$E$4:$E$172,AJ8&amp;" ضد *")+COUNTIF('16 فريق'!$E$4:$E$172,"* ضد "&amp;AJ8)</f>
        <v>21</v>
      </c>
      <c r="AM8" s="21">
        <f t="shared" si="6"/>
        <v>7</v>
      </c>
      <c r="AN8"/>
      <c r="AO8" s="21">
        <v>6</v>
      </c>
      <c r="AP8" s="21" t="s">
        <v>16</v>
      </c>
      <c r="AQ8" s="21">
        <f>COUNTIF('17 فريق'!$D$4:$D$139,AO8&amp;" ضد *")+COUNTIF('17 فريق'!$D$4:$D$139,"* ضد "&amp;AO8)</f>
        <v>16</v>
      </c>
      <c r="AR8" s="21">
        <f t="shared" si="7"/>
        <v>16</v>
      </c>
      <c r="AS8"/>
      <c r="AT8" s="21">
        <v>6</v>
      </c>
      <c r="AU8" s="21" t="s">
        <v>16</v>
      </c>
      <c r="AV8" s="21">
        <f>COUNTIF('24 فريق'!$E$4:$E$246,AT8&amp;" ضد *")+COUNTIF('24 فريق'!$E$4:$E$246,"* ضد "&amp;AT8)</f>
        <v>20</v>
      </c>
      <c r="AW8" s="21">
        <f t="shared" si="8"/>
        <v>5</v>
      </c>
      <c r="AX8"/>
      <c r="AY8" s="21">
        <v>6</v>
      </c>
      <c r="AZ8" s="21" t="s">
        <v>16</v>
      </c>
      <c r="BA8" s="21">
        <f>COUNTIF('29 فريق'!$E$4:$E$258,AY8&amp;" ضد *")+COUNTIF('29 فريق'!$E$4:$E$258,"* ضد "&amp;AY8)</f>
        <v>16</v>
      </c>
      <c r="BB8" s="21">
        <f t="shared" si="9"/>
        <v>8</v>
      </c>
      <c r="BC8"/>
      <c r="BD8" s="21">
        <v>6</v>
      </c>
      <c r="BE8" s="21" t="s">
        <v>16</v>
      </c>
      <c r="BF8" s="21">
        <f>COUNTIF('34 فريق'!$E$4:$E$276,BD8&amp;" ضد *")+COUNTIF('34 فريق'!$E$4:$E$276,"* ضد "&amp;BD8)</f>
        <v>16</v>
      </c>
      <c r="BG8" s="21">
        <f t="shared" si="10"/>
        <v>16</v>
      </c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</row>
    <row r="9" spans="1:104">
      <c r="A9"/>
      <c r="B9"/>
      <c r="C9"/>
      <c r="D9"/>
      <c r="E9"/>
      <c r="F9"/>
      <c r="G9"/>
      <c r="H9"/>
      <c r="I9"/>
      <c r="J9"/>
      <c r="K9" s="21">
        <v>7</v>
      </c>
      <c r="L9" s="21" t="s">
        <v>16</v>
      </c>
      <c r="M9" s="21">
        <f>COUNTIF('7 فرق'!$D$4:$D$66,K9&amp;" ضد *")+COUNTIF('7 فرق'!$D$4:$D$66,"* ضد "&amp;K9)</f>
        <v>18</v>
      </c>
      <c r="N9" s="21">
        <f t="shared" si="1"/>
        <v>6</v>
      </c>
      <c r="O9"/>
      <c r="P9" s="21">
        <v>7</v>
      </c>
      <c r="Q9" s="21" t="s">
        <v>16</v>
      </c>
      <c r="R9" s="21">
        <f>COUNTIF('8 فرق'!$D$4:$D$87,P9&amp;" ضد *")+COUNTIF('8 فرق'!$D$4:$D$87,"* ضد "&amp;P9)</f>
        <v>21</v>
      </c>
      <c r="S9" s="21">
        <f t="shared" si="2"/>
        <v>7</v>
      </c>
      <c r="T9"/>
      <c r="U9" s="21">
        <v>7</v>
      </c>
      <c r="V9" s="21" t="s">
        <v>16</v>
      </c>
      <c r="W9" s="21">
        <f>COUNTIF('10 فرق'!$D$4:$D$93,U9&amp;" ضد *")+COUNTIF('10 فرق'!$D$4:$D$93,"* ضد "&amp;U9)</f>
        <v>18</v>
      </c>
      <c r="X9" s="21">
        <f t="shared" si="3"/>
        <v>9</v>
      </c>
      <c r="Y9"/>
      <c r="Z9" s="21">
        <v>7</v>
      </c>
      <c r="AA9" s="21" t="s">
        <v>83</v>
      </c>
      <c r="AB9" s="21">
        <f>COUNTIF('13 فريق'!$E$4:$E$127,Z9&amp;" ضد *")+COUNTIF('13 فريق'!$E$4:$E$127,"* ضد "&amp;Z9)</f>
        <v>18</v>
      </c>
      <c r="AC9" s="21">
        <f t="shared" si="4"/>
        <v>6</v>
      </c>
      <c r="AD9"/>
      <c r="AE9" s="21">
        <v>7</v>
      </c>
      <c r="AF9" s="21" t="s">
        <v>16</v>
      </c>
      <c r="AG9" s="21">
        <f>COUNTIF('14 فريق'!$E$4:$E$130,AE9&amp;" ضد *")+COUNTIF('14 فريق'!$E$4:$E$130,"* ضد "&amp;AE9)</f>
        <v>18</v>
      </c>
      <c r="AH9" s="21">
        <f t="shared" si="5"/>
        <v>6</v>
      </c>
      <c r="AI9"/>
      <c r="AJ9" s="21">
        <v>7</v>
      </c>
      <c r="AK9" s="21" t="s">
        <v>16</v>
      </c>
      <c r="AL9" s="21">
        <f>COUNTIF('16 فريق'!$E$4:$E$172,AJ9&amp;" ضد *")+COUNTIF('16 فريق'!$E$4:$E$172,"* ضد "&amp;AJ9)</f>
        <v>21</v>
      </c>
      <c r="AM9" s="21">
        <f t="shared" si="6"/>
        <v>7</v>
      </c>
      <c r="AN9"/>
      <c r="AO9" s="21">
        <v>7</v>
      </c>
      <c r="AP9" s="21" t="s">
        <v>16</v>
      </c>
      <c r="AQ9" s="21">
        <f>COUNTIF('17 فريق'!$D$4:$D$139,AO9&amp;" ضد *")+COUNTIF('17 فريق'!$D$4:$D$139,"* ضد "&amp;AO9)</f>
        <v>16</v>
      </c>
      <c r="AR9" s="21">
        <f t="shared" si="7"/>
        <v>16</v>
      </c>
      <c r="AS9"/>
      <c r="AT9" s="21">
        <v>7</v>
      </c>
      <c r="AU9" s="21" t="s">
        <v>83</v>
      </c>
      <c r="AV9" s="21">
        <f>COUNTIF('24 فريق'!$E$4:$E$246,AT9&amp;" ضد *")+COUNTIF('24 فريق'!$E$4:$E$246,"* ضد "&amp;AT9)</f>
        <v>20</v>
      </c>
      <c r="AW9" s="21">
        <f t="shared" si="8"/>
        <v>5</v>
      </c>
      <c r="AX9"/>
      <c r="AY9" s="21">
        <v>7</v>
      </c>
      <c r="AZ9" s="21" t="s">
        <v>16</v>
      </c>
      <c r="BA9" s="21">
        <f>COUNTIF('29 فريق'!$E$4:$E$258,AY9&amp;" ضد *")+COUNTIF('29 فريق'!$E$4:$E$258,"* ضد "&amp;AY9)</f>
        <v>16</v>
      </c>
      <c r="BB9" s="21">
        <f t="shared" si="9"/>
        <v>8</v>
      </c>
      <c r="BC9"/>
      <c r="BD9" s="21">
        <v>7</v>
      </c>
      <c r="BE9" s="21" t="s">
        <v>16</v>
      </c>
      <c r="BF9" s="21">
        <f>COUNTIF('34 فريق'!$E$4:$E$276,BD9&amp;" ضد *")+COUNTIF('34 فريق'!$E$4:$E$276,"* ضد "&amp;BD9)</f>
        <v>16</v>
      </c>
      <c r="BG9" s="21">
        <f t="shared" si="10"/>
        <v>16</v>
      </c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</row>
    <row r="10" spans="1:10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 s="21">
        <v>8</v>
      </c>
      <c r="Q10" s="21" t="s">
        <v>16</v>
      </c>
      <c r="R10" s="21">
        <f>COUNTIF('8 فرق'!$D$4:$D$87,P10&amp;" ضد *")+COUNTIF('8 فرق'!$D$4:$D$87,"* ضد "&amp;P10)</f>
        <v>21</v>
      </c>
      <c r="S10" s="21">
        <f t="shared" si="2"/>
        <v>7</v>
      </c>
      <c r="T10"/>
      <c r="U10" s="21">
        <v>8</v>
      </c>
      <c r="V10" s="21" t="s">
        <v>16</v>
      </c>
      <c r="W10" s="21">
        <f>COUNTIF('10 فرق'!$D$4:$D$93,U10&amp;" ضد *")+COUNTIF('10 فرق'!$D$4:$D$93,"* ضد "&amp;U10)</f>
        <v>18</v>
      </c>
      <c r="X10" s="21">
        <f t="shared" si="3"/>
        <v>9</v>
      </c>
      <c r="Y10"/>
      <c r="Z10" s="21">
        <v>8</v>
      </c>
      <c r="AA10" s="21" t="s">
        <v>83</v>
      </c>
      <c r="AB10" s="21">
        <f>COUNTIF('13 فريق'!$E$4:$E$127,Z10&amp;" ضد *")+COUNTIF('13 فريق'!$E$4:$E$127,"* ضد "&amp;Z10)</f>
        <v>18</v>
      </c>
      <c r="AC10" s="21">
        <f t="shared" si="4"/>
        <v>6</v>
      </c>
      <c r="AD10"/>
      <c r="AE10" s="21">
        <v>8</v>
      </c>
      <c r="AF10" s="21" t="s">
        <v>83</v>
      </c>
      <c r="AG10" s="21">
        <f>COUNTIF('14 فريق'!$E$4:$E$130,AE10&amp;" ضد *")+COUNTIF('14 فريق'!$E$4:$E$130,"* ضد "&amp;AE10)</f>
        <v>18</v>
      </c>
      <c r="AH10" s="21">
        <f t="shared" si="5"/>
        <v>6</v>
      </c>
      <c r="AI10"/>
      <c r="AJ10" s="21">
        <v>8</v>
      </c>
      <c r="AK10" s="21" t="s">
        <v>16</v>
      </c>
      <c r="AL10" s="21">
        <f>COUNTIF('16 فريق'!$E$4:$E$172,AJ10&amp;" ضد *")+COUNTIF('16 فريق'!$E$4:$E$172,"* ضد "&amp;AJ10)</f>
        <v>21</v>
      </c>
      <c r="AM10" s="21">
        <f t="shared" si="6"/>
        <v>7</v>
      </c>
      <c r="AN10"/>
      <c r="AO10" s="21">
        <v>8</v>
      </c>
      <c r="AP10" s="21" t="s">
        <v>16</v>
      </c>
      <c r="AQ10" s="21">
        <f>COUNTIF('17 فريق'!$D$4:$D$139,AO10&amp;" ضد *")+COUNTIF('17 فريق'!$D$4:$D$139,"* ضد "&amp;AO10)</f>
        <v>16</v>
      </c>
      <c r="AR10" s="21">
        <f t="shared" si="7"/>
        <v>16</v>
      </c>
      <c r="AS10"/>
      <c r="AT10" s="21">
        <v>8</v>
      </c>
      <c r="AU10" s="21" t="s">
        <v>83</v>
      </c>
      <c r="AV10" s="21">
        <f>COUNTIF('24 فريق'!$E$4:$E$246,AT10&amp;" ضد *")+COUNTIF('24 فريق'!$E$4:$E$246,"* ضد "&amp;AT10)</f>
        <v>20</v>
      </c>
      <c r="AW10" s="21">
        <f t="shared" si="8"/>
        <v>5</v>
      </c>
      <c r="AX10"/>
      <c r="AY10" s="21">
        <v>8</v>
      </c>
      <c r="AZ10" s="21" t="s">
        <v>16</v>
      </c>
      <c r="BA10" s="21">
        <f>COUNTIF('29 فريق'!$E$4:$E$258,AY10&amp;" ضد *")+COUNTIF('29 فريق'!$E$4:$E$258,"* ضد "&amp;AY10)</f>
        <v>16</v>
      </c>
      <c r="BB10" s="21">
        <f t="shared" si="9"/>
        <v>8</v>
      </c>
      <c r="BC10"/>
      <c r="BD10" s="21">
        <v>8</v>
      </c>
      <c r="BE10" s="21" t="s">
        <v>16</v>
      </c>
      <c r="BF10" s="21">
        <f>COUNTIF('34 فريق'!$E$4:$E$276,BD10&amp;" ضد *")+COUNTIF('34 فريق'!$E$4:$E$276,"* ضد "&amp;BD10)</f>
        <v>16</v>
      </c>
      <c r="BG10" s="21">
        <f t="shared" si="10"/>
        <v>16</v>
      </c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</row>
    <row r="11" spans="1:10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s="21">
        <v>9</v>
      </c>
      <c r="V11" s="21" t="s">
        <v>16</v>
      </c>
      <c r="W11" s="21">
        <f>COUNTIF('10 فرق'!$D$4:$D$93,U11&amp;" ضد *")+COUNTIF('10 فرق'!$D$4:$D$93,"* ضد "&amp;U11)</f>
        <v>18</v>
      </c>
      <c r="X11" s="21">
        <f t="shared" si="3"/>
        <v>9</v>
      </c>
      <c r="Y11"/>
      <c r="Z11" s="21">
        <v>9</v>
      </c>
      <c r="AA11" s="21" t="s">
        <v>83</v>
      </c>
      <c r="AB11" s="21">
        <f>COUNTIF('13 فريق'!$E$4:$E$127,Z11&amp;" ضد *")+COUNTIF('13 فريق'!$E$4:$E$127,"* ضد "&amp;Z11)</f>
        <v>18</v>
      </c>
      <c r="AC11" s="21">
        <f t="shared" si="4"/>
        <v>6</v>
      </c>
      <c r="AD11"/>
      <c r="AE11" s="21">
        <v>9</v>
      </c>
      <c r="AF11" s="21" t="s">
        <v>83</v>
      </c>
      <c r="AG11" s="21">
        <f>COUNTIF('14 فريق'!$E$4:$E$130,AE11&amp;" ضد *")+COUNTIF('14 فريق'!$E$4:$E$130,"* ضد "&amp;AE11)</f>
        <v>18</v>
      </c>
      <c r="AH11" s="21">
        <f t="shared" si="5"/>
        <v>6</v>
      </c>
      <c r="AI11"/>
      <c r="AJ11" s="21">
        <v>9</v>
      </c>
      <c r="AK11" s="21" t="s">
        <v>83</v>
      </c>
      <c r="AL11" s="21">
        <f>COUNTIF('16 فريق'!$E$4:$E$172,AJ11&amp;" ضد *")+COUNTIF('16 فريق'!$E$4:$E$172,"* ضد "&amp;AJ11)</f>
        <v>21</v>
      </c>
      <c r="AM11" s="21">
        <f t="shared" si="6"/>
        <v>7</v>
      </c>
      <c r="AN11"/>
      <c r="AO11" s="21">
        <v>9</v>
      </c>
      <c r="AP11" s="21" t="s">
        <v>16</v>
      </c>
      <c r="AQ11" s="21">
        <f>COUNTIF('17 فريق'!$D$4:$D$139,AO11&amp;" ضد *")+COUNTIF('17 فريق'!$D$4:$D$139,"* ضد "&amp;AO11)</f>
        <v>16</v>
      </c>
      <c r="AR11" s="21">
        <f t="shared" si="7"/>
        <v>16</v>
      </c>
      <c r="AS11"/>
      <c r="AT11" s="21">
        <v>9</v>
      </c>
      <c r="AU11" s="21" t="s">
        <v>83</v>
      </c>
      <c r="AV11" s="21">
        <f>COUNTIF('24 فريق'!$E$4:$E$246,AT11&amp;" ضد *")+COUNTIF('24 فريق'!$E$4:$E$246,"* ضد "&amp;AT11)</f>
        <v>20</v>
      </c>
      <c r="AW11" s="21">
        <f t="shared" si="8"/>
        <v>5</v>
      </c>
      <c r="AX11"/>
      <c r="AY11" s="21">
        <v>9</v>
      </c>
      <c r="AZ11" s="21" t="s">
        <v>16</v>
      </c>
      <c r="BA11" s="21">
        <f>COUNTIF('29 فريق'!$E$4:$E$258,AY11&amp;" ضد *")+COUNTIF('29 فريق'!$E$4:$E$258,"* ضد "&amp;AY11)</f>
        <v>16</v>
      </c>
      <c r="BB11" s="21">
        <f t="shared" si="9"/>
        <v>8</v>
      </c>
      <c r="BC11"/>
      <c r="BD11" s="21">
        <v>9</v>
      </c>
      <c r="BE11" s="21" t="s">
        <v>16</v>
      </c>
      <c r="BF11" s="21">
        <f>COUNTIF('34 فريق'!$E$4:$E$276,BD11&amp;" ضد *")+COUNTIF('34 فريق'!$E$4:$E$276,"* ضد "&amp;BD11)</f>
        <v>16</v>
      </c>
      <c r="BG11" s="21">
        <f t="shared" si="10"/>
        <v>16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</row>
    <row r="12" spans="1:104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s="21">
        <v>10</v>
      </c>
      <c r="V12" s="21" t="s">
        <v>16</v>
      </c>
      <c r="W12" s="21">
        <f>COUNTIF('10 فرق'!$D$4:$D$93,U12&amp;" ضد *")+COUNTIF('10 فرق'!$D$4:$D$93,"* ضد "&amp;U12)</f>
        <v>18</v>
      </c>
      <c r="X12" s="21">
        <f t="shared" si="3"/>
        <v>9</v>
      </c>
      <c r="Y12"/>
      <c r="Z12" s="21">
        <v>10</v>
      </c>
      <c r="AA12" s="21" t="s">
        <v>83</v>
      </c>
      <c r="AB12" s="21">
        <f>COUNTIF('13 فريق'!$E$4:$E$127,Z12&amp;" ضد *")+COUNTIF('13 فريق'!$E$4:$E$127,"* ضد "&amp;Z12)</f>
        <v>18</v>
      </c>
      <c r="AC12" s="21">
        <f t="shared" si="4"/>
        <v>6</v>
      </c>
      <c r="AD12"/>
      <c r="AE12" s="21">
        <v>10</v>
      </c>
      <c r="AF12" s="21" t="s">
        <v>83</v>
      </c>
      <c r="AG12" s="21">
        <f>COUNTIF('14 فريق'!$E$4:$E$130,AE12&amp;" ضد *")+COUNTIF('14 فريق'!$E$4:$E$130,"* ضد "&amp;AE12)</f>
        <v>18</v>
      </c>
      <c r="AH12" s="21">
        <f t="shared" si="5"/>
        <v>6</v>
      </c>
      <c r="AI12"/>
      <c r="AJ12" s="21">
        <v>10</v>
      </c>
      <c r="AK12" s="21" t="s">
        <v>83</v>
      </c>
      <c r="AL12" s="21">
        <f>COUNTIF('16 فريق'!$E$4:$E$172,AJ12&amp;" ضد *")+COUNTIF('16 فريق'!$E$4:$E$172,"* ضد "&amp;AJ12)</f>
        <v>21</v>
      </c>
      <c r="AM12" s="21">
        <f t="shared" si="6"/>
        <v>7</v>
      </c>
      <c r="AN12"/>
      <c r="AO12" s="21">
        <v>10</v>
      </c>
      <c r="AP12" s="21" t="s">
        <v>16</v>
      </c>
      <c r="AQ12" s="21">
        <f>COUNTIF('17 فريق'!$D$4:$D$139,AO12&amp;" ضد *")+COUNTIF('17 فريق'!$D$4:$D$139,"* ضد "&amp;AO12)</f>
        <v>16</v>
      </c>
      <c r="AR12" s="21">
        <f t="shared" si="7"/>
        <v>16</v>
      </c>
      <c r="AS12"/>
      <c r="AT12" s="21">
        <v>10</v>
      </c>
      <c r="AU12" s="21" t="s">
        <v>83</v>
      </c>
      <c r="AV12" s="21">
        <f>COUNTIF('24 فريق'!$E$4:$E$246,AT12&amp;" ضد *")+COUNTIF('24 فريق'!$E$4:$E$246,"* ضد "&amp;AT12)</f>
        <v>20</v>
      </c>
      <c r="AW12" s="21">
        <f t="shared" si="8"/>
        <v>5</v>
      </c>
      <c r="AX12"/>
      <c r="AY12" s="21">
        <v>10</v>
      </c>
      <c r="AZ12" s="21" t="s">
        <v>83</v>
      </c>
      <c r="BA12" s="21">
        <f>COUNTIF('29 فريق'!$E$4:$E$258,AY12&amp;" ضد *")+COUNTIF('29 فريق'!$E$4:$E$258,"* ضد "&amp;AY12)</f>
        <v>18</v>
      </c>
      <c r="BB12" s="21">
        <f t="shared" si="9"/>
        <v>9</v>
      </c>
      <c r="BC12"/>
      <c r="BD12" s="21">
        <v>10</v>
      </c>
      <c r="BE12" s="21" t="s">
        <v>16</v>
      </c>
      <c r="BF12" s="21">
        <f>COUNTIF('34 فريق'!$E$4:$E$276,BD12&amp;" ضد *")+COUNTIF('34 فريق'!$E$4:$E$276,"* ضد "&amp;BD12)</f>
        <v>16</v>
      </c>
      <c r="BG12" s="21">
        <f t="shared" si="10"/>
        <v>16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</row>
    <row r="13" spans="1:10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21">
        <v>11</v>
      </c>
      <c r="AA13" s="21" t="s">
        <v>83</v>
      </c>
      <c r="AB13" s="21">
        <f>COUNTIF('13 فريق'!$E$4:$E$127,Z13&amp;" ضد *")+COUNTIF('13 فريق'!$E$4:$E$127,"* ضد "&amp;Z13)</f>
        <v>18</v>
      </c>
      <c r="AC13" s="21">
        <f t="shared" si="4"/>
        <v>6</v>
      </c>
      <c r="AD13"/>
      <c r="AE13" s="21">
        <v>11</v>
      </c>
      <c r="AF13" s="21" t="s">
        <v>83</v>
      </c>
      <c r="AG13" s="21">
        <f>COUNTIF('14 فريق'!$E$4:$E$130,AE13&amp;" ضد *")+COUNTIF('14 فريق'!$E$4:$E$130,"* ضد "&amp;AE13)</f>
        <v>18</v>
      </c>
      <c r="AH13" s="21">
        <f t="shared" si="5"/>
        <v>6</v>
      </c>
      <c r="AI13"/>
      <c r="AJ13" s="21">
        <v>11</v>
      </c>
      <c r="AK13" s="21" t="s">
        <v>83</v>
      </c>
      <c r="AL13" s="21">
        <f>COUNTIF('16 فريق'!$E$4:$E$172,AJ13&amp;" ضد *")+COUNTIF('16 فريق'!$E$4:$E$172,"* ضد "&amp;AJ13)</f>
        <v>21</v>
      </c>
      <c r="AM13" s="21">
        <f t="shared" si="6"/>
        <v>7</v>
      </c>
      <c r="AN13"/>
      <c r="AO13" s="21">
        <v>11</v>
      </c>
      <c r="AP13" s="21" t="s">
        <v>16</v>
      </c>
      <c r="AQ13" s="21">
        <f>COUNTIF('17 فريق'!$D$4:$D$139,AO13&amp;" ضد *")+COUNTIF('17 فريق'!$D$4:$D$139,"* ضد "&amp;AO13)</f>
        <v>16</v>
      </c>
      <c r="AR13" s="21">
        <f t="shared" si="7"/>
        <v>16</v>
      </c>
      <c r="AS13"/>
      <c r="AT13" s="21">
        <v>11</v>
      </c>
      <c r="AU13" s="21" t="s">
        <v>83</v>
      </c>
      <c r="AV13" s="21">
        <f>COUNTIF('24 فريق'!$E$4:$E$246,AT13&amp;" ضد *")+COUNTIF('24 فريق'!$E$4:$E$246,"* ضد "&amp;AT13)</f>
        <v>20</v>
      </c>
      <c r="AW13" s="21">
        <f t="shared" si="8"/>
        <v>5</v>
      </c>
      <c r="AX13"/>
      <c r="AY13" s="21">
        <v>11</v>
      </c>
      <c r="AZ13" s="21" t="s">
        <v>83</v>
      </c>
      <c r="BA13" s="21">
        <f>COUNTIF('29 فريق'!$E$4:$E$258,AY13&amp;" ضد *")+COUNTIF('29 فريق'!$E$4:$E$258,"* ضد "&amp;AY13)</f>
        <v>18</v>
      </c>
      <c r="BB13" s="21">
        <f t="shared" si="9"/>
        <v>9</v>
      </c>
      <c r="BC13"/>
      <c r="BD13" s="21">
        <v>11</v>
      </c>
      <c r="BE13" s="21" t="s">
        <v>16</v>
      </c>
      <c r="BF13" s="21">
        <f>COUNTIF('34 فريق'!$E$4:$E$276,BD13&amp;" ضد *")+COUNTIF('34 فريق'!$E$4:$E$276,"* ضد "&amp;BD13)</f>
        <v>16</v>
      </c>
      <c r="BG13" s="21">
        <f t="shared" si="10"/>
        <v>16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spans="1:10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21">
        <v>12</v>
      </c>
      <c r="AA14" s="21" t="s">
        <v>83</v>
      </c>
      <c r="AB14" s="21">
        <f>COUNTIF('13 فريق'!$E$4:$E$127,Z14&amp;" ضد *")+COUNTIF('13 فريق'!$E$4:$E$127,"* ضد "&amp;Z14)</f>
        <v>18</v>
      </c>
      <c r="AC14" s="21">
        <f t="shared" si="4"/>
        <v>6</v>
      </c>
      <c r="AD14"/>
      <c r="AE14" s="21">
        <v>12</v>
      </c>
      <c r="AF14" s="21" t="s">
        <v>83</v>
      </c>
      <c r="AG14" s="21">
        <f>COUNTIF('14 فريق'!$E$4:$E$130,AE14&amp;" ضد *")+COUNTIF('14 فريق'!$E$4:$E$130,"* ضد "&amp;AE14)</f>
        <v>18</v>
      </c>
      <c r="AH14" s="21">
        <f t="shared" si="5"/>
        <v>6</v>
      </c>
      <c r="AI14"/>
      <c r="AJ14" s="21">
        <v>12</v>
      </c>
      <c r="AK14" s="21" t="s">
        <v>83</v>
      </c>
      <c r="AL14" s="21">
        <f>COUNTIF('16 فريق'!$E$4:$E$172,AJ14&amp;" ضد *")+COUNTIF('16 فريق'!$E$4:$E$172,"* ضد "&amp;AJ14)</f>
        <v>21</v>
      </c>
      <c r="AM14" s="21">
        <f t="shared" si="6"/>
        <v>7</v>
      </c>
      <c r="AN14"/>
      <c r="AO14" s="21">
        <v>12</v>
      </c>
      <c r="AP14" s="21" t="s">
        <v>16</v>
      </c>
      <c r="AQ14" s="21">
        <f>COUNTIF('17 فريق'!$D$4:$D$139,AO14&amp;" ضد *")+COUNTIF('17 فريق'!$D$4:$D$139,"* ضد "&amp;AO14)</f>
        <v>16</v>
      </c>
      <c r="AR14" s="21">
        <f t="shared" si="7"/>
        <v>16</v>
      </c>
      <c r="AS14"/>
      <c r="AT14" s="21">
        <v>12</v>
      </c>
      <c r="AU14" s="21" t="s">
        <v>83</v>
      </c>
      <c r="AV14" s="21">
        <f>COUNTIF('24 فريق'!$E$4:$E$246,AT14&amp;" ضد *")+COUNTIF('24 فريق'!$E$4:$E$246,"* ضد "&amp;AT14)</f>
        <v>20</v>
      </c>
      <c r="AW14" s="21">
        <f t="shared" si="8"/>
        <v>5</v>
      </c>
      <c r="AX14"/>
      <c r="AY14" s="21">
        <v>12</v>
      </c>
      <c r="AZ14" s="21" t="s">
        <v>83</v>
      </c>
      <c r="BA14" s="21">
        <f>COUNTIF('29 فريق'!$E$4:$E$258,AY14&amp;" ضد *")+COUNTIF('29 فريق'!$E$4:$E$258,"* ضد "&amp;AY14)</f>
        <v>18</v>
      </c>
      <c r="BB14" s="21">
        <f t="shared" si="9"/>
        <v>9</v>
      </c>
      <c r="BC14"/>
      <c r="BD14" s="21">
        <v>12</v>
      </c>
      <c r="BE14" s="21" t="s">
        <v>16</v>
      </c>
      <c r="BF14" s="21">
        <f>COUNTIF('34 فريق'!$E$4:$E$276,BD14&amp;" ضد *")+COUNTIF('34 فريق'!$E$4:$E$276,"* ضد "&amp;BD14)</f>
        <v>16</v>
      </c>
      <c r="BG14" s="21">
        <f t="shared" si="10"/>
        <v>16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</row>
    <row r="15" spans="1:104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21">
        <v>13</v>
      </c>
      <c r="AA15" s="21" t="s">
        <v>83</v>
      </c>
      <c r="AB15" s="21">
        <f>COUNTIF('13 فريق'!$E$4:$E$127,Z15&amp;" ضد *")+COUNTIF('13 فريق'!$E$4:$E$127,"* ضد "&amp;Z15)</f>
        <v>18</v>
      </c>
      <c r="AC15" s="21">
        <f t="shared" si="4"/>
        <v>6</v>
      </c>
      <c r="AD15"/>
      <c r="AE15" s="21">
        <v>13</v>
      </c>
      <c r="AF15" s="21" t="s">
        <v>83</v>
      </c>
      <c r="AG15" s="21">
        <f>COUNTIF('14 فريق'!$E$4:$E$130,AE15&amp;" ضد *")+COUNTIF('14 فريق'!$E$4:$E$130,"* ضد "&amp;AE15)</f>
        <v>18</v>
      </c>
      <c r="AH15" s="21">
        <f t="shared" si="5"/>
        <v>6</v>
      </c>
      <c r="AI15"/>
      <c r="AJ15" s="21">
        <v>13</v>
      </c>
      <c r="AK15" s="21" t="s">
        <v>83</v>
      </c>
      <c r="AL15" s="21">
        <f>COUNTIF('16 فريق'!$E$4:$E$172,AJ15&amp;" ضد *")+COUNTIF('16 فريق'!$E$4:$E$172,"* ضد "&amp;AJ15)</f>
        <v>21</v>
      </c>
      <c r="AM15" s="21">
        <f t="shared" si="6"/>
        <v>7</v>
      </c>
      <c r="AN15"/>
      <c r="AO15" s="21">
        <v>13</v>
      </c>
      <c r="AP15" s="21" t="s">
        <v>16</v>
      </c>
      <c r="AQ15" s="21">
        <f>COUNTIF('17 فريق'!$D$4:$D$139,AO15&amp;" ضد *")+COUNTIF('17 فريق'!$D$4:$D$139,"* ضد "&amp;AO15)</f>
        <v>16</v>
      </c>
      <c r="AR15" s="21">
        <f t="shared" si="7"/>
        <v>16</v>
      </c>
      <c r="AS15"/>
      <c r="AT15" s="21">
        <v>13</v>
      </c>
      <c r="AU15" s="21" t="s">
        <v>124</v>
      </c>
      <c r="AV15" s="21">
        <f>COUNTIF('24 فريق'!$E$4:$E$246,AT15&amp;" ضد *")+COUNTIF('24 فريق'!$E$4:$E$246,"* ضد "&amp;AT15)</f>
        <v>20</v>
      </c>
      <c r="AW15" s="21">
        <f t="shared" si="8"/>
        <v>5</v>
      </c>
      <c r="AX15"/>
      <c r="AY15" s="21">
        <v>13</v>
      </c>
      <c r="AZ15" s="21" t="s">
        <v>83</v>
      </c>
      <c r="BA15" s="21">
        <f>COUNTIF('29 فريق'!$E$4:$E$258,AY15&amp;" ضد *")+COUNTIF('29 فريق'!$E$4:$E$258,"* ضد "&amp;AY15)</f>
        <v>18</v>
      </c>
      <c r="BB15" s="21">
        <f t="shared" si="9"/>
        <v>9</v>
      </c>
      <c r="BC15"/>
      <c r="BD15" s="21">
        <v>13</v>
      </c>
      <c r="BE15" s="21" t="s">
        <v>16</v>
      </c>
      <c r="BF15" s="21">
        <f>COUNTIF('34 فريق'!$E$4:$E$276,BD15&amp;" ضد *")+COUNTIF('34 فريق'!$E$4:$E$276,"* ضد "&amp;BD15)</f>
        <v>16</v>
      </c>
      <c r="BG15" s="21">
        <f t="shared" si="10"/>
        <v>16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</row>
    <row r="16" spans="1:104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s="21">
        <v>14</v>
      </c>
      <c r="AF16" s="21" t="s">
        <v>83</v>
      </c>
      <c r="AG16" s="21">
        <f>COUNTIF('14 فريق'!$E$4:$E$130,AE16&amp;" ضد *")+COUNTIF('14 فريق'!$E$4:$E$130,"* ضد "&amp;AE16)</f>
        <v>18</v>
      </c>
      <c r="AH16" s="21">
        <f t="shared" si="5"/>
        <v>6</v>
      </c>
      <c r="AI16"/>
      <c r="AJ16" s="21">
        <v>14</v>
      </c>
      <c r="AK16" s="21" t="s">
        <v>83</v>
      </c>
      <c r="AL16" s="21">
        <f>COUNTIF('16 فريق'!$E$4:$E$172,AJ16&amp;" ضد *")+COUNTIF('16 فريق'!$E$4:$E$172,"* ضد "&amp;AJ16)</f>
        <v>21</v>
      </c>
      <c r="AM16" s="21">
        <f t="shared" si="6"/>
        <v>7</v>
      </c>
      <c r="AN16"/>
      <c r="AO16" s="21">
        <v>14</v>
      </c>
      <c r="AP16" s="21" t="s">
        <v>16</v>
      </c>
      <c r="AQ16" s="21">
        <f>COUNTIF('17 فريق'!$D$4:$D$139,AO16&amp;" ضد *")+COUNTIF('17 فريق'!$D$4:$D$139,"* ضد "&amp;AO16)</f>
        <v>16</v>
      </c>
      <c r="AR16" s="21">
        <f t="shared" si="7"/>
        <v>16</v>
      </c>
      <c r="AS16"/>
      <c r="AT16" s="21">
        <v>14</v>
      </c>
      <c r="AU16" s="21" t="s">
        <v>124</v>
      </c>
      <c r="AV16" s="21">
        <f>COUNTIF('24 فريق'!$E$4:$E$246,AT16&amp;" ضد *")+COUNTIF('24 فريق'!$E$4:$E$246,"* ضد "&amp;AT16)</f>
        <v>20</v>
      </c>
      <c r="AW16" s="21">
        <f t="shared" si="8"/>
        <v>5</v>
      </c>
      <c r="AX16"/>
      <c r="AY16" s="21">
        <v>14</v>
      </c>
      <c r="AZ16" s="21" t="s">
        <v>83</v>
      </c>
      <c r="BA16" s="21">
        <f>COUNTIF('29 فريق'!$E$4:$E$258,AY16&amp;" ضد *")+COUNTIF('29 فريق'!$E$4:$E$258,"* ضد "&amp;AY16)</f>
        <v>18</v>
      </c>
      <c r="BB16" s="21">
        <f t="shared" si="9"/>
        <v>9</v>
      </c>
      <c r="BC16"/>
      <c r="BD16" s="21">
        <v>14</v>
      </c>
      <c r="BE16" s="21" t="s">
        <v>16</v>
      </c>
      <c r="BF16" s="21">
        <f>COUNTIF('34 فريق'!$E$4:$E$276,BD16&amp;" ضد *")+COUNTIF('34 فريق'!$E$4:$E$276,"* ضد "&amp;BD16)</f>
        <v>16</v>
      </c>
      <c r="BG16" s="21">
        <f t="shared" si="10"/>
        <v>16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</row>
    <row r="17" spans="1:10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s="21">
        <v>15</v>
      </c>
      <c r="AK17" s="21" t="s">
        <v>83</v>
      </c>
      <c r="AL17" s="21">
        <f>COUNTIF('16 فريق'!$E$4:$E$172,AJ17&amp;" ضد *")+COUNTIF('16 فريق'!$E$4:$E$172,"* ضد "&amp;AJ17)</f>
        <v>21</v>
      </c>
      <c r="AM17" s="21">
        <f t="shared" si="6"/>
        <v>7</v>
      </c>
      <c r="AN17"/>
      <c r="AO17" s="21">
        <v>15</v>
      </c>
      <c r="AP17" s="21" t="s">
        <v>16</v>
      </c>
      <c r="AQ17" s="21">
        <f>COUNTIF('17 فريق'!$D$4:$D$139,AO17&amp;" ضد *")+COUNTIF('17 فريق'!$D$4:$D$139,"* ضد "&amp;AO17)</f>
        <v>16</v>
      </c>
      <c r="AR17" s="21">
        <f t="shared" si="7"/>
        <v>16</v>
      </c>
      <c r="AS17"/>
      <c r="AT17" s="21">
        <v>15</v>
      </c>
      <c r="AU17" s="21" t="s">
        <v>124</v>
      </c>
      <c r="AV17" s="21">
        <f>COUNTIF('24 فريق'!$E$4:$E$246,AT17&amp;" ضد *")+COUNTIF('24 فريق'!$E$4:$E$246,"* ضد "&amp;AT17)</f>
        <v>20</v>
      </c>
      <c r="AW17" s="21">
        <f t="shared" si="8"/>
        <v>5</v>
      </c>
      <c r="AX17"/>
      <c r="AY17" s="21">
        <v>15</v>
      </c>
      <c r="AZ17" s="21" t="s">
        <v>83</v>
      </c>
      <c r="BA17" s="21">
        <f>COUNTIF('29 فريق'!$E$4:$E$258,AY17&amp;" ضد *")+COUNTIF('29 فريق'!$E$4:$E$258,"* ضد "&amp;AY17)</f>
        <v>18</v>
      </c>
      <c r="BB17" s="21">
        <f t="shared" si="9"/>
        <v>9</v>
      </c>
      <c r="BC17"/>
      <c r="BD17" s="21">
        <v>15</v>
      </c>
      <c r="BE17" s="21" t="s">
        <v>16</v>
      </c>
      <c r="BF17" s="21">
        <f>COUNTIF('34 فريق'!$E$4:$E$276,BD17&amp;" ضد *")+COUNTIF('34 فريق'!$E$4:$E$276,"* ضد "&amp;BD17)</f>
        <v>16</v>
      </c>
      <c r="BG17" s="21">
        <f t="shared" si="10"/>
        <v>16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</row>
    <row r="18" spans="1:10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s="21">
        <v>16</v>
      </c>
      <c r="AK18" s="21" t="s">
        <v>83</v>
      </c>
      <c r="AL18" s="21">
        <f>COUNTIF('16 فريق'!$E$4:$E$172,AJ18&amp;" ضد *")+COUNTIF('16 فريق'!$E$4:$E$172,"* ضد "&amp;AJ18)</f>
        <v>21</v>
      </c>
      <c r="AM18" s="21">
        <f t="shared" si="6"/>
        <v>7</v>
      </c>
      <c r="AN18"/>
      <c r="AO18" s="21">
        <v>16</v>
      </c>
      <c r="AP18" s="21" t="s">
        <v>16</v>
      </c>
      <c r="AQ18" s="21">
        <f>COUNTIF('17 فريق'!$D$4:$D$139,AO18&amp;" ضد *")+COUNTIF('17 فريق'!$D$4:$D$139,"* ضد "&amp;AO18)</f>
        <v>16</v>
      </c>
      <c r="AR18" s="21">
        <f t="shared" si="7"/>
        <v>16</v>
      </c>
      <c r="AS18"/>
      <c r="AT18" s="21">
        <v>16</v>
      </c>
      <c r="AU18" s="21" t="s">
        <v>124</v>
      </c>
      <c r="AV18" s="21">
        <f>COUNTIF('24 فريق'!$E$4:$E$246,AT18&amp;" ضد *")+COUNTIF('24 فريق'!$E$4:$E$246,"* ضد "&amp;AT18)</f>
        <v>20</v>
      </c>
      <c r="AW18" s="21">
        <f t="shared" si="8"/>
        <v>5</v>
      </c>
      <c r="AX18"/>
      <c r="AY18" s="21">
        <v>16</v>
      </c>
      <c r="AZ18" s="21" t="s">
        <v>83</v>
      </c>
      <c r="BA18" s="21">
        <f>COUNTIF('29 فريق'!$E$4:$E$258,AY18&amp;" ضد *")+COUNTIF('29 فريق'!$E$4:$E$258,"* ضد "&amp;AY18)</f>
        <v>18</v>
      </c>
      <c r="BB18" s="21">
        <f t="shared" si="9"/>
        <v>9</v>
      </c>
      <c r="BC18"/>
      <c r="BD18" s="21">
        <v>16</v>
      </c>
      <c r="BE18" s="21" t="s">
        <v>16</v>
      </c>
      <c r="BF18" s="21">
        <f>COUNTIF('34 فريق'!$E$4:$E$276,BD18&amp;" ضد *")+COUNTIF('34 فريق'!$E$4:$E$276,"* ضد "&amp;BD18)</f>
        <v>16</v>
      </c>
      <c r="BG18" s="21">
        <f t="shared" si="10"/>
        <v>16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</row>
    <row r="19" spans="1:10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s="21">
        <v>17</v>
      </c>
      <c r="AP19" s="21" t="s">
        <v>16</v>
      </c>
      <c r="AQ19" s="21">
        <f>COUNTIF('17 فريق'!$D$4:$D$139,AO19&amp;" ضد *")+COUNTIF('17 فريق'!$D$4:$D$139,"* ضد "&amp;AO19)</f>
        <v>16</v>
      </c>
      <c r="AR19" s="21">
        <f t="shared" si="7"/>
        <v>16</v>
      </c>
      <c r="AS19"/>
      <c r="AT19" s="21">
        <v>17</v>
      </c>
      <c r="AU19" s="21" t="s">
        <v>124</v>
      </c>
      <c r="AV19" s="21">
        <f>COUNTIF('24 فريق'!$E$4:$E$246,AT19&amp;" ضد *")+COUNTIF('24 فريق'!$E$4:$E$246,"* ضد "&amp;AT19)</f>
        <v>20</v>
      </c>
      <c r="AW19" s="21">
        <f t="shared" si="8"/>
        <v>5</v>
      </c>
      <c r="AX19"/>
      <c r="AY19" s="21">
        <v>17</v>
      </c>
      <c r="AZ19" s="21" t="s">
        <v>83</v>
      </c>
      <c r="BA19" s="21">
        <f>COUNTIF('29 فريق'!$E$4:$E$258,AY19&amp;" ضد *")+COUNTIF('29 فريق'!$E$4:$E$258,"* ضد "&amp;AY19)</f>
        <v>18</v>
      </c>
      <c r="BB19" s="21">
        <f t="shared" si="9"/>
        <v>9</v>
      </c>
      <c r="BC19"/>
      <c r="BD19" s="21">
        <v>17</v>
      </c>
      <c r="BE19" s="21" t="s">
        <v>16</v>
      </c>
      <c r="BF19" s="21">
        <f>COUNTIF('34 فريق'!$E$4:$E$276,BD19&amp;" ضد *")+COUNTIF('34 فريق'!$E$4:$E$276,"* ضد "&amp;BD19)</f>
        <v>16</v>
      </c>
      <c r="BG19" s="21">
        <f t="shared" si="10"/>
        <v>16</v>
      </c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</row>
    <row r="20" spans="1:10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s="21">
        <v>18</v>
      </c>
      <c r="AU20" s="21" t="s">
        <v>124</v>
      </c>
      <c r="AV20" s="21">
        <f>COUNTIF('24 فريق'!$E$4:$E$246,AT20&amp;" ضد *")+COUNTIF('24 فريق'!$E$4:$E$246,"* ضد "&amp;AT20)</f>
        <v>20</v>
      </c>
      <c r="AW20" s="21">
        <f t="shared" si="8"/>
        <v>5</v>
      </c>
      <c r="AX20"/>
      <c r="AY20" s="21">
        <v>18</v>
      </c>
      <c r="AZ20" s="21" t="s">
        <v>83</v>
      </c>
      <c r="BA20" s="21">
        <f>COUNTIF('29 فريق'!$E$4:$E$258,AY20&amp;" ضد *")+COUNTIF('29 فريق'!$E$4:$E$258,"* ضد "&amp;AY20)</f>
        <v>18</v>
      </c>
      <c r="BB20" s="21">
        <f t="shared" si="9"/>
        <v>9</v>
      </c>
      <c r="BC20"/>
      <c r="BD20" s="21">
        <v>18</v>
      </c>
      <c r="BE20" s="21" t="s">
        <v>83</v>
      </c>
      <c r="BF20" s="21">
        <f>COUNTIF('34 فريق'!$E$4:$E$276,BD20&amp;" ضد *")+COUNTIF('34 فريق'!$E$4:$E$276,"* ضد "&amp;BD20)</f>
        <v>16</v>
      </c>
      <c r="BG20" s="21">
        <f t="shared" si="10"/>
        <v>16</v>
      </c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</row>
    <row r="21" spans="1:104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s="21">
        <v>19</v>
      </c>
      <c r="AU21" s="21" t="s">
        <v>158</v>
      </c>
      <c r="AV21" s="21">
        <f>COUNTIF('24 فريق'!$E$4:$E$246,AT21&amp;" ضد *")+COUNTIF('24 فريق'!$E$4:$E$246,"* ضد "&amp;AT21)</f>
        <v>20</v>
      </c>
      <c r="AW21" s="21">
        <f t="shared" si="8"/>
        <v>5</v>
      </c>
      <c r="AX21"/>
      <c r="AY21" s="21">
        <v>19</v>
      </c>
      <c r="AZ21" s="21" t="s">
        <v>83</v>
      </c>
      <c r="BA21" s="21">
        <f>COUNTIF('29 فريق'!$E$4:$E$258,AY21&amp;" ضد *")+COUNTIF('29 فريق'!$E$4:$E$258,"* ضد "&amp;AY21)</f>
        <v>18</v>
      </c>
      <c r="BB21" s="21">
        <f t="shared" si="9"/>
        <v>9</v>
      </c>
      <c r="BC21"/>
      <c r="BD21" s="21">
        <v>19</v>
      </c>
      <c r="BE21" s="21" t="s">
        <v>83</v>
      </c>
      <c r="BF21" s="21">
        <f>COUNTIF('34 فريق'!$E$4:$E$276,BD21&amp;" ضد *")+COUNTIF('34 فريق'!$E$4:$E$276,"* ضد "&amp;BD21)</f>
        <v>16</v>
      </c>
      <c r="BG21" s="21">
        <f t="shared" si="10"/>
        <v>16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</row>
    <row r="22" spans="1:10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s="21">
        <v>20</v>
      </c>
      <c r="AU22" s="21" t="s">
        <v>158</v>
      </c>
      <c r="AV22" s="21">
        <f>COUNTIF('24 فريق'!$E$4:$E$246,AT22&amp;" ضد *")+COUNTIF('24 فريق'!$E$4:$E$246,"* ضد "&amp;AT22)</f>
        <v>20</v>
      </c>
      <c r="AW22" s="21">
        <f t="shared" si="8"/>
        <v>5</v>
      </c>
      <c r="AX22"/>
      <c r="AY22" s="21">
        <v>20</v>
      </c>
      <c r="AZ22" s="21" t="s">
        <v>124</v>
      </c>
      <c r="BA22" s="21">
        <f>COUNTIF('29 فريق'!$E$4:$E$258,AY22&amp;" ضد *")+COUNTIF('29 فريق'!$E$4:$E$258,"* ضد "&amp;AY22)</f>
        <v>18</v>
      </c>
      <c r="BB22" s="21">
        <f t="shared" si="9"/>
        <v>9</v>
      </c>
      <c r="BC22"/>
      <c r="BD22" s="21">
        <v>20</v>
      </c>
      <c r="BE22" s="21" t="s">
        <v>83</v>
      </c>
      <c r="BF22" s="21">
        <f>COUNTIF('34 فريق'!$E$4:$E$276,BD22&amp;" ضد *")+COUNTIF('34 فريق'!$E$4:$E$276,"* ضد "&amp;BD22)</f>
        <v>16</v>
      </c>
      <c r="BG22" s="21">
        <f t="shared" si="10"/>
        <v>16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</row>
    <row r="23" spans="1:104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s="21">
        <v>21</v>
      </c>
      <c r="AU23" s="21" t="s">
        <v>158</v>
      </c>
      <c r="AV23" s="21">
        <f>COUNTIF('24 فريق'!$E$4:$E$246,AT23&amp;" ضد *")+COUNTIF('24 فريق'!$E$4:$E$246,"* ضد "&amp;AT23)</f>
        <v>20</v>
      </c>
      <c r="AW23" s="21">
        <f t="shared" si="8"/>
        <v>5</v>
      </c>
      <c r="AX23"/>
      <c r="AY23" s="21">
        <v>21</v>
      </c>
      <c r="AZ23" s="21" t="s">
        <v>124</v>
      </c>
      <c r="BA23" s="21">
        <f>COUNTIF('29 فريق'!$E$4:$E$258,AY23&amp;" ضد *")+COUNTIF('29 فريق'!$E$4:$E$258,"* ضد "&amp;AY23)</f>
        <v>18</v>
      </c>
      <c r="BB23" s="21">
        <f t="shared" si="9"/>
        <v>9</v>
      </c>
      <c r="BC23"/>
      <c r="BD23" s="21">
        <v>21</v>
      </c>
      <c r="BE23" s="21" t="s">
        <v>83</v>
      </c>
      <c r="BF23" s="21">
        <f>COUNTIF('34 فريق'!$E$4:$E$276,BD23&amp;" ضد *")+COUNTIF('34 فريق'!$E$4:$E$276,"* ضد "&amp;BD23)</f>
        <v>16</v>
      </c>
      <c r="BG23" s="21">
        <f t="shared" si="10"/>
        <v>16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</row>
    <row r="24" spans="1:10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s="21">
        <v>22</v>
      </c>
      <c r="AU24" s="21" t="s">
        <v>158</v>
      </c>
      <c r="AV24" s="21">
        <f>COUNTIF('24 فريق'!$E$4:$E$246,AT24&amp;" ضد *")+COUNTIF('24 فريق'!$E$4:$E$246,"* ضد "&amp;AT24)</f>
        <v>20</v>
      </c>
      <c r="AW24" s="21">
        <f t="shared" si="8"/>
        <v>5</v>
      </c>
      <c r="AX24"/>
      <c r="AY24" s="21">
        <v>22</v>
      </c>
      <c r="AZ24" s="21" t="s">
        <v>124</v>
      </c>
      <c r="BA24" s="21">
        <f>COUNTIF('29 فريق'!$E$4:$E$258,AY24&amp;" ضد *")+COUNTIF('29 فريق'!$E$4:$E$258,"* ضد "&amp;AY24)</f>
        <v>18</v>
      </c>
      <c r="BB24" s="21">
        <f t="shared" si="9"/>
        <v>9</v>
      </c>
      <c r="BC24"/>
      <c r="BD24" s="21">
        <v>22</v>
      </c>
      <c r="BE24" s="21" t="s">
        <v>83</v>
      </c>
      <c r="BF24" s="21">
        <f>COUNTIF('34 فريق'!$E$4:$E$276,BD24&amp;" ضد *")+COUNTIF('34 فريق'!$E$4:$E$276,"* ضد "&amp;BD24)</f>
        <v>16</v>
      </c>
      <c r="BG24" s="21">
        <f t="shared" si="10"/>
        <v>16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</row>
    <row r="25" spans="1:104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s="21">
        <v>23</v>
      </c>
      <c r="AU25" s="21" t="s">
        <v>158</v>
      </c>
      <c r="AV25" s="21">
        <f>COUNTIF('24 فريق'!$E$4:$E$246,AT25&amp;" ضد *")+COUNTIF('24 فريق'!$E$4:$E$246,"* ضد "&amp;AT25)</f>
        <v>20</v>
      </c>
      <c r="AW25" s="21">
        <f t="shared" si="8"/>
        <v>5</v>
      </c>
      <c r="AX25"/>
      <c r="AY25" s="21">
        <v>23</v>
      </c>
      <c r="AZ25" s="21" t="s">
        <v>124</v>
      </c>
      <c r="BA25" s="21">
        <f>COUNTIF('29 فريق'!$E$4:$E$258,AY25&amp;" ضد *")+COUNTIF('29 فريق'!$E$4:$E$258,"* ضد "&amp;AY25)</f>
        <v>18</v>
      </c>
      <c r="BB25" s="21">
        <f t="shared" si="9"/>
        <v>9</v>
      </c>
      <c r="BC25"/>
      <c r="BD25" s="21">
        <v>23</v>
      </c>
      <c r="BE25" s="21" t="s">
        <v>83</v>
      </c>
      <c r="BF25" s="21">
        <f>COUNTIF('34 فريق'!$E$4:$E$276,BD25&amp;" ضد *")+COUNTIF('34 فريق'!$E$4:$E$276,"* ضد "&amp;BD25)</f>
        <v>16</v>
      </c>
      <c r="BG25" s="21">
        <f t="shared" si="10"/>
        <v>16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</row>
    <row r="26" spans="1:10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s="21">
        <v>24</v>
      </c>
      <c r="AU26" s="21" t="s">
        <v>158</v>
      </c>
      <c r="AV26" s="21">
        <f>COUNTIF('24 فريق'!$E$4:$E$246,AT26&amp;" ضد *")+COUNTIF('24 فريق'!$E$4:$E$246,"* ضد "&amp;AT26)</f>
        <v>20</v>
      </c>
      <c r="AW26" s="21">
        <f t="shared" si="8"/>
        <v>5</v>
      </c>
      <c r="AX26"/>
      <c r="AY26" s="21">
        <v>24</v>
      </c>
      <c r="AZ26" s="21" t="s">
        <v>124</v>
      </c>
      <c r="BA26" s="21">
        <f>COUNTIF('29 فريق'!$E$4:$E$258,AY26&amp;" ضد *")+COUNTIF('29 فريق'!$E$4:$E$258,"* ضد "&amp;AY26)</f>
        <v>18</v>
      </c>
      <c r="BB26" s="21">
        <f t="shared" si="9"/>
        <v>9</v>
      </c>
      <c r="BC26"/>
      <c r="BD26" s="21">
        <v>24</v>
      </c>
      <c r="BE26" s="21" t="s">
        <v>83</v>
      </c>
      <c r="BF26" s="21">
        <f>COUNTIF('34 فريق'!$E$4:$E$276,BD26&amp;" ضد *")+COUNTIF('34 فريق'!$E$4:$E$276,"* ضد "&amp;BD26)</f>
        <v>16</v>
      </c>
      <c r="BG26" s="21">
        <f t="shared" si="10"/>
        <v>16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</row>
    <row r="27" spans="1:104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 s="21">
        <v>25</v>
      </c>
      <c r="AZ27" s="21" t="s">
        <v>124</v>
      </c>
      <c r="BA27" s="21">
        <f>COUNTIF('29 فريق'!$E$4:$E$258,AY27&amp;" ضد *")+COUNTIF('29 فريق'!$E$4:$E$258,"* ضد "&amp;AY27)</f>
        <v>18</v>
      </c>
      <c r="BB27" s="21">
        <f t="shared" si="9"/>
        <v>9</v>
      </c>
      <c r="BC27"/>
      <c r="BD27" s="21">
        <v>25</v>
      </c>
      <c r="BE27" s="21" t="s">
        <v>83</v>
      </c>
      <c r="BF27" s="21">
        <f>COUNTIF('34 فريق'!$E$4:$E$276,BD27&amp;" ضد *")+COUNTIF('34 فريق'!$E$4:$E$276,"* ضد "&amp;BD27)</f>
        <v>16</v>
      </c>
      <c r="BG27" s="21">
        <f t="shared" si="10"/>
        <v>16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</row>
    <row r="28" spans="1:104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 s="21">
        <v>26</v>
      </c>
      <c r="AZ28" s="21" t="s">
        <v>124</v>
      </c>
      <c r="BA28" s="21">
        <f>COUNTIF('29 فريق'!$E$4:$E$258,AY28&amp;" ضد *")+COUNTIF('29 فريق'!$E$4:$E$258,"* ضد "&amp;AY28)</f>
        <v>18</v>
      </c>
      <c r="BB28" s="21">
        <f t="shared" si="9"/>
        <v>9</v>
      </c>
      <c r="BC28"/>
      <c r="BD28" s="21">
        <v>26</v>
      </c>
      <c r="BE28" s="21" t="s">
        <v>83</v>
      </c>
      <c r="BF28" s="21">
        <f>COUNTIF('34 فريق'!$E$4:$E$276,BD28&amp;" ضد *")+COUNTIF('34 فريق'!$E$4:$E$276,"* ضد "&amp;BD28)</f>
        <v>16</v>
      </c>
      <c r="BG28" s="21">
        <f t="shared" si="10"/>
        <v>16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</row>
    <row r="29" spans="1:104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 s="21">
        <v>27</v>
      </c>
      <c r="AZ29" s="21" t="s">
        <v>124</v>
      </c>
      <c r="BA29" s="21">
        <f>COUNTIF('29 فريق'!$E$4:$E$258,AY29&amp;" ضد *")+COUNTIF('29 فريق'!$E$4:$E$258,"* ضد "&amp;AY29)</f>
        <v>18</v>
      </c>
      <c r="BB29" s="21">
        <f t="shared" si="9"/>
        <v>9</v>
      </c>
      <c r="BC29"/>
      <c r="BD29" s="21">
        <v>27</v>
      </c>
      <c r="BE29" s="21" t="s">
        <v>83</v>
      </c>
      <c r="BF29" s="21">
        <f>COUNTIF('34 فريق'!$E$4:$E$276,BD29&amp;" ضد *")+COUNTIF('34 فريق'!$E$4:$E$276,"* ضد "&amp;BD29)</f>
        <v>16</v>
      </c>
      <c r="BG29" s="21">
        <f t="shared" si="10"/>
        <v>16</v>
      </c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</row>
    <row r="30" spans="1:104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 s="21">
        <v>28</v>
      </c>
      <c r="AZ30" s="21" t="s">
        <v>124</v>
      </c>
      <c r="BA30" s="21">
        <f>COUNTIF('29 فريق'!$E$4:$E$258,AY30&amp;" ضد *")+COUNTIF('29 فريق'!$E$4:$E$258,"* ضد "&amp;AY30)</f>
        <v>18</v>
      </c>
      <c r="BB30" s="21">
        <f t="shared" si="9"/>
        <v>9</v>
      </c>
      <c r="BC30"/>
      <c r="BD30" s="21">
        <v>28</v>
      </c>
      <c r="BE30" s="21" t="s">
        <v>83</v>
      </c>
      <c r="BF30" s="21">
        <f>COUNTIF('34 فريق'!$E$4:$E$276,BD30&amp;" ضد *")+COUNTIF('34 فريق'!$E$4:$E$276,"* ضد "&amp;BD30)</f>
        <v>16</v>
      </c>
      <c r="BG30" s="21">
        <f t="shared" si="10"/>
        <v>16</v>
      </c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</row>
    <row r="31" spans="1:104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 s="21">
        <v>29</v>
      </c>
      <c r="AZ31" s="21" t="s">
        <v>124</v>
      </c>
      <c r="BA31" s="21">
        <f>COUNTIF('29 فريق'!$E$4:$E$258,AY31&amp;" ضد *")+COUNTIF('29 فريق'!$E$4:$E$258,"* ضد "&amp;AY31)</f>
        <v>18</v>
      </c>
      <c r="BB31" s="21">
        <f t="shared" si="9"/>
        <v>9</v>
      </c>
      <c r="BC31"/>
      <c r="BD31" s="21">
        <v>29</v>
      </c>
      <c r="BE31" s="21" t="s">
        <v>83</v>
      </c>
      <c r="BF31" s="21">
        <f>COUNTIF('34 فريق'!$E$4:$E$276,BD31&amp;" ضد *")+COUNTIF('34 فريق'!$E$4:$E$276,"* ضد "&amp;BD31)</f>
        <v>16</v>
      </c>
      <c r="BG31" s="21">
        <f t="shared" si="10"/>
        <v>16</v>
      </c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</row>
    <row r="32" spans="1:10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 s="21">
        <v>30</v>
      </c>
      <c r="BE32" s="21" t="s">
        <v>83</v>
      </c>
      <c r="BF32" s="21">
        <f>COUNTIF('34 فريق'!$E$4:$E$276,BD32&amp;" ضد *")+COUNTIF('34 فريق'!$E$4:$E$276,"* ضد "&amp;BD32)</f>
        <v>16</v>
      </c>
      <c r="BG32" s="21">
        <f t="shared" si="10"/>
        <v>16</v>
      </c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</row>
    <row r="33" spans="1:10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s="21">
        <v>31</v>
      </c>
      <c r="BE33" s="21" t="s">
        <v>83</v>
      </c>
      <c r="BF33" s="21">
        <f>COUNTIF('34 فريق'!$E$4:$E$276,BD33&amp;" ضد *")+COUNTIF('34 فريق'!$E$4:$E$276,"* ضد "&amp;BD33)</f>
        <v>16</v>
      </c>
      <c r="BG33" s="21">
        <f t="shared" si="10"/>
        <v>16</v>
      </c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</row>
    <row r="34" spans="1:10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s="21">
        <v>32</v>
      </c>
      <c r="BE34" s="21" t="s">
        <v>83</v>
      </c>
      <c r="BF34" s="21">
        <f>COUNTIF('34 فريق'!$E$4:$E$276,BD34&amp;" ضد *")+COUNTIF('34 فريق'!$E$4:$E$276,"* ضد "&amp;BD34)</f>
        <v>16</v>
      </c>
      <c r="BG34" s="21">
        <f t="shared" si="10"/>
        <v>16</v>
      </c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</row>
    <row r="35" spans="1:10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s="21">
        <v>33</v>
      </c>
      <c r="BE35" s="21" t="s">
        <v>83</v>
      </c>
      <c r="BF35" s="21">
        <f>COUNTIF('34 فريق'!$E$4:$E$276,BD35&amp;" ضد *")+COUNTIF('34 فريق'!$E$4:$E$276,"* ضد "&amp;BD35)</f>
        <v>16</v>
      </c>
      <c r="BG35" s="21">
        <f t="shared" si="10"/>
        <v>16</v>
      </c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</row>
    <row r="36" spans="1:10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s="21">
        <v>34</v>
      </c>
      <c r="BE36" s="21" t="s">
        <v>83</v>
      </c>
      <c r="BF36" s="21">
        <f>COUNTIF('34 فريق'!$E$4:$E$276,BD36&amp;" ضد *")+COUNTIF('34 فريق'!$E$4:$E$276,"* ضد "&amp;BD36)</f>
        <v>16</v>
      </c>
      <c r="BG36" s="21">
        <f t="shared" si="10"/>
        <v>16</v>
      </c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</row>
    <row r="37" spans="1:10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</row>
    <row r="38" spans="1:10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</row>
    <row r="39" spans="1:104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</row>
    <row r="40" spans="1:10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</row>
    <row r="41" spans="1:10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</row>
    <row r="42" spans="1:10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</row>
    <row r="43" spans="1:10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1:10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</row>
    <row r="45" spans="1:10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</row>
    <row r="46" spans="1:10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1:10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1:10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1:10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1:10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</row>
    <row r="51" spans="1:10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1:10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1:10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</row>
    <row r="54" spans="1:10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</row>
    <row r="55" spans="1:10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</row>
    <row r="56" spans="1:10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</row>
    <row r="57" spans="1:10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</row>
    <row r="58" spans="1:10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</row>
    <row r="59" spans="1:10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</row>
    <row r="60" spans="1:10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</row>
  </sheetData>
  <mergeCells count="12">
    <mergeCell ref="BD1:BG1"/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  <mergeCell ref="AY1:B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515E6-C050-4D4F-BAC3-E13A390EFC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71F334-B5B3-4DEB-98EE-2E9E610B2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07CF0C-B343-4E09-AE0D-B2E7278DF3DF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المدخلات</vt:lpstr>
      <vt:lpstr>الملخص</vt:lpstr>
      <vt:lpstr>5 فرق</vt:lpstr>
      <vt:lpstr>6 فرق</vt:lpstr>
      <vt:lpstr>7 فرق</vt:lpstr>
      <vt:lpstr>8 فرق</vt:lpstr>
      <vt:lpstr>10 فرق</vt:lpstr>
      <vt:lpstr>13 فريق</vt:lpstr>
      <vt:lpstr>14 فريق</vt:lpstr>
      <vt:lpstr>16 فريق</vt:lpstr>
      <vt:lpstr>17 فريق</vt:lpstr>
      <vt:lpstr>24 فريق</vt:lpstr>
      <vt:lpstr>29 فريق</vt:lpstr>
      <vt:lpstr>34 فريق</vt:lpstr>
      <vt:lpstr>بيانات الفرق U13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2015-06-05T18:19:34Z</dcterms:created>
  <dcterms:modified xsi:type="dcterms:W3CDTF">2026-09-30T11:37:22Z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